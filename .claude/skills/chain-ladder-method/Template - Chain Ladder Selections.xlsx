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per\Documents\actuarial\cas-rfp\spec-only\claude-code\.claude\skills\chain-ladder-method\"/>
    </mc:Choice>
  </mc:AlternateContent>
  <xr:revisionPtr revIDLastSave="0" documentId="13_ncr:1_{14DF2542-72E8-4857-B20F-2A99F7098F3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Instructions" sheetId="1" r:id="rId1"/>
    <sheet name="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 a="1"/>
  <c r="G37" i="2" s="1"/>
  <c r="I35" i="2"/>
  <c r="K32" i="2" a="1"/>
  <c r="K32" i="2" s="1"/>
  <c r="J32" i="2"/>
  <c r="J32" i="2" a="1"/>
  <c r="I32" i="2" a="1"/>
  <c r="I32" i="2" s="1"/>
  <c r="H32" i="2" a="1"/>
  <c r="H32" i="2" s="1"/>
  <c r="G32" i="2" a="1"/>
  <c r="G32" i="2" s="1"/>
  <c r="F32" i="2" a="1"/>
  <c r="F32" i="2" s="1"/>
  <c r="E32" i="2" a="1"/>
  <c r="E32" i="2" s="1"/>
  <c r="D32" i="2"/>
  <c r="D32" i="2" a="1"/>
  <c r="C32" i="2" a="1"/>
  <c r="C32" i="2" s="1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C27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L24" i="2"/>
  <c r="K24" i="2"/>
  <c r="J24" i="2"/>
  <c r="I24" i="2"/>
  <c r="I33" i="2" s="1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22" i="2"/>
  <c r="K22" i="2"/>
  <c r="J22" i="2"/>
  <c r="I22" i="2"/>
  <c r="H22" i="2"/>
  <c r="G22" i="2"/>
  <c r="F22" i="2"/>
  <c r="E22" i="2"/>
  <c r="E36" i="2" s="1"/>
  <c r="D22" i="2"/>
  <c r="C22" i="2"/>
  <c r="L21" i="2"/>
  <c r="K21" i="2"/>
  <c r="J21" i="2"/>
  <c r="I21" i="2"/>
  <c r="I36" i="2" s="1"/>
  <c r="H21" i="2"/>
  <c r="H34" i="2" s="1" a="1"/>
  <c r="H34" i="2" s="1"/>
  <c r="G21" i="2"/>
  <c r="F21" i="2"/>
  <c r="E21" i="2"/>
  <c r="D21" i="2"/>
  <c r="C21" i="2"/>
  <c r="C35" i="2" s="1"/>
  <c r="L20" i="2"/>
  <c r="K20" i="2"/>
  <c r="J20" i="2"/>
  <c r="I20" i="2"/>
  <c r="H20" i="2"/>
  <c r="H35" i="2" s="1"/>
  <c r="G20" i="2"/>
  <c r="G36" i="2" s="1"/>
  <c r="F20" i="2"/>
  <c r="F36" i="2" s="1"/>
  <c r="E20" i="2"/>
  <c r="D20" i="2"/>
  <c r="C20" i="2"/>
  <c r="L19" i="2"/>
  <c r="K19" i="2"/>
  <c r="K37" i="2" s="1" a="1"/>
  <c r="K37" i="2" s="1"/>
  <c r="J19" i="2"/>
  <c r="J36" i="2" s="1"/>
  <c r="I19" i="2"/>
  <c r="I37" i="2" s="1" a="1"/>
  <c r="I37" i="2" s="1"/>
  <c r="H19" i="2"/>
  <c r="H36" i="2" s="1"/>
  <c r="G19" i="2"/>
  <c r="G35" i="2" s="1"/>
  <c r="F19" i="2"/>
  <c r="F35" i="2" s="1"/>
  <c r="E19" i="2"/>
  <c r="E35" i="2" s="1"/>
  <c r="D19" i="2"/>
  <c r="D33" i="2" s="1"/>
  <c r="C19" i="2"/>
  <c r="C36" i="2" s="1"/>
  <c r="D27" i="2"/>
  <c r="D18" i="2"/>
  <c r="E18" i="2"/>
  <c r="F18" i="2"/>
  <c r="G18" i="2"/>
  <c r="H18" i="2"/>
  <c r="I18" i="2"/>
  <c r="J18" i="2"/>
  <c r="K18" i="2"/>
  <c r="C18" i="2"/>
  <c r="C37" i="2" l="1" a="1"/>
  <c r="C37" i="2" s="1"/>
  <c r="I34" i="2" a="1"/>
  <c r="I34" i="2" s="1"/>
  <c r="J35" i="2"/>
  <c r="K33" i="2"/>
  <c r="K35" i="2"/>
  <c r="E37" i="2" a="1"/>
  <c r="E37" i="2" s="1"/>
  <c r="C34" i="2" a="1"/>
  <c r="C34" i="2" s="1"/>
  <c r="J34" i="2" a="1"/>
  <c r="J34" i="2" s="1"/>
  <c r="J33" i="2"/>
  <c r="D37" i="2" a="1"/>
  <c r="D37" i="2" s="1"/>
  <c r="D36" i="2"/>
  <c r="F37" i="2" a="1"/>
  <c r="F37" i="2" s="1"/>
  <c r="D34" i="2" a="1"/>
  <c r="D34" i="2" s="1"/>
  <c r="C33" i="2"/>
  <c r="E34" i="2" a="1"/>
  <c r="E34" i="2" s="1"/>
  <c r="D35" i="2"/>
  <c r="E33" i="2"/>
  <c r="K34" i="2" a="1"/>
  <c r="K34" i="2" s="1"/>
  <c r="H37" i="2" a="1"/>
  <c r="H37" i="2" s="1"/>
  <c r="F33" i="2"/>
  <c r="F34" i="2" a="1"/>
  <c r="F34" i="2" s="1"/>
  <c r="J37" i="2" a="1"/>
  <c r="J37" i="2" s="1"/>
  <c r="G33" i="2"/>
  <c r="G34" i="2" a="1"/>
  <c r="G34" i="2" s="1"/>
  <c r="H33" i="2"/>
  <c r="K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<sst xmlns="http://schemas.openxmlformats.org/spreadsheetml/2006/main" count="57" uniqueCount="39">
  <si>
    <t>Instructions</t>
  </si>
  <si>
    <t>Copy the template sheet for each metric (Paid, Incurred, Reported, etc.) and segment (WC, GL, CA, AOS, etc.)</t>
  </si>
  <si>
    <t>Dev Pd 1</t>
  </si>
  <si>
    <t>Dev Pd 2</t>
  </si>
  <si>
    <t>Dev Pd 3</t>
  </si>
  <si>
    <t>Dev Pd 4</t>
  </si>
  <si>
    <t>Dev Pd 5</t>
  </si>
  <si>
    <t>Dev Pd 6</t>
  </si>
  <si>
    <t>Dev Pd 7</t>
  </si>
  <si>
    <t>Dev Pd 8</t>
  </si>
  <si>
    <t>Dev Pd 9</t>
  </si>
  <si>
    <t>Dev Pd 10</t>
  </si>
  <si>
    <t>Org Pd 1</t>
  </si>
  <si>
    <t>Org Pd 2</t>
  </si>
  <si>
    <t>Org Pd 3</t>
  </si>
  <si>
    <t>Org Pd 4</t>
  </si>
  <si>
    <t>Org Pd 5</t>
  </si>
  <si>
    <t>Org Pd 6</t>
  </si>
  <si>
    <t>Org Pd 7</t>
  </si>
  <si>
    <t>Org Pd 8</t>
  </si>
  <si>
    <t>Org Pd 9</t>
  </si>
  <si>
    <t>Org Pd 10</t>
  </si>
  <si>
    <t>Insert rows (for new periods) and columns (for additioanl ages).</t>
  </si>
  <si>
    <t>Development</t>
  </si>
  <si>
    <t>Loss Development Factors</t>
  </si>
  <si>
    <t>Averages</t>
  </si>
  <si>
    <t>Volume Weighted</t>
  </si>
  <si>
    <t>Simple Average</t>
  </si>
  <si>
    <t>Median</t>
  </si>
  <si>
    <t>Last 3 Years</t>
  </si>
  <si>
    <t>Last 5 Years</t>
  </si>
  <si>
    <t>5 Yr Excl High/Low</t>
  </si>
  <si>
    <t>Selected</t>
  </si>
  <si>
    <t>Average Used</t>
  </si>
  <si>
    <t>Reasoning</t>
  </si>
  <si>
    <t>Scenario 1:</t>
  </si>
  <si>
    <t>Scenario 2:</t>
  </si>
  <si>
    <t>Scenario 3:</t>
  </si>
  <si>
    <t xml:space="preserve">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</si>
</sst>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0" xfId="0" quotePrefix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559DCB-5879-41E0-8226-193D409A52B9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243F-E420-4EBD-8FC8-361B07C2E247}">
  <dimension ref="A1:L57"/>
  <sheetViews>
    <sheetView tabSelected="1" workbookViewId="0">
      <selection activeCell="A30" sqref="A30"/>
    </sheetView>
  </sheetViews>
  <sheetFormatPr defaultRowHeight="14.4" x14ac:dyDescent="0.3"/>
  <cols>
    <col min="1" max="1" width="3.77734375" customWidth="1"/>
    <col min="2" max="2" width="15.5546875" bestFit="1" customWidth="1"/>
    <col min="3" max="10" width="15.77734375" bestFit="1" customWidth="1"/>
    <col min="11" max="11" width="16.77734375" bestFit="1" customWidth="1"/>
    <col min="12" max="12" width="9.6640625" bestFit="1" customWidth="1"/>
  </cols>
  <sheetData>
    <row r="1" spans="1:12" s="2" customFormat="1" x14ac:dyDescent="0.3">
      <c r="A1" s="2" t="s">
        <v>23</v>
      </c>
    </row>
    <row r="2" spans="1:12" s="3" customFormat="1" x14ac:dyDescent="0.3"/>
    <row r="3" spans="1:12" x14ac:dyDescent="0.3"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B4" t="s">
        <v>12</v>
      </c>
      <c r="C4" s="5">
        <v>2960</v>
      </c>
      <c r="D4" s="5">
        <v>3890</v>
      </c>
      <c r="E4" s="5">
        <v>4350</v>
      </c>
      <c r="F4" s="5">
        <v>4443</v>
      </c>
      <c r="G4" s="5">
        <v>4501</v>
      </c>
      <c r="H4" s="5">
        <v>4512</v>
      </c>
      <c r="I4" s="5">
        <v>4512</v>
      </c>
      <c r="J4" s="5">
        <v>4512</v>
      </c>
      <c r="K4" s="5">
        <v>4512</v>
      </c>
      <c r="L4" s="5">
        <v>4512</v>
      </c>
    </row>
    <row r="5" spans="1:12" x14ac:dyDescent="0.3">
      <c r="B5" t="s">
        <v>13</v>
      </c>
      <c r="C5" s="5">
        <v>2870</v>
      </c>
      <c r="D5" s="5">
        <v>3666</v>
      </c>
      <c r="E5" s="5">
        <v>4209</v>
      </c>
      <c r="F5" s="5">
        <v>4355</v>
      </c>
      <c r="G5" s="5">
        <v>4435</v>
      </c>
      <c r="H5" s="5">
        <v>4440</v>
      </c>
      <c r="I5" s="5">
        <v>4440</v>
      </c>
      <c r="J5" s="5">
        <v>4440</v>
      </c>
      <c r="K5" s="5">
        <v>4440</v>
      </c>
      <c r="L5" s="5"/>
    </row>
    <row r="6" spans="1:12" x14ac:dyDescent="0.3">
      <c r="B6" t="s">
        <v>14</v>
      </c>
      <c r="C6" s="5">
        <v>2560</v>
      </c>
      <c r="D6" s="5">
        <v>3445</v>
      </c>
      <c r="E6" s="5">
        <v>3898</v>
      </c>
      <c r="F6" s="5">
        <v>4050</v>
      </c>
      <c r="G6" s="5">
        <v>4116</v>
      </c>
      <c r="H6" s="5">
        <v>4128</v>
      </c>
      <c r="I6" s="5">
        <v>4128</v>
      </c>
      <c r="J6" s="5">
        <v>4128</v>
      </c>
      <c r="K6" s="5"/>
      <c r="L6" s="5"/>
    </row>
    <row r="7" spans="1:12" x14ac:dyDescent="0.3">
      <c r="B7" t="s">
        <v>15</v>
      </c>
      <c r="C7" s="5">
        <v>2390</v>
      </c>
      <c r="D7" s="5">
        <v>3110</v>
      </c>
      <c r="E7" s="5">
        <v>3552</v>
      </c>
      <c r="F7" s="5">
        <v>3659</v>
      </c>
      <c r="G7" s="5">
        <v>3732</v>
      </c>
      <c r="H7" s="5">
        <v>3732</v>
      </c>
      <c r="I7" s="5">
        <v>3732</v>
      </c>
      <c r="J7" s="5"/>
      <c r="K7" s="5"/>
      <c r="L7" s="5"/>
    </row>
    <row r="8" spans="1:12" x14ac:dyDescent="0.3">
      <c r="B8" t="s">
        <v>16</v>
      </c>
      <c r="C8" s="5">
        <v>2245</v>
      </c>
      <c r="D8" s="5">
        <v>3038</v>
      </c>
      <c r="E8" s="5">
        <v>3390</v>
      </c>
      <c r="F8" s="5">
        <v>3509</v>
      </c>
      <c r="G8" s="5">
        <v>3578</v>
      </c>
      <c r="H8" s="5">
        <v>3580</v>
      </c>
      <c r="I8" s="5"/>
      <c r="J8" s="5"/>
      <c r="K8" s="5"/>
      <c r="L8" s="5"/>
    </row>
    <row r="9" spans="1:12" x14ac:dyDescent="0.3">
      <c r="B9" t="s">
        <v>17</v>
      </c>
      <c r="C9" s="5">
        <v>2120</v>
      </c>
      <c r="D9" s="5">
        <v>2856</v>
      </c>
      <c r="E9" s="5">
        <v>3142</v>
      </c>
      <c r="F9" s="5">
        <v>3209</v>
      </c>
      <c r="G9" s="5">
        <v>3265</v>
      </c>
      <c r="H9" s="5"/>
      <c r="I9" s="5"/>
      <c r="J9" s="5"/>
      <c r="K9" s="5"/>
      <c r="L9" s="5"/>
    </row>
    <row r="10" spans="1:12" x14ac:dyDescent="0.3">
      <c r="B10" t="s">
        <v>18</v>
      </c>
      <c r="C10" s="5">
        <v>2070</v>
      </c>
      <c r="D10" s="5">
        <v>2689</v>
      </c>
      <c r="E10" s="5">
        <v>3009</v>
      </c>
      <c r="F10" s="5">
        <v>3088</v>
      </c>
      <c r="G10" s="5"/>
      <c r="H10" s="5"/>
      <c r="I10" s="5"/>
      <c r="J10" s="5"/>
      <c r="K10" s="5"/>
      <c r="L10" s="5"/>
    </row>
    <row r="11" spans="1:12" x14ac:dyDescent="0.3">
      <c r="B11" t="s">
        <v>19</v>
      </c>
      <c r="C11" s="5">
        <v>2340</v>
      </c>
      <c r="D11" s="5">
        <v>3043</v>
      </c>
      <c r="E11" s="5">
        <v>3468</v>
      </c>
      <c r="F11" s="5"/>
      <c r="G11" s="5"/>
      <c r="H11" s="5"/>
      <c r="I11" s="5"/>
      <c r="J11" s="5"/>
      <c r="K11" s="5"/>
      <c r="L11" s="5"/>
    </row>
    <row r="12" spans="1:12" x14ac:dyDescent="0.3">
      <c r="B12" t="s">
        <v>20</v>
      </c>
      <c r="C12" s="5">
        <v>2367</v>
      </c>
      <c r="D12" s="5">
        <v>3109</v>
      </c>
      <c r="E12" s="5"/>
      <c r="F12" s="5"/>
      <c r="G12" s="5"/>
      <c r="H12" s="5"/>
      <c r="I12" s="5"/>
      <c r="J12" s="5"/>
      <c r="K12" s="5"/>
      <c r="L12" s="5"/>
    </row>
    <row r="13" spans="1:12" x14ac:dyDescent="0.3">
      <c r="B13" t="s">
        <v>21</v>
      </c>
      <c r="C13" s="5">
        <v>2378</v>
      </c>
      <c r="D13" s="5"/>
      <c r="E13" s="5"/>
      <c r="F13" s="5"/>
      <c r="G13" s="5"/>
      <c r="H13" s="5"/>
      <c r="I13" s="5"/>
      <c r="J13" s="5"/>
      <c r="K13" s="5"/>
      <c r="L13" s="5"/>
    </row>
    <row r="16" spans="1:12" s="2" customFormat="1" x14ac:dyDescent="0.3">
      <c r="A16" s="2" t="s">
        <v>24</v>
      </c>
    </row>
    <row r="18" spans="1:12" x14ac:dyDescent="0.3">
      <c r="C18" s="4" t="str">
        <f>C3&amp;"-"&amp;D3</f>
        <v>Dev Pd 1-Dev Pd 2</v>
      </c>
      <c r="D18" s="4" t="str">
        <f t="shared" ref="D18:L18" si="0">D3&amp;"-"&amp;E3</f>
        <v>Dev Pd 2-Dev Pd 3</v>
      </c>
      <c r="E18" s="4" t="str">
        <f t="shared" si="0"/>
        <v>Dev Pd 3-Dev Pd 4</v>
      </c>
      <c r="F18" s="4" t="str">
        <f t="shared" si="0"/>
        <v>Dev Pd 4-Dev Pd 5</v>
      </c>
      <c r="G18" s="4" t="str">
        <f t="shared" si="0"/>
        <v>Dev Pd 5-Dev Pd 6</v>
      </c>
      <c r="H18" s="4" t="str">
        <f t="shared" si="0"/>
        <v>Dev Pd 6-Dev Pd 7</v>
      </c>
      <c r="I18" s="4" t="str">
        <f t="shared" si="0"/>
        <v>Dev Pd 7-Dev Pd 8</v>
      </c>
      <c r="J18" s="4" t="str">
        <f t="shared" si="0"/>
        <v>Dev Pd 8-Dev Pd 9</v>
      </c>
      <c r="K18" s="4" t="str">
        <f t="shared" si="0"/>
        <v>Dev Pd 9-Dev Pd 10</v>
      </c>
      <c r="L18" s="4"/>
    </row>
    <row r="19" spans="1:12" x14ac:dyDescent="0.3">
      <c r="B19" t="s">
        <v>12</v>
      </c>
      <c r="C19" s="6">
        <f t="shared" ref="C19:L19" si="1">IF(D4&gt;0,D4/C4,"")</f>
        <v>1.3141891891891893</v>
      </c>
      <c r="D19" s="6">
        <f t="shared" si="1"/>
        <v>1.1182519280205656</v>
      </c>
      <c r="E19" s="6">
        <f t="shared" si="1"/>
        <v>1.0213793103448277</v>
      </c>
      <c r="F19" s="6">
        <f t="shared" si="1"/>
        <v>1.0130542426288545</v>
      </c>
      <c r="G19" s="6">
        <f t="shared" si="1"/>
        <v>1.0024439013552544</v>
      </c>
      <c r="H19" s="6">
        <f t="shared" si="1"/>
        <v>1</v>
      </c>
      <c r="I19" s="6">
        <f t="shared" si="1"/>
        <v>1</v>
      </c>
      <c r="J19" s="6">
        <f t="shared" si="1"/>
        <v>1</v>
      </c>
      <c r="K19" s="6">
        <f t="shared" si="1"/>
        <v>1</v>
      </c>
      <c r="L19" s="6" t="str">
        <f t="shared" si="1"/>
        <v/>
      </c>
    </row>
    <row r="20" spans="1:12" x14ac:dyDescent="0.3">
      <c r="B20" t="s">
        <v>13</v>
      </c>
      <c r="C20" s="6">
        <f t="shared" ref="C20:L20" si="2">IF(D5&gt;0,D5/C5,"")</f>
        <v>1.2773519163763065</v>
      </c>
      <c r="D20" s="6">
        <f t="shared" si="2"/>
        <v>1.1481178396072014</v>
      </c>
      <c r="E20" s="6">
        <f t="shared" si="2"/>
        <v>1.034687574245664</v>
      </c>
      <c r="F20" s="6">
        <f t="shared" si="2"/>
        <v>1.0183696900114811</v>
      </c>
      <c r="G20" s="6">
        <f t="shared" si="2"/>
        <v>1.0011273957158964</v>
      </c>
      <c r="H20" s="6">
        <f t="shared" si="2"/>
        <v>1</v>
      </c>
      <c r="I20" s="6">
        <f t="shared" si="2"/>
        <v>1</v>
      </c>
      <c r="J20" s="6">
        <f t="shared" si="2"/>
        <v>1</v>
      </c>
      <c r="K20" s="6" t="str">
        <f t="shared" si="2"/>
        <v/>
      </c>
      <c r="L20" s="6" t="str">
        <f t="shared" si="2"/>
        <v/>
      </c>
    </row>
    <row r="21" spans="1:12" x14ac:dyDescent="0.3">
      <c r="B21" t="s">
        <v>14</v>
      </c>
      <c r="C21" s="6">
        <f t="shared" ref="C21:L21" si="3">IF(D6&gt;0,D6/C6,"")</f>
        <v>1.345703125</v>
      </c>
      <c r="D21" s="6">
        <f t="shared" si="3"/>
        <v>1.1314949201741655</v>
      </c>
      <c r="E21" s="6">
        <f t="shared" si="3"/>
        <v>1.038994356080041</v>
      </c>
      <c r="F21" s="6">
        <f t="shared" si="3"/>
        <v>1.0162962962962963</v>
      </c>
      <c r="G21" s="6">
        <f t="shared" si="3"/>
        <v>1.0029154518950438</v>
      </c>
      <c r="H21" s="6">
        <f t="shared" si="3"/>
        <v>1</v>
      </c>
      <c r="I21" s="6">
        <f t="shared" si="3"/>
        <v>1</v>
      </c>
      <c r="J21" s="6" t="str">
        <f t="shared" si="3"/>
        <v/>
      </c>
      <c r="K21" s="6" t="str">
        <f t="shared" si="3"/>
        <v/>
      </c>
      <c r="L21" s="6" t="str">
        <f t="shared" si="3"/>
        <v/>
      </c>
    </row>
    <row r="22" spans="1:12" x14ac:dyDescent="0.3">
      <c r="B22" t="s">
        <v>15</v>
      </c>
      <c r="C22" s="6">
        <f t="shared" ref="C22:L22" si="4">IF(D7&gt;0,D7/C7,"")</f>
        <v>1.3012552301255229</v>
      </c>
      <c r="D22" s="6">
        <f t="shared" si="4"/>
        <v>1.1421221864951769</v>
      </c>
      <c r="E22" s="6">
        <f t="shared" si="4"/>
        <v>1.0301238738738738</v>
      </c>
      <c r="F22" s="6">
        <f t="shared" si="4"/>
        <v>1.0199508062312108</v>
      </c>
      <c r="G22" s="6">
        <f t="shared" si="4"/>
        <v>1</v>
      </c>
      <c r="H22" s="6">
        <f t="shared" si="4"/>
        <v>1</v>
      </c>
      <c r="I22" s="6" t="str">
        <f t="shared" si="4"/>
        <v/>
      </c>
      <c r="J22" s="6" t="str">
        <f t="shared" si="4"/>
        <v/>
      </c>
      <c r="K22" s="6" t="str">
        <f t="shared" si="4"/>
        <v/>
      </c>
      <c r="L22" s="6" t="str">
        <f t="shared" si="4"/>
        <v/>
      </c>
    </row>
    <row r="23" spans="1:12" x14ac:dyDescent="0.3">
      <c r="B23" t="s">
        <v>16</v>
      </c>
      <c r="C23" s="6">
        <f t="shared" ref="C23:L23" si="5">IF(D8&gt;0,D8/C8,"")</f>
        <v>1.3532293986636972</v>
      </c>
      <c r="D23" s="6">
        <f t="shared" si="5"/>
        <v>1.1158657011191573</v>
      </c>
      <c r="E23" s="6">
        <f t="shared" si="5"/>
        <v>1.0351032448377582</v>
      </c>
      <c r="F23" s="6">
        <f t="shared" si="5"/>
        <v>1.0196637218580793</v>
      </c>
      <c r="G23" s="6">
        <f t="shared" si="5"/>
        <v>1.0005589714924539</v>
      </c>
      <c r="H23" s="6" t="str">
        <f t="shared" si="5"/>
        <v/>
      </c>
      <c r="I23" s="6" t="str">
        <f t="shared" si="5"/>
        <v/>
      </c>
      <c r="J23" s="6" t="str">
        <f t="shared" si="5"/>
        <v/>
      </c>
      <c r="K23" s="6" t="str">
        <f t="shared" si="5"/>
        <v/>
      </c>
      <c r="L23" s="6" t="str">
        <f t="shared" si="5"/>
        <v/>
      </c>
    </row>
    <row r="24" spans="1:12" x14ac:dyDescent="0.3">
      <c r="B24" t="s">
        <v>17</v>
      </c>
      <c r="C24" s="6">
        <f t="shared" ref="C24:L24" si="6">IF(D9&gt;0,D9/C9,"")</f>
        <v>1.3471698113207546</v>
      </c>
      <c r="D24" s="6">
        <f t="shared" si="6"/>
        <v>1.1001400560224091</v>
      </c>
      <c r="E24" s="6">
        <f t="shared" si="6"/>
        <v>1.0213239974538511</v>
      </c>
      <c r="F24" s="6">
        <f t="shared" si="6"/>
        <v>1.0174509192894983</v>
      </c>
      <c r="G24" s="6" t="str">
        <f t="shared" si="6"/>
        <v/>
      </c>
      <c r="H24" s="6" t="str">
        <f t="shared" si="6"/>
        <v/>
      </c>
      <c r="I24" s="6" t="str">
        <f t="shared" si="6"/>
        <v/>
      </c>
      <c r="J24" s="6" t="str">
        <f t="shared" si="6"/>
        <v/>
      </c>
      <c r="K24" s="6" t="str">
        <f t="shared" si="6"/>
        <v/>
      </c>
      <c r="L24" s="6" t="str">
        <f t="shared" si="6"/>
        <v/>
      </c>
    </row>
    <row r="25" spans="1:12" x14ac:dyDescent="0.3">
      <c r="B25" t="s">
        <v>18</v>
      </c>
      <c r="C25" s="6">
        <f t="shared" ref="C25:L25" si="7">IF(D10&gt;0,D10/C10,"")</f>
        <v>1.2990338164251207</v>
      </c>
      <c r="D25" s="6">
        <f t="shared" si="7"/>
        <v>1.1190033469691336</v>
      </c>
      <c r="E25" s="6">
        <f t="shared" si="7"/>
        <v>1.02625456962446</v>
      </c>
      <c r="F25" s="6" t="str">
        <f t="shared" si="7"/>
        <v/>
      </c>
      <c r="G25" s="6" t="str">
        <f t="shared" si="7"/>
        <v/>
      </c>
      <c r="H25" s="6" t="str">
        <f t="shared" si="7"/>
        <v/>
      </c>
      <c r="I25" s="6" t="str">
        <f t="shared" si="7"/>
        <v/>
      </c>
      <c r="J25" s="6" t="str">
        <f t="shared" si="7"/>
        <v/>
      </c>
      <c r="K25" s="6" t="str">
        <f t="shared" si="7"/>
        <v/>
      </c>
      <c r="L25" s="6" t="str">
        <f t="shared" si="7"/>
        <v/>
      </c>
    </row>
    <row r="26" spans="1:12" x14ac:dyDescent="0.3">
      <c r="B26" t="s">
        <v>19</v>
      </c>
      <c r="C26" s="6">
        <f t="shared" ref="C26:L26" si="8">IF(D11&gt;0,D11/C11,"")</f>
        <v>1.3004273504273505</v>
      </c>
      <c r="D26" s="6">
        <f t="shared" si="8"/>
        <v>1.1396648044692737</v>
      </c>
      <c r="E26" s="6" t="str">
        <f t="shared" si="8"/>
        <v/>
      </c>
      <c r="F26" s="6" t="str">
        <f t="shared" si="8"/>
        <v/>
      </c>
      <c r="G26" s="6" t="str">
        <f t="shared" si="8"/>
        <v/>
      </c>
      <c r="H26" s="6" t="str">
        <f t="shared" si="8"/>
        <v/>
      </c>
      <c r="I26" s="6" t="str">
        <f t="shared" si="8"/>
        <v/>
      </c>
      <c r="J26" s="6" t="str">
        <f t="shared" si="8"/>
        <v/>
      </c>
      <c r="K26" s="6" t="str">
        <f t="shared" si="8"/>
        <v/>
      </c>
      <c r="L26" s="6" t="str">
        <f t="shared" si="8"/>
        <v/>
      </c>
    </row>
    <row r="27" spans="1:12" x14ac:dyDescent="0.3">
      <c r="B27" t="s">
        <v>20</v>
      </c>
      <c r="C27" s="6">
        <f t="shared" ref="C27:L27" si="9">IF(D12&gt;0,D12/C12,"")</f>
        <v>1.3134769750739332</v>
      </c>
      <c r="D27" s="6" t="str">
        <f>IF(E12&gt;0,E12/D12,"")</f>
        <v/>
      </c>
      <c r="E27" s="6" t="str">
        <f t="shared" ref="E27:L27" si="10">IF(F12&gt;0,F12/E12,"")</f>
        <v/>
      </c>
      <c r="F27" s="6" t="str">
        <f t="shared" si="10"/>
        <v/>
      </c>
      <c r="G27" s="6" t="str">
        <f t="shared" si="10"/>
        <v/>
      </c>
      <c r="H27" s="6" t="str">
        <f t="shared" si="10"/>
        <v/>
      </c>
      <c r="I27" s="6" t="str">
        <f t="shared" si="10"/>
        <v/>
      </c>
      <c r="J27" s="6" t="str">
        <f t="shared" si="10"/>
        <v/>
      </c>
      <c r="K27" s="6" t="str">
        <f t="shared" si="10"/>
        <v/>
      </c>
      <c r="L27" s="6" t="str">
        <f t="shared" si="10"/>
        <v/>
      </c>
    </row>
    <row r="28" spans="1:12" x14ac:dyDescent="0.3">
      <c r="C28" s="6" t="str">
        <f t="shared" ref="C28:L28" si="11">IF(D13&gt;0,D13/C13,"")</f>
        <v/>
      </c>
      <c r="D28" s="6" t="str">
        <f t="shared" si="11"/>
        <v/>
      </c>
      <c r="E28" s="6" t="str">
        <f t="shared" si="11"/>
        <v/>
      </c>
      <c r="F28" s="6" t="str">
        <f t="shared" si="11"/>
        <v/>
      </c>
      <c r="G28" s="6" t="str">
        <f t="shared" si="11"/>
        <v/>
      </c>
      <c r="H28" s="6" t="str">
        <f t="shared" si="11"/>
        <v/>
      </c>
      <c r="I28" s="6" t="str">
        <f t="shared" si="11"/>
        <v/>
      </c>
      <c r="J28" s="6" t="str">
        <f t="shared" si="11"/>
        <v/>
      </c>
      <c r="K28" s="6" t="str">
        <f t="shared" si="11"/>
        <v/>
      </c>
      <c r="L28" s="6" t="str">
        <f t="shared" si="11"/>
        <v/>
      </c>
    </row>
    <row r="30" spans="1:12" s="2" customFormat="1" x14ac:dyDescent="0.3">
      <c r="A30" s="2" t="s">
        <v>25</v>
      </c>
    </row>
    <row r="32" spans="1:12" x14ac:dyDescent="0.3">
      <c r="B32" t="s">
        <v>26</v>
      </c>
      <c r="C32" cm="1">
        <f t="array" ref="C32">SUMPRODUCT((C4:C13&gt;0)*(D4:D13&gt;0)*D4:D13)/SUMPRODUCT((C4:C13&gt;0)*(D4:D13&gt;0)*C4:C13)</f>
        <v>1.3158470942432259</v>
      </c>
      <c r="D32" cm="1">
        <f t="array" ref="D32">SUMPRODUCT((D4:D13&gt;0)*(E4:E13&gt;0)*E4:E13)/SUMPRODUCT((D4:D13&gt;0)*(E4:E13&gt;0)*D4:D13)</f>
        <v>1.1274818354897618</v>
      </c>
      <c r="E32" cm="1">
        <f t="array" ref="E32">SUMPRODUCT((E4:E13&gt;0)*(F4:F13&gt;0)*F4:F13)/SUMPRODUCT((E4:E13&gt;0)*(F4:F13&gt;0)*E4:E13)</f>
        <v>1.0298630136986302</v>
      </c>
      <c r="F32" cm="1">
        <f t="array" ref="F32">SUMPRODUCT((F4:F13&gt;0)*(G4:G13&gt;0)*G4:G13)/SUMPRODUCT((F4:F13&gt;0)*(G4:G13&gt;0)*F4:F13)</f>
        <v>1.0173089343379977</v>
      </c>
      <c r="G32" cm="1">
        <f t="array" ref="G32">SUMPRODUCT((G4:G13&gt;0)*(H4:H13&gt;0)*H4:H13)/SUMPRODUCT((G4:G13&gt;0)*(H4:H13&gt;0)*G4:G13)</f>
        <v>1.0014733326785188</v>
      </c>
      <c r="H32" cm="1">
        <f t="array" ref="H32">SUMPRODUCT((H4:H13&gt;0)*(I4:I13&gt;0)*I4:I13)/SUMPRODUCT((H4:H13&gt;0)*(I4:I13&gt;0)*H4:H13)</f>
        <v>1</v>
      </c>
      <c r="I32" cm="1">
        <f t="array" ref="I32">SUMPRODUCT((I4:I13&gt;0)*(J4:J13&gt;0)*J4:J13)/SUMPRODUCT((I4:I13&gt;0)*(J4:J13&gt;0)*I4:I13)</f>
        <v>1</v>
      </c>
      <c r="J32" cm="1">
        <f t="array" ref="J32">SUMPRODUCT((J4:J13&gt;0)*(K4:K13&gt;0)*K4:K13)/SUMPRODUCT((J4:J13&gt;0)*(K4:K13&gt;0)*J4:J13)</f>
        <v>1</v>
      </c>
      <c r="K32" cm="1">
        <f t="array" ref="K32">SUMPRODUCT((K4:K13&gt;0)*(L4:L13&gt;0)*L4:L13)/SUMPRODUCT((K4:K13&gt;0)*(L4:L13&gt;0)*K4:K13)</f>
        <v>1</v>
      </c>
    </row>
    <row r="33" spans="2:11" x14ac:dyDescent="0.3">
      <c r="B33" t="s">
        <v>27</v>
      </c>
      <c r="C33">
        <f>AVERAGEIFS(C19:C28,C19:C28,"&gt;0",D4:D13,"&gt;0",C4:C13,"&gt;0")</f>
        <v>1.3168707569557638</v>
      </c>
      <c r="D33">
        <f>AVERAGEIFS(D19:D28,D19:D28,"&gt;0",E4:E13,"&gt;0",D4:D13,"&gt;0")</f>
        <v>1.1268325978596354</v>
      </c>
      <c r="E33">
        <f>AVERAGEIFS(E19:E28,E19:E28,"&gt;0",F4:F13,"&gt;0",E4:E13,"&gt;0")</f>
        <v>1.0296952752086395</v>
      </c>
      <c r="F33">
        <f>AVERAGEIFS(F19:F28,F19:F28,"&gt;0",G4:G13,"&gt;0",F4:F13,"&gt;0")</f>
        <v>1.0174642793859034</v>
      </c>
      <c r="G33">
        <f>AVERAGEIFS(G19:G28,G19:G28,"&gt;0",H4:H13,"&gt;0",G4:G13,"&gt;0")</f>
        <v>1.0014091440917299</v>
      </c>
      <c r="H33">
        <f>AVERAGEIFS(H19:H28,H19:H28,"&gt;0",I4:I13,"&gt;0",H4:H13,"&gt;0")</f>
        <v>1</v>
      </c>
      <c r="I33">
        <f>AVERAGEIFS(I19:I28,I19:I28,"&gt;0",J4:J13,"&gt;0",I4:I13,"&gt;0")</f>
        <v>1</v>
      </c>
      <c r="J33">
        <f>AVERAGEIFS(J19:J28,J19:J28,"&gt;0",K4:K13,"&gt;0",J4:J13,"&gt;0")</f>
        <v>1</v>
      </c>
      <c r="K33">
        <f>AVERAGEIFS(K19:K28,K19:K28,"&gt;0",L4:L13,"&gt;0",K4:K13,"&gt;0")</f>
        <v>1</v>
      </c>
    </row>
    <row r="34" spans="2:11" x14ac:dyDescent="0.3">
      <c r="B34" t="s">
        <v>28</v>
      </c>
      <c r="C34" cm="1">
        <f t="array" ref="C34">MEDIAN(IF((C4:C13&gt;0)*(D4:D13&gt;0),C19:C28))</f>
        <v>1.3134769750739332</v>
      </c>
      <c r="D34" cm="1">
        <f t="array" ref="D34">MEDIAN(IF((D4:D13&gt;0)*(E4:E13&gt;0),D19:D28))</f>
        <v>1.1252491335716495</v>
      </c>
      <c r="E34" cm="1">
        <f t="array" ref="E34">MEDIAN(IF((E4:E13&gt;0)*(F4:F13&gt;0),E19:E28))</f>
        <v>1.0301238738738738</v>
      </c>
      <c r="F34" cm="1">
        <f t="array" ref="F34">MEDIAN(IF((F4:F13&gt;0)*(G4:G13&gt;0),F19:F28))</f>
        <v>1.0179103046504898</v>
      </c>
      <c r="G34" cm="1">
        <f t="array" ref="G34">MEDIAN(IF((G4:G13&gt;0)*(H4:H13&gt;0),G19:G28))</f>
        <v>1.0011273957158964</v>
      </c>
      <c r="H34" cm="1">
        <f t="array" ref="H34">MEDIAN(IF((H4:H13&gt;0)*(I4:I13&gt;0),H19:H28))</f>
        <v>1</v>
      </c>
      <c r="I34" cm="1">
        <f t="array" ref="I34">MEDIAN(IF((I4:I13&gt;0)*(J4:J13&gt;0),I19:I28))</f>
        <v>1</v>
      </c>
      <c r="J34" cm="1">
        <f t="array" ref="J34">MEDIAN(IF((J4:J13&gt;0)*(K4:K13&gt;0),J19:J28))</f>
        <v>1</v>
      </c>
      <c r="K34" cm="1">
        <f t="array" ref="K34">MEDIAN(IF((K4:K13&gt;0)*(L4:L13&gt;0),K19:K28))</f>
        <v>1</v>
      </c>
    </row>
    <row r="35" spans="2:11" x14ac:dyDescent="0.3">
      <c r="B35" t="s">
        <v>29</v>
      </c>
      <c r="C35">
        <f>AVERAGEIFS(C19:C21,C19:C21,"&gt;0",D4:D6,"&gt;0",C4:C6,"&gt;0")</f>
        <v>1.3124147435218319</v>
      </c>
      <c r="D35">
        <f>AVERAGEIFS(D19:D21,D19:D21,"&gt;0",E4:E6,"&gt;0",D4:D6,"&gt;0")</f>
        <v>1.1326215626006439</v>
      </c>
      <c r="E35">
        <f>AVERAGEIFS(E19:E21,E19:E21,"&gt;0",F4:F6,"&gt;0",E4:E6,"&gt;0")</f>
        <v>1.031687080223511</v>
      </c>
      <c r="F35">
        <f>AVERAGEIFS(F19:F21,F19:F21,"&gt;0",G4:G6,"&gt;0",F4:F6,"&gt;0")</f>
        <v>1.0159067429788775</v>
      </c>
      <c r="G35">
        <f>AVERAGEIFS(G19:G21,G19:G21,"&gt;0",H4:H6,"&gt;0",G4:G6,"&gt;0")</f>
        <v>1.0021622496553981</v>
      </c>
      <c r="H35">
        <f>AVERAGEIFS(H19:H21,H19:H21,"&gt;0",I4:I6,"&gt;0",H4:H6,"&gt;0")</f>
        <v>1</v>
      </c>
      <c r="I35">
        <f>AVERAGEIFS(I19:I21,I19:I21,"&gt;0",J4:J6,"&gt;0",I4:I6,"&gt;0")</f>
        <v>1</v>
      </c>
      <c r="J35">
        <f>AVERAGEIFS(J19:J21,J19:J21,"&gt;0",K4:K6,"&gt;0",J4:J6,"&gt;0")</f>
        <v>1</v>
      </c>
      <c r="K35">
        <f>AVERAGEIFS(K19:K21,K19:K21,"&gt;0",L4:L6,"&gt;0",K4:K6,"&gt;0")</f>
        <v>1</v>
      </c>
    </row>
    <row r="36" spans="2:11" x14ac:dyDescent="0.3">
      <c r="B36" t="s">
        <v>30</v>
      </c>
      <c r="C36">
        <f>AVERAGEIFS(C19:C23,C19:C23,"&gt;0",D4:D8,"&gt;0",C4:C8,"&gt;0")</f>
        <v>1.3183457718709433</v>
      </c>
      <c r="D36">
        <f>AVERAGEIFS(D19:D23,D19:D23,"&gt;0",E4:E8,"&gt;0",D4:D8,"&gt;0")</f>
        <v>1.1311705150832534</v>
      </c>
      <c r="E36">
        <f>AVERAGEIFS(E19:E23,E19:E23,"&gt;0",F4:F8,"&gt;0",E4:E8,"&gt;0")</f>
        <v>1.0320576718764329</v>
      </c>
      <c r="F36">
        <f>AVERAGEIFS(F19:F23,F19:F23,"&gt;0",G4:G8,"&gt;0",F4:F8,"&gt;0")</f>
        <v>1.0174669514051844</v>
      </c>
      <c r="G36">
        <f>AVERAGEIFS(G19:G23,G19:G23,"&gt;0",H4:H8,"&gt;0",G4:G8,"&gt;0")</f>
        <v>1.0014091440917299</v>
      </c>
      <c r="H36">
        <f>AVERAGEIFS(H19:H23,H19:H23,"&gt;0",I4:I8,"&gt;0",H4:H8,"&gt;0")</f>
        <v>1</v>
      </c>
      <c r="I36">
        <f>AVERAGEIFS(I19:I23,I19:I23,"&gt;0",J4:J8,"&gt;0",I4:I8,"&gt;0")</f>
        <v>1</v>
      </c>
      <c r="J36">
        <f>AVERAGEIFS(J19:J23,J19:J23,"&gt;0",K4:K8,"&gt;0",J4:J8,"&gt;0")</f>
        <v>1</v>
      </c>
      <c r="K36">
        <f>AVERAGEIFS(K19:K23,K19:K23,"&gt;0",L4:L8,"&gt;0",K4:K8,"&gt;0")</f>
        <v>1</v>
      </c>
    </row>
    <row r="37" spans="2:11" x14ac:dyDescent="0.3">
      <c r="B37" t="s">
        <v>31</v>
      </c>
      <c r="C37" cm="1">
        <f t="array" ref="C37">(SUM(IF((C4:C8&gt;0)*(D4:D8&gt;0),C19:C23))-MAX(IF((C4:C8&gt;0)*(D4:D8&gt;0),C19:C23))-MIN(IF((C4:C8&gt;0)*(D4:D8&gt;0),C19:C23)))/(SUMPRODUCT((C4:C8&gt;0)*(D4:D8&gt;0))-2)</f>
        <v>1.3203825147715706</v>
      </c>
      <c r="D37" cm="1">
        <f t="array" ref="D37">(SUM(IF((D4:D8&gt;0)*(E4:E8&gt;0),D19:D23))-MAX(IF((D4:D8&gt;0)*(E4:E8&gt;0),D19:D23))-MIN(IF((D4:D8&gt;0)*(E4:E8&gt;0),D19:D23)))/(SUMPRODUCT((D4:D8&gt;0)*(E4:E8&gt;0))-2)</f>
        <v>1.1306230115633027</v>
      </c>
      <c r="E37" cm="1">
        <f t="array" ref="E37">(SUM(IF((E4:E8&gt;0)*(E4:F8&gt;0),E19:E23))-MAX(IF((E4:E8&gt;0)*(F4:F8&gt;0),E19:E23))-MIN(IF((E4:E8&gt;0)*(F4:F8&gt;0),E19:E23)))/(SUMPRODUCT((E4:E8&gt;0)*(F4:F8&gt;0))-2)</f>
        <v>2.7534010174464876</v>
      </c>
      <c r="F37" cm="1">
        <f t="array" ref="F37">(SUM(IF((F4:F8&gt;0)*(G4:G8&gt;0),F19:F23))-MAX(IF((F4:F8&gt;0)*(G4:G8&gt;0),F19:F23))-MIN(IF((F4:F8&gt;0)*(G4:G8&gt;0),F19:F23)))/(SUMPRODUCT((F4:F8&gt;0)*(G4:G8&gt;0))-2)</f>
        <v>1.0181099027219525</v>
      </c>
      <c r="G37" cm="1">
        <f t="array" ref="G37">(SUM(IF((G4:G8&gt;0)*(H4:H8&gt;0),G19:G23))-MAX(IF((G4:G8&gt;0)*(H4:H8&gt;0),G19:G23))-MIN(IF((G4:G8&gt;0)*(H4:H8&gt;0),G19:G23)))/(SUMPRODUCT((G4:G8&gt;0)*(H4:H8&gt;0))-2)</f>
        <v>1.0013767561878684</v>
      </c>
      <c r="H37" cm="1">
        <f t="array" ref="H37">(SUM(IF((H4:H8&gt;0)*(I4:I8&gt;0),H19:H23))-MAX(IF((H4:H8&gt;0)*(I4:I8&gt;0),H19:H23))-MIN(IF((H4:H8&gt;0)*(I4:I8&gt;0),H19:H23)))/(SUMPRODUCT((H4:H8&gt;0)*(I4:I8&gt;0))-2)</f>
        <v>1</v>
      </c>
      <c r="I37" cm="1">
        <f t="array" ref="I37">(SUM(IF((I4:I8&gt;0)*(J4:J8&gt;0),I19:I23))-MAX(IF((I4:I8&gt;0)*(J4:J8&gt;0),I19:I23))-MIN(IF((I4:I8&gt;0)*(J4:J8&gt;0),I19:I23)))/(SUMPRODUCT((I4:I8&gt;0)*(J4:J8&gt;0))-2)</f>
        <v>1</v>
      </c>
      <c r="J37" t="e" cm="1">
        <f t="array" ref="J37">(SUM(IF((J4:J8&gt;0)*(K4:K8&gt;0),J19:J23))-MAX(IF((J4:J8&gt;0)*(K4:K8&gt;0),J19:J23))-MIN(IF((J4:J8&gt;0)*(K4:K8&gt;0),J19:J23)))/(SUMPRODUCT((J4:J8&gt;0)*(K4:K8&gt;0))-2)</f>
        <v>#DIV/0!</v>
      </c>
      <c r="K37" cm="1">
        <f t="array" ref="K37">(SUM(IF((K4:K8&gt;0)*(L4:L8&gt;0),K19:K23))-MAX(IF((K4:K8&gt;0)*(L4:L8&gt;0),K19:K23))-MIN(IF((K4:K8&gt;0)*(L4:L8&gt;0),K19:K23)))/(SUMPRODUCT((K4:K8&gt;0)*(L4:L8&gt;0))-2)</f>
        <v>1</v>
      </c>
    </row>
    <row r="39" spans="2:11" x14ac:dyDescent="0.3">
      <c r="B39" t="s">
        <v>35</v>
      </c>
    </row>
    <row r="40" spans="2:11" x14ac:dyDescent="0.3">
      <c r="B40" t="s">
        <v>32</v>
      </c>
    </row>
    <row r="41" spans="2:11" x14ac:dyDescent="0.3">
      <c r="B41" t="s">
        <v>33</v>
      </c>
    </row>
    <row r="42" spans="2:11" x14ac:dyDescent="0.3">
      <c r="B42" t="s">
        <v>34</v>
      </c>
    </row>
    <row r="44" spans="2:11" x14ac:dyDescent="0.3">
      <c r="B44" t="s">
        <v>36</v>
      </c>
    </row>
    <row r="45" spans="2:11" x14ac:dyDescent="0.3">
      <c r="B45" t="s">
        <v>32</v>
      </c>
    </row>
    <row r="46" spans="2:11" x14ac:dyDescent="0.3">
      <c r="B46" t="s">
        <v>33</v>
      </c>
    </row>
    <row r="47" spans="2:11" x14ac:dyDescent="0.3">
      <c r="B47" t="s">
        <v>34</v>
      </c>
    </row>
    <row r="49" spans="2:2" x14ac:dyDescent="0.3">
      <c r="B49" t="s">
        <v>37</v>
      </c>
    </row>
    <row r="50" spans="2:2" x14ac:dyDescent="0.3">
      <c r="B50" t="s">
        <v>32</v>
      </c>
    </row>
    <row r="51" spans="2:2" x14ac:dyDescent="0.3">
      <c r="B51" t="s">
        <v>33</v>
      </c>
    </row>
    <row r="52" spans="2:2" x14ac:dyDescent="0.3">
      <c r="B52" t="s">
        <v>34</v>
      </c>
    </row>
    <row r="54" spans="2:2" x14ac:dyDescent="0.3">
      <c r="B54" t="s">
        <v>38</v>
      </c>
    </row>
    <row r="55" spans="2:2" x14ac:dyDescent="0.3">
      <c r="B55" t="s">
        <v>32</v>
      </c>
    </row>
    <row r="56" spans="2:2" x14ac:dyDescent="0.3">
      <c r="B56" t="s">
        <v>33</v>
      </c>
    </row>
    <row r="57" spans="2:2" x14ac:dyDescent="0.3">
      <c r="B5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Chamberlain</dc:creator>
  <cp:lastModifiedBy>Bryce Chamberlain</cp:lastModifiedBy>
  <dcterms:created xsi:type="dcterms:W3CDTF">2015-06-05T18:17:20Z</dcterms:created>
  <dcterms:modified xsi:type="dcterms:W3CDTF">2026-02-12T22:09:21Z</dcterms:modified>
</cp:coreProperties>
</file>