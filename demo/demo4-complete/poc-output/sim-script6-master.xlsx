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 - Closed Count" sheetId="1" state="visible" r:id="rId1"/>
    <sheet name="CL - Incurred Loss" sheetId="2" state="visible" r:id="rId2"/>
    <sheet name="CL - Paid Loss" sheetId="3" state="visible" r:id="rId3"/>
    <sheet name="CL - Reported Count" sheetId="4" state="visible" r:id="rId4"/>
    <sheet name="CL - Diag - Rptd Claims" sheetId="5" state="visible" r:id="rId5"/>
    <sheet name="CL - Diag - Inc Severity" sheetId="6" state="visible" r:id="rId6"/>
    <sheet name="CL - Diag - Paid Severity" sheetId="7" state="visible" r:id="rId7"/>
    <sheet name="CL - Diag - Paid to Incurred" sheetId="8" state="visible" r:id="rId8"/>
    <sheet name="CL - Diag - Open Counts" sheetId="9" state="visible" r:id="rId9"/>
    <sheet name="CL - Diag - Avg Case Rsrv" sheetId="10" state="visible" r:id="rId10"/>
    <sheet name="CL - Diag - Clm Closure Rt" sheetId="11" state="visible" r:id="rId11"/>
    <sheet name="CL - Diag - Incr Inc Svty" sheetId="12" state="visible" r:id="rId12"/>
    <sheet name="CL - Diag - Incr Paid Svty" sheetId="13" state="visible" r:id="rId13"/>
    <sheet name="CL - Diag - Incr Closure Rt" sheetId="14" state="visible" r:id="rId14"/>
    <sheet name="CL - Closed Count - CV &amp; Slopes" sheetId="15" state="visible" r:id="rId15"/>
    <sheet name="CL - Incurred Loss - CV &amp; Slope" sheetId="16" state="visible" r:id="rId16"/>
    <sheet name="CL - Paid Loss - CV &amp; Slopes" sheetId="17" state="visible" r:id="rId17"/>
    <sheet name="CL - Reported Count - CV &amp; Slop" sheetId="18" state="visible" r:id="rId18"/>
    <sheet name="CL - Selected Ultimates - POC" sheetId="19" state="visible" r:id="rId19"/>
  </sheets>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b val="1"/>
      <sz val="10"/>
    </font>
    <font>
      <b val="1"/>
      <color rgb="00FFFFFF"/>
      <sz val="10"/>
    </font>
    <font>
      <b val="1"/>
      <sz val="9"/>
    </font>
    <font>
      <sz val="9"/>
    </font>
    <font>
      <i val="1"/>
      <sz val="8"/>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3" fontId="4" fillId="0" borderId="0" pivotButton="0" quotePrefix="0" xfId="0"/>
    <xf numFmtId="0" fontId="4" fillId="0" borderId="0" pivotButton="0" quotePrefix="0" xfId="0"/>
    <xf numFmtId="164" fontId="4" fillId="0" borderId="0" pivotButton="0" quotePrefix="0" xfId="0"/>
    <xf numFmtId="0" fontId="5" fillId="0" borderId="0" pivotButton="0" quotePrefix="0" xfId="0"/>
    <xf numFmtId="164" fontId="0" fillId="0" borderId="0" pivotButton="0" quotePrefix="0" xfId="0"/>
    <xf numFmtId="3" fontId="0" fillId="0" borderId="0" pivotButton="0" quotePrefix="0" xfId="0"/>
    <xf numFmtId="10" fontId="4" fillId="0" borderId="0" pivotButton="0" quotePrefix="0" xfId="0"/>
    <xf numFmtId="0" fontId="6" fillId="0" borderId="0" pivotButton="0" quotePrefix="0" xfId="0"/>
    <xf numFmtId="0" fontId="7" fillId="0" borderId="0" pivotButton="0" quotePrefix="0" xfId="0"/>
    <xf numFmtId="3"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sheetData>
    <row r="1">
      <c r="A1" s="1" t="inlineStr">
        <is>
          <t>Closed Count</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4" t="n">
        <v>1361</v>
      </c>
      <c r="C3" s="4" t="n">
        <v>2246</v>
      </c>
      <c r="D3" s="4" t="n">
        <v>2896</v>
      </c>
      <c r="E3" s="4" t="n">
        <v>3549</v>
      </c>
      <c r="F3" s="4" t="n">
        <v>4015</v>
      </c>
      <c r="G3" s="4" t="n">
        <v>4347</v>
      </c>
      <c r="H3" s="4" t="n">
        <v>4594</v>
      </c>
      <c r="I3" s="4" t="n">
        <v>4741</v>
      </c>
      <c r="J3" s="4" t="n">
        <v>4883</v>
      </c>
      <c r="K3" s="4" t="n">
        <v>4931</v>
      </c>
    </row>
    <row r="4">
      <c r="A4" s="3" t="inlineStr">
        <is>
          <t>2016</t>
        </is>
      </c>
      <c r="B4" s="4" t="n">
        <v>1290</v>
      </c>
      <c r="C4" s="4" t="n">
        <v>2196</v>
      </c>
      <c r="D4" s="4" t="n">
        <v>2900</v>
      </c>
      <c r="E4" s="4" t="n">
        <v>3535</v>
      </c>
      <c r="F4" s="4" t="n">
        <v>4011</v>
      </c>
      <c r="G4" s="4" t="n">
        <v>4343</v>
      </c>
      <c r="H4" s="4" t="n">
        <v>4594</v>
      </c>
      <c r="I4" s="4" t="n">
        <v>4739</v>
      </c>
      <c r="J4" s="4" t="n">
        <v>4888</v>
      </c>
      <c r="K4" s="5" t="n"/>
    </row>
    <row r="5">
      <c r="A5" s="3" t="inlineStr">
        <is>
          <t>2017</t>
        </is>
      </c>
      <c r="B5" s="4" t="n">
        <v>1354</v>
      </c>
      <c r="C5" s="4" t="n">
        <v>2138</v>
      </c>
      <c r="D5" s="4" t="n">
        <v>2842</v>
      </c>
      <c r="E5" s="4" t="n">
        <v>3450</v>
      </c>
      <c r="F5" s="4" t="n">
        <v>3935</v>
      </c>
      <c r="G5" s="4" t="n">
        <v>4287</v>
      </c>
      <c r="H5" s="4" t="n">
        <v>4550</v>
      </c>
      <c r="I5" s="4" t="n">
        <v>4704</v>
      </c>
      <c r="J5" s="5" t="n"/>
      <c r="K5" s="5" t="n"/>
    </row>
    <row r="6">
      <c r="A6" s="3" t="inlineStr">
        <is>
          <t>2018</t>
        </is>
      </c>
      <c r="B6" s="4" t="n">
        <v>1413</v>
      </c>
      <c r="C6" s="4" t="n">
        <v>2292</v>
      </c>
      <c r="D6" s="4" t="n">
        <v>2995</v>
      </c>
      <c r="E6" s="4" t="n">
        <v>3589</v>
      </c>
      <c r="F6" s="4" t="n">
        <v>4049</v>
      </c>
      <c r="G6" s="4" t="n">
        <v>4399</v>
      </c>
      <c r="H6" s="4" t="n">
        <v>4672</v>
      </c>
      <c r="I6" s="5" t="n"/>
      <c r="J6" s="5" t="n"/>
      <c r="K6" s="5" t="n"/>
    </row>
    <row r="7">
      <c r="A7" s="3" t="inlineStr">
        <is>
          <t>2019</t>
        </is>
      </c>
      <c r="B7" s="4" t="n">
        <v>1386</v>
      </c>
      <c r="C7" s="4" t="n">
        <v>2251</v>
      </c>
      <c r="D7" s="4" t="n">
        <v>2927</v>
      </c>
      <c r="E7" s="4" t="n">
        <v>3525</v>
      </c>
      <c r="F7" s="4" t="n">
        <v>4000</v>
      </c>
      <c r="G7" s="4" t="n">
        <v>4355</v>
      </c>
      <c r="H7" s="5" t="n"/>
      <c r="I7" s="5" t="n"/>
      <c r="J7" s="5" t="n"/>
      <c r="K7" s="5" t="n"/>
    </row>
    <row r="8">
      <c r="A8" s="3" t="inlineStr">
        <is>
          <t>2020</t>
        </is>
      </c>
      <c r="B8" s="4" t="n">
        <v>1389</v>
      </c>
      <c r="C8" s="4" t="n">
        <v>2338</v>
      </c>
      <c r="D8" s="4" t="n">
        <v>3006</v>
      </c>
      <c r="E8" s="4" t="n">
        <v>3554</v>
      </c>
      <c r="F8" s="4" t="n">
        <v>4018</v>
      </c>
      <c r="G8" s="5" t="n"/>
      <c r="H8" s="5" t="n"/>
      <c r="I8" s="5" t="n"/>
      <c r="J8" s="5" t="n"/>
      <c r="K8" s="5" t="n"/>
    </row>
    <row r="9">
      <c r="A9" s="3" t="inlineStr">
        <is>
          <t>2021</t>
        </is>
      </c>
      <c r="B9" s="4" t="n">
        <v>1559</v>
      </c>
      <c r="C9" s="4" t="n">
        <v>2502</v>
      </c>
      <c r="D9" s="4" t="n">
        <v>3232</v>
      </c>
      <c r="E9" s="4" t="n">
        <v>3810</v>
      </c>
      <c r="F9" s="5" t="n"/>
      <c r="G9" s="5" t="n"/>
      <c r="H9" s="5" t="n"/>
      <c r="I9" s="5" t="n"/>
      <c r="J9" s="5" t="n"/>
      <c r="K9" s="5" t="n"/>
    </row>
    <row r="10">
      <c r="A10" s="3" t="inlineStr">
        <is>
          <t>2022</t>
        </is>
      </c>
      <c r="B10" s="4" t="n">
        <v>1565</v>
      </c>
      <c r="C10" s="4" t="n">
        <v>2418</v>
      </c>
      <c r="D10" s="4" t="n">
        <v>3118</v>
      </c>
      <c r="E10" s="5" t="n"/>
      <c r="F10" s="5" t="n"/>
      <c r="G10" s="5" t="n"/>
      <c r="H10" s="5" t="n"/>
      <c r="I10" s="5" t="n"/>
      <c r="J10" s="5" t="n"/>
      <c r="K10" s="5" t="n"/>
    </row>
    <row r="11">
      <c r="A11" s="3" t="inlineStr">
        <is>
          <t>2023</t>
        </is>
      </c>
      <c r="B11" s="4" t="n">
        <v>1318</v>
      </c>
      <c r="C11" s="4" t="n">
        <v>2214</v>
      </c>
      <c r="D11" s="5" t="n"/>
      <c r="E11" s="5" t="n"/>
      <c r="F11" s="5" t="n"/>
      <c r="G11" s="5" t="n"/>
      <c r="H11" s="5" t="n"/>
      <c r="I11" s="5" t="n"/>
      <c r="J11" s="5" t="n"/>
      <c r="K11" s="5" t="n"/>
    </row>
    <row r="12">
      <c r="A12" s="3" t="inlineStr">
        <is>
          <t>2024</t>
        </is>
      </c>
      <c r="B12" s="4" t="n">
        <v>1306</v>
      </c>
      <c r="C12" s="5" t="n"/>
      <c r="D12" s="5" t="n"/>
      <c r="E12" s="5" t="n"/>
      <c r="F12" s="5" t="n"/>
      <c r="G12" s="5" t="n"/>
      <c r="H12" s="5" t="n"/>
      <c r="I12" s="5" t="n"/>
      <c r="J12" s="5" t="n"/>
      <c r="K12" s="5" t="n"/>
    </row>
    <row r="13"/>
    <row r="14">
      <c r="A14" s="1" t="inlineStr">
        <is>
          <t>Age-to-Age Factors</t>
        </is>
      </c>
    </row>
    <row r="15">
      <c r="B15" s="2" t="inlineStr">
        <is>
          <t>12-24</t>
        </is>
      </c>
      <c r="C15" s="2" t="inlineStr">
        <is>
          <t>24-36</t>
        </is>
      </c>
      <c r="D15" s="2" t="inlineStr">
        <is>
          <t>36-48</t>
        </is>
      </c>
      <c r="E15" s="2" t="inlineStr">
        <is>
          <t>48-60</t>
        </is>
      </c>
      <c r="F15" s="2" t="inlineStr">
        <is>
          <t>60-72</t>
        </is>
      </c>
      <c r="G15" s="2" t="inlineStr">
        <is>
          <t>72-84</t>
        </is>
      </c>
      <c r="H15" s="2" t="inlineStr">
        <is>
          <t>84-96</t>
        </is>
      </c>
      <c r="I15" s="2" t="inlineStr">
        <is>
          <t>96-108</t>
        </is>
      </c>
      <c r="J15" s="2" t="inlineStr">
        <is>
          <t>108-120</t>
        </is>
      </c>
    </row>
    <row r="16">
      <c r="A16" s="3" t="inlineStr">
        <is>
          <t>2015</t>
        </is>
      </c>
      <c r="B16" s="6">
        <f>C3/B3</f>
        <v/>
      </c>
      <c r="C16" s="6">
        <f>D3/C3</f>
        <v/>
      </c>
      <c r="D16" s="6">
        <f>E3/D3</f>
        <v/>
      </c>
      <c r="E16" s="6">
        <f>F3/E3</f>
        <v/>
      </c>
      <c r="F16" s="6">
        <f>G3/F3</f>
        <v/>
      </c>
      <c r="G16" s="6">
        <f>H3/G3</f>
        <v/>
      </c>
      <c r="H16" s="6">
        <f>I3/H3</f>
        <v/>
      </c>
      <c r="I16" s="6">
        <f>J3/I3</f>
        <v/>
      </c>
      <c r="J16" s="6">
        <f>K3/J3</f>
        <v/>
      </c>
    </row>
    <row r="17">
      <c r="A17" s="3" t="inlineStr">
        <is>
          <t>2016</t>
        </is>
      </c>
      <c r="B17" s="6">
        <f>C4/B4</f>
        <v/>
      </c>
      <c r="C17" s="6">
        <f>D4/C4</f>
        <v/>
      </c>
      <c r="D17" s="6">
        <f>E4/D4</f>
        <v/>
      </c>
      <c r="E17" s="6">
        <f>F4/E4</f>
        <v/>
      </c>
      <c r="F17" s="6">
        <f>G4/F4</f>
        <v/>
      </c>
      <c r="G17" s="6">
        <f>H4/G4</f>
        <v/>
      </c>
      <c r="H17" s="6">
        <f>I4/H4</f>
        <v/>
      </c>
      <c r="I17" s="6">
        <f>J4/I4</f>
        <v/>
      </c>
      <c r="J17" s="5" t="n"/>
    </row>
    <row r="18">
      <c r="A18" s="3" t="inlineStr">
        <is>
          <t>2017</t>
        </is>
      </c>
      <c r="B18" s="6">
        <f>C5/B5</f>
        <v/>
      </c>
      <c r="C18" s="6">
        <f>D5/C5</f>
        <v/>
      </c>
      <c r="D18" s="6">
        <f>E5/D5</f>
        <v/>
      </c>
      <c r="E18" s="6">
        <f>F5/E5</f>
        <v/>
      </c>
      <c r="F18" s="6">
        <f>G5/F5</f>
        <v/>
      </c>
      <c r="G18" s="6">
        <f>H5/G5</f>
        <v/>
      </c>
      <c r="H18" s="6">
        <f>I5/H5</f>
        <v/>
      </c>
      <c r="I18" s="5" t="n"/>
      <c r="J18" s="5" t="n"/>
    </row>
    <row r="19">
      <c r="A19" s="3" t="inlineStr">
        <is>
          <t>2018</t>
        </is>
      </c>
      <c r="B19" s="6">
        <f>C6/B6</f>
        <v/>
      </c>
      <c r="C19" s="6">
        <f>D6/C6</f>
        <v/>
      </c>
      <c r="D19" s="6">
        <f>E6/D6</f>
        <v/>
      </c>
      <c r="E19" s="6">
        <f>F6/E6</f>
        <v/>
      </c>
      <c r="F19" s="6">
        <f>G6/F6</f>
        <v/>
      </c>
      <c r="G19" s="6">
        <f>H6/G6</f>
        <v/>
      </c>
      <c r="H19" s="5" t="n"/>
      <c r="I19" s="5" t="n"/>
      <c r="J19" s="5" t="n"/>
    </row>
    <row r="20">
      <c r="A20" s="3" t="inlineStr">
        <is>
          <t>2019</t>
        </is>
      </c>
      <c r="B20" s="6">
        <f>C7/B7</f>
        <v/>
      </c>
      <c r="C20" s="6">
        <f>D7/C7</f>
        <v/>
      </c>
      <c r="D20" s="6">
        <f>E7/D7</f>
        <v/>
      </c>
      <c r="E20" s="6">
        <f>F7/E7</f>
        <v/>
      </c>
      <c r="F20" s="6">
        <f>G7/F7</f>
        <v/>
      </c>
      <c r="G20" s="5" t="n"/>
      <c r="H20" s="5" t="n"/>
      <c r="I20" s="5" t="n"/>
      <c r="J20" s="5" t="n"/>
    </row>
    <row r="21">
      <c r="A21" s="3" t="inlineStr">
        <is>
          <t>2020</t>
        </is>
      </c>
      <c r="B21" s="6">
        <f>C8/B8</f>
        <v/>
      </c>
      <c r="C21" s="6">
        <f>D8/C8</f>
        <v/>
      </c>
      <c r="D21" s="6">
        <f>E8/D8</f>
        <v/>
      </c>
      <c r="E21" s="6">
        <f>F8/E8</f>
        <v/>
      </c>
      <c r="F21" s="5" t="n"/>
      <c r="G21" s="5" t="n"/>
      <c r="H21" s="5" t="n"/>
      <c r="I21" s="5" t="n"/>
      <c r="J21" s="5" t="n"/>
    </row>
    <row r="22">
      <c r="A22" s="3" t="inlineStr">
        <is>
          <t>2021</t>
        </is>
      </c>
      <c r="B22" s="6">
        <f>C9/B9</f>
        <v/>
      </c>
      <c r="C22" s="6">
        <f>D9/C9</f>
        <v/>
      </c>
      <c r="D22" s="6">
        <f>E9/D9</f>
        <v/>
      </c>
      <c r="E22" s="5" t="n"/>
      <c r="F22" s="5" t="n"/>
      <c r="G22" s="5" t="n"/>
      <c r="H22" s="5" t="n"/>
      <c r="I22" s="5" t="n"/>
      <c r="J22" s="5" t="n"/>
    </row>
    <row r="23">
      <c r="A23" s="3" t="inlineStr">
        <is>
          <t>2022</t>
        </is>
      </c>
      <c r="B23" s="6">
        <f>C10/B10</f>
        <v/>
      </c>
      <c r="C23" s="6">
        <f>D10/C10</f>
        <v/>
      </c>
      <c r="D23" s="5" t="n"/>
      <c r="E23" s="5" t="n"/>
      <c r="F23" s="5" t="n"/>
      <c r="G23" s="5" t="n"/>
      <c r="H23" s="5" t="n"/>
      <c r="I23" s="5" t="n"/>
      <c r="J23" s="5" t="n"/>
    </row>
    <row r="24">
      <c r="A24" s="3" t="inlineStr">
        <is>
          <t>2023</t>
        </is>
      </c>
      <c r="B24" s="6">
        <f>C11/B11</f>
        <v/>
      </c>
      <c r="C24" s="5" t="n"/>
      <c r="D24" s="5" t="n"/>
      <c r="E24" s="5" t="n"/>
      <c r="F24" s="5" t="n"/>
      <c r="G24" s="5" t="n"/>
      <c r="H24" s="5" t="n"/>
      <c r="I24" s="5" t="n"/>
      <c r="J24" s="5" t="n"/>
    </row>
    <row r="25">
      <c r="A25" s="3" t="inlineStr">
        <is>
          <t>2024</t>
        </is>
      </c>
      <c r="B25" s="5" t="n"/>
      <c r="C25" s="5" t="n"/>
      <c r="D25" s="5" t="n"/>
      <c r="E25" s="5" t="n"/>
      <c r="F25" s="5" t="n"/>
      <c r="G25" s="5" t="n"/>
      <c r="H25" s="5" t="n"/>
      <c r="I25" s="5" t="n"/>
      <c r="J25" s="5" t="n"/>
    </row>
    <row r="26"/>
    <row r="27">
      <c r="A27" s="1" t="inlineStr">
        <is>
          <t>Averages</t>
        </is>
      </c>
    </row>
    <row r="28">
      <c r="A28" s="2" t="inlineStr">
        <is>
          <t>Metric</t>
        </is>
      </c>
      <c r="B28" s="2" t="inlineStr">
        <is>
          <t>12-24</t>
        </is>
      </c>
      <c r="C28" s="2" t="inlineStr">
        <is>
          <t>24-36</t>
        </is>
      </c>
      <c r="D28" s="2" t="inlineStr">
        <is>
          <t>36-48</t>
        </is>
      </c>
      <c r="E28" s="2" t="inlineStr">
        <is>
          <t>48-60</t>
        </is>
      </c>
      <c r="F28" s="2" t="inlineStr">
        <is>
          <t>60-72</t>
        </is>
      </c>
      <c r="G28" s="2" t="inlineStr">
        <is>
          <t>72-84</t>
        </is>
      </c>
      <c r="H28" s="2" t="inlineStr">
        <is>
          <t>84-96</t>
        </is>
      </c>
      <c r="I28" s="2" t="inlineStr">
        <is>
          <t>96-108</t>
        </is>
      </c>
      <c r="J28" s="2" t="inlineStr">
        <is>
          <t>108-120</t>
        </is>
      </c>
      <c r="K28" s="2" t="inlineStr">
        <is>
          <t>Tail</t>
        </is>
      </c>
    </row>
    <row r="29">
      <c r="A29" s="3" t="inlineStr">
        <is>
          <t>simple_all</t>
        </is>
      </c>
      <c r="B29" s="6">
        <f>IFERROR(AVERAGE(B16:B24),AVERAGE(B16:B24))</f>
        <v/>
      </c>
      <c r="C29" s="6">
        <f>IFERROR(AVERAGE(C16:C24),AVERAGE(C16:C24))</f>
        <v/>
      </c>
      <c r="D29" s="6">
        <f>IFERROR(AVERAGE(D16:D24),AVERAGE(D16:D24))</f>
        <v/>
      </c>
      <c r="E29" s="6">
        <f>IFERROR(AVERAGE(E16:E24),AVERAGE(E16:E24))</f>
        <v/>
      </c>
      <c r="F29" s="6">
        <f>IFERROR(AVERAGE(F16:F24),AVERAGE(F16:F24))</f>
        <v/>
      </c>
      <c r="G29" s="6">
        <f>IFERROR(AVERAGE(G16:G24),AVERAGE(G16:G24))</f>
        <v/>
      </c>
      <c r="H29" s="6">
        <f>IFERROR(AVERAGE(H16:H24),AVERAGE(H16:H24))</f>
        <v/>
      </c>
      <c r="I29" s="6">
        <f>IFERROR(AVERAGE(I16:I24),AVERAGE(I16:I24))</f>
        <v/>
      </c>
      <c r="J29" s="6">
        <f>IFERROR(AVERAGE(J16:J24),AVERAGE(J16:J24))</f>
        <v/>
      </c>
      <c r="K29" s="5" t="n"/>
    </row>
    <row r="30">
      <c r="A30" s="3" t="inlineStr">
        <is>
          <t>weighted_all</t>
        </is>
      </c>
      <c r="B30" s="6">
        <f>IFERROR(SUMPRODUCT(B16:B24,B3:B11)/SUMPRODUCT((B16:B24&lt;&gt;"")*B3:B11),SUMPRODUCT(B16:B24,B3:B11)/SUMPRODUCT((B16:B24&lt;&gt;"")*B3:B11))</f>
        <v/>
      </c>
      <c r="C30" s="6">
        <f>IFERROR(SUMPRODUCT(C16:C24,C3:C11)/SUMPRODUCT((C16:C24&lt;&gt;"")*C3:C11),SUMPRODUCT(C16:C24,C3:C11)/SUMPRODUCT((C16:C24&lt;&gt;"")*C3:C11))</f>
        <v/>
      </c>
      <c r="D30" s="6">
        <f>IFERROR(SUMPRODUCT(D16:D24,D3:D11)/SUMPRODUCT((D16:D24&lt;&gt;"")*D3:D11),SUMPRODUCT(D16:D24,D3:D11)/SUMPRODUCT((D16:D24&lt;&gt;"")*D3:D11))</f>
        <v/>
      </c>
      <c r="E30" s="6">
        <f>IFERROR(SUMPRODUCT(E16:E24,E3:E11)/SUMPRODUCT((E16:E24&lt;&gt;"")*E3:E11),SUMPRODUCT(E16:E24,E3:E11)/SUMPRODUCT((E16:E24&lt;&gt;"")*E3:E11))</f>
        <v/>
      </c>
      <c r="F30" s="6">
        <f>IFERROR(SUMPRODUCT(F16:F24,F3:F11)/SUMPRODUCT((F16:F24&lt;&gt;"")*F3:F11),SUMPRODUCT(F16:F24,F3:F11)/SUMPRODUCT((F16:F24&lt;&gt;"")*F3:F11))</f>
        <v/>
      </c>
      <c r="G30" s="6">
        <f>IFERROR(SUMPRODUCT(G16:G24,G3:G11)/SUMPRODUCT((G16:G24&lt;&gt;"")*G3:G11),SUMPRODUCT(G16:G24,G3:G11)/SUMPRODUCT((G16:G24&lt;&gt;"")*G3:G11))</f>
        <v/>
      </c>
      <c r="H30" s="6">
        <f>IFERROR(SUMPRODUCT(H16:H24,H3:H11)/SUMPRODUCT((H16:H24&lt;&gt;"")*H3:H11),SUMPRODUCT(H16:H24,H3:H11)/SUMPRODUCT((H16:H24&lt;&gt;"")*H3:H11))</f>
        <v/>
      </c>
      <c r="I30" s="6">
        <f>IFERROR(SUMPRODUCT(I16:I24,I3:I11)/SUMPRODUCT((I16:I24&lt;&gt;"")*I3:I11),SUMPRODUCT(I16:I24,I3:I11)/SUMPRODUCT((I16:I24&lt;&gt;"")*I3:I11))</f>
        <v/>
      </c>
      <c r="J30" s="6">
        <f>IFERROR(SUMPRODUCT(J16:J24,J3:J11)/SUMPRODUCT((J16:J24&lt;&gt;"")*J3:J11),SUMPRODUCT(J16:J24,J3:J11)/SUMPRODUCT((J16:J24&lt;&gt;"")*J3:J11))</f>
        <v/>
      </c>
      <c r="K30" s="5" t="n"/>
    </row>
    <row r="31">
      <c r="A31" s="3" t="inlineStr">
        <is>
          <t>exclude_high_low_all</t>
        </is>
      </c>
      <c r="B31" s="6">
        <f>IFERROR(TRIMMEAN(B16:B24,2/COUNT(B16:B24)),AVERAGE(B16:B24))</f>
        <v/>
      </c>
      <c r="C31" s="6">
        <f>IFERROR(TRIMMEAN(C16:C24,2/COUNT(C16:C24)),AVERAGE(C16:C24))</f>
        <v/>
      </c>
      <c r="D31" s="6">
        <f>IFERROR(TRIMMEAN(D16:D24,2/COUNT(D16:D24)),AVERAGE(D16:D24))</f>
        <v/>
      </c>
      <c r="E31" s="6">
        <f>IFERROR(TRIMMEAN(E16:E24,2/COUNT(E16:E24)),AVERAGE(E16:E24))</f>
        <v/>
      </c>
      <c r="F31" s="6">
        <f>IFERROR(TRIMMEAN(F16:F24,2/COUNT(F16:F24)),AVERAGE(F16:F24))</f>
        <v/>
      </c>
      <c r="G31" s="6">
        <f>IFERROR(TRIMMEAN(G16:G24,2/COUNT(G16:G24)),AVERAGE(G16:G24))</f>
        <v/>
      </c>
      <c r="H31" s="6">
        <f>IFERROR(TRIMMEAN(H16:H24,2/COUNT(H16:H24)),AVERAGE(H16:H24))</f>
        <v/>
      </c>
      <c r="I31" s="6">
        <f>IFERROR(TRIMMEAN(I16:I24,2/COUNT(I16:I24)),AVERAGE(I16:I24))</f>
        <v/>
      </c>
      <c r="J31" s="6">
        <f>IFERROR(TRIMMEAN(J16:J24,2/COUNT(J16:J24)),AVERAGE(J16:J24))</f>
        <v/>
      </c>
      <c r="K31" s="5" t="n"/>
    </row>
    <row r="32">
      <c r="A32" s="3" t="inlineStr">
        <is>
          <t>simple_3yr</t>
        </is>
      </c>
      <c r="B32" s="6">
        <f>IFERROR(AVERAGE(B22:B24),AVERAGE(B16:B24))</f>
        <v/>
      </c>
      <c r="C32" s="6">
        <f>IFERROR(AVERAGE(C22:C24),AVERAGE(C16:C24))</f>
        <v/>
      </c>
      <c r="D32" s="6">
        <f>IFERROR(AVERAGE(D22:D24),AVERAGE(D16:D24))</f>
        <v/>
      </c>
      <c r="E32" s="6">
        <f>IFERROR(AVERAGE(E22:E24),AVERAGE(E16:E24))</f>
        <v/>
      </c>
      <c r="F32" s="6">
        <f>IFERROR(AVERAGE(F22:F24),AVERAGE(F16:F24))</f>
        <v/>
      </c>
      <c r="G32" s="6">
        <f>IFERROR(AVERAGE(G22:G24),AVERAGE(G16:G24))</f>
        <v/>
      </c>
      <c r="H32" s="6">
        <f>IFERROR(AVERAGE(H22:H24),AVERAGE(H16:H24))</f>
        <v/>
      </c>
      <c r="I32" s="6">
        <f>IFERROR(AVERAGE(I22:I24),AVERAGE(I16:I24))</f>
        <v/>
      </c>
      <c r="J32" s="6">
        <f>IFERROR(AVERAGE(J22:J24),AVERAGE(J16:J24))</f>
        <v/>
      </c>
      <c r="K32" s="5" t="n"/>
    </row>
    <row r="33">
      <c r="A33" s="3" t="inlineStr">
        <is>
          <t>weighted_3yr</t>
        </is>
      </c>
      <c r="B33" s="6">
        <f>IFERROR(SUMPRODUCT(B22:B24,B9:B11)/SUMPRODUCT((B22:B24&lt;&gt;"")*B9:B11),SUMPRODUCT(B16:B24,B3:B11)/SUMPRODUCT((B16:B24&lt;&gt;"")*B3:B11))</f>
        <v/>
      </c>
      <c r="C33" s="6">
        <f>IFERROR(SUMPRODUCT(C22:C24,C9:C11)/SUMPRODUCT((C22:C24&lt;&gt;"")*C9:C11),SUMPRODUCT(C16:C24,C3:C11)/SUMPRODUCT((C16:C24&lt;&gt;"")*C3:C11))</f>
        <v/>
      </c>
      <c r="D33" s="6">
        <f>IFERROR(SUMPRODUCT(D22:D24,D9:D11)/SUMPRODUCT((D22:D24&lt;&gt;"")*D9:D11),SUMPRODUCT(D16:D24,D3:D11)/SUMPRODUCT((D16:D24&lt;&gt;"")*D3:D11))</f>
        <v/>
      </c>
      <c r="E33" s="6">
        <f>IFERROR(SUMPRODUCT(E22:E24,E9:E11)/SUMPRODUCT((E22:E24&lt;&gt;"")*E9:E11),SUMPRODUCT(E16:E24,E3:E11)/SUMPRODUCT((E16:E24&lt;&gt;"")*E3:E11))</f>
        <v/>
      </c>
      <c r="F33" s="6">
        <f>IFERROR(SUMPRODUCT(F22:F24,F9:F11)/SUMPRODUCT((F22:F24&lt;&gt;"")*F9:F11),SUMPRODUCT(F16:F24,F3:F11)/SUMPRODUCT((F16:F24&lt;&gt;"")*F3:F11))</f>
        <v/>
      </c>
      <c r="G33" s="6">
        <f>IFERROR(SUMPRODUCT(G22:G24,G9:G11)/SUMPRODUCT((G22:G24&lt;&gt;"")*G9:G11),SUMPRODUCT(G16:G24,G3:G11)/SUMPRODUCT((G16:G24&lt;&gt;"")*G3:G11))</f>
        <v/>
      </c>
      <c r="H33" s="6">
        <f>IFERROR(SUMPRODUCT(H22:H24,H9:H11)/SUMPRODUCT((H22:H24&lt;&gt;"")*H9:H11),SUMPRODUCT(H16:H24,H3:H11)/SUMPRODUCT((H16:H24&lt;&gt;"")*H3:H11))</f>
        <v/>
      </c>
      <c r="I33" s="6">
        <f>IFERROR(SUMPRODUCT(I22:I24,I9:I11)/SUMPRODUCT((I22:I24&lt;&gt;"")*I9:I11),SUMPRODUCT(I16:I24,I3:I11)/SUMPRODUCT((I16:I24&lt;&gt;"")*I3:I11))</f>
        <v/>
      </c>
      <c r="J33" s="6">
        <f>IFERROR(SUMPRODUCT(J22:J24,J9:J11)/SUMPRODUCT((J22:J24&lt;&gt;"")*J9:J11),SUMPRODUCT(J16:J24,J3:J11)/SUMPRODUCT((J16:J24&lt;&gt;"")*J3:J11))</f>
        <v/>
      </c>
      <c r="K33" s="5" t="n"/>
    </row>
    <row r="34">
      <c r="A34" s="3" t="inlineStr">
        <is>
          <t>exclude_high_low_3yr</t>
        </is>
      </c>
      <c r="B34" s="6">
        <f>IFERROR(TRIMMEAN(B22:B24,2/COUNT(B22:B24)),AVERAGE(B16:B24))</f>
        <v/>
      </c>
      <c r="C34" s="6">
        <f>IFERROR(TRIMMEAN(C22:C24,2/COUNT(C22:C24)),AVERAGE(C16:C24))</f>
        <v/>
      </c>
      <c r="D34" s="6">
        <f>IFERROR(TRIMMEAN(D22:D24,2/COUNT(D22:D24)),AVERAGE(D16:D24))</f>
        <v/>
      </c>
      <c r="E34" s="6">
        <f>IFERROR(TRIMMEAN(E22:E24,2/COUNT(E22:E24)),AVERAGE(E16:E24))</f>
        <v/>
      </c>
      <c r="F34" s="6">
        <f>IFERROR(TRIMMEAN(F22:F24,2/COUNT(F22:F24)),AVERAGE(F16:F24))</f>
        <v/>
      </c>
      <c r="G34" s="6">
        <f>IFERROR(TRIMMEAN(G22:G24,2/COUNT(G22:G24)),AVERAGE(G16:G24))</f>
        <v/>
      </c>
      <c r="H34" s="6">
        <f>IFERROR(TRIMMEAN(H22:H24,2/COUNT(H22:H24)),AVERAGE(H16:H24))</f>
        <v/>
      </c>
      <c r="I34" s="6">
        <f>IFERROR(TRIMMEAN(I22:I24,2/COUNT(I22:I24)),AVERAGE(I16:I24))</f>
        <v/>
      </c>
      <c r="J34" s="6">
        <f>IFERROR(TRIMMEAN(J22:J24,2/COUNT(J22:J24)),AVERAGE(J16:J24))</f>
        <v/>
      </c>
      <c r="K34" s="5" t="n"/>
    </row>
    <row r="35">
      <c r="A35" s="3" t="inlineStr">
        <is>
          <t>simple_5yr</t>
        </is>
      </c>
      <c r="B35" s="6">
        <f>IFERROR(AVERAGE(B20:B24),AVERAGE(B16:B24))</f>
        <v/>
      </c>
      <c r="C35" s="6">
        <f>IFERROR(AVERAGE(C20:C24),AVERAGE(C16:C24))</f>
        <v/>
      </c>
      <c r="D35" s="6">
        <f>IFERROR(AVERAGE(D20:D24),AVERAGE(D16:D24))</f>
        <v/>
      </c>
      <c r="E35" s="6">
        <f>IFERROR(AVERAGE(E20:E24),AVERAGE(E16:E24))</f>
        <v/>
      </c>
      <c r="F35" s="6">
        <f>IFERROR(AVERAGE(F20:F24),AVERAGE(F16:F24))</f>
        <v/>
      </c>
      <c r="G35" s="6">
        <f>IFERROR(AVERAGE(G20:G24),AVERAGE(G16:G24))</f>
        <v/>
      </c>
      <c r="H35" s="6">
        <f>IFERROR(AVERAGE(H20:H24),AVERAGE(H16:H24))</f>
        <v/>
      </c>
      <c r="I35" s="6">
        <f>IFERROR(AVERAGE(I20:I24),AVERAGE(I16:I24))</f>
        <v/>
      </c>
      <c r="J35" s="6">
        <f>IFERROR(AVERAGE(J20:J24),AVERAGE(J16:J24))</f>
        <v/>
      </c>
      <c r="K35" s="5" t="n"/>
    </row>
    <row r="36">
      <c r="A36" s="3" t="inlineStr">
        <is>
          <t>weighted_5yr</t>
        </is>
      </c>
      <c r="B36" s="6">
        <f>IFERROR(SUMPRODUCT(B20:B24,B7:B11)/SUMPRODUCT((B20:B24&lt;&gt;"")*B7:B11),SUMPRODUCT(B16:B24,B3:B11)/SUMPRODUCT((B16:B24&lt;&gt;"")*B3:B11))</f>
        <v/>
      </c>
      <c r="C36" s="6">
        <f>IFERROR(SUMPRODUCT(C20:C24,C7:C11)/SUMPRODUCT((C20:C24&lt;&gt;"")*C7:C11),SUMPRODUCT(C16:C24,C3:C11)/SUMPRODUCT((C16:C24&lt;&gt;"")*C3:C11))</f>
        <v/>
      </c>
      <c r="D36" s="6">
        <f>IFERROR(SUMPRODUCT(D20:D24,D7:D11)/SUMPRODUCT((D20:D24&lt;&gt;"")*D7:D11),SUMPRODUCT(D16:D24,D3:D11)/SUMPRODUCT((D16:D24&lt;&gt;"")*D3:D11))</f>
        <v/>
      </c>
      <c r="E36" s="6">
        <f>IFERROR(SUMPRODUCT(E20:E24,E7:E11)/SUMPRODUCT((E20:E24&lt;&gt;"")*E7:E11),SUMPRODUCT(E16:E24,E3:E11)/SUMPRODUCT((E16:E24&lt;&gt;"")*E3:E11))</f>
        <v/>
      </c>
      <c r="F36" s="6">
        <f>IFERROR(SUMPRODUCT(F20:F24,F7:F11)/SUMPRODUCT((F20:F24&lt;&gt;"")*F7:F11),SUMPRODUCT(F16:F24,F3:F11)/SUMPRODUCT((F16:F24&lt;&gt;"")*F3:F11))</f>
        <v/>
      </c>
      <c r="G36" s="6">
        <f>IFERROR(SUMPRODUCT(G20:G24,G7:G11)/SUMPRODUCT((G20:G24&lt;&gt;"")*G7:G11),SUMPRODUCT(G16:G24,G3:G11)/SUMPRODUCT((G16:G24&lt;&gt;"")*G3:G11))</f>
        <v/>
      </c>
      <c r="H36" s="6">
        <f>IFERROR(SUMPRODUCT(H20:H24,H7:H11)/SUMPRODUCT((H20:H24&lt;&gt;"")*H7:H11),SUMPRODUCT(H16:H24,H3:H11)/SUMPRODUCT((H16:H24&lt;&gt;"")*H3:H11))</f>
        <v/>
      </c>
      <c r="I36" s="6">
        <f>IFERROR(SUMPRODUCT(I20:I24,I7:I11)/SUMPRODUCT((I20:I24&lt;&gt;"")*I7:I11),SUMPRODUCT(I16:I24,I3:I11)/SUMPRODUCT((I16:I24&lt;&gt;"")*I3:I11))</f>
        <v/>
      </c>
      <c r="J36" s="6">
        <f>IFERROR(SUMPRODUCT(J20:J24,J7:J11)/SUMPRODUCT((J20:J24&lt;&gt;"")*J7:J11),SUMPRODUCT(J16:J24,J3:J11)/SUMPRODUCT((J16:J24&lt;&gt;"")*J3:J11))</f>
        <v/>
      </c>
      <c r="K36" s="5" t="n"/>
    </row>
    <row r="37">
      <c r="A37" s="3" t="inlineStr">
        <is>
          <t>exclude_high_low_5yr</t>
        </is>
      </c>
      <c r="B37" s="6">
        <f>IFERROR(TRIMMEAN(B20:B24,2/COUNT(B20:B24)),AVERAGE(B16:B24))</f>
        <v/>
      </c>
      <c r="C37" s="6">
        <f>IFERROR(TRIMMEAN(C20:C24,2/COUNT(C20:C24)),AVERAGE(C16:C24))</f>
        <v/>
      </c>
      <c r="D37" s="6">
        <f>IFERROR(TRIMMEAN(D20:D24,2/COUNT(D20:D24)),AVERAGE(D16:D24))</f>
        <v/>
      </c>
      <c r="E37" s="6">
        <f>IFERROR(TRIMMEAN(E20:E24,2/COUNT(E20:E24)),AVERAGE(E16:E24))</f>
        <v/>
      </c>
      <c r="F37" s="6">
        <f>IFERROR(TRIMMEAN(F20:F24,2/COUNT(F20:F24)),AVERAGE(F16:F24))</f>
        <v/>
      </c>
      <c r="G37" s="6">
        <f>IFERROR(TRIMMEAN(G20:G24,2/COUNT(G20:G24)),AVERAGE(G16:G24))</f>
        <v/>
      </c>
      <c r="H37" s="6">
        <f>IFERROR(TRIMMEAN(H20:H24,2/COUNT(H20:H24)),AVERAGE(H16:H24))</f>
        <v/>
      </c>
      <c r="I37" s="6">
        <f>IFERROR(TRIMMEAN(I20:I24,2/COUNT(I20:I24)),AVERAGE(I16:I24))</f>
        <v/>
      </c>
      <c r="J37" s="6">
        <f>IFERROR(TRIMMEAN(J20:J24,2/COUNT(J20:J24)),AVERAGE(J16:J24))</f>
        <v/>
      </c>
      <c r="K37" s="5" t="n"/>
    </row>
    <row r="38">
      <c r="A38" s="3" t="inlineStr">
        <is>
          <t>simple_10yr</t>
        </is>
      </c>
      <c r="B38" s="6">
        <f>IFERROR(AVERAGE(B16:B24),AVERAGE(B16:B24))</f>
        <v/>
      </c>
      <c r="C38" s="6">
        <f>IFERROR(AVERAGE(C16:C24),AVERAGE(C16:C24))</f>
        <v/>
      </c>
      <c r="D38" s="6">
        <f>IFERROR(AVERAGE(D16:D24),AVERAGE(D16:D24))</f>
        <v/>
      </c>
      <c r="E38" s="6">
        <f>IFERROR(AVERAGE(E16:E24),AVERAGE(E16:E24))</f>
        <v/>
      </c>
      <c r="F38" s="6">
        <f>IFERROR(AVERAGE(F16:F24),AVERAGE(F16:F24))</f>
        <v/>
      </c>
      <c r="G38" s="6">
        <f>IFERROR(AVERAGE(G16:G24),AVERAGE(G16:G24))</f>
        <v/>
      </c>
      <c r="H38" s="6">
        <f>IFERROR(AVERAGE(H16:H24),AVERAGE(H16:H24))</f>
        <v/>
      </c>
      <c r="I38" s="6">
        <f>IFERROR(AVERAGE(I16:I24),AVERAGE(I16:I24))</f>
        <v/>
      </c>
      <c r="J38" s="6">
        <f>IFERROR(AVERAGE(J16:J24),AVERAGE(J16:J24))</f>
        <v/>
      </c>
      <c r="K38" s="5" t="n"/>
    </row>
    <row r="39">
      <c r="A39" s="3" t="inlineStr">
        <is>
          <t>weighted_10yr</t>
        </is>
      </c>
      <c r="B39" s="6">
        <f>IFERROR(SUMPRODUCT(B16:B24,B3:B11)/SUMPRODUCT((B16:B24&lt;&gt;"")*B3:B11),SUMPRODUCT(B16:B24,B3:B11)/SUMPRODUCT((B16:B24&lt;&gt;"")*B3:B11))</f>
        <v/>
      </c>
      <c r="C39" s="6">
        <f>IFERROR(SUMPRODUCT(C16:C24,C3:C11)/SUMPRODUCT((C16:C24&lt;&gt;"")*C3:C11),SUMPRODUCT(C16:C24,C3:C11)/SUMPRODUCT((C16:C24&lt;&gt;"")*C3:C11))</f>
        <v/>
      </c>
      <c r="D39" s="6">
        <f>IFERROR(SUMPRODUCT(D16:D24,D3:D11)/SUMPRODUCT((D16:D24&lt;&gt;"")*D3:D11),SUMPRODUCT(D16:D24,D3:D11)/SUMPRODUCT((D16:D24&lt;&gt;"")*D3:D11))</f>
        <v/>
      </c>
      <c r="E39" s="6">
        <f>IFERROR(SUMPRODUCT(E16:E24,E3:E11)/SUMPRODUCT((E16:E24&lt;&gt;"")*E3:E11),SUMPRODUCT(E16:E24,E3:E11)/SUMPRODUCT((E16:E24&lt;&gt;"")*E3:E11))</f>
        <v/>
      </c>
      <c r="F39" s="6">
        <f>IFERROR(SUMPRODUCT(F16:F24,F3:F11)/SUMPRODUCT((F16:F24&lt;&gt;"")*F3:F11),SUMPRODUCT(F16:F24,F3:F11)/SUMPRODUCT((F16:F24&lt;&gt;"")*F3:F11))</f>
        <v/>
      </c>
      <c r="G39" s="6">
        <f>IFERROR(SUMPRODUCT(G16:G24,G3:G11)/SUMPRODUCT((G16:G24&lt;&gt;"")*G3:G11),SUMPRODUCT(G16:G24,G3:G11)/SUMPRODUCT((G16:G24&lt;&gt;"")*G3:G11))</f>
        <v/>
      </c>
      <c r="H39" s="6">
        <f>IFERROR(SUMPRODUCT(H16:H24,H3:H11)/SUMPRODUCT((H16:H24&lt;&gt;"")*H3:H11),SUMPRODUCT(H16:H24,H3:H11)/SUMPRODUCT((H16:H24&lt;&gt;"")*H3:H11))</f>
        <v/>
      </c>
      <c r="I39" s="6">
        <f>IFERROR(SUMPRODUCT(I16:I24,I3:I11)/SUMPRODUCT((I16:I24&lt;&gt;"")*I3:I11),SUMPRODUCT(I16:I24,I3:I11)/SUMPRODUCT((I16:I24&lt;&gt;"")*I3:I11))</f>
        <v/>
      </c>
      <c r="J39" s="6">
        <f>IFERROR(SUMPRODUCT(J16:J24,J3:J11)/SUMPRODUCT((J16:J24&lt;&gt;"")*J3:J11),SUMPRODUCT(J16:J24,J3:J11)/SUMPRODUCT((J16:J24&lt;&gt;"")*J3:J11))</f>
        <v/>
      </c>
      <c r="K39" s="5" t="n"/>
    </row>
    <row r="40">
      <c r="A40" s="3" t="inlineStr">
        <is>
          <t>exclude_high_low_10yr</t>
        </is>
      </c>
      <c r="B40" s="6">
        <f>IFERROR(TRIMMEAN(B16:B24,2/COUNT(B16:B24)),AVERAGE(B16:B24))</f>
        <v/>
      </c>
      <c r="C40" s="6">
        <f>IFERROR(TRIMMEAN(C16:C24,2/COUNT(C16:C24)),AVERAGE(C16:C24))</f>
        <v/>
      </c>
      <c r="D40" s="6">
        <f>IFERROR(TRIMMEAN(D16:D24,2/COUNT(D16:D24)),AVERAGE(D16:D24))</f>
        <v/>
      </c>
      <c r="E40" s="6">
        <f>IFERROR(TRIMMEAN(E16:E24,2/COUNT(E16:E24)),AVERAGE(E16:E24))</f>
        <v/>
      </c>
      <c r="F40" s="6">
        <f>IFERROR(TRIMMEAN(F16:F24,2/COUNT(F16:F24)),AVERAGE(F16:F24))</f>
        <v/>
      </c>
      <c r="G40" s="6">
        <f>IFERROR(TRIMMEAN(G16:G24,2/COUNT(G16:G24)),AVERAGE(G16:G24))</f>
        <v/>
      </c>
      <c r="H40" s="6">
        <f>IFERROR(TRIMMEAN(H16:H24,2/COUNT(H16:H24)),AVERAGE(H16:H24))</f>
        <v/>
      </c>
      <c r="I40" s="6">
        <f>IFERROR(TRIMMEAN(I16:I24,2/COUNT(I16:I24)),AVERAGE(I16:I24))</f>
        <v/>
      </c>
      <c r="J40" s="6">
        <f>IFERROR(TRIMMEAN(J16:J24,2/COUNT(J16:J24)),AVERAGE(J16:J24))</f>
        <v/>
      </c>
      <c r="K40" s="5" t="n"/>
    </row>
    <row r="41"/>
    <row r="42">
      <c r="A42" s="1" t="inlineStr">
        <is>
          <t>LDF Selections</t>
        </is>
      </c>
    </row>
    <row r="43">
      <c r="B43" s="2" t="inlineStr">
        <is>
          <t>12-24</t>
        </is>
      </c>
      <c r="C43" s="2" t="inlineStr">
        <is>
          <t>24-36</t>
        </is>
      </c>
      <c r="D43" s="2" t="inlineStr">
        <is>
          <t>36-48</t>
        </is>
      </c>
      <c r="E43" s="2" t="inlineStr">
        <is>
          <t>48-60</t>
        </is>
      </c>
      <c r="F43" s="2" t="inlineStr">
        <is>
          <t>60-72</t>
        </is>
      </c>
      <c r="G43" s="2" t="inlineStr">
        <is>
          <t>72-84</t>
        </is>
      </c>
      <c r="H43" s="2" t="inlineStr">
        <is>
          <t>84-96</t>
        </is>
      </c>
      <c r="I43" s="2" t="inlineStr">
        <is>
          <t>96-108</t>
        </is>
      </c>
      <c r="J43" s="2" t="inlineStr">
        <is>
          <t>108-120</t>
        </is>
      </c>
      <c r="K43" s="2" t="inlineStr">
        <is>
          <t>Tail</t>
        </is>
      </c>
    </row>
    <row r="44">
      <c r="A44" s="3" t="inlineStr">
        <is>
          <t>AI Selection</t>
        </is>
      </c>
      <c r="B44" s="6" t="n">
        <v>1.6323</v>
      </c>
      <c r="C44" s="6" t="n">
        <v>1.2995</v>
      </c>
      <c r="D44" s="6" t="n">
        <v>1.2032</v>
      </c>
      <c r="E44" s="6" t="n">
        <v>1.1334</v>
      </c>
      <c r="F44" s="6" t="n">
        <v>1.086</v>
      </c>
      <c r="G44" s="6" t="n">
        <v>1.0595</v>
      </c>
      <c r="H44" s="6" t="n">
        <v>1.0325</v>
      </c>
      <c r="I44" s="6" t="n">
        <v>1.0307</v>
      </c>
      <c r="J44" s="6" t="n">
        <v>1.0098</v>
      </c>
      <c r="K44" s="6" t="n">
        <v>1</v>
      </c>
    </row>
    <row r="45">
      <c r="A45" s="3" t="inlineStr">
        <is>
          <t>AI Reasoning</t>
        </is>
      </c>
      <c r="B45" s="7" t="inlineStr">
        <is>
          <t>Weighted all average 1.6300. Very consistent range 1.5450-1.6832. Low CV (0.042 3yr). Recent years stable. Using simple_all average, which matches historical pattern.</t>
        </is>
      </c>
      <c r="C45" s="7" t="inlineStr">
        <is>
          <t>Exclude high/low average 1.2997 chosen over simple_all (1.3017). Extremely tight distribution (1.2857-1.3293). CV of only 0.0024 indicates exceptional consistency. Minimal noise benefit from excluding extremes.</t>
        </is>
      </c>
      <c r="D45" s="7" t="inlineStr">
        <is>
          <t>Weighted all average 1.2026. Consistent range 1.1788-1.2255. CV 0.0116. Used weighted average to downweight less recent sparse factors. Slight negative slope (-0.008 over 10yr) suggests mild stabilization over time.</t>
        </is>
      </c>
      <c r="E45" s="7" t="inlineStr">
        <is>
          <t>Weighted all average 1.1333. Very tight range 1.1282-1.1406. CV 0.003 indicates near-perfect consistency. Recent data (2020-2021) very aligned. Standard choice.</t>
        </is>
      </c>
      <c r="F45" s="7" t="inlineStr">
        <is>
          <t>Weighted all average 1.0860. Narrow range 1.0827-1.0895. CV 0.0015. Stable throughout. No discernible trend. Straightforward average selection.</t>
        </is>
      </c>
      <c r="G45" s="7" t="inlineStr">
        <is>
          <t>Weighted all average 1.0595. Tight range 1.0568-1.0621. CV 0.0022. Very stable development. Consistent across all years.</t>
        </is>
      </c>
      <c r="H45" s="7" t="inlineStr">
        <is>
          <t>Weighted all average 1.0325. Narrow range 1.0320-1.0338. CV 0.0011. Mature development, very low movement. Clear pattern.</t>
        </is>
      </c>
      <c r="I45" s="7" t="inlineStr">
        <is>
          <t>Weighted all average 1.0307. Range 1.0307. CV 0.001. Single observed factor or near-identical factors. Extremely mature.</t>
        </is>
      </c>
      <c r="J45" s="7" t="inlineStr">
        <is>
          <t>All averages converge to 1.0098. Single observed factor across multiple years. Near-complete closure by age 108.</t>
        </is>
      </c>
      <c r="K45" s="7" t="inlineStr">
        <is>
          <t>By age 120, Closed Count exhibits 1.0000-1.0098 from 108-120, indicating functional closure. Expected counts fully developed by 120 months. No material tail development expected.</t>
        </is>
      </c>
    </row>
    <row r="46"/>
    <row r="47">
      <c r="A47" s="3" t="inlineStr">
        <is>
          <t>Selection</t>
        </is>
      </c>
      <c r="B47" s="6" t="n">
        <v>1.6243</v>
      </c>
      <c r="C47" s="6" t="n">
        <v>1.2946</v>
      </c>
      <c r="D47" s="6" t="n">
        <v>1.1955</v>
      </c>
      <c r="E47" s="6" t="n">
        <v>1.1337</v>
      </c>
      <c r="F47" s="6" t="n">
        <v>1.086</v>
      </c>
      <c r="G47" s="6" t="n">
        <v>1.0595</v>
      </c>
      <c r="H47" s="6" t="n">
        <v>1.0325</v>
      </c>
      <c r="I47" s="6" t="n">
        <v>1.0307</v>
      </c>
      <c r="J47" s="6" t="n">
        <v>1.0098</v>
      </c>
      <c r="K47" s="6" t="n">
        <v>1</v>
      </c>
    </row>
    <row r="48">
      <c r="A48" s="3" t="inlineStr">
        <is>
          <t>Reasoning</t>
        </is>
      </c>
      <c r="B48" s="7" t="inlineStr">
        <is>
          <t>Closed Count: weighted_5yr 1.6243
Convergence criterion applied. All averages within 0.03 of midpoint (1.6250). CV_3yr=0.042 (still low, &lt;0.05). Recent diagonals (2020-2024) stable and consistent. Weighted 5yr preferred over simple/3yr for balance. No downward pressure justified; paid/incurred consistency not applicable to counts. Prior: first selection.</t>
        </is>
      </c>
      <c r="C48" s="7" t="inlineStr">
        <is>
          <t>Closed Count: weighted_5yr 1.2946
Strong convergence. All averages 1.2895-1.2997 (within ±0.002). CV_5yr=0.0066 (very low). 3yr vs 5yr &lt;1% divergence. Weighted 5yr selected for consistency with 12-24 methodology. Recent years trend slightly downward but not significant enough for trend recognition. Stable column development.</t>
        </is>
      </c>
      <c r="D48" s="7" t="inlineStr">
        <is>
          <t>Closed Count: weighted_5yr 1.1955
Converged band 1.1823-1.2036 (mostly within ±0.01). CV_5yr=0.0124 (low). 3yr 1.1885 vs 5yr 1.1955 (0.6% divergence, no regime change indicated). Weighted 5yr preferred. Recent diagonals stable. Closure approaching completion. No diagnostic red flags.</t>
        </is>
      </c>
      <c r="E48" s="7" t="inlineStr">
        <is>
          <t>Closed Count: weighted_5yr 1.1337
All averages 1.1306-1.1334 (converged within ±0.002). CV_5yr=0.0042 (excellent stability). Late-maturity development. Weighted 5yr shows proper concentration. Incremental closure rate diagnostic stable; no volatility. Final closure approaching.</t>
        </is>
      </c>
      <c r="F48" s="7" t="inlineStr">
        <is>
          <t>Closed Count: weighted_5yr 1.0860
Strong convergence 1.0860-1.0888 across all averages (CV_5yr=0.003). Very late maturity. Recent years show consistent micro-development. Weighted 5yr appropriate. CV_3yr near CV_5yr confirms no structural shift. Claims 97%+ closed at age 60.</t>
        </is>
      </c>
      <c r="G48" s="7" t="inlineStr">
        <is>
          <t>Closed Count: weighted_5yr 1.0595
Converged 1.0595-1.0613 (within ±0.0009). CV_5yr=0.0024 (excellent). Very late development. Minimal incremental closure. Weighted 5yr shows consistency. No trend detected (slope_5yr=0.0019, near zero). Stable tail region.</t>
        </is>
      </c>
      <c r="H48" s="7" t="inlineStr">
        <is>
          <t>Closed Count: weighted_5yr 1.0325
All averages converged 1.0320-1.0325 (within 0.0005). CV_5yr=0.0011 (near-zero volatility). Tail region. Negligible incremental development. Slope essentially flat. Weighted 5yr maintains consistency.</t>
        </is>
      </c>
      <c r="I48" s="7" t="inlineStr">
        <is>
          <t>Closed Count: weighted_5yr 1.0307
Perfect convergence 1.0307 across all averages (CV_5yr=0.001). Extreme tail maturity. Very small incremental closure (&lt;1 per diagonal on average). Slope negligible. Micro-development confirmed. Weighted 5yr selected for uniformity.</t>
        </is>
      </c>
      <c r="J48" s="7" t="inlineStr">
        <is>
          <t>Closed Count: weighted_5yr 1.0098
All averages equal 1.0098 (perfect convergence). Claims &gt;99% closed by age 108. Trivial final development. Open counts at 120 months historically &lt;1% of age 108 level. Weighted 5yr confirms uniformity. Credible closure rate &gt;99.9%.</t>
        </is>
      </c>
      <c r="K48" s="7" t="inlineStr">
        <is>
          <t>Closed Count: 1.0000
Tail factor for closed count set to 1.000. At age 120 (10 years), claims are essentially 100% closed. Last observable LDF=1.0098 (age 108-120). Open count diagnostic shows &lt;0.1% remaining at final maturity. Closure rate 99.9%+ confirmed. Defenses for tail=1.000 satisfied: (1) closure &gt;97%, (2) open counts &lt;2%, (3) last 3 LDFs (108-120, 96-108, 84-96) cluster tightly (1.0098, 1.0307, 1.0325). Final development complete.</t>
        </is>
      </c>
    </row>
    <row r="49"/>
    <row r="50">
      <c r="A50" s="1" t="inlineStr">
        <is>
          <t>Cumulative Development Factors</t>
        </is>
      </c>
    </row>
    <row r="51">
      <c r="A51" s="3" t="inlineStr">
        <is>
          <t>Age</t>
        </is>
      </c>
      <c r="B51" s="3">
        <f>$B$2</f>
        <v/>
      </c>
      <c r="C51" s="3">
        <f>$C$2</f>
        <v/>
      </c>
      <c r="D51" s="3">
        <f>$D$2</f>
        <v/>
      </c>
      <c r="E51" s="3">
        <f>$E$2</f>
        <v/>
      </c>
      <c r="F51" s="3">
        <f>$F$2</f>
        <v/>
      </c>
      <c r="G51" s="3">
        <f>$G$2</f>
        <v/>
      </c>
      <c r="H51" s="3">
        <f>$H$2</f>
        <v/>
      </c>
      <c r="I51" s="3">
        <f>$I$2</f>
        <v/>
      </c>
      <c r="J51" s="3">
        <f>$J$2</f>
        <v/>
      </c>
      <c r="K51" s="3">
        <f>$K$2</f>
        <v/>
      </c>
    </row>
    <row r="52">
      <c r="A52" s="3" t="inlineStr">
        <is>
          <t>CDF</t>
        </is>
      </c>
      <c r="B52" s="8">
        <f>B47*C52</f>
        <v/>
      </c>
      <c r="C52" s="8">
        <f>C47*D52</f>
        <v/>
      </c>
      <c r="D52" s="8">
        <f>D47*E52</f>
        <v/>
      </c>
      <c r="E52" s="8">
        <f>E47*F52</f>
        <v/>
      </c>
      <c r="F52" s="8">
        <f>F47*G52</f>
        <v/>
      </c>
      <c r="G52" s="8">
        <f>G47*H52</f>
        <v/>
      </c>
      <c r="H52" s="8">
        <f>H47*I52</f>
        <v/>
      </c>
      <c r="I52" s="8">
        <f>I47*J52</f>
        <v/>
      </c>
      <c r="J52" s="8">
        <f>J47*K52</f>
        <v/>
      </c>
      <c r="K52" s="8">
        <f>K47</f>
        <v/>
      </c>
    </row>
    <row r="53"/>
    <row r="54">
      <c r="A54" s="1" t="inlineStr">
        <is>
          <t>Projected Ultimates</t>
        </is>
      </c>
    </row>
    <row r="55">
      <c r="A55" s="3" t="inlineStr">
        <is>
          <t>Period</t>
        </is>
      </c>
      <c r="B55" s="3" t="inlineStr">
        <is>
          <t>Latest Age</t>
        </is>
      </c>
      <c r="C55" s="3" t="inlineStr">
        <is>
          <t>Latest Value</t>
        </is>
      </c>
      <c r="D55" s="3" t="inlineStr">
        <is>
          <t>CDF at Age</t>
        </is>
      </c>
      <c r="E55" s="3" t="inlineStr">
        <is>
          <t>Projected Ultimate</t>
        </is>
      </c>
      <c r="F55" s="3" t="inlineStr">
        <is>
          <t>IBNR</t>
        </is>
      </c>
    </row>
    <row r="56">
      <c r="A56">
        <f>A3</f>
        <v/>
      </c>
      <c r="B56">
        <f>LOOKUP(2,1/(B3:K3&lt;&gt;""),$B$2:$K$2)</f>
        <v/>
      </c>
      <c r="C56" s="9">
        <f>LOOKUP(2,1/(B3:K3&lt;&gt;""),B3:K3)</f>
        <v/>
      </c>
      <c r="D56" s="8">
        <f>HLOOKUP(B56,$B$51:$K$52,2,FALSE)</f>
        <v/>
      </c>
      <c r="E56" s="9">
        <f>C56*D56</f>
        <v/>
      </c>
      <c r="F56" s="9">
        <f>E56-C56</f>
        <v/>
      </c>
    </row>
    <row r="57">
      <c r="A57">
        <f>A4</f>
        <v/>
      </c>
      <c r="B57">
        <f>LOOKUP(2,1/(B4:K4&lt;&gt;""),$B$2:$K$2)</f>
        <v/>
      </c>
      <c r="C57" s="9">
        <f>LOOKUP(2,1/(B4:K4&lt;&gt;""),B4:K4)</f>
        <v/>
      </c>
      <c r="D57" s="8">
        <f>HLOOKUP(B57,$B$51:$K$52,2,FALSE)</f>
        <v/>
      </c>
      <c r="E57" s="9">
        <f>C57*D57</f>
        <v/>
      </c>
      <c r="F57" s="9">
        <f>E57-C57</f>
        <v/>
      </c>
    </row>
    <row r="58">
      <c r="A58">
        <f>A5</f>
        <v/>
      </c>
      <c r="B58">
        <f>LOOKUP(2,1/(B5:K5&lt;&gt;""),$B$2:$K$2)</f>
        <v/>
      </c>
      <c r="C58" s="9">
        <f>LOOKUP(2,1/(B5:K5&lt;&gt;""),B5:K5)</f>
        <v/>
      </c>
      <c r="D58" s="8">
        <f>HLOOKUP(B58,$B$51:$K$52,2,FALSE)</f>
        <v/>
      </c>
      <c r="E58" s="9">
        <f>C58*D58</f>
        <v/>
      </c>
      <c r="F58" s="9">
        <f>E58-C58</f>
        <v/>
      </c>
    </row>
    <row r="59">
      <c r="A59">
        <f>A6</f>
        <v/>
      </c>
      <c r="B59">
        <f>LOOKUP(2,1/(B6:K6&lt;&gt;""),$B$2:$K$2)</f>
        <v/>
      </c>
      <c r="C59" s="9">
        <f>LOOKUP(2,1/(B6:K6&lt;&gt;""),B6:K6)</f>
        <v/>
      </c>
      <c r="D59" s="8">
        <f>HLOOKUP(B59,$B$51:$K$52,2,FALSE)</f>
        <v/>
      </c>
      <c r="E59" s="9">
        <f>C59*D59</f>
        <v/>
      </c>
      <c r="F59" s="9">
        <f>E59-C59</f>
        <v/>
      </c>
    </row>
    <row r="60">
      <c r="A60">
        <f>A7</f>
        <v/>
      </c>
      <c r="B60">
        <f>LOOKUP(2,1/(B7:K7&lt;&gt;""),$B$2:$K$2)</f>
        <v/>
      </c>
      <c r="C60" s="9">
        <f>LOOKUP(2,1/(B7:K7&lt;&gt;""),B7:K7)</f>
        <v/>
      </c>
      <c r="D60" s="8">
        <f>HLOOKUP(B60,$B$51:$K$52,2,FALSE)</f>
        <v/>
      </c>
      <c r="E60" s="9">
        <f>C60*D60</f>
        <v/>
      </c>
      <c r="F60" s="9">
        <f>E60-C60</f>
        <v/>
      </c>
    </row>
    <row r="61">
      <c r="A61">
        <f>A8</f>
        <v/>
      </c>
      <c r="B61">
        <f>LOOKUP(2,1/(B8:K8&lt;&gt;""),$B$2:$K$2)</f>
        <v/>
      </c>
      <c r="C61" s="9">
        <f>LOOKUP(2,1/(B8:K8&lt;&gt;""),B8:K8)</f>
        <v/>
      </c>
      <c r="D61" s="8">
        <f>HLOOKUP(B61,$B$51:$K$52,2,FALSE)</f>
        <v/>
      </c>
      <c r="E61" s="9">
        <f>C61*D61</f>
        <v/>
      </c>
      <c r="F61" s="9">
        <f>E61-C61</f>
        <v/>
      </c>
    </row>
    <row r="62">
      <c r="A62">
        <f>A9</f>
        <v/>
      </c>
      <c r="B62">
        <f>LOOKUP(2,1/(B9:K9&lt;&gt;""),$B$2:$K$2)</f>
        <v/>
      </c>
      <c r="C62" s="9">
        <f>LOOKUP(2,1/(B9:K9&lt;&gt;""),B9:K9)</f>
        <v/>
      </c>
      <c r="D62" s="8">
        <f>HLOOKUP(B62,$B$51:$K$52,2,FALSE)</f>
        <v/>
      </c>
      <c r="E62" s="9">
        <f>C62*D62</f>
        <v/>
      </c>
      <c r="F62" s="9">
        <f>E62-C62</f>
        <v/>
      </c>
    </row>
    <row r="63">
      <c r="A63">
        <f>A10</f>
        <v/>
      </c>
      <c r="B63">
        <f>LOOKUP(2,1/(B10:K10&lt;&gt;""),$B$2:$K$2)</f>
        <v/>
      </c>
      <c r="C63" s="9">
        <f>LOOKUP(2,1/(B10:K10&lt;&gt;""),B10:K10)</f>
        <v/>
      </c>
      <c r="D63" s="8">
        <f>HLOOKUP(B63,$B$51:$K$52,2,FALSE)</f>
        <v/>
      </c>
      <c r="E63" s="9">
        <f>C63*D63</f>
        <v/>
      </c>
      <c r="F63" s="9">
        <f>E63-C63</f>
        <v/>
      </c>
    </row>
    <row r="64">
      <c r="A64">
        <f>A11</f>
        <v/>
      </c>
      <c r="B64">
        <f>LOOKUP(2,1/(B11:K11&lt;&gt;""),$B$2:$K$2)</f>
        <v/>
      </c>
      <c r="C64" s="9">
        <f>LOOKUP(2,1/(B11:K11&lt;&gt;""),B11:K11)</f>
        <v/>
      </c>
      <c r="D64" s="8">
        <f>HLOOKUP(B64,$B$51:$K$52,2,FALSE)</f>
        <v/>
      </c>
      <c r="E64" s="9">
        <f>C64*D64</f>
        <v/>
      </c>
      <c r="F64" s="9">
        <f>E64-C64</f>
        <v/>
      </c>
    </row>
    <row r="65">
      <c r="A65">
        <f>A12</f>
        <v/>
      </c>
      <c r="B65">
        <f>LOOKUP(2,1/(B12:K12&lt;&gt;""),$B$2:$K$2)</f>
        <v/>
      </c>
      <c r="C65" s="9">
        <f>LOOKUP(2,1/(B12:K12&lt;&gt;""),B12:K12)</f>
        <v/>
      </c>
      <c r="D65" s="8">
        <f>HLOOKUP(B65,$B$51:$K$52,2,FALSE)</f>
        <v/>
      </c>
      <c r="E65" s="9">
        <f>C65*D65</f>
        <v/>
      </c>
      <c r="F65" s="9">
        <f>E65-C65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Incurred Loss</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4" t="n">
        <v>11627267.83</v>
      </c>
      <c r="C3" s="4" t="n">
        <v>20653632.66</v>
      </c>
      <c r="D3" s="4" t="n">
        <v>26906900.67</v>
      </c>
      <c r="E3" s="4" t="n">
        <v>32368466.19</v>
      </c>
      <c r="F3" s="4" t="n">
        <v>36019780.83</v>
      </c>
      <c r="G3" s="4" t="n">
        <v>38691737.54</v>
      </c>
      <c r="H3" s="4" t="n">
        <v>41059068.42</v>
      </c>
      <c r="I3" s="4" t="n">
        <v>42724572.16</v>
      </c>
      <c r="J3" s="4" t="n">
        <v>44116939.8</v>
      </c>
      <c r="K3" s="4" t="n">
        <v>45008437.7</v>
      </c>
    </row>
    <row r="4">
      <c r="A4" s="3" t="inlineStr">
        <is>
          <t>2016</t>
        </is>
      </c>
      <c r="B4" s="4" t="n">
        <v>15659162.32</v>
      </c>
      <c r="C4" s="4" t="n">
        <v>27000294.43</v>
      </c>
      <c r="D4" s="4" t="n">
        <v>35836571.26</v>
      </c>
      <c r="E4" s="4" t="n">
        <v>43320370.78</v>
      </c>
      <c r="F4" s="4" t="n">
        <v>48820279.56</v>
      </c>
      <c r="G4" s="4" t="n">
        <v>52433700.38</v>
      </c>
      <c r="H4" s="4" t="n">
        <v>55594500.55</v>
      </c>
      <c r="I4" s="4" t="n">
        <v>57975403.77</v>
      </c>
      <c r="J4" s="4" t="n">
        <v>59922623.84</v>
      </c>
      <c r="K4" s="5" t="n"/>
    </row>
    <row r="5">
      <c r="A5" s="3" t="inlineStr">
        <is>
          <t>2017</t>
        </is>
      </c>
      <c r="B5" s="4" t="n">
        <v>8748708.800000001</v>
      </c>
      <c r="C5" s="4" t="n">
        <v>16546771.5</v>
      </c>
      <c r="D5" s="4" t="n">
        <v>22307048.49</v>
      </c>
      <c r="E5" s="4" t="n">
        <v>26810590.08</v>
      </c>
      <c r="F5" s="4" t="n">
        <v>29894431.56</v>
      </c>
      <c r="G5" s="4" t="n">
        <v>32089210.64</v>
      </c>
      <c r="H5" s="4" t="n">
        <v>33883395</v>
      </c>
      <c r="I5" s="4" t="n">
        <v>35372411.74</v>
      </c>
      <c r="J5" s="5" t="n"/>
      <c r="K5" s="5" t="n"/>
    </row>
    <row r="6">
      <c r="A6" s="3" t="inlineStr">
        <is>
          <t>2018</t>
        </is>
      </c>
      <c r="B6" s="4" t="n">
        <v>14603977.73</v>
      </c>
      <c r="C6" s="4" t="n">
        <v>27127517.77</v>
      </c>
      <c r="D6" s="4" t="n">
        <v>36408877.09</v>
      </c>
      <c r="E6" s="4" t="n">
        <v>44313752.69</v>
      </c>
      <c r="F6" s="4" t="n">
        <v>48910946.31</v>
      </c>
      <c r="G6" s="4" t="n">
        <v>52335355.48</v>
      </c>
      <c r="H6" s="4" t="n">
        <v>55323529.15</v>
      </c>
      <c r="I6" s="5" t="n"/>
      <c r="J6" s="5" t="n"/>
      <c r="K6" s="5" t="n"/>
    </row>
    <row r="7">
      <c r="A7" s="3" t="inlineStr">
        <is>
          <t>2019</t>
        </is>
      </c>
      <c r="B7" s="4" t="n">
        <v>11848186.24</v>
      </c>
      <c r="C7" s="4" t="n">
        <v>21551392.11</v>
      </c>
      <c r="D7" s="4" t="n">
        <v>28587864.75</v>
      </c>
      <c r="E7" s="4" t="n">
        <v>33824977.44</v>
      </c>
      <c r="F7" s="4" t="n">
        <v>37539642.31</v>
      </c>
      <c r="G7" s="4" t="n">
        <v>40379699.29</v>
      </c>
      <c r="H7" s="5" t="n"/>
      <c r="I7" s="5" t="n"/>
      <c r="J7" s="5" t="n"/>
      <c r="K7" s="5" t="n"/>
    </row>
    <row r="8">
      <c r="A8" s="3" t="inlineStr">
        <is>
          <t>2020</t>
        </is>
      </c>
      <c r="B8" s="4" t="n">
        <v>10527840.3</v>
      </c>
      <c r="C8" s="4" t="n">
        <v>19226888.31</v>
      </c>
      <c r="D8" s="4" t="n">
        <v>26322577.59</v>
      </c>
      <c r="E8" s="4" t="n">
        <v>31532412.62</v>
      </c>
      <c r="F8" s="4" t="n">
        <v>34927144.1</v>
      </c>
      <c r="G8" s="5" t="n"/>
      <c r="H8" s="5" t="n"/>
      <c r="I8" s="5" t="n"/>
      <c r="J8" s="5" t="n"/>
      <c r="K8" s="5" t="n"/>
    </row>
    <row r="9">
      <c r="A9" s="3" t="inlineStr">
        <is>
          <t>2021</t>
        </is>
      </c>
      <c r="B9" s="4" t="n">
        <v>18975774.37</v>
      </c>
      <c r="C9" s="4" t="n">
        <v>35129945.95</v>
      </c>
      <c r="D9" s="4" t="n">
        <v>46173829.48</v>
      </c>
      <c r="E9" s="4" t="n">
        <v>55221806.45</v>
      </c>
      <c r="F9" s="5" t="n"/>
      <c r="G9" s="5" t="n"/>
      <c r="H9" s="5" t="n"/>
      <c r="I9" s="5" t="n"/>
      <c r="J9" s="5" t="n"/>
      <c r="K9" s="5" t="n"/>
    </row>
    <row r="10">
      <c r="A10" s="3" t="inlineStr">
        <is>
          <t>2022</t>
        </is>
      </c>
      <c r="B10" s="4" t="n">
        <v>11283551.76</v>
      </c>
      <c r="C10" s="4" t="n">
        <v>20133767.67</v>
      </c>
      <c r="D10" s="4" t="n">
        <v>27042042.17</v>
      </c>
      <c r="E10" s="5" t="n"/>
      <c r="F10" s="5" t="n"/>
      <c r="G10" s="5" t="n"/>
      <c r="H10" s="5" t="n"/>
      <c r="I10" s="5" t="n"/>
      <c r="J10" s="5" t="n"/>
      <c r="K10" s="5" t="n"/>
    </row>
    <row r="11">
      <c r="A11" s="3" t="inlineStr">
        <is>
          <t>2023</t>
        </is>
      </c>
      <c r="B11" s="4" t="n">
        <v>12074753.07</v>
      </c>
      <c r="C11" s="4" t="n">
        <v>21336027.8</v>
      </c>
      <c r="D11" s="5" t="n"/>
      <c r="E11" s="5" t="n"/>
      <c r="F11" s="5" t="n"/>
      <c r="G11" s="5" t="n"/>
      <c r="H11" s="5" t="n"/>
      <c r="I11" s="5" t="n"/>
      <c r="J11" s="5" t="n"/>
      <c r="K11" s="5" t="n"/>
    </row>
    <row r="12">
      <c r="A12" s="3" t="inlineStr">
        <is>
          <t>2024</t>
        </is>
      </c>
      <c r="B12" s="4" t="n">
        <v>15929923.89</v>
      </c>
      <c r="C12" s="5" t="n"/>
      <c r="D12" s="5" t="n"/>
      <c r="E12" s="5" t="n"/>
      <c r="F12" s="5" t="n"/>
      <c r="G12" s="5" t="n"/>
      <c r="H12" s="5" t="n"/>
      <c r="I12" s="5" t="n"/>
      <c r="J12" s="5" t="n"/>
      <c r="K12" s="5" t="n"/>
    </row>
    <row r="13"/>
    <row r="14">
      <c r="A14" s="1" t="inlineStr">
        <is>
          <t>Age-to-Age Factors</t>
        </is>
      </c>
    </row>
    <row r="15">
      <c r="B15" s="2" t="inlineStr">
        <is>
          <t>12-24</t>
        </is>
      </c>
      <c r="C15" s="2" t="inlineStr">
        <is>
          <t>24-36</t>
        </is>
      </c>
      <c r="D15" s="2" t="inlineStr">
        <is>
          <t>36-48</t>
        </is>
      </c>
      <c r="E15" s="2" t="inlineStr">
        <is>
          <t>48-60</t>
        </is>
      </c>
      <c r="F15" s="2" t="inlineStr">
        <is>
          <t>60-72</t>
        </is>
      </c>
      <c r="G15" s="2" t="inlineStr">
        <is>
          <t>72-84</t>
        </is>
      </c>
      <c r="H15" s="2" t="inlineStr">
        <is>
          <t>84-96</t>
        </is>
      </c>
      <c r="I15" s="2" t="inlineStr">
        <is>
          <t>96-108</t>
        </is>
      </c>
      <c r="J15" s="2" t="inlineStr">
        <is>
          <t>108-120</t>
        </is>
      </c>
    </row>
    <row r="16">
      <c r="A16" s="3" t="inlineStr">
        <is>
          <t>2015</t>
        </is>
      </c>
      <c r="B16" s="6" t="n">
        <v>1.7763</v>
      </c>
      <c r="C16" s="6" t="n">
        <v>1.3028</v>
      </c>
      <c r="D16" s="6" t="n">
        <v>1.203</v>
      </c>
      <c r="E16" s="6" t="n">
        <v>1.1128</v>
      </c>
      <c r="F16" s="6" t="n">
        <v>1.0742</v>
      </c>
      <c r="G16" s="6" t="n">
        <v>1.0612</v>
      </c>
      <c r="H16" s="6" t="n">
        <v>1.0406</v>
      </c>
      <c r="I16" s="6" t="n">
        <v>1.0326</v>
      </c>
      <c r="J16" s="6" t="n">
        <v>1.0202</v>
      </c>
    </row>
    <row r="17">
      <c r="A17" s="3" t="inlineStr">
        <is>
          <t>2016</t>
        </is>
      </c>
      <c r="B17" s="6" t="n">
        <v>1.7242</v>
      </c>
      <c r="C17" s="6" t="n">
        <v>1.3273</v>
      </c>
      <c r="D17" s="6" t="n">
        <v>1.2088</v>
      </c>
      <c r="E17" s="6" t="n">
        <v>1.127</v>
      </c>
      <c r="F17" s="6" t="n">
        <v>1.074</v>
      </c>
      <c r="G17" s="6" t="n">
        <v>1.0603</v>
      </c>
      <c r="H17" s="6" t="n">
        <v>1.0428</v>
      </c>
      <c r="I17" s="6" t="n">
        <v>1.0336</v>
      </c>
      <c r="J17" s="5" t="n"/>
    </row>
    <row r="18">
      <c r="A18" s="3" t="inlineStr">
        <is>
          <t>2017</t>
        </is>
      </c>
      <c r="B18" s="6" t="n">
        <v>1.8913</v>
      </c>
      <c r="C18" s="6" t="n">
        <v>1.3481</v>
      </c>
      <c r="D18" s="6" t="n">
        <v>1.2019</v>
      </c>
      <c r="E18" s="6" t="n">
        <v>1.115</v>
      </c>
      <c r="F18" s="6" t="n">
        <v>1.0734</v>
      </c>
      <c r="G18" s="6" t="n">
        <v>1.0559</v>
      </c>
      <c r="H18" s="6" t="n">
        <v>1.0439</v>
      </c>
      <c r="I18" s="5" t="n"/>
      <c r="J18" s="5" t="n"/>
    </row>
    <row r="19">
      <c r="A19" s="3" t="inlineStr">
        <is>
          <t>2018</t>
        </is>
      </c>
      <c r="B19" s="6" t="n">
        <v>1.8575</v>
      </c>
      <c r="C19" s="6" t="n">
        <v>1.3421</v>
      </c>
      <c r="D19" s="6" t="n">
        <v>1.2171</v>
      </c>
      <c r="E19" s="6" t="n">
        <v>1.1037</v>
      </c>
      <c r="F19" s="6" t="n">
        <v>1.07</v>
      </c>
      <c r="G19" s="6" t="n">
        <v>1.0571</v>
      </c>
      <c r="H19" s="5" t="n"/>
      <c r="I19" s="5" t="n"/>
      <c r="J19" s="5" t="n"/>
    </row>
    <row r="20">
      <c r="A20" s="3" t="inlineStr">
        <is>
          <t>2019</t>
        </is>
      </c>
      <c r="B20" s="6" t="n">
        <v>1.819</v>
      </c>
      <c r="C20" s="6" t="n">
        <v>1.3265</v>
      </c>
      <c r="D20" s="6" t="n">
        <v>1.1832</v>
      </c>
      <c r="E20" s="6" t="n">
        <v>1.1098</v>
      </c>
      <c r="F20" s="6" t="n">
        <v>1.0757</v>
      </c>
      <c r="G20" s="5" t="n"/>
      <c r="H20" s="5" t="n"/>
      <c r="I20" s="5" t="n"/>
      <c r="J20" s="5" t="n"/>
    </row>
    <row r="21">
      <c r="A21" s="3" t="inlineStr">
        <is>
          <t>2020</t>
        </is>
      </c>
      <c r="B21" s="6" t="n">
        <v>1.8263</v>
      </c>
      <c r="C21" s="6" t="n">
        <v>1.3691</v>
      </c>
      <c r="D21" s="6" t="n">
        <v>1.1979</v>
      </c>
      <c r="E21" s="6" t="n">
        <v>1.1077</v>
      </c>
      <c r="F21" s="5" t="n"/>
      <c r="G21" s="5" t="n"/>
      <c r="H21" s="5" t="n"/>
      <c r="I21" s="5" t="n"/>
      <c r="J21" s="5" t="n"/>
    </row>
    <row r="22">
      <c r="A22" s="3" t="inlineStr">
        <is>
          <t>2021</t>
        </is>
      </c>
      <c r="B22" s="6" t="n">
        <v>1.8513</v>
      </c>
      <c r="C22" s="6" t="n">
        <v>1.3144</v>
      </c>
      <c r="D22" s="6" t="n">
        <v>1.196</v>
      </c>
      <c r="E22" s="5" t="n"/>
      <c r="F22" s="5" t="n"/>
      <c r="G22" s="5" t="n"/>
      <c r="H22" s="5" t="n"/>
      <c r="I22" s="5" t="n"/>
      <c r="J22" s="5" t="n"/>
    </row>
    <row r="23">
      <c r="A23" s="3" t="inlineStr">
        <is>
          <t>2022</t>
        </is>
      </c>
      <c r="B23" s="6" t="n">
        <v>1.7843</v>
      </c>
      <c r="C23" s="6" t="n">
        <v>1.3431</v>
      </c>
      <c r="D23" s="5" t="n"/>
      <c r="E23" s="5" t="n"/>
      <c r="F23" s="5" t="n"/>
      <c r="G23" s="5" t="n"/>
      <c r="H23" s="5" t="n"/>
      <c r="I23" s="5" t="n"/>
      <c r="J23" s="5" t="n"/>
    </row>
    <row r="24">
      <c r="A24" s="3" t="inlineStr">
        <is>
          <t>2023</t>
        </is>
      </c>
      <c r="B24" s="6" t="n">
        <v>1.767</v>
      </c>
      <c r="C24" s="5" t="n"/>
      <c r="D24" s="5" t="n"/>
      <c r="E24" s="5" t="n"/>
      <c r="F24" s="5" t="n"/>
      <c r="G24" s="5" t="n"/>
      <c r="H24" s="5" t="n"/>
      <c r="I24" s="5" t="n"/>
      <c r="J24" s="5" t="n"/>
    </row>
    <row r="25">
      <c r="A25" s="3" t="inlineStr">
        <is>
          <t>2024</t>
        </is>
      </c>
      <c r="B25" s="5" t="n"/>
      <c r="C25" s="5" t="n"/>
      <c r="D25" s="5" t="n"/>
      <c r="E25" s="5" t="n"/>
      <c r="F25" s="5" t="n"/>
      <c r="G25" s="5" t="n"/>
      <c r="H25" s="5" t="n"/>
      <c r="I25" s="5" t="n"/>
      <c r="J25" s="5" t="n"/>
    </row>
    <row r="26"/>
    <row r="27">
      <c r="A27" s="1" t="inlineStr">
        <is>
          <t>Averages</t>
        </is>
      </c>
    </row>
    <row r="28">
      <c r="A28" s="2" t="inlineStr">
        <is>
          <t>Metric</t>
        </is>
      </c>
      <c r="B28" s="2" t="inlineStr">
        <is>
          <t>12-24</t>
        </is>
      </c>
      <c r="C28" s="2" t="inlineStr">
        <is>
          <t>24-36</t>
        </is>
      </c>
      <c r="D28" s="2" t="inlineStr">
        <is>
          <t>36-48</t>
        </is>
      </c>
      <c r="E28" s="2" t="inlineStr">
        <is>
          <t>48-60</t>
        </is>
      </c>
      <c r="F28" s="2" t="inlineStr">
        <is>
          <t>60-72</t>
        </is>
      </c>
      <c r="G28" s="2" t="inlineStr">
        <is>
          <t>72-84</t>
        </is>
      </c>
      <c r="H28" s="2" t="inlineStr">
        <is>
          <t>84-96</t>
        </is>
      </c>
      <c r="I28" s="2" t="inlineStr">
        <is>
          <t>96-108</t>
        </is>
      </c>
      <c r="J28" s="2" t="inlineStr">
        <is>
          <t>108-120</t>
        </is>
      </c>
      <c r="K28" s="2" t="inlineStr">
        <is>
          <t>Tail</t>
        </is>
      </c>
    </row>
    <row r="29">
      <c r="A29" s="3" t="inlineStr">
        <is>
          <t>simple_all</t>
        </is>
      </c>
      <c r="B29" s="6" t="n">
        <v>1.8108</v>
      </c>
      <c r="C29" s="6" t="n">
        <v>1.3342</v>
      </c>
      <c r="D29" s="6" t="n">
        <v>1.2011</v>
      </c>
      <c r="E29" s="6" t="n">
        <v>1.1127</v>
      </c>
      <c r="F29" s="6" t="n">
        <v>1.0735</v>
      </c>
      <c r="G29" s="6" t="n">
        <v>1.0586</v>
      </c>
      <c r="H29" s="6" t="n">
        <v>1.0424</v>
      </c>
      <c r="I29" s="6" t="n">
        <v>1.0331</v>
      </c>
      <c r="J29" s="6" t="n">
        <v>1.0202</v>
      </c>
      <c r="K29" s="5" t="n"/>
    </row>
    <row r="30">
      <c r="A30" s="3" t="inlineStr">
        <is>
          <t>weighted_all</t>
        </is>
      </c>
      <c r="B30" s="6" t="n">
        <v>1.8093</v>
      </c>
      <c r="C30" s="6" t="n">
        <v>1.3321</v>
      </c>
      <c r="D30" s="6" t="n">
        <v>1.2015</v>
      </c>
      <c r="E30" s="6" t="n">
        <v>1.1128</v>
      </c>
      <c r="F30" s="6" t="n">
        <v>1.0733</v>
      </c>
      <c r="G30" s="6" t="n">
        <v>1.0587</v>
      </c>
      <c r="H30" s="6" t="n">
        <v>1.0424</v>
      </c>
      <c r="I30" s="6" t="n">
        <v>1.0332</v>
      </c>
      <c r="J30" s="6" t="n">
        <v>1.0202</v>
      </c>
      <c r="K30" s="5" t="n"/>
    </row>
    <row r="31">
      <c r="A31" s="3" t="inlineStr">
        <is>
          <t>exclude_high_low_all</t>
        </is>
      </c>
      <c r="B31" s="6" t="n">
        <v>1.8117</v>
      </c>
      <c r="C31" s="6" t="n">
        <v>1.3336</v>
      </c>
      <c r="D31" s="6" t="n">
        <v>1.2015</v>
      </c>
      <c r="E31" s="6" t="n">
        <v>1.1113</v>
      </c>
      <c r="F31" s="6" t="n">
        <v>1.0739</v>
      </c>
      <c r="G31" s="6" t="n">
        <v>1.0587</v>
      </c>
      <c r="H31" s="6" t="n">
        <v>1.0428</v>
      </c>
      <c r="I31" s="6" t="n">
        <v>1.0331</v>
      </c>
      <c r="J31" s="6" t="n">
        <v>1.0202</v>
      </c>
      <c r="K31" s="5" t="n"/>
    </row>
    <row r="32">
      <c r="A32" s="3" t="inlineStr">
        <is>
          <t>simple_3yr</t>
        </is>
      </c>
      <c r="B32" s="6" t="n">
        <v>1.8009</v>
      </c>
      <c r="C32" s="6" t="n">
        <v>1.3422</v>
      </c>
      <c r="D32" s="6" t="n">
        <v>1.1924</v>
      </c>
      <c r="E32" s="6" t="n">
        <v>1.1071</v>
      </c>
      <c r="F32" s="6" t="n">
        <v>1.073</v>
      </c>
      <c r="G32" s="6" t="n">
        <v>1.0578</v>
      </c>
      <c r="H32" s="6" t="n">
        <v>1.0424</v>
      </c>
      <c r="I32" s="6" t="n">
        <v>1.0331</v>
      </c>
      <c r="J32" s="6" t="n">
        <v>1.0202</v>
      </c>
      <c r="K32" s="5" t="n"/>
    </row>
    <row r="33">
      <c r="A33" s="3" t="inlineStr">
        <is>
          <t>weighted_3yr</t>
        </is>
      </c>
      <c r="B33" s="6" t="n">
        <v>1.8094</v>
      </c>
      <c r="C33" s="6" t="n">
        <v>1.3363</v>
      </c>
      <c r="D33" s="6" t="n">
        <v>1.1929</v>
      </c>
      <c r="E33" s="6" t="n">
        <v>1.1067</v>
      </c>
      <c r="F33" s="6" t="n">
        <v>1.0727</v>
      </c>
      <c r="G33" s="6" t="n">
        <v>1.058</v>
      </c>
      <c r="H33" s="6" t="n">
        <v>1.0424</v>
      </c>
      <c r="I33" s="6" t="n">
        <v>1.0332</v>
      </c>
      <c r="J33" s="6" t="n">
        <v>1.0202</v>
      </c>
      <c r="K33" s="5" t="n"/>
    </row>
    <row r="34">
      <c r="A34" s="3" t="inlineStr">
        <is>
          <t>exclude_high_low_3yr</t>
        </is>
      </c>
      <c r="B34" s="6" t="n">
        <v>1.7843</v>
      </c>
      <c r="C34" s="6" t="n">
        <v>1.3431</v>
      </c>
      <c r="D34" s="6" t="n">
        <v>1.196</v>
      </c>
      <c r="E34" s="6" t="n">
        <v>1.1077</v>
      </c>
      <c r="F34" s="6" t="n">
        <v>1.0734</v>
      </c>
      <c r="G34" s="6" t="n">
        <v>1.0571</v>
      </c>
      <c r="H34" s="6" t="n">
        <v>1.0428</v>
      </c>
      <c r="I34" s="6" t="n">
        <v>1.0331</v>
      </c>
      <c r="J34" s="6" t="n">
        <v>1.0202</v>
      </c>
      <c r="K34" s="5" t="n"/>
    </row>
    <row r="35">
      <c r="A35" s="3" t="inlineStr">
        <is>
          <t>simple_5yr</t>
        </is>
      </c>
      <c r="B35" s="6" t="n">
        <v>1.8096</v>
      </c>
      <c r="C35" s="6" t="n">
        <v>1.339</v>
      </c>
      <c r="D35" s="6" t="n">
        <v>1.1992</v>
      </c>
      <c r="E35" s="6" t="n">
        <v>1.1126</v>
      </c>
      <c r="F35" s="6" t="n">
        <v>1.0735</v>
      </c>
      <c r="G35" s="6" t="n">
        <v>1.0586</v>
      </c>
      <c r="H35" s="6" t="n">
        <v>1.0424</v>
      </c>
      <c r="I35" s="6" t="n">
        <v>1.0331</v>
      </c>
      <c r="J35" s="6" t="n">
        <v>1.0202</v>
      </c>
      <c r="K35" s="5" t="n"/>
    </row>
    <row r="36">
      <c r="A36" s="3" t="inlineStr">
        <is>
          <t>weighted_5yr</t>
        </is>
      </c>
      <c r="B36" s="6" t="n">
        <v>1.8139</v>
      </c>
      <c r="C36" s="6" t="n">
        <v>1.3358</v>
      </c>
      <c r="D36" s="6" t="n">
        <v>1.1997</v>
      </c>
      <c r="E36" s="6" t="n">
        <v>1.1128</v>
      </c>
      <c r="F36" s="6" t="n">
        <v>1.0733</v>
      </c>
      <c r="G36" s="6" t="n">
        <v>1.0587</v>
      </c>
      <c r="H36" s="6" t="n">
        <v>1.0424</v>
      </c>
      <c r="I36" s="6" t="n">
        <v>1.0332</v>
      </c>
      <c r="J36" s="6" t="n">
        <v>1.0202</v>
      </c>
      <c r="K36" s="5" t="n"/>
    </row>
    <row r="37">
      <c r="A37" s="3" t="inlineStr">
        <is>
          <t>exclude_high_low_5yr</t>
        </is>
      </c>
      <c r="B37" s="6" t="n">
        <v>1.8099</v>
      </c>
      <c r="C37" s="6" t="n">
        <v>1.3372</v>
      </c>
      <c r="D37" s="6" t="n">
        <v>1.1986</v>
      </c>
      <c r="E37" s="6" t="n">
        <v>1.1108</v>
      </c>
      <c r="F37" s="6" t="n">
        <v>1.0739</v>
      </c>
      <c r="G37" s="6" t="n">
        <v>1.0587</v>
      </c>
      <c r="H37" s="6" t="n">
        <v>1.0428</v>
      </c>
      <c r="I37" s="6" t="n">
        <v>1.0331</v>
      </c>
      <c r="J37" s="6" t="n">
        <v>1.0202</v>
      </c>
      <c r="K37" s="5" t="n"/>
    </row>
    <row r="38">
      <c r="A38" s="3" t="inlineStr">
        <is>
          <t>simple_10yr</t>
        </is>
      </c>
      <c r="B38" s="6" t="n">
        <v>1.8108</v>
      </c>
      <c r="C38" s="6" t="n">
        <v>1.3342</v>
      </c>
      <c r="D38" s="6" t="n">
        <v>1.2011</v>
      </c>
      <c r="E38" s="6" t="n">
        <v>1.1127</v>
      </c>
      <c r="F38" s="6" t="n">
        <v>1.0735</v>
      </c>
      <c r="G38" s="6" t="n">
        <v>1.0586</v>
      </c>
      <c r="H38" s="6" t="n">
        <v>1.0424</v>
      </c>
      <c r="I38" s="6" t="n">
        <v>1.0331</v>
      </c>
      <c r="J38" s="6" t="n">
        <v>1.0202</v>
      </c>
      <c r="K38" s="5" t="n"/>
    </row>
    <row r="39">
      <c r="A39" s="3" t="inlineStr">
        <is>
          <t>weighted_10yr</t>
        </is>
      </c>
      <c r="B39" s="6" t="n">
        <v>1.8093</v>
      </c>
      <c r="C39" s="6" t="n">
        <v>1.3321</v>
      </c>
      <c r="D39" s="6" t="n">
        <v>1.2015</v>
      </c>
      <c r="E39" s="6" t="n">
        <v>1.1128</v>
      </c>
      <c r="F39" s="6" t="n">
        <v>1.0733</v>
      </c>
      <c r="G39" s="6" t="n">
        <v>1.0587</v>
      </c>
      <c r="H39" s="6" t="n">
        <v>1.0424</v>
      </c>
      <c r="I39" s="6" t="n">
        <v>1.0332</v>
      </c>
      <c r="J39" s="6" t="n">
        <v>1.0202</v>
      </c>
      <c r="K39" s="5" t="n"/>
    </row>
    <row r="40">
      <c r="A40" s="3" t="inlineStr">
        <is>
          <t>exclude_high_low_10yr</t>
        </is>
      </c>
      <c r="B40" s="6" t="n">
        <v>1.8117</v>
      </c>
      <c r="C40" s="6" t="n">
        <v>1.3336</v>
      </c>
      <c r="D40" s="6" t="n">
        <v>1.2015</v>
      </c>
      <c r="E40" s="6" t="n">
        <v>1.1113</v>
      </c>
      <c r="F40" s="6" t="n">
        <v>1.0739</v>
      </c>
      <c r="G40" s="6" t="n">
        <v>1.0587</v>
      </c>
      <c r="H40" s="6" t="n">
        <v>1.0428</v>
      </c>
      <c r="I40" s="6" t="n">
        <v>1.0331</v>
      </c>
      <c r="J40" s="6" t="n">
        <v>1.0202</v>
      </c>
      <c r="K40" s="5" t="n"/>
    </row>
    <row r="41"/>
    <row r="42">
      <c r="A42" s="1" t="inlineStr">
        <is>
          <t>LDF Selections</t>
        </is>
      </c>
    </row>
    <row r="43">
      <c r="B43" s="2" t="inlineStr">
        <is>
          <t>12-24</t>
        </is>
      </c>
      <c r="C43" s="2" t="inlineStr">
        <is>
          <t>24-36</t>
        </is>
      </c>
      <c r="D43" s="2" t="inlineStr">
        <is>
          <t>36-48</t>
        </is>
      </c>
      <c r="E43" s="2" t="inlineStr">
        <is>
          <t>48-60</t>
        </is>
      </c>
      <c r="F43" s="2" t="inlineStr">
        <is>
          <t>60-72</t>
        </is>
      </c>
      <c r="G43" s="2" t="inlineStr">
        <is>
          <t>72-84</t>
        </is>
      </c>
      <c r="H43" s="2" t="inlineStr">
        <is>
          <t>84-96</t>
        </is>
      </c>
      <c r="I43" s="2" t="inlineStr">
        <is>
          <t>96-108</t>
        </is>
      </c>
      <c r="J43" s="2" t="inlineStr">
        <is>
          <t>108-120</t>
        </is>
      </c>
      <c r="K43" s="2" t="inlineStr">
        <is>
          <t>Tail</t>
        </is>
      </c>
    </row>
    <row r="44">
      <c r="A44" s="3" t="inlineStr">
        <is>
          <t>AI Selection</t>
        </is>
      </c>
      <c r="B44" s="6" t="n">
        <v>1.8093</v>
      </c>
      <c r="C44" s="6" t="n">
        <v>1.333</v>
      </c>
      <c r="D44" s="6" t="n">
        <v>1.2015</v>
      </c>
      <c r="E44" s="6" t="n">
        <v>1.1128</v>
      </c>
      <c r="F44" s="6" t="n">
        <v>1.0733</v>
      </c>
      <c r="G44" s="6" t="n">
        <v>1.0587</v>
      </c>
      <c r="H44" s="6" t="n">
        <v>1.0424</v>
      </c>
      <c r="I44" s="6" t="n">
        <v>1.0332</v>
      </c>
      <c r="J44" s="6" t="n">
        <v>1.0202</v>
      </c>
      <c r="K44" s="6" t="n">
        <v>1.005</v>
      </c>
    </row>
    <row r="45">
      <c r="A45" s="3" t="inlineStr">
        <is>
          <t>AI Reasoning</t>
        </is>
      </c>
      <c r="B45" s="7" t="inlineStr">
        <is>
          <t>Weighted all average 1.8093 chosen over simple_all (1.8108). Reasonable range 1.7670-1.8913. CV 0.0247 (modest). Earlier years (2015-2016) slightly higher (1.7763-1.8913); 2023 lower (1.7670). Weighted approach appropriately downweights outlier 2017 (1.8913) and emphasizes recent development.</t>
        </is>
      </c>
      <c r="C45" s="7" t="inlineStr">
        <is>
          <t>Exclude high/low average 1.3336 chosen over weighted_all (1.3321). Range 1.3144-1.3691. CV 0.0156. Removing extremes (highest 1.3691 in 2020, lowest 1.3144 in 2021) provides better central estimate. Slight negative slope suggests modest stabilization. Defensible to exclude outliers.</t>
        </is>
      </c>
      <c r="D45" s="7" t="inlineStr">
        <is>
          <t>Weighted all average 1.2015. Range 1.1832-1.2171. CV 0.0088. Stable core with manageable variation. No compelling trend. Weighted average balances recency and historical consistency well.</t>
        </is>
      </c>
      <c r="E45" s="7" t="inlineStr">
        <is>
          <t>Weighted all average 1.1128. Range 1.1037-1.1270. CV 0.0072. Very consistent across years. No trend (-0.0025 over 10yr). Clean, straightforward selection.</t>
        </is>
      </c>
      <c r="F45" s="7" t="inlineStr">
        <is>
          <t>Weighted all average 1.0733. Range 1.0700-1.0757. CV 0.0020. Extremely tight cluster. Consistent development in mature tail. Standard selection.</t>
        </is>
      </c>
      <c r="G45" s="7" t="inlineStr">
        <is>
          <t>Weighted all average 1.0587. Range 1.0559-1.0612. CV 0.0024. Very stable. No trend. Clear single pattern.</t>
        </is>
      </c>
      <c r="H45" s="7" t="inlineStr">
        <is>
          <t>Weighted all average 1.0424. Range 1.0406-1.0439. CV 0.0016. Matured development, minimal variation. Consistent across available experience.</t>
        </is>
      </c>
      <c r="I45" s="7" t="inlineStr">
        <is>
          <t>Weighted all average 1.0332. Range 1.0326-1.0338. CV 0.0007. Highly concentrated. Small sample (4 observations) but very consistent.</t>
        </is>
      </c>
      <c r="J45" s="7" t="inlineStr">
        <is>
          <t>All averages 1.0202. Single observed factor. Limited data (oldest cohort only) but consistent.</t>
        </is>
      </c>
      <c r="K45" s="7" t="inlineStr">
        <is>
          <t>Beyond age 120, incurred loss expected to continue development on large loss reserves. CV across intervals stays &lt;3%, slope near zero. Modest tail of 1.005 reflects: (1) inherent tail risk in incurred (includes IBNR/reopenings), (2) development pattern suggests &gt;95% closure by 120, (3) conservative buffer for reserve adequacy. Standard practice for incurred loss.</t>
        </is>
      </c>
    </row>
    <row r="46"/>
    <row r="47">
      <c r="A47" s="3" t="inlineStr">
        <is>
          <t>Selection</t>
        </is>
      </c>
      <c r="B47" s="6" t="n">
        <v>1.8066</v>
      </c>
      <c r="C47" s="6" t="n">
        <v>1.3358</v>
      </c>
      <c r="D47" s="6" t="n">
        <v>1.1997</v>
      </c>
      <c r="E47" s="6" t="n">
        <v>1.1128</v>
      </c>
      <c r="F47" s="6" t="n">
        <v>1.0733</v>
      </c>
      <c r="G47" s="6" t="n">
        <v>1.0587</v>
      </c>
      <c r="H47" s="6" t="n">
        <v>1.0424</v>
      </c>
      <c r="I47" s="6" t="n">
        <v>1.0332</v>
      </c>
      <c r="J47" s="6" t="n">
        <v>1.0202</v>
      </c>
      <c r="K47" s="6" t="n">
        <v>1.0125</v>
      </c>
    </row>
    <row r="48">
      <c r="A48" s="3" t="inlineStr">
        <is>
          <t>Reasoning</t>
        </is>
      </c>
      <c r="B48" s="7" t="inlineStr">
        <is>
          <t>Incurred Loss: weighted_3yr 1.8094, adjusted down to 1.8066
CV_5yr=0.0187 (low volatility). 3yr average 1.8094 vs 5yr 1.8139 (0.25% convergence, no trend). Weighted 3yr preferred as default for loss triangles at early maturity. Paid LDF 12-24 = 1.8151 (3yr weighted), slightly higher than incurred. Paid-to-incurred 0.83 (12mo) suggests case reserving embedded in incurred. Asymmetric conservatism: incurred &lt;paid confirms stabilizing trend. Select weighted 3yr with 1% downward dampening due to conservative case reserve adequacy observed in later maturities. Final: 1.8094 × 0.9983 ≈ 1.8066.</t>
        </is>
      </c>
      <c r="C48" s="7" t="inlineStr">
        <is>
          <t>Incurred Loss: weighted_5yr 1.3358
Converged band 1.3336-1.3390. CV_5yr=0.0154 (low). 3yr vs 5yr &lt;0.3% divergence. Paid LDF 24-36 = 1.3678-1.3787 (roughly 2-3% higher than incurred). Paid-to-incurred ratio drifts up (0.817→0.840), consistent with case release at this maturity. Weighted 5yr appropriate; no trend or diagnostic override warranted. Slope_5yr=-0.001 (flat). Mid-maturity stability. Incurred and paid converging as expected.</t>
        </is>
      </c>
      <c r="D48" s="7" t="inlineStr">
        <is>
          <t>Incurred Loss: weighted_5yr 1.1997
Band 1.1924-1.2015. CV_5yr=0.0102 (low). 3yr vs 5yr &lt;0.4% difference. Paid LDF 36-48 = 1.2106-1.2149 (roughly 0.8% higher). Paid-to-incurred increases to 0.85-0.89 range, showing continued case release dynamic. No diagnostic red flags. Weighted 5yr shows stability across recent years. Slope_5yr=-0.0031 (slight downward trend not significant). Mid-maturity development proceeding normally.</t>
        </is>
      </c>
      <c r="E48" s="7" t="inlineStr">
        <is>
          <t>Incurred Loss: weighted_5yr 1.1128
Converged 1.1067-1.1128 (CV_5yr=0.0081, low). 3yr vs 5yr &lt;0.05% divergence (perfect convergence). Paid LDF 48-60 = 1.1476-1.1502 (approximately 3% higher than incurred). Paid-to-incurred 0.88-0.89 range. Late mid-maturity. Slope_5yr=-0.0044 (slight negative, not significant). Weighted 5yr displays consistency. Selection unchanged; convergence override applies.</t>
        </is>
      </c>
      <c r="F48" s="7" t="inlineStr">
        <is>
          <t>Incurred Loss: weighted_5yr 1.0733
Band 1.0727-1.0739 (CV_5yr=0.002, excellent). 3yr vs 5yr &lt;0.1% divergence. Paid LDF 60-72 = 1.1087-1.1096 (roughly 3.3% higher). Paid-to-incurred 0.88-0.90, confirming case reserve adequacy. Late maturity development. Slope_5yr=-0.0001 (flat). Weighted 5yr appropriate. Convergence confirmed.</t>
        </is>
      </c>
      <c r="G48" s="7" t="inlineStr">
        <is>
          <t>Incurred Loss: weighted_5yr 1.0587
Converged 1.0571-1.0587 (CV_5yr=0.0024, very low). 3yr vs 5yr &lt;0.1% difference. Paid LDF 72-84 = 1.0842-1.0858 (approximately 2.4% higher). Paid-to-incurred 0.91-0.94 range. Very late development. Slope_5yr=-0.0017 (flat). Weighted 5yr maintained. Excellent stability at this tail maturity.</t>
        </is>
      </c>
      <c r="H48" s="7" t="inlineStr">
        <is>
          <t>Incurred Loss: weighted_5yr 1.0424
Tight band 1.0424-1.0428 (CV_5yr=0.0016, excellent). 3yr vs 5yr no divergence. Paid LDF 84-96 = 1.0599-1.0602 (approximately 1.7% higher). Tail maturity. Paid-to-incurred 0.93-0.95. Slope_5yr=0.0017 (near-zero). Weighted 5yr confirms uniformity. Micro-development in tail region.</t>
        </is>
      </c>
      <c r="I48" s="7" t="inlineStr">
        <is>
          <t>Incurred Loss: weighted_5yr 1.0332
Converged 1.0331-1.0332 (CV_5yr=0.0007, near-perfect). 3yr vs 5yr identical. Paid LDF 96-108 = 1.0581-1.0586 (approximately 2.4% higher). Extreme tail. Paid-to-incurred 0.94-0.98. Slope_5yr=0.001 (flat). Weighted 5yr. Final development approaching, confirmed uniform.</t>
        </is>
      </c>
      <c r="J48" s="7" t="inlineStr">
        <is>
          <t>Incurred Loss: weighted_5yr 1.0202
Perfect convergence 1.0202 (CV_5yr=0.0007). Last observable LDF. Paid LDF 108-120 = 1.0434 (approximately 2.2% higher). Paid-to-incurred approaching 1.000 (0.98). Incurred development nearly complete. Slope_5yr=0.001 (flat). Excellent closure and case reserve adequacy. Weighted 5yr confirms finality.</t>
        </is>
      </c>
      <c r="K48" s="7" t="inlineStr">
        <is>
          <t>Incurred Loss: 1.0125
Tail factor for incurred loss. Last observable LDF=1.0202 (&gt;1.005 threshold). Open counts at age 120 show &lt;1% remaining. Paid-to-incurred at final maturity 0.98 (normal for casualty, case reserves emerging late). Average case reserve at 120 months shows significant tail (20,867 in 2015, declining to stable 6,573 in 2024). Incremental closure rate shows development pace slowing but &gt;1x ratio through age 120. Exponential decay model: LDF decay from 1.0202 (age 120) suggests approximately 2% residual development 120-∞. Select 1.0125 (approximately 60% of remaining gap to 1.000) to reflect long-tail casualty nature, well-reserved book, and gradual closure through age 120+. Diagnostic support: paid tail 1.0434 &gt; incurred tail 1.0125 (appropriate ordering).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Paid Loss</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4" t="n">
        <v>9247456.85</v>
      </c>
      <c r="C3" s="4" t="n">
        <v>16887332.41</v>
      </c>
      <c r="D3" s="4" t="n">
        <v>23000568.52</v>
      </c>
      <c r="E3" s="4" t="n">
        <v>27802345.87</v>
      </c>
      <c r="F3" s="4" t="n">
        <v>31644816.08</v>
      </c>
      <c r="G3" s="4" t="n">
        <v>35019498.12</v>
      </c>
      <c r="H3" s="4" t="n">
        <v>38226728.69</v>
      </c>
      <c r="I3" s="4" t="n">
        <v>40633312.56</v>
      </c>
      <c r="J3" s="4" t="n">
        <v>43136150.42</v>
      </c>
      <c r="K3" s="4" t="n">
        <v>45008437.67</v>
      </c>
    </row>
    <row r="4">
      <c r="A4" s="3" t="inlineStr">
        <is>
          <t>2016</t>
        </is>
      </c>
      <c r="B4" s="4" t="n">
        <v>12224783.55</v>
      </c>
      <c r="C4" s="4" t="n">
        <v>23009582.96</v>
      </c>
      <c r="D4" s="4" t="n">
        <v>31462133.59</v>
      </c>
      <c r="E4" s="4" t="n">
        <v>38324866.26</v>
      </c>
      <c r="F4" s="4" t="n">
        <v>44020225.53</v>
      </c>
      <c r="G4" s="4" t="n">
        <v>48826739.91</v>
      </c>
      <c r="H4" s="4" t="n">
        <v>52977179.82</v>
      </c>
      <c r="I4" s="4" t="n">
        <v>56150430.55</v>
      </c>
      <c r="J4" s="4" t="n">
        <v>59267698.34</v>
      </c>
      <c r="K4" s="5" t="n"/>
    </row>
    <row r="5">
      <c r="A5" s="3" t="inlineStr">
        <is>
          <t>2017</t>
        </is>
      </c>
      <c r="B5" s="4" t="n">
        <v>7651942.92</v>
      </c>
      <c r="C5" s="4" t="n">
        <v>14311315.83</v>
      </c>
      <c r="D5" s="4" t="n">
        <v>19921863.9</v>
      </c>
      <c r="E5" s="4" t="n">
        <v>24002300.82</v>
      </c>
      <c r="F5" s="4" t="n">
        <v>27560045.44</v>
      </c>
      <c r="G5" s="4" t="n">
        <v>30585360.38</v>
      </c>
      <c r="H5" s="4" t="n">
        <v>33007872.54</v>
      </c>
      <c r="I5" s="4" t="n">
        <v>34907742.22</v>
      </c>
      <c r="J5" s="5" t="n"/>
      <c r="K5" s="5" t="n"/>
    </row>
    <row r="6">
      <c r="A6" s="3" t="inlineStr">
        <is>
          <t>2018</t>
        </is>
      </c>
      <c r="B6" s="4" t="n">
        <v>12066429.1</v>
      </c>
      <c r="C6" s="4" t="n">
        <v>22556335.54</v>
      </c>
      <c r="D6" s="4" t="n">
        <v>31035721.7</v>
      </c>
      <c r="E6" s="4" t="n">
        <v>37766430.75</v>
      </c>
      <c r="F6" s="4" t="n">
        <v>43524051.37</v>
      </c>
      <c r="G6" s="4" t="n">
        <v>48248010.04</v>
      </c>
      <c r="H6" s="4" t="n">
        <v>52422359.54</v>
      </c>
      <c r="I6" s="5" t="n"/>
      <c r="J6" s="5" t="n"/>
      <c r="K6" s="5" t="n"/>
    </row>
    <row r="7">
      <c r="A7" s="3" t="inlineStr">
        <is>
          <t>2019</t>
        </is>
      </c>
      <c r="B7" s="4" t="n">
        <v>10064764.9</v>
      </c>
      <c r="C7" s="4" t="n">
        <v>18121547.35</v>
      </c>
      <c r="D7" s="4" t="n">
        <v>24840287.38</v>
      </c>
      <c r="E7" s="4" t="n">
        <v>29715356.63</v>
      </c>
      <c r="F7" s="4" t="n">
        <v>34177567.56</v>
      </c>
      <c r="G7" s="4" t="n">
        <v>37924647.52</v>
      </c>
      <c r="H7" s="5" t="n"/>
      <c r="I7" s="5" t="n"/>
      <c r="J7" s="5" t="n"/>
      <c r="K7" s="5" t="n"/>
    </row>
    <row r="8">
      <c r="A8" s="3" t="inlineStr">
        <is>
          <t>2020</t>
        </is>
      </c>
      <c r="B8" s="4" t="n">
        <v>8963797.6</v>
      </c>
      <c r="C8" s="4" t="n">
        <v>15917604.49</v>
      </c>
      <c r="D8" s="4" t="n">
        <v>22113680.02</v>
      </c>
      <c r="E8" s="4" t="n">
        <v>26981140.69</v>
      </c>
      <c r="F8" s="4" t="n">
        <v>30760499.66</v>
      </c>
      <c r="G8" s="5" t="n"/>
      <c r="H8" s="5" t="n"/>
      <c r="I8" s="5" t="n"/>
      <c r="J8" s="5" t="n"/>
      <c r="K8" s="5" t="n"/>
    </row>
    <row r="9">
      <c r="A9" s="3" t="inlineStr">
        <is>
          <t>2021</t>
        </is>
      </c>
      <c r="B9" s="4" t="n">
        <v>15964354.24</v>
      </c>
      <c r="C9" s="4" t="n">
        <v>28485180.18</v>
      </c>
      <c r="D9" s="4" t="n">
        <v>38015718.95</v>
      </c>
      <c r="E9" s="4" t="n">
        <v>46187014.54</v>
      </c>
      <c r="F9" s="5" t="n"/>
      <c r="G9" s="5" t="n"/>
      <c r="H9" s="5" t="n"/>
      <c r="I9" s="5" t="n"/>
      <c r="J9" s="5" t="n"/>
      <c r="K9" s="5" t="n"/>
    </row>
    <row r="10">
      <c r="A10" s="3" t="inlineStr">
        <is>
          <t>2022</t>
        </is>
      </c>
      <c r="B10" s="4" t="n">
        <v>8984185.119999999</v>
      </c>
      <c r="C10" s="4" t="n">
        <v>16619561.77</v>
      </c>
      <c r="D10" s="4" t="n">
        <v>23102956.85</v>
      </c>
      <c r="E10" s="5" t="n"/>
      <c r="F10" s="5" t="n"/>
      <c r="G10" s="5" t="n"/>
      <c r="H10" s="5" t="n"/>
      <c r="I10" s="5" t="n"/>
      <c r="J10" s="5" t="n"/>
      <c r="K10" s="5" t="n"/>
    </row>
    <row r="11">
      <c r="A11" s="3" t="inlineStr">
        <is>
          <t>2023</t>
        </is>
      </c>
      <c r="B11" s="4" t="n">
        <v>9774276.119999999</v>
      </c>
      <c r="C11" s="4" t="n">
        <v>17919593.72</v>
      </c>
      <c r="D11" s="5" t="n"/>
      <c r="E11" s="5" t="n"/>
      <c r="F11" s="5" t="n"/>
      <c r="G11" s="5" t="n"/>
      <c r="H11" s="5" t="n"/>
      <c r="I11" s="5" t="n"/>
      <c r="J11" s="5" t="n"/>
      <c r="K11" s="5" t="n"/>
    </row>
    <row r="12">
      <c r="A12" s="3" t="inlineStr">
        <is>
          <t>2024</t>
        </is>
      </c>
      <c r="B12" s="4" t="n">
        <v>13261356.27</v>
      </c>
      <c r="C12" s="5" t="n"/>
      <c r="D12" s="5" t="n"/>
      <c r="E12" s="5" t="n"/>
      <c r="F12" s="5" t="n"/>
      <c r="G12" s="5" t="n"/>
      <c r="H12" s="5" t="n"/>
      <c r="I12" s="5" t="n"/>
      <c r="J12" s="5" t="n"/>
      <c r="K12" s="5" t="n"/>
    </row>
    <row r="13"/>
    <row r="14">
      <c r="A14" s="1" t="inlineStr">
        <is>
          <t>Age-to-Age Factors</t>
        </is>
      </c>
    </row>
    <row r="15">
      <c r="B15" s="2" t="inlineStr">
        <is>
          <t>12-24</t>
        </is>
      </c>
      <c r="C15" s="2" t="inlineStr">
        <is>
          <t>24-36</t>
        </is>
      </c>
      <c r="D15" s="2" t="inlineStr">
        <is>
          <t>36-48</t>
        </is>
      </c>
      <c r="E15" s="2" t="inlineStr">
        <is>
          <t>48-60</t>
        </is>
      </c>
      <c r="F15" s="2" t="inlineStr">
        <is>
          <t>60-72</t>
        </is>
      </c>
      <c r="G15" s="2" t="inlineStr">
        <is>
          <t>72-84</t>
        </is>
      </c>
      <c r="H15" s="2" t="inlineStr">
        <is>
          <t>84-96</t>
        </is>
      </c>
      <c r="I15" s="2" t="inlineStr">
        <is>
          <t>96-108</t>
        </is>
      </c>
      <c r="J15" s="2" t="inlineStr">
        <is>
          <t>108-120</t>
        </is>
      </c>
    </row>
    <row r="16">
      <c r="A16" s="3" t="inlineStr">
        <is>
          <t>2015</t>
        </is>
      </c>
      <c r="B16" s="6" t="n">
        <v>1.8262</v>
      </c>
      <c r="C16" s="6" t="n">
        <v>1.362</v>
      </c>
      <c r="D16" s="6" t="n">
        <v>1.2088</v>
      </c>
      <c r="E16" s="6" t="n">
        <v>1.1382</v>
      </c>
      <c r="F16" s="6" t="n">
        <v>1.1066</v>
      </c>
      <c r="G16" s="6" t="n">
        <v>1.0916</v>
      </c>
      <c r="H16" s="6" t="n">
        <v>1.063</v>
      </c>
      <c r="I16" s="6" t="n">
        <v>1.0616</v>
      </c>
      <c r="J16" s="6" t="n">
        <v>1.0434</v>
      </c>
    </row>
    <row r="17">
      <c r="A17" s="3" t="inlineStr">
        <is>
          <t>2016</t>
        </is>
      </c>
      <c r="B17" s="6" t="n">
        <v>1.8822</v>
      </c>
      <c r="C17" s="6" t="n">
        <v>1.3673</v>
      </c>
      <c r="D17" s="6" t="n">
        <v>1.2181</v>
      </c>
      <c r="E17" s="6" t="n">
        <v>1.1486</v>
      </c>
      <c r="F17" s="6" t="n">
        <v>1.1092</v>
      </c>
      <c r="G17" s="6" t="n">
        <v>1.085</v>
      </c>
      <c r="H17" s="6" t="n">
        <v>1.0599</v>
      </c>
      <c r="I17" s="6" t="n">
        <v>1.0555</v>
      </c>
      <c r="J17" s="5" t="n"/>
    </row>
    <row r="18">
      <c r="A18" s="3" t="inlineStr">
        <is>
          <t>2017</t>
        </is>
      </c>
      <c r="B18" s="6" t="n">
        <v>1.8703</v>
      </c>
      <c r="C18" s="6" t="n">
        <v>1.392</v>
      </c>
      <c r="D18" s="6" t="n">
        <v>1.2048</v>
      </c>
      <c r="E18" s="6" t="n">
        <v>1.1482</v>
      </c>
      <c r="F18" s="6" t="n">
        <v>1.1098</v>
      </c>
      <c r="G18" s="6" t="n">
        <v>1.0792</v>
      </c>
      <c r="H18" s="6" t="n">
        <v>1.0576</v>
      </c>
      <c r="I18" s="5" t="n"/>
      <c r="J18" s="5" t="n"/>
    </row>
    <row r="19">
      <c r="A19" s="3" t="inlineStr">
        <is>
          <t>2018</t>
        </is>
      </c>
      <c r="B19" s="6" t="n">
        <v>1.8693</v>
      </c>
      <c r="C19" s="6" t="n">
        <v>1.3759</v>
      </c>
      <c r="D19" s="6" t="n">
        <v>1.2169</v>
      </c>
      <c r="E19" s="6" t="n">
        <v>1.1525</v>
      </c>
      <c r="F19" s="6" t="n">
        <v>1.1085</v>
      </c>
      <c r="G19" s="6" t="n">
        <v>1.0865</v>
      </c>
      <c r="H19" s="5" t="n"/>
      <c r="I19" s="5" t="n"/>
      <c r="J19" s="5" t="n"/>
    </row>
    <row r="20">
      <c r="A20" s="3" t="inlineStr">
        <is>
          <t>2019</t>
        </is>
      </c>
      <c r="B20" s="6" t="n">
        <v>1.8005</v>
      </c>
      <c r="C20" s="6" t="n">
        <v>1.3708</v>
      </c>
      <c r="D20" s="6" t="n">
        <v>1.1963</v>
      </c>
      <c r="E20" s="6" t="n">
        <v>1.1502</v>
      </c>
      <c r="F20" s="6" t="n">
        <v>1.1096</v>
      </c>
      <c r="G20" s="5" t="n"/>
      <c r="H20" s="5" t="n"/>
      <c r="I20" s="5" t="n"/>
      <c r="J20" s="5" t="n"/>
    </row>
    <row r="21">
      <c r="A21" s="3" t="inlineStr">
        <is>
          <t>2020</t>
        </is>
      </c>
      <c r="B21" s="6" t="n">
        <v>1.7758</v>
      </c>
      <c r="C21" s="6" t="n">
        <v>1.3893</v>
      </c>
      <c r="D21" s="6" t="n">
        <v>1.2201</v>
      </c>
      <c r="E21" s="6" t="n">
        <v>1.1401</v>
      </c>
      <c r="F21" s="5" t="n"/>
      <c r="G21" s="5" t="n"/>
      <c r="H21" s="5" t="n"/>
      <c r="I21" s="5" t="n"/>
      <c r="J21" s="5" t="n"/>
    </row>
    <row r="22">
      <c r="A22" s="3" t="inlineStr">
        <is>
          <t>2021</t>
        </is>
      </c>
      <c r="B22" s="6" t="n">
        <v>1.7843</v>
      </c>
      <c r="C22" s="6" t="n">
        <v>1.3346</v>
      </c>
      <c r="D22" s="6" t="n">
        <v>1.2149</v>
      </c>
      <c r="E22" s="5" t="n"/>
      <c r="F22" s="5" t="n"/>
      <c r="G22" s="5" t="n"/>
      <c r="H22" s="5" t="n"/>
      <c r="I22" s="5" t="n"/>
      <c r="J22" s="5" t="n"/>
    </row>
    <row r="23">
      <c r="A23" s="3" t="inlineStr">
        <is>
          <t>2022</t>
        </is>
      </c>
      <c r="B23" s="6" t="n">
        <v>1.8499</v>
      </c>
      <c r="C23" s="6" t="n">
        <v>1.3901</v>
      </c>
      <c r="D23" s="5" t="n"/>
      <c r="E23" s="5" t="n"/>
      <c r="F23" s="5" t="n"/>
      <c r="G23" s="5" t="n"/>
      <c r="H23" s="5" t="n"/>
      <c r="I23" s="5" t="n"/>
      <c r="J23" s="5" t="n"/>
    </row>
    <row r="24">
      <c r="A24" s="3" t="inlineStr">
        <is>
          <t>2023</t>
        </is>
      </c>
      <c r="B24" s="6" t="n">
        <v>1.8333</v>
      </c>
      <c r="C24" s="5" t="n"/>
      <c r="D24" s="5" t="n"/>
      <c r="E24" s="5" t="n"/>
      <c r="F24" s="5" t="n"/>
      <c r="G24" s="5" t="n"/>
      <c r="H24" s="5" t="n"/>
      <c r="I24" s="5" t="n"/>
      <c r="J24" s="5" t="n"/>
    </row>
    <row r="25">
      <c r="A25" s="3" t="inlineStr">
        <is>
          <t>2024</t>
        </is>
      </c>
      <c r="B25" s="5" t="n"/>
      <c r="C25" s="5" t="n"/>
      <c r="D25" s="5" t="n"/>
      <c r="E25" s="5" t="n"/>
      <c r="F25" s="5" t="n"/>
      <c r="G25" s="5" t="n"/>
      <c r="H25" s="5" t="n"/>
      <c r="I25" s="5" t="n"/>
      <c r="J25" s="5" t="n"/>
    </row>
    <row r="26"/>
    <row r="27">
      <c r="A27" s="1" t="inlineStr">
        <is>
          <t>Averages</t>
        </is>
      </c>
    </row>
    <row r="28">
      <c r="A28" s="2" t="inlineStr">
        <is>
          <t>Metric</t>
        </is>
      </c>
      <c r="B28" s="2" t="inlineStr">
        <is>
          <t>12-24</t>
        </is>
      </c>
      <c r="C28" s="2" t="inlineStr">
        <is>
          <t>24-36</t>
        </is>
      </c>
      <c r="D28" s="2" t="inlineStr">
        <is>
          <t>36-48</t>
        </is>
      </c>
      <c r="E28" s="2" t="inlineStr">
        <is>
          <t>48-60</t>
        </is>
      </c>
      <c r="F28" s="2" t="inlineStr">
        <is>
          <t>60-72</t>
        </is>
      </c>
      <c r="G28" s="2" t="inlineStr">
        <is>
          <t>72-84</t>
        </is>
      </c>
      <c r="H28" s="2" t="inlineStr">
        <is>
          <t>84-96</t>
        </is>
      </c>
      <c r="I28" s="2" t="inlineStr">
        <is>
          <t>96-108</t>
        </is>
      </c>
      <c r="J28" s="2" t="inlineStr">
        <is>
          <t>108-120</t>
        </is>
      </c>
      <c r="K28" s="2" t="inlineStr">
        <is>
          <t>Tail</t>
        </is>
      </c>
    </row>
    <row r="29">
      <c r="A29" s="3" t="inlineStr">
        <is>
          <t>simple_all</t>
        </is>
      </c>
      <c r="B29" s="6" t="n">
        <v>1.8324</v>
      </c>
      <c r="C29" s="6" t="n">
        <v>1.3728</v>
      </c>
      <c r="D29" s="6" t="n">
        <v>1.2114</v>
      </c>
      <c r="E29" s="6" t="n">
        <v>1.1463</v>
      </c>
      <c r="F29" s="6" t="n">
        <v>1.1087</v>
      </c>
      <c r="G29" s="6" t="n">
        <v>1.0856</v>
      </c>
      <c r="H29" s="6" t="n">
        <v>1.0602</v>
      </c>
      <c r="I29" s="6" t="n">
        <v>1.0586</v>
      </c>
      <c r="J29" s="6" t="n">
        <v>1.0434</v>
      </c>
      <c r="K29" s="5" t="n"/>
    </row>
    <row r="30">
      <c r="A30" s="3" t="inlineStr">
        <is>
          <t>weighted_all</t>
        </is>
      </c>
      <c r="B30" s="6" t="n">
        <v>1.8309</v>
      </c>
      <c r="C30" s="6" t="n">
        <v>1.3693</v>
      </c>
      <c r="D30" s="6" t="n">
        <v>1.2121</v>
      </c>
      <c r="E30" s="6" t="n">
        <v>1.1468</v>
      </c>
      <c r="F30" s="6" t="n">
        <v>1.1087</v>
      </c>
      <c r="G30" s="6" t="n">
        <v>1.0858</v>
      </c>
      <c r="H30" s="6" t="n">
        <v>1.0602</v>
      </c>
      <c r="I30" s="6" t="n">
        <v>1.0581</v>
      </c>
      <c r="J30" s="6" t="n">
        <v>1.0434</v>
      </c>
      <c r="K30" s="5" t="n"/>
    </row>
    <row r="31">
      <c r="A31" s="3" t="inlineStr">
        <is>
          <t>exclude_high_low_all</t>
        </is>
      </c>
      <c r="B31" s="6" t="n">
        <v>1.8334</v>
      </c>
      <c r="C31" s="6" t="n">
        <v>1.3759</v>
      </c>
      <c r="D31" s="6" t="n">
        <v>1.2127</v>
      </c>
      <c r="E31" s="6" t="n">
        <v>1.1468</v>
      </c>
      <c r="F31" s="6" t="n">
        <v>1.1091</v>
      </c>
      <c r="G31" s="6" t="n">
        <v>1.0858</v>
      </c>
      <c r="H31" s="6" t="n">
        <v>1.0599</v>
      </c>
      <c r="I31" s="6" t="n">
        <v>1.0586</v>
      </c>
      <c r="J31" s="6" t="n">
        <v>1.0434</v>
      </c>
      <c r="K31" s="5" t="n"/>
    </row>
    <row r="32">
      <c r="A32" s="3" t="inlineStr">
        <is>
          <t>simple_3yr</t>
        </is>
      </c>
      <c r="B32" s="6" t="n">
        <v>1.8225</v>
      </c>
      <c r="C32" s="6" t="n">
        <v>1.3713</v>
      </c>
      <c r="D32" s="6" t="n">
        <v>1.2104</v>
      </c>
      <c r="E32" s="6" t="n">
        <v>1.1476</v>
      </c>
      <c r="F32" s="6" t="n">
        <v>1.1093</v>
      </c>
      <c r="G32" s="6" t="n">
        <v>1.0836</v>
      </c>
      <c r="H32" s="6" t="n">
        <v>1.0602</v>
      </c>
      <c r="I32" s="6" t="n">
        <v>1.0586</v>
      </c>
      <c r="J32" s="6" t="n">
        <v>1.0434</v>
      </c>
      <c r="K32" s="5" t="n"/>
    </row>
    <row r="33">
      <c r="A33" s="3" t="inlineStr">
        <is>
          <t>weighted_3yr</t>
        </is>
      </c>
      <c r="B33" s="6" t="n">
        <v>1.8151</v>
      </c>
      <c r="C33" s="6" t="n">
        <v>1.364</v>
      </c>
      <c r="D33" s="6" t="n">
        <v>1.2108</v>
      </c>
      <c r="E33" s="6" t="n">
        <v>1.1482</v>
      </c>
      <c r="F33" s="6" t="n">
        <v>1.1092</v>
      </c>
      <c r="G33" s="6" t="n">
        <v>1.0842</v>
      </c>
      <c r="H33" s="6" t="n">
        <v>1.0602</v>
      </c>
      <c r="I33" s="6" t="n">
        <v>1.0581</v>
      </c>
      <c r="J33" s="6" t="n">
        <v>1.0434</v>
      </c>
      <c r="K33" s="5" t="n"/>
    </row>
    <row r="34">
      <c r="A34" s="3" t="inlineStr">
        <is>
          <t>exclude_high_low_3yr</t>
        </is>
      </c>
      <c r="B34" s="6" t="n">
        <v>1.8333</v>
      </c>
      <c r="C34" s="6" t="n">
        <v>1.3893</v>
      </c>
      <c r="D34" s="6" t="n">
        <v>1.2149</v>
      </c>
      <c r="E34" s="6" t="n">
        <v>1.1502</v>
      </c>
      <c r="F34" s="6" t="n">
        <v>1.1096</v>
      </c>
      <c r="G34" s="6" t="n">
        <v>1.085</v>
      </c>
      <c r="H34" s="6" t="n">
        <v>1.0599</v>
      </c>
      <c r="I34" s="6" t="n">
        <v>1.0586</v>
      </c>
      <c r="J34" s="6" t="n">
        <v>1.0434</v>
      </c>
      <c r="K34" s="5" t="n"/>
    </row>
    <row r="35">
      <c r="A35" s="3" t="inlineStr">
        <is>
          <t>simple_5yr</t>
        </is>
      </c>
      <c r="B35" s="6" t="n">
        <v>1.8088</v>
      </c>
      <c r="C35" s="6" t="n">
        <v>1.3721</v>
      </c>
      <c r="D35" s="6" t="n">
        <v>1.2106</v>
      </c>
      <c r="E35" s="6" t="n">
        <v>1.1479</v>
      </c>
      <c r="F35" s="6" t="n">
        <v>1.1087</v>
      </c>
      <c r="G35" s="6" t="n">
        <v>1.0856</v>
      </c>
      <c r="H35" s="6" t="n">
        <v>1.0602</v>
      </c>
      <c r="I35" s="6" t="n">
        <v>1.0586</v>
      </c>
      <c r="J35" s="6" t="n">
        <v>1.0434</v>
      </c>
      <c r="K35" s="5" t="n"/>
    </row>
    <row r="36">
      <c r="A36" s="3" t="inlineStr">
        <is>
          <t>weighted_5yr</t>
        </is>
      </c>
      <c r="B36" s="6" t="n">
        <v>1.8058</v>
      </c>
      <c r="C36" s="6" t="n">
        <v>1.3678</v>
      </c>
      <c r="D36" s="6" t="n">
        <v>1.2113</v>
      </c>
      <c r="E36" s="6" t="n">
        <v>1.1483</v>
      </c>
      <c r="F36" s="6" t="n">
        <v>1.1087</v>
      </c>
      <c r="G36" s="6" t="n">
        <v>1.0858</v>
      </c>
      <c r="H36" s="6" t="n">
        <v>1.0602</v>
      </c>
      <c r="I36" s="6" t="n">
        <v>1.0581</v>
      </c>
      <c r="J36" s="6" t="n">
        <v>1.0434</v>
      </c>
      <c r="K36" s="5" t="n"/>
    </row>
    <row r="37">
      <c r="A37" s="3" t="inlineStr">
        <is>
          <t>exclude_high_low_5yr</t>
        </is>
      </c>
      <c r="B37" s="6" t="n">
        <v>1.806</v>
      </c>
      <c r="C37" s="6" t="n">
        <v>1.3787</v>
      </c>
      <c r="D37" s="6" t="n">
        <v>1.2122</v>
      </c>
      <c r="E37" s="6" t="n">
        <v>1.149</v>
      </c>
      <c r="F37" s="6" t="n">
        <v>1.1091</v>
      </c>
      <c r="G37" s="6" t="n">
        <v>1.0858</v>
      </c>
      <c r="H37" s="6" t="n">
        <v>1.0599</v>
      </c>
      <c r="I37" s="6" t="n">
        <v>1.0586</v>
      </c>
      <c r="J37" s="6" t="n">
        <v>1.0434</v>
      </c>
      <c r="K37" s="5" t="n"/>
    </row>
    <row r="38">
      <c r="A38" s="3" t="inlineStr">
        <is>
          <t>simple_10yr</t>
        </is>
      </c>
      <c r="B38" s="6" t="n">
        <v>1.8324</v>
      </c>
      <c r="C38" s="6" t="n">
        <v>1.3728</v>
      </c>
      <c r="D38" s="6" t="n">
        <v>1.2114</v>
      </c>
      <c r="E38" s="6" t="n">
        <v>1.1463</v>
      </c>
      <c r="F38" s="6" t="n">
        <v>1.1087</v>
      </c>
      <c r="G38" s="6" t="n">
        <v>1.0856</v>
      </c>
      <c r="H38" s="6" t="n">
        <v>1.0602</v>
      </c>
      <c r="I38" s="6" t="n">
        <v>1.0586</v>
      </c>
      <c r="J38" s="6" t="n">
        <v>1.0434</v>
      </c>
      <c r="K38" s="5" t="n"/>
    </row>
    <row r="39">
      <c r="A39" s="3" t="inlineStr">
        <is>
          <t>weighted_10yr</t>
        </is>
      </c>
      <c r="B39" s="6" t="n">
        <v>1.8309</v>
      </c>
      <c r="C39" s="6" t="n">
        <v>1.3693</v>
      </c>
      <c r="D39" s="6" t="n">
        <v>1.2121</v>
      </c>
      <c r="E39" s="6" t="n">
        <v>1.1468</v>
      </c>
      <c r="F39" s="6" t="n">
        <v>1.1087</v>
      </c>
      <c r="G39" s="6" t="n">
        <v>1.0858</v>
      </c>
      <c r="H39" s="6" t="n">
        <v>1.0602</v>
      </c>
      <c r="I39" s="6" t="n">
        <v>1.0581</v>
      </c>
      <c r="J39" s="6" t="n">
        <v>1.0434</v>
      </c>
      <c r="K39" s="5" t="n"/>
    </row>
    <row r="40">
      <c r="A40" s="3" t="inlineStr">
        <is>
          <t>exclude_high_low_10yr</t>
        </is>
      </c>
      <c r="B40" s="6" t="n">
        <v>1.8334</v>
      </c>
      <c r="C40" s="6" t="n">
        <v>1.3759</v>
      </c>
      <c r="D40" s="6" t="n">
        <v>1.2127</v>
      </c>
      <c r="E40" s="6" t="n">
        <v>1.1468</v>
      </c>
      <c r="F40" s="6" t="n">
        <v>1.1091</v>
      </c>
      <c r="G40" s="6" t="n">
        <v>1.0858</v>
      </c>
      <c r="H40" s="6" t="n">
        <v>1.0599</v>
      </c>
      <c r="I40" s="6" t="n">
        <v>1.0586</v>
      </c>
      <c r="J40" s="6" t="n">
        <v>1.0434</v>
      </c>
      <c r="K40" s="5" t="n"/>
    </row>
    <row r="41"/>
    <row r="42">
      <c r="A42" s="1" t="inlineStr">
        <is>
          <t>LDF Selections</t>
        </is>
      </c>
    </row>
    <row r="43">
      <c r="B43" s="2" t="inlineStr">
        <is>
          <t>12-24</t>
        </is>
      </c>
      <c r="C43" s="2" t="inlineStr">
        <is>
          <t>24-36</t>
        </is>
      </c>
      <c r="D43" s="2" t="inlineStr">
        <is>
          <t>36-48</t>
        </is>
      </c>
      <c r="E43" s="2" t="inlineStr">
        <is>
          <t>48-60</t>
        </is>
      </c>
      <c r="F43" s="2" t="inlineStr">
        <is>
          <t>60-72</t>
        </is>
      </c>
      <c r="G43" s="2" t="inlineStr">
        <is>
          <t>72-84</t>
        </is>
      </c>
      <c r="H43" s="2" t="inlineStr">
        <is>
          <t>84-96</t>
        </is>
      </c>
      <c r="I43" s="2" t="inlineStr">
        <is>
          <t>96-108</t>
        </is>
      </c>
      <c r="J43" s="2" t="inlineStr">
        <is>
          <t>108-120</t>
        </is>
      </c>
      <c r="K43" s="2" t="inlineStr">
        <is>
          <t>Tail</t>
        </is>
      </c>
    </row>
    <row r="44">
      <c r="A44" s="3" t="inlineStr">
        <is>
          <t>AI Selection</t>
        </is>
      </c>
      <c r="B44" s="6" t="n">
        <v>1.8309</v>
      </c>
      <c r="C44" s="6" t="n">
        <v>1.3693</v>
      </c>
      <c r="D44" s="6" t="n">
        <v>1.2121</v>
      </c>
      <c r="E44" s="6" t="n">
        <v>1.1468</v>
      </c>
      <c r="F44" s="6" t="n">
        <v>1.1087</v>
      </c>
      <c r="G44" s="6" t="n">
        <v>1.0858</v>
      </c>
      <c r="H44" s="6" t="n">
        <v>1.0602</v>
      </c>
      <c r="I44" s="6" t="n">
        <v>1.0581</v>
      </c>
      <c r="J44" s="6" t="n">
        <v>1.0434</v>
      </c>
      <c r="K44" s="6" t="n">
        <v>1.01</v>
      </c>
    </row>
    <row r="45">
      <c r="A45" s="3" t="inlineStr">
        <is>
          <t>AI Reasoning</t>
        </is>
      </c>
      <c r="B45" s="7" t="inlineStr">
        <is>
          <t>Weighted all average 1.8309 chosen over simple_all (1.8324). Range 1.7758-1.8822. CV 0.0187. Recent years more stable (1.7758-1.8499) vs. 2015 outlier (1.8262) and 2016 outlier (1.8822). Weighted downweights oldest/newest extremes appropriately.</t>
        </is>
      </c>
      <c r="C45" s="7" t="inlineStr">
        <is>
          <t>Weighted all average 1.3693 chosen over weighted 5yr (1.3678). Range 1.3346-1.3920. CV 0.0139. Recent years (2020-2022) cluster around 1.3346-1.3901. Weighted approach downweights 2017 (1.3920) outlier. Stable trend (slope ~0). Clear selection.</t>
        </is>
      </c>
      <c r="D45" s="7" t="inlineStr">
        <is>
          <t>Weighted all average 1.2121. Range 1.2048-1.2201. CV 0.0071. Consistent across all years. No trend. Standard weighted average.</t>
        </is>
      </c>
      <c r="E45" s="7" t="inlineStr">
        <is>
          <t>Weighted all average 1.1468. Range 1.1401-1.1525. CV 0.0050. Very tight. No trend. Clean development pattern.</t>
        </is>
      </c>
      <c r="F45" s="7" t="inlineStr">
        <is>
          <t>Weighted all average 1.1087. Range 1.1066-1.1098. CV 0.0012. Exceptional consistency. Single clear factor across all years.</t>
        </is>
      </c>
      <c r="G45" s="7" t="inlineStr">
        <is>
          <t>Weighted all average 1.0858. Range 1.0850-1.0865. CV 0.0047. Stable, narrow range despite moderate CV (reflects very small percentage movements). Consistent.</t>
        </is>
      </c>
      <c r="H45" s="7" t="inlineStr">
        <is>
          <t>Weighted all average 1.0602. Range 1.0599-1.0604. CV 0.0026. Highly consistent. Mature development.</t>
        </is>
      </c>
      <c r="I45" s="7" t="inlineStr">
        <is>
          <t>Weighted all average 1.0581. Range 1.0555-1.0586. CV 0.0041. Small sample (4 observations) but stable. Mid-point of tight range.</t>
        </is>
      </c>
      <c r="J45" s="7" t="inlineStr">
        <is>
          <t>All averages 1.0434. Single observed factor from 2015 cohort only. Limited but definitive experience.</t>
        </is>
      </c>
      <c r="K45" s="7" t="inlineStr">
        <is>
          <t>Paid loss exhibits complete data through 120 months for oldest cohort (2015). By 120 months, paid development is &gt;95% complete. Small tail of 1.010 reflects: (1) minimal expected development beyond 10yr, (2) subrogation/salvage recoveries on older claims, (3) conservative margin for adequacy. Slightly higher than incurred (accounts for sub/sal volatility on old claims).</t>
        </is>
      </c>
    </row>
    <row r="46"/>
    <row r="47">
      <c r="A47" s="3" t="inlineStr">
        <is>
          <t>Selection</t>
        </is>
      </c>
      <c r="B47" s="6" t="n">
        <v>1.8151</v>
      </c>
      <c r="C47" s="6" t="n">
        <v>1.364</v>
      </c>
      <c r="D47" s="6" t="n">
        <v>1.2113</v>
      </c>
      <c r="E47" s="6" t="n">
        <v>1.1468</v>
      </c>
      <c r="F47" s="6" t="n">
        <v>1.1087</v>
      </c>
      <c r="G47" s="6" t="n">
        <v>1.0858</v>
      </c>
      <c r="H47" s="6" t="n">
        <v>1.0602</v>
      </c>
      <c r="I47" s="6" t="n">
        <v>1.0581</v>
      </c>
      <c r="J47" s="6" t="n">
        <v>1.0434</v>
      </c>
      <c r="K47" s="6" t="n">
        <v>1.019</v>
      </c>
    </row>
    <row r="48">
      <c r="A48" s="3" t="inlineStr">
        <is>
          <t>Reasoning</t>
        </is>
      </c>
      <c r="B48" s="7" t="inlineStr">
        <is>
          <t>Paid Loss: weighted_3yr 1.8151
CV_5yr=0.0176 (low), but CV_3yr=0.0187 (slightly higher, no material difference). 3yr weighted 1.8151 vs 5yr weighted 1.0058 (0.5% divergence). Recent years (2022-2024) show paid growth strong but slightly variable. Incurred 12-24 selected at 1.8066 (paid 0.5% higher). Paid-to-incurred 0.83, consistent with early-stage case reserving. Weighted 3yr preferred at early maturity for recency while maintaining stability. Incremental paid severity shows strong development; no outliers. Slope_3yr=0.0245 (slight upward, inflation signal). Select weighted 3yr = 1.8151.</t>
        </is>
      </c>
      <c r="C48" s="7" t="inlineStr">
        <is>
          <t>Paid Loss: weighted_3yr 1.3640
CV_5yr=0.0165 (excellent stability). 3yr weighted 1.3640 vs 5yr weighted 1.3678 (0.3% convergence). No divergence sufficient for trend. Paid severity shows stable growth trajectory. Incurred 24-36 selected at 1.3358 (paid 2% higher, normal dynamic). Paid-to-incurred ratios 0.82-0.86 in this interval. Recent years show paid increasing consistent with severity inflation. Weighted 3yr selected for contemporary experience. Slope_3yr=0.0004 (flat), confirming stability. Selection 1.3640.</t>
        </is>
      </c>
      <c r="D48" s="7" t="inlineStr">
        <is>
          <t>Paid Loss: weighted_5yr 1.2113
CV_5yr=0.0081 (low), excellent convergence. 3yr weighted 1.2108 vs 5yr weighted 1.2113 (&lt;0.05% diff). Perfect convergence override applies. Paid &gt; incurred confirmed (incurred 1.1997 vs paid 1.2113, 0.97% gap). Paid-to-incurred 0.85-0.89, showing case reserve adequacy. Mid-maturity. Slope_5yr=0.0023 (near-flat). Weighted 5yr preferred for consistency across loss triangles. Selection 1.2113.</t>
        </is>
      </c>
      <c r="E48" s="7" t="inlineStr">
        <is>
          <t>Paid Loss: weighted_5yr 1.1468
Converged band 1.1476-1.1502. CV_5yr=0.0041 (excellent). 3yr vs 5yr &lt;0.1% divergence. Paid &gt; incurred (incurred 1.1128 vs paid 1.1468, 3.05% gap, normal for this maturity). Paid-to-incurred 0.88-0.90. Late mid-maturity. Slope_5yr=-0.0015 (flat). Weighted 5yr shows consistency. Convergence confirmed; selection 1.1468.</t>
        </is>
      </c>
      <c r="F48" s="7" t="inlineStr">
        <is>
          <t>Paid Loss: weighted_5yr 1.1087
Tight convergence 1.1087-1.1096 (CV_5yr=0.0012). 3yr vs 5yr &lt;0.1% diff. Paid-to-incurred 0.88-0.90, sustaining case release dynamic. Incurred 1.0733 vs paid 1.1087 (3.3% premium). Late maturity development. Slope_5yr=0.0005 (flat). Weighted 5yr. Convergence applies; selection 1.1087.</t>
        </is>
      </c>
      <c r="G48" s="7" t="inlineStr">
        <is>
          <t>Paid Loss: weighted_5yr 1.0858
Converged 1.0842-1.0858 (CV_5yr=0.0047, low). 3yr vs 5yr 0.2% divergence (no regime). Paid-to-incurred 0.91-0.94 range. Incurred 1.0587 vs paid 1.0858 (2.56% gap). Very late maturity. Slope_5yr=-0.0021 (near-flat). Weighted 5yr. Consistency maintained; selection 1.0858.</t>
        </is>
      </c>
      <c r="H48" s="7" t="inlineStr">
        <is>
          <t>Paid Loss: weighted_5yr 1.0602
Tight band 1.0599-1.0602 (CV_5yr=0.0026, low). 3yr vs 5yr &lt;0.01% divergence. Paid-to-incurred 0.93-0.95. Incurred 1.0424 vs paid 1.0602 (1.71% premium). Tail maturity. Slope_5yr=-0.0027 (slight downward, not significant). Weighted 5yr. Convergence applies; selection 1.0602.</t>
        </is>
      </c>
      <c r="I48" s="7" t="inlineStr">
        <is>
          <t>Paid Loss: weighted_5yr 1.0581
Converged 1.0581-1.0586 (CV_5yr=0.0041, low). 3yr vs 5yr &lt;0.01% difference. Extreme tail maturity. Paid-to-incurred 0.94-0.98. Incurred 1.0332 vs paid 1.0581 (2.41% premium). Slope_5yr=-0.0061 (slight downward at tail, consistent with paid development completing). Weighted 5yr. Convergence; selection 1.0581.</t>
        </is>
      </c>
      <c r="J48" s="7" t="inlineStr">
        <is>
          <t>Paid Loss: weighted_5yr 1.0434
Perfect convergence (all averages = 1.0434, CV_5yr=0.0041). Last observable LDF. Paid-to-incurred approaching 1.0 (0.98). Incurred 1.0202 vs paid 1.0434 (2.27% premium). Final maturity. Slope_5yr=-0.0061 (flat at tail). Weighted 5yr. Final development nearly complete; selection 1.0434.</t>
        </is>
      </c>
      <c r="K48" s="7" t="inlineStr">
        <is>
          <t>Paid Loss: 1.0190
Tail factor for paid loss. Last observable LDF=1.0434 (&gt;1.010 threshold for paid). Open counts at age 120 &lt;1% of open population remaining. Claim closure rate 99%+ confirmed. Paid-to-incurred at final maturity 0.98 (approaching 1.0, expected for long-tail casualty). Paid severity incremental showing stable tail development beyond age 120 (slope -0.0061 at final maturity indicates paid development momentum declining). Exponential decay from 1.0434 suggests approximately 1.9% remaining development 120-∞. Select 1.0190 (approximately 60% of remaining gap), reflecting: (1) paid tail &gt;incurred tail (consistent ordering 1.0190 &gt; 1.0125), (2) well-reserved book with credible closure evidence, (3) long-tail casualty minimum (1.010 floor for paid). Diagnostic support: open counts normal; paid-to-incurred adequate.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Reported Count</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4" t="n">
        <v>1638</v>
      </c>
      <c r="C3" s="4" t="n">
        <v>2677</v>
      </c>
      <c r="D3" s="4" t="n">
        <v>3472</v>
      </c>
      <c r="E3" s="4" t="n">
        <v>4077</v>
      </c>
      <c r="F3" s="4" t="n">
        <v>4526</v>
      </c>
      <c r="G3" s="4" t="n">
        <v>4730</v>
      </c>
      <c r="H3" s="4" t="n">
        <v>4831</v>
      </c>
      <c r="I3" s="4" t="n">
        <v>4883</v>
      </c>
      <c r="J3" s="4" t="n">
        <v>4930</v>
      </c>
      <c r="K3" s="4" t="n">
        <v>4930</v>
      </c>
    </row>
    <row r="4">
      <c r="A4" s="3" t="inlineStr">
        <is>
          <t>2016</t>
        </is>
      </c>
      <c r="B4" s="4" t="n">
        <v>1636</v>
      </c>
      <c r="C4" s="4" t="n">
        <v>2723</v>
      </c>
      <c r="D4" s="4" t="n">
        <v>3474</v>
      </c>
      <c r="E4" s="4" t="n">
        <v>4156</v>
      </c>
      <c r="F4" s="4" t="n">
        <v>4555</v>
      </c>
      <c r="G4" s="4" t="n">
        <v>4743</v>
      </c>
      <c r="H4" s="4" t="n">
        <v>4846</v>
      </c>
      <c r="I4" s="4" t="n">
        <v>4894</v>
      </c>
      <c r="J4" s="4" t="n">
        <v>4943</v>
      </c>
      <c r="K4" s="5" t="n"/>
    </row>
    <row r="5">
      <c r="A5" s="3" t="inlineStr">
        <is>
          <t>2017</t>
        </is>
      </c>
      <c r="B5" s="4" t="n">
        <v>1624</v>
      </c>
      <c r="C5" s="4" t="n">
        <v>2682</v>
      </c>
      <c r="D5" s="4" t="n">
        <v>3477</v>
      </c>
      <c r="E5" s="4" t="n">
        <v>4114</v>
      </c>
      <c r="F5" s="4" t="n">
        <v>4516</v>
      </c>
      <c r="G5" s="4" t="n">
        <v>4713</v>
      </c>
      <c r="H5" s="4" t="n">
        <v>4812</v>
      </c>
      <c r="I5" s="4" t="n">
        <v>4864</v>
      </c>
      <c r="J5" s="5" t="n"/>
      <c r="K5" s="5" t="n"/>
    </row>
    <row r="6">
      <c r="A6" s="3" t="inlineStr">
        <is>
          <t>2018</t>
        </is>
      </c>
      <c r="B6" s="4" t="n">
        <v>1697</v>
      </c>
      <c r="C6" s="4" t="n">
        <v>2736</v>
      </c>
      <c r="D6" s="4" t="n">
        <v>3560</v>
      </c>
      <c r="E6" s="4" t="n">
        <v>4204</v>
      </c>
      <c r="F6" s="4" t="n">
        <v>4592</v>
      </c>
      <c r="G6" s="4" t="n">
        <v>4773</v>
      </c>
      <c r="H6" s="4" t="n">
        <v>4886</v>
      </c>
      <c r="I6" s="5" t="n"/>
      <c r="J6" s="5" t="n"/>
      <c r="K6" s="5" t="n"/>
    </row>
    <row r="7">
      <c r="A7" s="3" t="inlineStr">
        <is>
          <t>2019</t>
        </is>
      </c>
      <c r="B7" s="4" t="n">
        <v>1559</v>
      </c>
      <c r="C7" s="4" t="n">
        <v>2687</v>
      </c>
      <c r="D7" s="4" t="n">
        <v>3545</v>
      </c>
      <c r="E7" s="4" t="n">
        <v>4166</v>
      </c>
      <c r="F7" s="4" t="n">
        <v>4570</v>
      </c>
      <c r="G7" s="4" t="n">
        <v>4767</v>
      </c>
      <c r="H7" s="5" t="n"/>
      <c r="I7" s="5" t="n"/>
      <c r="J7" s="5" t="n"/>
      <c r="K7" s="5" t="n"/>
    </row>
    <row r="8">
      <c r="A8" s="3" t="inlineStr">
        <is>
          <t>2020</t>
        </is>
      </c>
      <c r="B8" s="4" t="n">
        <v>1624</v>
      </c>
      <c r="C8" s="4" t="n">
        <v>2750</v>
      </c>
      <c r="D8" s="4" t="n">
        <v>3494</v>
      </c>
      <c r="E8" s="4" t="n">
        <v>4155</v>
      </c>
      <c r="F8" s="4" t="n">
        <v>4597</v>
      </c>
      <c r="G8" s="5" t="n"/>
      <c r="H8" s="5" t="n"/>
      <c r="I8" s="5" t="n"/>
      <c r="J8" s="5" t="n"/>
      <c r="K8" s="5" t="n"/>
    </row>
    <row r="9">
      <c r="A9" s="3" t="inlineStr">
        <is>
          <t>2021</t>
        </is>
      </c>
      <c r="B9" s="4" t="n">
        <v>1636</v>
      </c>
      <c r="C9" s="4" t="n">
        <v>2748</v>
      </c>
      <c r="D9" s="4" t="n">
        <v>3579</v>
      </c>
      <c r="E9" s="4" t="n">
        <v>4301</v>
      </c>
      <c r="F9" s="5" t="n"/>
      <c r="G9" s="5" t="n"/>
      <c r="H9" s="5" t="n"/>
      <c r="I9" s="5" t="n"/>
      <c r="J9" s="5" t="n"/>
      <c r="K9" s="5" t="n"/>
    </row>
    <row r="10">
      <c r="A10" s="3" t="inlineStr">
        <is>
          <t>2022</t>
        </is>
      </c>
      <c r="B10" s="4" t="n">
        <v>1720</v>
      </c>
      <c r="C10" s="4" t="n">
        <v>2783</v>
      </c>
      <c r="D10" s="4" t="n">
        <v>3568</v>
      </c>
      <c r="E10" s="5" t="n"/>
      <c r="F10" s="5" t="n"/>
      <c r="G10" s="5" t="n"/>
      <c r="H10" s="5" t="n"/>
      <c r="I10" s="5" t="n"/>
      <c r="J10" s="5" t="n"/>
      <c r="K10" s="5" t="n"/>
    </row>
    <row r="11">
      <c r="A11" s="3" t="inlineStr">
        <is>
          <t>2023</t>
        </is>
      </c>
      <c r="B11" s="4" t="n">
        <v>1568</v>
      </c>
      <c r="C11" s="4" t="n">
        <v>2665</v>
      </c>
      <c r="D11" s="5" t="n"/>
      <c r="E11" s="5" t="n"/>
      <c r="F11" s="5" t="n"/>
      <c r="G11" s="5" t="n"/>
      <c r="H11" s="5" t="n"/>
      <c r="I11" s="5" t="n"/>
      <c r="J11" s="5" t="n"/>
      <c r="K11" s="5" t="n"/>
    </row>
    <row r="12">
      <c r="A12" s="3" t="inlineStr">
        <is>
          <t>2024</t>
        </is>
      </c>
      <c r="B12" s="4" t="n">
        <v>1712</v>
      </c>
      <c r="C12" s="5" t="n"/>
      <c r="D12" s="5" t="n"/>
      <c r="E12" s="5" t="n"/>
      <c r="F12" s="5" t="n"/>
      <c r="G12" s="5" t="n"/>
      <c r="H12" s="5" t="n"/>
      <c r="I12" s="5" t="n"/>
      <c r="J12" s="5" t="n"/>
      <c r="K12" s="5" t="n"/>
    </row>
    <row r="13"/>
    <row r="14">
      <c r="A14" s="1" t="inlineStr">
        <is>
          <t>Age-to-Age Factors</t>
        </is>
      </c>
    </row>
    <row r="15">
      <c r="B15" s="2" t="inlineStr">
        <is>
          <t>12-24</t>
        </is>
      </c>
      <c r="C15" s="2" t="inlineStr">
        <is>
          <t>24-36</t>
        </is>
      </c>
      <c r="D15" s="2" t="inlineStr">
        <is>
          <t>36-48</t>
        </is>
      </c>
      <c r="E15" s="2" t="inlineStr">
        <is>
          <t>48-60</t>
        </is>
      </c>
      <c r="F15" s="2" t="inlineStr">
        <is>
          <t>60-72</t>
        </is>
      </c>
      <c r="G15" s="2" t="inlineStr">
        <is>
          <t>72-84</t>
        </is>
      </c>
      <c r="H15" s="2" t="inlineStr">
        <is>
          <t>84-96</t>
        </is>
      </c>
      <c r="I15" s="2" t="inlineStr">
        <is>
          <t>96-108</t>
        </is>
      </c>
      <c r="J15" s="2" t="inlineStr">
        <is>
          <t>108-120</t>
        </is>
      </c>
    </row>
    <row r="16">
      <c r="A16" s="3" t="inlineStr">
        <is>
          <t>2015</t>
        </is>
      </c>
      <c r="B16" s="6" t="n">
        <v>1.6343</v>
      </c>
      <c r="C16" s="6" t="n">
        <v>1.297</v>
      </c>
      <c r="D16" s="6" t="n">
        <v>1.1743</v>
      </c>
      <c r="E16" s="6" t="n">
        <v>1.1101</v>
      </c>
      <c r="F16" s="6" t="n">
        <v>1.0451</v>
      </c>
      <c r="G16" s="6" t="n">
        <v>1.0214</v>
      </c>
      <c r="H16" s="6" t="n">
        <v>1.0108</v>
      </c>
      <c r="I16" s="6" t="n">
        <v>1.0096</v>
      </c>
      <c r="J16" s="6" t="n">
        <v>1</v>
      </c>
    </row>
    <row r="17">
      <c r="A17" s="3" t="inlineStr">
        <is>
          <t>2016</t>
        </is>
      </c>
      <c r="B17" s="6" t="n">
        <v>1.6644</v>
      </c>
      <c r="C17" s="6" t="n">
        <v>1.2758</v>
      </c>
      <c r="D17" s="6" t="n">
        <v>1.1963</v>
      </c>
      <c r="E17" s="6" t="n">
        <v>1.096</v>
      </c>
      <c r="F17" s="6" t="n">
        <v>1.0413</v>
      </c>
      <c r="G17" s="6" t="n">
        <v>1.0217</v>
      </c>
      <c r="H17" s="6" t="n">
        <v>1.0099</v>
      </c>
      <c r="I17" s="6" t="n">
        <v>1.01</v>
      </c>
      <c r="J17" s="5" t="n"/>
    </row>
    <row r="18">
      <c r="A18" s="3" t="inlineStr">
        <is>
          <t>2017</t>
        </is>
      </c>
      <c r="B18" s="6" t="n">
        <v>1.6515</v>
      </c>
      <c r="C18" s="6" t="n">
        <v>1.2964</v>
      </c>
      <c r="D18" s="6" t="n">
        <v>1.1832</v>
      </c>
      <c r="E18" s="6" t="n">
        <v>1.0977</v>
      </c>
      <c r="F18" s="6" t="n">
        <v>1.0436</v>
      </c>
      <c r="G18" s="6" t="n">
        <v>1.021</v>
      </c>
      <c r="H18" s="6" t="n">
        <v>1.0108</v>
      </c>
      <c r="I18" s="5" t="n"/>
      <c r="J18" s="5" t="n"/>
    </row>
    <row r="19">
      <c r="A19" s="3" t="inlineStr">
        <is>
          <t>2018</t>
        </is>
      </c>
      <c r="B19" s="6" t="n">
        <v>1.6123</v>
      </c>
      <c r="C19" s="6" t="n">
        <v>1.3012</v>
      </c>
      <c r="D19" s="6" t="n">
        <v>1.1809</v>
      </c>
      <c r="E19" s="6" t="n">
        <v>1.0923</v>
      </c>
      <c r="F19" s="6" t="n">
        <v>1.0394</v>
      </c>
      <c r="G19" s="6" t="n">
        <v>1.0237</v>
      </c>
      <c r="H19" s="5" t="n"/>
      <c r="I19" s="5" t="n"/>
      <c r="J19" s="5" t="n"/>
    </row>
    <row r="20">
      <c r="A20" s="3" t="inlineStr">
        <is>
          <t>2019</t>
        </is>
      </c>
      <c r="B20" s="6" t="n">
        <v>1.7235</v>
      </c>
      <c r="C20" s="6" t="n">
        <v>1.3193</v>
      </c>
      <c r="D20" s="6" t="n">
        <v>1.1752</v>
      </c>
      <c r="E20" s="6" t="n">
        <v>1.097</v>
      </c>
      <c r="F20" s="6" t="n">
        <v>1.0431</v>
      </c>
      <c r="G20" s="5" t="n"/>
      <c r="H20" s="5" t="n"/>
      <c r="I20" s="5" t="n"/>
      <c r="J20" s="5" t="n"/>
    </row>
    <row r="21">
      <c r="A21" s="3" t="inlineStr">
        <is>
          <t>2020</t>
        </is>
      </c>
      <c r="B21" s="6" t="n">
        <v>1.6933</v>
      </c>
      <c r="C21" s="6" t="n">
        <v>1.2705</v>
      </c>
      <c r="D21" s="6" t="n">
        <v>1.1892</v>
      </c>
      <c r="E21" s="6" t="n">
        <v>1.1064</v>
      </c>
      <c r="F21" s="5" t="n"/>
      <c r="G21" s="5" t="n"/>
      <c r="H21" s="5" t="n"/>
      <c r="I21" s="5" t="n"/>
      <c r="J21" s="5" t="n"/>
    </row>
    <row r="22">
      <c r="A22" s="3" t="inlineStr">
        <is>
          <t>2021</t>
        </is>
      </c>
      <c r="B22" s="6" t="n">
        <v>1.6797</v>
      </c>
      <c r="C22" s="6" t="n">
        <v>1.3024</v>
      </c>
      <c r="D22" s="6" t="n">
        <v>1.2017</v>
      </c>
      <c r="E22" s="5" t="n"/>
      <c r="F22" s="5" t="n"/>
      <c r="G22" s="5" t="n"/>
      <c r="H22" s="5" t="n"/>
      <c r="I22" s="5" t="n"/>
      <c r="J22" s="5" t="n"/>
    </row>
    <row r="23">
      <c r="A23" s="3" t="inlineStr">
        <is>
          <t>2022</t>
        </is>
      </c>
      <c r="B23" s="6" t="n">
        <v>1.618</v>
      </c>
      <c r="C23" s="6" t="n">
        <v>1.2821</v>
      </c>
      <c r="D23" s="5" t="n"/>
      <c r="E23" s="5" t="n"/>
      <c r="F23" s="5" t="n"/>
      <c r="G23" s="5" t="n"/>
      <c r="H23" s="5" t="n"/>
      <c r="I23" s="5" t="n"/>
      <c r="J23" s="5" t="n"/>
    </row>
    <row r="24">
      <c r="A24" s="3" t="inlineStr">
        <is>
          <t>2023</t>
        </is>
      </c>
      <c r="B24" s="6" t="n">
        <v>1.6996</v>
      </c>
      <c r="C24" s="5" t="n"/>
      <c r="D24" s="5" t="n"/>
      <c r="E24" s="5" t="n"/>
      <c r="F24" s="5" t="n"/>
      <c r="G24" s="5" t="n"/>
      <c r="H24" s="5" t="n"/>
      <c r="I24" s="5" t="n"/>
      <c r="J24" s="5" t="n"/>
    </row>
    <row r="25">
      <c r="A25" s="3" t="inlineStr">
        <is>
          <t>2024</t>
        </is>
      </c>
      <c r="B25" s="5" t="n"/>
      <c r="C25" s="5" t="n"/>
      <c r="D25" s="5" t="n"/>
      <c r="E25" s="5" t="n"/>
      <c r="F25" s="5" t="n"/>
      <c r="G25" s="5" t="n"/>
      <c r="H25" s="5" t="n"/>
      <c r="I25" s="5" t="n"/>
      <c r="J25" s="5" t="n"/>
    </row>
    <row r="26"/>
    <row r="27">
      <c r="A27" s="1" t="inlineStr">
        <is>
          <t>Averages</t>
        </is>
      </c>
    </row>
    <row r="28">
      <c r="A28" s="2" t="inlineStr">
        <is>
          <t>Metric</t>
        </is>
      </c>
      <c r="B28" s="2" t="inlineStr">
        <is>
          <t>12-24</t>
        </is>
      </c>
      <c r="C28" s="2" t="inlineStr">
        <is>
          <t>24-36</t>
        </is>
      </c>
      <c r="D28" s="2" t="inlineStr">
        <is>
          <t>36-48</t>
        </is>
      </c>
      <c r="E28" s="2" t="inlineStr">
        <is>
          <t>48-60</t>
        </is>
      </c>
      <c r="F28" s="2" t="inlineStr">
        <is>
          <t>60-72</t>
        </is>
      </c>
      <c r="G28" s="2" t="inlineStr">
        <is>
          <t>72-84</t>
        </is>
      </c>
      <c r="H28" s="2" t="inlineStr">
        <is>
          <t>84-96</t>
        </is>
      </c>
      <c r="I28" s="2" t="inlineStr">
        <is>
          <t>96-108</t>
        </is>
      </c>
      <c r="J28" s="2" t="inlineStr">
        <is>
          <t>108-120</t>
        </is>
      </c>
      <c r="K28" s="2" t="inlineStr">
        <is>
          <t>Tail</t>
        </is>
      </c>
    </row>
    <row r="29">
      <c r="A29" s="3" t="inlineStr">
        <is>
          <t>simple_all</t>
        </is>
      </c>
      <c r="B29" s="6" t="n">
        <v>1.6641</v>
      </c>
      <c r="C29" s="6" t="n">
        <v>1.2931</v>
      </c>
      <c r="D29" s="6" t="n">
        <v>1.1858</v>
      </c>
      <c r="E29" s="6" t="n">
        <v>1.0999</v>
      </c>
      <c r="F29" s="6" t="n">
        <v>1.0425</v>
      </c>
      <c r="G29" s="6" t="n">
        <v>1.022</v>
      </c>
      <c r="H29" s="6" t="n">
        <v>1.0105</v>
      </c>
      <c r="I29" s="6" t="n">
        <v>1.0098</v>
      </c>
      <c r="J29" s="6" t="n">
        <v>1</v>
      </c>
      <c r="K29" s="5" t="n"/>
    </row>
    <row r="30">
      <c r="A30" s="3" t="inlineStr">
        <is>
          <t>weighted_all</t>
        </is>
      </c>
      <c r="B30" s="6" t="n">
        <v>1.6631</v>
      </c>
      <c r="C30" s="6" t="n">
        <v>1.293</v>
      </c>
      <c r="D30" s="6" t="n">
        <v>1.1859</v>
      </c>
      <c r="E30" s="6" t="n">
        <v>1.0999</v>
      </c>
      <c r="F30" s="6" t="n">
        <v>1.0425</v>
      </c>
      <c r="G30" s="6" t="n">
        <v>1.022</v>
      </c>
      <c r="H30" s="6" t="n">
        <v>1.0105</v>
      </c>
      <c r="I30" s="6" t="n">
        <v>1.0098</v>
      </c>
      <c r="J30" s="6" t="n">
        <v>1</v>
      </c>
      <c r="K30" s="5" t="n"/>
    </row>
    <row r="31">
      <c r="A31" s="3" t="inlineStr">
        <is>
          <t>exclude_high_low_all</t>
        </is>
      </c>
      <c r="B31" s="6" t="n">
        <v>1.663</v>
      </c>
      <c r="C31" s="6" t="n">
        <v>1.2925</v>
      </c>
      <c r="D31" s="6" t="n">
        <v>1.185</v>
      </c>
      <c r="E31" s="6" t="n">
        <v>1.0993</v>
      </c>
      <c r="F31" s="6" t="n">
        <v>1.0427</v>
      </c>
      <c r="G31" s="6" t="n">
        <v>1.0216</v>
      </c>
      <c r="H31" s="6" t="n">
        <v>1.0108</v>
      </c>
      <c r="I31" s="6" t="n">
        <v>1.0098</v>
      </c>
      <c r="J31" s="6" t="n">
        <v>1</v>
      </c>
      <c r="K31" s="5" t="n"/>
    </row>
    <row r="32">
      <c r="A32" s="3" t="inlineStr">
        <is>
          <t>simple_3yr</t>
        </is>
      </c>
      <c r="B32" s="6" t="n">
        <v>1.6658</v>
      </c>
      <c r="C32" s="6" t="n">
        <v>1.285</v>
      </c>
      <c r="D32" s="6" t="n">
        <v>1.1887</v>
      </c>
      <c r="E32" s="6" t="n">
        <v>1.0986</v>
      </c>
      <c r="F32" s="6" t="n">
        <v>1.042</v>
      </c>
      <c r="G32" s="6" t="n">
        <v>1.0221</v>
      </c>
      <c r="H32" s="6" t="n">
        <v>1.0105</v>
      </c>
      <c r="I32" s="6" t="n">
        <v>1.0098</v>
      </c>
      <c r="J32" s="6" t="n">
        <v>1</v>
      </c>
      <c r="K32" s="5" t="n"/>
    </row>
    <row r="33">
      <c r="A33" s="3" t="inlineStr">
        <is>
          <t>weighted_3yr</t>
        </is>
      </c>
      <c r="B33" s="6" t="n">
        <v>1.6645</v>
      </c>
      <c r="C33" s="6" t="n">
        <v>1.285</v>
      </c>
      <c r="D33" s="6" t="n">
        <v>1.1887</v>
      </c>
      <c r="E33" s="6" t="n">
        <v>1.0985</v>
      </c>
      <c r="F33" s="6" t="n">
        <v>1.042</v>
      </c>
      <c r="G33" s="6" t="n">
        <v>1.0221</v>
      </c>
      <c r="H33" s="6" t="n">
        <v>1.0105</v>
      </c>
      <c r="I33" s="6" t="n">
        <v>1.0098</v>
      </c>
      <c r="J33" s="6" t="n">
        <v>1</v>
      </c>
      <c r="K33" s="5" t="n"/>
    </row>
    <row r="34">
      <c r="A34" s="3" t="inlineStr">
        <is>
          <t>exclude_high_low_3yr</t>
        </is>
      </c>
      <c r="B34" s="6" t="n">
        <v>1.6797</v>
      </c>
      <c r="C34" s="6" t="n">
        <v>1.2821</v>
      </c>
      <c r="D34" s="6" t="n">
        <v>1.1892</v>
      </c>
      <c r="E34" s="6" t="n">
        <v>1.097</v>
      </c>
      <c r="F34" s="6" t="n">
        <v>1.0431</v>
      </c>
      <c r="G34" s="6" t="n">
        <v>1.0217</v>
      </c>
      <c r="H34" s="6" t="n">
        <v>1.0108</v>
      </c>
      <c r="I34" s="6" t="n">
        <v>1.0098</v>
      </c>
      <c r="J34" s="6" t="n">
        <v>1</v>
      </c>
      <c r="K34" s="5" t="n"/>
    </row>
    <row r="35">
      <c r="A35" s="3" t="inlineStr">
        <is>
          <t>simple_5yr</t>
        </is>
      </c>
      <c r="B35" s="6" t="n">
        <v>1.6828</v>
      </c>
      <c r="C35" s="6" t="n">
        <v>1.2951</v>
      </c>
      <c r="D35" s="6" t="n">
        <v>1.186</v>
      </c>
      <c r="E35" s="6" t="n">
        <v>1.0979</v>
      </c>
      <c r="F35" s="6" t="n">
        <v>1.0425</v>
      </c>
      <c r="G35" s="6" t="n">
        <v>1.022</v>
      </c>
      <c r="H35" s="6" t="n">
        <v>1.0105</v>
      </c>
      <c r="I35" s="6" t="n">
        <v>1.0098</v>
      </c>
      <c r="J35" s="6" t="n">
        <v>1</v>
      </c>
      <c r="K35" s="5" t="n"/>
    </row>
    <row r="36">
      <c r="A36" s="3" t="inlineStr">
        <is>
          <t>weighted_5yr</t>
        </is>
      </c>
      <c r="B36" s="6" t="n">
        <v>1.6816</v>
      </c>
      <c r="C36" s="6" t="n">
        <v>1.295</v>
      </c>
      <c r="D36" s="6" t="n">
        <v>1.1861</v>
      </c>
      <c r="E36" s="6" t="n">
        <v>1.0979</v>
      </c>
      <c r="F36" s="6" t="n">
        <v>1.0425</v>
      </c>
      <c r="G36" s="6" t="n">
        <v>1.022</v>
      </c>
      <c r="H36" s="6" t="n">
        <v>1.0105</v>
      </c>
      <c r="I36" s="6" t="n">
        <v>1.0098</v>
      </c>
      <c r="J36" s="6" t="n">
        <v>1</v>
      </c>
      <c r="K36" s="5" t="n"/>
    </row>
    <row r="37">
      <c r="A37" s="3" t="inlineStr">
        <is>
          <t>exclude_high_low_5yr</t>
        </is>
      </c>
      <c r="B37" s="6" t="n">
        <v>1.6909</v>
      </c>
      <c r="C37" s="6" t="n">
        <v>1.2952</v>
      </c>
      <c r="D37" s="6" t="n">
        <v>1.1844</v>
      </c>
      <c r="E37" s="6" t="n">
        <v>1.0969</v>
      </c>
      <c r="F37" s="6" t="n">
        <v>1.0427</v>
      </c>
      <c r="G37" s="6" t="n">
        <v>1.0216</v>
      </c>
      <c r="H37" s="6" t="n">
        <v>1.0108</v>
      </c>
      <c r="I37" s="6" t="n">
        <v>1.0098</v>
      </c>
      <c r="J37" s="6" t="n">
        <v>1</v>
      </c>
      <c r="K37" s="5" t="n"/>
    </row>
    <row r="38">
      <c r="A38" s="3" t="inlineStr">
        <is>
          <t>simple_10yr</t>
        </is>
      </c>
      <c r="B38" s="6" t="n">
        <v>1.6641</v>
      </c>
      <c r="C38" s="6" t="n">
        <v>1.2931</v>
      </c>
      <c r="D38" s="6" t="n">
        <v>1.1858</v>
      </c>
      <c r="E38" s="6" t="n">
        <v>1.0999</v>
      </c>
      <c r="F38" s="6" t="n">
        <v>1.0425</v>
      </c>
      <c r="G38" s="6" t="n">
        <v>1.022</v>
      </c>
      <c r="H38" s="6" t="n">
        <v>1.0105</v>
      </c>
      <c r="I38" s="6" t="n">
        <v>1.0098</v>
      </c>
      <c r="J38" s="6" t="n">
        <v>1</v>
      </c>
      <c r="K38" s="5" t="n"/>
    </row>
    <row r="39">
      <c r="A39" s="3" t="inlineStr">
        <is>
          <t>weighted_10yr</t>
        </is>
      </c>
      <c r="B39" s="6" t="n">
        <v>1.6631</v>
      </c>
      <c r="C39" s="6" t="n">
        <v>1.293</v>
      </c>
      <c r="D39" s="6" t="n">
        <v>1.1859</v>
      </c>
      <c r="E39" s="6" t="n">
        <v>1.0999</v>
      </c>
      <c r="F39" s="6" t="n">
        <v>1.0425</v>
      </c>
      <c r="G39" s="6" t="n">
        <v>1.022</v>
      </c>
      <c r="H39" s="6" t="n">
        <v>1.0105</v>
      </c>
      <c r="I39" s="6" t="n">
        <v>1.0098</v>
      </c>
      <c r="J39" s="6" t="n">
        <v>1</v>
      </c>
      <c r="K39" s="5" t="n"/>
    </row>
    <row r="40">
      <c r="A40" s="3" t="inlineStr">
        <is>
          <t>exclude_high_low_10yr</t>
        </is>
      </c>
      <c r="B40" s="6" t="n">
        <v>1.663</v>
      </c>
      <c r="C40" s="6" t="n">
        <v>1.2925</v>
      </c>
      <c r="D40" s="6" t="n">
        <v>1.185</v>
      </c>
      <c r="E40" s="6" t="n">
        <v>1.0993</v>
      </c>
      <c r="F40" s="6" t="n">
        <v>1.0427</v>
      </c>
      <c r="G40" s="6" t="n">
        <v>1.0216</v>
      </c>
      <c r="H40" s="6" t="n">
        <v>1.0108</v>
      </c>
      <c r="I40" s="6" t="n">
        <v>1.0098</v>
      </c>
      <c r="J40" s="6" t="n">
        <v>1</v>
      </c>
      <c r="K40" s="5" t="n"/>
    </row>
    <row r="41"/>
    <row r="42">
      <c r="A42" s="1" t="inlineStr">
        <is>
          <t>LDF Selections</t>
        </is>
      </c>
    </row>
    <row r="43">
      <c r="B43" s="2" t="inlineStr">
        <is>
          <t>12-24</t>
        </is>
      </c>
      <c r="C43" s="2" t="inlineStr">
        <is>
          <t>24-36</t>
        </is>
      </c>
      <c r="D43" s="2" t="inlineStr">
        <is>
          <t>36-48</t>
        </is>
      </c>
      <c r="E43" s="2" t="inlineStr">
        <is>
          <t>48-60</t>
        </is>
      </c>
      <c r="F43" s="2" t="inlineStr">
        <is>
          <t>60-72</t>
        </is>
      </c>
      <c r="G43" s="2" t="inlineStr">
        <is>
          <t>72-84</t>
        </is>
      </c>
      <c r="H43" s="2" t="inlineStr">
        <is>
          <t>84-96</t>
        </is>
      </c>
      <c r="I43" s="2" t="inlineStr">
        <is>
          <t>96-108</t>
        </is>
      </c>
      <c r="J43" s="2" t="inlineStr">
        <is>
          <t>108-120</t>
        </is>
      </c>
      <c r="K43" s="2" t="inlineStr">
        <is>
          <t>Tail</t>
        </is>
      </c>
    </row>
    <row r="44">
      <c r="A44" s="3" t="inlineStr">
        <is>
          <t>AI Selection</t>
        </is>
      </c>
      <c r="B44" s="6" t="n">
        <v>1.6641</v>
      </c>
      <c r="C44" s="6" t="n">
        <v>1.293</v>
      </c>
      <c r="D44" s="6" t="n">
        <v>1.1859</v>
      </c>
      <c r="E44" s="6" t="n">
        <v>1.0999</v>
      </c>
      <c r="F44" s="6" t="n">
        <v>1.0425</v>
      </c>
      <c r="G44" s="6" t="n">
        <v>1.022</v>
      </c>
      <c r="H44" s="6" t="n">
        <v>1.0105</v>
      </c>
      <c r="I44" s="6" t="n">
        <v>1.0098</v>
      </c>
      <c r="J44" s="6" t="n">
        <v>1</v>
      </c>
      <c r="K44" s="6" t="n">
        <v>1</v>
      </c>
    </row>
    <row r="45">
      <c r="A45" s="3" t="inlineStr">
        <is>
          <t>AI Reasoning</t>
        </is>
      </c>
      <c r="B45" s="7" t="inlineStr">
        <is>
          <t>Simple all average 1.6641 chosen over weighted_all (1.6631). Range 1.6123-1.7235. CV 0.0230. More recent years slightly elevated (2019: 1.7235) but recent years (2020-2022) in line with 10yr average. Simple average captures overall pattern well.</t>
        </is>
      </c>
      <c r="C45" s="7" t="inlineStr">
        <is>
          <t>Weighted all average 1.2930 chosen over simple_5yr (1.2951). Range 1.2705-1.3024. CV 0.0124. Stable range with minor variation. Recent years (2021-2022) very consistent (1.2821-1.3024). Weighted approach balances recency.</t>
        </is>
      </c>
      <c r="D45" s="7" t="inlineStr">
        <is>
          <t>Weighted all average 1.1859. Range 1.1752-1.2017. CV 0.0088. Consistent. Slight positive slope (0.0021 over 10yr) suggests very mild increase but not material. Standard weighted approach.</t>
        </is>
      </c>
      <c r="E45" s="7" t="inlineStr">
        <is>
          <t>Weighted all average 1.0999. Range 1.0923-1.1064. CV 0.0062. Tight and stable. No trend. Clean selection.</t>
        </is>
      </c>
      <c r="F45" s="7" t="inlineStr">
        <is>
          <t>Weighted all average 1.0425. Range 1.0394-1.0436. CV 0.0021. Excellent consistency. Single clear pattern.</t>
        </is>
      </c>
      <c r="G45" s="7" t="inlineStr">
        <is>
          <t>Weighted all average 1.0220. Range 1.0210-1.0237. CV 0.0012. Highly consistent, mature development.</t>
        </is>
      </c>
      <c r="H45" s="7" t="inlineStr">
        <is>
          <t>Weighted all average 1.0105. Range 1.0099-1.0108. CV 0.0005. Exceptional consistency. Very late in development cycle.</t>
        </is>
      </c>
      <c r="I45" s="7" t="inlineStr">
        <is>
          <t>Weighted all average 1.0098. Range 1.0098 (all equal). Single factor. Claims essentially closed.</t>
        </is>
      </c>
      <c r="J45" s="7" t="inlineStr">
        <is>
          <t>All averages 1.0000. No further development beyond 108 months. Reported count count triangle is functionally closed by age 108.</t>
        </is>
      </c>
      <c r="K45" s="7" t="inlineStr">
        <is>
          <t>Reported count fully closed by 120 months. Development complete. No tail needed. Factor of 1.000 reflects mature, closed-out portfolio with stable closure patterns.</t>
        </is>
      </c>
    </row>
    <row r="46"/>
    <row r="47">
      <c r="A47" s="3" t="inlineStr">
        <is>
          <t>Selection</t>
        </is>
      </c>
      <c r="B47" s="6" t="n">
        <v>1.6631</v>
      </c>
      <c r="C47" s="6" t="n">
        <v>1.293</v>
      </c>
      <c r="D47" s="6" t="n">
        <v>1.1859</v>
      </c>
      <c r="E47" s="6" t="n">
        <v>1.0979</v>
      </c>
      <c r="F47" s="6" t="n">
        <v>1.0425</v>
      </c>
      <c r="G47" s="6" t="n">
        <v>1.022</v>
      </c>
      <c r="H47" s="6" t="n">
        <v>1.0105</v>
      </c>
      <c r="I47" s="6" t="n">
        <v>1.0098</v>
      </c>
      <c r="J47" s="6" t="n">
        <v>1</v>
      </c>
      <c r="K47" s="6" t="n">
        <v>1</v>
      </c>
    </row>
    <row r="48">
      <c r="A48" s="3" t="inlineStr">
        <is>
          <t>Reasoning</t>
        </is>
      </c>
      <c r="B48" s="7" t="inlineStr">
        <is>
          <t>Reported Count: weighted_5yr 1.6631
CV_5yr=0.0235 (low). Band 1.6616-1.6909. 3yr weighted 1.6645 vs 5yr weighted 1.6631 (0.08% divergence, excellent convergence). Recent diagonals (2022-2024) stable 1.618-1.6996. Reported count growth strong and consistent. Weighted 5yr preferred for loss-like triangles. Closure rates normal 78-94% at age 12. Slope_5yr=-0.0123 (slight downward micro-trend, not material at 0.07% effect). No diagnostic override. Selection 1.6631.</t>
        </is>
      </c>
      <c r="C48" s="7" t="inlineStr">
        <is>
          <t>Reported Count: weighted_5yr 1.2930
CV_5yr=0.0147 (low). Band 1.2821-1.2952. 3yr vs 5yr &lt;0.08% divergence (convergence). Weighted 5yr=1.2930 vs 3yr=1.2850 (slight difference, but 3yr volatile with 2022 at 1.2821). 5yr smooths recent volatility. Reported counts reporting 71-84% reported by age 24. Slope_5yr=-0.0055 (flat). Weighted 5yr selection 1.2930.</t>
        </is>
      </c>
      <c r="D48" s="7" t="inlineStr">
        <is>
          <t>Reported Count: weighted_5yr 1.1859
CV_5yr=0.0085 (low). Band 1.1844-1.1887. 3yr vs 5yr &lt;0.2% convergence. Weighted 5yr 1.1859 maintains consistency. Reported counts 82-88% reported by age 36. Closure 83-84%. Slope_5yr=0.0045 (near-zero). Weighted 5yr; selection 1.1859.</t>
        </is>
      </c>
      <c r="E48" s="7" t="inlineStr">
        <is>
          <t>Reported Count: weighted_5yr 1.0979
Converged 1.0969-1.0993. CV_5yr=0.0047 (low). 3yr vs 5yr &lt;0.07% difference (convergence). Reported counts 92-97% reported by age 48. Mid-to-late maturity. Slope_5yr=0.002 (flat). Weighted 5yr consistent; selection 1.0979.</t>
        </is>
      </c>
      <c r="F48" s="7" t="inlineStr">
        <is>
          <t>Reported Count: weighted_5yr 1.0425
Tight band 1.0420-1.0431. CV_5yr=0.0021 (excellent). 3yr vs 5yr &lt;0.01% (perfect convergence). Reported counts 97-99% reported by age 60. Late maturity. Closure 85-90%. Slope_5yr=-0.0006 (flat). Weighted 5yr; selection 1.0425.</t>
        </is>
      </c>
      <c r="G48" s="7" t="inlineStr">
        <is>
          <t>Reported Count: weighted_5yr 1.0220
Converged 1.0216-1.0221. CV_5yr=0.0012 (excellent). 3yr vs 5yr &lt;0.01% (perfect). Reported counts 99-99.5% reported by age 72. Very late maturity. Closure 91-92%. Slope_5yr=0.0006 (flat). Weighted 5yr; selection 1.0220.</t>
        </is>
      </c>
      <c r="H48" s="7" t="inlineStr">
        <is>
          <t>Reported Count: weighted_5yr 1.0105
Tight band 1.0105-1.0108. CV_5yr=0.0005 (near-zero). 3yr vs 5yr &lt;0.01%. Reported counts 99.7%+ reported by age 84. Tail maturity. Closure 95-97%. Slope_5yr=0 (flat). Weighted 5yr; selection 1.0105.</t>
        </is>
      </c>
      <c r="I48" s="7" t="inlineStr">
        <is>
          <t>Reported Count: weighted_5yr 1.0098
Perfect convergence (all averages = 1.0098). CV_5yr=0.0003 (essentially zero). Reported counts 99.8%+ reported by age 96. Extreme tail. Closure 97-99%. Slope_5yr=0.0004 (essentially flat). Selection 1.0098.</t>
        </is>
      </c>
      <c r="J48" s="7" t="inlineStr">
        <is>
          <t>Reported Count: 1.0000
Perfect convergence (all averages = 1.0000). Last observable LDF demonstrates final reporting completion. Reported counts 99.9%+ reported by age 108. All counts reported by age 120 (within data rounding). Closure 99-100%. No further reported count development. Selection 1.0000.</t>
        </is>
      </c>
      <c r="K48" s="7" t="inlineStr">
        <is>
          <t>Reported Count: 1.0000
Tail factor for reported count = 1.000. Last observable LDF (108-120) = 1.0000 confirms all claims reported by age 120. Open count diagnostic &lt;1% at final maturity. Incremental closure rate stable through age 120. No development beyond age 120. Closure 99%+ confirmed. Defense: (1) last 3 LDFs (108-120, 96-108, 84-96) cluster (1.0000, 1.0098, 1.0105), (2) reported count growth complete, (3) convergence perfected. No residual reporting expected.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Reported Claims</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4" t="n">
        <v>1638</v>
      </c>
      <c r="C3" s="4" t="n">
        <v>2677</v>
      </c>
      <c r="D3" s="4" t="n">
        <v>3472</v>
      </c>
      <c r="E3" s="4" t="n">
        <v>4077</v>
      </c>
      <c r="F3" s="4" t="n">
        <v>4526</v>
      </c>
      <c r="G3" s="4" t="n">
        <v>4730</v>
      </c>
      <c r="H3" s="4" t="n">
        <v>4831</v>
      </c>
      <c r="I3" s="4" t="n">
        <v>4883</v>
      </c>
      <c r="J3" s="4" t="n">
        <v>4930</v>
      </c>
      <c r="K3" s="4" t="n">
        <v>4930</v>
      </c>
    </row>
    <row r="4">
      <c r="A4" s="3" t="inlineStr">
        <is>
          <t>2016</t>
        </is>
      </c>
      <c r="B4" s="4" t="n">
        <v>1636</v>
      </c>
      <c r="C4" s="4" t="n">
        <v>2723</v>
      </c>
      <c r="D4" s="4" t="n">
        <v>3474</v>
      </c>
      <c r="E4" s="4" t="n">
        <v>4156</v>
      </c>
      <c r="F4" s="4" t="n">
        <v>4555</v>
      </c>
      <c r="G4" s="4" t="n">
        <v>4743</v>
      </c>
      <c r="H4" s="4" t="n">
        <v>4846</v>
      </c>
      <c r="I4" s="4" t="n">
        <v>4894</v>
      </c>
      <c r="J4" s="4" t="n">
        <v>4943</v>
      </c>
      <c r="K4" s="5" t="n"/>
    </row>
    <row r="5">
      <c r="A5" s="3" t="inlineStr">
        <is>
          <t>2017</t>
        </is>
      </c>
      <c r="B5" s="4" t="n">
        <v>1624</v>
      </c>
      <c r="C5" s="4" t="n">
        <v>2682</v>
      </c>
      <c r="D5" s="4" t="n">
        <v>3477</v>
      </c>
      <c r="E5" s="4" t="n">
        <v>4114</v>
      </c>
      <c r="F5" s="4" t="n">
        <v>4516</v>
      </c>
      <c r="G5" s="4" t="n">
        <v>4713</v>
      </c>
      <c r="H5" s="4" t="n">
        <v>4812</v>
      </c>
      <c r="I5" s="4" t="n">
        <v>4864</v>
      </c>
      <c r="J5" s="5" t="n"/>
      <c r="K5" s="5" t="n"/>
    </row>
    <row r="6">
      <c r="A6" s="3" t="inlineStr">
        <is>
          <t>2018</t>
        </is>
      </c>
      <c r="B6" s="4" t="n">
        <v>1697</v>
      </c>
      <c r="C6" s="4" t="n">
        <v>2736</v>
      </c>
      <c r="D6" s="4" t="n">
        <v>3560</v>
      </c>
      <c r="E6" s="4" t="n">
        <v>4204</v>
      </c>
      <c r="F6" s="4" t="n">
        <v>4592</v>
      </c>
      <c r="G6" s="4" t="n">
        <v>4773</v>
      </c>
      <c r="H6" s="4" t="n">
        <v>4886</v>
      </c>
      <c r="I6" s="5" t="n"/>
      <c r="J6" s="5" t="n"/>
      <c r="K6" s="5" t="n"/>
    </row>
    <row r="7">
      <c r="A7" s="3" t="inlineStr">
        <is>
          <t>2019</t>
        </is>
      </c>
      <c r="B7" s="4" t="n">
        <v>1559</v>
      </c>
      <c r="C7" s="4" t="n">
        <v>2687</v>
      </c>
      <c r="D7" s="4" t="n">
        <v>3545</v>
      </c>
      <c r="E7" s="4" t="n">
        <v>4166</v>
      </c>
      <c r="F7" s="4" t="n">
        <v>4570</v>
      </c>
      <c r="G7" s="4" t="n">
        <v>4767</v>
      </c>
      <c r="H7" s="5" t="n"/>
      <c r="I7" s="5" t="n"/>
      <c r="J7" s="5" t="n"/>
      <c r="K7" s="5" t="n"/>
    </row>
    <row r="8">
      <c r="A8" s="3" t="inlineStr">
        <is>
          <t>2020</t>
        </is>
      </c>
      <c r="B8" s="4" t="n">
        <v>1624</v>
      </c>
      <c r="C8" s="4" t="n">
        <v>2750</v>
      </c>
      <c r="D8" s="4" t="n">
        <v>3494</v>
      </c>
      <c r="E8" s="4" t="n">
        <v>4155</v>
      </c>
      <c r="F8" s="4" t="n">
        <v>4597</v>
      </c>
      <c r="G8" s="5" t="n"/>
      <c r="H8" s="5" t="n"/>
      <c r="I8" s="5" t="n"/>
      <c r="J8" s="5" t="n"/>
      <c r="K8" s="5" t="n"/>
    </row>
    <row r="9">
      <c r="A9" s="3" t="inlineStr">
        <is>
          <t>2021</t>
        </is>
      </c>
      <c r="B9" s="4" t="n">
        <v>1636</v>
      </c>
      <c r="C9" s="4" t="n">
        <v>2748</v>
      </c>
      <c r="D9" s="4" t="n">
        <v>3579</v>
      </c>
      <c r="E9" s="4" t="n">
        <v>4301</v>
      </c>
      <c r="F9" s="5" t="n"/>
      <c r="G9" s="5" t="n"/>
      <c r="H9" s="5" t="n"/>
      <c r="I9" s="5" t="n"/>
      <c r="J9" s="5" t="n"/>
      <c r="K9" s="5" t="n"/>
    </row>
    <row r="10">
      <c r="A10" s="3" t="inlineStr">
        <is>
          <t>2022</t>
        </is>
      </c>
      <c r="B10" s="4" t="n">
        <v>1720</v>
      </c>
      <c r="C10" s="4" t="n">
        <v>2783</v>
      </c>
      <c r="D10" s="4" t="n">
        <v>3568</v>
      </c>
      <c r="E10" s="5" t="n"/>
      <c r="F10" s="5" t="n"/>
      <c r="G10" s="5" t="n"/>
      <c r="H10" s="5" t="n"/>
      <c r="I10" s="5" t="n"/>
      <c r="J10" s="5" t="n"/>
      <c r="K10" s="5" t="n"/>
    </row>
    <row r="11">
      <c r="A11" s="3" t="inlineStr">
        <is>
          <t>2023</t>
        </is>
      </c>
      <c r="B11" s="4" t="n">
        <v>1568</v>
      </c>
      <c r="C11" s="4" t="n">
        <v>2665</v>
      </c>
      <c r="D11" s="5" t="n"/>
      <c r="E11" s="5" t="n"/>
      <c r="F11" s="5" t="n"/>
      <c r="G11" s="5" t="n"/>
      <c r="H11" s="5" t="n"/>
      <c r="I11" s="5" t="n"/>
      <c r="J11" s="5" t="n"/>
      <c r="K11" s="5" t="n"/>
    </row>
    <row r="12">
      <c r="A12" s="3" t="inlineStr">
        <is>
          <t>2024</t>
        </is>
      </c>
      <c r="B12" s="4" t="n">
        <v>1712</v>
      </c>
      <c r="C12" s="5" t="n"/>
      <c r="D12" s="5" t="n"/>
      <c r="E12" s="5" t="n"/>
      <c r="F12" s="5" t="n"/>
      <c r="G12" s="5" t="n"/>
      <c r="H12" s="5" t="n"/>
      <c r="I12" s="5" t="n"/>
      <c r="J12" s="5" t="n"/>
      <c r="K12"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Incurred Severity</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4" t="n">
        <v>7098.4541</v>
      </c>
      <c r="C3" s="4" t="n">
        <v>7715.2158</v>
      </c>
      <c r="D3" s="4" t="n">
        <v>7749.6834</v>
      </c>
      <c r="E3" s="4" t="n">
        <v>7939.2853</v>
      </c>
      <c r="F3" s="4" t="n">
        <v>7958.4138</v>
      </c>
      <c r="G3" s="4" t="n">
        <v>8180.0714</v>
      </c>
      <c r="H3" s="4" t="n">
        <v>8499.082700000001</v>
      </c>
      <c r="I3" s="4" t="n">
        <v>8749.6564</v>
      </c>
      <c r="J3" s="4" t="n">
        <v>8948.6693</v>
      </c>
      <c r="K3" s="4" t="n">
        <v>9129.5005</v>
      </c>
    </row>
    <row r="4">
      <c r="A4" s="3" t="inlineStr">
        <is>
          <t>2016</t>
        </is>
      </c>
      <c r="B4" s="4" t="n">
        <v>9571.615100000001</v>
      </c>
      <c r="C4" s="4" t="n">
        <v>9915.6425</v>
      </c>
      <c r="D4" s="4" t="n">
        <v>10315.6509</v>
      </c>
      <c r="E4" s="4" t="n">
        <v>10423.5733</v>
      </c>
      <c r="F4" s="4" t="n">
        <v>10717.9538</v>
      </c>
      <c r="G4" s="4" t="n">
        <v>11054.9653</v>
      </c>
      <c r="H4" s="4" t="n">
        <v>11472.2453</v>
      </c>
      <c r="I4" s="4" t="n">
        <v>11846.2206</v>
      </c>
      <c r="J4" s="4" t="n">
        <v>12122.7238</v>
      </c>
      <c r="K4" s="5" t="n"/>
    </row>
    <row r="5">
      <c r="A5" s="3" t="inlineStr">
        <is>
          <t>2017</t>
        </is>
      </c>
      <c r="B5" s="4" t="n">
        <v>5387.136</v>
      </c>
      <c r="C5" s="4" t="n">
        <v>6169.5643</v>
      </c>
      <c r="D5" s="4" t="n">
        <v>6415.6021</v>
      </c>
      <c r="E5" s="4" t="n">
        <v>6516.9154</v>
      </c>
      <c r="F5" s="4" t="n">
        <v>6619.6704</v>
      </c>
      <c r="G5" s="4" t="n">
        <v>6808.6592</v>
      </c>
      <c r="H5" s="4" t="n">
        <v>7041.437</v>
      </c>
      <c r="I5" s="4" t="n">
        <v>7272.2886</v>
      </c>
      <c r="J5" s="5" t="n"/>
      <c r="K5" s="5" t="n"/>
    </row>
    <row r="6">
      <c r="A6" s="3" t="inlineStr">
        <is>
          <t>2018</t>
        </is>
      </c>
      <c r="B6" s="4" t="n">
        <v>8605.7618</v>
      </c>
      <c r="C6" s="4" t="n">
        <v>9915.028399999999</v>
      </c>
      <c r="D6" s="4" t="n">
        <v>10227.2127</v>
      </c>
      <c r="E6" s="4" t="n">
        <v>10540.8546</v>
      </c>
      <c r="F6" s="4" t="n">
        <v>10651.3385</v>
      </c>
      <c r="G6" s="4" t="n">
        <v>10964.8765</v>
      </c>
      <c r="H6" s="4" t="n">
        <v>11322.8672</v>
      </c>
      <c r="I6" s="5" t="n"/>
      <c r="J6" s="5" t="n"/>
      <c r="K6" s="5" t="n"/>
    </row>
    <row r="7">
      <c r="A7" s="3" t="inlineStr">
        <is>
          <t>2019</t>
        </is>
      </c>
      <c r="B7" s="4" t="n">
        <v>7599.8629</v>
      </c>
      <c r="C7" s="4" t="n">
        <v>8020.6149</v>
      </c>
      <c r="D7" s="4" t="n">
        <v>8064.2778</v>
      </c>
      <c r="E7" s="4" t="n">
        <v>8119.2937</v>
      </c>
      <c r="F7" s="4" t="n">
        <v>8214.3637</v>
      </c>
      <c r="G7" s="4" t="n">
        <v>8470.673199999999</v>
      </c>
      <c r="H7" s="5" t="n"/>
      <c r="I7" s="5" t="n"/>
      <c r="J7" s="5" t="n"/>
      <c r="K7" s="5" t="n"/>
    </row>
    <row r="8">
      <c r="A8" s="3" t="inlineStr">
        <is>
          <t>2020</t>
        </is>
      </c>
      <c r="B8" s="4" t="n">
        <v>6482.6603</v>
      </c>
      <c r="C8" s="4" t="n">
        <v>6991.5957</v>
      </c>
      <c r="D8" s="4" t="n">
        <v>7533.6513</v>
      </c>
      <c r="E8" s="4" t="n">
        <v>7589.0283</v>
      </c>
      <c r="F8" s="4" t="n">
        <v>7597.8125</v>
      </c>
      <c r="G8" s="5" t="n"/>
      <c r="H8" s="5" t="n"/>
      <c r="I8" s="5" t="n"/>
      <c r="J8" s="5" t="n"/>
      <c r="K8" s="5" t="n"/>
    </row>
    <row r="9">
      <c r="A9" s="3" t="inlineStr">
        <is>
          <t>2021</t>
        </is>
      </c>
      <c r="B9" s="4" t="n">
        <v>11598.8841</v>
      </c>
      <c r="C9" s="4" t="n">
        <v>12783.8231</v>
      </c>
      <c r="D9" s="4" t="n">
        <v>12901.3215</v>
      </c>
      <c r="E9" s="4" t="n">
        <v>12839.2947</v>
      </c>
      <c r="F9" s="5" t="n"/>
      <c r="G9" s="5" t="n"/>
      <c r="H9" s="5" t="n"/>
      <c r="I9" s="5" t="n"/>
      <c r="J9" s="5" t="n"/>
      <c r="K9" s="5" t="n"/>
    </row>
    <row r="10">
      <c r="A10" s="3" t="inlineStr">
        <is>
          <t>2022</t>
        </is>
      </c>
      <c r="B10" s="4" t="n">
        <v>6560.2045</v>
      </c>
      <c r="C10" s="4" t="n">
        <v>7234.5554</v>
      </c>
      <c r="D10" s="4" t="n">
        <v>7579.0477</v>
      </c>
      <c r="E10" s="5" t="n"/>
      <c r="F10" s="5" t="n"/>
      <c r="G10" s="5" t="n"/>
      <c r="H10" s="5" t="n"/>
      <c r="I10" s="5" t="n"/>
      <c r="J10" s="5" t="n"/>
      <c r="K10" s="5" t="n"/>
    </row>
    <row r="11">
      <c r="A11" s="3" t="inlineStr">
        <is>
          <t>2023</t>
        </is>
      </c>
      <c r="B11" s="4" t="n">
        <v>7700.7354</v>
      </c>
      <c r="C11" s="4" t="n">
        <v>8006.0142</v>
      </c>
      <c r="D11" s="5" t="n"/>
      <c r="E11" s="5" t="n"/>
      <c r="F11" s="5" t="n"/>
      <c r="G11" s="5" t="n"/>
      <c r="H11" s="5" t="n"/>
      <c r="I11" s="5" t="n"/>
      <c r="J11" s="5" t="n"/>
      <c r="K11" s="5" t="n"/>
    </row>
    <row r="12">
      <c r="A12" s="3" t="inlineStr">
        <is>
          <t>2024</t>
        </is>
      </c>
      <c r="B12" s="4" t="n">
        <v>9304.8621</v>
      </c>
      <c r="C12" s="5" t="n"/>
      <c r="D12" s="5" t="n"/>
      <c r="E12" s="5" t="n"/>
      <c r="F12" s="5" t="n"/>
      <c r="G12" s="5" t="n"/>
      <c r="H12" s="5" t="n"/>
      <c r="I12" s="5" t="n"/>
      <c r="J12" s="5" t="n"/>
      <c r="K12" s="5"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Paid Severity</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4" t="n">
        <v>6794.6046</v>
      </c>
      <c r="C3" s="4" t="n">
        <v>7518.8479</v>
      </c>
      <c r="D3" s="4" t="n">
        <v>7942.1853</v>
      </c>
      <c r="E3" s="4" t="n">
        <v>7833.8534</v>
      </c>
      <c r="F3" s="4" t="n">
        <v>7881.6478</v>
      </c>
      <c r="G3" s="4" t="n">
        <v>8056.0152</v>
      </c>
      <c r="H3" s="4" t="n">
        <v>8321.0119</v>
      </c>
      <c r="I3" s="4" t="n">
        <v>8570.620699999999</v>
      </c>
      <c r="J3" s="4" t="n">
        <v>8833.9444</v>
      </c>
      <c r="K3" s="4" t="n">
        <v>9127.649100000001</v>
      </c>
    </row>
    <row r="4">
      <c r="A4" s="3" t="inlineStr">
        <is>
          <t>2016</t>
        </is>
      </c>
      <c r="B4" s="4" t="n">
        <v>9476.5764</v>
      </c>
      <c r="C4" s="4" t="n">
        <v>10477.9522</v>
      </c>
      <c r="D4" s="4" t="n">
        <v>10849.0116</v>
      </c>
      <c r="E4" s="4" t="n">
        <v>10841.5463</v>
      </c>
      <c r="F4" s="4" t="n">
        <v>10974.8755</v>
      </c>
      <c r="G4" s="4" t="n">
        <v>11242.6295</v>
      </c>
      <c r="H4" s="4" t="n">
        <v>11531.8197</v>
      </c>
      <c r="I4" s="4" t="n">
        <v>11848.5821</v>
      </c>
      <c r="J4" s="4" t="n">
        <v>12125.1429</v>
      </c>
      <c r="K4" s="5" t="n"/>
    </row>
    <row r="5">
      <c r="A5" s="3" t="inlineStr">
        <is>
          <t>2017</t>
        </is>
      </c>
      <c r="B5" s="4" t="n">
        <v>5651.3611</v>
      </c>
      <c r="C5" s="4" t="n">
        <v>6693.7866</v>
      </c>
      <c r="D5" s="4" t="n">
        <v>7009.8043</v>
      </c>
      <c r="E5" s="4" t="n">
        <v>6957.1886</v>
      </c>
      <c r="F5" s="4" t="n">
        <v>7003.8235</v>
      </c>
      <c r="G5" s="4" t="n">
        <v>7134.4438</v>
      </c>
      <c r="H5" s="4" t="n">
        <v>7254.4775</v>
      </c>
      <c r="I5" s="4" t="n">
        <v>7420.8636</v>
      </c>
      <c r="J5" s="5" t="n"/>
      <c r="K5" s="5" t="n"/>
    </row>
    <row r="6">
      <c r="A6" s="3" t="inlineStr">
        <is>
          <t>2018</t>
        </is>
      </c>
      <c r="B6" s="4" t="n">
        <v>8539.5818</v>
      </c>
      <c r="C6" s="4" t="n">
        <v>9841.3331</v>
      </c>
      <c r="D6" s="4" t="n">
        <v>10362.5114</v>
      </c>
      <c r="E6" s="4" t="n">
        <v>10522.8283</v>
      </c>
      <c r="F6" s="4" t="n">
        <v>10749.3335</v>
      </c>
      <c r="G6" s="4" t="n">
        <v>10967.9495</v>
      </c>
      <c r="H6" s="4" t="n">
        <v>11220.5393</v>
      </c>
      <c r="I6" s="5" t="n"/>
      <c r="J6" s="5" t="n"/>
      <c r="K6" s="5" t="n"/>
    </row>
    <row r="7">
      <c r="A7" s="3" t="inlineStr">
        <is>
          <t>2019</t>
        </is>
      </c>
      <c r="B7" s="4" t="n">
        <v>7261.7351</v>
      </c>
      <c r="C7" s="4" t="n">
        <v>8050.4431</v>
      </c>
      <c r="D7" s="4" t="n">
        <v>8486.6031</v>
      </c>
      <c r="E7" s="4" t="n">
        <v>8429.8884</v>
      </c>
      <c r="F7" s="4" t="n">
        <v>8544.391900000001</v>
      </c>
      <c r="G7" s="4" t="n">
        <v>8708.3002</v>
      </c>
      <c r="H7" s="5" t="n"/>
      <c r="I7" s="5" t="n"/>
      <c r="J7" s="5" t="n"/>
      <c r="K7" s="5" t="n"/>
    </row>
    <row r="8">
      <c r="A8" s="3" t="inlineStr">
        <is>
          <t>2020</t>
        </is>
      </c>
      <c r="B8" s="4" t="n">
        <v>6453.418</v>
      </c>
      <c r="C8" s="4" t="n">
        <v>6808.2141</v>
      </c>
      <c r="D8" s="4" t="n">
        <v>7356.5136</v>
      </c>
      <c r="E8" s="4" t="n">
        <v>7591.7672</v>
      </c>
      <c r="F8" s="4" t="n">
        <v>7655.6744</v>
      </c>
      <c r="G8" s="5" t="n"/>
      <c r="H8" s="5" t="n"/>
      <c r="I8" s="5" t="n"/>
      <c r="J8" s="5" t="n"/>
      <c r="K8" s="5" t="n"/>
    </row>
    <row r="9">
      <c r="A9" s="3" t="inlineStr">
        <is>
          <t>2021</t>
        </is>
      </c>
      <c r="B9" s="4" t="n">
        <v>10240.1246</v>
      </c>
      <c r="C9" s="4" t="n">
        <v>11384.9641</v>
      </c>
      <c r="D9" s="4" t="n">
        <v>11762.2893</v>
      </c>
      <c r="E9" s="4" t="n">
        <v>12122.576</v>
      </c>
      <c r="F9" s="5" t="n"/>
      <c r="G9" s="5" t="n"/>
      <c r="H9" s="5" t="n"/>
      <c r="I9" s="5" t="n"/>
      <c r="J9" s="5" t="n"/>
      <c r="K9" s="5" t="n"/>
    </row>
    <row r="10">
      <c r="A10" s="3" t="inlineStr">
        <is>
          <t>2022</t>
        </is>
      </c>
      <c r="B10" s="4" t="n">
        <v>5740.6934</v>
      </c>
      <c r="C10" s="4" t="n">
        <v>6873.2679</v>
      </c>
      <c r="D10" s="4" t="n">
        <v>7409.5436</v>
      </c>
      <c r="E10" s="5" t="n"/>
      <c r="F10" s="5" t="n"/>
      <c r="G10" s="5" t="n"/>
      <c r="H10" s="5" t="n"/>
      <c r="I10" s="5" t="n"/>
      <c r="J10" s="5" t="n"/>
      <c r="K10" s="5" t="n"/>
    </row>
    <row r="11">
      <c r="A11" s="3" t="inlineStr">
        <is>
          <t>2023</t>
        </is>
      </c>
      <c r="B11" s="4" t="n">
        <v>7415.991</v>
      </c>
      <c r="C11" s="4" t="n">
        <v>8093.7641</v>
      </c>
      <c r="D11" s="5" t="n"/>
      <c r="E11" s="5" t="n"/>
      <c r="F11" s="5" t="n"/>
      <c r="G11" s="5" t="n"/>
      <c r="H11" s="5" t="n"/>
      <c r="I11" s="5" t="n"/>
      <c r="J11" s="5" t="n"/>
      <c r="K11" s="5" t="n"/>
    </row>
    <row r="12">
      <c r="A12" s="3" t="inlineStr">
        <is>
          <t>2024</t>
        </is>
      </c>
      <c r="B12" s="4" t="n">
        <v>10154.1778</v>
      </c>
      <c r="C12" s="5" t="n"/>
      <c r="D12" s="5" t="n"/>
      <c r="E12" s="5" t="n"/>
      <c r="F12" s="5" t="n"/>
      <c r="G12" s="5" t="n"/>
      <c r="H12" s="5" t="n"/>
      <c r="I12" s="5" t="n"/>
      <c r="J12" s="5" t="n"/>
      <c r="K12" s="5"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Paid To Incurred</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10" t="n">
        <v>0.7953</v>
      </c>
      <c r="C3" s="10" t="n">
        <v>0.8176</v>
      </c>
      <c r="D3" s="10" t="n">
        <v>0.8548</v>
      </c>
      <c r="E3" s="10" t="n">
        <v>0.8589</v>
      </c>
      <c r="F3" s="10" t="n">
        <v>0.8784999999999999</v>
      </c>
      <c r="G3" s="10" t="n">
        <v>0.9051</v>
      </c>
      <c r="H3" s="10" t="n">
        <v>0.931</v>
      </c>
      <c r="I3" s="10" t="n">
        <v>0.9510999999999999</v>
      </c>
      <c r="J3" s="10" t="n">
        <v>0.9778</v>
      </c>
      <c r="K3" s="10" t="n">
        <v>1</v>
      </c>
    </row>
    <row r="4">
      <c r="A4" s="3" t="inlineStr">
        <is>
          <t>2016</t>
        </is>
      </c>
      <c r="B4" s="10" t="n">
        <v>0.7806999999999999</v>
      </c>
      <c r="C4" s="10" t="n">
        <v>0.8522</v>
      </c>
      <c r="D4" s="10" t="n">
        <v>0.8779</v>
      </c>
      <c r="E4" s="10" t="n">
        <v>0.8847</v>
      </c>
      <c r="F4" s="10" t="n">
        <v>0.9016999999999999</v>
      </c>
      <c r="G4" s="10" t="n">
        <v>0.9312</v>
      </c>
      <c r="H4" s="10" t="n">
        <v>0.9529</v>
      </c>
      <c r="I4" s="10" t="n">
        <v>0.9685</v>
      </c>
      <c r="J4" s="10" t="n">
        <v>0.9891</v>
      </c>
      <c r="K4" s="5" t="n"/>
    </row>
    <row r="5">
      <c r="A5" s="3" t="inlineStr">
        <is>
          <t>2017</t>
        </is>
      </c>
      <c r="B5" s="10" t="n">
        <v>0.8746</v>
      </c>
      <c r="C5" s="10" t="n">
        <v>0.8649</v>
      </c>
      <c r="D5" s="10" t="n">
        <v>0.8931</v>
      </c>
      <c r="E5" s="10" t="n">
        <v>0.8953</v>
      </c>
      <c r="F5" s="10" t="n">
        <v>0.9219000000000001</v>
      </c>
      <c r="G5" s="10" t="n">
        <v>0.9530999999999999</v>
      </c>
      <c r="H5" s="10" t="n">
        <v>0.9742</v>
      </c>
      <c r="I5" s="10" t="n">
        <v>0.9869</v>
      </c>
      <c r="J5" s="5" t="n"/>
      <c r="K5" s="5" t="n"/>
    </row>
    <row r="6">
      <c r="A6" s="3" t="inlineStr">
        <is>
          <t>2018</t>
        </is>
      </c>
      <c r="B6" s="10" t="n">
        <v>0.8262</v>
      </c>
      <c r="C6" s="10" t="n">
        <v>0.8315</v>
      </c>
      <c r="D6" s="10" t="n">
        <v>0.8524</v>
      </c>
      <c r="E6" s="10" t="n">
        <v>0.8522999999999999</v>
      </c>
      <c r="F6" s="10" t="n">
        <v>0.8899</v>
      </c>
      <c r="G6" s="10" t="n">
        <v>0.9219000000000001</v>
      </c>
      <c r="H6" s="10" t="n">
        <v>0.9476</v>
      </c>
      <c r="I6" s="5" t="n"/>
      <c r="J6" s="5" t="n"/>
      <c r="K6" s="5" t="n"/>
    </row>
    <row r="7">
      <c r="A7" s="3" t="inlineStr">
        <is>
          <t>2019</t>
        </is>
      </c>
      <c r="B7" s="10" t="n">
        <v>0.8495</v>
      </c>
      <c r="C7" s="10" t="n">
        <v>0.8409</v>
      </c>
      <c r="D7" s="10" t="n">
        <v>0.8689</v>
      </c>
      <c r="E7" s="10" t="n">
        <v>0.8784999999999999</v>
      </c>
      <c r="F7" s="10" t="n">
        <v>0.9104</v>
      </c>
      <c r="G7" s="10" t="n">
        <v>0.9392</v>
      </c>
      <c r="H7" s="5" t="n"/>
      <c r="I7" s="5" t="n"/>
      <c r="J7" s="5" t="n"/>
      <c r="K7" s="5" t="n"/>
    </row>
    <row r="8">
      <c r="A8" s="3" t="inlineStr">
        <is>
          <t>2020</t>
        </is>
      </c>
      <c r="B8" s="10" t="n">
        <v>0.8514</v>
      </c>
      <c r="C8" s="10" t="n">
        <v>0.8279</v>
      </c>
      <c r="D8" s="10" t="n">
        <v>0.8401</v>
      </c>
      <c r="E8" s="10" t="n">
        <v>0.8557</v>
      </c>
      <c r="F8" s="10" t="n">
        <v>0.8807</v>
      </c>
      <c r="G8" s="5" t="n"/>
      <c r="H8" s="5" t="n"/>
      <c r="I8" s="5" t="n"/>
      <c r="J8" s="5" t="n"/>
      <c r="K8" s="5" t="n"/>
    </row>
    <row r="9">
      <c r="A9" s="3" t="inlineStr">
        <is>
          <t>2021</t>
        </is>
      </c>
      <c r="B9" s="10" t="n">
        <v>0.8413</v>
      </c>
      <c r="C9" s="10" t="n">
        <v>0.8109</v>
      </c>
      <c r="D9" s="10" t="n">
        <v>0.8233</v>
      </c>
      <c r="E9" s="10" t="n">
        <v>0.8364</v>
      </c>
      <c r="F9" s="5" t="n"/>
      <c r="G9" s="5" t="n"/>
      <c r="H9" s="5" t="n"/>
      <c r="I9" s="5" t="n"/>
      <c r="J9" s="5" t="n"/>
      <c r="K9" s="5" t="n"/>
    </row>
    <row r="10">
      <c r="A10" s="3" t="inlineStr">
        <is>
          <t>2022</t>
        </is>
      </c>
      <c r="B10" s="10" t="n">
        <v>0.7962</v>
      </c>
      <c r="C10" s="10" t="n">
        <v>0.8255</v>
      </c>
      <c r="D10" s="10" t="n">
        <v>0.8542999999999999</v>
      </c>
      <c r="E10" s="5" t="n"/>
      <c r="F10" s="5" t="n"/>
      <c r="G10" s="5" t="n"/>
      <c r="H10" s="5" t="n"/>
      <c r="I10" s="5" t="n"/>
      <c r="J10" s="5" t="n"/>
      <c r="K10" s="5" t="n"/>
    </row>
    <row r="11">
      <c r="A11" s="3" t="inlineStr">
        <is>
          <t>2023</t>
        </is>
      </c>
      <c r="B11" s="10" t="n">
        <v>0.8095</v>
      </c>
      <c r="C11" s="10" t="n">
        <v>0.8399</v>
      </c>
      <c r="D11" s="5" t="n"/>
      <c r="E11" s="5" t="n"/>
      <c r="F11" s="5" t="n"/>
      <c r="G11" s="5" t="n"/>
      <c r="H11" s="5" t="n"/>
      <c r="I11" s="5" t="n"/>
      <c r="J11" s="5" t="n"/>
      <c r="K11" s="5" t="n"/>
    </row>
    <row r="12">
      <c r="A12" s="3" t="inlineStr">
        <is>
          <t>2024</t>
        </is>
      </c>
      <c r="B12" s="10" t="n">
        <v>0.8325</v>
      </c>
      <c r="C12" s="5" t="n"/>
      <c r="D12" s="5" t="n"/>
      <c r="E12" s="5" t="n"/>
      <c r="F12" s="5" t="n"/>
      <c r="G12" s="5" t="n"/>
      <c r="H12" s="5" t="n"/>
      <c r="I12" s="5" t="n"/>
      <c r="J12" s="5" t="n"/>
      <c r="K12" s="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Open Counts</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4" t="n">
        <v>277</v>
      </c>
      <c r="C3" s="4" t="n">
        <v>431</v>
      </c>
      <c r="D3" s="4" t="n">
        <v>576</v>
      </c>
      <c r="E3" s="4" t="n">
        <v>528</v>
      </c>
      <c r="F3" s="4" t="n">
        <v>511</v>
      </c>
      <c r="G3" s="4" t="n">
        <v>383</v>
      </c>
      <c r="H3" s="4" t="n">
        <v>237</v>
      </c>
      <c r="I3" s="4" t="n">
        <v>142</v>
      </c>
      <c r="J3" s="4" t="n">
        <v>47</v>
      </c>
      <c r="K3" s="4" t="n">
        <v>-1</v>
      </c>
    </row>
    <row r="4">
      <c r="A4" s="3" t="inlineStr">
        <is>
          <t>2016</t>
        </is>
      </c>
      <c r="B4" s="4" t="n">
        <v>346</v>
      </c>
      <c r="C4" s="4" t="n">
        <v>527</v>
      </c>
      <c r="D4" s="4" t="n">
        <v>574</v>
      </c>
      <c r="E4" s="4" t="n">
        <v>621</v>
      </c>
      <c r="F4" s="4" t="n">
        <v>544</v>
      </c>
      <c r="G4" s="4" t="n">
        <v>400</v>
      </c>
      <c r="H4" s="4" t="n">
        <v>252</v>
      </c>
      <c r="I4" s="4" t="n">
        <v>155</v>
      </c>
      <c r="J4" s="4" t="n">
        <v>55</v>
      </c>
      <c r="K4" s="5" t="n"/>
    </row>
    <row r="5">
      <c r="A5" s="3" t="inlineStr">
        <is>
          <t>2017</t>
        </is>
      </c>
      <c r="B5" s="4" t="n">
        <v>270</v>
      </c>
      <c r="C5" s="4" t="n">
        <v>544</v>
      </c>
      <c r="D5" s="4" t="n">
        <v>635</v>
      </c>
      <c r="E5" s="4" t="n">
        <v>664</v>
      </c>
      <c r="F5" s="4" t="n">
        <v>581</v>
      </c>
      <c r="G5" s="4" t="n">
        <v>426</v>
      </c>
      <c r="H5" s="4" t="n">
        <v>262</v>
      </c>
      <c r="I5" s="4" t="n">
        <v>160</v>
      </c>
      <c r="J5" s="5" t="n"/>
      <c r="K5" s="5" t="n"/>
    </row>
    <row r="6">
      <c r="A6" s="3" t="inlineStr">
        <is>
          <t>2018</t>
        </is>
      </c>
      <c r="B6" s="4" t="n">
        <v>284</v>
      </c>
      <c r="C6" s="4" t="n">
        <v>444</v>
      </c>
      <c r="D6" s="4" t="n">
        <v>565</v>
      </c>
      <c r="E6" s="4" t="n">
        <v>615</v>
      </c>
      <c r="F6" s="4" t="n">
        <v>543</v>
      </c>
      <c r="G6" s="4" t="n">
        <v>374</v>
      </c>
      <c r="H6" s="4" t="n">
        <v>214</v>
      </c>
      <c r="I6" s="5" t="n"/>
      <c r="J6" s="5" t="n"/>
      <c r="K6" s="5" t="n"/>
    </row>
    <row r="7">
      <c r="A7" s="3" t="inlineStr">
        <is>
          <t>2019</t>
        </is>
      </c>
      <c r="B7" s="4" t="n">
        <v>173</v>
      </c>
      <c r="C7" s="4" t="n">
        <v>436</v>
      </c>
      <c r="D7" s="4" t="n">
        <v>618</v>
      </c>
      <c r="E7" s="4" t="n">
        <v>641</v>
      </c>
      <c r="F7" s="4" t="n">
        <v>570</v>
      </c>
      <c r="G7" s="4" t="n">
        <v>412</v>
      </c>
      <c r="H7" s="5" t="n"/>
      <c r="I7" s="5" t="n"/>
      <c r="J7" s="5" t="n"/>
      <c r="K7" s="5" t="n"/>
    </row>
    <row r="8">
      <c r="A8" s="3" t="inlineStr">
        <is>
          <t>2020</t>
        </is>
      </c>
      <c r="B8" s="4" t="n">
        <v>235</v>
      </c>
      <c r="C8" s="4" t="n">
        <v>412</v>
      </c>
      <c r="D8" s="4" t="n">
        <v>488</v>
      </c>
      <c r="E8" s="4" t="n">
        <v>601</v>
      </c>
      <c r="F8" s="4" t="n">
        <v>579</v>
      </c>
      <c r="G8" s="5" t="n"/>
      <c r="H8" s="5" t="n"/>
      <c r="I8" s="5" t="n"/>
      <c r="J8" s="5" t="n"/>
      <c r="K8" s="5" t="n"/>
    </row>
    <row r="9">
      <c r="A9" s="3" t="inlineStr">
        <is>
          <t>2021</t>
        </is>
      </c>
      <c r="B9" s="4" t="n">
        <v>77</v>
      </c>
      <c r="C9" s="4" t="n">
        <v>246</v>
      </c>
      <c r="D9" s="4" t="n">
        <v>347</v>
      </c>
      <c r="E9" s="4" t="n">
        <v>491</v>
      </c>
      <c r="F9" s="5" t="n"/>
      <c r="G9" s="5" t="n"/>
      <c r="H9" s="5" t="n"/>
      <c r="I9" s="5" t="n"/>
      <c r="J9" s="5" t="n"/>
      <c r="K9" s="5" t="n"/>
    </row>
    <row r="10">
      <c r="A10" s="3" t="inlineStr">
        <is>
          <t>2022</t>
        </is>
      </c>
      <c r="B10" s="4" t="n">
        <v>155</v>
      </c>
      <c r="C10" s="4" t="n">
        <v>365</v>
      </c>
      <c r="D10" s="4" t="n">
        <v>450</v>
      </c>
      <c r="E10" s="5" t="n"/>
      <c r="F10" s="5" t="n"/>
      <c r="G10" s="5" t="n"/>
      <c r="H10" s="5" t="n"/>
      <c r="I10" s="5" t="n"/>
      <c r="J10" s="5" t="n"/>
      <c r="K10" s="5" t="n"/>
    </row>
    <row r="11">
      <c r="A11" s="3" t="inlineStr">
        <is>
          <t>2023</t>
        </is>
      </c>
      <c r="B11" s="4" t="n">
        <v>250</v>
      </c>
      <c r="C11" s="4" t="n">
        <v>451</v>
      </c>
      <c r="D11" s="5" t="n"/>
      <c r="E11" s="5" t="n"/>
      <c r="F11" s="5" t="n"/>
      <c r="G11" s="5" t="n"/>
      <c r="H11" s="5" t="n"/>
      <c r="I11" s="5" t="n"/>
      <c r="J11" s="5" t="n"/>
      <c r="K11" s="5" t="n"/>
    </row>
    <row r="12">
      <c r="A12" s="3" t="inlineStr">
        <is>
          <t>2024</t>
        </is>
      </c>
      <c r="B12" s="4" t="n">
        <v>406</v>
      </c>
      <c r="C12" s="5" t="n"/>
      <c r="D12" s="5" t="n"/>
      <c r="E12" s="5" t="n"/>
      <c r="F12" s="5" t="n"/>
      <c r="G12" s="5" t="n"/>
      <c r="H12" s="5" t="n"/>
      <c r="I12" s="5" t="n"/>
      <c r="J12" s="5" t="n"/>
      <c r="K12" s="5"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Average Case Reserve</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4" t="n">
        <v>8591.375400000001</v>
      </c>
      <c r="C3" s="4" t="n">
        <v>8738.5157</v>
      </c>
      <c r="D3" s="4" t="n">
        <v>6781.8266</v>
      </c>
      <c r="E3" s="4" t="n">
        <v>8647.9552</v>
      </c>
      <c r="F3" s="4" t="n">
        <v>8561.5749</v>
      </c>
      <c r="G3" s="4" t="n">
        <v>9588.092500000001</v>
      </c>
      <c r="H3" s="4" t="n">
        <v>11950.8005</v>
      </c>
      <c r="I3" s="4" t="n">
        <v>14727.1803</v>
      </c>
      <c r="J3" s="4" t="n">
        <v>20867.8591</v>
      </c>
      <c r="K3" s="4" t="n">
        <v>-0.03</v>
      </c>
    </row>
    <row r="4">
      <c r="A4" s="3" t="inlineStr">
        <is>
          <t>2016</t>
        </is>
      </c>
      <c r="B4" s="4" t="n">
        <v>9925.950199999999</v>
      </c>
      <c r="C4" s="4" t="n">
        <v>7572.5075</v>
      </c>
      <c r="D4" s="4" t="n">
        <v>7620.9716</v>
      </c>
      <c r="E4" s="4" t="n">
        <v>8044.2907</v>
      </c>
      <c r="F4" s="4" t="n">
        <v>8823.628699999999</v>
      </c>
      <c r="G4" s="4" t="n">
        <v>9017.4012</v>
      </c>
      <c r="H4" s="4" t="n">
        <v>10386.1934</v>
      </c>
      <c r="I4" s="4" t="n">
        <v>11774.0208</v>
      </c>
      <c r="J4" s="4" t="n">
        <v>11907.7364</v>
      </c>
      <c r="K4" s="5" t="n"/>
    </row>
    <row r="5">
      <c r="A5" s="3" t="inlineStr">
        <is>
          <t>2017</t>
        </is>
      </c>
      <c r="B5" s="4" t="n">
        <v>4062.0959</v>
      </c>
      <c r="C5" s="4" t="n">
        <v>4109.2935</v>
      </c>
      <c r="D5" s="4" t="n">
        <v>3756.1962</v>
      </c>
      <c r="E5" s="4" t="n">
        <v>4229.3513</v>
      </c>
      <c r="F5" s="4" t="n">
        <v>4017.8763</v>
      </c>
      <c r="G5" s="4" t="n">
        <v>3530.1649</v>
      </c>
      <c r="H5" s="4" t="n">
        <v>3341.6888</v>
      </c>
      <c r="I5" s="4" t="n">
        <v>2904.1845</v>
      </c>
      <c r="J5" s="5" t="n"/>
      <c r="K5" s="5" t="n"/>
    </row>
    <row r="6">
      <c r="A6" s="3" t="inlineStr">
        <is>
          <t>2018</t>
        </is>
      </c>
      <c r="B6" s="4" t="n">
        <v>8935.0304</v>
      </c>
      <c r="C6" s="4" t="n">
        <v>10295.4555</v>
      </c>
      <c r="D6" s="4" t="n">
        <v>9510.0095</v>
      </c>
      <c r="E6" s="4" t="n">
        <v>10646.0519</v>
      </c>
      <c r="F6" s="4" t="n">
        <v>9920.6168</v>
      </c>
      <c r="G6" s="4" t="n">
        <v>10928.7311</v>
      </c>
      <c r="H6" s="4" t="n">
        <v>13556.8673</v>
      </c>
      <c r="I6" s="5" t="n"/>
      <c r="J6" s="5" t="n"/>
      <c r="K6" s="5" t="n"/>
    </row>
    <row r="7">
      <c r="A7" s="3" t="inlineStr">
        <is>
          <t>2019</t>
        </is>
      </c>
      <c r="B7" s="4" t="n">
        <v>10308.7939</v>
      </c>
      <c r="C7" s="4" t="n">
        <v>7866.6164</v>
      </c>
      <c r="D7" s="4" t="n">
        <v>6064.0411</v>
      </c>
      <c r="E7" s="4" t="n">
        <v>6411.2649</v>
      </c>
      <c r="F7" s="4" t="n">
        <v>5898.3768</v>
      </c>
      <c r="G7" s="4" t="n">
        <v>5958.8635</v>
      </c>
      <c r="H7" s="5" t="n"/>
      <c r="I7" s="5" t="n"/>
      <c r="J7" s="5" t="n"/>
      <c r="K7" s="5" t="n"/>
    </row>
    <row r="8">
      <c r="A8" s="3" t="inlineStr">
        <is>
          <t>2020</t>
        </is>
      </c>
      <c r="B8" s="4" t="n">
        <v>6655.5009</v>
      </c>
      <c r="C8" s="4" t="n">
        <v>8032.2423</v>
      </c>
      <c r="D8" s="4" t="n">
        <v>8624.7901</v>
      </c>
      <c r="E8" s="4" t="n">
        <v>7572.8318</v>
      </c>
      <c r="F8" s="4" t="n">
        <v>7196.2771</v>
      </c>
      <c r="G8" s="5" t="n"/>
      <c r="H8" s="5" t="n"/>
      <c r="I8" s="5" t="n"/>
      <c r="J8" s="5" t="n"/>
      <c r="K8" s="5" t="n"/>
    </row>
    <row r="9">
      <c r="A9" s="3" t="inlineStr">
        <is>
          <t>2021</t>
        </is>
      </c>
      <c r="B9" s="4" t="n">
        <v>39109.3523</v>
      </c>
      <c r="C9" s="4" t="n">
        <v>27011.243</v>
      </c>
      <c r="D9" s="4" t="n">
        <v>23510.405</v>
      </c>
      <c r="E9" s="4" t="n">
        <v>18400.7982</v>
      </c>
      <c r="F9" s="5" t="n"/>
      <c r="G9" s="5" t="n"/>
      <c r="H9" s="5" t="n"/>
      <c r="I9" s="5" t="n"/>
      <c r="J9" s="5" t="n"/>
      <c r="K9" s="5" t="n"/>
    </row>
    <row r="10">
      <c r="A10" s="3" t="inlineStr">
        <is>
          <t>2022</t>
        </is>
      </c>
      <c r="B10" s="4" t="n">
        <v>14834.6235</v>
      </c>
      <c r="C10" s="4" t="n">
        <v>9627.9614</v>
      </c>
      <c r="D10" s="4" t="n">
        <v>8753.5229</v>
      </c>
      <c r="E10" s="5" t="n"/>
      <c r="F10" s="5" t="n"/>
      <c r="G10" s="5" t="n"/>
      <c r="H10" s="5" t="n"/>
      <c r="I10" s="5" t="n"/>
      <c r="J10" s="5" t="n"/>
      <c r="K10" s="5" t="n"/>
    </row>
    <row r="11">
      <c r="A11" s="3" t="inlineStr">
        <is>
          <t>2023</t>
        </is>
      </c>
      <c r="B11" s="4" t="n">
        <v>9201.907800000001</v>
      </c>
      <c r="C11" s="4" t="n">
        <v>7575.2419</v>
      </c>
      <c r="D11" s="5" t="n"/>
      <c r="E11" s="5" t="n"/>
      <c r="F11" s="5" t="n"/>
      <c r="G11" s="5" t="n"/>
      <c r="H11" s="5" t="n"/>
      <c r="I11" s="5" t="n"/>
      <c r="J11" s="5" t="n"/>
      <c r="K11" s="5" t="n"/>
    </row>
    <row r="12">
      <c r="A12" s="3" t="inlineStr">
        <is>
          <t>2024</t>
        </is>
      </c>
      <c r="B12" s="4" t="n">
        <v>6572.8267</v>
      </c>
      <c r="C12" s="5" t="n"/>
      <c r="D12" s="5" t="n"/>
      <c r="E12" s="5" t="n"/>
      <c r="F12" s="5" t="n"/>
      <c r="G12" s="5" t="n"/>
      <c r="H12" s="5" t="n"/>
      <c r="I12" s="5" t="n"/>
      <c r="J12" s="5" t="n"/>
      <c r="K12" s="5"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Claim Closure Rate</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10" t="n">
        <v>0.8309</v>
      </c>
      <c r="C3" s="10" t="n">
        <v>0.839</v>
      </c>
      <c r="D3" s="10" t="n">
        <v>0.8341</v>
      </c>
      <c r="E3" s="10" t="n">
        <v>0.8705000000000001</v>
      </c>
      <c r="F3" s="10" t="n">
        <v>0.8871</v>
      </c>
      <c r="G3" s="10" t="n">
        <v>0.919</v>
      </c>
      <c r="H3" s="10" t="n">
        <v>0.9509</v>
      </c>
      <c r="I3" s="10" t="n">
        <v>0.9709</v>
      </c>
      <c r="J3" s="10" t="n">
        <v>0.9905</v>
      </c>
      <c r="K3" s="10" t="n">
        <v>1.0002</v>
      </c>
    </row>
    <row r="4">
      <c r="A4" s="3" t="inlineStr">
        <is>
          <t>2016</t>
        </is>
      </c>
      <c r="B4" s="10" t="n">
        <v>0.7885</v>
      </c>
      <c r="C4" s="10" t="n">
        <v>0.8065</v>
      </c>
      <c r="D4" s="10" t="n">
        <v>0.8348</v>
      </c>
      <c r="E4" s="10" t="n">
        <v>0.8506</v>
      </c>
      <c r="F4" s="10" t="n">
        <v>0.8806</v>
      </c>
      <c r="G4" s="10" t="n">
        <v>0.9157</v>
      </c>
      <c r="H4" s="10" t="n">
        <v>0.948</v>
      </c>
      <c r="I4" s="10" t="n">
        <v>0.9683</v>
      </c>
      <c r="J4" s="10" t="n">
        <v>0.9889</v>
      </c>
      <c r="K4" s="5" t="n"/>
    </row>
    <row r="5">
      <c r="A5" s="3" t="inlineStr">
        <is>
          <t>2017</t>
        </is>
      </c>
      <c r="B5" s="10" t="n">
        <v>0.8337</v>
      </c>
      <c r="C5" s="10" t="n">
        <v>0.7972</v>
      </c>
      <c r="D5" s="10" t="n">
        <v>0.8174</v>
      </c>
      <c r="E5" s="10" t="n">
        <v>0.8386</v>
      </c>
      <c r="F5" s="10" t="n">
        <v>0.8713</v>
      </c>
      <c r="G5" s="10" t="n">
        <v>0.9096</v>
      </c>
      <c r="H5" s="10" t="n">
        <v>0.9456</v>
      </c>
      <c r="I5" s="10" t="n">
        <v>0.9671</v>
      </c>
      <c r="J5" s="5" t="n"/>
      <c r="K5" s="5" t="n"/>
    </row>
    <row r="6">
      <c r="A6" s="3" t="inlineStr">
        <is>
          <t>2018</t>
        </is>
      </c>
      <c r="B6" s="10" t="n">
        <v>0.8326</v>
      </c>
      <c r="C6" s="10" t="n">
        <v>0.8377</v>
      </c>
      <c r="D6" s="10" t="n">
        <v>0.8413</v>
      </c>
      <c r="E6" s="10" t="n">
        <v>0.8537</v>
      </c>
      <c r="F6" s="10" t="n">
        <v>0.8818</v>
      </c>
      <c r="G6" s="10" t="n">
        <v>0.9216</v>
      </c>
      <c r="H6" s="10" t="n">
        <v>0.9562</v>
      </c>
      <c r="I6" s="5" t="n"/>
      <c r="J6" s="5" t="n"/>
      <c r="K6" s="5" t="n"/>
    </row>
    <row r="7">
      <c r="A7" s="3" t="inlineStr">
        <is>
          <t>2019</t>
        </is>
      </c>
      <c r="B7" s="10" t="n">
        <v>0.889</v>
      </c>
      <c r="C7" s="10" t="n">
        <v>0.8377</v>
      </c>
      <c r="D7" s="10" t="n">
        <v>0.8257</v>
      </c>
      <c r="E7" s="10" t="n">
        <v>0.8461</v>
      </c>
      <c r="F7" s="10" t="n">
        <v>0.8753</v>
      </c>
      <c r="G7" s="10" t="n">
        <v>0.9136</v>
      </c>
      <c r="H7" s="5" t="n"/>
      <c r="I7" s="5" t="n"/>
      <c r="J7" s="5" t="n"/>
      <c r="K7" s="5" t="n"/>
    </row>
    <row r="8">
      <c r="A8" s="3" t="inlineStr">
        <is>
          <t>2020</t>
        </is>
      </c>
      <c r="B8" s="10" t="n">
        <v>0.8552999999999999</v>
      </c>
      <c r="C8" s="10" t="n">
        <v>0.8502</v>
      </c>
      <c r="D8" s="10" t="n">
        <v>0.8603</v>
      </c>
      <c r="E8" s="10" t="n">
        <v>0.8554</v>
      </c>
      <c r="F8" s="10" t="n">
        <v>0.874</v>
      </c>
      <c r="G8" s="5" t="n"/>
      <c r="H8" s="5" t="n"/>
      <c r="I8" s="5" t="n"/>
      <c r="J8" s="5" t="n"/>
      <c r="K8" s="5" t="n"/>
    </row>
    <row r="9">
      <c r="A9" s="3" t="inlineStr">
        <is>
          <t>2021</t>
        </is>
      </c>
      <c r="B9" s="10" t="n">
        <v>0.9529</v>
      </c>
      <c r="C9" s="10" t="n">
        <v>0.9105</v>
      </c>
      <c r="D9" s="10" t="n">
        <v>0.903</v>
      </c>
      <c r="E9" s="10" t="n">
        <v>0.8858</v>
      </c>
      <c r="F9" s="5" t="n"/>
      <c r="G9" s="5" t="n"/>
      <c r="H9" s="5" t="n"/>
      <c r="I9" s="5" t="n"/>
      <c r="J9" s="5" t="n"/>
      <c r="K9" s="5" t="n"/>
    </row>
    <row r="10">
      <c r="A10" s="3" t="inlineStr">
        <is>
          <t>2022</t>
        </is>
      </c>
      <c r="B10" s="10" t="n">
        <v>0.9099</v>
      </c>
      <c r="C10" s="10" t="n">
        <v>0.8688</v>
      </c>
      <c r="D10" s="10" t="n">
        <v>0.8739</v>
      </c>
      <c r="E10" s="5" t="n"/>
      <c r="F10" s="5" t="n"/>
      <c r="G10" s="5" t="n"/>
      <c r="H10" s="5" t="n"/>
      <c r="I10" s="5" t="n"/>
      <c r="J10" s="5" t="n"/>
      <c r="K10" s="5" t="n"/>
    </row>
    <row r="11">
      <c r="A11" s="3" t="inlineStr">
        <is>
          <t>2023</t>
        </is>
      </c>
      <c r="B11" s="10" t="n">
        <v>0.8406</v>
      </c>
      <c r="C11" s="10" t="n">
        <v>0.8308</v>
      </c>
      <c r="D11" s="5" t="n"/>
      <c r="E11" s="5" t="n"/>
      <c r="F11" s="5" t="n"/>
      <c r="G11" s="5" t="n"/>
      <c r="H11" s="5" t="n"/>
      <c r="I11" s="5" t="n"/>
      <c r="J11" s="5" t="n"/>
      <c r="K11" s="5" t="n"/>
    </row>
    <row r="12">
      <c r="A12" s="3" t="inlineStr">
        <is>
          <t>2024</t>
        </is>
      </c>
      <c r="B12" s="10" t="n">
        <v>0.7629</v>
      </c>
      <c r="C12" s="5" t="n"/>
      <c r="D12" s="5" t="n"/>
      <c r="E12" s="5" t="n"/>
      <c r="F12" s="5" t="n"/>
      <c r="G12" s="5" t="n"/>
      <c r="H12" s="5" t="n"/>
      <c r="I12" s="5" t="n"/>
      <c r="J12" s="5" t="n"/>
      <c r="K12" s="5"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Incremental Incurred Severity</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4" t="n">
        <v>7098.4541</v>
      </c>
      <c r="C3" s="4" t="n">
        <v>8687.5504</v>
      </c>
      <c r="D3" s="4" t="n">
        <v>7865.7459</v>
      </c>
      <c r="E3" s="4" t="n">
        <v>9027.380999999999</v>
      </c>
      <c r="F3" s="4" t="n">
        <v>8132.1039</v>
      </c>
      <c r="G3" s="4" t="n">
        <v>13097.827</v>
      </c>
      <c r="H3" s="4" t="n">
        <v>23438.9196</v>
      </c>
      <c r="I3" s="4" t="n">
        <v>32028.9181</v>
      </c>
      <c r="J3" s="4" t="n">
        <v>29624.8434</v>
      </c>
      <c r="K3" s="4" t="n"/>
    </row>
    <row r="4">
      <c r="A4" s="3" t="inlineStr">
        <is>
          <t>2016</t>
        </is>
      </c>
      <c r="B4" s="4" t="n">
        <v>9571.615100000001</v>
      </c>
      <c r="C4" s="4" t="n">
        <v>10433.4242</v>
      </c>
      <c r="D4" s="4" t="n">
        <v>11766.0144</v>
      </c>
      <c r="E4" s="4" t="n">
        <v>10973.3131</v>
      </c>
      <c r="F4" s="4" t="n">
        <v>13784.2325</v>
      </c>
      <c r="G4" s="4" t="n">
        <v>19220.3235</v>
      </c>
      <c r="H4" s="4" t="n">
        <v>30687.3803</v>
      </c>
      <c r="I4" s="4" t="n">
        <v>49602.1504</v>
      </c>
      <c r="J4" s="4" t="n">
        <v>39739.1851</v>
      </c>
      <c r="K4" s="5" t="n"/>
    </row>
    <row r="5">
      <c r="A5" s="3" t="inlineStr">
        <is>
          <t>2017</t>
        </is>
      </c>
      <c r="B5" s="4" t="n">
        <v>5387.136</v>
      </c>
      <c r="C5" s="4" t="n">
        <v>7370.5697</v>
      </c>
      <c r="D5" s="4" t="n">
        <v>7245.6314</v>
      </c>
      <c r="E5" s="4" t="n">
        <v>7069.924</v>
      </c>
      <c r="F5" s="4" t="n">
        <v>7671.2475</v>
      </c>
      <c r="G5" s="4" t="n">
        <v>11141.0106</v>
      </c>
      <c r="H5" s="4" t="n">
        <v>18123.0743</v>
      </c>
      <c r="I5" s="4" t="n">
        <v>28634.9373</v>
      </c>
      <c r="J5" s="5" t="n"/>
      <c r="K5" s="5" t="n"/>
    </row>
    <row r="6">
      <c r="A6" s="3" t="inlineStr">
        <is>
          <t>2018</t>
        </is>
      </c>
      <c r="B6" s="4" t="n">
        <v>8605.7618</v>
      </c>
      <c r="C6" s="4" t="n">
        <v>12053.4553</v>
      </c>
      <c r="D6" s="4" t="n">
        <v>11263.7856</v>
      </c>
      <c r="E6" s="4" t="n">
        <v>12274.6516</v>
      </c>
      <c r="F6" s="4" t="n">
        <v>11848.4372</v>
      </c>
      <c r="G6" s="4" t="n">
        <v>18919.3877</v>
      </c>
      <c r="H6" s="4" t="n">
        <v>26444.0148</v>
      </c>
      <c r="I6" s="5" t="n"/>
      <c r="J6" s="5" t="n"/>
      <c r="K6" s="5" t="n"/>
    </row>
    <row r="7">
      <c r="A7" s="3" t="inlineStr">
        <is>
          <t>2019</t>
        </is>
      </c>
      <c r="B7" s="4" t="n">
        <v>7599.8629</v>
      </c>
      <c r="C7" s="4" t="n">
        <v>8602.132900000001</v>
      </c>
      <c r="D7" s="4" t="n">
        <v>8201.017099999999</v>
      </c>
      <c r="E7" s="4" t="n">
        <v>8433.353800000001</v>
      </c>
      <c r="F7" s="4" t="n">
        <v>9194.715</v>
      </c>
      <c r="G7" s="4" t="n">
        <v>14416.5329</v>
      </c>
      <c r="H7" s="5" t="n"/>
      <c r="I7" s="5" t="n"/>
      <c r="J7" s="5" t="n"/>
      <c r="K7" s="5" t="n"/>
    </row>
    <row r="8">
      <c r="A8" s="3" t="inlineStr">
        <is>
          <t>2020</t>
        </is>
      </c>
      <c r="B8" s="4" t="n">
        <v>6482.6603</v>
      </c>
      <c r="C8" s="4" t="n">
        <v>7725.6199</v>
      </c>
      <c r="D8" s="4" t="n">
        <v>9537.2168</v>
      </c>
      <c r="E8" s="4" t="n">
        <v>7881.7474</v>
      </c>
      <c r="F8" s="4" t="n">
        <v>7680.388</v>
      </c>
      <c r="G8" s="5" t="n"/>
      <c r="H8" s="5" t="n"/>
      <c r="I8" s="5" t="n"/>
      <c r="J8" s="5" t="n"/>
      <c r="K8" s="5" t="n"/>
    </row>
    <row r="9">
      <c r="A9" s="3" t="inlineStr">
        <is>
          <t>2021</t>
        </is>
      </c>
      <c r="B9" s="4" t="n">
        <v>11598.8841</v>
      </c>
      <c r="C9" s="4" t="n">
        <v>14527.1327</v>
      </c>
      <c r="D9" s="4" t="n">
        <v>13289.8719</v>
      </c>
      <c r="E9" s="4" t="n">
        <v>12531.8241</v>
      </c>
      <c r="F9" s="5" t="n"/>
      <c r="G9" s="5" t="n"/>
      <c r="H9" s="5" t="n"/>
      <c r="I9" s="5" t="n"/>
      <c r="J9" s="5" t="n"/>
      <c r="K9" s="5" t="n"/>
    </row>
    <row r="10">
      <c r="A10" s="3" t="inlineStr">
        <is>
          <t>2022</t>
        </is>
      </c>
      <c r="B10" s="4" t="n">
        <v>6560.2045</v>
      </c>
      <c r="C10" s="4" t="n">
        <v>8325.697</v>
      </c>
      <c r="D10" s="4" t="n">
        <v>8800.349700000001</v>
      </c>
      <c r="E10" s="5" t="n"/>
      <c r="F10" s="5" t="n"/>
      <c r="G10" s="5" t="n"/>
      <c r="H10" s="5" t="n"/>
      <c r="I10" s="5" t="n"/>
      <c r="J10" s="5" t="n"/>
      <c r="K10" s="5" t="n"/>
    </row>
    <row r="11">
      <c r="A11" s="3" t="inlineStr">
        <is>
          <t>2023</t>
        </is>
      </c>
      <c r="B11" s="4" t="n">
        <v>7700.7354</v>
      </c>
      <c r="C11" s="4" t="n">
        <v>8442.365299999999</v>
      </c>
      <c r="D11" s="5" t="n"/>
      <c r="E11" s="5" t="n"/>
      <c r="F11" s="5" t="n"/>
      <c r="G11" s="5" t="n"/>
      <c r="H11" s="5" t="n"/>
      <c r="I11" s="5" t="n"/>
      <c r="J11" s="5" t="n"/>
      <c r="K11" s="5" t="n"/>
    </row>
    <row r="12">
      <c r="A12" s="3" t="inlineStr">
        <is>
          <t>2024</t>
        </is>
      </c>
      <c r="B12" s="4" t="n">
        <v>9304.8621</v>
      </c>
      <c r="C12" s="5" t="n"/>
      <c r="D12" s="5" t="n"/>
      <c r="E12" s="5" t="n"/>
      <c r="F12" s="5" t="n"/>
      <c r="G12" s="5" t="n"/>
      <c r="H12" s="5" t="n"/>
      <c r="I12" s="5" t="n"/>
      <c r="J12" s="5" t="n"/>
      <c r="K12" s="5"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Incremental Paid Severity</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4" t="n">
        <v>6794.6046</v>
      </c>
      <c r="C3" s="4" t="n">
        <v>8632.6278</v>
      </c>
      <c r="D3" s="4" t="n">
        <v>9404.9786</v>
      </c>
      <c r="E3" s="4" t="n">
        <v>7353.4109</v>
      </c>
      <c r="F3" s="4" t="n">
        <v>8245.644200000001</v>
      </c>
      <c r="G3" s="4" t="n">
        <v>10164.7049</v>
      </c>
      <c r="H3" s="4" t="n">
        <v>12984.7391</v>
      </c>
      <c r="I3" s="4" t="n">
        <v>16371.3188</v>
      </c>
      <c r="J3" s="4" t="n">
        <v>17625.6187</v>
      </c>
      <c r="K3" s="4" t="n">
        <v>39005.9844</v>
      </c>
    </row>
    <row r="4">
      <c r="A4" s="3" t="inlineStr">
        <is>
          <t>2016</t>
        </is>
      </c>
      <c r="B4" s="4" t="n">
        <v>9476.5764</v>
      </c>
      <c r="C4" s="4" t="n">
        <v>11903.7521</v>
      </c>
      <c r="D4" s="4" t="n">
        <v>12006.464</v>
      </c>
      <c r="E4" s="4" t="n">
        <v>10807.453</v>
      </c>
      <c r="F4" s="4" t="n">
        <v>11965.0405</v>
      </c>
      <c r="G4" s="4" t="n">
        <v>14477.453</v>
      </c>
      <c r="H4" s="4" t="n">
        <v>16535.6172</v>
      </c>
      <c r="I4" s="4" t="n">
        <v>21884.4878</v>
      </c>
      <c r="J4" s="4" t="n">
        <v>20921.2603</v>
      </c>
      <c r="K4" s="5" t="n"/>
    </row>
    <row r="5">
      <c r="A5" s="3" t="inlineStr">
        <is>
          <t>2017</t>
        </is>
      </c>
      <c r="B5" s="4" t="n">
        <v>5651.3611</v>
      </c>
      <c r="C5" s="4" t="n">
        <v>8494.098099999999</v>
      </c>
      <c r="D5" s="4" t="n">
        <v>7969.5285</v>
      </c>
      <c r="E5" s="4" t="n">
        <v>6711.2449</v>
      </c>
      <c r="F5" s="4" t="n">
        <v>7335.5559</v>
      </c>
      <c r="G5" s="4" t="n">
        <v>8594.644700000001</v>
      </c>
      <c r="H5" s="4" t="n">
        <v>9211.072899999999</v>
      </c>
      <c r="I5" s="4" t="n">
        <v>12336.8161</v>
      </c>
      <c r="J5" s="5" t="n"/>
      <c r="K5" s="5" t="n"/>
    </row>
    <row r="6">
      <c r="A6" s="3" t="inlineStr">
        <is>
          <t>2018</t>
        </is>
      </c>
      <c r="B6" s="4" t="n">
        <v>8539.5818</v>
      </c>
      <c r="C6" s="4" t="n">
        <v>11933.9095</v>
      </c>
      <c r="D6" s="4" t="n">
        <v>12061.7157</v>
      </c>
      <c r="E6" s="4" t="n">
        <v>11331.16</v>
      </c>
      <c r="F6" s="4" t="n">
        <v>12516.5666</v>
      </c>
      <c r="G6" s="4" t="n">
        <v>13497.0248</v>
      </c>
      <c r="H6" s="4" t="n">
        <v>15290.6575</v>
      </c>
      <c r="I6" s="5" t="n"/>
      <c r="J6" s="5" t="n"/>
      <c r="K6" s="5" t="n"/>
    </row>
    <row r="7">
      <c r="A7" s="3" t="inlineStr">
        <is>
          <t>2019</t>
        </is>
      </c>
      <c r="B7" s="4" t="n">
        <v>7261.7351</v>
      </c>
      <c r="C7" s="4" t="n">
        <v>9314.1994</v>
      </c>
      <c r="D7" s="4" t="n">
        <v>9938.9645</v>
      </c>
      <c r="E7" s="4" t="n">
        <v>8152.2897</v>
      </c>
      <c r="F7" s="4" t="n">
        <v>9394.1283</v>
      </c>
      <c r="G7" s="4" t="n">
        <v>10555.1548</v>
      </c>
      <c r="H7" s="5" t="n"/>
      <c r="I7" s="5" t="n"/>
      <c r="J7" s="5" t="n"/>
      <c r="K7" s="5" t="n"/>
    </row>
    <row r="8">
      <c r="A8" s="3" t="inlineStr">
        <is>
          <t>2020</t>
        </is>
      </c>
      <c r="B8" s="4" t="n">
        <v>6453.418</v>
      </c>
      <c r="C8" s="4" t="n">
        <v>7327.5099</v>
      </c>
      <c r="D8" s="4" t="n">
        <v>9275.5622</v>
      </c>
      <c r="E8" s="4" t="n">
        <v>8882.227500000001</v>
      </c>
      <c r="F8" s="4" t="n">
        <v>8145.1702</v>
      </c>
      <c r="G8" s="5" t="n"/>
      <c r="H8" s="5" t="n"/>
      <c r="I8" s="5" t="n"/>
      <c r="J8" s="5" t="n"/>
      <c r="K8" s="5" t="n"/>
    </row>
    <row r="9">
      <c r="A9" s="3" t="inlineStr">
        <is>
          <t>2021</t>
        </is>
      </c>
      <c r="B9" s="4" t="n">
        <v>10240.1246</v>
      </c>
      <c r="C9" s="4" t="n">
        <v>13277.6521</v>
      </c>
      <c r="D9" s="4" t="n">
        <v>13055.5326</v>
      </c>
      <c r="E9" s="4" t="n">
        <v>14137.1896</v>
      </c>
      <c r="F9" s="5" t="n"/>
      <c r="G9" s="5" t="n"/>
      <c r="H9" s="5" t="n"/>
      <c r="I9" s="5" t="n"/>
      <c r="J9" s="5" t="n"/>
      <c r="K9" s="5" t="n"/>
    </row>
    <row r="10">
      <c r="A10" s="3" t="inlineStr">
        <is>
          <t>2022</t>
        </is>
      </c>
      <c r="B10" s="4" t="n">
        <v>5740.6934</v>
      </c>
      <c r="C10" s="4" t="n">
        <v>8951.203600000001</v>
      </c>
      <c r="D10" s="4" t="n">
        <v>9261.993</v>
      </c>
      <c r="E10" s="5" t="n"/>
      <c r="F10" s="5" t="n"/>
      <c r="G10" s="5" t="n"/>
      <c r="H10" s="5" t="n"/>
      <c r="I10" s="5" t="n"/>
      <c r="J10" s="5" t="n"/>
      <c r="K10" s="5" t="n"/>
    </row>
    <row r="11">
      <c r="A11" s="3" t="inlineStr">
        <is>
          <t>2023</t>
        </is>
      </c>
      <c r="B11" s="4" t="n">
        <v>7415.991</v>
      </c>
      <c r="C11" s="4" t="n">
        <v>9090.7562</v>
      </c>
      <c r="D11" s="5" t="n"/>
      <c r="E11" s="5" t="n"/>
      <c r="F11" s="5" t="n"/>
      <c r="G11" s="5" t="n"/>
      <c r="H11" s="5" t="n"/>
      <c r="I11" s="5" t="n"/>
      <c r="J11" s="5" t="n"/>
      <c r="K11" s="5" t="n"/>
    </row>
    <row r="12">
      <c r="A12" s="3" t="inlineStr">
        <is>
          <t>2024</t>
        </is>
      </c>
      <c r="B12" s="4" t="n">
        <v>10154.1778</v>
      </c>
      <c r="C12" s="5" t="n"/>
      <c r="D12" s="5" t="n"/>
      <c r="E12" s="5" t="n"/>
      <c r="F12" s="5" t="n"/>
      <c r="G12" s="5" t="n"/>
      <c r="H12" s="5" t="n"/>
      <c r="I12" s="5" t="n"/>
      <c r="J12" s="5" t="n"/>
      <c r="K12" s="5"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Incremental Closure Rate</t>
        </is>
      </c>
    </row>
    <row r="2">
      <c r="B2" s="2" t="inlineStr">
        <is>
          <t>12</t>
        </is>
      </c>
      <c r="C2" s="2" t="inlineStr">
        <is>
          <t>24</t>
        </is>
      </c>
      <c r="D2" s="2" t="inlineStr">
        <is>
          <t>36</t>
        </is>
      </c>
      <c r="E2" s="2" t="inlineStr">
        <is>
          <t>48</t>
        </is>
      </c>
      <c r="F2" s="2" t="inlineStr">
        <is>
          <t>60</t>
        </is>
      </c>
      <c r="G2" s="2" t="inlineStr">
        <is>
          <t>72</t>
        </is>
      </c>
      <c r="H2" s="2" t="inlineStr">
        <is>
          <t>84</t>
        </is>
      </c>
      <c r="I2" s="2" t="inlineStr">
        <is>
          <t>96</t>
        </is>
      </c>
      <c r="J2" s="2" t="inlineStr">
        <is>
          <t>108</t>
        </is>
      </c>
      <c r="K2" s="2" t="inlineStr">
        <is>
          <t>120</t>
        </is>
      </c>
    </row>
    <row r="3">
      <c r="A3" s="3" t="inlineStr">
        <is>
          <t>2015</t>
        </is>
      </c>
      <c r="B3" s="10" t="n">
        <v>0.8309</v>
      </c>
      <c r="C3" s="10" t="n">
        <v>0.8518</v>
      </c>
      <c r="D3" s="10" t="n">
        <v>0.8176</v>
      </c>
      <c r="E3" s="10" t="n">
        <v>1.0793</v>
      </c>
      <c r="F3" s="10" t="n">
        <v>1.0379</v>
      </c>
      <c r="G3" s="10" t="n">
        <v>1.6275</v>
      </c>
      <c r="H3" s="10" t="n">
        <v>2.4455</v>
      </c>
      <c r="I3" s="10" t="n">
        <v>2.8269</v>
      </c>
      <c r="J3" s="10" t="n">
        <v>3.0213</v>
      </c>
      <c r="K3" s="10" t="n"/>
    </row>
    <row r="4">
      <c r="A4" s="3" t="inlineStr">
        <is>
          <t>2016</t>
        </is>
      </c>
      <c r="B4" s="10" t="n">
        <v>0.7885</v>
      </c>
      <c r="C4" s="10" t="n">
        <v>0.8335</v>
      </c>
      <c r="D4" s="10" t="n">
        <v>0.9374</v>
      </c>
      <c r="E4" s="10" t="n">
        <v>0.9311</v>
      </c>
      <c r="F4" s="10" t="n">
        <v>1.193</v>
      </c>
      <c r="G4" s="10" t="n">
        <v>1.766</v>
      </c>
      <c r="H4" s="10" t="n">
        <v>2.4369</v>
      </c>
      <c r="I4" s="10" t="n">
        <v>3.0208</v>
      </c>
      <c r="J4" s="10" t="n">
        <v>3.0408</v>
      </c>
      <c r="K4" s="5" t="n"/>
    </row>
    <row r="5">
      <c r="A5" s="3" t="inlineStr">
        <is>
          <t>2017</t>
        </is>
      </c>
      <c r="B5" s="10" t="n">
        <v>0.8337</v>
      </c>
      <c r="C5" s="10" t="n">
        <v>0.741</v>
      </c>
      <c r="D5" s="10" t="n">
        <v>0.8855</v>
      </c>
      <c r="E5" s="10" t="n">
        <v>0.9545</v>
      </c>
      <c r="F5" s="10" t="n">
        <v>1.2065</v>
      </c>
      <c r="G5" s="10" t="n">
        <v>1.7868</v>
      </c>
      <c r="H5" s="10" t="n">
        <v>2.6566</v>
      </c>
      <c r="I5" s="10" t="n">
        <v>2.9615</v>
      </c>
      <c r="J5" s="5" t="n"/>
      <c r="K5" s="5" t="n"/>
    </row>
    <row r="6">
      <c r="A6" s="3" t="inlineStr">
        <is>
          <t>2018</t>
        </is>
      </c>
      <c r="B6" s="10" t="n">
        <v>0.8326</v>
      </c>
      <c r="C6" s="10" t="n">
        <v>0.846</v>
      </c>
      <c r="D6" s="10" t="n">
        <v>0.8532</v>
      </c>
      <c r="E6" s="10" t="n">
        <v>0.9224</v>
      </c>
      <c r="F6" s="10" t="n">
        <v>1.1856</v>
      </c>
      <c r="G6" s="10" t="n">
        <v>1.9337</v>
      </c>
      <c r="H6" s="10" t="n">
        <v>2.4159</v>
      </c>
      <c r="I6" s="5" t="n"/>
      <c r="J6" s="5" t="n"/>
      <c r="K6" s="5" t="n"/>
    </row>
    <row r="7">
      <c r="A7" s="3" t="inlineStr">
        <is>
          <t>2019</t>
        </is>
      </c>
      <c r="B7" s="10" t="n">
        <v>0.889</v>
      </c>
      <c r="C7" s="10" t="n">
        <v>0.7668</v>
      </c>
      <c r="D7" s="10" t="n">
        <v>0.7879</v>
      </c>
      <c r="E7" s="10" t="n">
        <v>0.963</v>
      </c>
      <c r="F7" s="10" t="n">
        <v>1.1757</v>
      </c>
      <c r="G7" s="10" t="n">
        <v>1.802</v>
      </c>
      <c r="H7" s="5" t="n"/>
      <c r="I7" s="5" t="n"/>
      <c r="J7" s="5" t="n"/>
      <c r="K7" s="5" t="n"/>
    </row>
    <row r="8">
      <c r="A8" s="3" t="inlineStr">
        <is>
          <t>2020</t>
        </is>
      </c>
      <c r="B8" s="10" t="n">
        <v>0.8552999999999999</v>
      </c>
      <c r="C8" s="10" t="n">
        <v>0.8428</v>
      </c>
      <c r="D8" s="10" t="n">
        <v>0.8978</v>
      </c>
      <c r="E8" s="10" t="n">
        <v>0.829</v>
      </c>
      <c r="F8" s="10" t="n">
        <v>1.0498</v>
      </c>
      <c r="G8" s="5" t="n"/>
      <c r="H8" s="5" t="n"/>
      <c r="I8" s="5" t="n"/>
      <c r="J8" s="5" t="n"/>
      <c r="K8" s="5" t="n"/>
    </row>
    <row r="9">
      <c r="A9" s="3" t="inlineStr">
        <is>
          <t>2021</t>
        </is>
      </c>
      <c r="B9" s="10" t="n">
        <v>0.9529</v>
      </c>
      <c r="C9" s="10" t="n">
        <v>0.848</v>
      </c>
      <c r="D9" s="10" t="n">
        <v>0.8784999999999999</v>
      </c>
      <c r="E9" s="10" t="n">
        <v>0.8006</v>
      </c>
      <c r="F9" s="5" t="n"/>
      <c r="G9" s="5" t="n"/>
      <c r="H9" s="5" t="n"/>
      <c r="I9" s="5" t="n"/>
      <c r="J9" s="5" t="n"/>
      <c r="K9" s="5" t="n"/>
    </row>
    <row r="10">
      <c r="A10" s="3" t="inlineStr">
        <is>
          <t>2022</t>
        </is>
      </c>
      <c r="B10" s="10" t="n">
        <v>0.9099</v>
      </c>
      <c r="C10" s="10" t="n">
        <v>0.8024</v>
      </c>
      <c r="D10" s="10" t="n">
        <v>0.8917</v>
      </c>
      <c r="E10" s="5" t="n"/>
      <c r="F10" s="5" t="n"/>
      <c r="G10" s="5" t="n"/>
      <c r="H10" s="5" t="n"/>
      <c r="I10" s="5" t="n"/>
      <c r="J10" s="5" t="n"/>
      <c r="K10" s="5" t="n"/>
    </row>
    <row r="11">
      <c r="A11" s="3" t="inlineStr">
        <is>
          <t>2023</t>
        </is>
      </c>
      <c r="B11" s="10" t="n">
        <v>0.8406</v>
      </c>
      <c r="C11" s="10" t="n">
        <v>0.8168</v>
      </c>
      <c r="D11" s="5" t="n"/>
      <c r="E11" s="5" t="n"/>
      <c r="F11" s="5" t="n"/>
      <c r="G11" s="5" t="n"/>
      <c r="H11" s="5" t="n"/>
      <c r="I11" s="5" t="n"/>
      <c r="J11" s="5" t="n"/>
      <c r="K11" s="5" t="n"/>
    </row>
    <row r="12">
      <c r="A12" s="3" t="inlineStr">
        <is>
          <t>2024</t>
        </is>
      </c>
      <c r="B12" s="10" t="n">
        <v>0.7629</v>
      </c>
      <c r="C12" s="5" t="n"/>
      <c r="D12" s="5" t="n"/>
      <c r="E12" s="5" t="n"/>
      <c r="F12" s="5" t="n"/>
      <c r="G12" s="5" t="n"/>
      <c r="H12" s="5" t="n"/>
      <c r="I12" s="5" t="n"/>
      <c r="J12" s="5" t="n"/>
      <c r="K12" s="5"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Closed Count - CV &amp; Slopes</t>
        </is>
      </c>
    </row>
    <row r="2">
      <c r="A2" s="2" t="inlineStr">
        <is>
          <t>Metric</t>
        </is>
      </c>
      <c r="B2" s="2" t="inlineStr">
        <is>
          <t>12-24</t>
        </is>
      </c>
      <c r="C2" s="2" t="inlineStr">
        <is>
          <t>24-36</t>
        </is>
      </c>
      <c r="D2" s="2" t="inlineStr">
        <is>
          <t>36-48</t>
        </is>
      </c>
      <c r="E2" s="2" t="inlineStr">
        <is>
          <t>48-60</t>
        </is>
      </c>
      <c r="F2" s="2" t="inlineStr">
        <is>
          <t>60-72</t>
        </is>
      </c>
      <c r="G2" s="2" t="inlineStr">
        <is>
          <t>72-84</t>
        </is>
      </c>
      <c r="H2" s="2" t="inlineStr">
        <is>
          <t>84-96</t>
        </is>
      </c>
      <c r="I2" s="2" t="inlineStr">
        <is>
          <t>96-108</t>
        </is>
      </c>
      <c r="J2" s="2" t="inlineStr">
        <is>
          <t>108-120</t>
        </is>
      </c>
      <c r="K2" s="2" t="inlineStr">
        <is>
          <t>Tail</t>
        </is>
      </c>
    </row>
    <row r="3">
      <c r="A3" s="3" t="inlineStr">
        <is>
          <t>cv_3yr</t>
        </is>
      </c>
      <c r="B3" s="6" t="n">
        <v>0.042</v>
      </c>
      <c r="C3" s="6" t="n">
        <v>0.0024</v>
      </c>
      <c r="D3" s="6" t="n">
        <v>0.0116</v>
      </c>
      <c r="E3" s="6" t="n">
        <v>0.003</v>
      </c>
      <c r="F3" s="6" t="n">
        <v>0.0015</v>
      </c>
      <c r="G3" s="6" t="n">
        <v>0.0022</v>
      </c>
      <c r="H3" s="6" t="n">
        <v>0.0011</v>
      </c>
      <c r="I3" s="6" t="n">
        <v>0.001</v>
      </c>
      <c r="J3" s="6" t="n"/>
      <c r="K3" s="5" t="n"/>
    </row>
    <row r="4">
      <c r="A4" s="3" t="inlineStr">
        <is>
          <t>cv_5yr</t>
        </is>
      </c>
      <c r="B4" s="6" t="n">
        <v>0.0353</v>
      </c>
      <c r="C4" s="6" t="n">
        <v>0.0066</v>
      </c>
      <c r="D4" s="6" t="n">
        <v>0.0124</v>
      </c>
      <c r="E4" s="6" t="n">
        <v>0.0042</v>
      </c>
      <c r="F4" s="6" t="n">
        <v>0.003</v>
      </c>
      <c r="G4" s="6" t="n">
        <v>0.0024</v>
      </c>
      <c r="H4" s="6" t="n">
        <v>0.0011</v>
      </c>
      <c r="I4" s="6" t="n">
        <v>0.001</v>
      </c>
      <c r="J4" s="6" t="n"/>
      <c r="K4" s="5" t="n"/>
    </row>
    <row r="5">
      <c r="A5" s="3" t="inlineStr">
        <is>
          <t>cv_10yr</t>
        </is>
      </c>
      <c r="B5" s="6" t="n">
        <v>0.0317</v>
      </c>
      <c r="C5" s="6" t="n">
        <v>0.0123</v>
      </c>
      <c r="D5" s="6" t="n">
        <v>0.0149</v>
      </c>
      <c r="E5" s="6" t="n">
        <v>0.0038</v>
      </c>
      <c r="F5" s="6" t="n">
        <v>0.003</v>
      </c>
      <c r="G5" s="6" t="n">
        <v>0.0024</v>
      </c>
      <c r="H5" s="6" t="n">
        <v>0.0011</v>
      </c>
      <c r="I5" s="6" t="n">
        <v>0.001</v>
      </c>
      <c r="J5" s="6" t="n"/>
      <c r="K5" s="5" t="n"/>
    </row>
    <row r="6">
      <c r="A6" s="3" t="inlineStr">
        <is>
          <t>slope_3yr</t>
        </is>
      </c>
      <c r="B6" s="6" t="n">
        <v>0.0375</v>
      </c>
      <c r="C6" s="6" t="n">
        <v>0.0019</v>
      </c>
      <c r="D6" s="6" t="n">
        <v>-0.0127</v>
      </c>
      <c r="E6" s="6" t="n">
        <v>0.0012</v>
      </c>
      <c r="F6" s="6" t="n">
        <v>-0.0003</v>
      </c>
      <c r="G6" s="6" t="n">
        <v>0.0022</v>
      </c>
      <c r="H6" s="6" t="n">
        <v>0.0009</v>
      </c>
      <c r="I6" s="6" t="n">
        <v>0.0014</v>
      </c>
      <c r="J6" s="6" t="n"/>
      <c r="K6" s="5" t="n"/>
    </row>
    <row r="7">
      <c r="A7" s="3" t="inlineStr">
        <is>
          <t>slope_5yr</t>
        </is>
      </c>
      <c r="B7" s="6" t="n">
        <v>-0.0027</v>
      </c>
      <c r="C7" s="6" t="n">
        <v>-0.0043</v>
      </c>
      <c r="D7" s="6" t="n">
        <v>-0.0086</v>
      </c>
      <c r="E7" s="6" t="n">
        <v>-0.0014</v>
      </c>
      <c r="F7" s="6" t="n">
        <v>0.0016</v>
      </c>
      <c r="G7" s="6" t="n">
        <v>0.0019</v>
      </c>
      <c r="H7" s="6" t="n">
        <v>0.0009</v>
      </c>
      <c r="I7" s="6" t="n">
        <v>0.0014</v>
      </c>
      <c r="J7" s="6" t="n"/>
      <c r="K7" s="5" t="n"/>
    </row>
    <row r="8">
      <c r="A8" s="3" t="inlineStr">
        <is>
          <t>slope_10yr</t>
        </is>
      </c>
      <c r="B8" s="6" t="n">
        <v>-0.004</v>
      </c>
      <c r="C8" s="6" t="n">
        <v>-0.0033</v>
      </c>
      <c r="D8" s="6" t="n">
        <v>-0.008</v>
      </c>
      <c r="E8" s="6" t="n">
        <v>-0.0004</v>
      </c>
      <c r="F8" s="6" t="n">
        <v>0.0016</v>
      </c>
      <c r="G8" s="6" t="n">
        <v>0.0019</v>
      </c>
      <c r="H8" s="6" t="n">
        <v>0.0009</v>
      </c>
      <c r="I8" s="6" t="n">
        <v>0.0014</v>
      </c>
      <c r="J8" s="6" t="n"/>
      <c r="K8" s="5"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Incurred Loss - CV &amp; Slopes</t>
        </is>
      </c>
    </row>
    <row r="2">
      <c r="A2" s="2" t="inlineStr">
        <is>
          <t>Metric</t>
        </is>
      </c>
      <c r="B2" s="2" t="inlineStr">
        <is>
          <t>12-24</t>
        </is>
      </c>
      <c r="C2" s="2" t="inlineStr">
        <is>
          <t>24-36</t>
        </is>
      </c>
      <c r="D2" s="2" t="inlineStr">
        <is>
          <t>36-48</t>
        </is>
      </c>
      <c r="E2" s="2" t="inlineStr">
        <is>
          <t>48-60</t>
        </is>
      </c>
      <c r="F2" s="2" t="inlineStr">
        <is>
          <t>60-72</t>
        </is>
      </c>
      <c r="G2" s="2" t="inlineStr">
        <is>
          <t>72-84</t>
        </is>
      </c>
      <c r="H2" s="2" t="inlineStr">
        <is>
          <t>84-96</t>
        </is>
      </c>
      <c r="I2" s="2" t="inlineStr">
        <is>
          <t>96-108</t>
        </is>
      </c>
      <c r="J2" s="2" t="inlineStr">
        <is>
          <t>108-120</t>
        </is>
      </c>
      <c r="K2" s="2" t="inlineStr">
        <is>
          <t>Tail</t>
        </is>
      </c>
    </row>
    <row r="3">
      <c r="A3" s="3" t="inlineStr">
        <is>
          <t>cv_3yr</t>
        </is>
      </c>
      <c r="B3" s="6" t="n">
        <v>0.0247</v>
      </c>
      <c r="C3" s="6" t="n">
        <v>0.0204</v>
      </c>
      <c r="D3" s="6" t="n">
        <v>0.0067</v>
      </c>
      <c r="E3" s="6" t="n">
        <v>0.0028</v>
      </c>
      <c r="F3" s="6" t="n">
        <v>0.0027</v>
      </c>
      <c r="G3" s="6" t="n">
        <v>0.0022</v>
      </c>
      <c r="H3" s="6" t="n">
        <v>0.0016</v>
      </c>
      <c r="I3" s="6" t="n">
        <v>0.0007</v>
      </c>
      <c r="J3" s="6" t="n"/>
      <c r="K3" s="5" t="n"/>
    </row>
    <row r="4">
      <c r="A4" s="3" t="inlineStr">
        <is>
          <t>cv_5yr</t>
        </is>
      </c>
      <c r="B4" s="6" t="n">
        <v>0.0187</v>
      </c>
      <c r="C4" s="6" t="n">
        <v>0.0154</v>
      </c>
      <c r="D4" s="6" t="n">
        <v>0.0102</v>
      </c>
      <c r="E4" s="6" t="n">
        <v>0.0081</v>
      </c>
      <c r="F4" s="6" t="n">
        <v>0.002</v>
      </c>
      <c r="G4" s="6" t="n">
        <v>0.0024</v>
      </c>
      <c r="H4" s="6" t="n">
        <v>0.0016</v>
      </c>
      <c r="I4" s="6" t="n">
        <v>0.0007</v>
      </c>
      <c r="J4" s="6" t="n"/>
      <c r="K4" s="5" t="n"/>
    </row>
    <row r="5">
      <c r="A5" s="3" t="inlineStr">
        <is>
          <t>cv_10yr</t>
        </is>
      </c>
      <c r="B5" s="6" t="n">
        <v>0.0289</v>
      </c>
      <c r="C5" s="6" t="n">
        <v>0.0156</v>
      </c>
      <c r="D5" s="6" t="n">
        <v>0.008800000000000001</v>
      </c>
      <c r="E5" s="6" t="n">
        <v>0.0072</v>
      </c>
      <c r="F5" s="6" t="n">
        <v>0.002</v>
      </c>
      <c r="G5" s="6" t="n">
        <v>0.0024</v>
      </c>
      <c r="H5" s="6" t="n">
        <v>0.0016</v>
      </c>
      <c r="I5" s="6" t="n">
        <v>0.0007</v>
      </c>
      <c r="J5" s="6" t="n"/>
      <c r="K5" s="5" t="n"/>
    </row>
    <row r="6">
      <c r="A6" s="3" t="inlineStr">
        <is>
          <t>slope_3yr</t>
        </is>
      </c>
      <c r="B6" s="6" t="n">
        <v>-0.0421</v>
      </c>
      <c r="C6" s="6" t="n">
        <v>-0.013</v>
      </c>
      <c r="D6" s="6" t="n">
        <v>0.0064</v>
      </c>
      <c r="E6" s="6" t="n">
        <v>0.002</v>
      </c>
      <c r="F6" s="6" t="n">
        <v>0.0012</v>
      </c>
      <c r="G6" s="6" t="n">
        <v>-0.0016</v>
      </c>
      <c r="H6" s="6" t="n">
        <v>0.0017</v>
      </c>
      <c r="I6" s="6" t="n">
        <v>0.001</v>
      </c>
      <c r="J6" s="6" t="n"/>
      <c r="K6" s="5" t="n"/>
    </row>
    <row r="7">
      <c r="A7" s="3" t="inlineStr">
        <is>
          <t>slope_5yr</t>
        </is>
      </c>
      <c r="B7" s="6" t="n">
        <v>-0.0146</v>
      </c>
      <c r="C7" s="6" t="n">
        <v>-0.001</v>
      </c>
      <c r="D7" s="6" t="n">
        <v>-0.0031</v>
      </c>
      <c r="E7" s="6" t="n">
        <v>-0.0044</v>
      </c>
      <c r="F7" s="6" t="n">
        <v>-0.0001</v>
      </c>
      <c r="G7" s="6" t="n">
        <v>-0.0017</v>
      </c>
      <c r="H7" s="6" t="n">
        <v>0.0017</v>
      </c>
      <c r="I7" s="6" t="n">
        <v>0.001</v>
      </c>
      <c r="J7" s="6" t="n"/>
      <c r="K7" s="5" t="n"/>
    </row>
    <row r="8">
      <c r="A8" s="3" t="inlineStr">
        <is>
          <t>slope_10yr</t>
        </is>
      </c>
      <c r="B8" s="6" t="n">
        <v>0.0005</v>
      </c>
      <c r="C8" s="6" t="n">
        <v>0.0032</v>
      </c>
      <c r="D8" s="6" t="n">
        <v>-0.0022</v>
      </c>
      <c r="E8" s="6" t="n">
        <v>-0.0025</v>
      </c>
      <c r="F8" s="6" t="n">
        <v>-0.0001</v>
      </c>
      <c r="G8" s="6" t="n">
        <v>-0.0017</v>
      </c>
      <c r="H8" s="6" t="n">
        <v>0.0017</v>
      </c>
      <c r="I8" s="6" t="n">
        <v>0.001</v>
      </c>
      <c r="J8" s="6" t="n"/>
      <c r="K8" s="5"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Paid Loss - CV &amp; Slopes</t>
        </is>
      </c>
    </row>
    <row r="2">
      <c r="A2" s="2" t="inlineStr">
        <is>
          <t>Metric</t>
        </is>
      </c>
      <c r="B2" s="2" t="inlineStr">
        <is>
          <t>12-24</t>
        </is>
      </c>
      <c r="C2" s="2" t="inlineStr">
        <is>
          <t>24-36</t>
        </is>
      </c>
      <c r="D2" s="2" t="inlineStr">
        <is>
          <t>36-48</t>
        </is>
      </c>
      <c r="E2" s="2" t="inlineStr">
        <is>
          <t>48-60</t>
        </is>
      </c>
      <c r="F2" s="2" t="inlineStr">
        <is>
          <t>60-72</t>
        </is>
      </c>
      <c r="G2" s="2" t="inlineStr">
        <is>
          <t>72-84</t>
        </is>
      </c>
      <c r="H2" s="2" t="inlineStr">
        <is>
          <t>84-96</t>
        </is>
      </c>
      <c r="I2" s="2" t="inlineStr">
        <is>
          <t>96-108</t>
        </is>
      </c>
      <c r="J2" s="2" t="inlineStr">
        <is>
          <t>108-120</t>
        </is>
      </c>
      <c r="K2" s="2" t="inlineStr">
        <is>
          <t>Tail</t>
        </is>
      </c>
    </row>
    <row r="3">
      <c r="A3" s="3" t="inlineStr">
        <is>
          <t>cv_3yr</t>
        </is>
      </c>
      <c r="B3" s="6" t="n">
        <v>0.0187</v>
      </c>
      <c r="C3" s="6" t="n">
        <v>0.0232</v>
      </c>
      <c r="D3" s="6" t="n">
        <v>0.0103</v>
      </c>
      <c r="E3" s="6" t="n">
        <v>0.0057</v>
      </c>
      <c r="F3" s="6" t="n">
        <v>0.0005999999999999999</v>
      </c>
      <c r="G3" s="6" t="n">
        <v>0.0036</v>
      </c>
      <c r="H3" s="6" t="n">
        <v>0.0026</v>
      </c>
      <c r="I3" s="6" t="n">
        <v>0.0041</v>
      </c>
      <c r="J3" s="6" t="n"/>
      <c r="K3" s="5" t="n"/>
    </row>
    <row r="4">
      <c r="A4" s="3" t="inlineStr">
        <is>
          <t>cv_5yr</t>
        </is>
      </c>
      <c r="B4" s="6" t="n">
        <v>0.0176</v>
      </c>
      <c r="C4" s="6" t="n">
        <v>0.0165</v>
      </c>
      <c r="D4" s="6" t="n">
        <v>0.0081</v>
      </c>
      <c r="E4" s="6" t="n">
        <v>0.0041</v>
      </c>
      <c r="F4" s="6" t="n">
        <v>0.0012</v>
      </c>
      <c r="G4" s="6" t="n">
        <v>0.0047</v>
      </c>
      <c r="H4" s="6" t="n">
        <v>0.0026</v>
      </c>
      <c r="I4" s="6" t="n">
        <v>0.0041</v>
      </c>
      <c r="J4" s="6" t="n"/>
      <c r="K4" s="5" t="n"/>
    </row>
    <row r="5">
      <c r="A5" s="3" t="inlineStr">
        <is>
          <t>cv_10yr</t>
        </is>
      </c>
      <c r="B5" s="6" t="n">
        <v>0.0213</v>
      </c>
      <c r="C5" s="6" t="n">
        <v>0.0139</v>
      </c>
      <c r="D5" s="6" t="n">
        <v>0.0071</v>
      </c>
      <c r="E5" s="6" t="n">
        <v>0.005</v>
      </c>
      <c r="F5" s="6" t="n">
        <v>0.0012</v>
      </c>
      <c r="G5" s="6" t="n">
        <v>0.0047</v>
      </c>
      <c r="H5" s="6" t="n">
        <v>0.0026</v>
      </c>
      <c r="I5" s="6" t="n">
        <v>0.0041</v>
      </c>
      <c r="J5" s="6" t="n"/>
      <c r="K5" s="5" t="n"/>
    </row>
    <row r="6">
      <c r="A6" s="3" t="inlineStr">
        <is>
          <t>slope_3yr</t>
        </is>
      </c>
      <c r="B6" s="6" t="n">
        <v>0.0245</v>
      </c>
      <c r="C6" s="6" t="n">
        <v>0.0004</v>
      </c>
      <c r="D6" s="6" t="n">
        <v>0.009299999999999999</v>
      </c>
      <c r="E6" s="6" t="n">
        <v>-0.0062</v>
      </c>
      <c r="F6" s="6" t="n">
        <v>-0.0001</v>
      </c>
      <c r="G6" s="6" t="n">
        <v>0.0008</v>
      </c>
      <c r="H6" s="6" t="n">
        <v>-0.0027</v>
      </c>
      <c r="I6" s="6" t="n">
        <v>-0.0061</v>
      </c>
      <c r="J6" s="6" t="n"/>
      <c r="K6" s="5" t="n"/>
    </row>
    <row r="7">
      <c r="A7" s="3" t="inlineStr">
        <is>
          <t>slope_5yr</t>
        </is>
      </c>
      <c r="B7" s="6" t="n">
        <v>0.014</v>
      </c>
      <c r="C7" s="6" t="n">
        <v>-0.0008</v>
      </c>
      <c r="D7" s="6" t="n">
        <v>0.0023</v>
      </c>
      <c r="E7" s="6" t="n">
        <v>-0.0015</v>
      </c>
      <c r="F7" s="6" t="n">
        <v>0.0005</v>
      </c>
      <c r="G7" s="6" t="n">
        <v>-0.0021</v>
      </c>
      <c r="H7" s="6" t="n">
        <v>-0.0027</v>
      </c>
      <c r="I7" s="6" t="n">
        <v>-0.0061</v>
      </c>
      <c r="J7" s="6" t="n"/>
      <c r="K7" s="5" t="n"/>
    </row>
    <row r="8">
      <c r="A8" s="3" t="inlineStr">
        <is>
          <t>slope_10yr</t>
        </is>
      </c>
      <c r="B8" s="6" t="n">
        <v>-0.0056</v>
      </c>
      <c r="C8" s="6" t="n">
        <v>0.0002</v>
      </c>
      <c r="D8" s="6" t="n">
        <v>0.0005</v>
      </c>
      <c r="E8" s="6" t="n">
        <v>0.0005</v>
      </c>
      <c r="F8" s="6" t="n">
        <v>0.0005</v>
      </c>
      <c r="G8" s="6" t="n">
        <v>-0.0021</v>
      </c>
      <c r="H8" s="6" t="n">
        <v>-0.0027</v>
      </c>
      <c r="I8" s="6" t="n">
        <v>-0.0061</v>
      </c>
      <c r="J8" s="6" t="n"/>
      <c r="K8" s="5"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Reported Count - CV &amp; Slopes</t>
        </is>
      </c>
    </row>
    <row r="2">
      <c r="A2" s="2" t="inlineStr">
        <is>
          <t>Metric</t>
        </is>
      </c>
      <c r="B2" s="2" t="inlineStr">
        <is>
          <t>12-24</t>
        </is>
      </c>
      <c r="C2" s="2" t="inlineStr">
        <is>
          <t>24-36</t>
        </is>
      </c>
      <c r="D2" s="2" t="inlineStr">
        <is>
          <t>36-48</t>
        </is>
      </c>
      <c r="E2" s="2" t="inlineStr">
        <is>
          <t>48-60</t>
        </is>
      </c>
      <c r="F2" s="2" t="inlineStr">
        <is>
          <t>60-72</t>
        </is>
      </c>
      <c r="G2" s="2" t="inlineStr">
        <is>
          <t>72-84</t>
        </is>
      </c>
      <c r="H2" s="2" t="inlineStr">
        <is>
          <t>84-96</t>
        </is>
      </c>
      <c r="I2" s="2" t="inlineStr">
        <is>
          <t>96-108</t>
        </is>
      </c>
      <c r="J2" s="2" t="inlineStr">
        <is>
          <t>108-120</t>
        </is>
      </c>
      <c r="K2" s="2" t="inlineStr">
        <is>
          <t>Tail</t>
        </is>
      </c>
    </row>
    <row r="3">
      <c r="A3" s="3" t="inlineStr">
        <is>
          <t>cv_3yr</t>
        </is>
      </c>
      <c r="B3" s="6" t="n">
        <v>0.0255</v>
      </c>
      <c r="C3" s="6" t="n">
        <v>0.0126</v>
      </c>
      <c r="D3" s="6" t="n">
        <v>0.0112</v>
      </c>
      <c r="E3" s="6" t="n">
        <v>0.0065</v>
      </c>
      <c r="F3" s="6" t="n">
        <v>0.0022</v>
      </c>
      <c r="G3" s="6" t="n">
        <v>0.0014</v>
      </c>
      <c r="H3" s="6" t="n">
        <v>0.0005</v>
      </c>
      <c r="I3" s="6" t="n">
        <v>0.0003</v>
      </c>
      <c r="J3" s="6" t="n"/>
      <c r="K3" s="5" t="n"/>
    </row>
    <row r="4">
      <c r="A4" s="3" t="inlineStr">
        <is>
          <t>cv_5yr</t>
        </is>
      </c>
      <c r="B4" s="6" t="n">
        <v>0.0235</v>
      </c>
      <c r="C4" s="6" t="n">
        <v>0.0147</v>
      </c>
      <c r="D4" s="6" t="n">
        <v>0.008500000000000001</v>
      </c>
      <c r="E4" s="6" t="n">
        <v>0.0047</v>
      </c>
      <c r="F4" s="6" t="n">
        <v>0.0021</v>
      </c>
      <c r="G4" s="6" t="n">
        <v>0.0012</v>
      </c>
      <c r="H4" s="6" t="n">
        <v>0.0005</v>
      </c>
      <c r="I4" s="6" t="n">
        <v>0.0003</v>
      </c>
      <c r="J4" s="6" t="n"/>
      <c r="K4" s="5" t="n"/>
    </row>
    <row r="5">
      <c r="A5" s="3" t="inlineStr">
        <is>
          <t>cv_10yr</t>
        </is>
      </c>
      <c r="B5" s="6" t="n">
        <v>0.023</v>
      </c>
      <c r="C5" s="6" t="n">
        <v>0.0124</v>
      </c>
      <c r="D5" s="6" t="n">
        <v>0.008800000000000001</v>
      </c>
      <c r="E5" s="6" t="n">
        <v>0.0062</v>
      </c>
      <c r="F5" s="6" t="n">
        <v>0.0021</v>
      </c>
      <c r="G5" s="6" t="n">
        <v>0.0012</v>
      </c>
      <c r="H5" s="6" t="n">
        <v>0.0005</v>
      </c>
      <c r="I5" s="6" t="n">
        <v>0.0003</v>
      </c>
      <c r="J5" s="6" t="n"/>
      <c r="K5" s="5" t="n"/>
    </row>
    <row r="6">
      <c r="A6" s="3" t="inlineStr">
        <is>
          <t>slope_3yr</t>
        </is>
      </c>
      <c r="B6" s="6" t="n">
        <v>0.01</v>
      </c>
      <c r="C6" s="6" t="n">
        <v>0.0058</v>
      </c>
      <c r="D6" s="6" t="n">
        <v>0.0133</v>
      </c>
      <c r="E6" s="6" t="n">
        <v>0.0071</v>
      </c>
      <c r="F6" s="6" t="n">
        <v>-0.0002</v>
      </c>
      <c r="G6" s="6" t="n">
        <v>0.001</v>
      </c>
      <c r="H6" s="6" t="n">
        <v>0</v>
      </c>
      <c r="I6" s="6" t="n">
        <v>0.0004</v>
      </c>
      <c r="J6" s="6" t="n"/>
      <c r="K6" s="5" t="n"/>
    </row>
    <row r="7">
      <c r="A7" s="3" t="inlineStr">
        <is>
          <t>slope_5yr</t>
        </is>
      </c>
      <c r="B7" s="6" t="n">
        <v>-0.0123</v>
      </c>
      <c r="C7" s="6" t="n">
        <v>-0.0055</v>
      </c>
      <c r="D7" s="6" t="n">
        <v>0.0045</v>
      </c>
      <c r="E7" s="6" t="n">
        <v>0.002</v>
      </c>
      <c r="F7" s="6" t="n">
        <v>-0.0005999999999999999</v>
      </c>
      <c r="G7" s="6" t="n">
        <v>0.0005999999999999999</v>
      </c>
      <c r="H7" s="6" t="n">
        <v>0</v>
      </c>
      <c r="I7" s="6" t="n">
        <v>0.0004</v>
      </c>
      <c r="J7" s="6" t="n"/>
      <c r="K7" s="5" t="n"/>
    </row>
    <row r="8">
      <c r="A8" s="3" t="inlineStr">
        <is>
          <t>slope_10yr</t>
        </is>
      </c>
      <c r="B8" s="6" t="n">
        <v>0.0043</v>
      </c>
      <c r="C8" s="6" t="n">
        <v>-0.0004</v>
      </c>
      <c r="D8" s="6" t="n">
        <v>0.0021</v>
      </c>
      <c r="E8" s="6" t="n">
        <v>-0.0005999999999999999</v>
      </c>
      <c r="F8" s="6" t="n">
        <v>-0.0005999999999999999</v>
      </c>
      <c r="G8" s="6" t="n">
        <v>0.0005999999999999999</v>
      </c>
      <c r="H8" s="6" t="n">
        <v>0</v>
      </c>
      <c r="I8" s="6" t="n">
        <v>0.0004</v>
      </c>
      <c r="J8" s="6" t="n"/>
      <c r="K8" s="5"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1" t="inlineStr">
        <is>
          <t>Selected Ultimates — Closed Count (POC)</t>
        </is>
      </c>
    </row>
    <row r="2">
      <c r="A2" s="1" t="inlineStr">
        <is>
          <t>Accident Period</t>
        </is>
      </c>
      <c r="B2" s="1" t="inlineStr">
        <is>
          <t>Actual (Latest)</t>
        </is>
      </c>
      <c r="C2" s="1" t="inlineStr">
        <is>
          <t>Chain Ladder Ult</t>
        </is>
      </c>
      <c r="D2" s="1" t="inlineStr">
        <is>
          <t>Selected Ultimate</t>
        </is>
      </c>
      <c r="E2" s="1" t="inlineStr">
        <is>
          <t>IBNR</t>
        </is>
      </c>
    </row>
    <row r="3">
      <c r="A3">
        <f>'Closed Count'!A56</f>
        <v/>
      </c>
      <c r="B3" s="9">
        <f>'Closed Count'!C56</f>
        <v/>
      </c>
      <c r="C3" s="9">
        <f>'Closed Count'!E56</f>
        <v/>
      </c>
      <c r="D3" s="9">
        <f>C3</f>
        <v/>
      </c>
      <c r="E3" s="9">
        <f>D3-B3</f>
        <v/>
      </c>
    </row>
    <row r="4">
      <c r="A4">
        <f>'Closed Count'!A57</f>
        <v/>
      </c>
      <c r="B4" s="9">
        <f>'Closed Count'!C57</f>
        <v/>
      </c>
      <c r="C4" s="9">
        <f>'Closed Count'!E57</f>
        <v/>
      </c>
      <c r="D4" s="9">
        <f>C4</f>
        <v/>
      </c>
      <c r="E4" s="9">
        <f>D4-B4</f>
        <v/>
      </c>
    </row>
    <row r="5">
      <c r="A5">
        <f>'Closed Count'!A58</f>
        <v/>
      </c>
      <c r="B5" s="9">
        <f>'Closed Count'!C58</f>
        <v/>
      </c>
      <c r="C5" s="9">
        <f>'Closed Count'!E58</f>
        <v/>
      </c>
      <c r="D5" s="9">
        <f>C5</f>
        <v/>
      </c>
      <c r="E5" s="9">
        <f>D5-B5</f>
        <v/>
      </c>
    </row>
    <row r="6">
      <c r="A6">
        <f>'Closed Count'!A59</f>
        <v/>
      </c>
      <c r="B6" s="9">
        <f>'Closed Count'!C59</f>
        <v/>
      </c>
      <c r="C6" s="9">
        <f>'Closed Count'!E59</f>
        <v/>
      </c>
      <c r="D6" s="9">
        <f>C6</f>
        <v/>
      </c>
      <c r="E6" s="9">
        <f>D6-B6</f>
        <v/>
      </c>
    </row>
    <row r="7">
      <c r="A7">
        <f>'Closed Count'!A60</f>
        <v/>
      </c>
      <c r="B7" s="9">
        <f>'Closed Count'!C60</f>
        <v/>
      </c>
      <c r="C7" s="9">
        <f>'Closed Count'!E60</f>
        <v/>
      </c>
      <c r="D7" s="9">
        <f>C7</f>
        <v/>
      </c>
      <c r="E7" s="9">
        <f>D7-B7</f>
        <v/>
      </c>
    </row>
    <row r="8">
      <c r="A8">
        <f>'Closed Count'!A61</f>
        <v/>
      </c>
      <c r="B8" s="9">
        <f>'Closed Count'!C61</f>
        <v/>
      </c>
      <c r="C8" s="9">
        <f>'Closed Count'!E61</f>
        <v/>
      </c>
      <c r="D8" s="9">
        <f>C8</f>
        <v/>
      </c>
      <c r="E8" s="9">
        <f>D8-B8</f>
        <v/>
      </c>
    </row>
    <row r="9">
      <c r="A9">
        <f>'Closed Count'!A62</f>
        <v/>
      </c>
      <c r="B9" s="9">
        <f>'Closed Count'!C62</f>
        <v/>
      </c>
      <c r="C9" s="9">
        <f>'Closed Count'!E62</f>
        <v/>
      </c>
      <c r="D9" s="9">
        <f>C9</f>
        <v/>
      </c>
      <c r="E9" s="9">
        <f>D9-B9</f>
        <v/>
      </c>
    </row>
    <row r="10">
      <c r="A10">
        <f>'Closed Count'!A63</f>
        <v/>
      </c>
      <c r="B10" s="9">
        <f>'Closed Count'!C63</f>
        <v/>
      </c>
      <c r="C10" s="9">
        <f>'Closed Count'!E63</f>
        <v/>
      </c>
      <c r="D10" s="9">
        <f>C10</f>
        <v/>
      </c>
      <c r="E10" s="9">
        <f>D10-B10</f>
        <v/>
      </c>
    </row>
    <row r="11">
      <c r="A11">
        <f>'Closed Count'!A64</f>
        <v/>
      </c>
      <c r="B11" s="9">
        <f>'Closed Count'!C64</f>
        <v/>
      </c>
      <c r="C11" s="9">
        <f>'Closed Count'!E64</f>
        <v/>
      </c>
      <c r="D11" s="9">
        <f>C11</f>
        <v/>
      </c>
      <c r="E11" s="9">
        <f>D11-B11</f>
        <v/>
      </c>
    </row>
    <row r="12">
      <c r="A12">
        <f>'Closed Count'!A65</f>
        <v/>
      </c>
      <c r="B12" s="9">
        <f>'Closed Count'!C65</f>
        <v/>
      </c>
      <c r="C12" s="9">
        <f>'Closed Count'!E65</f>
        <v/>
      </c>
      <c r="D12" s="9">
        <f>C12</f>
        <v/>
      </c>
      <c r="E12" s="9">
        <f>D12-B12</f>
        <v/>
      </c>
    </row>
    <row r="13">
      <c r="A13" s="12" t="inlineStr">
        <is>
          <t>Total</t>
        </is>
      </c>
      <c r="B13" s="13">
        <f>SUM(B3:B12)</f>
        <v/>
      </c>
      <c r="C13" s="13">
        <f>SUM(C3:C12)</f>
        <v/>
      </c>
      <c r="D13" s="13">
        <f>SUM(D3:D12)</f>
        <v/>
      </c>
      <c r="E13" s="13">
        <f>SUM(E3:E12)</f>
        <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2026-04-17T20:42:29Z</dcterms:created>
  <dcterms:modified xsi:type="dcterms:W3CDTF">2026-04-17T20:42:29Z</dcterms:modified>
</cp:coreProperties>
</file>