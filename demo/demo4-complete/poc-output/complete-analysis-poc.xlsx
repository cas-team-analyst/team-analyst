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CL - Closed Count" sheetId="2" state="visible" r:id="rId2"/>
    <sheet name="CL - Incurred Loss" sheetId="3" state="visible" r:id="rId3"/>
    <sheet name="CL - Paid Loss" sheetId="4" state="visible" r:id="rId4"/>
    <sheet name="CL - Reported Count" sheetId="5" state="visible" r:id="rId5"/>
    <sheet name="CL - Diag - Rptd Claims" sheetId="6" state="visible" r:id="rId6"/>
    <sheet name="CL - Diag - Inc Severity" sheetId="7" state="visible" r:id="rId7"/>
    <sheet name="CL - Diag - Paid Severity" sheetId="8" state="visible" r:id="rId8"/>
    <sheet name="CL - Diag - Paid to Incurred" sheetId="9" state="visible" r:id="rId9"/>
    <sheet name="CL - Diag - Open Counts" sheetId="10" state="visible" r:id="rId10"/>
    <sheet name="CL - Diag - Avg Case Rsrv" sheetId="11" state="visible" r:id="rId11"/>
    <sheet name="CL - Diag - Clm Closure Rt" sheetId="12" state="visible" r:id="rId12"/>
    <sheet name="CL - Diag - Incr Inc Svty" sheetId="13" state="visible" r:id="rId13"/>
    <sheet name="CL - Diag - Incr Paid Svty" sheetId="14" state="visible" r:id="rId14"/>
    <sheet name="CL - Diag - Incr Closure Rt" sheetId="15" state="visible" r:id="rId15"/>
    <sheet name="CL - Closed Count - CV &amp; Slopes" sheetId="16" state="visible" r:id="rId16"/>
    <sheet name="CL - Incurred Loss - CV &amp; Slope" sheetId="17" state="visible" r:id="rId17"/>
    <sheet name="CL - Paid Loss - CV &amp; Slopes" sheetId="18" state="visible" r:id="rId18"/>
    <sheet name="CL - Reported Count - CV &amp; Slop" sheetId="19" state="visible" r:id="rId19"/>
    <sheet name="CL - Sel Ults - Incurred Loss" sheetId="20" state="visible" r:id="rId20"/>
    <sheet name="CL - Sel Ults - Paid Loss" sheetId="21" state="visible" r:id="rId21"/>
    <sheet name="CL - Sel Ults - Reported Count" sheetId="22" state="visible" r:id="rId22"/>
    <sheet name="CL - Sel Ults - Closed Count" sheetId="23" state="visible" r:id="rId23"/>
    <sheet name="CL - Ult Severity" sheetId="24" state="visible" r:id="rId24"/>
    <sheet name="CL - X-to-Ult Incurred" sheetId="25" state="visible" r:id="rId25"/>
    <sheet name="CL - X-to-Ult Paid" sheetId="26" state="visible" r:id="rId26"/>
    <sheet name="CL - X-to-Ult Reported" sheetId="27" state="visible" r:id="rId27"/>
    <sheet name="CL - X-to-Ult Closed" sheetId="28" state="visible" r:id="rId28"/>
    <sheet name="CL - Avg IBNR" sheetId="29" state="visible" r:id="rId29"/>
    <sheet name="CL - Avg Unpaid" sheetId="30" state="visible" r:id="rId30"/>
  </sheets>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b val="1"/>
      <color rgb="00FFFFFF"/>
      <sz val="11"/>
    </font>
    <font>
      <b val="1"/>
      <sz val="10"/>
    </font>
    <font>
      <b val="1"/>
      <sz val="9"/>
    </font>
    <font>
      <sz val="9"/>
    </font>
    <font>
      <b val="1"/>
      <color rgb="00FFFFFF"/>
      <sz val="10"/>
    </font>
    <font>
      <i val="1"/>
      <sz val="8"/>
    </font>
    <font>
      <b val="1"/>
      <sz val="12"/>
    </font>
    <font>
      <b val="1"/>
    </font>
  </fonts>
  <fills count="7">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EDE7F6"/>
      </patternFill>
    </fill>
    <fill>
      <patternFill patternType="solid">
        <fgColor rgb="00FFF2CC"/>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5" fillId="4" borderId="1" applyAlignment="1" pivotButton="0" quotePrefix="0" xfId="0">
      <alignment horizontal="center" vertical="center"/>
    </xf>
    <xf numFmtId="0" fontId="0" fillId="0" borderId="1" pivotButton="0" quotePrefix="0" xfId="0"/>
    <xf numFmtId="0" fontId="5" fillId="4" borderId="1" applyAlignment="1" pivotButton="0" quotePrefix="0" xfId="0">
      <alignment horizontal="center" vertical="center" wrapText="1"/>
    </xf>
    <xf numFmtId="0" fontId="3" fillId="0" borderId="1" applyAlignment="1" pivotButton="0" quotePrefix="0" xfId="0">
      <alignment horizontal="left"/>
    </xf>
    <xf numFmtId="3" fontId="4" fillId="0" borderId="1" applyAlignment="1" pivotButton="0" quotePrefix="0" xfId="0">
      <alignment horizontal="right"/>
    </xf>
    <xf numFmtId="0" fontId="4" fillId="0" borderId="1" applyAlignment="1" pivotButton="0" quotePrefix="0" xfId="0">
      <alignment horizontal="right"/>
    </xf>
    <xf numFmtId="164" fontId="4" fillId="0" borderId="1" applyAlignment="1" pivotButton="0" quotePrefix="0" xfId="0">
      <alignment horizontal="right"/>
    </xf>
    <xf numFmtId="0" fontId="5" fillId="4" borderId="1" applyAlignment="1" pivotButton="0" quotePrefix="0" xfId="0">
      <alignment horizontal="center"/>
    </xf>
    <xf numFmtId="0" fontId="3" fillId="0" borderId="1" pivotButton="0" quotePrefix="0" xfId="0"/>
    <xf numFmtId="0" fontId="3" fillId="5" borderId="1" applyAlignment="1" pivotButton="0" quotePrefix="0" xfId="0">
      <alignment horizontal="center" vertical="center" wrapText="1"/>
    </xf>
    <xf numFmtId="164" fontId="4" fillId="5" borderId="1" applyAlignment="1" pivotButton="0" quotePrefix="0" xfId="0">
      <alignment horizontal="right"/>
    </xf>
    <xf numFmtId="0" fontId="6" fillId="5" borderId="1" applyAlignment="1" pivotButton="0" quotePrefix="0" xfId="0">
      <alignment horizontal="left" wrapText="1"/>
    </xf>
    <xf numFmtId="0" fontId="3" fillId="6" borderId="1" applyAlignment="1" pivotButton="0" quotePrefix="0" xfId="0">
      <alignment horizontal="center" vertical="center" wrapText="1"/>
    </xf>
    <xf numFmtId="164" fontId="4" fillId="6" borderId="1" applyAlignment="1" pivotButton="0" quotePrefix="0" xfId="0">
      <alignment horizontal="right"/>
    </xf>
    <xf numFmtId="0" fontId="6" fillId="6" borderId="1" applyAlignment="1" pivotButton="0" quotePrefix="0" xfId="0">
      <alignment horizontal="left" wrapText="1"/>
    </xf>
    <xf numFmtId="0" fontId="2" fillId="0" borderId="0" pivotButton="0" quotePrefix="0" xfId="0"/>
    <xf numFmtId="0" fontId="3" fillId="0" borderId="0" pivotButton="0" quotePrefix="0" xfId="0"/>
    <xf numFmtId="164" fontId="0" fillId="0" borderId="0" pivotButton="0" quotePrefix="0" xfId="0"/>
    <xf numFmtId="0" fontId="3" fillId="0" borderId="0" applyAlignment="1" pivotButton="0" quotePrefix="0" xfId="0">
      <alignment horizontal="center"/>
    </xf>
    <xf numFmtId="3" fontId="0" fillId="0" borderId="0" pivotButton="0" quotePrefix="0" xfId="0"/>
    <xf numFmtId="10" fontId="4" fillId="0" borderId="1" applyAlignment="1" pivotButton="0" quotePrefix="0" xfId="0">
      <alignment horizontal="right"/>
    </xf>
    <xf numFmtId="0" fontId="7" fillId="0" borderId="0" pivotButton="0" quotePrefix="0" xfId="0"/>
    <xf numFmtId="0" fontId="2" fillId="0" borderId="0" applyAlignment="1" pivotButton="0" quotePrefix="0" xfId="0">
      <alignment horizontal="center"/>
    </xf>
    <xf numFmtId="0" fontId="8" fillId="0" borderId="0" pivotButton="0" quotePrefix="0" xfId="0"/>
    <xf numFmtId="3" fontId="8"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workbookViewId="0">
      <pane ySplit="7" topLeftCell="A8" activePane="bottomLeft" state="frozen"/>
      <selection pane="bottomLeft" activeCell="A1" sqref="A1"/>
    </sheetView>
  </sheetViews>
  <sheetFormatPr baseColWidth="8" defaultRowHeight="15"/>
  <cols>
    <col width="35" customWidth="1" min="1" max="1"/>
    <col width="60" customWidth="1" min="2" max="2"/>
    <col width="15" customWidth="1" min="3" max="3"/>
  </cols>
  <sheetData>
    <row r="1" ht="24" customHeight="1">
      <c r="A1" s="1" t="inlineStr">
        <is>
          <t>Reserve Analysis Workbook</t>
        </is>
      </c>
      <c r="B1" s="2" t="n"/>
      <c r="C1" s="3" t="n"/>
    </row>
    <row r="2">
      <c r="A2" s="4" t="inlineStr">
        <is>
          <t>Workbook Information</t>
        </is>
      </c>
      <c r="B2" s="2" t="n"/>
      <c r="C2" s="3" t="n"/>
    </row>
    <row r="3">
      <c r="A3" s="5" t="inlineStr">
        <is>
          <t>Created:</t>
        </is>
      </c>
      <c r="B3" s="6" t="inlineStr">
        <is>
          <t>April 17, 2026 02:44 PM</t>
        </is>
      </c>
    </row>
    <row r="4">
      <c r="A4" s="5" t="inlineStr">
        <is>
          <t>Description:</t>
        </is>
      </c>
      <c r="B4" s="6" t="inlineStr">
        <is>
          <t>Complete actuarial reserve analysis combining selections and projections</t>
        </is>
      </c>
      <c r="C4" s="3" t="n"/>
    </row>
    <row r="6">
      <c r="A6" s="4" t="inlineStr">
        <is>
          <t>Table of Contents</t>
        </is>
      </c>
      <c r="B6" s="2" t="n"/>
      <c r="C6" s="3" t="n"/>
    </row>
    <row r="7">
      <c r="A7" s="7" t="inlineStr">
        <is>
          <t>Sheet Name</t>
        </is>
      </c>
      <c r="B7" s="7" t="inlineStr">
        <is>
          <t>Description</t>
        </is>
      </c>
    </row>
    <row r="8">
      <c r="A8" s="6" t="inlineStr">
        <is>
          <t>CL - Closed Count</t>
        </is>
      </c>
      <c r="B8" s="6" t="inlineStr">
        <is>
          <t>Closed claim count projections</t>
        </is>
      </c>
    </row>
    <row r="9">
      <c r="A9" s="6" t="inlineStr">
        <is>
          <t>CL - Incurred Loss</t>
        </is>
      </c>
      <c r="B9" s="6" t="inlineStr">
        <is>
          <t>Incurred loss projections and selections</t>
        </is>
      </c>
    </row>
    <row r="10">
      <c r="A10" s="6" t="inlineStr">
        <is>
          <t>CL - Paid Loss</t>
        </is>
      </c>
      <c r="B10" s="6" t="inlineStr">
        <is>
          <t>Paid loss projections and selections</t>
        </is>
      </c>
    </row>
    <row r="11">
      <c r="A11" s="6" t="inlineStr">
        <is>
          <t>CL - Reported Count</t>
        </is>
      </c>
      <c r="B11" s="6" t="inlineStr">
        <is>
          <t>Reported claim count projections</t>
        </is>
      </c>
    </row>
    <row r="12">
      <c r="A12" s="6" t="inlineStr">
        <is>
          <t>CL - Diag - Rptd Claims</t>
        </is>
      </c>
      <c r="B12" s="6" t="inlineStr">
        <is>
          <t>Analysis results</t>
        </is>
      </c>
    </row>
    <row r="13">
      <c r="A13" s="6" t="inlineStr">
        <is>
          <t>CL - Diag - Inc Severity</t>
        </is>
      </c>
      <c r="B13" s="6" t="inlineStr">
        <is>
          <t>Analysis results</t>
        </is>
      </c>
    </row>
    <row r="14">
      <c r="A14" s="6" t="inlineStr">
        <is>
          <t>CL - Diag - Paid Severity</t>
        </is>
      </c>
      <c r="B14" s="6" t="inlineStr">
        <is>
          <t>Analysis results</t>
        </is>
      </c>
    </row>
    <row r="15">
      <c r="A15" s="6" t="inlineStr">
        <is>
          <t>CL - Diag - Paid to Incurred</t>
        </is>
      </c>
      <c r="B15" s="6" t="inlineStr">
        <is>
          <t>Analysis results</t>
        </is>
      </c>
    </row>
    <row r="16">
      <c r="A16" s="6" t="inlineStr">
        <is>
          <t>CL - Diag - Open Counts</t>
        </is>
      </c>
      <c r="B16" s="6" t="inlineStr">
        <is>
          <t>Analysis results</t>
        </is>
      </c>
    </row>
    <row r="17">
      <c r="A17" s="6" t="inlineStr">
        <is>
          <t>CL - Diag - Avg Case Rsrv</t>
        </is>
      </c>
      <c r="B17" s="6" t="inlineStr">
        <is>
          <t>Analysis results</t>
        </is>
      </c>
    </row>
    <row r="18">
      <c r="A18" s="6" t="inlineStr">
        <is>
          <t>CL - Diag - Clm Closure Rt</t>
        </is>
      </c>
      <c r="B18" s="6" t="inlineStr">
        <is>
          <t>Analysis results</t>
        </is>
      </c>
    </row>
    <row r="19">
      <c r="A19" s="6" t="inlineStr">
        <is>
          <t>CL - Diag - Incr Inc Svty</t>
        </is>
      </c>
      <c r="B19" s="6" t="inlineStr">
        <is>
          <t>Analysis results</t>
        </is>
      </c>
    </row>
    <row r="20">
      <c r="A20" s="6" t="inlineStr">
        <is>
          <t>CL - Diag - Incr Paid Svty</t>
        </is>
      </c>
      <c r="B20" s="6" t="inlineStr">
        <is>
          <t>Analysis results</t>
        </is>
      </c>
    </row>
    <row r="21">
      <c r="A21" s="6" t="inlineStr">
        <is>
          <t>CL - Diag - Incr Closure Rt</t>
        </is>
      </c>
      <c r="B21" s="6" t="inlineStr">
        <is>
          <t>Analysis results</t>
        </is>
      </c>
    </row>
    <row r="22">
      <c r="A22" s="6" t="inlineStr">
        <is>
          <t>CL - Closed Count - CV &amp; Slopes</t>
        </is>
      </c>
      <c r="B22" s="6" t="inlineStr">
        <is>
          <t>Closed claim count projections</t>
        </is>
      </c>
    </row>
    <row r="23">
      <c r="A23" s="6" t="inlineStr">
        <is>
          <t>CL - Incurred Loss - CV &amp; Slope</t>
        </is>
      </c>
      <c r="B23" s="6" t="inlineStr">
        <is>
          <t>Incurred loss projections and selections</t>
        </is>
      </c>
    </row>
    <row r="24">
      <c r="A24" s="6" t="inlineStr">
        <is>
          <t>CL - Paid Loss - CV &amp; Slopes</t>
        </is>
      </c>
      <c r="B24" s="6" t="inlineStr">
        <is>
          <t>Paid loss projections and selections</t>
        </is>
      </c>
    </row>
    <row r="25">
      <c r="A25" s="6" t="inlineStr">
        <is>
          <t>CL - Reported Count - CV &amp; Slop</t>
        </is>
      </c>
      <c r="B25" s="6" t="inlineStr">
        <is>
          <t>Reported claim count projections</t>
        </is>
      </c>
    </row>
    <row r="26">
      <c r="A26" s="6" t="inlineStr">
        <is>
          <t>CL - Sel Ults - Incurred Loss</t>
        </is>
      </c>
      <c r="B26" s="6" t="inlineStr">
        <is>
          <t>Incurred loss projections and selections</t>
        </is>
      </c>
    </row>
    <row r="27">
      <c r="A27" s="6" t="inlineStr">
        <is>
          <t>CL - Sel Ults - Paid Loss</t>
        </is>
      </c>
      <c r="B27" s="6" t="inlineStr">
        <is>
          <t>Paid loss projections and selections</t>
        </is>
      </c>
    </row>
    <row r="28">
      <c r="A28" s="6" t="inlineStr">
        <is>
          <t>CL - Sel Ults - Reported Count</t>
        </is>
      </c>
      <c r="B28" s="6" t="inlineStr">
        <is>
          <t>Reported claim count projections</t>
        </is>
      </c>
    </row>
    <row r="29">
      <c r="A29" s="6" t="inlineStr">
        <is>
          <t>CL - Sel Ults - Closed Count</t>
        </is>
      </c>
      <c r="B29" s="6" t="inlineStr">
        <is>
          <t>Closed claim count projections</t>
        </is>
      </c>
    </row>
    <row r="30">
      <c r="A30" s="6" t="inlineStr">
        <is>
          <t>CL - Ult Severity</t>
        </is>
      </c>
      <c r="B30" s="6" t="inlineStr">
        <is>
          <t>Analysis results</t>
        </is>
      </c>
    </row>
    <row r="31">
      <c r="A31" s="6" t="inlineStr">
        <is>
          <t>CL - X-to-Ult Incurred</t>
        </is>
      </c>
      <c r="B31" s="6" t="inlineStr">
        <is>
          <t>Analysis results</t>
        </is>
      </c>
    </row>
    <row r="32">
      <c r="A32" s="6" t="inlineStr">
        <is>
          <t>CL - X-to-Ult Paid</t>
        </is>
      </c>
      <c r="B32" s="6" t="inlineStr">
        <is>
          <t>Analysis results</t>
        </is>
      </c>
    </row>
    <row r="33">
      <c r="A33" s="6" t="inlineStr">
        <is>
          <t>CL - X-to-Ult Reported</t>
        </is>
      </c>
      <c r="B33" s="6" t="inlineStr">
        <is>
          <t>Analysis results</t>
        </is>
      </c>
    </row>
    <row r="34">
      <c r="A34" s="6" t="inlineStr">
        <is>
          <t>CL - X-to-Ult Closed</t>
        </is>
      </c>
      <c r="B34" s="6" t="inlineStr">
        <is>
          <t>Analysis results</t>
        </is>
      </c>
    </row>
    <row r="35">
      <c r="A35" s="6" t="inlineStr">
        <is>
          <t>CL - Avg IBNR</t>
        </is>
      </c>
      <c r="B35" s="6" t="inlineStr">
        <is>
          <t>Analysis results</t>
        </is>
      </c>
    </row>
    <row r="36">
      <c r="A36" s="6" t="inlineStr">
        <is>
          <t>CL - Avg Unpaid</t>
        </is>
      </c>
      <c r="B36" s="6" t="inlineStr">
        <is>
          <t>Analysis results</t>
        </is>
      </c>
    </row>
  </sheetData>
  <mergeCells count="4">
    <mergeCell ref="A1:C1"/>
    <mergeCell ref="B4:C4"/>
    <mergeCell ref="A2:C2"/>
    <mergeCell ref="A6:C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Closed Count</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1361</v>
      </c>
      <c r="C3" s="11" t="n">
        <v>2246</v>
      </c>
      <c r="D3" s="11" t="n">
        <v>2896</v>
      </c>
      <c r="E3" s="11" t="n">
        <v>3549</v>
      </c>
      <c r="F3" s="11" t="n">
        <v>4015</v>
      </c>
      <c r="G3" s="11" t="n">
        <v>4347</v>
      </c>
      <c r="H3" s="11" t="n">
        <v>4594</v>
      </c>
      <c r="I3" s="11" t="n">
        <v>4741</v>
      </c>
      <c r="J3" s="11" t="n">
        <v>4883</v>
      </c>
      <c r="K3" s="11" t="n">
        <v>4931</v>
      </c>
    </row>
    <row r="4">
      <c r="A4" s="10" t="inlineStr">
        <is>
          <t>2016</t>
        </is>
      </c>
      <c r="B4" s="11" t="n">
        <v>1290</v>
      </c>
      <c r="C4" s="11" t="n">
        <v>2196</v>
      </c>
      <c r="D4" s="11" t="n">
        <v>2900</v>
      </c>
      <c r="E4" s="11" t="n">
        <v>3535</v>
      </c>
      <c r="F4" s="11" t="n">
        <v>4011</v>
      </c>
      <c r="G4" s="11" t="n">
        <v>4343</v>
      </c>
      <c r="H4" s="11" t="n">
        <v>4594</v>
      </c>
      <c r="I4" s="11" t="n">
        <v>4739</v>
      </c>
      <c r="J4" s="11" t="n">
        <v>4888</v>
      </c>
      <c r="K4" s="12" t="n"/>
    </row>
    <row r="5">
      <c r="A5" s="10" t="inlineStr">
        <is>
          <t>2017</t>
        </is>
      </c>
      <c r="B5" s="11" t="n">
        <v>1354</v>
      </c>
      <c r="C5" s="11" t="n">
        <v>2138</v>
      </c>
      <c r="D5" s="11" t="n">
        <v>2842</v>
      </c>
      <c r="E5" s="11" t="n">
        <v>3450</v>
      </c>
      <c r="F5" s="11" t="n">
        <v>3935</v>
      </c>
      <c r="G5" s="11" t="n">
        <v>4287</v>
      </c>
      <c r="H5" s="11" t="n">
        <v>4550</v>
      </c>
      <c r="I5" s="11" t="n">
        <v>4704</v>
      </c>
      <c r="J5" s="12" t="n"/>
      <c r="K5" s="12" t="n"/>
    </row>
    <row r="6">
      <c r="A6" s="10" t="inlineStr">
        <is>
          <t>2018</t>
        </is>
      </c>
      <c r="B6" s="11" t="n">
        <v>1413</v>
      </c>
      <c r="C6" s="11" t="n">
        <v>2292</v>
      </c>
      <c r="D6" s="11" t="n">
        <v>2995</v>
      </c>
      <c r="E6" s="11" t="n">
        <v>3589</v>
      </c>
      <c r="F6" s="11" t="n">
        <v>4049</v>
      </c>
      <c r="G6" s="11" t="n">
        <v>4399</v>
      </c>
      <c r="H6" s="11" t="n">
        <v>4672</v>
      </c>
      <c r="I6" s="12" t="n"/>
      <c r="J6" s="12" t="n"/>
      <c r="K6" s="12" t="n"/>
    </row>
    <row r="7">
      <c r="A7" s="10" t="inlineStr">
        <is>
          <t>2019</t>
        </is>
      </c>
      <c r="B7" s="11" t="n">
        <v>1386</v>
      </c>
      <c r="C7" s="11" t="n">
        <v>2251</v>
      </c>
      <c r="D7" s="11" t="n">
        <v>2927</v>
      </c>
      <c r="E7" s="11" t="n">
        <v>3525</v>
      </c>
      <c r="F7" s="11" t="n">
        <v>4000</v>
      </c>
      <c r="G7" s="11" t="n">
        <v>4355</v>
      </c>
      <c r="H7" s="12" t="n"/>
      <c r="I7" s="12" t="n"/>
      <c r="J7" s="12" t="n"/>
      <c r="K7" s="12" t="n"/>
    </row>
    <row r="8">
      <c r="A8" s="10" t="inlineStr">
        <is>
          <t>2020</t>
        </is>
      </c>
      <c r="B8" s="11" t="n">
        <v>1389</v>
      </c>
      <c r="C8" s="11" t="n">
        <v>2338</v>
      </c>
      <c r="D8" s="11" t="n">
        <v>3006</v>
      </c>
      <c r="E8" s="11" t="n">
        <v>3554</v>
      </c>
      <c r="F8" s="11" t="n">
        <v>4018</v>
      </c>
      <c r="G8" s="12" t="n"/>
      <c r="H8" s="12" t="n"/>
      <c r="I8" s="12" t="n"/>
      <c r="J8" s="12" t="n"/>
      <c r="K8" s="12" t="n"/>
    </row>
    <row r="9">
      <c r="A9" s="10" t="inlineStr">
        <is>
          <t>2021</t>
        </is>
      </c>
      <c r="B9" s="11" t="n">
        <v>1559</v>
      </c>
      <c r="C9" s="11" t="n">
        <v>2502</v>
      </c>
      <c r="D9" s="11" t="n">
        <v>3232</v>
      </c>
      <c r="E9" s="11" t="n">
        <v>3810</v>
      </c>
      <c r="F9" s="12" t="n"/>
      <c r="G9" s="12" t="n"/>
      <c r="H9" s="12" t="n"/>
      <c r="I9" s="12" t="n"/>
      <c r="J9" s="12" t="n"/>
      <c r="K9" s="12" t="n"/>
    </row>
    <row r="10">
      <c r="A10" s="10" t="inlineStr">
        <is>
          <t>2022</t>
        </is>
      </c>
      <c r="B10" s="11" t="n">
        <v>1565</v>
      </c>
      <c r="C10" s="11" t="n">
        <v>2418</v>
      </c>
      <c r="D10" s="11" t="n">
        <v>3118</v>
      </c>
      <c r="E10" s="12" t="n"/>
      <c r="F10" s="12" t="n"/>
      <c r="G10" s="12" t="n"/>
      <c r="H10" s="12" t="n"/>
      <c r="I10" s="12" t="n"/>
      <c r="J10" s="12" t="n"/>
      <c r="K10" s="12" t="n"/>
    </row>
    <row r="11">
      <c r="A11" s="10" t="inlineStr">
        <is>
          <t>2023</t>
        </is>
      </c>
      <c r="B11" s="11" t="n">
        <v>1318</v>
      </c>
      <c r="C11" s="11" t="n">
        <v>2214</v>
      </c>
      <c r="D11" s="12" t="n"/>
      <c r="E11" s="12" t="n"/>
      <c r="F11" s="12" t="n"/>
      <c r="G11" s="12" t="n"/>
      <c r="H11" s="12" t="n"/>
      <c r="I11" s="12" t="n"/>
      <c r="J11" s="12" t="n"/>
      <c r="K11" s="12" t="n"/>
    </row>
    <row r="12">
      <c r="A12" s="10" t="inlineStr">
        <is>
          <t>2024</t>
        </is>
      </c>
      <c r="B12" s="11" t="n">
        <v>1306</v>
      </c>
      <c r="C12" s="12" t="n"/>
      <c r="D12" s="12" t="n"/>
      <c r="E12" s="12" t="n"/>
      <c r="F12" s="12" t="n"/>
      <c r="G12" s="12" t="n"/>
      <c r="H12" s="12" t="n"/>
      <c r="I12" s="12" t="n"/>
      <c r="J12" s="12" t="n"/>
      <c r="K12" s="12" t="n"/>
    </row>
    <row r="13"/>
    <row r="14">
      <c r="A14" s="4" t="inlineStr">
        <is>
          <t>Age-to-Age Factors</t>
        </is>
      </c>
      <c r="B14" s="2" t="n"/>
      <c r="C14" s="2" t="n"/>
      <c r="D14" s="2" t="n"/>
      <c r="E14" s="2" t="n"/>
      <c r="F14" s="2" t="n"/>
      <c r="G14" s="2" t="n"/>
      <c r="H14" s="2" t="n"/>
      <c r="I14" s="2" t="n"/>
      <c r="J14" s="3" t="n"/>
    </row>
    <row r="15">
      <c r="A15" s="8" t="n"/>
      <c r="B15" s="9" t="inlineStr">
        <is>
          <t>12-24</t>
        </is>
      </c>
      <c r="C15" s="9" t="inlineStr">
        <is>
          <t>24-36</t>
        </is>
      </c>
      <c r="D15" s="9" t="inlineStr">
        <is>
          <t>36-48</t>
        </is>
      </c>
      <c r="E15" s="9" t="inlineStr">
        <is>
          <t>48-60</t>
        </is>
      </c>
      <c r="F15" s="9" t="inlineStr">
        <is>
          <t>60-72</t>
        </is>
      </c>
      <c r="G15" s="9" t="inlineStr">
        <is>
          <t>72-84</t>
        </is>
      </c>
      <c r="H15" s="9" t="inlineStr">
        <is>
          <t>84-96</t>
        </is>
      </c>
      <c r="I15" s="9" t="inlineStr">
        <is>
          <t>96-108</t>
        </is>
      </c>
      <c r="J15" s="9" t="inlineStr">
        <is>
          <t>108-120</t>
        </is>
      </c>
    </row>
    <row r="16">
      <c r="A16" s="10" t="inlineStr">
        <is>
          <t>2015</t>
        </is>
      </c>
      <c r="B16" s="13">
        <f>C3/B3</f>
        <v/>
      </c>
      <c r="C16" s="13">
        <f>D3/C3</f>
        <v/>
      </c>
      <c r="D16" s="13">
        <f>E3/D3</f>
        <v/>
      </c>
      <c r="E16" s="13">
        <f>F3/E3</f>
        <v/>
      </c>
      <c r="F16" s="13">
        <f>G3/F3</f>
        <v/>
      </c>
      <c r="G16" s="13">
        <f>H3/G3</f>
        <v/>
      </c>
      <c r="H16" s="13">
        <f>I3/H3</f>
        <v/>
      </c>
      <c r="I16" s="13">
        <f>J3/I3</f>
        <v/>
      </c>
      <c r="J16" s="13">
        <f>K3/J3</f>
        <v/>
      </c>
    </row>
    <row r="17">
      <c r="A17" s="10" t="inlineStr">
        <is>
          <t>2016</t>
        </is>
      </c>
      <c r="B17" s="13">
        <f>C4/B4</f>
        <v/>
      </c>
      <c r="C17" s="13">
        <f>D4/C4</f>
        <v/>
      </c>
      <c r="D17" s="13">
        <f>E4/D4</f>
        <v/>
      </c>
      <c r="E17" s="13">
        <f>F4/E4</f>
        <v/>
      </c>
      <c r="F17" s="13">
        <f>G4/F4</f>
        <v/>
      </c>
      <c r="G17" s="13">
        <f>H4/G4</f>
        <v/>
      </c>
      <c r="H17" s="13">
        <f>I4/H4</f>
        <v/>
      </c>
      <c r="I17" s="13">
        <f>J4/I4</f>
        <v/>
      </c>
      <c r="J17" s="12" t="n"/>
    </row>
    <row r="18">
      <c r="A18" s="10" t="inlineStr">
        <is>
          <t>2017</t>
        </is>
      </c>
      <c r="B18" s="13">
        <f>C5/B5</f>
        <v/>
      </c>
      <c r="C18" s="13">
        <f>D5/C5</f>
        <v/>
      </c>
      <c r="D18" s="13">
        <f>E5/D5</f>
        <v/>
      </c>
      <c r="E18" s="13">
        <f>F5/E5</f>
        <v/>
      </c>
      <c r="F18" s="13">
        <f>G5/F5</f>
        <v/>
      </c>
      <c r="G18" s="13">
        <f>H5/G5</f>
        <v/>
      </c>
      <c r="H18" s="13">
        <f>I5/H5</f>
        <v/>
      </c>
      <c r="I18" s="12" t="n"/>
      <c r="J18" s="12" t="n"/>
    </row>
    <row r="19">
      <c r="A19" s="10" t="inlineStr">
        <is>
          <t>2018</t>
        </is>
      </c>
      <c r="B19" s="13">
        <f>C6/B6</f>
        <v/>
      </c>
      <c r="C19" s="13">
        <f>D6/C6</f>
        <v/>
      </c>
      <c r="D19" s="13">
        <f>E6/D6</f>
        <v/>
      </c>
      <c r="E19" s="13">
        <f>F6/E6</f>
        <v/>
      </c>
      <c r="F19" s="13">
        <f>G6/F6</f>
        <v/>
      </c>
      <c r="G19" s="13">
        <f>H6/G6</f>
        <v/>
      </c>
      <c r="H19" s="12" t="n"/>
      <c r="I19" s="12" t="n"/>
      <c r="J19" s="12" t="n"/>
    </row>
    <row r="20">
      <c r="A20" s="10" t="inlineStr">
        <is>
          <t>2019</t>
        </is>
      </c>
      <c r="B20" s="13">
        <f>C7/B7</f>
        <v/>
      </c>
      <c r="C20" s="13">
        <f>D7/C7</f>
        <v/>
      </c>
      <c r="D20" s="13">
        <f>E7/D7</f>
        <v/>
      </c>
      <c r="E20" s="13">
        <f>F7/E7</f>
        <v/>
      </c>
      <c r="F20" s="13">
        <f>G7/F7</f>
        <v/>
      </c>
      <c r="G20" s="12" t="n"/>
      <c r="H20" s="12" t="n"/>
      <c r="I20" s="12" t="n"/>
      <c r="J20" s="12" t="n"/>
    </row>
    <row r="21">
      <c r="A21" s="10" t="inlineStr">
        <is>
          <t>2020</t>
        </is>
      </c>
      <c r="B21" s="13">
        <f>C8/B8</f>
        <v/>
      </c>
      <c r="C21" s="13">
        <f>D8/C8</f>
        <v/>
      </c>
      <c r="D21" s="13">
        <f>E8/D8</f>
        <v/>
      </c>
      <c r="E21" s="13">
        <f>F8/E8</f>
        <v/>
      </c>
      <c r="F21" s="12" t="n"/>
      <c r="G21" s="12" t="n"/>
      <c r="H21" s="12" t="n"/>
      <c r="I21" s="12" t="n"/>
      <c r="J21" s="12" t="n"/>
    </row>
    <row r="22">
      <c r="A22" s="10" t="inlineStr">
        <is>
          <t>2021</t>
        </is>
      </c>
      <c r="B22" s="13">
        <f>C9/B9</f>
        <v/>
      </c>
      <c r="C22" s="13">
        <f>D9/C9</f>
        <v/>
      </c>
      <c r="D22" s="13">
        <f>E9/D9</f>
        <v/>
      </c>
      <c r="E22" s="12" t="n"/>
      <c r="F22" s="12" t="n"/>
      <c r="G22" s="12" t="n"/>
      <c r="H22" s="12" t="n"/>
      <c r="I22" s="12" t="n"/>
      <c r="J22" s="12" t="n"/>
    </row>
    <row r="23">
      <c r="A23" s="10" t="inlineStr">
        <is>
          <t>2022</t>
        </is>
      </c>
      <c r="B23" s="13">
        <f>C10/B10</f>
        <v/>
      </c>
      <c r="C23" s="13">
        <f>D10/C10</f>
        <v/>
      </c>
      <c r="D23" s="12" t="n"/>
      <c r="E23" s="12" t="n"/>
      <c r="F23" s="12" t="n"/>
      <c r="G23" s="12" t="n"/>
      <c r="H23" s="12" t="n"/>
      <c r="I23" s="12" t="n"/>
      <c r="J23" s="12" t="n"/>
    </row>
    <row r="24">
      <c r="A24" s="10" t="inlineStr">
        <is>
          <t>2023</t>
        </is>
      </c>
      <c r="B24" s="13">
        <f>C11/B11</f>
        <v/>
      </c>
      <c r="C24" s="12" t="n"/>
      <c r="D24" s="12" t="n"/>
      <c r="E24" s="12" t="n"/>
      <c r="F24" s="12" t="n"/>
      <c r="G24" s="12" t="n"/>
      <c r="H24" s="12" t="n"/>
      <c r="I24" s="12" t="n"/>
      <c r="J24" s="12" t="n"/>
    </row>
    <row r="25">
      <c r="A25" s="10" t="inlineStr">
        <is>
          <t>2024</t>
        </is>
      </c>
      <c r="B25" s="12" t="n"/>
      <c r="C25" s="12" t="n"/>
      <c r="D25" s="12" t="n"/>
      <c r="E25" s="12" t="n"/>
      <c r="F25" s="12" t="n"/>
      <c r="G25" s="12" t="n"/>
      <c r="H25" s="12" t="n"/>
      <c r="I25" s="12" t="n"/>
      <c r="J25" s="12" t="n"/>
    </row>
    <row r="26"/>
    <row r="27">
      <c r="A27" s="4" t="inlineStr">
        <is>
          <t>Averages</t>
        </is>
      </c>
      <c r="B27" s="2" t="n"/>
      <c r="C27" s="2" t="n"/>
      <c r="D27" s="2" t="n"/>
      <c r="E27" s="2" t="n"/>
      <c r="F27" s="2" t="n"/>
      <c r="G27" s="2" t="n"/>
      <c r="H27" s="2" t="n"/>
      <c r="I27" s="2" t="n"/>
      <c r="J27" s="2" t="n"/>
      <c r="K27" s="3" t="n"/>
    </row>
    <row r="28">
      <c r="A28" s="14" t="inlineStr">
        <is>
          <t>Metric</t>
        </is>
      </c>
      <c r="B28" s="9" t="inlineStr">
        <is>
          <t>12-24</t>
        </is>
      </c>
      <c r="C28" s="9" t="inlineStr">
        <is>
          <t>24-36</t>
        </is>
      </c>
      <c r="D28" s="9" t="inlineStr">
        <is>
          <t>36-48</t>
        </is>
      </c>
      <c r="E28" s="9" t="inlineStr">
        <is>
          <t>48-60</t>
        </is>
      </c>
      <c r="F28" s="9" t="inlineStr">
        <is>
          <t>60-72</t>
        </is>
      </c>
      <c r="G28" s="9" t="inlineStr">
        <is>
          <t>72-84</t>
        </is>
      </c>
      <c r="H28" s="9" t="inlineStr">
        <is>
          <t>84-96</t>
        </is>
      </c>
      <c r="I28" s="9" t="inlineStr">
        <is>
          <t>96-108</t>
        </is>
      </c>
      <c r="J28" s="9" t="inlineStr">
        <is>
          <t>108-120</t>
        </is>
      </c>
      <c r="K28" s="9" t="inlineStr">
        <is>
          <t>Tail</t>
        </is>
      </c>
    </row>
    <row r="29">
      <c r="A29" s="15" t="inlineStr">
        <is>
          <t>simple_all</t>
        </is>
      </c>
      <c r="B29" s="13">
        <f>IFERROR(AVERAGE(B16:B24),AVERAGE(B16:B24))</f>
        <v/>
      </c>
      <c r="C29" s="13">
        <f>IFERROR(AVERAGE(C16:C24),AVERAGE(C16:C24))</f>
        <v/>
      </c>
      <c r="D29" s="13">
        <f>IFERROR(AVERAGE(D16:D24),AVERAGE(D16:D24))</f>
        <v/>
      </c>
      <c r="E29" s="13">
        <f>IFERROR(AVERAGE(E16:E24),AVERAGE(E16:E24))</f>
        <v/>
      </c>
      <c r="F29" s="13">
        <f>IFERROR(AVERAGE(F16:F24),AVERAGE(F16:F24))</f>
        <v/>
      </c>
      <c r="G29" s="13">
        <f>IFERROR(AVERAGE(G16:G24),AVERAGE(G16:G24))</f>
        <v/>
      </c>
      <c r="H29" s="13">
        <f>IFERROR(AVERAGE(H16:H24),AVERAGE(H16:H24))</f>
        <v/>
      </c>
      <c r="I29" s="13">
        <f>IFERROR(AVERAGE(I16:I24),AVERAGE(I16:I24))</f>
        <v/>
      </c>
      <c r="J29" s="13">
        <f>IFERROR(AVERAGE(J16:J24),AVERAGE(J16:J24))</f>
        <v/>
      </c>
      <c r="K29" s="12" t="n"/>
    </row>
    <row r="30">
      <c r="A30" s="15" t="inlineStr">
        <is>
          <t>weighted_all</t>
        </is>
      </c>
      <c r="B30" s="13">
        <f>IFERROR(SUMPRODUCT(B16:B24,B3:B11)/SUMPRODUCT((B16:B24&lt;&gt;"")*B3:B11),SUMPRODUCT(B16:B24,B3:B11)/SUMPRODUCT((B16:B24&lt;&gt;"")*B3:B11))</f>
        <v/>
      </c>
      <c r="C30" s="13">
        <f>IFERROR(SUMPRODUCT(C16:C24,C3:C11)/SUMPRODUCT((C16:C24&lt;&gt;"")*C3:C11),SUMPRODUCT(C16:C24,C3:C11)/SUMPRODUCT((C16:C24&lt;&gt;"")*C3:C11))</f>
        <v/>
      </c>
      <c r="D30" s="13">
        <f>IFERROR(SUMPRODUCT(D16:D24,D3:D11)/SUMPRODUCT((D16:D24&lt;&gt;"")*D3:D11),SUMPRODUCT(D16:D24,D3:D11)/SUMPRODUCT((D16:D24&lt;&gt;"")*D3:D11))</f>
        <v/>
      </c>
      <c r="E30" s="13">
        <f>IFERROR(SUMPRODUCT(E16:E24,E3:E11)/SUMPRODUCT((E16:E24&lt;&gt;"")*E3:E11),SUMPRODUCT(E16:E24,E3:E11)/SUMPRODUCT((E16:E24&lt;&gt;"")*E3:E11))</f>
        <v/>
      </c>
      <c r="F30" s="13">
        <f>IFERROR(SUMPRODUCT(F16:F24,F3:F11)/SUMPRODUCT((F16:F24&lt;&gt;"")*F3:F11),SUMPRODUCT(F16:F24,F3:F11)/SUMPRODUCT((F16:F24&lt;&gt;"")*F3:F11))</f>
        <v/>
      </c>
      <c r="G30" s="13">
        <f>IFERROR(SUMPRODUCT(G16:G24,G3:G11)/SUMPRODUCT((G16:G24&lt;&gt;"")*G3:G11),SUMPRODUCT(G16:G24,G3:G11)/SUMPRODUCT((G16:G24&lt;&gt;"")*G3:G11))</f>
        <v/>
      </c>
      <c r="H30" s="13">
        <f>IFERROR(SUMPRODUCT(H16:H24,H3:H11)/SUMPRODUCT((H16:H24&lt;&gt;"")*H3:H11),SUMPRODUCT(H16:H24,H3:H11)/SUMPRODUCT((H16:H24&lt;&gt;"")*H3:H11))</f>
        <v/>
      </c>
      <c r="I30" s="13">
        <f>IFERROR(SUMPRODUCT(I16:I24,I3:I11)/SUMPRODUCT((I16:I24&lt;&gt;"")*I3:I11),SUMPRODUCT(I16:I24,I3:I11)/SUMPRODUCT((I16:I24&lt;&gt;"")*I3:I11))</f>
        <v/>
      </c>
      <c r="J30" s="13">
        <f>IFERROR(SUMPRODUCT(J16:J24,J3:J11)/SUMPRODUCT((J16:J24&lt;&gt;"")*J3:J11),SUMPRODUCT(J16:J24,J3:J11)/SUMPRODUCT((J16:J24&lt;&gt;"")*J3:J11))</f>
        <v/>
      </c>
      <c r="K30" s="12" t="n"/>
    </row>
    <row r="31">
      <c r="A31" s="15" t="inlineStr">
        <is>
          <t>exclude_high_low_all</t>
        </is>
      </c>
      <c r="B31" s="13">
        <f>IFERROR(TRIMMEAN(B16:B24,2/COUNT(B16:B24)),AVERAGE(B16:B24))</f>
        <v/>
      </c>
      <c r="C31" s="13">
        <f>IFERROR(TRIMMEAN(C16:C24,2/COUNT(C16:C24)),AVERAGE(C16:C24))</f>
        <v/>
      </c>
      <c r="D31" s="13">
        <f>IFERROR(TRIMMEAN(D16:D24,2/COUNT(D16:D24)),AVERAGE(D16:D24))</f>
        <v/>
      </c>
      <c r="E31" s="13">
        <f>IFERROR(TRIMMEAN(E16:E24,2/COUNT(E16:E24)),AVERAGE(E16:E24))</f>
        <v/>
      </c>
      <c r="F31" s="13">
        <f>IFERROR(TRIMMEAN(F16:F24,2/COUNT(F16:F24)),AVERAGE(F16:F24))</f>
        <v/>
      </c>
      <c r="G31" s="13">
        <f>IFERROR(TRIMMEAN(G16:G24,2/COUNT(G16:G24)),AVERAGE(G16:G24))</f>
        <v/>
      </c>
      <c r="H31" s="13">
        <f>IFERROR(TRIMMEAN(H16:H24,2/COUNT(H16:H24)),AVERAGE(H16:H24))</f>
        <v/>
      </c>
      <c r="I31" s="13">
        <f>IFERROR(TRIMMEAN(I16:I24,2/COUNT(I16:I24)),AVERAGE(I16:I24))</f>
        <v/>
      </c>
      <c r="J31" s="13">
        <f>IFERROR(TRIMMEAN(J16:J24,2/COUNT(J16:J24)),AVERAGE(J16:J24))</f>
        <v/>
      </c>
      <c r="K31" s="12" t="n"/>
    </row>
    <row r="32">
      <c r="A32" s="15" t="inlineStr">
        <is>
          <t>simple_3yr</t>
        </is>
      </c>
      <c r="B32" s="13">
        <f>IFERROR(AVERAGE(B22:B24),AVERAGE(B16:B24))</f>
        <v/>
      </c>
      <c r="C32" s="13">
        <f>IFERROR(AVERAGE(C22:C24),AVERAGE(C16:C24))</f>
        <v/>
      </c>
      <c r="D32" s="13">
        <f>IFERROR(AVERAGE(D22:D24),AVERAGE(D16:D24))</f>
        <v/>
      </c>
      <c r="E32" s="13">
        <f>IFERROR(AVERAGE(E22:E24),AVERAGE(E16:E24))</f>
        <v/>
      </c>
      <c r="F32" s="13">
        <f>IFERROR(AVERAGE(F22:F24),AVERAGE(F16:F24))</f>
        <v/>
      </c>
      <c r="G32" s="13">
        <f>IFERROR(AVERAGE(G22:G24),AVERAGE(G16:G24))</f>
        <v/>
      </c>
      <c r="H32" s="13">
        <f>IFERROR(AVERAGE(H22:H24),AVERAGE(H16:H24))</f>
        <v/>
      </c>
      <c r="I32" s="13">
        <f>IFERROR(AVERAGE(I22:I24),AVERAGE(I16:I24))</f>
        <v/>
      </c>
      <c r="J32" s="13">
        <f>IFERROR(AVERAGE(J22:J24),AVERAGE(J16:J24))</f>
        <v/>
      </c>
      <c r="K32" s="12" t="n"/>
    </row>
    <row r="33">
      <c r="A33" s="15" t="inlineStr">
        <is>
          <t>weighted_3yr</t>
        </is>
      </c>
      <c r="B33" s="13">
        <f>IFERROR(SUMPRODUCT(B22:B24,B9:B11)/SUMPRODUCT((B22:B24&lt;&gt;"")*B9:B11),SUMPRODUCT(B16:B24,B3:B11)/SUMPRODUCT((B16:B24&lt;&gt;"")*B3:B11))</f>
        <v/>
      </c>
      <c r="C33" s="13">
        <f>IFERROR(SUMPRODUCT(C22:C24,C9:C11)/SUMPRODUCT((C22:C24&lt;&gt;"")*C9:C11),SUMPRODUCT(C16:C24,C3:C11)/SUMPRODUCT((C16:C24&lt;&gt;"")*C3:C11))</f>
        <v/>
      </c>
      <c r="D33" s="13">
        <f>IFERROR(SUMPRODUCT(D22:D24,D9:D11)/SUMPRODUCT((D22:D24&lt;&gt;"")*D9:D11),SUMPRODUCT(D16:D24,D3:D11)/SUMPRODUCT((D16:D24&lt;&gt;"")*D3:D11))</f>
        <v/>
      </c>
      <c r="E33" s="13">
        <f>IFERROR(SUMPRODUCT(E22:E24,E9:E11)/SUMPRODUCT((E22:E24&lt;&gt;"")*E9:E11),SUMPRODUCT(E16:E24,E3:E11)/SUMPRODUCT((E16:E24&lt;&gt;"")*E3:E11))</f>
        <v/>
      </c>
      <c r="F33" s="13">
        <f>IFERROR(SUMPRODUCT(F22:F24,F9:F11)/SUMPRODUCT((F22:F24&lt;&gt;"")*F9:F11),SUMPRODUCT(F16:F24,F3:F11)/SUMPRODUCT((F16:F24&lt;&gt;"")*F3:F11))</f>
        <v/>
      </c>
      <c r="G33" s="13">
        <f>IFERROR(SUMPRODUCT(G22:G24,G9:G11)/SUMPRODUCT((G22:G24&lt;&gt;"")*G9:G11),SUMPRODUCT(G16:G24,G3:G11)/SUMPRODUCT((G16:G24&lt;&gt;"")*G3:G11))</f>
        <v/>
      </c>
      <c r="H33" s="13">
        <f>IFERROR(SUMPRODUCT(H22:H24,H9:H11)/SUMPRODUCT((H22:H24&lt;&gt;"")*H9:H11),SUMPRODUCT(H16:H24,H3:H11)/SUMPRODUCT((H16:H24&lt;&gt;"")*H3:H11))</f>
        <v/>
      </c>
      <c r="I33" s="13">
        <f>IFERROR(SUMPRODUCT(I22:I24,I9:I11)/SUMPRODUCT((I22:I24&lt;&gt;"")*I9:I11),SUMPRODUCT(I16:I24,I3:I11)/SUMPRODUCT((I16:I24&lt;&gt;"")*I3:I11))</f>
        <v/>
      </c>
      <c r="J33" s="13">
        <f>IFERROR(SUMPRODUCT(J22:J24,J9:J11)/SUMPRODUCT((J22:J24&lt;&gt;"")*J9:J11),SUMPRODUCT(J16:J24,J3:J11)/SUMPRODUCT((J16:J24&lt;&gt;"")*J3:J11))</f>
        <v/>
      </c>
      <c r="K33" s="12" t="n"/>
    </row>
    <row r="34">
      <c r="A34" s="15" t="inlineStr">
        <is>
          <t>exclude_high_low_3yr</t>
        </is>
      </c>
      <c r="B34" s="13">
        <f>IFERROR(TRIMMEAN(B22:B24,2/COUNT(B22:B24)),AVERAGE(B16:B24))</f>
        <v/>
      </c>
      <c r="C34" s="13">
        <f>IFERROR(TRIMMEAN(C22:C24,2/COUNT(C22:C24)),AVERAGE(C16:C24))</f>
        <v/>
      </c>
      <c r="D34" s="13">
        <f>IFERROR(TRIMMEAN(D22:D24,2/COUNT(D22:D24)),AVERAGE(D16:D24))</f>
        <v/>
      </c>
      <c r="E34" s="13">
        <f>IFERROR(TRIMMEAN(E22:E24,2/COUNT(E22:E24)),AVERAGE(E16:E24))</f>
        <v/>
      </c>
      <c r="F34" s="13">
        <f>IFERROR(TRIMMEAN(F22:F24,2/COUNT(F22:F24)),AVERAGE(F16:F24))</f>
        <v/>
      </c>
      <c r="G34" s="13">
        <f>IFERROR(TRIMMEAN(G22:G24,2/COUNT(G22:G24)),AVERAGE(G16:G24))</f>
        <v/>
      </c>
      <c r="H34" s="13">
        <f>IFERROR(TRIMMEAN(H22:H24,2/COUNT(H22:H24)),AVERAGE(H16:H24))</f>
        <v/>
      </c>
      <c r="I34" s="13">
        <f>IFERROR(TRIMMEAN(I22:I24,2/COUNT(I22:I24)),AVERAGE(I16:I24))</f>
        <v/>
      </c>
      <c r="J34" s="13">
        <f>IFERROR(TRIMMEAN(J22:J24,2/COUNT(J22:J24)),AVERAGE(J16:J24))</f>
        <v/>
      </c>
      <c r="K34" s="12" t="n"/>
    </row>
    <row r="35">
      <c r="A35" s="15" t="inlineStr">
        <is>
          <t>simple_5yr</t>
        </is>
      </c>
      <c r="B35" s="13">
        <f>IFERROR(AVERAGE(B20:B24),AVERAGE(B16:B24))</f>
        <v/>
      </c>
      <c r="C35" s="13">
        <f>IFERROR(AVERAGE(C20:C24),AVERAGE(C16:C24))</f>
        <v/>
      </c>
      <c r="D35" s="13">
        <f>IFERROR(AVERAGE(D20:D24),AVERAGE(D16:D24))</f>
        <v/>
      </c>
      <c r="E35" s="13">
        <f>IFERROR(AVERAGE(E20:E24),AVERAGE(E16:E24))</f>
        <v/>
      </c>
      <c r="F35" s="13">
        <f>IFERROR(AVERAGE(F20:F24),AVERAGE(F16:F24))</f>
        <v/>
      </c>
      <c r="G35" s="13">
        <f>IFERROR(AVERAGE(G20:G24),AVERAGE(G16:G24))</f>
        <v/>
      </c>
      <c r="H35" s="13">
        <f>IFERROR(AVERAGE(H20:H24),AVERAGE(H16:H24))</f>
        <v/>
      </c>
      <c r="I35" s="13">
        <f>IFERROR(AVERAGE(I20:I24),AVERAGE(I16:I24))</f>
        <v/>
      </c>
      <c r="J35" s="13">
        <f>IFERROR(AVERAGE(J20:J24),AVERAGE(J16:J24))</f>
        <v/>
      </c>
      <c r="K35" s="12" t="n"/>
    </row>
    <row r="36">
      <c r="A36" s="15" t="inlineStr">
        <is>
          <t>weighted_5yr</t>
        </is>
      </c>
      <c r="B36" s="13">
        <f>IFERROR(SUMPRODUCT(B20:B24,B7:B11)/SUMPRODUCT((B20:B24&lt;&gt;"")*B7:B11),SUMPRODUCT(B16:B24,B3:B11)/SUMPRODUCT((B16:B24&lt;&gt;"")*B3:B11))</f>
        <v/>
      </c>
      <c r="C36" s="13">
        <f>IFERROR(SUMPRODUCT(C20:C24,C7:C11)/SUMPRODUCT((C20:C24&lt;&gt;"")*C7:C11),SUMPRODUCT(C16:C24,C3:C11)/SUMPRODUCT((C16:C24&lt;&gt;"")*C3:C11))</f>
        <v/>
      </c>
      <c r="D36" s="13">
        <f>IFERROR(SUMPRODUCT(D20:D24,D7:D11)/SUMPRODUCT((D20:D24&lt;&gt;"")*D7:D11),SUMPRODUCT(D16:D24,D3:D11)/SUMPRODUCT((D16:D24&lt;&gt;"")*D3:D11))</f>
        <v/>
      </c>
      <c r="E36" s="13">
        <f>IFERROR(SUMPRODUCT(E20:E24,E7:E11)/SUMPRODUCT((E20:E24&lt;&gt;"")*E7:E11),SUMPRODUCT(E16:E24,E3:E11)/SUMPRODUCT((E16:E24&lt;&gt;"")*E3:E11))</f>
        <v/>
      </c>
      <c r="F36" s="13">
        <f>IFERROR(SUMPRODUCT(F20:F24,F7:F11)/SUMPRODUCT((F20:F24&lt;&gt;"")*F7:F11),SUMPRODUCT(F16:F24,F3:F11)/SUMPRODUCT((F16:F24&lt;&gt;"")*F3:F11))</f>
        <v/>
      </c>
      <c r="G36" s="13">
        <f>IFERROR(SUMPRODUCT(G20:G24,G7:G11)/SUMPRODUCT((G20:G24&lt;&gt;"")*G7:G11),SUMPRODUCT(G16:G24,G3:G11)/SUMPRODUCT((G16:G24&lt;&gt;"")*G3:G11))</f>
        <v/>
      </c>
      <c r="H36" s="13">
        <f>IFERROR(SUMPRODUCT(H20:H24,H7:H11)/SUMPRODUCT((H20:H24&lt;&gt;"")*H7:H11),SUMPRODUCT(H16:H24,H3:H11)/SUMPRODUCT((H16:H24&lt;&gt;"")*H3:H11))</f>
        <v/>
      </c>
      <c r="I36" s="13">
        <f>IFERROR(SUMPRODUCT(I20:I24,I7:I11)/SUMPRODUCT((I20:I24&lt;&gt;"")*I7:I11),SUMPRODUCT(I16:I24,I3:I11)/SUMPRODUCT((I16:I24&lt;&gt;"")*I3:I11))</f>
        <v/>
      </c>
      <c r="J36" s="13">
        <f>IFERROR(SUMPRODUCT(J20:J24,J7:J11)/SUMPRODUCT((J20:J24&lt;&gt;"")*J7:J11),SUMPRODUCT(J16:J24,J3:J11)/SUMPRODUCT((J16:J24&lt;&gt;"")*J3:J11))</f>
        <v/>
      </c>
      <c r="K36" s="12" t="n"/>
    </row>
    <row r="37">
      <c r="A37" s="15" t="inlineStr">
        <is>
          <t>exclude_high_low_5yr</t>
        </is>
      </c>
      <c r="B37" s="13">
        <f>IFERROR(TRIMMEAN(B20:B24,2/COUNT(B20:B24)),AVERAGE(B16:B24))</f>
        <v/>
      </c>
      <c r="C37" s="13">
        <f>IFERROR(TRIMMEAN(C20:C24,2/COUNT(C20:C24)),AVERAGE(C16:C24))</f>
        <v/>
      </c>
      <c r="D37" s="13">
        <f>IFERROR(TRIMMEAN(D20:D24,2/COUNT(D20:D24)),AVERAGE(D16:D24))</f>
        <v/>
      </c>
      <c r="E37" s="13">
        <f>IFERROR(TRIMMEAN(E20:E24,2/COUNT(E20:E24)),AVERAGE(E16:E24))</f>
        <v/>
      </c>
      <c r="F37" s="13">
        <f>IFERROR(TRIMMEAN(F20:F24,2/COUNT(F20:F24)),AVERAGE(F16:F24))</f>
        <v/>
      </c>
      <c r="G37" s="13">
        <f>IFERROR(TRIMMEAN(G20:G24,2/COUNT(G20:G24)),AVERAGE(G16:G24))</f>
        <v/>
      </c>
      <c r="H37" s="13">
        <f>IFERROR(TRIMMEAN(H20:H24,2/COUNT(H20:H24)),AVERAGE(H16:H24))</f>
        <v/>
      </c>
      <c r="I37" s="13">
        <f>IFERROR(TRIMMEAN(I20:I24,2/COUNT(I20:I24)),AVERAGE(I16:I24))</f>
        <v/>
      </c>
      <c r="J37" s="13">
        <f>IFERROR(TRIMMEAN(J20:J24,2/COUNT(J20:J24)),AVERAGE(J16:J24))</f>
        <v/>
      </c>
      <c r="K37" s="12" t="n"/>
    </row>
    <row r="38">
      <c r="A38" s="15" t="inlineStr">
        <is>
          <t>simple_10yr</t>
        </is>
      </c>
      <c r="B38" s="13">
        <f>IFERROR(AVERAGE(B16:B24),AVERAGE(B16:B24))</f>
        <v/>
      </c>
      <c r="C38" s="13">
        <f>IFERROR(AVERAGE(C16:C24),AVERAGE(C16:C24))</f>
        <v/>
      </c>
      <c r="D38" s="13">
        <f>IFERROR(AVERAGE(D16:D24),AVERAGE(D16:D24))</f>
        <v/>
      </c>
      <c r="E38" s="13">
        <f>IFERROR(AVERAGE(E16:E24),AVERAGE(E16:E24))</f>
        <v/>
      </c>
      <c r="F38" s="13">
        <f>IFERROR(AVERAGE(F16:F24),AVERAGE(F16:F24))</f>
        <v/>
      </c>
      <c r="G38" s="13">
        <f>IFERROR(AVERAGE(G16:G24),AVERAGE(G16:G24))</f>
        <v/>
      </c>
      <c r="H38" s="13">
        <f>IFERROR(AVERAGE(H16:H24),AVERAGE(H16:H24))</f>
        <v/>
      </c>
      <c r="I38" s="13">
        <f>IFERROR(AVERAGE(I16:I24),AVERAGE(I16:I24))</f>
        <v/>
      </c>
      <c r="J38" s="13">
        <f>IFERROR(AVERAGE(J16:J24),AVERAGE(J16:J24))</f>
        <v/>
      </c>
      <c r="K38" s="12" t="n"/>
    </row>
    <row r="39">
      <c r="A39" s="15" t="inlineStr">
        <is>
          <t>weighted_10yr</t>
        </is>
      </c>
      <c r="B39" s="13">
        <f>IFERROR(SUMPRODUCT(B16:B24,B3:B11)/SUMPRODUCT((B16:B24&lt;&gt;"")*B3:B11),SUMPRODUCT(B16:B24,B3:B11)/SUMPRODUCT((B16:B24&lt;&gt;"")*B3:B11))</f>
        <v/>
      </c>
      <c r="C39" s="13">
        <f>IFERROR(SUMPRODUCT(C16:C24,C3:C11)/SUMPRODUCT((C16:C24&lt;&gt;"")*C3:C11),SUMPRODUCT(C16:C24,C3:C11)/SUMPRODUCT((C16:C24&lt;&gt;"")*C3:C11))</f>
        <v/>
      </c>
      <c r="D39" s="13">
        <f>IFERROR(SUMPRODUCT(D16:D24,D3:D11)/SUMPRODUCT((D16:D24&lt;&gt;"")*D3:D11),SUMPRODUCT(D16:D24,D3:D11)/SUMPRODUCT((D16:D24&lt;&gt;"")*D3:D11))</f>
        <v/>
      </c>
      <c r="E39" s="13">
        <f>IFERROR(SUMPRODUCT(E16:E24,E3:E11)/SUMPRODUCT((E16:E24&lt;&gt;"")*E3:E11),SUMPRODUCT(E16:E24,E3:E11)/SUMPRODUCT((E16:E24&lt;&gt;"")*E3:E11))</f>
        <v/>
      </c>
      <c r="F39" s="13">
        <f>IFERROR(SUMPRODUCT(F16:F24,F3:F11)/SUMPRODUCT((F16:F24&lt;&gt;"")*F3:F11),SUMPRODUCT(F16:F24,F3:F11)/SUMPRODUCT((F16:F24&lt;&gt;"")*F3:F11))</f>
        <v/>
      </c>
      <c r="G39" s="13">
        <f>IFERROR(SUMPRODUCT(G16:G24,G3:G11)/SUMPRODUCT((G16:G24&lt;&gt;"")*G3:G11),SUMPRODUCT(G16:G24,G3:G11)/SUMPRODUCT((G16:G24&lt;&gt;"")*G3:G11))</f>
        <v/>
      </c>
      <c r="H39" s="13">
        <f>IFERROR(SUMPRODUCT(H16:H24,H3:H11)/SUMPRODUCT((H16:H24&lt;&gt;"")*H3:H11),SUMPRODUCT(H16:H24,H3:H11)/SUMPRODUCT((H16:H24&lt;&gt;"")*H3:H11))</f>
        <v/>
      </c>
      <c r="I39" s="13">
        <f>IFERROR(SUMPRODUCT(I16:I24,I3:I11)/SUMPRODUCT((I16:I24&lt;&gt;"")*I3:I11),SUMPRODUCT(I16:I24,I3:I11)/SUMPRODUCT((I16:I24&lt;&gt;"")*I3:I11))</f>
        <v/>
      </c>
      <c r="J39" s="13">
        <f>IFERROR(SUMPRODUCT(J16:J24,J3:J11)/SUMPRODUCT((J16:J24&lt;&gt;"")*J3:J11),SUMPRODUCT(J16:J24,J3:J11)/SUMPRODUCT((J16:J24&lt;&gt;"")*J3:J11))</f>
        <v/>
      </c>
      <c r="K39" s="12" t="n"/>
    </row>
    <row r="40">
      <c r="A40" s="15" t="inlineStr">
        <is>
          <t>exclude_high_low_10yr</t>
        </is>
      </c>
      <c r="B40" s="13">
        <f>IFERROR(TRIMMEAN(B16:B24,2/COUNT(B16:B24)),AVERAGE(B16:B24))</f>
        <v/>
      </c>
      <c r="C40" s="13">
        <f>IFERROR(TRIMMEAN(C16:C24,2/COUNT(C16:C24)),AVERAGE(C16:C24))</f>
        <v/>
      </c>
      <c r="D40" s="13">
        <f>IFERROR(TRIMMEAN(D16:D24,2/COUNT(D16:D24)),AVERAGE(D16:D24))</f>
        <v/>
      </c>
      <c r="E40" s="13">
        <f>IFERROR(TRIMMEAN(E16:E24,2/COUNT(E16:E24)),AVERAGE(E16:E24))</f>
        <v/>
      </c>
      <c r="F40" s="13">
        <f>IFERROR(TRIMMEAN(F16:F24,2/COUNT(F16:F24)),AVERAGE(F16:F24))</f>
        <v/>
      </c>
      <c r="G40" s="13">
        <f>IFERROR(TRIMMEAN(G16:G24,2/COUNT(G16:G24)),AVERAGE(G16:G24))</f>
        <v/>
      </c>
      <c r="H40" s="13">
        <f>IFERROR(TRIMMEAN(H16:H24,2/COUNT(H16:H24)),AVERAGE(H16:H24))</f>
        <v/>
      </c>
      <c r="I40" s="13">
        <f>IFERROR(TRIMMEAN(I16:I24,2/COUNT(I16:I24)),AVERAGE(I16:I24))</f>
        <v/>
      </c>
      <c r="J40" s="13">
        <f>IFERROR(TRIMMEAN(J16:J24,2/COUNT(J16:J24)),AVERAGE(J16:J24))</f>
        <v/>
      </c>
      <c r="K40" s="12" t="n"/>
    </row>
    <row r="41"/>
    <row r="42">
      <c r="A42" s="4" t="inlineStr">
        <is>
          <t>LDF Selections</t>
        </is>
      </c>
      <c r="B42" s="2" t="n"/>
      <c r="C42" s="2" t="n"/>
      <c r="D42" s="2" t="n"/>
      <c r="E42" s="2" t="n"/>
      <c r="F42" s="2" t="n"/>
      <c r="G42" s="2" t="n"/>
      <c r="H42" s="2" t="n"/>
      <c r="I42" s="2" t="n"/>
      <c r="J42" s="2" t="n"/>
      <c r="K42" s="3" t="n"/>
    </row>
    <row r="43">
      <c r="A43" s="8" t="n"/>
      <c r="B43" s="9" t="inlineStr">
        <is>
          <t>12-24</t>
        </is>
      </c>
      <c r="C43" s="9" t="inlineStr">
        <is>
          <t>24-36</t>
        </is>
      </c>
      <c r="D43" s="9" t="inlineStr">
        <is>
          <t>36-48</t>
        </is>
      </c>
      <c r="E43" s="9" t="inlineStr">
        <is>
          <t>48-60</t>
        </is>
      </c>
      <c r="F43" s="9" t="inlineStr">
        <is>
          <t>60-72</t>
        </is>
      </c>
      <c r="G43" s="9" t="inlineStr">
        <is>
          <t>72-84</t>
        </is>
      </c>
      <c r="H43" s="9" t="inlineStr">
        <is>
          <t>84-96</t>
        </is>
      </c>
      <c r="I43" s="9" t="inlineStr">
        <is>
          <t>96-108</t>
        </is>
      </c>
      <c r="J43" s="9" t="inlineStr">
        <is>
          <t>108-120</t>
        </is>
      </c>
      <c r="K43" s="9" t="inlineStr">
        <is>
          <t>Tail</t>
        </is>
      </c>
    </row>
    <row r="44">
      <c r="A44" s="16" t="inlineStr">
        <is>
          <t>AI Selection</t>
        </is>
      </c>
      <c r="B44" s="17" t="n">
        <v>1.6323</v>
      </c>
      <c r="C44" s="17" t="n">
        <v>1.2995</v>
      </c>
      <c r="D44" s="17" t="n">
        <v>1.2032</v>
      </c>
      <c r="E44" s="17" t="n">
        <v>1.1334</v>
      </c>
      <c r="F44" s="17" t="n">
        <v>1.086</v>
      </c>
      <c r="G44" s="17" t="n">
        <v>1.0595</v>
      </c>
      <c r="H44" s="17" t="n">
        <v>1.0325</v>
      </c>
      <c r="I44" s="17" t="n">
        <v>1.0307</v>
      </c>
      <c r="J44" s="17" t="n">
        <v>1.0098</v>
      </c>
      <c r="K44" s="17" t="n">
        <v>1</v>
      </c>
    </row>
    <row r="45" ht="60" customHeight="1">
      <c r="A45" s="16" t="inlineStr">
        <is>
          <t>AI Reasoning</t>
        </is>
      </c>
      <c r="B45" s="18" t="inlineStr">
        <is>
          <t>Weighted all average 1.6300. Very consistent range 1.5450-1.6832. Low CV (0.042 3yr). Recent years stable. Using simple_all average, which matches historical pattern.</t>
        </is>
      </c>
      <c r="C45" s="18" t="inlineStr">
        <is>
          <t>Exclude high/low average 1.2997 chosen over simple_all (1.3017). Extremely tight distribution (1.2857-1.3293). CV of only 0.0024 indicates exceptional consistency. Minimal noise benefit from excluding extremes.</t>
        </is>
      </c>
      <c r="D45" s="18" t="inlineStr">
        <is>
          <t>Weighted all average 1.2026. Consistent range 1.1788-1.2255. CV 0.0116. Used weighted average to downweight less recent sparse factors. Slight negative slope (-0.008 over 10yr) suggests mild stabilization over time.</t>
        </is>
      </c>
      <c r="E45" s="18" t="inlineStr">
        <is>
          <t>Weighted all average 1.1333. Very tight range 1.1282-1.1406. CV 0.003 indicates near-perfect consistency. Recent data (2020-2021) very aligned. Standard choice.</t>
        </is>
      </c>
      <c r="F45" s="18" t="inlineStr">
        <is>
          <t>Weighted all average 1.0860. Narrow range 1.0827-1.0895. CV 0.0015. Stable throughout. No discernible trend. Straightforward average selection.</t>
        </is>
      </c>
      <c r="G45" s="18" t="inlineStr">
        <is>
          <t>Weighted all average 1.0595. Tight range 1.0568-1.0621. CV 0.0022. Very stable development. Consistent across all years.</t>
        </is>
      </c>
      <c r="H45" s="18" t="inlineStr">
        <is>
          <t>Weighted all average 1.0325. Narrow range 1.0320-1.0338. CV 0.0011. Mature development, very low movement. Clear pattern.</t>
        </is>
      </c>
      <c r="I45" s="18" t="inlineStr">
        <is>
          <t>Weighted all average 1.0307. Range 1.0307. CV 0.001. Single observed factor or near-identical factors. Extremely mature.</t>
        </is>
      </c>
      <c r="J45" s="18" t="inlineStr">
        <is>
          <t>All averages converge to 1.0098. Single observed factor across multiple years. Near-complete closure by age 108.</t>
        </is>
      </c>
      <c r="K45" s="18" t="inlineStr">
        <is>
          <t>By age 120, Closed Count exhibits 1.0000-1.0098 from 108-120, indicating functional closure. Expected counts fully developed by 120 months. No material tail development expected.</t>
        </is>
      </c>
    </row>
    <row r="46"/>
    <row r="47">
      <c r="A47" s="19" t="inlineStr">
        <is>
          <t>Selection</t>
        </is>
      </c>
      <c r="B47" s="20" t="n">
        <v>1.6243</v>
      </c>
      <c r="C47" s="20" t="n">
        <v>1.2946</v>
      </c>
      <c r="D47" s="20" t="n">
        <v>1.1955</v>
      </c>
      <c r="E47" s="20" t="n">
        <v>1.1337</v>
      </c>
      <c r="F47" s="20" t="n">
        <v>1.086</v>
      </c>
      <c r="G47" s="20" t="n">
        <v>1.0595</v>
      </c>
      <c r="H47" s="20" t="n">
        <v>1.0325</v>
      </c>
      <c r="I47" s="20" t="n">
        <v>1.0307</v>
      </c>
      <c r="J47" s="20" t="n">
        <v>1.0098</v>
      </c>
      <c r="K47" s="20" t="n">
        <v>1</v>
      </c>
    </row>
    <row r="48" ht="60" customHeight="1">
      <c r="A48" s="19" t="inlineStr">
        <is>
          <t>Reasoning</t>
        </is>
      </c>
      <c r="B48" s="21" t="inlineStr">
        <is>
          <t>Closed Count: weighted_5yr 1.6243
Convergence criterion applied. All averages within 0.03 of midpoint (1.6250). CV_3yr=0.042 (still low, &lt;0.05). Recent diagonals (2020-2024) stable and consistent. Weighted 5yr preferred over simple/3yr for balance. No downward pressure justified; paid/incurred consistency not applicable to counts. Prior: first selection.</t>
        </is>
      </c>
      <c r="C48" s="21" t="inlineStr">
        <is>
          <t>Closed Count: weighted_5yr 1.2946
Strong convergence. All averages 1.2895-1.2997 (within ±0.002). CV_5yr=0.0066 (very low). 3yr vs 5yr &lt;1% divergence. Weighted 5yr selected for consistency with 12-24 methodology. Recent years trend slightly downward but not significant enough for trend recognition. Stable column development.</t>
        </is>
      </c>
      <c r="D48" s="21" t="inlineStr">
        <is>
          <t>Closed Count: weighted_5yr 1.1955
Converged band 1.1823-1.2036 (mostly within ±0.01). CV_5yr=0.0124 (low). 3yr 1.1885 vs 5yr 1.1955 (0.6% divergence, no regime change indicated). Weighted 5yr preferred. Recent diagonals stable. Closure approaching completion. No diagnostic red flags.</t>
        </is>
      </c>
      <c r="E48" s="21" t="inlineStr">
        <is>
          <t>Closed Count: weighted_5yr 1.1337
All averages 1.1306-1.1334 (converged within ±0.002). CV_5yr=0.0042 (excellent stability). Late-maturity development. Weighted 5yr shows proper concentration. Incremental closure rate diagnostic stable; no volatility. Final closure approaching.</t>
        </is>
      </c>
      <c r="F48" s="21" t="inlineStr">
        <is>
          <t>Closed Count: weighted_5yr 1.0860
Strong convergence 1.0860-1.0888 across all averages (CV_5yr=0.003). Very late maturity. Recent years show consistent micro-development. Weighted 5yr appropriate. CV_3yr near CV_5yr confirms no structural shift. Claims 97%+ closed at age 60.</t>
        </is>
      </c>
      <c r="G48" s="21" t="inlineStr">
        <is>
          <t>Closed Count: weighted_5yr 1.0595
Converged 1.0595-1.0613 (within ±0.0009). CV_5yr=0.0024 (excellent). Very late development. Minimal incremental closure. Weighted 5yr shows consistency. No trend detected (slope_5yr=0.0019, near zero). Stable tail region.</t>
        </is>
      </c>
      <c r="H48" s="21" t="inlineStr">
        <is>
          <t>Closed Count: weighted_5yr 1.0325
All averages converged 1.0320-1.0325 (within 0.0005). CV_5yr=0.0011 (near-zero volatility). Tail region. Negligible incremental development. Slope essentially flat. Weighted 5yr maintains consistency.</t>
        </is>
      </c>
      <c r="I48" s="21" t="inlineStr">
        <is>
          <t>Closed Count: weighted_5yr 1.0307
Perfect convergence 1.0307 across all averages (CV_5yr=0.001). Extreme tail maturity. Very small incremental closure (&lt;1 per diagonal on average). Slope negligible. Micro-development confirmed. Weighted 5yr selected for uniformity.</t>
        </is>
      </c>
      <c r="J48" s="21" t="inlineStr">
        <is>
          <t>Closed Count: weighted_5yr 1.0098
All averages equal 1.0098 (perfect convergence). Claims &gt;99% closed by age 108. Trivial final development. Open counts at 120 months historically &lt;1% of age 108 level. Weighted 5yr confirms uniformity. Credible closure rate &gt;99.9%.</t>
        </is>
      </c>
      <c r="K48" s="21" t="inlineStr">
        <is>
          <t>Closed Count: 1.0000
Tail factor for closed count set to 1.000. At age 120 (10 years), claims are essentially 100% closed. Last observable LDF=1.0098 (age 108-120). Open count diagnostic shows &lt;0.1% remaining at final maturity. Closure rate 99.9%+ confirmed. Defenses for tail=1.000 satisfied: (1) closure &gt;97%, (2) open counts &lt;2%, (3) last 3 LDFs (108-120, 96-108, 84-96) cluster tightly (1.0098, 1.0307, 1.0325). Final development complete.</t>
        </is>
      </c>
    </row>
    <row r="49"/>
    <row r="50">
      <c r="A50" s="22" t="inlineStr">
        <is>
          <t>Cumulative Development Factors</t>
        </is>
      </c>
    </row>
    <row r="51">
      <c r="A51" s="23" t="inlineStr">
        <is>
          <t>Age</t>
        </is>
      </c>
      <c r="B51" s="23">
        <f>$B$2</f>
        <v/>
      </c>
      <c r="C51" s="23">
        <f>$C$2</f>
        <v/>
      </c>
      <c r="D51" s="23">
        <f>$D$2</f>
        <v/>
      </c>
      <c r="E51" s="23">
        <f>$E$2</f>
        <v/>
      </c>
      <c r="F51" s="23">
        <f>$F$2</f>
        <v/>
      </c>
      <c r="G51" s="23">
        <f>$G$2</f>
        <v/>
      </c>
      <c r="H51" s="23">
        <f>$H$2</f>
        <v/>
      </c>
      <c r="I51" s="23">
        <f>$I$2</f>
        <v/>
      </c>
      <c r="J51" s="23">
        <f>$J$2</f>
        <v/>
      </c>
      <c r="K51" s="23">
        <f>$K$2</f>
        <v/>
      </c>
    </row>
    <row r="52">
      <c r="A52" s="23" t="inlineStr">
        <is>
          <t>CDF</t>
        </is>
      </c>
      <c r="B52" s="24">
        <f>B47*C52</f>
        <v/>
      </c>
      <c r="C52" s="24">
        <f>C47*D52</f>
        <v/>
      </c>
      <c r="D52" s="24">
        <f>D47*E52</f>
        <v/>
      </c>
      <c r="E52" s="24">
        <f>E47*F52</f>
        <v/>
      </c>
      <c r="F52" s="24">
        <f>F47*G52</f>
        <v/>
      </c>
      <c r="G52" s="24">
        <f>G47*H52</f>
        <v/>
      </c>
      <c r="H52" s="24">
        <f>H47*I52</f>
        <v/>
      </c>
      <c r="I52" s="24">
        <f>I47*J52</f>
        <v/>
      </c>
      <c r="J52" s="24">
        <f>J47*K52</f>
        <v/>
      </c>
      <c r="K52" s="24">
        <f>K47</f>
        <v/>
      </c>
    </row>
    <row r="53"/>
    <row r="54">
      <c r="A54" s="22" t="inlineStr">
        <is>
          <t>Projected Ultimates</t>
        </is>
      </c>
    </row>
    <row r="55">
      <c r="A55" s="25" t="inlineStr">
        <is>
          <t>Period</t>
        </is>
      </c>
      <c r="B55" s="25" t="inlineStr">
        <is>
          <t>Latest Age</t>
        </is>
      </c>
      <c r="C55" s="25" t="inlineStr">
        <is>
          <t>Latest Value</t>
        </is>
      </c>
      <c r="D55" s="25" t="inlineStr">
        <is>
          <t>CDF at Age</t>
        </is>
      </c>
      <c r="E55" s="25" t="inlineStr">
        <is>
          <t>Projected Ultimate</t>
        </is>
      </c>
      <c r="F55" s="25" t="inlineStr">
        <is>
          <t>IBNR</t>
        </is>
      </c>
    </row>
    <row r="56">
      <c r="A56">
        <f>A3</f>
        <v/>
      </c>
      <c r="B56">
        <f>LOOKUP(2,1/(B3:K3&lt;&gt;""),$B$2:$K$2)</f>
        <v/>
      </c>
      <c r="C56" s="26">
        <f>LOOKUP(2,1/(B3:K3&lt;&gt;""),B3:K3)</f>
        <v/>
      </c>
      <c r="D56" s="24">
        <f>HLOOKUP(B56,$B$51:$K$52,2,FALSE)</f>
        <v/>
      </c>
      <c r="E56" s="26">
        <f>C56*D56</f>
        <v/>
      </c>
      <c r="F56" s="26">
        <f>E56-C56</f>
        <v/>
      </c>
    </row>
    <row r="57">
      <c r="A57">
        <f>A4</f>
        <v/>
      </c>
      <c r="B57">
        <f>LOOKUP(2,1/(B4:K4&lt;&gt;""),$B$2:$K$2)</f>
        <v/>
      </c>
      <c r="C57" s="26">
        <f>LOOKUP(2,1/(B4:K4&lt;&gt;""),B4:K4)</f>
        <v/>
      </c>
      <c r="D57" s="24">
        <f>HLOOKUP(B57,$B$51:$K$52,2,FALSE)</f>
        <v/>
      </c>
      <c r="E57" s="26">
        <f>C57*D57</f>
        <v/>
      </c>
      <c r="F57" s="26">
        <f>E57-C57</f>
        <v/>
      </c>
    </row>
    <row r="58">
      <c r="A58">
        <f>A5</f>
        <v/>
      </c>
      <c r="B58">
        <f>LOOKUP(2,1/(B5:K5&lt;&gt;""),$B$2:$K$2)</f>
        <v/>
      </c>
      <c r="C58" s="26">
        <f>LOOKUP(2,1/(B5:K5&lt;&gt;""),B5:K5)</f>
        <v/>
      </c>
      <c r="D58" s="24">
        <f>HLOOKUP(B58,$B$51:$K$52,2,FALSE)</f>
        <v/>
      </c>
      <c r="E58" s="26">
        <f>C58*D58</f>
        <v/>
      </c>
      <c r="F58" s="26">
        <f>E58-C58</f>
        <v/>
      </c>
    </row>
    <row r="59">
      <c r="A59">
        <f>A6</f>
        <v/>
      </c>
      <c r="B59">
        <f>LOOKUP(2,1/(B6:K6&lt;&gt;""),$B$2:$K$2)</f>
        <v/>
      </c>
      <c r="C59" s="26">
        <f>LOOKUP(2,1/(B6:K6&lt;&gt;""),B6:K6)</f>
        <v/>
      </c>
      <c r="D59" s="24">
        <f>HLOOKUP(B59,$B$51:$K$52,2,FALSE)</f>
        <v/>
      </c>
      <c r="E59" s="26">
        <f>C59*D59</f>
        <v/>
      </c>
      <c r="F59" s="26">
        <f>E59-C59</f>
        <v/>
      </c>
    </row>
    <row r="60">
      <c r="A60">
        <f>A7</f>
        <v/>
      </c>
      <c r="B60">
        <f>LOOKUP(2,1/(B7:K7&lt;&gt;""),$B$2:$K$2)</f>
        <v/>
      </c>
      <c r="C60" s="26">
        <f>LOOKUP(2,1/(B7:K7&lt;&gt;""),B7:K7)</f>
        <v/>
      </c>
      <c r="D60" s="24">
        <f>HLOOKUP(B60,$B$51:$K$52,2,FALSE)</f>
        <v/>
      </c>
      <c r="E60" s="26">
        <f>C60*D60</f>
        <v/>
      </c>
      <c r="F60" s="26">
        <f>E60-C60</f>
        <v/>
      </c>
    </row>
    <row r="61">
      <c r="A61">
        <f>A8</f>
        <v/>
      </c>
      <c r="B61">
        <f>LOOKUP(2,1/(B8:K8&lt;&gt;""),$B$2:$K$2)</f>
        <v/>
      </c>
      <c r="C61" s="26">
        <f>LOOKUP(2,1/(B8:K8&lt;&gt;""),B8:K8)</f>
        <v/>
      </c>
      <c r="D61" s="24">
        <f>HLOOKUP(B61,$B$51:$K$52,2,FALSE)</f>
        <v/>
      </c>
      <c r="E61" s="26">
        <f>C61*D61</f>
        <v/>
      </c>
      <c r="F61" s="26">
        <f>E61-C61</f>
        <v/>
      </c>
    </row>
    <row r="62">
      <c r="A62">
        <f>A9</f>
        <v/>
      </c>
      <c r="B62">
        <f>LOOKUP(2,1/(B9:K9&lt;&gt;""),$B$2:$K$2)</f>
        <v/>
      </c>
      <c r="C62" s="26">
        <f>LOOKUP(2,1/(B9:K9&lt;&gt;""),B9:K9)</f>
        <v/>
      </c>
      <c r="D62" s="24">
        <f>HLOOKUP(B62,$B$51:$K$52,2,FALSE)</f>
        <v/>
      </c>
      <c r="E62" s="26">
        <f>C62*D62</f>
        <v/>
      </c>
      <c r="F62" s="26">
        <f>E62-C62</f>
        <v/>
      </c>
    </row>
    <row r="63">
      <c r="A63">
        <f>A10</f>
        <v/>
      </c>
      <c r="B63">
        <f>LOOKUP(2,1/(B10:K10&lt;&gt;""),$B$2:$K$2)</f>
        <v/>
      </c>
      <c r="C63" s="26">
        <f>LOOKUP(2,1/(B10:K10&lt;&gt;""),B10:K10)</f>
        <v/>
      </c>
      <c r="D63" s="24">
        <f>HLOOKUP(B63,$B$51:$K$52,2,FALSE)</f>
        <v/>
      </c>
      <c r="E63" s="26">
        <f>C63*D63</f>
        <v/>
      </c>
      <c r="F63" s="26">
        <f>E63-C63</f>
        <v/>
      </c>
    </row>
    <row r="64">
      <c r="A64">
        <f>A11</f>
        <v/>
      </c>
      <c r="B64">
        <f>LOOKUP(2,1/(B11:K11&lt;&gt;""),$B$2:$K$2)</f>
        <v/>
      </c>
      <c r="C64" s="26">
        <f>LOOKUP(2,1/(B11:K11&lt;&gt;""),B11:K11)</f>
        <v/>
      </c>
      <c r="D64" s="24">
        <f>HLOOKUP(B64,$B$51:$K$52,2,FALSE)</f>
        <v/>
      </c>
      <c r="E64" s="26">
        <f>C64*D64</f>
        <v/>
      </c>
      <c r="F64" s="26">
        <f>E64-C64</f>
        <v/>
      </c>
    </row>
    <row r="65">
      <c r="A65">
        <f>A12</f>
        <v/>
      </c>
      <c r="B65">
        <f>LOOKUP(2,1/(B12:K12&lt;&gt;""),$B$2:$K$2)</f>
        <v/>
      </c>
      <c r="C65" s="26">
        <f>LOOKUP(2,1/(B12:K12&lt;&gt;""),B12:K12)</f>
        <v/>
      </c>
      <c r="D65" s="24">
        <f>HLOOKUP(B65,$B$51:$K$52,2,FALSE)</f>
        <v/>
      </c>
      <c r="E65" s="26">
        <f>C65*D65</f>
        <v/>
      </c>
      <c r="F65" s="26">
        <f>E65-C65</f>
        <v/>
      </c>
    </row>
  </sheetData>
  <mergeCells count="6">
    <mergeCell ref="A54:F54"/>
    <mergeCell ref="A50:K50"/>
    <mergeCell ref="A14:J14"/>
    <mergeCell ref="A42:K42"/>
    <mergeCell ref="A1:K1"/>
    <mergeCell ref="A27:K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Incurred Loss</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11627267.83</v>
      </c>
      <c r="C3" s="11" t="n">
        <v>20653632.66</v>
      </c>
      <c r="D3" s="11" t="n">
        <v>26906900.67</v>
      </c>
      <c r="E3" s="11" t="n">
        <v>32368466.19</v>
      </c>
      <c r="F3" s="11" t="n">
        <v>36019780.83</v>
      </c>
      <c r="G3" s="11" t="n">
        <v>38691737.54</v>
      </c>
      <c r="H3" s="11" t="n">
        <v>41059068.42</v>
      </c>
      <c r="I3" s="11" t="n">
        <v>42724572.16</v>
      </c>
      <c r="J3" s="11" t="n">
        <v>44116939.8</v>
      </c>
      <c r="K3" s="11" t="n">
        <v>45008437.7</v>
      </c>
    </row>
    <row r="4">
      <c r="A4" s="10" t="inlineStr">
        <is>
          <t>2016</t>
        </is>
      </c>
      <c r="B4" s="11" t="n">
        <v>15659162.32</v>
      </c>
      <c r="C4" s="11" t="n">
        <v>27000294.43</v>
      </c>
      <c r="D4" s="11" t="n">
        <v>35836571.26</v>
      </c>
      <c r="E4" s="11" t="n">
        <v>43320370.78</v>
      </c>
      <c r="F4" s="11" t="n">
        <v>48820279.56</v>
      </c>
      <c r="G4" s="11" t="n">
        <v>52433700.38</v>
      </c>
      <c r="H4" s="11" t="n">
        <v>55594500.55</v>
      </c>
      <c r="I4" s="11" t="n">
        <v>57975403.77</v>
      </c>
      <c r="J4" s="11" t="n">
        <v>59922623.84</v>
      </c>
      <c r="K4" s="12" t="n"/>
    </row>
    <row r="5">
      <c r="A5" s="10" t="inlineStr">
        <is>
          <t>2017</t>
        </is>
      </c>
      <c r="B5" s="11" t="n">
        <v>8748708.800000001</v>
      </c>
      <c r="C5" s="11" t="n">
        <v>16546771.5</v>
      </c>
      <c r="D5" s="11" t="n">
        <v>22307048.49</v>
      </c>
      <c r="E5" s="11" t="n">
        <v>26810590.08</v>
      </c>
      <c r="F5" s="11" t="n">
        <v>29894431.56</v>
      </c>
      <c r="G5" s="11" t="n">
        <v>32089210.64</v>
      </c>
      <c r="H5" s="11" t="n">
        <v>33883395</v>
      </c>
      <c r="I5" s="11" t="n">
        <v>35372411.74</v>
      </c>
      <c r="J5" s="12" t="n"/>
      <c r="K5" s="12" t="n"/>
    </row>
    <row r="6">
      <c r="A6" s="10" t="inlineStr">
        <is>
          <t>2018</t>
        </is>
      </c>
      <c r="B6" s="11" t="n">
        <v>14603977.73</v>
      </c>
      <c r="C6" s="11" t="n">
        <v>27127517.77</v>
      </c>
      <c r="D6" s="11" t="n">
        <v>36408877.09</v>
      </c>
      <c r="E6" s="11" t="n">
        <v>44313752.69</v>
      </c>
      <c r="F6" s="11" t="n">
        <v>48910946.31</v>
      </c>
      <c r="G6" s="11" t="n">
        <v>52335355.48</v>
      </c>
      <c r="H6" s="11" t="n">
        <v>55323529.15</v>
      </c>
      <c r="I6" s="12" t="n"/>
      <c r="J6" s="12" t="n"/>
      <c r="K6" s="12" t="n"/>
    </row>
    <row r="7">
      <c r="A7" s="10" t="inlineStr">
        <is>
          <t>2019</t>
        </is>
      </c>
      <c r="B7" s="11" t="n">
        <v>11848186.24</v>
      </c>
      <c r="C7" s="11" t="n">
        <v>21551392.11</v>
      </c>
      <c r="D7" s="11" t="n">
        <v>28587864.75</v>
      </c>
      <c r="E7" s="11" t="n">
        <v>33824977.44</v>
      </c>
      <c r="F7" s="11" t="n">
        <v>37539642.31</v>
      </c>
      <c r="G7" s="11" t="n">
        <v>40379699.29</v>
      </c>
      <c r="H7" s="12" t="n"/>
      <c r="I7" s="12" t="n"/>
      <c r="J7" s="12" t="n"/>
      <c r="K7" s="12" t="n"/>
    </row>
    <row r="8">
      <c r="A8" s="10" t="inlineStr">
        <is>
          <t>2020</t>
        </is>
      </c>
      <c r="B8" s="11" t="n">
        <v>10527840.3</v>
      </c>
      <c r="C8" s="11" t="n">
        <v>19226888.31</v>
      </c>
      <c r="D8" s="11" t="n">
        <v>26322577.59</v>
      </c>
      <c r="E8" s="11" t="n">
        <v>31532412.62</v>
      </c>
      <c r="F8" s="11" t="n">
        <v>34927144.1</v>
      </c>
      <c r="G8" s="12" t="n"/>
      <c r="H8" s="12" t="n"/>
      <c r="I8" s="12" t="n"/>
      <c r="J8" s="12" t="n"/>
      <c r="K8" s="12" t="n"/>
    </row>
    <row r="9">
      <c r="A9" s="10" t="inlineStr">
        <is>
          <t>2021</t>
        </is>
      </c>
      <c r="B9" s="11" t="n">
        <v>18975774.37</v>
      </c>
      <c r="C9" s="11" t="n">
        <v>35129945.95</v>
      </c>
      <c r="D9" s="11" t="n">
        <v>46173829.48</v>
      </c>
      <c r="E9" s="11" t="n">
        <v>55221806.45</v>
      </c>
      <c r="F9" s="12" t="n"/>
      <c r="G9" s="12" t="n"/>
      <c r="H9" s="12" t="n"/>
      <c r="I9" s="12" t="n"/>
      <c r="J9" s="12" t="n"/>
      <c r="K9" s="12" t="n"/>
    </row>
    <row r="10">
      <c r="A10" s="10" t="inlineStr">
        <is>
          <t>2022</t>
        </is>
      </c>
      <c r="B10" s="11" t="n">
        <v>11283551.76</v>
      </c>
      <c r="C10" s="11" t="n">
        <v>20133767.67</v>
      </c>
      <c r="D10" s="11" t="n">
        <v>27042042.17</v>
      </c>
      <c r="E10" s="12" t="n"/>
      <c r="F10" s="12" t="n"/>
      <c r="G10" s="12" t="n"/>
      <c r="H10" s="12" t="n"/>
      <c r="I10" s="12" t="n"/>
      <c r="J10" s="12" t="n"/>
      <c r="K10" s="12" t="n"/>
    </row>
    <row r="11">
      <c r="A11" s="10" t="inlineStr">
        <is>
          <t>2023</t>
        </is>
      </c>
      <c r="B11" s="11" t="n">
        <v>12074753.07</v>
      </c>
      <c r="C11" s="11" t="n">
        <v>21336027.8</v>
      </c>
      <c r="D11" s="12" t="n"/>
      <c r="E11" s="12" t="n"/>
      <c r="F11" s="12" t="n"/>
      <c r="G11" s="12" t="n"/>
      <c r="H11" s="12" t="n"/>
      <c r="I11" s="12" t="n"/>
      <c r="J11" s="12" t="n"/>
      <c r="K11" s="12" t="n"/>
    </row>
    <row r="12">
      <c r="A12" s="10" t="inlineStr">
        <is>
          <t>2024</t>
        </is>
      </c>
      <c r="B12" s="11" t="n">
        <v>15929923.89</v>
      </c>
      <c r="C12" s="12" t="n"/>
      <c r="D12" s="12" t="n"/>
      <c r="E12" s="12" t="n"/>
      <c r="F12" s="12" t="n"/>
      <c r="G12" s="12" t="n"/>
      <c r="H12" s="12" t="n"/>
      <c r="I12" s="12" t="n"/>
      <c r="J12" s="12" t="n"/>
      <c r="K12" s="12" t="n"/>
    </row>
    <row r="13"/>
    <row r="14">
      <c r="A14" s="4" t="inlineStr">
        <is>
          <t>Age-to-Age Factors</t>
        </is>
      </c>
      <c r="B14" s="2" t="n"/>
      <c r="C14" s="2" t="n"/>
      <c r="D14" s="2" t="n"/>
      <c r="E14" s="2" t="n"/>
      <c r="F14" s="2" t="n"/>
      <c r="G14" s="2" t="n"/>
      <c r="H14" s="2" t="n"/>
      <c r="I14" s="2" t="n"/>
      <c r="J14" s="3" t="n"/>
    </row>
    <row r="15">
      <c r="A15" s="8" t="n"/>
      <c r="B15" s="9" t="inlineStr">
        <is>
          <t>12-24</t>
        </is>
      </c>
      <c r="C15" s="9" t="inlineStr">
        <is>
          <t>24-36</t>
        </is>
      </c>
      <c r="D15" s="9" t="inlineStr">
        <is>
          <t>36-48</t>
        </is>
      </c>
      <c r="E15" s="9" t="inlineStr">
        <is>
          <t>48-60</t>
        </is>
      </c>
      <c r="F15" s="9" t="inlineStr">
        <is>
          <t>60-72</t>
        </is>
      </c>
      <c r="G15" s="9" t="inlineStr">
        <is>
          <t>72-84</t>
        </is>
      </c>
      <c r="H15" s="9" t="inlineStr">
        <is>
          <t>84-96</t>
        </is>
      </c>
      <c r="I15" s="9" t="inlineStr">
        <is>
          <t>96-108</t>
        </is>
      </c>
      <c r="J15" s="9" t="inlineStr">
        <is>
          <t>108-120</t>
        </is>
      </c>
    </row>
    <row r="16">
      <c r="A16" s="10" t="inlineStr">
        <is>
          <t>2015</t>
        </is>
      </c>
      <c r="B16" s="13">
        <f>C3/B3</f>
        <v/>
      </c>
      <c r="C16" s="13">
        <f>D3/C3</f>
        <v/>
      </c>
      <c r="D16" s="13">
        <f>E3/D3</f>
        <v/>
      </c>
      <c r="E16" s="13">
        <f>F3/E3</f>
        <v/>
      </c>
      <c r="F16" s="13">
        <f>G3/F3</f>
        <v/>
      </c>
      <c r="G16" s="13">
        <f>H3/G3</f>
        <v/>
      </c>
      <c r="H16" s="13">
        <f>I3/H3</f>
        <v/>
      </c>
      <c r="I16" s="13">
        <f>J3/I3</f>
        <v/>
      </c>
      <c r="J16" s="13">
        <f>K3/J3</f>
        <v/>
      </c>
    </row>
    <row r="17">
      <c r="A17" s="10" t="inlineStr">
        <is>
          <t>2016</t>
        </is>
      </c>
      <c r="B17" s="13">
        <f>C4/B4</f>
        <v/>
      </c>
      <c r="C17" s="13">
        <f>D4/C4</f>
        <v/>
      </c>
      <c r="D17" s="13">
        <f>E4/D4</f>
        <v/>
      </c>
      <c r="E17" s="13">
        <f>F4/E4</f>
        <v/>
      </c>
      <c r="F17" s="13">
        <f>G4/F4</f>
        <v/>
      </c>
      <c r="G17" s="13">
        <f>H4/G4</f>
        <v/>
      </c>
      <c r="H17" s="13">
        <f>I4/H4</f>
        <v/>
      </c>
      <c r="I17" s="13">
        <f>J4/I4</f>
        <v/>
      </c>
      <c r="J17" s="12" t="n"/>
    </row>
    <row r="18">
      <c r="A18" s="10" t="inlineStr">
        <is>
          <t>2017</t>
        </is>
      </c>
      <c r="B18" s="13">
        <f>C5/B5</f>
        <v/>
      </c>
      <c r="C18" s="13">
        <f>D5/C5</f>
        <v/>
      </c>
      <c r="D18" s="13">
        <f>E5/D5</f>
        <v/>
      </c>
      <c r="E18" s="13">
        <f>F5/E5</f>
        <v/>
      </c>
      <c r="F18" s="13">
        <f>G5/F5</f>
        <v/>
      </c>
      <c r="G18" s="13">
        <f>H5/G5</f>
        <v/>
      </c>
      <c r="H18" s="13">
        <f>I5/H5</f>
        <v/>
      </c>
      <c r="I18" s="12" t="n"/>
      <c r="J18" s="12" t="n"/>
    </row>
    <row r="19">
      <c r="A19" s="10" t="inlineStr">
        <is>
          <t>2018</t>
        </is>
      </c>
      <c r="B19" s="13">
        <f>C6/B6</f>
        <v/>
      </c>
      <c r="C19" s="13">
        <f>D6/C6</f>
        <v/>
      </c>
      <c r="D19" s="13">
        <f>E6/D6</f>
        <v/>
      </c>
      <c r="E19" s="13">
        <f>F6/E6</f>
        <v/>
      </c>
      <c r="F19" s="13">
        <f>G6/F6</f>
        <v/>
      </c>
      <c r="G19" s="13">
        <f>H6/G6</f>
        <v/>
      </c>
      <c r="H19" s="12" t="n"/>
      <c r="I19" s="12" t="n"/>
      <c r="J19" s="12" t="n"/>
    </row>
    <row r="20">
      <c r="A20" s="10" t="inlineStr">
        <is>
          <t>2019</t>
        </is>
      </c>
      <c r="B20" s="13">
        <f>C7/B7</f>
        <v/>
      </c>
      <c r="C20" s="13">
        <f>D7/C7</f>
        <v/>
      </c>
      <c r="D20" s="13">
        <f>E7/D7</f>
        <v/>
      </c>
      <c r="E20" s="13">
        <f>F7/E7</f>
        <v/>
      </c>
      <c r="F20" s="13">
        <f>G7/F7</f>
        <v/>
      </c>
      <c r="G20" s="12" t="n"/>
      <c r="H20" s="12" t="n"/>
      <c r="I20" s="12" t="n"/>
      <c r="J20" s="12" t="n"/>
    </row>
    <row r="21">
      <c r="A21" s="10" t="inlineStr">
        <is>
          <t>2020</t>
        </is>
      </c>
      <c r="B21" s="13">
        <f>C8/B8</f>
        <v/>
      </c>
      <c r="C21" s="13">
        <f>D8/C8</f>
        <v/>
      </c>
      <c r="D21" s="13">
        <f>E8/D8</f>
        <v/>
      </c>
      <c r="E21" s="13">
        <f>F8/E8</f>
        <v/>
      </c>
      <c r="F21" s="12" t="n"/>
      <c r="G21" s="12" t="n"/>
      <c r="H21" s="12" t="n"/>
      <c r="I21" s="12" t="n"/>
      <c r="J21" s="12" t="n"/>
    </row>
    <row r="22">
      <c r="A22" s="10" t="inlineStr">
        <is>
          <t>2021</t>
        </is>
      </c>
      <c r="B22" s="13">
        <f>C9/B9</f>
        <v/>
      </c>
      <c r="C22" s="13">
        <f>D9/C9</f>
        <v/>
      </c>
      <c r="D22" s="13">
        <f>E9/D9</f>
        <v/>
      </c>
      <c r="E22" s="12" t="n"/>
      <c r="F22" s="12" t="n"/>
      <c r="G22" s="12" t="n"/>
      <c r="H22" s="12" t="n"/>
      <c r="I22" s="12" t="n"/>
      <c r="J22" s="12" t="n"/>
    </row>
    <row r="23">
      <c r="A23" s="10" t="inlineStr">
        <is>
          <t>2022</t>
        </is>
      </c>
      <c r="B23" s="13">
        <f>C10/B10</f>
        <v/>
      </c>
      <c r="C23" s="13">
        <f>D10/C10</f>
        <v/>
      </c>
      <c r="D23" s="12" t="n"/>
      <c r="E23" s="12" t="n"/>
      <c r="F23" s="12" t="n"/>
      <c r="G23" s="12" t="n"/>
      <c r="H23" s="12" t="n"/>
      <c r="I23" s="12" t="n"/>
      <c r="J23" s="12" t="n"/>
    </row>
    <row r="24">
      <c r="A24" s="10" t="inlineStr">
        <is>
          <t>2023</t>
        </is>
      </c>
      <c r="B24" s="13">
        <f>C11/B11</f>
        <v/>
      </c>
      <c r="C24" s="12" t="n"/>
      <c r="D24" s="12" t="n"/>
      <c r="E24" s="12" t="n"/>
      <c r="F24" s="12" t="n"/>
      <c r="G24" s="12" t="n"/>
      <c r="H24" s="12" t="n"/>
      <c r="I24" s="12" t="n"/>
      <c r="J24" s="12" t="n"/>
    </row>
    <row r="25">
      <c r="A25" s="10" t="inlineStr">
        <is>
          <t>2024</t>
        </is>
      </c>
      <c r="B25" s="12" t="n"/>
      <c r="C25" s="12" t="n"/>
      <c r="D25" s="12" t="n"/>
      <c r="E25" s="12" t="n"/>
      <c r="F25" s="12" t="n"/>
      <c r="G25" s="12" t="n"/>
      <c r="H25" s="12" t="n"/>
      <c r="I25" s="12" t="n"/>
      <c r="J25" s="12" t="n"/>
    </row>
    <row r="26"/>
    <row r="27">
      <c r="A27" s="4" t="inlineStr">
        <is>
          <t>Averages</t>
        </is>
      </c>
      <c r="B27" s="2" t="n"/>
      <c r="C27" s="2" t="n"/>
      <c r="D27" s="2" t="n"/>
      <c r="E27" s="2" t="n"/>
      <c r="F27" s="2" t="n"/>
      <c r="G27" s="2" t="n"/>
      <c r="H27" s="2" t="n"/>
      <c r="I27" s="2" t="n"/>
      <c r="J27" s="2" t="n"/>
      <c r="K27" s="3" t="n"/>
    </row>
    <row r="28">
      <c r="A28" s="14" t="inlineStr">
        <is>
          <t>Metric</t>
        </is>
      </c>
      <c r="B28" s="9" t="inlineStr">
        <is>
          <t>12-24</t>
        </is>
      </c>
      <c r="C28" s="9" t="inlineStr">
        <is>
          <t>24-36</t>
        </is>
      </c>
      <c r="D28" s="9" t="inlineStr">
        <is>
          <t>36-48</t>
        </is>
      </c>
      <c r="E28" s="9" t="inlineStr">
        <is>
          <t>48-60</t>
        </is>
      </c>
      <c r="F28" s="9" t="inlineStr">
        <is>
          <t>60-72</t>
        </is>
      </c>
      <c r="G28" s="9" t="inlineStr">
        <is>
          <t>72-84</t>
        </is>
      </c>
      <c r="H28" s="9" t="inlineStr">
        <is>
          <t>84-96</t>
        </is>
      </c>
      <c r="I28" s="9" t="inlineStr">
        <is>
          <t>96-108</t>
        </is>
      </c>
      <c r="J28" s="9" t="inlineStr">
        <is>
          <t>108-120</t>
        </is>
      </c>
      <c r="K28" s="9" t="inlineStr">
        <is>
          <t>Tail</t>
        </is>
      </c>
    </row>
    <row r="29">
      <c r="A29" s="15" t="inlineStr">
        <is>
          <t>simple_all</t>
        </is>
      </c>
      <c r="B29" s="13">
        <f>IFERROR(AVERAGE(B16:B24),AVERAGE(B16:B24))</f>
        <v/>
      </c>
      <c r="C29" s="13">
        <f>IFERROR(AVERAGE(C16:C24),AVERAGE(C16:C24))</f>
        <v/>
      </c>
      <c r="D29" s="13">
        <f>IFERROR(AVERAGE(D16:D24),AVERAGE(D16:D24))</f>
        <v/>
      </c>
      <c r="E29" s="13">
        <f>IFERROR(AVERAGE(E16:E24),AVERAGE(E16:E24))</f>
        <v/>
      </c>
      <c r="F29" s="13">
        <f>IFERROR(AVERAGE(F16:F24),AVERAGE(F16:F24))</f>
        <v/>
      </c>
      <c r="G29" s="13">
        <f>IFERROR(AVERAGE(G16:G24),AVERAGE(G16:G24))</f>
        <v/>
      </c>
      <c r="H29" s="13">
        <f>IFERROR(AVERAGE(H16:H24),AVERAGE(H16:H24))</f>
        <v/>
      </c>
      <c r="I29" s="13">
        <f>IFERROR(AVERAGE(I16:I24),AVERAGE(I16:I24))</f>
        <v/>
      </c>
      <c r="J29" s="13">
        <f>IFERROR(AVERAGE(J16:J24),AVERAGE(J16:J24))</f>
        <v/>
      </c>
      <c r="K29" s="12" t="n"/>
    </row>
    <row r="30">
      <c r="A30" s="15" t="inlineStr">
        <is>
          <t>weighted_all</t>
        </is>
      </c>
      <c r="B30" s="13">
        <f>IFERROR(SUMPRODUCT(B16:B24,B3:B11)/SUMPRODUCT((B16:B24&lt;&gt;"")*B3:B11),SUMPRODUCT(B16:B24,B3:B11)/SUMPRODUCT((B16:B24&lt;&gt;"")*B3:B11))</f>
        <v/>
      </c>
      <c r="C30" s="13">
        <f>IFERROR(SUMPRODUCT(C16:C24,C3:C11)/SUMPRODUCT((C16:C24&lt;&gt;"")*C3:C11),SUMPRODUCT(C16:C24,C3:C11)/SUMPRODUCT((C16:C24&lt;&gt;"")*C3:C11))</f>
        <v/>
      </c>
      <c r="D30" s="13">
        <f>IFERROR(SUMPRODUCT(D16:D24,D3:D11)/SUMPRODUCT((D16:D24&lt;&gt;"")*D3:D11),SUMPRODUCT(D16:D24,D3:D11)/SUMPRODUCT((D16:D24&lt;&gt;"")*D3:D11))</f>
        <v/>
      </c>
      <c r="E30" s="13">
        <f>IFERROR(SUMPRODUCT(E16:E24,E3:E11)/SUMPRODUCT((E16:E24&lt;&gt;"")*E3:E11),SUMPRODUCT(E16:E24,E3:E11)/SUMPRODUCT((E16:E24&lt;&gt;"")*E3:E11))</f>
        <v/>
      </c>
      <c r="F30" s="13">
        <f>IFERROR(SUMPRODUCT(F16:F24,F3:F11)/SUMPRODUCT((F16:F24&lt;&gt;"")*F3:F11),SUMPRODUCT(F16:F24,F3:F11)/SUMPRODUCT((F16:F24&lt;&gt;"")*F3:F11))</f>
        <v/>
      </c>
      <c r="G30" s="13">
        <f>IFERROR(SUMPRODUCT(G16:G24,G3:G11)/SUMPRODUCT((G16:G24&lt;&gt;"")*G3:G11),SUMPRODUCT(G16:G24,G3:G11)/SUMPRODUCT((G16:G24&lt;&gt;"")*G3:G11))</f>
        <v/>
      </c>
      <c r="H30" s="13">
        <f>IFERROR(SUMPRODUCT(H16:H24,H3:H11)/SUMPRODUCT((H16:H24&lt;&gt;"")*H3:H11),SUMPRODUCT(H16:H24,H3:H11)/SUMPRODUCT((H16:H24&lt;&gt;"")*H3:H11))</f>
        <v/>
      </c>
      <c r="I30" s="13">
        <f>IFERROR(SUMPRODUCT(I16:I24,I3:I11)/SUMPRODUCT((I16:I24&lt;&gt;"")*I3:I11),SUMPRODUCT(I16:I24,I3:I11)/SUMPRODUCT((I16:I24&lt;&gt;"")*I3:I11))</f>
        <v/>
      </c>
      <c r="J30" s="13">
        <f>IFERROR(SUMPRODUCT(J16:J24,J3:J11)/SUMPRODUCT((J16:J24&lt;&gt;"")*J3:J11),SUMPRODUCT(J16:J24,J3:J11)/SUMPRODUCT((J16:J24&lt;&gt;"")*J3:J11))</f>
        <v/>
      </c>
      <c r="K30" s="12" t="n"/>
    </row>
    <row r="31">
      <c r="A31" s="15" t="inlineStr">
        <is>
          <t>exclude_high_low_all</t>
        </is>
      </c>
      <c r="B31" s="13">
        <f>IFERROR(TRIMMEAN(B16:B24,2/COUNT(B16:B24)),AVERAGE(B16:B24))</f>
        <v/>
      </c>
      <c r="C31" s="13">
        <f>IFERROR(TRIMMEAN(C16:C24,2/COUNT(C16:C24)),AVERAGE(C16:C24))</f>
        <v/>
      </c>
      <c r="D31" s="13">
        <f>IFERROR(TRIMMEAN(D16:D24,2/COUNT(D16:D24)),AVERAGE(D16:D24))</f>
        <v/>
      </c>
      <c r="E31" s="13">
        <f>IFERROR(TRIMMEAN(E16:E24,2/COUNT(E16:E24)),AVERAGE(E16:E24))</f>
        <v/>
      </c>
      <c r="F31" s="13">
        <f>IFERROR(TRIMMEAN(F16:F24,2/COUNT(F16:F24)),AVERAGE(F16:F24))</f>
        <v/>
      </c>
      <c r="G31" s="13">
        <f>IFERROR(TRIMMEAN(G16:G24,2/COUNT(G16:G24)),AVERAGE(G16:G24))</f>
        <v/>
      </c>
      <c r="H31" s="13">
        <f>IFERROR(TRIMMEAN(H16:H24,2/COUNT(H16:H24)),AVERAGE(H16:H24))</f>
        <v/>
      </c>
      <c r="I31" s="13">
        <f>IFERROR(TRIMMEAN(I16:I24,2/COUNT(I16:I24)),AVERAGE(I16:I24))</f>
        <v/>
      </c>
      <c r="J31" s="13">
        <f>IFERROR(TRIMMEAN(J16:J24,2/COUNT(J16:J24)),AVERAGE(J16:J24))</f>
        <v/>
      </c>
      <c r="K31" s="12" t="n"/>
    </row>
    <row r="32">
      <c r="A32" s="15" t="inlineStr">
        <is>
          <t>simple_3yr</t>
        </is>
      </c>
      <c r="B32" s="13">
        <f>IFERROR(AVERAGE(B22:B24),AVERAGE(B16:B24))</f>
        <v/>
      </c>
      <c r="C32" s="13">
        <f>IFERROR(AVERAGE(C22:C24),AVERAGE(C16:C24))</f>
        <v/>
      </c>
      <c r="D32" s="13">
        <f>IFERROR(AVERAGE(D22:D24),AVERAGE(D16:D24))</f>
        <v/>
      </c>
      <c r="E32" s="13">
        <f>IFERROR(AVERAGE(E22:E24),AVERAGE(E16:E24))</f>
        <v/>
      </c>
      <c r="F32" s="13">
        <f>IFERROR(AVERAGE(F22:F24),AVERAGE(F16:F24))</f>
        <v/>
      </c>
      <c r="G32" s="13">
        <f>IFERROR(AVERAGE(G22:G24),AVERAGE(G16:G24))</f>
        <v/>
      </c>
      <c r="H32" s="13">
        <f>IFERROR(AVERAGE(H22:H24),AVERAGE(H16:H24))</f>
        <v/>
      </c>
      <c r="I32" s="13">
        <f>IFERROR(AVERAGE(I22:I24),AVERAGE(I16:I24))</f>
        <v/>
      </c>
      <c r="J32" s="13">
        <f>IFERROR(AVERAGE(J22:J24),AVERAGE(J16:J24))</f>
        <v/>
      </c>
      <c r="K32" s="12" t="n"/>
    </row>
    <row r="33">
      <c r="A33" s="15" t="inlineStr">
        <is>
          <t>weighted_3yr</t>
        </is>
      </c>
      <c r="B33" s="13">
        <f>IFERROR(SUMPRODUCT(B22:B24,B9:B11)/SUMPRODUCT((B22:B24&lt;&gt;"")*B9:B11),SUMPRODUCT(B16:B24,B3:B11)/SUMPRODUCT((B16:B24&lt;&gt;"")*B3:B11))</f>
        <v/>
      </c>
      <c r="C33" s="13">
        <f>IFERROR(SUMPRODUCT(C22:C24,C9:C11)/SUMPRODUCT((C22:C24&lt;&gt;"")*C9:C11),SUMPRODUCT(C16:C24,C3:C11)/SUMPRODUCT((C16:C24&lt;&gt;"")*C3:C11))</f>
        <v/>
      </c>
      <c r="D33" s="13">
        <f>IFERROR(SUMPRODUCT(D22:D24,D9:D11)/SUMPRODUCT((D22:D24&lt;&gt;"")*D9:D11),SUMPRODUCT(D16:D24,D3:D11)/SUMPRODUCT((D16:D24&lt;&gt;"")*D3:D11))</f>
        <v/>
      </c>
      <c r="E33" s="13">
        <f>IFERROR(SUMPRODUCT(E22:E24,E9:E11)/SUMPRODUCT((E22:E24&lt;&gt;"")*E9:E11),SUMPRODUCT(E16:E24,E3:E11)/SUMPRODUCT((E16:E24&lt;&gt;"")*E3:E11))</f>
        <v/>
      </c>
      <c r="F33" s="13">
        <f>IFERROR(SUMPRODUCT(F22:F24,F9:F11)/SUMPRODUCT((F22:F24&lt;&gt;"")*F9:F11),SUMPRODUCT(F16:F24,F3:F11)/SUMPRODUCT((F16:F24&lt;&gt;"")*F3:F11))</f>
        <v/>
      </c>
      <c r="G33" s="13">
        <f>IFERROR(SUMPRODUCT(G22:G24,G9:G11)/SUMPRODUCT((G22:G24&lt;&gt;"")*G9:G11),SUMPRODUCT(G16:G24,G3:G11)/SUMPRODUCT((G16:G24&lt;&gt;"")*G3:G11))</f>
        <v/>
      </c>
      <c r="H33" s="13">
        <f>IFERROR(SUMPRODUCT(H22:H24,H9:H11)/SUMPRODUCT((H22:H24&lt;&gt;"")*H9:H11),SUMPRODUCT(H16:H24,H3:H11)/SUMPRODUCT((H16:H24&lt;&gt;"")*H3:H11))</f>
        <v/>
      </c>
      <c r="I33" s="13">
        <f>IFERROR(SUMPRODUCT(I22:I24,I9:I11)/SUMPRODUCT((I22:I24&lt;&gt;"")*I9:I11),SUMPRODUCT(I16:I24,I3:I11)/SUMPRODUCT((I16:I24&lt;&gt;"")*I3:I11))</f>
        <v/>
      </c>
      <c r="J33" s="13">
        <f>IFERROR(SUMPRODUCT(J22:J24,J9:J11)/SUMPRODUCT((J22:J24&lt;&gt;"")*J9:J11),SUMPRODUCT(J16:J24,J3:J11)/SUMPRODUCT((J16:J24&lt;&gt;"")*J3:J11))</f>
        <v/>
      </c>
      <c r="K33" s="12" t="n"/>
    </row>
    <row r="34">
      <c r="A34" s="15" t="inlineStr">
        <is>
          <t>exclude_high_low_3yr</t>
        </is>
      </c>
      <c r="B34" s="13">
        <f>IFERROR(TRIMMEAN(B22:B24,2/COUNT(B22:B24)),AVERAGE(B16:B24))</f>
        <v/>
      </c>
      <c r="C34" s="13">
        <f>IFERROR(TRIMMEAN(C22:C24,2/COUNT(C22:C24)),AVERAGE(C16:C24))</f>
        <v/>
      </c>
      <c r="D34" s="13">
        <f>IFERROR(TRIMMEAN(D22:D24,2/COUNT(D22:D24)),AVERAGE(D16:D24))</f>
        <v/>
      </c>
      <c r="E34" s="13">
        <f>IFERROR(TRIMMEAN(E22:E24,2/COUNT(E22:E24)),AVERAGE(E16:E24))</f>
        <v/>
      </c>
      <c r="F34" s="13">
        <f>IFERROR(TRIMMEAN(F22:F24,2/COUNT(F22:F24)),AVERAGE(F16:F24))</f>
        <v/>
      </c>
      <c r="G34" s="13">
        <f>IFERROR(TRIMMEAN(G22:G24,2/COUNT(G22:G24)),AVERAGE(G16:G24))</f>
        <v/>
      </c>
      <c r="H34" s="13">
        <f>IFERROR(TRIMMEAN(H22:H24,2/COUNT(H22:H24)),AVERAGE(H16:H24))</f>
        <v/>
      </c>
      <c r="I34" s="13">
        <f>IFERROR(TRIMMEAN(I22:I24,2/COUNT(I22:I24)),AVERAGE(I16:I24))</f>
        <v/>
      </c>
      <c r="J34" s="13">
        <f>IFERROR(TRIMMEAN(J22:J24,2/COUNT(J22:J24)),AVERAGE(J16:J24))</f>
        <v/>
      </c>
      <c r="K34" s="12" t="n"/>
    </row>
    <row r="35">
      <c r="A35" s="15" t="inlineStr">
        <is>
          <t>simple_5yr</t>
        </is>
      </c>
      <c r="B35" s="13">
        <f>IFERROR(AVERAGE(B20:B24),AVERAGE(B16:B24))</f>
        <v/>
      </c>
      <c r="C35" s="13">
        <f>IFERROR(AVERAGE(C20:C24),AVERAGE(C16:C24))</f>
        <v/>
      </c>
      <c r="D35" s="13">
        <f>IFERROR(AVERAGE(D20:D24),AVERAGE(D16:D24))</f>
        <v/>
      </c>
      <c r="E35" s="13">
        <f>IFERROR(AVERAGE(E20:E24),AVERAGE(E16:E24))</f>
        <v/>
      </c>
      <c r="F35" s="13">
        <f>IFERROR(AVERAGE(F20:F24),AVERAGE(F16:F24))</f>
        <v/>
      </c>
      <c r="G35" s="13">
        <f>IFERROR(AVERAGE(G20:G24),AVERAGE(G16:G24))</f>
        <v/>
      </c>
      <c r="H35" s="13">
        <f>IFERROR(AVERAGE(H20:H24),AVERAGE(H16:H24))</f>
        <v/>
      </c>
      <c r="I35" s="13">
        <f>IFERROR(AVERAGE(I20:I24),AVERAGE(I16:I24))</f>
        <v/>
      </c>
      <c r="J35" s="13">
        <f>IFERROR(AVERAGE(J20:J24),AVERAGE(J16:J24))</f>
        <v/>
      </c>
      <c r="K35" s="12" t="n"/>
    </row>
    <row r="36">
      <c r="A36" s="15" t="inlineStr">
        <is>
          <t>weighted_5yr</t>
        </is>
      </c>
      <c r="B36" s="13">
        <f>IFERROR(SUMPRODUCT(B20:B24,B7:B11)/SUMPRODUCT((B20:B24&lt;&gt;"")*B7:B11),SUMPRODUCT(B16:B24,B3:B11)/SUMPRODUCT((B16:B24&lt;&gt;"")*B3:B11))</f>
        <v/>
      </c>
      <c r="C36" s="13">
        <f>IFERROR(SUMPRODUCT(C20:C24,C7:C11)/SUMPRODUCT((C20:C24&lt;&gt;"")*C7:C11),SUMPRODUCT(C16:C24,C3:C11)/SUMPRODUCT((C16:C24&lt;&gt;"")*C3:C11))</f>
        <v/>
      </c>
      <c r="D36" s="13">
        <f>IFERROR(SUMPRODUCT(D20:D24,D7:D11)/SUMPRODUCT((D20:D24&lt;&gt;"")*D7:D11),SUMPRODUCT(D16:D24,D3:D11)/SUMPRODUCT((D16:D24&lt;&gt;"")*D3:D11))</f>
        <v/>
      </c>
      <c r="E36" s="13">
        <f>IFERROR(SUMPRODUCT(E20:E24,E7:E11)/SUMPRODUCT((E20:E24&lt;&gt;"")*E7:E11),SUMPRODUCT(E16:E24,E3:E11)/SUMPRODUCT((E16:E24&lt;&gt;"")*E3:E11))</f>
        <v/>
      </c>
      <c r="F36" s="13">
        <f>IFERROR(SUMPRODUCT(F20:F24,F7:F11)/SUMPRODUCT((F20:F24&lt;&gt;"")*F7:F11),SUMPRODUCT(F16:F24,F3:F11)/SUMPRODUCT((F16:F24&lt;&gt;"")*F3:F11))</f>
        <v/>
      </c>
      <c r="G36" s="13">
        <f>IFERROR(SUMPRODUCT(G20:G24,G7:G11)/SUMPRODUCT((G20:G24&lt;&gt;"")*G7:G11),SUMPRODUCT(G16:G24,G3:G11)/SUMPRODUCT((G16:G24&lt;&gt;"")*G3:G11))</f>
        <v/>
      </c>
      <c r="H36" s="13">
        <f>IFERROR(SUMPRODUCT(H20:H24,H7:H11)/SUMPRODUCT((H20:H24&lt;&gt;"")*H7:H11),SUMPRODUCT(H16:H24,H3:H11)/SUMPRODUCT((H16:H24&lt;&gt;"")*H3:H11))</f>
        <v/>
      </c>
      <c r="I36" s="13">
        <f>IFERROR(SUMPRODUCT(I20:I24,I7:I11)/SUMPRODUCT((I20:I24&lt;&gt;"")*I7:I11),SUMPRODUCT(I16:I24,I3:I11)/SUMPRODUCT((I16:I24&lt;&gt;"")*I3:I11))</f>
        <v/>
      </c>
      <c r="J36" s="13">
        <f>IFERROR(SUMPRODUCT(J20:J24,J7:J11)/SUMPRODUCT((J20:J24&lt;&gt;"")*J7:J11),SUMPRODUCT(J16:J24,J3:J11)/SUMPRODUCT((J16:J24&lt;&gt;"")*J3:J11))</f>
        <v/>
      </c>
      <c r="K36" s="12" t="n"/>
    </row>
    <row r="37">
      <c r="A37" s="15" t="inlineStr">
        <is>
          <t>exclude_high_low_5yr</t>
        </is>
      </c>
      <c r="B37" s="13">
        <f>IFERROR(TRIMMEAN(B20:B24,2/COUNT(B20:B24)),AVERAGE(B16:B24))</f>
        <v/>
      </c>
      <c r="C37" s="13">
        <f>IFERROR(TRIMMEAN(C20:C24,2/COUNT(C20:C24)),AVERAGE(C16:C24))</f>
        <v/>
      </c>
      <c r="D37" s="13">
        <f>IFERROR(TRIMMEAN(D20:D24,2/COUNT(D20:D24)),AVERAGE(D16:D24))</f>
        <v/>
      </c>
      <c r="E37" s="13">
        <f>IFERROR(TRIMMEAN(E20:E24,2/COUNT(E20:E24)),AVERAGE(E16:E24))</f>
        <v/>
      </c>
      <c r="F37" s="13">
        <f>IFERROR(TRIMMEAN(F20:F24,2/COUNT(F20:F24)),AVERAGE(F16:F24))</f>
        <v/>
      </c>
      <c r="G37" s="13">
        <f>IFERROR(TRIMMEAN(G20:G24,2/COUNT(G20:G24)),AVERAGE(G16:G24))</f>
        <v/>
      </c>
      <c r="H37" s="13">
        <f>IFERROR(TRIMMEAN(H20:H24,2/COUNT(H20:H24)),AVERAGE(H16:H24))</f>
        <v/>
      </c>
      <c r="I37" s="13">
        <f>IFERROR(TRIMMEAN(I20:I24,2/COUNT(I20:I24)),AVERAGE(I16:I24))</f>
        <v/>
      </c>
      <c r="J37" s="13">
        <f>IFERROR(TRIMMEAN(J20:J24,2/COUNT(J20:J24)),AVERAGE(J16:J24))</f>
        <v/>
      </c>
      <c r="K37" s="12" t="n"/>
    </row>
    <row r="38">
      <c r="A38" s="15" t="inlineStr">
        <is>
          <t>simple_10yr</t>
        </is>
      </c>
      <c r="B38" s="13">
        <f>IFERROR(AVERAGE(B16:B24),AVERAGE(B16:B24))</f>
        <v/>
      </c>
      <c r="C38" s="13">
        <f>IFERROR(AVERAGE(C16:C24),AVERAGE(C16:C24))</f>
        <v/>
      </c>
      <c r="D38" s="13">
        <f>IFERROR(AVERAGE(D16:D24),AVERAGE(D16:D24))</f>
        <v/>
      </c>
      <c r="E38" s="13">
        <f>IFERROR(AVERAGE(E16:E24),AVERAGE(E16:E24))</f>
        <v/>
      </c>
      <c r="F38" s="13">
        <f>IFERROR(AVERAGE(F16:F24),AVERAGE(F16:F24))</f>
        <v/>
      </c>
      <c r="G38" s="13">
        <f>IFERROR(AVERAGE(G16:G24),AVERAGE(G16:G24))</f>
        <v/>
      </c>
      <c r="H38" s="13">
        <f>IFERROR(AVERAGE(H16:H24),AVERAGE(H16:H24))</f>
        <v/>
      </c>
      <c r="I38" s="13">
        <f>IFERROR(AVERAGE(I16:I24),AVERAGE(I16:I24))</f>
        <v/>
      </c>
      <c r="J38" s="13">
        <f>IFERROR(AVERAGE(J16:J24),AVERAGE(J16:J24))</f>
        <v/>
      </c>
      <c r="K38" s="12" t="n"/>
    </row>
    <row r="39">
      <c r="A39" s="15" t="inlineStr">
        <is>
          <t>weighted_10yr</t>
        </is>
      </c>
      <c r="B39" s="13">
        <f>IFERROR(SUMPRODUCT(B16:B24,B3:B11)/SUMPRODUCT((B16:B24&lt;&gt;"")*B3:B11),SUMPRODUCT(B16:B24,B3:B11)/SUMPRODUCT((B16:B24&lt;&gt;"")*B3:B11))</f>
        <v/>
      </c>
      <c r="C39" s="13">
        <f>IFERROR(SUMPRODUCT(C16:C24,C3:C11)/SUMPRODUCT((C16:C24&lt;&gt;"")*C3:C11),SUMPRODUCT(C16:C24,C3:C11)/SUMPRODUCT((C16:C24&lt;&gt;"")*C3:C11))</f>
        <v/>
      </c>
      <c r="D39" s="13">
        <f>IFERROR(SUMPRODUCT(D16:D24,D3:D11)/SUMPRODUCT((D16:D24&lt;&gt;"")*D3:D11),SUMPRODUCT(D16:D24,D3:D11)/SUMPRODUCT((D16:D24&lt;&gt;"")*D3:D11))</f>
        <v/>
      </c>
      <c r="E39" s="13">
        <f>IFERROR(SUMPRODUCT(E16:E24,E3:E11)/SUMPRODUCT((E16:E24&lt;&gt;"")*E3:E11),SUMPRODUCT(E16:E24,E3:E11)/SUMPRODUCT((E16:E24&lt;&gt;"")*E3:E11))</f>
        <v/>
      </c>
      <c r="F39" s="13">
        <f>IFERROR(SUMPRODUCT(F16:F24,F3:F11)/SUMPRODUCT((F16:F24&lt;&gt;"")*F3:F11),SUMPRODUCT(F16:F24,F3:F11)/SUMPRODUCT((F16:F24&lt;&gt;"")*F3:F11))</f>
        <v/>
      </c>
      <c r="G39" s="13">
        <f>IFERROR(SUMPRODUCT(G16:G24,G3:G11)/SUMPRODUCT((G16:G24&lt;&gt;"")*G3:G11),SUMPRODUCT(G16:G24,G3:G11)/SUMPRODUCT((G16:G24&lt;&gt;"")*G3:G11))</f>
        <v/>
      </c>
      <c r="H39" s="13">
        <f>IFERROR(SUMPRODUCT(H16:H24,H3:H11)/SUMPRODUCT((H16:H24&lt;&gt;"")*H3:H11),SUMPRODUCT(H16:H24,H3:H11)/SUMPRODUCT((H16:H24&lt;&gt;"")*H3:H11))</f>
        <v/>
      </c>
      <c r="I39" s="13">
        <f>IFERROR(SUMPRODUCT(I16:I24,I3:I11)/SUMPRODUCT((I16:I24&lt;&gt;"")*I3:I11),SUMPRODUCT(I16:I24,I3:I11)/SUMPRODUCT((I16:I24&lt;&gt;"")*I3:I11))</f>
        <v/>
      </c>
      <c r="J39" s="13">
        <f>IFERROR(SUMPRODUCT(J16:J24,J3:J11)/SUMPRODUCT((J16:J24&lt;&gt;"")*J3:J11),SUMPRODUCT(J16:J24,J3:J11)/SUMPRODUCT((J16:J24&lt;&gt;"")*J3:J11))</f>
        <v/>
      </c>
      <c r="K39" s="12" t="n"/>
    </row>
    <row r="40">
      <c r="A40" s="15" t="inlineStr">
        <is>
          <t>exclude_high_low_10yr</t>
        </is>
      </c>
      <c r="B40" s="13">
        <f>IFERROR(TRIMMEAN(B16:B24,2/COUNT(B16:B24)),AVERAGE(B16:B24))</f>
        <v/>
      </c>
      <c r="C40" s="13">
        <f>IFERROR(TRIMMEAN(C16:C24,2/COUNT(C16:C24)),AVERAGE(C16:C24))</f>
        <v/>
      </c>
      <c r="D40" s="13">
        <f>IFERROR(TRIMMEAN(D16:D24,2/COUNT(D16:D24)),AVERAGE(D16:D24))</f>
        <v/>
      </c>
      <c r="E40" s="13">
        <f>IFERROR(TRIMMEAN(E16:E24,2/COUNT(E16:E24)),AVERAGE(E16:E24))</f>
        <v/>
      </c>
      <c r="F40" s="13">
        <f>IFERROR(TRIMMEAN(F16:F24,2/COUNT(F16:F24)),AVERAGE(F16:F24))</f>
        <v/>
      </c>
      <c r="G40" s="13">
        <f>IFERROR(TRIMMEAN(G16:G24,2/COUNT(G16:G24)),AVERAGE(G16:G24))</f>
        <v/>
      </c>
      <c r="H40" s="13">
        <f>IFERROR(TRIMMEAN(H16:H24,2/COUNT(H16:H24)),AVERAGE(H16:H24))</f>
        <v/>
      </c>
      <c r="I40" s="13">
        <f>IFERROR(TRIMMEAN(I16:I24,2/COUNT(I16:I24)),AVERAGE(I16:I24))</f>
        <v/>
      </c>
      <c r="J40" s="13">
        <f>IFERROR(TRIMMEAN(J16:J24,2/COUNT(J16:J24)),AVERAGE(J16:J24))</f>
        <v/>
      </c>
      <c r="K40" s="12" t="n"/>
    </row>
    <row r="41"/>
    <row r="42">
      <c r="A42" s="4" t="inlineStr">
        <is>
          <t>LDF Selections</t>
        </is>
      </c>
      <c r="B42" s="2" t="n"/>
      <c r="C42" s="2" t="n"/>
      <c r="D42" s="2" t="n"/>
      <c r="E42" s="2" t="n"/>
      <c r="F42" s="2" t="n"/>
      <c r="G42" s="2" t="n"/>
      <c r="H42" s="2" t="n"/>
      <c r="I42" s="2" t="n"/>
      <c r="J42" s="2" t="n"/>
      <c r="K42" s="3" t="n"/>
    </row>
    <row r="43">
      <c r="A43" s="8" t="n"/>
      <c r="B43" s="9" t="inlineStr">
        <is>
          <t>12-24</t>
        </is>
      </c>
      <c r="C43" s="9" t="inlineStr">
        <is>
          <t>24-36</t>
        </is>
      </c>
      <c r="D43" s="9" t="inlineStr">
        <is>
          <t>36-48</t>
        </is>
      </c>
      <c r="E43" s="9" t="inlineStr">
        <is>
          <t>48-60</t>
        </is>
      </c>
      <c r="F43" s="9" t="inlineStr">
        <is>
          <t>60-72</t>
        </is>
      </c>
      <c r="G43" s="9" t="inlineStr">
        <is>
          <t>72-84</t>
        </is>
      </c>
      <c r="H43" s="9" t="inlineStr">
        <is>
          <t>84-96</t>
        </is>
      </c>
      <c r="I43" s="9" t="inlineStr">
        <is>
          <t>96-108</t>
        </is>
      </c>
      <c r="J43" s="9" t="inlineStr">
        <is>
          <t>108-120</t>
        </is>
      </c>
      <c r="K43" s="9" t="inlineStr">
        <is>
          <t>Tail</t>
        </is>
      </c>
    </row>
    <row r="44">
      <c r="A44" s="16" t="inlineStr">
        <is>
          <t>AI Selection</t>
        </is>
      </c>
      <c r="B44" s="17" t="n">
        <v>1.8093</v>
      </c>
      <c r="C44" s="17" t="n">
        <v>1.333</v>
      </c>
      <c r="D44" s="17" t="n">
        <v>1.2015</v>
      </c>
      <c r="E44" s="17" t="n">
        <v>1.1128</v>
      </c>
      <c r="F44" s="17" t="n">
        <v>1.0733</v>
      </c>
      <c r="G44" s="17" t="n">
        <v>1.0587</v>
      </c>
      <c r="H44" s="17" t="n">
        <v>1.0424</v>
      </c>
      <c r="I44" s="17" t="n">
        <v>1.0332</v>
      </c>
      <c r="J44" s="17" t="n">
        <v>1.0202</v>
      </c>
      <c r="K44" s="17" t="n">
        <v>1.005</v>
      </c>
    </row>
    <row r="45" ht="60" customHeight="1">
      <c r="A45" s="16" t="inlineStr">
        <is>
          <t>AI Reasoning</t>
        </is>
      </c>
      <c r="B45" s="18" t="inlineStr">
        <is>
          <t>Weighted all average 1.8093 chosen over simple_all (1.8108). Reasonable range 1.7670-1.8913. CV 0.0247 (modest). Earlier years (2015-2016) slightly higher (1.7763-1.8913); 2023 lower (1.7670). Weighted approach appropriately downweights outlier 2017 (1.8913) and emphasizes recent development.</t>
        </is>
      </c>
      <c r="C45" s="18" t="inlineStr">
        <is>
          <t>Exclude high/low average 1.3336 chosen over weighted_all (1.3321). Range 1.3144-1.3691. CV 0.0156. Removing extremes (highest 1.3691 in 2020, lowest 1.3144 in 2021) provides better central estimate. Slight negative slope suggests modest stabilization. Defensible to exclude outliers.</t>
        </is>
      </c>
      <c r="D45" s="18" t="inlineStr">
        <is>
          <t>Weighted all average 1.2015. Range 1.1832-1.2171. CV 0.0088. Stable core with manageable variation. No compelling trend. Weighted average balances recency and historical consistency well.</t>
        </is>
      </c>
      <c r="E45" s="18" t="inlineStr">
        <is>
          <t>Weighted all average 1.1128. Range 1.1037-1.1270. CV 0.0072. Very consistent across years. No trend (-0.0025 over 10yr). Clean, straightforward selection.</t>
        </is>
      </c>
      <c r="F45" s="18" t="inlineStr">
        <is>
          <t>Weighted all average 1.0733. Range 1.0700-1.0757. CV 0.0020. Extremely tight cluster. Consistent development in mature tail. Standard selection.</t>
        </is>
      </c>
      <c r="G45" s="18" t="inlineStr">
        <is>
          <t>Weighted all average 1.0587. Range 1.0559-1.0612. CV 0.0024. Very stable. No trend. Clear single pattern.</t>
        </is>
      </c>
      <c r="H45" s="18" t="inlineStr">
        <is>
          <t>Weighted all average 1.0424. Range 1.0406-1.0439. CV 0.0016. Matured development, minimal variation. Consistent across available experience.</t>
        </is>
      </c>
      <c r="I45" s="18" t="inlineStr">
        <is>
          <t>Weighted all average 1.0332. Range 1.0326-1.0338. CV 0.0007. Highly concentrated. Small sample (4 observations) but very consistent.</t>
        </is>
      </c>
      <c r="J45" s="18" t="inlineStr">
        <is>
          <t>All averages 1.0202. Single observed factor. Limited data (oldest cohort only) but consistent.</t>
        </is>
      </c>
      <c r="K45" s="18" t="inlineStr">
        <is>
          <t>Beyond age 120, incurred loss expected to continue development on large loss reserves. CV across intervals stays &lt;3%, slope near zero. Modest tail of 1.005 reflects: (1) inherent tail risk in incurred (includes IBNR/reopenings), (2) development pattern suggests &gt;95% closure by 120, (3) conservative buffer for reserve adequacy. Standard practice for incurred loss.</t>
        </is>
      </c>
    </row>
    <row r="46"/>
    <row r="47">
      <c r="A47" s="19" t="inlineStr">
        <is>
          <t>Selection</t>
        </is>
      </c>
      <c r="B47" s="20" t="n">
        <v>1.8066</v>
      </c>
      <c r="C47" s="20" t="n">
        <v>1.3358</v>
      </c>
      <c r="D47" s="20" t="n">
        <v>1.1997</v>
      </c>
      <c r="E47" s="20" t="n">
        <v>1.1128</v>
      </c>
      <c r="F47" s="20" t="n">
        <v>1.0733</v>
      </c>
      <c r="G47" s="20" t="n">
        <v>1.0587</v>
      </c>
      <c r="H47" s="20" t="n">
        <v>1.0424</v>
      </c>
      <c r="I47" s="20" t="n">
        <v>1.0332</v>
      </c>
      <c r="J47" s="20" t="n">
        <v>1.0202</v>
      </c>
      <c r="K47" s="20" t="n">
        <v>1.0125</v>
      </c>
    </row>
    <row r="48" ht="60" customHeight="1">
      <c r="A48" s="19" t="inlineStr">
        <is>
          <t>Reasoning</t>
        </is>
      </c>
      <c r="B48" s="21" t="inlineStr">
        <is>
          <t>Incurred Loss: weighted_3yr 1.8094, adjusted down to 1.8066
CV_5yr=0.0187 (low volatility). 3yr average 1.8094 vs 5yr 1.8139 (0.25% convergence, no trend). Weighted 3yr preferred as default for loss triangles at early maturity. Paid LDF 12-24 = 1.8151 (3yr weighted), slightly higher than incurred. Paid-to-incurred 0.83 (12mo) suggests case reserving embedded in incurred. Asymmetric conservatism: incurred &lt;paid confirms stabilizing trend. Select weighted 3yr with 1% downward dampening due to conservative case reserve adequacy observed in later maturities. Final: 1.8094 × 0.9983 ≈ 1.8066.</t>
        </is>
      </c>
      <c r="C48" s="21" t="inlineStr">
        <is>
          <t>Incurred Loss: weighted_5yr 1.3358
Converged band 1.3336-1.3390. CV_5yr=0.0154 (low). 3yr vs 5yr &lt;0.3% divergence. Paid LDF 24-36 = 1.3678-1.3787 (roughly 2-3% higher than incurred). Paid-to-incurred ratio drifts up (0.817→0.840), consistent with case release at this maturity. Weighted 5yr appropriate; no trend or diagnostic override warranted. Slope_5yr=-0.001 (flat). Mid-maturity stability. Incurred and paid converging as expected.</t>
        </is>
      </c>
      <c r="D48" s="21" t="inlineStr">
        <is>
          <t>Incurred Loss: weighted_5yr 1.1997
Band 1.1924-1.2015. CV_5yr=0.0102 (low). 3yr vs 5yr &lt;0.4% difference. Paid LDF 36-48 = 1.2106-1.2149 (roughly 0.8% higher). Paid-to-incurred increases to 0.85-0.89 range, showing continued case release dynamic. No diagnostic red flags. Weighted 5yr shows stability across recent years. Slope_5yr=-0.0031 (slight downward trend not significant). Mid-maturity development proceeding normally.</t>
        </is>
      </c>
      <c r="E48" s="21" t="inlineStr">
        <is>
          <t>Incurred Loss: weighted_5yr 1.1128
Converged 1.1067-1.1128 (CV_5yr=0.0081, low). 3yr vs 5yr &lt;0.05% divergence (perfect convergence). Paid LDF 48-60 = 1.1476-1.1502 (approximately 3% higher than incurred). Paid-to-incurred 0.88-0.89 range. Late mid-maturity. Slope_5yr=-0.0044 (slight negative, not significant). Weighted 5yr displays consistency. Selection unchanged; convergence override applies.</t>
        </is>
      </c>
      <c r="F48" s="21" t="inlineStr">
        <is>
          <t>Incurred Loss: weighted_5yr 1.0733
Band 1.0727-1.0739 (CV_5yr=0.002, excellent). 3yr vs 5yr &lt;0.1% divergence. Paid LDF 60-72 = 1.1087-1.1096 (roughly 3.3% higher). Paid-to-incurred 0.88-0.90, confirming case reserve adequacy. Late maturity development. Slope_5yr=-0.0001 (flat). Weighted 5yr appropriate. Convergence confirmed.</t>
        </is>
      </c>
      <c r="G48" s="21" t="inlineStr">
        <is>
          <t>Incurred Loss: weighted_5yr 1.0587
Converged 1.0571-1.0587 (CV_5yr=0.0024, very low). 3yr vs 5yr &lt;0.1% difference. Paid LDF 72-84 = 1.0842-1.0858 (approximately 2.4% higher). Paid-to-incurred 0.91-0.94 range. Very late development. Slope_5yr=-0.0017 (flat). Weighted 5yr maintained. Excellent stability at this tail maturity.</t>
        </is>
      </c>
      <c r="H48" s="21" t="inlineStr">
        <is>
          <t>Incurred Loss: weighted_5yr 1.0424
Tight band 1.0424-1.0428 (CV_5yr=0.0016, excellent). 3yr vs 5yr no divergence. Paid LDF 84-96 = 1.0599-1.0602 (approximately 1.7% higher). Tail maturity. Paid-to-incurred 0.93-0.95. Slope_5yr=0.0017 (near-zero). Weighted 5yr confirms uniformity. Micro-development in tail region.</t>
        </is>
      </c>
      <c r="I48" s="21" t="inlineStr">
        <is>
          <t>Incurred Loss: weighted_5yr 1.0332
Converged 1.0331-1.0332 (CV_5yr=0.0007, near-perfect). 3yr vs 5yr identical. Paid LDF 96-108 = 1.0581-1.0586 (approximately 2.4% higher). Extreme tail. Paid-to-incurred 0.94-0.98. Slope_5yr=0.001 (flat). Weighted 5yr. Final development approaching, confirmed uniform.</t>
        </is>
      </c>
      <c r="J48" s="21" t="inlineStr">
        <is>
          <t>Incurred Loss: weighted_5yr 1.0202
Perfect convergence 1.0202 (CV_5yr=0.0007). Last observable LDF. Paid LDF 108-120 = 1.0434 (approximately 2.2% higher). Paid-to-incurred approaching 1.000 (0.98). Incurred development nearly complete. Slope_5yr=0.001 (flat). Excellent closure and case reserve adequacy. Weighted 5yr confirms finality.</t>
        </is>
      </c>
      <c r="K48" s="21" t="inlineStr">
        <is>
          <t>Incurred Loss: 1.0125
Tail factor for incurred loss. Last observable LDF=1.0202 (&gt;1.005 threshold). Open counts at age 120 show &lt;1% remaining. Paid-to-incurred at final maturity 0.98 (normal for casualty, case reserves emerging late). Average case reserve at 120 months shows significant tail (20,867 in 2015, declining to stable 6,573 in 2024). Incremental closure rate shows development pace slowing but &gt;1x ratio through age 120. Exponential decay model: LDF decay from 1.0202 (age 120) suggests approximately 2% residual development 120-∞. Select 1.0125 (approximately 60% of remaining gap to 1.000) to reflect long-tail casualty nature, well-reserved book, and gradual closure through age 120+. Diagnostic support: paid tail 1.0434 &gt; incurred tail 1.0125 (appropriate ordering).</t>
        </is>
      </c>
    </row>
    <row r="49"/>
    <row r="50">
      <c r="A50" s="22" t="inlineStr">
        <is>
          <t>Cumulative Development Factors</t>
        </is>
      </c>
    </row>
    <row r="51">
      <c r="A51" s="23" t="inlineStr">
        <is>
          <t>Age</t>
        </is>
      </c>
      <c r="B51" s="23">
        <f>$B$2</f>
        <v/>
      </c>
      <c r="C51" s="23">
        <f>$C$2</f>
        <v/>
      </c>
      <c r="D51" s="23">
        <f>$D$2</f>
        <v/>
      </c>
      <c r="E51" s="23">
        <f>$E$2</f>
        <v/>
      </c>
      <c r="F51" s="23">
        <f>$F$2</f>
        <v/>
      </c>
      <c r="G51" s="23">
        <f>$G$2</f>
        <v/>
      </c>
      <c r="H51" s="23">
        <f>$H$2</f>
        <v/>
      </c>
      <c r="I51" s="23">
        <f>$I$2</f>
        <v/>
      </c>
      <c r="J51" s="23">
        <f>$J$2</f>
        <v/>
      </c>
      <c r="K51" s="23">
        <f>$K$2</f>
        <v/>
      </c>
    </row>
    <row r="52">
      <c r="A52" s="23" t="inlineStr">
        <is>
          <t>CDF</t>
        </is>
      </c>
      <c r="B52" s="24">
        <f>B47*C52</f>
        <v/>
      </c>
      <c r="C52" s="24">
        <f>C47*D52</f>
        <v/>
      </c>
      <c r="D52" s="24">
        <f>D47*E52</f>
        <v/>
      </c>
      <c r="E52" s="24">
        <f>E47*F52</f>
        <v/>
      </c>
      <c r="F52" s="24">
        <f>F47*G52</f>
        <v/>
      </c>
      <c r="G52" s="24">
        <f>G47*H52</f>
        <v/>
      </c>
      <c r="H52" s="24">
        <f>H47*I52</f>
        <v/>
      </c>
      <c r="I52" s="24">
        <f>I47*J52</f>
        <v/>
      </c>
      <c r="J52" s="24">
        <f>J47*K52</f>
        <v/>
      </c>
      <c r="K52" s="24">
        <f>K47</f>
        <v/>
      </c>
    </row>
    <row r="53"/>
    <row r="54">
      <c r="A54" s="22" t="inlineStr">
        <is>
          <t>Projected Ultimates</t>
        </is>
      </c>
    </row>
    <row r="55">
      <c r="A55" s="25" t="inlineStr">
        <is>
          <t>Period</t>
        </is>
      </c>
      <c r="B55" s="25" t="inlineStr">
        <is>
          <t>Latest Age</t>
        </is>
      </c>
      <c r="C55" s="25" t="inlineStr">
        <is>
          <t>Latest Value</t>
        </is>
      </c>
      <c r="D55" s="25" t="inlineStr">
        <is>
          <t>CDF at Age</t>
        </is>
      </c>
      <c r="E55" s="25" t="inlineStr">
        <is>
          <t>Projected Ultimate</t>
        </is>
      </c>
      <c r="F55" s="25" t="inlineStr">
        <is>
          <t>IBNR</t>
        </is>
      </c>
    </row>
    <row r="56">
      <c r="A56">
        <f>A3</f>
        <v/>
      </c>
      <c r="B56">
        <f>LOOKUP(2,1/(B3:K3&lt;&gt;""),$B$2:$K$2)</f>
        <v/>
      </c>
      <c r="C56" s="26">
        <f>LOOKUP(2,1/(B3:K3&lt;&gt;""),B3:K3)</f>
        <v/>
      </c>
      <c r="D56" s="24">
        <f>HLOOKUP(B56,$B$51:$K$52,2,FALSE)</f>
        <v/>
      </c>
      <c r="E56" s="26">
        <f>C56*D56</f>
        <v/>
      </c>
      <c r="F56" s="26">
        <f>E56-C56</f>
        <v/>
      </c>
    </row>
    <row r="57">
      <c r="A57">
        <f>A4</f>
        <v/>
      </c>
      <c r="B57">
        <f>LOOKUP(2,1/(B4:K4&lt;&gt;""),$B$2:$K$2)</f>
        <v/>
      </c>
      <c r="C57" s="26">
        <f>LOOKUP(2,1/(B4:K4&lt;&gt;""),B4:K4)</f>
        <v/>
      </c>
      <c r="D57" s="24">
        <f>HLOOKUP(B57,$B$51:$K$52,2,FALSE)</f>
        <v/>
      </c>
      <c r="E57" s="26">
        <f>C57*D57</f>
        <v/>
      </c>
      <c r="F57" s="26">
        <f>E57-C57</f>
        <v/>
      </c>
    </row>
    <row r="58">
      <c r="A58">
        <f>A5</f>
        <v/>
      </c>
      <c r="B58">
        <f>LOOKUP(2,1/(B5:K5&lt;&gt;""),$B$2:$K$2)</f>
        <v/>
      </c>
      <c r="C58" s="26">
        <f>LOOKUP(2,1/(B5:K5&lt;&gt;""),B5:K5)</f>
        <v/>
      </c>
      <c r="D58" s="24">
        <f>HLOOKUP(B58,$B$51:$K$52,2,FALSE)</f>
        <v/>
      </c>
      <c r="E58" s="26">
        <f>C58*D58</f>
        <v/>
      </c>
      <c r="F58" s="26">
        <f>E58-C58</f>
        <v/>
      </c>
    </row>
    <row r="59">
      <c r="A59">
        <f>A6</f>
        <v/>
      </c>
      <c r="B59">
        <f>LOOKUP(2,1/(B6:K6&lt;&gt;""),$B$2:$K$2)</f>
        <v/>
      </c>
      <c r="C59" s="26">
        <f>LOOKUP(2,1/(B6:K6&lt;&gt;""),B6:K6)</f>
        <v/>
      </c>
      <c r="D59" s="24">
        <f>HLOOKUP(B59,$B$51:$K$52,2,FALSE)</f>
        <v/>
      </c>
      <c r="E59" s="26">
        <f>C59*D59</f>
        <v/>
      </c>
      <c r="F59" s="26">
        <f>E59-C59</f>
        <v/>
      </c>
    </row>
    <row r="60">
      <c r="A60">
        <f>A7</f>
        <v/>
      </c>
      <c r="B60">
        <f>LOOKUP(2,1/(B7:K7&lt;&gt;""),$B$2:$K$2)</f>
        <v/>
      </c>
      <c r="C60" s="26">
        <f>LOOKUP(2,1/(B7:K7&lt;&gt;""),B7:K7)</f>
        <v/>
      </c>
      <c r="D60" s="24">
        <f>HLOOKUP(B60,$B$51:$K$52,2,FALSE)</f>
        <v/>
      </c>
      <c r="E60" s="26">
        <f>C60*D60</f>
        <v/>
      </c>
      <c r="F60" s="26">
        <f>E60-C60</f>
        <v/>
      </c>
    </row>
    <row r="61">
      <c r="A61">
        <f>A8</f>
        <v/>
      </c>
      <c r="B61">
        <f>LOOKUP(2,1/(B8:K8&lt;&gt;""),$B$2:$K$2)</f>
        <v/>
      </c>
      <c r="C61" s="26">
        <f>LOOKUP(2,1/(B8:K8&lt;&gt;""),B8:K8)</f>
        <v/>
      </c>
      <c r="D61" s="24">
        <f>HLOOKUP(B61,$B$51:$K$52,2,FALSE)</f>
        <v/>
      </c>
      <c r="E61" s="26">
        <f>C61*D61</f>
        <v/>
      </c>
      <c r="F61" s="26">
        <f>E61-C61</f>
        <v/>
      </c>
    </row>
    <row r="62">
      <c r="A62">
        <f>A9</f>
        <v/>
      </c>
      <c r="B62">
        <f>LOOKUP(2,1/(B9:K9&lt;&gt;""),$B$2:$K$2)</f>
        <v/>
      </c>
      <c r="C62" s="26">
        <f>LOOKUP(2,1/(B9:K9&lt;&gt;""),B9:K9)</f>
        <v/>
      </c>
      <c r="D62" s="24">
        <f>HLOOKUP(B62,$B$51:$K$52,2,FALSE)</f>
        <v/>
      </c>
      <c r="E62" s="26">
        <f>C62*D62</f>
        <v/>
      </c>
      <c r="F62" s="26">
        <f>E62-C62</f>
        <v/>
      </c>
    </row>
    <row r="63">
      <c r="A63">
        <f>A10</f>
        <v/>
      </c>
      <c r="B63">
        <f>LOOKUP(2,1/(B10:K10&lt;&gt;""),$B$2:$K$2)</f>
        <v/>
      </c>
      <c r="C63" s="26">
        <f>LOOKUP(2,1/(B10:K10&lt;&gt;""),B10:K10)</f>
        <v/>
      </c>
      <c r="D63" s="24">
        <f>HLOOKUP(B63,$B$51:$K$52,2,FALSE)</f>
        <v/>
      </c>
      <c r="E63" s="26">
        <f>C63*D63</f>
        <v/>
      </c>
      <c r="F63" s="26">
        <f>E63-C63</f>
        <v/>
      </c>
    </row>
    <row r="64">
      <c r="A64">
        <f>A11</f>
        <v/>
      </c>
      <c r="B64">
        <f>LOOKUP(2,1/(B11:K11&lt;&gt;""),$B$2:$K$2)</f>
        <v/>
      </c>
      <c r="C64" s="26">
        <f>LOOKUP(2,1/(B11:K11&lt;&gt;""),B11:K11)</f>
        <v/>
      </c>
      <c r="D64" s="24">
        <f>HLOOKUP(B64,$B$51:$K$52,2,FALSE)</f>
        <v/>
      </c>
      <c r="E64" s="26">
        <f>C64*D64</f>
        <v/>
      </c>
      <c r="F64" s="26">
        <f>E64-C64</f>
        <v/>
      </c>
    </row>
    <row r="65">
      <c r="A65">
        <f>A12</f>
        <v/>
      </c>
      <c r="B65">
        <f>LOOKUP(2,1/(B12:K12&lt;&gt;""),$B$2:$K$2)</f>
        <v/>
      </c>
      <c r="C65" s="26">
        <f>LOOKUP(2,1/(B12:K12&lt;&gt;""),B12:K12)</f>
        <v/>
      </c>
      <c r="D65" s="24">
        <f>HLOOKUP(B65,$B$51:$K$52,2,FALSE)</f>
        <v/>
      </c>
      <c r="E65" s="26">
        <f>C65*D65</f>
        <v/>
      </c>
      <c r="F65" s="26">
        <f>E65-C65</f>
        <v/>
      </c>
    </row>
  </sheetData>
  <mergeCells count="6">
    <mergeCell ref="A54:F54"/>
    <mergeCell ref="A50:K50"/>
    <mergeCell ref="A14:J14"/>
    <mergeCell ref="A42:K42"/>
    <mergeCell ref="A1:K1"/>
    <mergeCell ref="A27:K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Paid Loss</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9247456.85</v>
      </c>
      <c r="C3" s="11" t="n">
        <v>16887332.41</v>
      </c>
      <c r="D3" s="11" t="n">
        <v>23000568.52</v>
      </c>
      <c r="E3" s="11" t="n">
        <v>27802345.87</v>
      </c>
      <c r="F3" s="11" t="n">
        <v>31644816.08</v>
      </c>
      <c r="G3" s="11" t="n">
        <v>35019498.12</v>
      </c>
      <c r="H3" s="11" t="n">
        <v>38226728.69</v>
      </c>
      <c r="I3" s="11" t="n">
        <v>40633312.56</v>
      </c>
      <c r="J3" s="11" t="n">
        <v>43136150.42</v>
      </c>
      <c r="K3" s="11" t="n">
        <v>45008437.67</v>
      </c>
    </row>
    <row r="4">
      <c r="A4" s="10" t="inlineStr">
        <is>
          <t>2016</t>
        </is>
      </c>
      <c r="B4" s="11" t="n">
        <v>12224783.55</v>
      </c>
      <c r="C4" s="11" t="n">
        <v>23009582.96</v>
      </c>
      <c r="D4" s="11" t="n">
        <v>31462133.59</v>
      </c>
      <c r="E4" s="11" t="n">
        <v>38324866.26</v>
      </c>
      <c r="F4" s="11" t="n">
        <v>44020225.53</v>
      </c>
      <c r="G4" s="11" t="n">
        <v>48826739.91</v>
      </c>
      <c r="H4" s="11" t="n">
        <v>52977179.82</v>
      </c>
      <c r="I4" s="11" t="n">
        <v>56150430.55</v>
      </c>
      <c r="J4" s="11" t="n">
        <v>59267698.34</v>
      </c>
      <c r="K4" s="12" t="n"/>
    </row>
    <row r="5">
      <c r="A5" s="10" t="inlineStr">
        <is>
          <t>2017</t>
        </is>
      </c>
      <c r="B5" s="11" t="n">
        <v>7651942.92</v>
      </c>
      <c r="C5" s="11" t="n">
        <v>14311315.83</v>
      </c>
      <c r="D5" s="11" t="n">
        <v>19921863.9</v>
      </c>
      <c r="E5" s="11" t="n">
        <v>24002300.82</v>
      </c>
      <c r="F5" s="11" t="n">
        <v>27560045.44</v>
      </c>
      <c r="G5" s="11" t="n">
        <v>30585360.38</v>
      </c>
      <c r="H5" s="11" t="n">
        <v>33007872.54</v>
      </c>
      <c r="I5" s="11" t="n">
        <v>34907742.22</v>
      </c>
      <c r="J5" s="12" t="n"/>
      <c r="K5" s="12" t="n"/>
    </row>
    <row r="6">
      <c r="A6" s="10" t="inlineStr">
        <is>
          <t>2018</t>
        </is>
      </c>
      <c r="B6" s="11" t="n">
        <v>12066429.1</v>
      </c>
      <c r="C6" s="11" t="n">
        <v>22556335.54</v>
      </c>
      <c r="D6" s="11" t="n">
        <v>31035721.7</v>
      </c>
      <c r="E6" s="11" t="n">
        <v>37766430.75</v>
      </c>
      <c r="F6" s="11" t="n">
        <v>43524051.37</v>
      </c>
      <c r="G6" s="11" t="n">
        <v>48248010.04</v>
      </c>
      <c r="H6" s="11" t="n">
        <v>52422359.54</v>
      </c>
      <c r="I6" s="12" t="n"/>
      <c r="J6" s="12" t="n"/>
      <c r="K6" s="12" t="n"/>
    </row>
    <row r="7">
      <c r="A7" s="10" t="inlineStr">
        <is>
          <t>2019</t>
        </is>
      </c>
      <c r="B7" s="11" t="n">
        <v>10064764.9</v>
      </c>
      <c r="C7" s="11" t="n">
        <v>18121547.35</v>
      </c>
      <c r="D7" s="11" t="n">
        <v>24840287.38</v>
      </c>
      <c r="E7" s="11" t="n">
        <v>29715356.63</v>
      </c>
      <c r="F7" s="11" t="n">
        <v>34177567.56</v>
      </c>
      <c r="G7" s="11" t="n">
        <v>37924647.52</v>
      </c>
      <c r="H7" s="12" t="n"/>
      <c r="I7" s="12" t="n"/>
      <c r="J7" s="12" t="n"/>
      <c r="K7" s="12" t="n"/>
    </row>
    <row r="8">
      <c r="A8" s="10" t="inlineStr">
        <is>
          <t>2020</t>
        </is>
      </c>
      <c r="B8" s="11" t="n">
        <v>8963797.6</v>
      </c>
      <c r="C8" s="11" t="n">
        <v>15917604.49</v>
      </c>
      <c r="D8" s="11" t="n">
        <v>22113680.02</v>
      </c>
      <c r="E8" s="11" t="n">
        <v>26981140.69</v>
      </c>
      <c r="F8" s="11" t="n">
        <v>30760499.66</v>
      </c>
      <c r="G8" s="12" t="n"/>
      <c r="H8" s="12" t="n"/>
      <c r="I8" s="12" t="n"/>
      <c r="J8" s="12" t="n"/>
      <c r="K8" s="12" t="n"/>
    </row>
    <row r="9">
      <c r="A9" s="10" t="inlineStr">
        <is>
          <t>2021</t>
        </is>
      </c>
      <c r="B9" s="11" t="n">
        <v>15964354.24</v>
      </c>
      <c r="C9" s="11" t="n">
        <v>28485180.18</v>
      </c>
      <c r="D9" s="11" t="n">
        <v>38015718.95</v>
      </c>
      <c r="E9" s="11" t="n">
        <v>46187014.54</v>
      </c>
      <c r="F9" s="12" t="n"/>
      <c r="G9" s="12" t="n"/>
      <c r="H9" s="12" t="n"/>
      <c r="I9" s="12" t="n"/>
      <c r="J9" s="12" t="n"/>
      <c r="K9" s="12" t="n"/>
    </row>
    <row r="10">
      <c r="A10" s="10" t="inlineStr">
        <is>
          <t>2022</t>
        </is>
      </c>
      <c r="B10" s="11" t="n">
        <v>8984185.119999999</v>
      </c>
      <c r="C10" s="11" t="n">
        <v>16619561.77</v>
      </c>
      <c r="D10" s="11" t="n">
        <v>23102956.85</v>
      </c>
      <c r="E10" s="12" t="n"/>
      <c r="F10" s="12" t="n"/>
      <c r="G10" s="12" t="n"/>
      <c r="H10" s="12" t="n"/>
      <c r="I10" s="12" t="n"/>
      <c r="J10" s="12" t="n"/>
      <c r="K10" s="12" t="n"/>
    </row>
    <row r="11">
      <c r="A11" s="10" t="inlineStr">
        <is>
          <t>2023</t>
        </is>
      </c>
      <c r="B11" s="11" t="n">
        <v>9774276.119999999</v>
      </c>
      <c r="C11" s="11" t="n">
        <v>17919593.72</v>
      </c>
      <c r="D11" s="12" t="n"/>
      <c r="E11" s="12" t="n"/>
      <c r="F11" s="12" t="n"/>
      <c r="G11" s="12" t="n"/>
      <c r="H11" s="12" t="n"/>
      <c r="I11" s="12" t="n"/>
      <c r="J11" s="12" t="n"/>
      <c r="K11" s="12" t="n"/>
    </row>
    <row r="12">
      <c r="A12" s="10" t="inlineStr">
        <is>
          <t>2024</t>
        </is>
      </c>
      <c r="B12" s="11" t="n">
        <v>13261356.27</v>
      </c>
      <c r="C12" s="12" t="n"/>
      <c r="D12" s="12" t="n"/>
      <c r="E12" s="12" t="n"/>
      <c r="F12" s="12" t="n"/>
      <c r="G12" s="12" t="n"/>
      <c r="H12" s="12" t="n"/>
      <c r="I12" s="12" t="n"/>
      <c r="J12" s="12" t="n"/>
      <c r="K12" s="12" t="n"/>
    </row>
    <row r="13"/>
    <row r="14">
      <c r="A14" s="4" t="inlineStr">
        <is>
          <t>Age-to-Age Factors</t>
        </is>
      </c>
      <c r="B14" s="2" t="n"/>
      <c r="C14" s="2" t="n"/>
      <c r="D14" s="2" t="n"/>
      <c r="E14" s="2" t="n"/>
      <c r="F14" s="2" t="n"/>
      <c r="G14" s="2" t="n"/>
      <c r="H14" s="2" t="n"/>
      <c r="I14" s="2" t="n"/>
      <c r="J14" s="3" t="n"/>
    </row>
    <row r="15">
      <c r="A15" s="8" t="n"/>
      <c r="B15" s="9" t="inlineStr">
        <is>
          <t>12-24</t>
        </is>
      </c>
      <c r="C15" s="9" t="inlineStr">
        <is>
          <t>24-36</t>
        </is>
      </c>
      <c r="D15" s="9" t="inlineStr">
        <is>
          <t>36-48</t>
        </is>
      </c>
      <c r="E15" s="9" t="inlineStr">
        <is>
          <t>48-60</t>
        </is>
      </c>
      <c r="F15" s="9" t="inlineStr">
        <is>
          <t>60-72</t>
        </is>
      </c>
      <c r="G15" s="9" t="inlineStr">
        <is>
          <t>72-84</t>
        </is>
      </c>
      <c r="H15" s="9" t="inlineStr">
        <is>
          <t>84-96</t>
        </is>
      </c>
      <c r="I15" s="9" t="inlineStr">
        <is>
          <t>96-108</t>
        </is>
      </c>
      <c r="J15" s="9" t="inlineStr">
        <is>
          <t>108-120</t>
        </is>
      </c>
    </row>
    <row r="16">
      <c r="A16" s="10" t="inlineStr">
        <is>
          <t>2015</t>
        </is>
      </c>
      <c r="B16" s="13">
        <f>C3/B3</f>
        <v/>
      </c>
      <c r="C16" s="13">
        <f>D3/C3</f>
        <v/>
      </c>
      <c r="D16" s="13">
        <f>E3/D3</f>
        <v/>
      </c>
      <c r="E16" s="13">
        <f>F3/E3</f>
        <v/>
      </c>
      <c r="F16" s="13">
        <f>G3/F3</f>
        <v/>
      </c>
      <c r="G16" s="13">
        <f>H3/G3</f>
        <v/>
      </c>
      <c r="H16" s="13">
        <f>I3/H3</f>
        <v/>
      </c>
      <c r="I16" s="13">
        <f>J3/I3</f>
        <v/>
      </c>
      <c r="J16" s="13">
        <f>K3/J3</f>
        <v/>
      </c>
    </row>
    <row r="17">
      <c r="A17" s="10" t="inlineStr">
        <is>
          <t>2016</t>
        </is>
      </c>
      <c r="B17" s="13">
        <f>C4/B4</f>
        <v/>
      </c>
      <c r="C17" s="13">
        <f>D4/C4</f>
        <v/>
      </c>
      <c r="D17" s="13">
        <f>E4/D4</f>
        <v/>
      </c>
      <c r="E17" s="13">
        <f>F4/E4</f>
        <v/>
      </c>
      <c r="F17" s="13">
        <f>G4/F4</f>
        <v/>
      </c>
      <c r="G17" s="13">
        <f>H4/G4</f>
        <v/>
      </c>
      <c r="H17" s="13">
        <f>I4/H4</f>
        <v/>
      </c>
      <c r="I17" s="13">
        <f>J4/I4</f>
        <v/>
      </c>
      <c r="J17" s="12" t="n"/>
    </row>
    <row r="18">
      <c r="A18" s="10" t="inlineStr">
        <is>
          <t>2017</t>
        </is>
      </c>
      <c r="B18" s="13">
        <f>C5/B5</f>
        <v/>
      </c>
      <c r="C18" s="13">
        <f>D5/C5</f>
        <v/>
      </c>
      <c r="D18" s="13">
        <f>E5/D5</f>
        <v/>
      </c>
      <c r="E18" s="13">
        <f>F5/E5</f>
        <v/>
      </c>
      <c r="F18" s="13">
        <f>G5/F5</f>
        <v/>
      </c>
      <c r="G18" s="13">
        <f>H5/G5</f>
        <v/>
      </c>
      <c r="H18" s="13">
        <f>I5/H5</f>
        <v/>
      </c>
      <c r="I18" s="12" t="n"/>
      <c r="J18" s="12" t="n"/>
    </row>
    <row r="19">
      <c r="A19" s="10" t="inlineStr">
        <is>
          <t>2018</t>
        </is>
      </c>
      <c r="B19" s="13">
        <f>C6/B6</f>
        <v/>
      </c>
      <c r="C19" s="13">
        <f>D6/C6</f>
        <v/>
      </c>
      <c r="D19" s="13">
        <f>E6/D6</f>
        <v/>
      </c>
      <c r="E19" s="13">
        <f>F6/E6</f>
        <v/>
      </c>
      <c r="F19" s="13">
        <f>G6/F6</f>
        <v/>
      </c>
      <c r="G19" s="13">
        <f>H6/G6</f>
        <v/>
      </c>
      <c r="H19" s="12" t="n"/>
      <c r="I19" s="12" t="n"/>
      <c r="J19" s="12" t="n"/>
    </row>
    <row r="20">
      <c r="A20" s="10" t="inlineStr">
        <is>
          <t>2019</t>
        </is>
      </c>
      <c r="B20" s="13">
        <f>C7/B7</f>
        <v/>
      </c>
      <c r="C20" s="13">
        <f>D7/C7</f>
        <v/>
      </c>
      <c r="D20" s="13">
        <f>E7/D7</f>
        <v/>
      </c>
      <c r="E20" s="13">
        <f>F7/E7</f>
        <v/>
      </c>
      <c r="F20" s="13">
        <f>G7/F7</f>
        <v/>
      </c>
      <c r="G20" s="12" t="n"/>
      <c r="H20" s="12" t="n"/>
      <c r="I20" s="12" t="n"/>
      <c r="J20" s="12" t="n"/>
    </row>
    <row r="21">
      <c r="A21" s="10" t="inlineStr">
        <is>
          <t>2020</t>
        </is>
      </c>
      <c r="B21" s="13">
        <f>C8/B8</f>
        <v/>
      </c>
      <c r="C21" s="13">
        <f>D8/C8</f>
        <v/>
      </c>
      <c r="D21" s="13">
        <f>E8/D8</f>
        <v/>
      </c>
      <c r="E21" s="13">
        <f>F8/E8</f>
        <v/>
      </c>
      <c r="F21" s="12" t="n"/>
      <c r="G21" s="12" t="n"/>
      <c r="H21" s="12" t="n"/>
      <c r="I21" s="12" t="n"/>
      <c r="J21" s="12" t="n"/>
    </row>
    <row r="22">
      <c r="A22" s="10" t="inlineStr">
        <is>
          <t>2021</t>
        </is>
      </c>
      <c r="B22" s="13">
        <f>C9/B9</f>
        <v/>
      </c>
      <c r="C22" s="13">
        <f>D9/C9</f>
        <v/>
      </c>
      <c r="D22" s="13">
        <f>E9/D9</f>
        <v/>
      </c>
      <c r="E22" s="12" t="n"/>
      <c r="F22" s="12" t="n"/>
      <c r="G22" s="12" t="n"/>
      <c r="H22" s="12" t="n"/>
      <c r="I22" s="12" t="n"/>
      <c r="J22" s="12" t="n"/>
    </row>
    <row r="23">
      <c r="A23" s="10" t="inlineStr">
        <is>
          <t>2022</t>
        </is>
      </c>
      <c r="B23" s="13">
        <f>C10/B10</f>
        <v/>
      </c>
      <c r="C23" s="13">
        <f>D10/C10</f>
        <v/>
      </c>
      <c r="D23" s="12" t="n"/>
      <c r="E23" s="12" t="n"/>
      <c r="F23" s="12" t="n"/>
      <c r="G23" s="12" t="n"/>
      <c r="H23" s="12" t="n"/>
      <c r="I23" s="12" t="n"/>
      <c r="J23" s="12" t="n"/>
    </row>
    <row r="24">
      <c r="A24" s="10" t="inlineStr">
        <is>
          <t>2023</t>
        </is>
      </c>
      <c r="B24" s="13">
        <f>C11/B11</f>
        <v/>
      </c>
      <c r="C24" s="12" t="n"/>
      <c r="D24" s="12" t="n"/>
      <c r="E24" s="12" t="n"/>
      <c r="F24" s="12" t="n"/>
      <c r="G24" s="12" t="n"/>
      <c r="H24" s="12" t="n"/>
      <c r="I24" s="12" t="n"/>
      <c r="J24" s="12" t="n"/>
    </row>
    <row r="25">
      <c r="A25" s="10" t="inlineStr">
        <is>
          <t>2024</t>
        </is>
      </c>
      <c r="B25" s="12" t="n"/>
      <c r="C25" s="12" t="n"/>
      <c r="D25" s="12" t="n"/>
      <c r="E25" s="12" t="n"/>
      <c r="F25" s="12" t="n"/>
      <c r="G25" s="12" t="n"/>
      <c r="H25" s="12" t="n"/>
      <c r="I25" s="12" t="n"/>
      <c r="J25" s="12" t="n"/>
    </row>
    <row r="26"/>
    <row r="27">
      <c r="A27" s="4" t="inlineStr">
        <is>
          <t>Averages</t>
        </is>
      </c>
      <c r="B27" s="2" t="n"/>
      <c r="C27" s="2" t="n"/>
      <c r="D27" s="2" t="n"/>
      <c r="E27" s="2" t="n"/>
      <c r="F27" s="2" t="n"/>
      <c r="G27" s="2" t="n"/>
      <c r="H27" s="2" t="n"/>
      <c r="I27" s="2" t="n"/>
      <c r="J27" s="2" t="n"/>
      <c r="K27" s="3" t="n"/>
    </row>
    <row r="28">
      <c r="A28" s="14" t="inlineStr">
        <is>
          <t>Metric</t>
        </is>
      </c>
      <c r="B28" s="9" t="inlineStr">
        <is>
          <t>12-24</t>
        </is>
      </c>
      <c r="C28" s="9" t="inlineStr">
        <is>
          <t>24-36</t>
        </is>
      </c>
      <c r="D28" s="9" t="inlineStr">
        <is>
          <t>36-48</t>
        </is>
      </c>
      <c r="E28" s="9" t="inlineStr">
        <is>
          <t>48-60</t>
        </is>
      </c>
      <c r="F28" s="9" t="inlineStr">
        <is>
          <t>60-72</t>
        </is>
      </c>
      <c r="G28" s="9" t="inlineStr">
        <is>
          <t>72-84</t>
        </is>
      </c>
      <c r="H28" s="9" t="inlineStr">
        <is>
          <t>84-96</t>
        </is>
      </c>
      <c r="I28" s="9" t="inlineStr">
        <is>
          <t>96-108</t>
        </is>
      </c>
      <c r="J28" s="9" t="inlineStr">
        <is>
          <t>108-120</t>
        </is>
      </c>
      <c r="K28" s="9" t="inlineStr">
        <is>
          <t>Tail</t>
        </is>
      </c>
    </row>
    <row r="29">
      <c r="A29" s="15" t="inlineStr">
        <is>
          <t>simple_all</t>
        </is>
      </c>
      <c r="B29" s="13">
        <f>IFERROR(AVERAGE(B16:B24),AVERAGE(B16:B24))</f>
        <v/>
      </c>
      <c r="C29" s="13">
        <f>IFERROR(AVERAGE(C16:C24),AVERAGE(C16:C24))</f>
        <v/>
      </c>
      <c r="D29" s="13">
        <f>IFERROR(AVERAGE(D16:D24),AVERAGE(D16:D24))</f>
        <v/>
      </c>
      <c r="E29" s="13">
        <f>IFERROR(AVERAGE(E16:E24),AVERAGE(E16:E24))</f>
        <v/>
      </c>
      <c r="F29" s="13">
        <f>IFERROR(AVERAGE(F16:F24),AVERAGE(F16:F24))</f>
        <v/>
      </c>
      <c r="G29" s="13">
        <f>IFERROR(AVERAGE(G16:G24),AVERAGE(G16:G24))</f>
        <v/>
      </c>
      <c r="H29" s="13">
        <f>IFERROR(AVERAGE(H16:H24),AVERAGE(H16:H24))</f>
        <v/>
      </c>
      <c r="I29" s="13">
        <f>IFERROR(AVERAGE(I16:I24),AVERAGE(I16:I24))</f>
        <v/>
      </c>
      <c r="J29" s="13">
        <f>IFERROR(AVERAGE(J16:J24),AVERAGE(J16:J24))</f>
        <v/>
      </c>
      <c r="K29" s="12" t="n"/>
    </row>
    <row r="30">
      <c r="A30" s="15" t="inlineStr">
        <is>
          <t>weighted_all</t>
        </is>
      </c>
      <c r="B30" s="13">
        <f>IFERROR(SUMPRODUCT(B16:B24,B3:B11)/SUMPRODUCT((B16:B24&lt;&gt;"")*B3:B11),SUMPRODUCT(B16:B24,B3:B11)/SUMPRODUCT((B16:B24&lt;&gt;"")*B3:B11))</f>
        <v/>
      </c>
      <c r="C30" s="13">
        <f>IFERROR(SUMPRODUCT(C16:C24,C3:C11)/SUMPRODUCT((C16:C24&lt;&gt;"")*C3:C11),SUMPRODUCT(C16:C24,C3:C11)/SUMPRODUCT((C16:C24&lt;&gt;"")*C3:C11))</f>
        <v/>
      </c>
      <c r="D30" s="13">
        <f>IFERROR(SUMPRODUCT(D16:D24,D3:D11)/SUMPRODUCT((D16:D24&lt;&gt;"")*D3:D11),SUMPRODUCT(D16:D24,D3:D11)/SUMPRODUCT((D16:D24&lt;&gt;"")*D3:D11))</f>
        <v/>
      </c>
      <c r="E30" s="13">
        <f>IFERROR(SUMPRODUCT(E16:E24,E3:E11)/SUMPRODUCT((E16:E24&lt;&gt;"")*E3:E11),SUMPRODUCT(E16:E24,E3:E11)/SUMPRODUCT((E16:E24&lt;&gt;"")*E3:E11))</f>
        <v/>
      </c>
      <c r="F30" s="13">
        <f>IFERROR(SUMPRODUCT(F16:F24,F3:F11)/SUMPRODUCT((F16:F24&lt;&gt;"")*F3:F11),SUMPRODUCT(F16:F24,F3:F11)/SUMPRODUCT((F16:F24&lt;&gt;"")*F3:F11))</f>
        <v/>
      </c>
      <c r="G30" s="13">
        <f>IFERROR(SUMPRODUCT(G16:G24,G3:G11)/SUMPRODUCT((G16:G24&lt;&gt;"")*G3:G11),SUMPRODUCT(G16:G24,G3:G11)/SUMPRODUCT((G16:G24&lt;&gt;"")*G3:G11))</f>
        <v/>
      </c>
      <c r="H30" s="13">
        <f>IFERROR(SUMPRODUCT(H16:H24,H3:H11)/SUMPRODUCT((H16:H24&lt;&gt;"")*H3:H11),SUMPRODUCT(H16:H24,H3:H11)/SUMPRODUCT((H16:H24&lt;&gt;"")*H3:H11))</f>
        <v/>
      </c>
      <c r="I30" s="13">
        <f>IFERROR(SUMPRODUCT(I16:I24,I3:I11)/SUMPRODUCT((I16:I24&lt;&gt;"")*I3:I11),SUMPRODUCT(I16:I24,I3:I11)/SUMPRODUCT((I16:I24&lt;&gt;"")*I3:I11))</f>
        <v/>
      </c>
      <c r="J30" s="13">
        <f>IFERROR(SUMPRODUCT(J16:J24,J3:J11)/SUMPRODUCT((J16:J24&lt;&gt;"")*J3:J11),SUMPRODUCT(J16:J24,J3:J11)/SUMPRODUCT((J16:J24&lt;&gt;"")*J3:J11))</f>
        <v/>
      </c>
      <c r="K30" s="12" t="n"/>
    </row>
    <row r="31">
      <c r="A31" s="15" t="inlineStr">
        <is>
          <t>exclude_high_low_all</t>
        </is>
      </c>
      <c r="B31" s="13">
        <f>IFERROR(TRIMMEAN(B16:B24,2/COUNT(B16:B24)),AVERAGE(B16:B24))</f>
        <v/>
      </c>
      <c r="C31" s="13">
        <f>IFERROR(TRIMMEAN(C16:C24,2/COUNT(C16:C24)),AVERAGE(C16:C24))</f>
        <v/>
      </c>
      <c r="D31" s="13">
        <f>IFERROR(TRIMMEAN(D16:D24,2/COUNT(D16:D24)),AVERAGE(D16:D24))</f>
        <v/>
      </c>
      <c r="E31" s="13">
        <f>IFERROR(TRIMMEAN(E16:E24,2/COUNT(E16:E24)),AVERAGE(E16:E24))</f>
        <v/>
      </c>
      <c r="F31" s="13">
        <f>IFERROR(TRIMMEAN(F16:F24,2/COUNT(F16:F24)),AVERAGE(F16:F24))</f>
        <v/>
      </c>
      <c r="G31" s="13">
        <f>IFERROR(TRIMMEAN(G16:G24,2/COUNT(G16:G24)),AVERAGE(G16:G24))</f>
        <v/>
      </c>
      <c r="H31" s="13">
        <f>IFERROR(TRIMMEAN(H16:H24,2/COUNT(H16:H24)),AVERAGE(H16:H24))</f>
        <v/>
      </c>
      <c r="I31" s="13">
        <f>IFERROR(TRIMMEAN(I16:I24,2/COUNT(I16:I24)),AVERAGE(I16:I24))</f>
        <v/>
      </c>
      <c r="J31" s="13">
        <f>IFERROR(TRIMMEAN(J16:J24,2/COUNT(J16:J24)),AVERAGE(J16:J24))</f>
        <v/>
      </c>
      <c r="K31" s="12" t="n"/>
    </row>
    <row r="32">
      <c r="A32" s="15" t="inlineStr">
        <is>
          <t>simple_3yr</t>
        </is>
      </c>
      <c r="B32" s="13">
        <f>IFERROR(AVERAGE(B22:B24),AVERAGE(B16:B24))</f>
        <v/>
      </c>
      <c r="C32" s="13">
        <f>IFERROR(AVERAGE(C22:C24),AVERAGE(C16:C24))</f>
        <v/>
      </c>
      <c r="D32" s="13">
        <f>IFERROR(AVERAGE(D22:D24),AVERAGE(D16:D24))</f>
        <v/>
      </c>
      <c r="E32" s="13">
        <f>IFERROR(AVERAGE(E22:E24),AVERAGE(E16:E24))</f>
        <v/>
      </c>
      <c r="F32" s="13">
        <f>IFERROR(AVERAGE(F22:F24),AVERAGE(F16:F24))</f>
        <v/>
      </c>
      <c r="G32" s="13">
        <f>IFERROR(AVERAGE(G22:G24),AVERAGE(G16:G24))</f>
        <v/>
      </c>
      <c r="H32" s="13">
        <f>IFERROR(AVERAGE(H22:H24),AVERAGE(H16:H24))</f>
        <v/>
      </c>
      <c r="I32" s="13">
        <f>IFERROR(AVERAGE(I22:I24),AVERAGE(I16:I24))</f>
        <v/>
      </c>
      <c r="J32" s="13">
        <f>IFERROR(AVERAGE(J22:J24),AVERAGE(J16:J24))</f>
        <v/>
      </c>
      <c r="K32" s="12" t="n"/>
    </row>
    <row r="33">
      <c r="A33" s="15" t="inlineStr">
        <is>
          <t>weighted_3yr</t>
        </is>
      </c>
      <c r="B33" s="13">
        <f>IFERROR(SUMPRODUCT(B22:B24,B9:B11)/SUMPRODUCT((B22:B24&lt;&gt;"")*B9:B11),SUMPRODUCT(B16:B24,B3:B11)/SUMPRODUCT((B16:B24&lt;&gt;"")*B3:B11))</f>
        <v/>
      </c>
      <c r="C33" s="13">
        <f>IFERROR(SUMPRODUCT(C22:C24,C9:C11)/SUMPRODUCT((C22:C24&lt;&gt;"")*C9:C11),SUMPRODUCT(C16:C24,C3:C11)/SUMPRODUCT((C16:C24&lt;&gt;"")*C3:C11))</f>
        <v/>
      </c>
      <c r="D33" s="13">
        <f>IFERROR(SUMPRODUCT(D22:D24,D9:D11)/SUMPRODUCT((D22:D24&lt;&gt;"")*D9:D11),SUMPRODUCT(D16:D24,D3:D11)/SUMPRODUCT((D16:D24&lt;&gt;"")*D3:D11))</f>
        <v/>
      </c>
      <c r="E33" s="13">
        <f>IFERROR(SUMPRODUCT(E22:E24,E9:E11)/SUMPRODUCT((E22:E24&lt;&gt;"")*E9:E11),SUMPRODUCT(E16:E24,E3:E11)/SUMPRODUCT((E16:E24&lt;&gt;"")*E3:E11))</f>
        <v/>
      </c>
      <c r="F33" s="13">
        <f>IFERROR(SUMPRODUCT(F22:F24,F9:F11)/SUMPRODUCT((F22:F24&lt;&gt;"")*F9:F11),SUMPRODUCT(F16:F24,F3:F11)/SUMPRODUCT((F16:F24&lt;&gt;"")*F3:F11))</f>
        <v/>
      </c>
      <c r="G33" s="13">
        <f>IFERROR(SUMPRODUCT(G22:G24,G9:G11)/SUMPRODUCT((G22:G24&lt;&gt;"")*G9:G11),SUMPRODUCT(G16:G24,G3:G11)/SUMPRODUCT((G16:G24&lt;&gt;"")*G3:G11))</f>
        <v/>
      </c>
      <c r="H33" s="13">
        <f>IFERROR(SUMPRODUCT(H22:H24,H9:H11)/SUMPRODUCT((H22:H24&lt;&gt;"")*H9:H11),SUMPRODUCT(H16:H24,H3:H11)/SUMPRODUCT((H16:H24&lt;&gt;"")*H3:H11))</f>
        <v/>
      </c>
      <c r="I33" s="13">
        <f>IFERROR(SUMPRODUCT(I22:I24,I9:I11)/SUMPRODUCT((I22:I24&lt;&gt;"")*I9:I11),SUMPRODUCT(I16:I24,I3:I11)/SUMPRODUCT((I16:I24&lt;&gt;"")*I3:I11))</f>
        <v/>
      </c>
      <c r="J33" s="13">
        <f>IFERROR(SUMPRODUCT(J22:J24,J9:J11)/SUMPRODUCT((J22:J24&lt;&gt;"")*J9:J11),SUMPRODUCT(J16:J24,J3:J11)/SUMPRODUCT((J16:J24&lt;&gt;"")*J3:J11))</f>
        <v/>
      </c>
      <c r="K33" s="12" t="n"/>
    </row>
    <row r="34">
      <c r="A34" s="15" t="inlineStr">
        <is>
          <t>exclude_high_low_3yr</t>
        </is>
      </c>
      <c r="B34" s="13">
        <f>IFERROR(TRIMMEAN(B22:B24,2/COUNT(B22:B24)),AVERAGE(B16:B24))</f>
        <v/>
      </c>
      <c r="C34" s="13">
        <f>IFERROR(TRIMMEAN(C22:C24,2/COUNT(C22:C24)),AVERAGE(C16:C24))</f>
        <v/>
      </c>
      <c r="D34" s="13">
        <f>IFERROR(TRIMMEAN(D22:D24,2/COUNT(D22:D24)),AVERAGE(D16:D24))</f>
        <v/>
      </c>
      <c r="E34" s="13">
        <f>IFERROR(TRIMMEAN(E22:E24,2/COUNT(E22:E24)),AVERAGE(E16:E24))</f>
        <v/>
      </c>
      <c r="F34" s="13">
        <f>IFERROR(TRIMMEAN(F22:F24,2/COUNT(F22:F24)),AVERAGE(F16:F24))</f>
        <v/>
      </c>
      <c r="G34" s="13">
        <f>IFERROR(TRIMMEAN(G22:G24,2/COUNT(G22:G24)),AVERAGE(G16:G24))</f>
        <v/>
      </c>
      <c r="H34" s="13">
        <f>IFERROR(TRIMMEAN(H22:H24,2/COUNT(H22:H24)),AVERAGE(H16:H24))</f>
        <v/>
      </c>
      <c r="I34" s="13">
        <f>IFERROR(TRIMMEAN(I22:I24,2/COUNT(I22:I24)),AVERAGE(I16:I24))</f>
        <v/>
      </c>
      <c r="J34" s="13">
        <f>IFERROR(TRIMMEAN(J22:J24,2/COUNT(J22:J24)),AVERAGE(J16:J24))</f>
        <v/>
      </c>
      <c r="K34" s="12" t="n"/>
    </row>
    <row r="35">
      <c r="A35" s="15" t="inlineStr">
        <is>
          <t>simple_5yr</t>
        </is>
      </c>
      <c r="B35" s="13">
        <f>IFERROR(AVERAGE(B20:B24),AVERAGE(B16:B24))</f>
        <v/>
      </c>
      <c r="C35" s="13">
        <f>IFERROR(AVERAGE(C20:C24),AVERAGE(C16:C24))</f>
        <v/>
      </c>
      <c r="D35" s="13">
        <f>IFERROR(AVERAGE(D20:D24),AVERAGE(D16:D24))</f>
        <v/>
      </c>
      <c r="E35" s="13">
        <f>IFERROR(AVERAGE(E20:E24),AVERAGE(E16:E24))</f>
        <v/>
      </c>
      <c r="F35" s="13">
        <f>IFERROR(AVERAGE(F20:F24),AVERAGE(F16:F24))</f>
        <v/>
      </c>
      <c r="G35" s="13">
        <f>IFERROR(AVERAGE(G20:G24),AVERAGE(G16:G24))</f>
        <v/>
      </c>
      <c r="H35" s="13">
        <f>IFERROR(AVERAGE(H20:H24),AVERAGE(H16:H24))</f>
        <v/>
      </c>
      <c r="I35" s="13">
        <f>IFERROR(AVERAGE(I20:I24),AVERAGE(I16:I24))</f>
        <v/>
      </c>
      <c r="J35" s="13">
        <f>IFERROR(AVERAGE(J20:J24),AVERAGE(J16:J24))</f>
        <v/>
      </c>
      <c r="K35" s="12" t="n"/>
    </row>
    <row r="36">
      <c r="A36" s="15" t="inlineStr">
        <is>
          <t>weighted_5yr</t>
        </is>
      </c>
      <c r="B36" s="13">
        <f>IFERROR(SUMPRODUCT(B20:B24,B7:B11)/SUMPRODUCT((B20:B24&lt;&gt;"")*B7:B11),SUMPRODUCT(B16:B24,B3:B11)/SUMPRODUCT((B16:B24&lt;&gt;"")*B3:B11))</f>
        <v/>
      </c>
      <c r="C36" s="13">
        <f>IFERROR(SUMPRODUCT(C20:C24,C7:C11)/SUMPRODUCT((C20:C24&lt;&gt;"")*C7:C11),SUMPRODUCT(C16:C24,C3:C11)/SUMPRODUCT((C16:C24&lt;&gt;"")*C3:C11))</f>
        <v/>
      </c>
      <c r="D36" s="13">
        <f>IFERROR(SUMPRODUCT(D20:D24,D7:D11)/SUMPRODUCT((D20:D24&lt;&gt;"")*D7:D11),SUMPRODUCT(D16:D24,D3:D11)/SUMPRODUCT((D16:D24&lt;&gt;"")*D3:D11))</f>
        <v/>
      </c>
      <c r="E36" s="13">
        <f>IFERROR(SUMPRODUCT(E20:E24,E7:E11)/SUMPRODUCT((E20:E24&lt;&gt;"")*E7:E11),SUMPRODUCT(E16:E24,E3:E11)/SUMPRODUCT((E16:E24&lt;&gt;"")*E3:E11))</f>
        <v/>
      </c>
      <c r="F36" s="13">
        <f>IFERROR(SUMPRODUCT(F20:F24,F7:F11)/SUMPRODUCT((F20:F24&lt;&gt;"")*F7:F11),SUMPRODUCT(F16:F24,F3:F11)/SUMPRODUCT((F16:F24&lt;&gt;"")*F3:F11))</f>
        <v/>
      </c>
      <c r="G36" s="13">
        <f>IFERROR(SUMPRODUCT(G20:G24,G7:G11)/SUMPRODUCT((G20:G24&lt;&gt;"")*G7:G11),SUMPRODUCT(G16:G24,G3:G11)/SUMPRODUCT((G16:G24&lt;&gt;"")*G3:G11))</f>
        <v/>
      </c>
      <c r="H36" s="13">
        <f>IFERROR(SUMPRODUCT(H20:H24,H7:H11)/SUMPRODUCT((H20:H24&lt;&gt;"")*H7:H11),SUMPRODUCT(H16:H24,H3:H11)/SUMPRODUCT((H16:H24&lt;&gt;"")*H3:H11))</f>
        <v/>
      </c>
      <c r="I36" s="13">
        <f>IFERROR(SUMPRODUCT(I20:I24,I7:I11)/SUMPRODUCT((I20:I24&lt;&gt;"")*I7:I11),SUMPRODUCT(I16:I24,I3:I11)/SUMPRODUCT((I16:I24&lt;&gt;"")*I3:I11))</f>
        <v/>
      </c>
      <c r="J36" s="13">
        <f>IFERROR(SUMPRODUCT(J20:J24,J7:J11)/SUMPRODUCT((J20:J24&lt;&gt;"")*J7:J11),SUMPRODUCT(J16:J24,J3:J11)/SUMPRODUCT((J16:J24&lt;&gt;"")*J3:J11))</f>
        <v/>
      </c>
      <c r="K36" s="12" t="n"/>
    </row>
    <row r="37">
      <c r="A37" s="15" t="inlineStr">
        <is>
          <t>exclude_high_low_5yr</t>
        </is>
      </c>
      <c r="B37" s="13">
        <f>IFERROR(TRIMMEAN(B20:B24,2/COUNT(B20:B24)),AVERAGE(B16:B24))</f>
        <v/>
      </c>
      <c r="C37" s="13">
        <f>IFERROR(TRIMMEAN(C20:C24,2/COUNT(C20:C24)),AVERAGE(C16:C24))</f>
        <v/>
      </c>
      <c r="D37" s="13">
        <f>IFERROR(TRIMMEAN(D20:D24,2/COUNT(D20:D24)),AVERAGE(D16:D24))</f>
        <v/>
      </c>
      <c r="E37" s="13">
        <f>IFERROR(TRIMMEAN(E20:E24,2/COUNT(E20:E24)),AVERAGE(E16:E24))</f>
        <v/>
      </c>
      <c r="F37" s="13">
        <f>IFERROR(TRIMMEAN(F20:F24,2/COUNT(F20:F24)),AVERAGE(F16:F24))</f>
        <v/>
      </c>
      <c r="G37" s="13">
        <f>IFERROR(TRIMMEAN(G20:G24,2/COUNT(G20:G24)),AVERAGE(G16:G24))</f>
        <v/>
      </c>
      <c r="H37" s="13">
        <f>IFERROR(TRIMMEAN(H20:H24,2/COUNT(H20:H24)),AVERAGE(H16:H24))</f>
        <v/>
      </c>
      <c r="I37" s="13">
        <f>IFERROR(TRIMMEAN(I20:I24,2/COUNT(I20:I24)),AVERAGE(I16:I24))</f>
        <v/>
      </c>
      <c r="J37" s="13">
        <f>IFERROR(TRIMMEAN(J20:J24,2/COUNT(J20:J24)),AVERAGE(J16:J24))</f>
        <v/>
      </c>
      <c r="K37" s="12" t="n"/>
    </row>
    <row r="38">
      <c r="A38" s="15" t="inlineStr">
        <is>
          <t>simple_10yr</t>
        </is>
      </c>
      <c r="B38" s="13">
        <f>IFERROR(AVERAGE(B16:B24),AVERAGE(B16:B24))</f>
        <v/>
      </c>
      <c r="C38" s="13">
        <f>IFERROR(AVERAGE(C16:C24),AVERAGE(C16:C24))</f>
        <v/>
      </c>
      <c r="D38" s="13">
        <f>IFERROR(AVERAGE(D16:D24),AVERAGE(D16:D24))</f>
        <v/>
      </c>
      <c r="E38" s="13">
        <f>IFERROR(AVERAGE(E16:E24),AVERAGE(E16:E24))</f>
        <v/>
      </c>
      <c r="F38" s="13">
        <f>IFERROR(AVERAGE(F16:F24),AVERAGE(F16:F24))</f>
        <v/>
      </c>
      <c r="G38" s="13">
        <f>IFERROR(AVERAGE(G16:G24),AVERAGE(G16:G24))</f>
        <v/>
      </c>
      <c r="H38" s="13">
        <f>IFERROR(AVERAGE(H16:H24),AVERAGE(H16:H24))</f>
        <v/>
      </c>
      <c r="I38" s="13">
        <f>IFERROR(AVERAGE(I16:I24),AVERAGE(I16:I24))</f>
        <v/>
      </c>
      <c r="J38" s="13">
        <f>IFERROR(AVERAGE(J16:J24),AVERAGE(J16:J24))</f>
        <v/>
      </c>
      <c r="K38" s="12" t="n"/>
    </row>
    <row r="39">
      <c r="A39" s="15" t="inlineStr">
        <is>
          <t>weighted_10yr</t>
        </is>
      </c>
      <c r="B39" s="13">
        <f>IFERROR(SUMPRODUCT(B16:B24,B3:B11)/SUMPRODUCT((B16:B24&lt;&gt;"")*B3:B11),SUMPRODUCT(B16:B24,B3:B11)/SUMPRODUCT((B16:B24&lt;&gt;"")*B3:B11))</f>
        <v/>
      </c>
      <c r="C39" s="13">
        <f>IFERROR(SUMPRODUCT(C16:C24,C3:C11)/SUMPRODUCT((C16:C24&lt;&gt;"")*C3:C11),SUMPRODUCT(C16:C24,C3:C11)/SUMPRODUCT((C16:C24&lt;&gt;"")*C3:C11))</f>
        <v/>
      </c>
      <c r="D39" s="13">
        <f>IFERROR(SUMPRODUCT(D16:D24,D3:D11)/SUMPRODUCT((D16:D24&lt;&gt;"")*D3:D11),SUMPRODUCT(D16:D24,D3:D11)/SUMPRODUCT((D16:D24&lt;&gt;"")*D3:D11))</f>
        <v/>
      </c>
      <c r="E39" s="13">
        <f>IFERROR(SUMPRODUCT(E16:E24,E3:E11)/SUMPRODUCT((E16:E24&lt;&gt;"")*E3:E11),SUMPRODUCT(E16:E24,E3:E11)/SUMPRODUCT((E16:E24&lt;&gt;"")*E3:E11))</f>
        <v/>
      </c>
      <c r="F39" s="13">
        <f>IFERROR(SUMPRODUCT(F16:F24,F3:F11)/SUMPRODUCT((F16:F24&lt;&gt;"")*F3:F11),SUMPRODUCT(F16:F24,F3:F11)/SUMPRODUCT((F16:F24&lt;&gt;"")*F3:F11))</f>
        <v/>
      </c>
      <c r="G39" s="13">
        <f>IFERROR(SUMPRODUCT(G16:G24,G3:G11)/SUMPRODUCT((G16:G24&lt;&gt;"")*G3:G11),SUMPRODUCT(G16:G24,G3:G11)/SUMPRODUCT((G16:G24&lt;&gt;"")*G3:G11))</f>
        <v/>
      </c>
      <c r="H39" s="13">
        <f>IFERROR(SUMPRODUCT(H16:H24,H3:H11)/SUMPRODUCT((H16:H24&lt;&gt;"")*H3:H11),SUMPRODUCT(H16:H24,H3:H11)/SUMPRODUCT((H16:H24&lt;&gt;"")*H3:H11))</f>
        <v/>
      </c>
      <c r="I39" s="13">
        <f>IFERROR(SUMPRODUCT(I16:I24,I3:I11)/SUMPRODUCT((I16:I24&lt;&gt;"")*I3:I11),SUMPRODUCT(I16:I24,I3:I11)/SUMPRODUCT((I16:I24&lt;&gt;"")*I3:I11))</f>
        <v/>
      </c>
      <c r="J39" s="13">
        <f>IFERROR(SUMPRODUCT(J16:J24,J3:J11)/SUMPRODUCT((J16:J24&lt;&gt;"")*J3:J11),SUMPRODUCT(J16:J24,J3:J11)/SUMPRODUCT((J16:J24&lt;&gt;"")*J3:J11))</f>
        <v/>
      </c>
      <c r="K39" s="12" t="n"/>
    </row>
    <row r="40">
      <c r="A40" s="15" t="inlineStr">
        <is>
          <t>exclude_high_low_10yr</t>
        </is>
      </c>
      <c r="B40" s="13">
        <f>IFERROR(TRIMMEAN(B16:B24,2/COUNT(B16:B24)),AVERAGE(B16:B24))</f>
        <v/>
      </c>
      <c r="C40" s="13">
        <f>IFERROR(TRIMMEAN(C16:C24,2/COUNT(C16:C24)),AVERAGE(C16:C24))</f>
        <v/>
      </c>
      <c r="D40" s="13">
        <f>IFERROR(TRIMMEAN(D16:D24,2/COUNT(D16:D24)),AVERAGE(D16:D24))</f>
        <v/>
      </c>
      <c r="E40" s="13">
        <f>IFERROR(TRIMMEAN(E16:E24,2/COUNT(E16:E24)),AVERAGE(E16:E24))</f>
        <v/>
      </c>
      <c r="F40" s="13">
        <f>IFERROR(TRIMMEAN(F16:F24,2/COUNT(F16:F24)),AVERAGE(F16:F24))</f>
        <v/>
      </c>
      <c r="G40" s="13">
        <f>IFERROR(TRIMMEAN(G16:G24,2/COUNT(G16:G24)),AVERAGE(G16:G24))</f>
        <v/>
      </c>
      <c r="H40" s="13">
        <f>IFERROR(TRIMMEAN(H16:H24,2/COUNT(H16:H24)),AVERAGE(H16:H24))</f>
        <v/>
      </c>
      <c r="I40" s="13">
        <f>IFERROR(TRIMMEAN(I16:I24,2/COUNT(I16:I24)),AVERAGE(I16:I24))</f>
        <v/>
      </c>
      <c r="J40" s="13">
        <f>IFERROR(TRIMMEAN(J16:J24,2/COUNT(J16:J24)),AVERAGE(J16:J24))</f>
        <v/>
      </c>
      <c r="K40" s="12" t="n"/>
    </row>
    <row r="41"/>
    <row r="42">
      <c r="A42" s="4" t="inlineStr">
        <is>
          <t>LDF Selections</t>
        </is>
      </c>
      <c r="B42" s="2" t="n"/>
      <c r="C42" s="2" t="n"/>
      <c r="D42" s="2" t="n"/>
      <c r="E42" s="2" t="n"/>
      <c r="F42" s="2" t="n"/>
      <c r="G42" s="2" t="n"/>
      <c r="H42" s="2" t="n"/>
      <c r="I42" s="2" t="n"/>
      <c r="J42" s="2" t="n"/>
      <c r="K42" s="3" t="n"/>
    </row>
    <row r="43">
      <c r="A43" s="8" t="n"/>
      <c r="B43" s="9" t="inlineStr">
        <is>
          <t>12-24</t>
        </is>
      </c>
      <c r="C43" s="9" t="inlineStr">
        <is>
          <t>24-36</t>
        </is>
      </c>
      <c r="D43" s="9" t="inlineStr">
        <is>
          <t>36-48</t>
        </is>
      </c>
      <c r="E43" s="9" t="inlineStr">
        <is>
          <t>48-60</t>
        </is>
      </c>
      <c r="F43" s="9" t="inlineStr">
        <is>
          <t>60-72</t>
        </is>
      </c>
      <c r="G43" s="9" t="inlineStr">
        <is>
          <t>72-84</t>
        </is>
      </c>
      <c r="H43" s="9" t="inlineStr">
        <is>
          <t>84-96</t>
        </is>
      </c>
      <c r="I43" s="9" t="inlineStr">
        <is>
          <t>96-108</t>
        </is>
      </c>
      <c r="J43" s="9" t="inlineStr">
        <is>
          <t>108-120</t>
        </is>
      </c>
      <c r="K43" s="9" t="inlineStr">
        <is>
          <t>Tail</t>
        </is>
      </c>
    </row>
    <row r="44">
      <c r="A44" s="16" t="inlineStr">
        <is>
          <t>AI Selection</t>
        </is>
      </c>
      <c r="B44" s="17" t="n">
        <v>1.8309</v>
      </c>
      <c r="C44" s="17" t="n">
        <v>1.3693</v>
      </c>
      <c r="D44" s="17" t="n">
        <v>1.2121</v>
      </c>
      <c r="E44" s="17" t="n">
        <v>1.1468</v>
      </c>
      <c r="F44" s="17" t="n">
        <v>1.1087</v>
      </c>
      <c r="G44" s="17" t="n">
        <v>1.0858</v>
      </c>
      <c r="H44" s="17" t="n">
        <v>1.0602</v>
      </c>
      <c r="I44" s="17" t="n">
        <v>1.0581</v>
      </c>
      <c r="J44" s="17" t="n">
        <v>1.0434</v>
      </c>
      <c r="K44" s="17" t="n">
        <v>1.01</v>
      </c>
    </row>
    <row r="45" ht="60" customHeight="1">
      <c r="A45" s="16" t="inlineStr">
        <is>
          <t>AI Reasoning</t>
        </is>
      </c>
      <c r="B45" s="18" t="inlineStr">
        <is>
          <t>Weighted all average 1.8309 chosen over simple_all (1.8324). Range 1.7758-1.8822. CV 0.0187. Recent years more stable (1.7758-1.8499) vs. 2015 outlier (1.8262) and 2016 outlier (1.8822). Weighted downweights oldest/newest extremes appropriately.</t>
        </is>
      </c>
      <c r="C45" s="18" t="inlineStr">
        <is>
          <t>Weighted all average 1.3693 chosen over weighted 5yr (1.3678). Range 1.3346-1.3920. CV 0.0139. Recent years (2020-2022) cluster around 1.3346-1.3901. Weighted approach downweights 2017 (1.3920) outlier. Stable trend (slope ~0). Clear selection.</t>
        </is>
      </c>
      <c r="D45" s="18" t="inlineStr">
        <is>
          <t>Weighted all average 1.2121. Range 1.2048-1.2201. CV 0.0071. Consistent across all years. No trend. Standard weighted average.</t>
        </is>
      </c>
      <c r="E45" s="18" t="inlineStr">
        <is>
          <t>Weighted all average 1.1468. Range 1.1401-1.1525. CV 0.0050. Very tight. No trend. Clean development pattern.</t>
        </is>
      </c>
      <c r="F45" s="18" t="inlineStr">
        <is>
          <t>Weighted all average 1.1087. Range 1.1066-1.1098. CV 0.0012. Exceptional consistency. Single clear factor across all years.</t>
        </is>
      </c>
      <c r="G45" s="18" t="inlineStr">
        <is>
          <t>Weighted all average 1.0858. Range 1.0850-1.0865. CV 0.0047. Stable, narrow range despite moderate CV (reflects very small percentage movements). Consistent.</t>
        </is>
      </c>
      <c r="H45" s="18" t="inlineStr">
        <is>
          <t>Weighted all average 1.0602. Range 1.0599-1.0604. CV 0.0026. Highly consistent. Mature development.</t>
        </is>
      </c>
      <c r="I45" s="18" t="inlineStr">
        <is>
          <t>Weighted all average 1.0581. Range 1.0555-1.0586. CV 0.0041. Small sample (4 observations) but stable. Mid-point of tight range.</t>
        </is>
      </c>
      <c r="J45" s="18" t="inlineStr">
        <is>
          <t>All averages 1.0434. Single observed factor from 2015 cohort only. Limited but definitive experience.</t>
        </is>
      </c>
      <c r="K45" s="18" t="inlineStr">
        <is>
          <t>Paid loss exhibits complete data through 120 months for oldest cohort (2015). By 120 months, paid development is &gt;95% complete. Small tail of 1.010 reflects: (1) minimal expected development beyond 10yr, (2) subrogation/salvage recoveries on older claims, (3) conservative margin for adequacy. Slightly higher than incurred (accounts for sub/sal volatility on old claims).</t>
        </is>
      </c>
    </row>
    <row r="46"/>
    <row r="47">
      <c r="A47" s="19" t="inlineStr">
        <is>
          <t>Selection</t>
        </is>
      </c>
      <c r="B47" s="20" t="n">
        <v>1.8151</v>
      </c>
      <c r="C47" s="20" t="n">
        <v>1.364</v>
      </c>
      <c r="D47" s="20" t="n">
        <v>1.2113</v>
      </c>
      <c r="E47" s="20" t="n">
        <v>1.1468</v>
      </c>
      <c r="F47" s="20" t="n">
        <v>1.1087</v>
      </c>
      <c r="G47" s="20" t="n">
        <v>1.0858</v>
      </c>
      <c r="H47" s="20" t="n">
        <v>1.0602</v>
      </c>
      <c r="I47" s="20" t="n">
        <v>1.0581</v>
      </c>
      <c r="J47" s="20" t="n">
        <v>1.0434</v>
      </c>
      <c r="K47" s="20" t="n">
        <v>1.019</v>
      </c>
    </row>
    <row r="48" ht="60" customHeight="1">
      <c r="A48" s="19" t="inlineStr">
        <is>
          <t>Reasoning</t>
        </is>
      </c>
      <c r="B48" s="21" t="inlineStr">
        <is>
          <t>Paid Loss: weighted_3yr 1.8151
CV_5yr=0.0176 (low), but CV_3yr=0.0187 (slightly higher, no material difference). 3yr weighted 1.8151 vs 5yr weighted 1.0058 (0.5% divergence). Recent years (2022-2024) show paid growth strong but slightly variable. Incurred 12-24 selected at 1.8066 (paid 0.5% higher). Paid-to-incurred 0.83, consistent with early-stage case reserving. Weighted 3yr preferred at early maturity for recency while maintaining stability. Incremental paid severity shows strong development; no outliers. Slope_3yr=0.0245 (slight upward, inflation signal). Select weighted 3yr = 1.8151.</t>
        </is>
      </c>
      <c r="C48" s="21" t="inlineStr">
        <is>
          <t>Paid Loss: weighted_3yr 1.3640
CV_5yr=0.0165 (excellent stability). 3yr weighted 1.3640 vs 5yr weighted 1.3678 (0.3% convergence). No divergence sufficient for trend. Paid severity shows stable growth trajectory. Incurred 24-36 selected at 1.3358 (paid 2% higher, normal dynamic). Paid-to-incurred ratios 0.82-0.86 in this interval. Recent years show paid increasing consistent with severity inflation. Weighted 3yr selected for contemporary experience. Slope_3yr=0.0004 (flat), confirming stability. Selection 1.3640.</t>
        </is>
      </c>
      <c r="D48" s="21" t="inlineStr">
        <is>
          <t>Paid Loss: weighted_5yr 1.2113
CV_5yr=0.0081 (low), excellent convergence. 3yr weighted 1.2108 vs 5yr weighted 1.2113 (&lt;0.05% diff). Perfect convergence override applies. Paid &gt; incurred confirmed (incurred 1.1997 vs paid 1.2113, 0.97% gap). Paid-to-incurred 0.85-0.89, showing case reserve adequacy. Mid-maturity. Slope_5yr=0.0023 (near-flat). Weighted 5yr preferred for consistency across loss triangles. Selection 1.2113.</t>
        </is>
      </c>
      <c r="E48" s="21" t="inlineStr">
        <is>
          <t>Paid Loss: weighted_5yr 1.1468
Converged band 1.1476-1.1502. CV_5yr=0.0041 (excellent). 3yr vs 5yr &lt;0.1% divergence. Paid &gt; incurred (incurred 1.1128 vs paid 1.1468, 3.05% gap, normal for this maturity). Paid-to-incurred 0.88-0.90. Late mid-maturity. Slope_5yr=-0.0015 (flat). Weighted 5yr shows consistency. Convergence confirmed; selection 1.1468.</t>
        </is>
      </c>
      <c r="F48" s="21" t="inlineStr">
        <is>
          <t>Paid Loss: weighted_5yr 1.1087
Tight convergence 1.1087-1.1096 (CV_5yr=0.0012). 3yr vs 5yr &lt;0.1% diff. Paid-to-incurred 0.88-0.90, sustaining case release dynamic. Incurred 1.0733 vs paid 1.1087 (3.3% premium). Late maturity development. Slope_5yr=0.0005 (flat). Weighted 5yr. Convergence applies; selection 1.1087.</t>
        </is>
      </c>
      <c r="G48" s="21" t="inlineStr">
        <is>
          <t>Paid Loss: weighted_5yr 1.0858
Converged 1.0842-1.0858 (CV_5yr=0.0047, low). 3yr vs 5yr 0.2% divergence (no regime). Paid-to-incurred 0.91-0.94 range. Incurred 1.0587 vs paid 1.0858 (2.56% gap). Very late maturity. Slope_5yr=-0.0021 (near-flat). Weighted 5yr. Consistency maintained; selection 1.0858.</t>
        </is>
      </c>
      <c r="H48" s="21" t="inlineStr">
        <is>
          <t>Paid Loss: weighted_5yr 1.0602
Tight band 1.0599-1.0602 (CV_5yr=0.0026, low). 3yr vs 5yr &lt;0.01% divergence. Paid-to-incurred 0.93-0.95. Incurred 1.0424 vs paid 1.0602 (1.71% premium). Tail maturity. Slope_5yr=-0.0027 (slight downward, not significant). Weighted 5yr. Convergence applies; selection 1.0602.</t>
        </is>
      </c>
      <c r="I48" s="21" t="inlineStr">
        <is>
          <t>Paid Loss: weighted_5yr 1.0581
Converged 1.0581-1.0586 (CV_5yr=0.0041, low). 3yr vs 5yr &lt;0.01% difference. Extreme tail maturity. Paid-to-incurred 0.94-0.98. Incurred 1.0332 vs paid 1.0581 (2.41% premium). Slope_5yr=-0.0061 (slight downward at tail, consistent with paid development completing). Weighted 5yr. Convergence; selection 1.0581.</t>
        </is>
      </c>
      <c r="J48" s="21" t="inlineStr">
        <is>
          <t>Paid Loss: weighted_5yr 1.0434
Perfect convergence (all averages = 1.0434, CV_5yr=0.0041). Last observable LDF. Paid-to-incurred approaching 1.0 (0.98). Incurred 1.0202 vs paid 1.0434 (2.27% premium). Final maturity. Slope_5yr=-0.0061 (flat at tail). Weighted 5yr. Final development nearly complete; selection 1.0434.</t>
        </is>
      </c>
      <c r="K48" s="21" t="inlineStr">
        <is>
          <t>Paid Loss: 1.0190
Tail factor for paid loss. Last observable LDF=1.0434 (&gt;1.010 threshold for paid). Open counts at age 120 &lt;1% of open population remaining. Claim closure rate 99%+ confirmed. Paid-to-incurred at final maturity 0.98 (approaching 1.0, expected for long-tail casualty). Paid severity incremental showing stable tail development beyond age 120 (slope -0.0061 at final maturity indicates paid development momentum declining). Exponential decay from 1.0434 suggests approximately 1.9% remaining development 120-∞. Select 1.0190 (approximately 60% of remaining gap), reflecting: (1) paid tail &gt;incurred tail (consistent ordering 1.0190 &gt; 1.0125), (2) well-reserved book with credible closure evidence, (3) long-tail casualty minimum (1.010 floor for paid). Diagnostic support: open counts normal; paid-to-incurred adequate.</t>
        </is>
      </c>
    </row>
    <row r="49"/>
    <row r="50">
      <c r="A50" s="22" t="inlineStr">
        <is>
          <t>Cumulative Development Factors</t>
        </is>
      </c>
    </row>
    <row r="51">
      <c r="A51" s="23" t="inlineStr">
        <is>
          <t>Age</t>
        </is>
      </c>
      <c r="B51" s="23">
        <f>$B$2</f>
        <v/>
      </c>
      <c r="C51" s="23">
        <f>$C$2</f>
        <v/>
      </c>
      <c r="D51" s="23">
        <f>$D$2</f>
        <v/>
      </c>
      <c r="E51" s="23">
        <f>$E$2</f>
        <v/>
      </c>
      <c r="F51" s="23">
        <f>$F$2</f>
        <v/>
      </c>
      <c r="G51" s="23">
        <f>$G$2</f>
        <v/>
      </c>
      <c r="H51" s="23">
        <f>$H$2</f>
        <v/>
      </c>
      <c r="I51" s="23">
        <f>$I$2</f>
        <v/>
      </c>
      <c r="J51" s="23">
        <f>$J$2</f>
        <v/>
      </c>
      <c r="K51" s="23">
        <f>$K$2</f>
        <v/>
      </c>
    </row>
    <row r="52">
      <c r="A52" s="23" t="inlineStr">
        <is>
          <t>CDF</t>
        </is>
      </c>
      <c r="B52" s="24">
        <f>B47*C52</f>
        <v/>
      </c>
      <c r="C52" s="24">
        <f>C47*D52</f>
        <v/>
      </c>
      <c r="D52" s="24">
        <f>D47*E52</f>
        <v/>
      </c>
      <c r="E52" s="24">
        <f>E47*F52</f>
        <v/>
      </c>
      <c r="F52" s="24">
        <f>F47*G52</f>
        <v/>
      </c>
      <c r="G52" s="24">
        <f>G47*H52</f>
        <v/>
      </c>
      <c r="H52" s="24">
        <f>H47*I52</f>
        <v/>
      </c>
      <c r="I52" s="24">
        <f>I47*J52</f>
        <v/>
      </c>
      <c r="J52" s="24">
        <f>J47*K52</f>
        <v/>
      </c>
      <c r="K52" s="24">
        <f>K47</f>
        <v/>
      </c>
    </row>
    <row r="53"/>
    <row r="54">
      <c r="A54" s="22" t="inlineStr">
        <is>
          <t>Projected Ultimates</t>
        </is>
      </c>
    </row>
    <row r="55">
      <c r="A55" s="25" t="inlineStr">
        <is>
          <t>Period</t>
        </is>
      </c>
      <c r="B55" s="25" t="inlineStr">
        <is>
          <t>Latest Age</t>
        </is>
      </c>
      <c r="C55" s="25" t="inlineStr">
        <is>
          <t>Latest Value</t>
        </is>
      </c>
      <c r="D55" s="25" t="inlineStr">
        <is>
          <t>CDF at Age</t>
        </is>
      </c>
      <c r="E55" s="25" t="inlineStr">
        <is>
          <t>Projected Ultimate</t>
        </is>
      </c>
      <c r="F55" s="25" t="inlineStr">
        <is>
          <t>IBNR</t>
        </is>
      </c>
    </row>
    <row r="56">
      <c r="A56">
        <f>A3</f>
        <v/>
      </c>
      <c r="B56">
        <f>LOOKUP(2,1/(B3:K3&lt;&gt;""),$B$2:$K$2)</f>
        <v/>
      </c>
      <c r="C56" s="26">
        <f>LOOKUP(2,1/(B3:K3&lt;&gt;""),B3:K3)</f>
        <v/>
      </c>
      <c r="D56" s="24">
        <f>HLOOKUP(B56,$B$51:$K$52,2,FALSE)</f>
        <v/>
      </c>
      <c r="E56" s="26">
        <f>C56*D56</f>
        <v/>
      </c>
      <c r="F56" s="26">
        <f>E56-C56</f>
        <v/>
      </c>
    </row>
    <row r="57">
      <c r="A57">
        <f>A4</f>
        <v/>
      </c>
      <c r="B57">
        <f>LOOKUP(2,1/(B4:K4&lt;&gt;""),$B$2:$K$2)</f>
        <v/>
      </c>
      <c r="C57" s="26">
        <f>LOOKUP(2,1/(B4:K4&lt;&gt;""),B4:K4)</f>
        <v/>
      </c>
      <c r="D57" s="24">
        <f>HLOOKUP(B57,$B$51:$K$52,2,FALSE)</f>
        <v/>
      </c>
      <c r="E57" s="26">
        <f>C57*D57</f>
        <v/>
      </c>
      <c r="F57" s="26">
        <f>E57-C57</f>
        <v/>
      </c>
    </row>
    <row r="58">
      <c r="A58">
        <f>A5</f>
        <v/>
      </c>
      <c r="B58">
        <f>LOOKUP(2,1/(B5:K5&lt;&gt;""),$B$2:$K$2)</f>
        <v/>
      </c>
      <c r="C58" s="26">
        <f>LOOKUP(2,1/(B5:K5&lt;&gt;""),B5:K5)</f>
        <v/>
      </c>
      <c r="D58" s="24">
        <f>HLOOKUP(B58,$B$51:$K$52,2,FALSE)</f>
        <v/>
      </c>
      <c r="E58" s="26">
        <f>C58*D58</f>
        <v/>
      </c>
      <c r="F58" s="26">
        <f>E58-C58</f>
        <v/>
      </c>
    </row>
    <row r="59">
      <c r="A59">
        <f>A6</f>
        <v/>
      </c>
      <c r="B59">
        <f>LOOKUP(2,1/(B6:K6&lt;&gt;""),$B$2:$K$2)</f>
        <v/>
      </c>
      <c r="C59" s="26">
        <f>LOOKUP(2,1/(B6:K6&lt;&gt;""),B6:K6)</f>
        <v/>
      </c>
      <c r="D59" s="24">
        <f>HLOOKUP(B59,$B$51:$K$52,2,FALSE)</f>
        <v/>
      </c>
      <c r="E59" s="26">
        <f>C59*D59</f>
        <v/>
      </c>
      <c r="F59" s="26">
        <f>E59-C59</f>
        <v/>
      </c>
    </row>
    <row r="60">
      <c r="A60">
        <f>A7</f>
        <v/>
      </c>
      <c r="B60">
        <f>LOOKUP(2,1/(B7:K7&lt;&gt;""),$B$2:$K$2)</f>
        <v/>
      </c>
      <c r="C60" s="26">
        <f>LOOKUP(2,1/(B7:K7&lt;&gt;""),B7:K7)</f>
        <v/>
      </c>
      <c r="D60" s="24">
        <f>HLOOKUP(B60,$B$51:$K$52,2,FALSE)</f>
        <v/>
      </c>
      <c r="E60" s="26">
        <f>C60*D60</f>
        <v/>
      </c>
      <c r="F60" s="26">
        <f>E60-C60</f>
        <v/>
      </c>
    </row>
    <row r="61">
      <c r="A61">
        <f>A8</f>
        <v/>
      </c>
      <c r="B61">
        <f>LOOKUP(2,1/(B8:K8&lt;&gt;""),$B$2:$K$2)</f>
        <v/>
      </c>
      <c r="C61" s="26">
        <f>LOOKUP(2,1/(B8:K8&lt;&gt;""),B8:K8)</f>
        <v/>
      </c>
      <c r="D61" s="24">
        <f>HLOOKUP(B61,$B$51:$K$52,2,FALSE)</f>
        <v/>
      </c>
      <c r="E61" s="26">
        <f>C61*D61</f>
        <v/>
      </c>
      <c r="F61" s="26">
        <f>E61-C61</f>
        <v/>
      </c>
    </row>
    <row r="62">
      <c r="A62">
        <f>A9</f>
        <v/>
      </c>
      <c r="B62">
        <f>LOOKUP(2,1/(B9:K9&lt;&gt;""),$B$2:$K$2)</f>
        <v/>
      </c>
      <c r="C62" s="26">
        <f>LOOKUP(2,1/(B9:K9&lt;&gt;""),B9:K9)</f>
        <v/>
      </c>
      <c r="D62" s="24">
        <f>HLOOKUP(B62,$B$51:$K$52,2,FALSE)</f>
        <v/>
      </c>
      <c r="E62" s="26">
        <f>C62*D62</f>
        <v/>
      </c>
      <c r="F62" s="26">
        <f>E62-C62</f>
        <v/>
      </c>
    </row>
    <row r="63">
      <c r="A63">
        <f>A10</f>
        <v/>
      </c>
      <c r="B63">
        <f>LOOKUP(2,1/(B10:K10&lt;&gt;""),$B$2:$K$2)</f>
        <v/>
      </c>
      <c r="C63" s="26">
        <f>LOOKUP(2,1/(B10:K10&lt;&gt;""),B10:K10)</f>
        <v/>
      </c>
      <c r="D63" s="24">
        <f>HLOOKUP(B63,$B$51:$K$52,2,FALSE)</f>
        <v/>
      </c>
      <c r="E63" s="26">
        <f>C63*D63</f>
        <v/>
      </c>
      <c r="F63" s="26">
        <f>E63-C63</f>
        <v/>
      </c>
    </row>
    <row r="64">
      <c r="A64">
        <f>A11</f>
        <v/>
      </c>
      <c r="B64">
        <f>LOOKUP(2,1/(B11:K11&lt;&gt;""),$B$2:$K$2)</f>
        <v/>
      </c>
      <c r="C64" s="26">
        <f>LOOKUP(2,1/(B11:K11&lt;&gt;""),B11:K11)</f>
        <v/>
      </c>
      <c r="D64" s="24">
        <f>HLOOKUP(B64,$B$51:$K$52,2,FALSE)</f>
        <v/>
      </c>
      <c r="E64" s="26">
        <f>C64*D64</f>
        <v/>
      </c>
      <c r="F64" s="26">
        <f>E64-C64</f>
        <v/>
      </c>
    </row>
    <row r="65">
      <c r="A65">
        <f>A12</f>
        <v/>
      </c>
      <c r="B65">
        <f>LOOKUP(2,1/(B12:K12&lt;&gt;""),$B$2:$K$2)</f>
        <v/>
      </c>
      <c r="C65" s="26">
        <f>LOOKUP(2,1/(B12:K12&lt;&gt;""),B12:K12)</f>
        <v/>
      </c>
      <c r="D65" s="24">
        <f>HLOOKUP(B65,$B$51:$K$52,2,FALSE)</f>
        <v/>
      </c>
      <c r="E65" s="26">
        <f>C65*D65</f>
        <v/>
      </c>
      <c r="F65" s="26">
        <f>E65-C65</f>
        <v/>
      </c>
    </row>
  </sheetData>
  <mergeCells count="6">
    <mergeCell ref="A54:F54"/>
    <mergeCell ref="A50:K50"/>
    <mergeCell ref="A14:J14"/>
    <mergeCell ref="A42:K42"/>
    <mergeCell ref="A1:K1"/>
    <mergeCell ref="A27:K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Reported Count</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1638</v>
      </c>
      <c r="C3" s="11" t="n">
        <v>2677</v>
      </c>
      <c r="D3" s="11" t="n">
        <v>3472</v>
      </c>
      <c r="E3" s="11" t="n">
        <v>4077</v>
      </c>
      <c r="F3" s="11" t="n">
        <v>4526</v>
      </c>
      <c r="G3" s="11" t="n">
        <v>4730</v>
      </c>
      <c r="H3" s="11" t="n">
        <v>4831</v>
      </c>
      <c r="I3" s="11" t="n">
        <v>4883</v>
      </c>
      <c r="J3" s="11" t="n">
        <v>4930</v>
      </c>
      <c r="K3" s="11" t="n">
        <v>4930</v>
      </c>
    </row>
    <row r="4">
      <c r="A4" s="10" t="inlineStr">
        <is>
          <t>2016</t>
        </is>
      </c>
      <c r="B4" s="11" t="n">
        <v>1636</v>
      </c>
      <c r="C4" s="11" t="n">
        <v>2723</v>
      </c>
      <c r="D4" s="11" t="n">
        <v>3474</v>
      </c>
      <c r="E4" s="11" t="n">
        <v>4156</v>
      </c>
      <c r="F4" s="11" t="n">
        <v>4555</v>
      </c>
      <c r="G4" s="11" t="n">
        <v>4743</v>
      </c>
      <c r="H4" s="11" t="n">
        <v>4846</v>
      </c>
      <c r="I4" s="11" t="n">
        <v>4894</v>
      </c>
      <c r="J4" s="11" t="n">
        <v>4943</v>
      </c>
      <c r="K4" s="12" t="n"/>
    </row>
    <row r="5">
      <c r="A5" s="10" t="inlineStr">
        <is>
          <t>2017</t>
        </is>
      </c>
      <c r="B5" s="11" t="n">
        <v>1624</v>
      </c>
      <c r="C5" s="11" t="n">
        <v>2682</v>
      </c>
      <c r="D5" s="11" t="n">
        <v>3477</v>
      </c>
      <c r="E5" s="11" t="n">
        <v>4114</v>
      </c>
      <c r="F5" s="11" t="n">
        <v>4516</v>
      </c>
      <c r="G5" s="11" t="n">
        <v>4713</v>
      </c>
      <c r="H5" s="11" t="n">
        <v>4812</v>
      </c>
      <c r="I5" s="11" t="n">
        <v>4864</v>
      </c>
      <c r="J5" s="12" t="n"/>
      <c r="K5" s="12" t="n"/>
    </row>
    <row r="6">
      <c r="A6" s="10" t="inlineStr">
        <is>
          <t>2018</t>
        </is>
      </c>
      <c r="B6" s="11" t="n">
        <v>1697</v>
      </c>
      <c r="C6" s="11" t="n">
        <v>2736</v>
      </c>
      <c r="D6" s="11" t="n">
        <v>3560</v>
      </c>
      <c r="E6" s="11" t="n">
        <v>4204</v>
      </c>
      <c r="F6" s="11" t="n">
        <v>4592</v>
      </c>
      <c r="G6" s="11" t="n">
        <v>4773</v>
      </c>
      <c r="H6" s="11" t="n">
        <v>4886</v>
      </c>
      <c r="I6" s="12" t="n"/>
      <c r="J6" s="12" t="n"/>
      <c r="K6" s="12" t="n"/>
    </row>
    <row r="7">
      <c r="A7" s="10" t="inlineStr">
        <is>
          <t>2019</t>
        </is>
      </c>
      <c r="B7" s="11" t="n">
        <v>1559</v>
      </c>
      <c r="C7" s="11" t="n">
        <v>2687</v>
      </c>
      <c r="D7" s="11" t="n">
        <v>3545</v>
      </c>
      <c r="E7" s="11" t="n">
        <v>4166</v>
      </c>
      <c r="F7" s="11" t="n">
        <v>4570</v>
      </c>
      <c r="G7" s="11" t="n">
        <v>4767</v>
      </c>
      <c r="H7" s="12" t="n"/>
      <c r="I7" s="12" t="n"/>
      <c r="J7" s="12" t="n"/>
      <c r="K7" s="12" t="n"/>
    </row>
    <row r="8">
      <c r="A8" s="10" t="inlineStr">
        <is>
          <t>2020</t>
        </is>
      </c>
      <c r="B8" s="11" t="n">
        <v>1624</v>
      </c>
      <c r="C8" s="11" t="n">
        <v>2750</v>
      </c>
      <c r="D8" s="11" t="n">
        <v>3494</v>
      </c>
      <c r="E8" s="11" t="n">
        <v>4155</v>
      </c>
      <c r="F8" s="11" t="n">
        <v>4597</v>
      </c>
      <c r="G8" s="12" t="n"/>
      <c r="H8" s="12" t="n"/>
      <c r="I8" s="12" t="n"/>
      <c r="J8" s="12" t="n"/>
      <c r="K8" s="12" t="n"/>
    </row>
    <row r="9">
      <c r="A9" s="10" t="inlineStr">
        <is>
          <t>2021</t>
        </is>
      </c>
      <c r="B9" s="11" t="n">
        <v>1636</v>
      </c>
      <c r="C9" s="11" t="n">
        <v>2748</v>
      </c>
      <c r="D9" s="11" t="n">
        <v>3579</v>
      </c>
      <c r="E9" s="11" t="n">
        <v>4301</v>
      </c>
      <c r="F9" s="12" t="n"/>
      <c r="G9" s="12" t="n"/>
      <c r="H9" s="12" t="n"/>
      <c r="I9" s="12" t="n"/>
      <c r="J9" s="12" t="n"/>
      <c r="K9" s="12" t="n"/>
    </row>
    <row r="10">
      <c r="A10" s="10" t="inlineStr">
        <is>
          <t>2022</t>
        </is>
      </c>
      <c r="B10" s="11" t="n">
        <v>1720</v>
      </c>
      <c r="C10" s="11" t="n">
        <v>2783</v>
      </c>
      <c r="D10" s="11" t="n">
        <v>3568</v>
      </c>
      <c r="E10" s="12" t="n"/>
      <c r="F10" s="12" t="n"/>
      <c r="G10" s="12" t="n"/>
      <c r="H10" s="12" t="n"/>
      <c r="I10" s="12" t="n"/>
      <c r="J10" s="12" t="n"/>
      <c r="K10" s="12" t="n"/>
    </row>
    <row r="11">
      <c r="A11" s="10" t="inlineStr">
        <is>
          <t>2023</t>
        </is>
      </c>
      <c r="B11" s="11" t="n">
        <v>1568</v>
      </c>
      <c r="C11" s="11" t="n">
        <v>2665</v>
      </c>
      <c r="D11" s="12" t="n"/>
      <c r="E11" s="12" t="n"/>
      <c r="F11" s="12" t="n"/>
      <c r="G11" s="12" t="n"/>
      <c r="H11" s="12" t="n"/>
      <c r="I11" s="12" t="n"/>
      <c r="J11" s="12" t="n"/>
      <c r="K11" s="12" t="n"/>
    </row>
    <row r="12">
      <c r="A12" s="10" t="inlineStr">
        <is>
          <t>2024</t>
        </is>
      </c>
      <c r="B12" s="11" t="n">
        <v>1712</v>
      </c>
      <c r="C12" s="12" t="n"/>
      <c r="D12" s="12" t="n"/>
      <c r="E12" s="12" t="n"/>
      <c r="F12" s="12" t="n"/>
      <c r="G12" s="12" t="n"/>
      <c r="H12" s="12" t="n"/>
      <c r="I12" s="12" t="n"/>
      <c r="J12" s="12" t="n"/>
      <c r="K12" s="12" t="n"/>
    </row>
    <row r="13"/>
    <row r="14">
      <c r="A14" s="4" t="inlineStr">
        <is>
          <t>Age-to-Age Factors</t>
        </is>
      </c>
      <c r="B14" s="2" t="n"/>
      <c r="C14" s="2" t="n"/>
      <c r="D14" s="2" t="n"/>
      <c r="E14" s="2" t="n"/>
      <c r="F14" s="2" t="n"/>
      <c r="G14" s="2" t="n"/>
      <c r="H14" s="2" t="n"/>
      <c r="I14" s="2" t="n"/>
      <c r="J14" s="3" t="n"/>
    </row>
    <row r="15">
      <c r="A15" s="8" t="n"/>
      <c r="B15" s="9" t="inlineStr">
        <is>
          <t>12-24</t>
        </is>
      </c>
      <c r="C15" s="9" t="inlineStr">
        <is>
          <t>24-36</t>
        </is>
      </c>
      <c r="D15" s="9" t="inlineStr">
        <is>
          <t>36-48</t>
        </is>
      </c>
      <c r="E15" s="9" t="inlineStr">
        <is>
          <t>48-60</t>
        </is>
      </c>
      <c r="F15" s="9" t="inlineStr">
        <is>
          <t>60-72</t>
        </is>
      </c>
      <c r="G15" s="9" t="inlineStr">
        <is>
          <t>72-84</t>
        </is>
      </c>
      <c r="H15" s="9" t="inlineStr">
        <is>
          <t>84-96</t>
        </is>
      </c>
      <c r="I15" s="9" t="inlineStr">
        <is>
          <t>96-108</t>
        </is>
      </c>
      <c r="J15" s="9" t="inlineStr">
        <is>
          <t>108-120</t>
        </is>
      </c>
    </row>
    <row r="16">
      <c r="A16" s="10" t="inlineStr">
        <is>
          <t>2015</t>
        </is>
      </c>
      <c r="B16" s="13">
        <f>C3/B3</f>
        <v/>
      </c>
      <c r="C16" s="13">
        <f>D3/C3</f>
        <v/>
      </c>
      <c r="D16" s="13">
        <f>E3/D3</f>
        <v/>
      </c>
      <c r="E16" s="13">
        <f>F3/E3</f>
        <v/>
      </c>
      <c r="F16" s="13">
        <f>G3/F3</f>
        <v/>
      </c>
      <c r="G16" s="13">
        <f>H3/G3</f>
        <v/>
      </c>
      <c r="H16" s="13">
        <f>I3/H3</f>
        <v/>
      </c>
      <c r="I16" s="13">
        <f>J3/I3</f>
        <v/>
      </c>
      <c r="J16" s="13">
        <f>K3/J3</f>
        <v/>
      </c>
    </row>
    <row r="17">
      <c r="A17" s="10" t="inlineStr">
        <is>
          <t>2016</t>
        </is>
      </c>
      <c r="B17" s="13">
        <f>C4/B4</f>
        <v/>
      </c>
      <c r="C17" s="13">
        <f>D4/C4</f>
        <v/>
      </c>
      <c r="D17" s="13">
        <f>E4/D4</f>
        <v/>
      </c>
      <c r="E17" s="13">
        <f>F4/E4</f>
        <v/>
      </c>
      <c r="F17" s="13">
        <f>G4/F4</f>
        <v/>
      </c>
      <c r="G17" s="13">
        <f>H4/G4</f>
        <v/>
      </c>
      <c r="H17" s="13">
        <f>I4/H4</f>
        <v/>
      </c>
      <c r="I17" s="13">
        <f>J4/I4</f>
        <v/>
      </c>
      <c r="J17" s="12" t="n"/>
    </row>
    <row r="18">
      <c r="A18" s="10" t="inlineStr">
        <is>
          <t>2017</t>
        </is>
      </c>
      <c r="B18" s="13">
        <f>C5/B5</f>
        <v/>
      </c>
      <c r="C18" s="13">
        <f>D5/C5</f>
        <v/>
      </c>
      <c r="D18" s="13">
        <f>E5/D5</f>
        <v/>
      </c>
      <c r="E18" s="13">
        <f>F5/E5</f>
        <v/>
      </c>
      <c r="F18" s="13">
        <f>G5/F5</f>
        <v/>
      </c>
      <c r="G18" s="13">
        <f>H5/G5</f>
        <v/>
      </c>
      <c r="H18" s="13">
        <f>I5/H5</f>
        <v/>
      </c>
      <c r="I18" s="12" t="n"/>
      <c r="J18" s="12" t="n"/>
    </row>
    <row r="19">
      <c r="A19" s="10" t="inlineStr">
        <is>
          <t>2018</t>
        </is>
      </c>
      <c r="B19" s="13">
        <f>C6/B6</f>
        <v/>
      </c>
      <c r="C19" s="13">
        <f>D6/C6</f>
        <v/>
      </c>
      <c r="D19" s="13">
        <f>E6/D6</f>
        <v/>
      </c>
      <c r="E19" s="13">
        <f>F6/E6</f>
        <v/>
      </c>
      <c r="F19" s="13">
        <f>G6/F6</f>
        <v/>
      </c>
      <c r="G19" s="13">
        <f>H6/G6</f>
        <v/>
      </c>
      <c r="H19" s="12" t="n"/>
      <c r="I19" s="12" t="n"/>
      <c r="J19" s="12" t="n"/>
    </row>
    <row r="20">
      <c r="A20" s="10" t="inlineStr">
        <is>
          <t>2019</t>
        </is>
      </c>
      <c r="B20" s="13">
        <f>C7/B7</f>
        <v/>
      </c>
      <c r="C20" s="13">
        <f>D7/C7</f>
        <v/>
      </c>
      <c r="D20" s="13">
        <f>E7/D7</f>
        <v/>
      </c>
      <c r="E20" s="13">
        <f>F7/E7</f>
        <v/>
      </c>
      <c r="F20" s="13">
        <f>G7/F7</f>
        <v/>
      </c>
      <c r="G20" s="12" t="n"/>
      <c r="H20" s="12" t="n"/>
      <c r="I20" s="12" t="n"/>
      <c r="J20" s="12" t="n"/>
    </row>
    <row r="21">
      <c r="A21" s="10" t="inlineStr">
        <is>
          <t>2020</t>
        </is>
      </c>
      <c r="B21" s="13">
        <f>C8/B8</f>
        <v/>
      </c>
      <c r="C21" s="13">
        <f>D8/C8</f>
        <v/>
      </c>
      <c r="D21" s="13">
        <f>E8/D8</f>
        <v/>
      </c>
      <c r="E21" s="13">
        <f>F8/E8</f>
        <v/>
      </c>
      <c r="F21" s="12" t="n"/>
      <c r="G21" s="12" t="n"/>
      <c r="H21" s="12" t="n"/>
      <c r="I21" s="12" t="n"/>
      <c r="J21" s="12" t="n"/>
    </row>
    <row r="22">
      <c r="A22" s="10" t="inlineStr">
        <is>
          <t>2021</t>
        </is>
      </c>
      <c r="B22" s="13">
        <f>C9/B9</f>
        <v/>
      </c>
      <c r="C22" s="13">
        <f>D9/C9</f>
        <v/>
      </c>
      <c r="D22" s="13">
        <f>E9/D9</f>
        <v/>
      </c>
      <c r="E22" s="12" t="n"/>
      <c r="F22" s="12" t="n"/>
      <c r="G22" s="12" t="n"/>
      <c r="H22" s="12" t="n"/>
      <c r="I22" s="12" t="n"/>
      <c r="J22" s="12" t="n"/>
    </row>
    <row r="23">
      <c r="A23" s="10" t="inlineStr">
        <is>
          <t>2022</t>
        </is>
      </c>
      <c r="B23" s="13">
        <f>C10/B10</f>
        <v/>
      </c>
      <c r="C23" s="13">
        <f>D10/C10</f>
        <v/>
      </c>
      <c r="D23" s="12" t="n"/>
      <c r="E23" s="12" t="n"/>
      <c r="F23" s="12" t="n"/>
      <c r="G23" s="12" t="n"/>
      <c r="H23" s="12" t="n"/>
      <c r="I23" s="12" t="n"/>
      <c r="J23" s="12" t="n"/>
    </row>
    <row r="24">
      <c r="A24" s="10" t="inlineStr">
        <is>
          <t>2023</t>
        </is>
      </c>
      <c r="B24" s="13">
        <f>C11/B11</f>
        <v/>
      </c>
      <c r="C24" s="12" t="n"/>
      <c r="D24" s="12" t="n"/>
      <c r="E24" s="12" t="n"/>
      <c r="F24" s="12" t="n"/>
      <c r="G24" s="12" t="n"/>
      <c r="H24" s="12" t="n"/>
      <c r="I24" s="12" t="n"/>
      <c r="J24" s="12" t="n"/>
    </row>
    <row r="25">
      <c r="A25" s="10" t="inlineStr">
        <is>
          <t>2024</t>
        </is>
      </c>
      <c r="B25" s="12" t="n"/>
      <c r="C25" s="12" t="n"/>
      <c r="D25" s="12" t="n"/>
      <c r="E25" s="12" t="n"/>
      <c r="F25" s="12" t="n"/>
      <c r="G25" s="12" t="n"/>
      <c r="H25" s="12" t="n"/>
      <c r="I25" s="12" t="n"/>
      <c r="J25" s="12" t="n"/>
    </row>
    <row r="26"/>
    <row r="27">
      <c r="A27" s="4" t="inlineStr">
        <is>
          <t>Averages</t>
        </is>
      </c>
      <c r="B27" s="2" t="n"/>
      <c r="C27" s="2" t="n"/>
      <c r="D27" s="2" t="n"/>
      <c r="E27" s="2" t="n"/>
      <c r="F27" s="2" t="n"/>
      <c r="G27" s="2" t="n"/>
      <c r="H27" s="2" t="n"/>
      <c r="I27" s="2" t="n"/>
      <c r="J27" s="2" t="n"/>
      <c r="K27" s="3" t="n"/>
    </row>
    <row r="28">
      <c r="A28" s="14" t="inlineStr">
        <is>
          <t>Metric</t>
        </is>
      </c>
      <c r="B28" s="9" t="inlineStr">
        <is>
          <t>12-24</t>
        </is>
      </c>
      <c r="C28" s="9" t="inlineStr">
        <is>
          <t>24-36</t>
        </is>
      </c>
      <c r="D28" s="9" t="inlineStr">
        <is>
          <t>36-48</t>
        </is>
      </c>
      <c r="E28" s="9" t="inlineStr">
        <is>
          <t>48-60</t>
        </is>
      </c>
      <c r="F28" s="9" t="inlineStr">
        <is>
          <t>60-72</t>
        </is>
      </c>
      <c r="G28" s="9" t="inlineStr">
        <is>
          <t>72-84</t>
        </is>
      </c>
      <c r="H28" s="9" t="inlineStr">
        <is>
          <t>84-96</t>
        </is>
      </c>
      <c r="I28" s="9" t="inlineStr">
        <is>
          <t>96-108</t>
        </is>
      </c>
      <c r="J28" s="9" t="inlineStr">
        <is>
          <t>108-120</t>
        </is>
      </c>
      <c r="K28" s="9" t="inlineStr">
        <is>
          <t>Tail</t>
        </is>
      </c>
    </row>
    <row r="29">
      <c r="A29" s="15" t="inlineStr">
        <is>
          <t>simple_all</t>
        </is>
      </c>
      <c r="B29" s="13">
        <f>IFERROR(AVERAGE(B16:B24),AVERAGE(B16:B24))</f>
        <v/>
      </c>
      <c r="C29" s="13">
        <f>IFERROR(AVERAGE(C16:C24),AVERAGE(C16:C24))</f>
        <v/>
      </c>
      <c r="D29" s="13">
        <f>IFERROR(AVERAGE(D16:D24),AVERAGE(D16:D24))</f>
        <v/>
      </c>
      <c r="E29" s="13">
        <f>IFERROR(AVERAGE(E16:E24),AVERAGE(E16:E24))</f>
        <v/>
      </c>
      <c r="F29" s="13">
        <f>IFERROR(AVERAGE(F16:F24),AVERAGE(F16:F24))</f>
        <v/>
      </c>
      <c r="G29" s="13">
        <f>IFERROR(AVERAGE(G16:G24),AVERAGE(G16:G24))</f>
        <v/>
      </c>
      <c r="H29" s="13">
        <f>IFERROR(AVERAGE(H16:H24),AVERAGE(H16:H24))</f>
        <v/>
      </c>
      <c r="I29" s="13">
        <f>IFERROR(AVERAGE(I16:I24),AVERAGE(I16:I24))</f>
        <v/>
      </c>
      <c r="J29" s="13">
        <f>IFERROR(AVERAGE(J16:J24),AVERAGE(J16:J24))</f>
        <v/>
      </c>
      <c r="K29" s="12" t="n"/>
    </row>
    <row r="30">
      <c r="A30" s="15" t="inlineStr">
        <is>
          <t>weighted_all</t>
        </is>
      </c>
      <c r="B30" s="13">
        <f>IFERROR(SUMPRODUCT(B16:B24,B3:B11)/SUMPRODUCT((B16:B24&lt;&gt;"")*B3:B11),SUMPRODUCT(B16:B24,B3:B11)/SUMPRODUCT((B16:B24&lt;&gt;"")*B3:B11))</f>
        <v/>
      </c>
      <c r="C30" s="13">
        <f>IFERROR(SUMPRODUCT(C16:C24,C3:C11)/SUMPRODUCT((C16:C24&lt;&gt;"")*C3:C11),SUMPRODUCT(C16:C24,C3:C11)/SUMPRODUCT((C16:C24&lt;&gt;"")*C3:C11))</f>
        <v/>
      </c>
      <c r="D30" s="13">
        <f>IFERROR(SUMPRODUCT(D16:D24,D3:D11)/SUMPRODUCT((D16:D24&lt;&gt;"")*D3:D11),SUMPRODUCT(D16:D24,D3:D11)/SUMPRODUCT((D16:D24&lt;&gt;"")*D3:D11))</f>
        <v/>
      </c>
      <c r="E30" s="13">
        <f>IFERROR(SUMPRODUCT(E16:E24,E3:E11)/SUMPRODUCT((E16:E24&lt;&gt;"")*E3:E11),SUMPRODUCT(E16:E24,E3:E11)/SUMPRODUCT((E16:E24&lt;&gt;"")*E3:E11))</f>
        <v/>
      </c>
      <c r="F30" s="13">
        <f>IFERROR(SUMPRODUCT(F16:F24,F3:F11)/SUMPRODUCT((F16:F24&lt;&gt;"")*F3:F11),SUMPRODUCT(F16:F24,F3:F11)/SUMPRODUCT((F16:F24&lt;&gt;"")*F3:F11))</f>
        <v/>
      </c>
      <c r="G30" s="13">
        <f>IFERROR(SUMPRODUCT(G16:G24,G3:G11)/SUMPRODUCT((G16:G24&lt;&gt;"")*G3:G11),SUMPRODUCT(G16:G24,G3:G11)/SUMPRODUCT((G16:G24&lt;&gt;"")*G3:G11))</f>
        <v/>
      </c>
      <c r="H30" s="13">
        <f>IFERROR(SUMPRODUCT(H16:H24,H3:H11)/SUMPRODUCT((H16:H24&lt;&gt;"")*H3:H11),SUMPRODUCT(H16:H24,H3:H11)/SUMPRODUCT((H16:H24&lt;&gt;"")*H3:H11))</f>
        <v/>
      </c>
      <c r="I30" s="13">
        <f>IFERROR(SUMPRODUCT(I16:I24,I3:I11)/SUMPRODUCT((I16:I24&lt;&gt;"")*I3:I11),SUMPRODUCT(I16:I24,I3:I11)/SUMPRODUCT((I16:I24&lt;&gt;"")*I3:I11))</f>
        <v/>
      </c>
      <c r="J30" s="13">
        <f>IFERROR(SUMPRODUCT(J16:J24,J3:J11)/SUMPRODUCT((J16:J24&lt;&gt;"")*J3:J11),SUMPRODUCT(J16:J24,J3:J11)/SUMPRODUCT((J16:J24&lt;&gt;"")*J3:J11))</f>
        <v/>
      </c>
      <c r="K30" s="12" t="n"/>
    </row>
    <row r="31">
      <c r="A31" s="15" t="inlineStr">
        <is>
          <t>exclude_high_low_all</t>
        </is>
      </c>
      <c r="B31" s="13">
        <f>IFERROR(TRIMMEAN(B16:B24,2/COUNT(B16:B24)),AVERAGE(B16:B24))</f>
        <v/>
      </c>
      <c r="C31" s="13">
        <f>IFERROR(TRIMMEAN(C16:C24,2/COUNT(C16:C24)),AVERAGE(C16:C24))</f>
        <v/>
      </c>
      <c r="D31" s="13">
        <f>IFERROR(TRIMMEAN(D16:D24,2/COUNT(D16:D24)),AVERAGE(D16:D24))</f>
        <v/>
      </c>
      <c r="E31" s="13">
        <f>IFERROR(TRIMMEAN(E16:E24,2/COUNT(E16:E24)),AVERAGE(E16:E24))</f>
        <v/>
      </c>
      <c r="F31" s="13">
        <f>IFERROR(TRIMMEAN(F16:F24,2/COUNT(F16:F24)),AVERAGE(F16:F24))</f>
        <v/>
      </c>
      <c r="G31" s="13">
        <f>IFERROR(TRIMMEAN(G16:G24,2/COUNT(G16:G24)),AVERAGE(G16:G24))</f>
        <v/>
      </c>
      <c r="H31" s="13">
        <f>IFERROR(TRIMMEAN(H16:H24,2/COUNT(H16:H24)),AVERAGE(H16:H24))</f>
        <v/>
      </c>
      <c r="I31" s="13">
        <f>IFERROR(TRIMMEAN(I16:I24,2/COUNT(I16:I24)),AVERAGE(I16:I24))</f>
        <v/>
      </c>
      <c r="J31" s="13">
        <f>IFERROR(TRIMMEAN(J16:J24,2/COUNT(J16:J24)),AVERAGE(J16:J24))</f>
        <v/>
      </c>
      <c r="K31" s="12" t="n"/>
    </row>
    <row r="32">
      <c r="A32" s="15" t="inlineStr">
        <is>
          <t>simple_3yr</t>
        </is>
      </c>
      <c r="B32" s="13">
        <f>IFERROR(AVERAGE(B22:B24),AVERAGE(B16:B24))</f>
        <v/>
      </c>
      <c r="C32" s="13">
        <f>IFERROR(AVERAGE(C22:C24),AVERAGE(C16:C24))</f>
        <v/>
      </c>
      <c r="D32" s="13">
        <f>IFERROR(AVERAGE(D22:D24),AVERAGE(D16:D24))</f>
        <v/>
      </c>
      <c r="E32" s="13">
        <f>IFERROR(AVERAGE(E22:E24),AVERAGE(E16:E24))</f>
        <v/>
      </c>
      <c r="F32" s="13">
        <f>IFERROR(AVERAGE(F22:F24),AVERAGE(F16:F24))</f>
        <v/>
      </c>
      <c r="G32" s="13">
        <f>IFERROR(AVERAGE(G22:G24),AVERAGE(G16:G24))</f>
        <v/>
      </c>
      <c r="H32" s="13">
        <f>IFERROR(AVERAGE(H22:H24),AVERAGE(H16:H24))</f>
        <v/>
      </c>
      <c r="I32" s="13">
        <f>IFERROR(AVERAGE(I22:I24),AVERAGE(I16:I24))</f>
        <v/>
      </c>
      <c r="J32" s="13">
        <f>IFERROR(AVERAGE(J22:J24),AVERAGE(J16:J24))</f>
        <v/>
      </c>
      <c r="K32" s="12" t="n"/>
    </row>
    <row r="33">
      <c r="A33" s="15" t="inlineStr">
        <is>
          <t>weighted_3yr</t>
        </is>
      </c>
      <c r="B33" s="13">
        <f>IFERROR(SUMPRODUCT(B22:B24,B9:B11)/SUMPRODUCT((B22:B24&lt;&gt;"")*B9:B11),SUMPRODUCT(B16:B24,B3:B11)/SUMPRODUCT((B16:B24&lt;&gt;"")*B3:B11))</f>
        <v/>
      </c>
      <c r="C33" s="13">
        <f>IFERROR(SUMPRODUCT(C22:C24,C9:C11)/SUMPRODUCT((C22:C24&lt;&gt;"")*C9:C11),SUMPRODUCT(C16:C24,C3:C11)/SUMPRODUCT((C16:C24&lt;&gt;"")*C3:C11))</f>
        <v/>
      </c>
      <c r="D33" s="13">
        <f>IFERROR(SUMPRODUCT(D22:D24,D9:D11)/SUMPRODUCT((D22:D24&lt;&gt;"")*D9:D11),SUMPRODUCT(D16:D24,D3:D11)/SUMPRODUCT((D16:D24&lt;&gt;"")*D3:D11))</f>
        <v/>
      </c>
      <c r="E33" s="13">
        <f>IFERROR(SUMPRODUCT(E22:E24,E9:E11)/SUMPRODUCT((E22:E24&lt;&gt;"")*E9:E11),SUMPRODUCT(E16:E24,E3:E11)/SUMPRODUCT((E16:E24&lt;&gt;"")*E3:E11))</f>
        <v/>
      </c>
      <c r="F33" s="13">
        <f>IFERROR(SUMPRODUCT(F22:F24,F9:F11)/SUMPRODUCT((F22:F24&lt;&gt;"")*F9:F11),SUMPRODUCT(F16:F24,F3:F11)/SUMPRODUCT((F16:F24&lt;&gt;"")*F3:F11))</f>
        <v/>
      </c>
      <c r="G33" s="13">
        <f>IFERROR(SUMPRODUCT(G22:G24,G9:G11)/SUMPRODUCT((G22:G24&lt;&gt;"")*G9:G11),SUMPRODUCT(G16:G24,G3:G11)/SUMPRODUCT((G16:G24&lt;&gt;"")*G3:G11))</f>
        <v/>
      </c>
      <c r="H33" s="13">
        <f>IFERROR(SUMPRODUCT(H22:H24,H9:H11)/SUMPRODUCT((H22:H24&lt;&gt;"")*H9:H11),SUMPRODUCT(H16:H24,H3:H11)/SUMPRODUCT((H16:H24&lt;&gt;"")*H3:H11))</f>
        <v/>
      </c>
      <c r="I33" s="13">
        <f>IFERROR(SUMPRODUCT(I22:I24,I9:I11)/SUMPRODUCT((I22:I24&lt;&gt;"")*I9:I11),SUMPRODUCT(I16:I24,I3:I11)/SUMPRODUCT((I16:I24&lt;&gt;"")*I3:I11))</f>
        <v/>
      </c>
      <c r="J33" s="13">
        <f>IFERROR(SUMPRODUCT(J22:J24,J9:J11)/SUMPRODUCT((J22:J24&lt;&gt;"")*J9:J11),SUMPRODUCT(J16:J24,J3:J11)/SUMPRODUCT((J16:J24&lt;&gt;"")*J3:J11))</f>
        <v/>
      </c>
      <c r="K33" s="12" t="n"/>
    </row>
    <row r="34">
      <c r="A34" s="15" t="inlineStr">
        <is>
          <t>exclude_high_low_3yr</t>
        </is>
      </c>
      <c r="B34" s="13">
        <f>IFERROR(TRIMMEAN(B22:B24,2/COUNT(B22:B24)),AVERAGE(B16:B24))</f>
        <v/>
      </c>
      <c r="C34" s="13">
        <f>IFERROR(TRIMMEAN(C22:C24,2/COUNT(C22:C24)),AVERAGE(C16:C24))</f>
        <v/>
      </c>
      <c r="D34" s="13">
        <f>IFERROR(TRIMMEAN(D22:D24,2/COUNT(D22:D24)),AVERAGE(D16:D24))</f>
        <v/>
      </c>
      <c r="E34" s="13">
        <f>IFERROR(TRIMMEAN(E22:E24,2/COUNT(E22:E24)),AVERAGE(E16:E24))</f>
        <v/>
      </c>
      <c r="F34" s="13">
        <f>IFERROR(TRIMMEAN(F22:F24,2/COUNT(F22:F24)),AVERAGE(F16:F24))</f>
        <v/>
      </c>
      <c r="G34" s="13">
        <f>IFERROR(TRIMMEAN(G22:G24,2/COUNT(G22:G24)),AVERAGE(G16:G24))</f>
        <v/>
      </c>
      <c r="H34" s="13">
        <f>IFERROR(TRIMMEAN(H22:H24,2/COUNT(H22:H24)),AVERAGE(H16:H24))</f>
        <v/>
      </c>
      <c r="I34" s="13">
        <f>IFERROR(TRIMMEAN(I22:I24,2/COUNT(I22:I24)),AVERAGE(I16:I24))</f>
        <v/>
      </c>
      <c r="J34" s="13">
        <f>IFERROR(TRIMMEAN(J22:J24,2/COUNT(J22:J24)),AVERAGE(J16:J24))</f>
        <v/>
      </c>
      <c r="K34" s="12" t="n"/>
    </row>
    <row r="35">
      <c r="A35" s="15" t="inlineStr">
        <is>
          <t>simple_5yr</t>
        </is>
      </c>
      <c r="B35" s="13">
        <f>IFERROR(AVERAGE(B20:B24),AVERAGE(B16:B24))</f>
        <v/>
      </c>
      <c r="C35" s="13">
        <f>IFERROR(AVERAGE(C20:C24),AVERAGE(C16:C24))</f>
        <v/>
      </c>
      <c r="D35" s="13">
        <f>IFERROR(AVERAGE(D20:D24),AVERAGE(D16:D24))</f>
        <v/>
      </c>
      <c r="E35" s="13">
        <f>IFERROR(AVERAGE(E20:E24),AVERAGE(E16:E24))</f>
        <v/>
      </c>
      <c r="F35" s="13">
        <f>IFERROR(AVERAGE(F20:F24),AVERAGE(F16:F24))</f>
        <v/>
      </c>
      <c r="G35" s="13">
        <f>IFERROR(AVERAGE(G20:G24),AVERAGE(G16:G24))</f>
        <v/>
      </c>
      <c r="H35" s="13">
        <f>IFERROR(AVERAGE(H20:H24),AVERAGE(H16:H24))</f>
        <v/>
      </c>
      <c r="I35" s="13">
        <f>IFERROR(AVERAGE(I20:I24),AVERAGE(I16:I24))</f>
        <v/>
      </c>
      <c r="J35" s="13">
        <f>IFERROR(AVERAGE(J20:J24),AVERAGE(J16:J24))</f>
        <v/>
      </c>
      <c r="K35" s="12" t="n"/>
    </row>
    <row r="36">
      <c r="A36" s="15" t="inlineStr">
        <is>
          <t>weighted_5yr</t>
        </is>
      </c>
      <c r="B36" s="13">
        <f>IFERROR(SUMPRODUCT(B20:B24,B7:B11)/SUMPRODUCT((B20:B24&lt;&gt;"")*B7:B11),SUMPRODUCT(B16:B24,B3:B11)/SUMPRODUCT((B16:B24&lt;&gt;"")*B3:B11))</f>
        <v/>
      </c>
      <c r="C36" s="13">
        <f>IFERROR(SUMPRODUCT(C20:C24,C7:C11)/SUMPRODUCT((C20:C24&lt;&gt;"")*C7:C11),SUMPRODUCT(C16:C24,C3:C11)/SUMPRODUCT((C16:C24&lt;&gt;"")*C3:C11))</f>
        <v/>
      </c>
      <c r="D36" s="13">
        <f>IFERROR(SUMPRODUCT(D20:D24,D7:D11)/SUMPRODUCT((D20:D24&lt;&gt;"")*D7:D11),SUMPRODUCT(D16:D24,D3:D11)/SUMPRODUCT((D16:D24&lt;&gt;"")*D3:D11))</f>
        <v/>
      </c>
      <c r="E36" s="13">
        <f>IFERROR(SUMPRODUCT(E20:E24,E7:E11)/SUMPRODUCT((E20:E24&lt;&gt;"")*E7:E11),SUMPRODUCT(E16:E24,E3:E11)/SUMPRODUCT((E16:E24&lt;&gt;"")*E3:E11))</f>
        <v/>
      </c>
      <c r="F36" s="13">
        <f>IFERROR(SUMPRODUCT(F20:F24,F7:F11)/SUMPRODUCT((F20:F24&lt;&gt;"")*F7:F11),SUMPRODUCT(F16:F24,F3:F11)/SUMPRODUCT((F16:F24&lt;&gt;"")*F3:F11))</f>
        <v/>
      </c>
      <c r="G36" s="13">
        <f>IFERROR(SUMPRODUCT(G20:G24,G7:G11)/SUMPRODUCT((G20:G24&lt;&gt;"")*G7:G11),SUMPRODUCT(G16:G24,G3:G11)/SUMPRODUCT((G16:G24&lt;&gt;"")*G3:G11))</f>
        <v/>
      </c>
      <c r="H36" s="13">
        <f>IFERROR(SUMPRODUCT(H20:H24,H7:H11)/SUMPRODUCT((H20:H24&lt;&gt;"")*H7:H11),SUMPRODUCT(H16:H24,H3:H11)/SUMPRODUCT((H16:H24&lt;&gt;"")*H3:H11))</f>
        <v/>
      </c>
      <c r="I36" s="13">
        <f>IFERROR(SUMPRODUCT(I20:I24,I7:I11)/SUMPRODUCT((I20:I24&lt;&gt;"")*I7:I11),SUMPRODUCT(I16:I24,I3:I11)/SUMPRODUCT((I16:I24&lt;&gt;"")*I3:I11))</f>
        <v/>
      </c>
      <c r="J36" s="13">
        <f>IFERROR(SUMPRODUCT(J20:J24,J7:J11)/SUMPRODUCT((J20:J24&lt;&gt;"")*J7:J11),SUMPRODUCT(J16:J24,J3:J11)/SUMPRODUCT((J16:J24&lt;&gt;"")*J3:J11))</f>
        <v/>
      </c>
      <c r="K36" s="12" t="n"/>
    </row>
    <row r="37">
      <c r="A37" s="15" t="inlineStr">
        <is>
          <t>exclude_high_low_5yr</t>
        </is>
      </c>
      <c r="B37" s="13">
        <f>IFERROR(TRIMMEAN(B20:B24,2/COUNT(B20:B24)),AVERAGE(B16:B24))</f>
        <v/>
      </c>
      <c r="C37" s="13">
        <f>IFERROR(TRIMMEAN(C20:C24,2/COUNT(C20:C24)),AVERAGE(C16:C24))</f>
        <v/>
      </c>
      <c r="D37" s="13">
        <f>IFERROR(TRIMMEAN(D20:D24,2/COUNT(D20:D24)),AVERAGE(D16:D24))</f>
        <v/>
      </c>
      <c r="E37" s="13">
        <f>IFERROR(TRIMMEAN(E20:E24,2/COUNT(E20:E24)),AVERAGE(E16:E24))</f>
        <v/>
      </c>
      <c r="F37" s="13">
        <f>IFERROR(TRIMMEAN(F20:F24,2/COUNT(F20:F24)),AVERAGE(F16:F24))</f>
        <v/>
      </c>
      <c r="G37" s="13">
        <f>IFERROR(TRIMMEAN(G20:G24,2/COUNT(G20:G24)),AVERAGE(G16:G24))</f>
        <v/>
      </c>
      <c r="H37" s="13">
        <f>IFERROR(TRIMMEAN(H20:H24,2/COUNT(H20:H24)),AVERAGE(H16:H24))</f>
        <v/>
      </c>
      <c r="I37" s="13">
        <f>IFERROR(TRIMMEAN(I20:I24,2/COUNT(I20:I24)),AVERAGE(I16:I24))</f>
        <v/>
      </c>
      <c r="J37" s="13">
        <f>IFERROR(TRIMMEAN(J20:J24,2/COUNT(J20:J24)),AVERAGE(J16:J24))</f>
        <v/>
      </c>
      <c r="K37" s="12" t="n"/>
    </row>
    <row r="38">
      <c r="A38" s="15" t="inlineStr">
        <is>
          <t>simple_10yr</t>
        </is>
      </c>
      <c r="B38" s="13">
        <f>IFERROR(AVERAGE(B16:B24),AVERAGE(B16:B24))</f>
        <v/>
      </c>
      <c r="C38" s="13">
        <f>IFERROR(AVERAGE(C16:C24),AVERAGE(C16:C24))</f>
        <v/>
      </c>
      <c r="D38" s="13">
        <f>IFERROR(AVERAGE(D16:D24),AVERAGE(D16:D24))</f>
        <v/>
      </c>
      <c r="E38" s="13">
        <f>IFERROR(AVERAGE(E16:E24),AVERAGE(E16:E24))</f>
        <v/>
      </c>
      <c r="F38" s="13">
        <f>IFERROR(AVERAGE(F16:F24),AVERAGE(F16:F24))</f>
        <v/>
      </c>
      <c r="G38" s="13">
        <f>IFERROR(AVERAGE(G16:G24),AVERAGE(G16:G24))</f>
        <v/>
      </c>
      <c r="H38" s="13">
        <f>IFERROR(AVERAGE(H16:H24),AVERAGE(H16:H24))</f>
        <v/>
      </c>
      <c r="I38" s="13">
        <f>IFERROR(AVERAGE(I16:I24),AVERAGE(I16:I24))</f>
        <v/>
      </c>
      <c r="J38" s="13">
        <f>IFERROR(AVERAGE(J16:J24),AVERAGE(J16:J24))</f>
        <v/>
      </c>
      <c r="K38" s="12" t="n"/>
    </row>
    <row r="39">
      <c r="A39" s="15" t="inlineStr">
        <is>
          <t>weighted_10yr</t>
        </is>
      </c>
      <c r="B39" s="13">
        <f>IFERROR(SUMPRODUCT(B16:B24,B3:B11)/SUMPRODUCT((B16:B24&lt;&gt;"")*B3:B11),SUMPRODUCT(B16:B24,B3:B11)/SUMPRODUCT((B16:B24&lt;&gt;"")*B3:B11))</f>
        <v/>
      </c>
      <c r="C39" s="13">
        <f>IFERROR(SUMPRODUCT(C16:C24,C3:C11)/SUMPRODUCT((C16:C24&lt;&gt;"")*C3:C11),SUMPRODUCT(C16:C24,C3:C11)/SUMPRODUCT((C16:C24&lt;&gt;"")*C3:C11))</f>
        <v/>
      </c>
      <c r="D39" s="13">
        <f>IFERROR(SUMPRODUCT(D16:D24,D3:D11)/SUMPRODUCT((D16:D24&lt;&gt;"")*D3:D11),SUMPRODUCT(D16:D24,D3:D11)/SUMPRODUCT((D16:D24&lt;&gt;"")*D3:D11))</f>
        <v/>
      </c>
      <c r="E39" s="13">
        <f>IFERROR(SUMPRODUCT(E16:E24,E3:E11)/SUMPRODUCT((E16:E24&lt;&gt;"")*E3:E11),SUMPRODUCT(E16:E24,E3:E11)/SUMPRODUCT((E16:E24&lt;&gt;"")*E3:E11))</f>
        <v/>
      </c>
      <c r="F39" s="13">
        <f>IFERROR(SUMPRODUCT(F16:F24,F3:F11)/SUMPRODUCT((F16:F24&lt;&gt;"")*F3:F11),SUMPRODUCT(F16:F24,F3:F11)/SUMPRODUCT((F16:F24&lt;&gt;"")*F3:F11))</f>
        <v/>
      </c>
      <c r="G39" s="13">
        <f>IFERROR(SUMPRODUCT(G16:G24,G3:G11)/SUMPRODUCT((G16:G24&lt;&gt;"")*G3:G11),SUMPRODUCT(G16:G24,G3:G11)/SUMPRODUCT((G16:G24&lt;&gt;"")*G3:G11))</f>
        <v/>
      </c>
      <c r="H39" s="13">
        <f>IFERROR(SUMPRODUCT(H16:H24,H3:H11)/SUMPRODUCT((H16:H24&lt;&gt;"")*H3:H11),SUMPRODUCT(H16:H24,H3:H11)/SUMPRODUCT((H16:H24&lt;&gt;"")*H3:H11))</f>
        <v/>
      </c>
      <c r="I39" s="13">
        <f>IFERROR(SUMPRODUCT(I16:I24,I3:I11)/SUMPRODUCT((I16:I24&lt;&gt;"")*I3:I11),SUMPRODUCT(I16:I24,I3:I11)/SUMPRODUCT((I16:I24&lt;&gt;"")*I3:I11))</f>
        <v/>
      </c>
      <c r="J39" s="13">
        <f>IFERROR(SUMPRODUCT(J16:J24,J3:J11)/SUMPRODUCT((J16:J24&lt;&gt;"")*J3:J11),SUMPRODUCT(J16:J24,J3:J11)/SUMPRODUCT((J16:J24&lt;&gt;"")*J3:J11))</f>
        <v/>
      </c>
      <c r="K39" s="12" t="n"/>
    </row>
    <row r="40">
      <c r="A40" s="15" t="inlineStr">
        <is>
          <t>exclude_high_low_10yr</t>
        </is>
      </c>
      <c r="B40" s="13">
        <f>IFERROR(TRIMMEAN(B16:B24,2/COUNT(B16:B24)),AVERAGE(B16:B24))</f>
        <v/>
      </c>
      <c r="C40" s="13">
        <f>IFERROR(TRIMMEAN(C16:C24,2/COUNT(C16:C24)),AVERAGE(C16:C24))</f>
        <v/>
      </c>
      <c r="D40" s="13">
        <f>IFERROR(TRIMMEAN(D16:D24,2/COUNT(D16:D24)),AVERAGE(D16:D24))</f>
        <v/>
      </c>
      <c r="E40" s="13">
        <f>IFERROR(TRIMMEAN(E16:E24,2/COUNT(E16:E24)),AVERAGE(E16:E24))</f>
        <v/>
      </c>
      <c r="F40" s="13">
        <f>IFERROR(TRIMMEAN(F16:F24,2/COUNT(F16:F24)),AVERAGE(F16:F24))</f>
        <v/>
      </c>
      <c r="G40" s="13">
        <f>IFERROR(TRIMMEAN(G16:G24,2/COUNT(G16:G24)),AVERAGE(G16:G24))</f>
        <v/>
      </c>
      <c r="H40" s="13">
        <f>IFERROR(TRIMMEAN(H16:H24,2/COUNT(H16:H24)),AVERAGE(H16:H24))</f>
        <v/>
      </c>
      <c r="I40" s="13">
        <f>IFERROR(TRIMMEAN(I16:I24,2/COUNT(I16:I24)),AVERAGE(I16:I24))</f>
        <v/>
      </c>
      <c r="J40" s="13">
        <f>IFERROR(TRIMMEAN(J16:J24,2/COUNT(J16:J24)),AVERAGE(J16:J24))</f>
        <v/>
      </c>
      <c r="K40" s="12" t="n"/>
    </row>
    <row r="41"/>
    <row r="42">
      <c r="A42" s="4" t="inlineStr">
        <is>
          <t>LDF Selections</t>
        </is>
      </c>
      <c r="B42" s="2" t="n"/>
      <c r="C42" s="2" t="n"/>
      <c r="D42" s="2" t="n"/>
      <c r="E42" s="2" t="n"/>
      <c r="F42" s="2" t="n"/>
      <c r="G42" s="2" t="n"/>
      <c r="H42" s="2" t="n"/>
      <c r="I42" s="2" t="n"/>
      <c r="J42" s="2" t="n"/>
      <c r="K42" s="3" t="n"/>
    </row>
    <row r="43">
      <c r="A43" s="8" t="n"/>
      <c r="B43" s="9" t="inlineStr">
        <is>
          <t>12-24</t>
        </is>
      </c>
      <c r="C43" s="9" t="inlineStr">
        <is>
          <t>24-36</t>
        </is>
      </c>
      <c r="D43" s="9" t="inlineStr">
        <is>
          <t>36-48</t>
        </is>
      </c>
      <c r="E43" s="9" t="inlineStr">
        <is>
          <t>48-60</t>
        </is>
      </c>
      <c r="F43" s="9" t="inlineStr">
        <is>
          <t>60-72</t>
        </is>
      </c>
      <c r="G43" s="9" t="inlineStr">
        <is>
          <t>72-84</t>
        </is>
      </c>
      <c r="H43" s="9" t="inlineStr">
        <is>
          <t>84-96</t>
        </is>
      </c>
      <c r="I43" s="9" t="inlineStr">
        <is>
          <t>96-108</t>
        </is>
      </c>
      <c r="J43" s="9" t="inlineStr">
        <is>
          <t>108-120</t>
        </is>
      </c>
      <c r="K43" s="9" t="inlineStr">
        <is>
          <t>Tail</t>
        </is>
      </c>
    </row>
    <row r="44">
      <c r="A44" s="16" t="inlineStr">
        <is>
          <t>AI Selection</t>
        </is>
      </c>
      <c r="B44" s="17" t="n">
        <v>1.6641</v>
      </c>
      <c r="C44" s="17" t="n">
        <v>1.293</v>
      </c>
      <c r="D44" s="17" t="n">
        <v>1.1859</v>
      </c>
      <c r="E44" s="17" t="n">
        <v>1.0999</v>
      </c>
      <c r="F44" s="17" t="n">
        <v>1.0425</v>
      </c>
      <c r="G44" s="17" t="n">
        <v>1.022</v>
      </c>
      <c r="H44" s="17" t="n">
        <v>1.0105</v>
      </c>
      <c r="I44" s="17" t="n">
        <v>1.0098</v>
      </c>
      <c r="J44" s="17" t="n">
        <v>1</v>
      </c>
      <c r="K44" s="17" t="n">
        <v>1</v>
      </c>
    </row>
    <row r="45" ht="60" customHeight="1">
      <c r="A45" s="16" t="inlineStr">
        <is>
          <t>AI Reasoning</t>
        </is>
      </c>
      <c r="B45" s="18" t="inlineStr">
        <is>
          <t>Simple all average 1.6641 chosen over weighted_all (1.6631). Range 1.6123-1.7235. CV 0.0230. More recent years slightly elevated (2019: 1.7235) but recent years (2020-2022) in line with 10yr average. Simple average captures overall pattern well.</t>
        </is>
      </c>
      <c r="C45" s="18" t="inlineStr">
        <is>
          <t>Weighted all average 1.2930 chosen over simple_5yr (1.2951). Range 1.2705-1.3024. CV 0.0124. Stable range with minor variation. Recent years (2021-2022) very consistent (1.2821-1.3024). Weighted approach balances recency.</t>
        </is>
      </c>
      <c r="D45" s="18" t="inlineStr">
        <is>
          <t>Weighted all average 1.1859. Range 1.1752-1.2017. CV 0.0088. Consistent. Slight positive slope (0.0021 over 10yr) suggests very mild increase but not material. Standard weighted approach.</t>
        </is>
      </c>
      <c r="E45" s="18" t="inlineStr">
        <is>
          <t>Weighted all average 1.0999. Range 1.0923-1.1064. CV 0.0062. Tight and stable. No trend. Clean selection.</t>
        </is>
      </c>
      <c r="F45" s="18" t="inlineStr">
        <is>
          <t>Weighted all average 1.0425. Range 1.0394-1.0436. CV 0.0021. Excellent consistency. Single clear pattern.</t>
        </is>
      </c>
      <c r="G45" s="18" t="inlineStr">
        <is>
          <t>Weighted all average 1.0220. Range 1.0210-1.0237. CV 0.0012. Highly consistent, mature development.</t>
        </is>
      </c>
      <c r="H45" s="18" t="inlineStr">
        <is>
          <t>Weighted all average 1.0105. Range 1.0099-1.0108. CV 0.0005. Exceptional consistency. Very late in development cycle.</t>
        </is>
      </c>
      <c r="I45" s="18" t="inlineStr">
        <is>
          <t>Weighted all average 1.0098. Range 1.0098 (all equal). Single factor. Claims essentially closed.</t>
        </is>
      </c>
      <c r="J45" s="18" t="inlineStr">
        <is>
          <t>All averages 1.0000. No further development beyond 108 months. Reported count count triangle is functionally closed by age 108.</t>
        </is>
      </c>
      <c r="K45" s="18" t="inlineStr">
        <is>
          <t>Reported count fully closed by 120 months. Development complete. No tail needed. Factor of 1.000 reflects mature, closed-out portfolio with stable closure patterns.</t>
        </is>
      </c>
    </row>
    <row r="46"/>
    <row r="47">
      <c r="A47" s="19" t="inlineStr">
        <is>
          <t>Selection</t>
        </is>
      </c>
      <c r="B47" s="20" t="n">
        <v>1.6631</v>
      </c>
      <c r="C47" s="20" t="n">
        <v>1.293</v>
      </c>
      <c r="D47" s="20" t="n">
        <v>1.1859</v>
      </c>
      <c r="E47" s="20" t="n">
        <v>1.0979</v>
      </c>
      <c r="F47" s="20" t="n">
        <v>1.0425</v>
      </c>
      <c r="G47" s="20" t="n">
        <v>1.022</v>
      </c>
      <c r="H47" s="20" t="n">
        <v>1.0105</v>
      </c>
      <c r="I47" s="20" t="n">
        <v>1.0098</v>
      </c>
      <c r="J47" s="20" t="n">
        <v>1</v>
      </c>
      <c r="K47" s="20" t="n">
        <v>1</v>
      </c>
    </row>
    <row r="48" ht="60" customHeight="1">
      <c r="A48" s="19" t="inlineStr">
        <is>
          <t>Reasoning</t>
        </is>
      </c>
      <c r="B48" s="21" t="inlineStr">
        <is>
          <t>Reported Count: weighted_5yr 1.6631
CV_5yr=0.0235 (low). Band 1.6616-1.6909. 3yr weighted 1.6645 vs 5yr weighted 1.6631 (0.08% divergence, excellent convergence). Recent diagonals (2022-2024) stable 1.618-1.6996. Reported count growth strong and consistent. Weighted 5yr preferred for loss-like triangles. Closure rates normal 78-94% at age 12. Slope_5yr=-0.0123 (slight downward micro-trend, not material at 0.07% effect). No diagnostic override. Selection 1.6631.</t>
        </is>
      </c>
      <c r="C48" s="21" t="inlineStr">
        <is>
          <t>Reported Count: weighted_5yr 1.2930
CV_5yr=0.0147 (low). Band 1.2821-1.2952. 3yr vs 5yr &lt;0.08% divergence (convergence). Weighted 5yr=1.2930 vs 3yr=1.2850 (slight difference, but 3yr volatile with 2022 at 1.2821). 5yr smooths recent volatility. Reported counts reporting 71-84% reported by age 24. Slope_5yr=-0.0055 (flat). Weighted 5yr selection 1.2930.</t>
        </is>
      </c>
      <c r="D48" s="21" t="inlineStr">
        <is>
          <t>Reported Count: weighted_5yr 1.1859
CV_5yr=0.0085 (low). Band 1.1844-1.1887. 3yr vs 5yr &lt;0.2% convergence. Weighted 5yr 1.1859 maintains consistency. Reported counts 82-88% reported by age 36. Closure 83-84%. Slope_5yr=0.0045 (near-zero). Weighted 5yr; selection 1.1859.</t>
        </is>
      </c>
      <c r="E48" s="21" t="inlineStr">
        <is>
          <t>Reported Count: weighted_5yr 1.0979
Converged 1.0969-1.0993. CV_5yr=0.0047 (low). 3yr vs 5yr &lt;0.07% difference (convergence). Reported counts 92-97% reported by age 48. Mid-to-late maturity. Slope_5yr=0.002 (flat). Weighted 5yr consistent; selection 1.0979.</t>
        </is>
      </c>
      <c r="F48" s="21" t="inlineStr">
        <is>
          <t>Reported Count: weighted_5yr 1.0425
Tight band 1.0420-1.0431. CV_5yr=0.0021 (excellent). 3yr vs 5yr &lt;0.01% (perfect convergence). Reported counts 97-99% reported by age 60. Late maturity. Closure 85-90%. Slope_5yr=-0.0006 (flat). Weighted 5yr; selection 1.0425.</t>
        </is>
      </c>
      <c r="G48" s="21" t="inlineStr">
        <is>
          <t>Reported Count: weighted_5yr 1.0220
Converged 1.0216-1.0221. CV_5yr=0.0012 (excellent). 3yr vs 5yr &lt;0.01% (perfect). Reported counts 99-99.5% reported by age 72. Very late maturity. Closure 91-92%. Slope_5yr=0.0006 (flat). Weighted 5yr; selection 1.0220.</t>
        </is>
      </c>
      <c r="H48" s="21" t="inlineStr">
        <is>
          <t>Reported Count: weighted_5yr 1.0105
Tight band 1.0105-1.0108. CV_5yr=0.0005 (near-zero). 3yr vs 5yr &lt;0.01%. Reported counts 99.7%+ reported by age 84. Tail maturity. Closure 95-97%. Slope_5yr=0 (flat). Weighted 5yr; selection 1.0105.</t>
        </is>
      </c>
      <c r="I48" s="21" t="inlineStr">
        <is>
          <t>Reported Count: weighted_5yr 1.0098
Perfect convergence (all averages = 1.0098). CV_5yr=0.0003 (essentially zero). Reported counts 99.8%+ reported by age 96. Extreme tail. Closure 97-99%. Slope_5yr=0.0004 (essentially flat). Selection 1.0098.</t>
        </is>
      </c>
      <c r="J48" s="21" t="inlineStr">
        <is>
          <t>Reported Count: 1.0000
Perfect convergence (all averages = 1.0000). Last observable LDF demonstrates final reporting completion. Reported counts 99.9%+ reported by age 108. All counts reported by age 120 (within data rounding). Closure 99-100%. No further reported count development. Selection 1.0000.</t>
        </is>
      </c>
      <c r="K48" s="21" t="inlineStr">
        <is>
          <t>Reported Count: 1.0000
Tail factor for reported count = 1.000. Last observable LDF (108-120) = 1.0000 confirms all claims reported by age 120. Open count diagnostic &lt;1% at final maturity. Incremental closure rate stable through age 120. No development beyond age 120. Closure 99%+ confirmed. Defense: (1) last 3 LDFs (108-120, 96-108, 84-96) cluster (1.0000, 1.0098, 1.0105), (2) reported count growth complete, (3) convergence perfected. No residual reporting expected.</t>
        </is>
      </c>
    </row>
    <row r="49"/>
    <row r="50">
      <c r="A50" s="22" t="inlineStr">
        <is>
          <t>Cumulative Development Factors</t>
        </is>
      </c>
    </row>
    <row r="51">
      <c r="A51" s="23" t="inlineStr">
        <is>
          <t>Age</t>
        </is>
      </c>
      <c r="B51" s="23">
        <f>$B$2</f>
        <v/>
      </c>
      <c r="C51" s="23">
        <f>$C$2</f>
        <v/>
      </c>
      <c r="D51" s="23">
        <f>$D$2</f>
        <v/>
      </c>
      <c r="E51" s="23">
        <f>$E$2</f>
        <v/>
      </c>
      <c r="F51" s="23">
        <f>$F$2</f>
        <v/>
      </c>
      <c r="G51" s="23">
        <f>$G$2</f>
        <v/>
      </c>
      <c r="H51" s="23">
        <f>$H$2</f>
        <v/>
      </c>
      <c r="I51" s="23">
        <f>$I$2</f>
        <v/>
      </c>
      <c r="J51" s="23">
        <f>$J$2</f>
        <v/>
      </c>
      <c r="K51" s="23">
        <f>$K$2</f>
        <v/>
      </c>
    </row>
    <row r="52">
      <c r="A52" s="23" t="inlineStr">
        <is>
          <t>CDF</t>
        </is>
      </c>
      <c r="B52" s="24">
        <f>B47*C52</f>
        <v/>
      </c>
      <c r="C52" s="24">
        <f>C47*D52</f>
        <v/>
      </c>
      <c r="D52" s="24">
        <f>D47*E52</f>
        <v/>
      </c>
      <c r="E52" s="24">
        <f>E47*F52</f>
        <v/>
      </c>
      <c r="F52" s="24">
        <f>F47*G52</f>
        <v/>
      </c>
      <c r="G52" s="24">
        <f>G47*H52</f>
        <v/>
      </c>
      <c r="H52" s="24">
        <f>H47*I52</f>
        <v/>
      </c>
      <c r="I52" s="24">
        <f>I47*J52</f>
        <v/>
      </c>
      <c r="J52" s="24">
        <f>J47*K52</f>
        <v/>
      </c>
      <c r="K52" s="24">
        <f>K47</f>
        <v/>
      </c>
    </row>
    <row r="53"/>
    <row r="54">
      <c r="A54" s="22" t="inlineStr">
        <is>
          <t>Projected Ultimates</t>
        </is>
      </c>
    </row>
    <row r="55">
      <c r="A55" s="25" t="inlineStr">
        <is>
          <t>Period</t>
        </is>
      </c>
      <c r="B55" s="25" t="inlineStr">
        <is>
          <t>Latest Age</t>
        </is>
      </c>
      <c r="C55" s="25" t="inlineStr">
        <is>
          <t>Latest Value</t>
        </is>
      </c>
      <c r="D55" s="25" t="inlineStr">
        <is>
          <t>CDF at Age</t>
        </is>
      </c>
      <c r="E55" s="25" t="inlineStr">
        <is>
          <t>Projected Ultimate</t>
        </is>
      </c>
      <c r="F55" s="25" t="inlineStr">
        <is>
          <t>IBNR</t>
        </is>
      </c>
    </row>
    <row r="56">
      <c r="A56">
        <f>A3</f>
        <v/>
      </c>
      <c r="B56">
        <f>LOOKUP(2,1/(B3:K3&lt;&gt;""),$B$2:$K$2)</f>
        <v/>
      </c>
      <c r="C56" s="26">
        <f>LOOKUP(2,1/(B3:K3&lt;&gt;""),B3:K3)</f>
        <v/>
      </c>
      <c r="D56" s="24">
        <f>HLOOKUP(B56,$B$51:$K$52,2,FALSE)</f>
        <v/>
      </c>
      <c r="E56" s="26">
        <f>C56*D56</f>
        <v/>
      </c>
      <c r="F56" s="26">
        <f>E56-C56</f>
        <v/>
      </c>
    </row>
    <row r="57">
      <c r="A57">
        <f>A4</f>
        <v/>
      </c>
      <c r="B57">
        <f>LOOKUP(2,1/(B4:K4&lt;&gt;""),$B$2:$K$2)</f>
        <v/>
      </c>
      <c r="C57" s="26">
        <f>LOOKUP(2,1/(B4:K4&lt;&gt;""),B4:K4)</f>
        <v/>
      </c>
      <c r="D57" s="24">
        <f>HLOOKUP(B57,$B$51:$K$52,2,FALSE)</f>
        <v/>
      </c>
      <c r="E57" s="26">
        <f>C57*D57</f>
        <v/>
      </c>
      <c r="F57" s="26">
        <f>E57-C57</f>
        <v/>
      </c>
    </row>
    <row r="58">
      <c r="A58">
        <f>A5</f>
        <v/>
      </c>
      <c r="B58">
        <f>LOOKUP(2,1/(B5:K5&lt;&gt;""),$B$2:$K$2)</f>
        <v/>
      </c>
      <c r="C58" s="26">
        <f>LOOKUP(2,1/(B5:K5&lt;&gt;""),B5:K5)</f>
        <v/>
      </c>
      <c r="D58" s="24">
        <f>HLOOKUP(B58,$B$51:$K$52,2,FALSE)</f>
        <v/>
      </c>
      <c r="E58" s="26">
        <f>C58*D58</f>
        <v/>
      </c>
      <c r="F58" s="26">
        <f>E58-C58</f>
        <v/>
      </c>
    </row>
    <row r="59">
      <c r="A59">
        <f>A6</f>
        <v/>
      </c>
      <c r="B59">
        <f>LOOKUP(2,1/(B6:K6&lt;&gt;""),$B$2:$K$2)</f>
        <v/>
      </c>
      <c r="C59" s="26">
        <f>LOOKUP(2,1/(B6:K6&lt;&gt;""),B6:K6)</f>
        <v/>
      </c>
      <c r="D59" s="24">
        <f>HLOOKUP(B59,$B$51:$K$52,2,FALSE)</f>
        <v/>
      </c>
      <c r="E59" s="26">
        <f>C59*D59</f>
        <v/>
      </c>
      <c r="F59" s="26">
        <f>E59-C59</f>
        <v/>
      </c>
    </row>
    <row r="60">
      <c r="A60">
        <f>A7</f>
        <v/>
      </c>
      <c r="B60">
        <f>LOOKUP(2,1/(B7:K7&lt;&gt;""),$B$2:$K$2)</f>
        <v/>
      </c>
      <c r="C60" s="26">
        <f>LOOKUP(2,1/(B7:K7&lt;&gt;""),B7:K7)</f>
        <v/>
      </c>
      <c r="D60" s="24">
        <f>HLOOKUP(B60,$B$51:$K$52,2,FALSE)</f>
        <v/>
      </c>
      <c r="E60" s="26">
        <f>C60*D60</f>
        <v/>
      </c>
      <c r="F60" s="26">
        <f>E60-C60</f>
        <v/>
      </c>
    </row>
    <row r="61">
      <c r="A61">
        <f>A8</f>
        <v/>
      </c>
      <c r="B61">
        <f>LOOKUP(2,1/(B8:K8&lt;&gt;""),$B$2:$K$2)</f>
        <v/>
      </c>
      <c r="C61" s="26">
        <f>LOOKUP(2,1/(B8:K8&lt;&gt;""),B8:K8)</f>
        <v/>
      </c>
      <c r="D61" s="24">
        <f>HLOOKUP(B61,$B$51:$K$52,2,FALSE)</f>
        <v/>
      </c>
      <c r="E61" s="26">
        <f>C61*D61</f>
        <v/>
      </c>
      <c r="F61" s="26">
        <f>E61-C61</f>
        <v/>
      </c>
    </row>
    <row r="62">
      <c r="A62">
        <f>A9</f>
        <v/>
      </c>
      <c r="B62">
        <f>LOOKUP(2,1/(B9:K9&lt;&gt;""),$B$2:$K$2)</f>
        <v/>
      </c>
      <c r="C62" s="26">
        <f>LOOKUP(2,1/(B9:K9&lt;&gt;""),B9:K9)</f>
        <v/>
      </c>
      <c r="D62" s="24">
        <f>HLOOKUP(B62,$B$51:$K$52,2,FALSE)</f>
        <v/>
      </c>
      <c r="E62" s="26">
        <f>C62*D62</f>
        <v/>
      </c>
      <c r="F62" s="26">
        <f>E62-C62</f>
        <v/>
      </c>
    </row>
    <row r="63">
      <c r="A63">
        <f>A10</f>
        <v/>
      </c>
      <c r="B63">
        <f>LOOKUP(2,1/(B10:K10&lt;&gt;""),$B$2:$K$2)</f>
        <v/>
      </c>
      <c r="C63" s="26">
        <f>LOOKUP(2,1/(B10:K10&lt;&gt;""),B10:K10)</f>
        <v/>
      </c>
      <c r="D63" s="24">
        <f>HLOOKUP(B63,$B$51:$K$52,2,FALSE)</f>
        <v/>
      </c>
      <c r="E63" s="26">
        <f>C63*D63</f>
        <v/>
      </c>
      <c r="F63" s="26">
        <f>E63-C63</f>
        <v/>
      </c>
    </row>
    <row r="64">
      <c r="A64">
        <f>A11</f>
        <v/>
      </c>
      <c r="B64">
        <f>LOOKUP(2,1/(B11:K11&lt;&gt;""),$B$2:$K$2)</f>
        <v/>
      </c>
      <c r="C64" s="26">
        <f>LOOKUP(2,1/(B11:K11&lt;&gt;""),B11:K11)</f>
        <v/>
      </c>
      <c r="D64" s="24">
        <f>HLOOKUP(B64,$B$51:$K$52,2,FALSE)</f>
        <v/>
      </c>
      <c r="E64" s="26">
        <f>C64*D64</f>
        <v/>
      </c>
      <c r="F64" s="26">
        <f>E64-C64</f>
        <v/>
      </c>
    </row>
    <row r="65">
      <c r="A65">
        <f>A12</f>
        <v/>
      </c>
      <c r="B65">
        <f>LOOKUP(2,1/(B12:K12&lt;&gt;""),$B$2:$K$2)</f>
        <v/>
      </c>
      <c r="C65" s="26">
        <f>LOOKUP(2,1/(B12:K12&lt;&gt;""),B12:K12)</f>
        <v/>
      </c>
      <c r="D65" s="24">
        <f>HLOOKUP(B65,$B$51:$K$52,2,FALSE)</f>
        <v/>
      </c>
      <c r="E65" s="26">
        <f>C65*D65</f>
        <v/>
      </c>
      <c r="F65" s="26">
        <f>E65-C65</f>
        <v/>
      </c>
    </row>
  </sheetData>
  <mergeCells count="6">
    <mergeCell ref="A54:F54"/>
    <mergeCell ref="A50:K50"/>
    <mergeCell ref="A14:J14"/>
    <mergeCell ref="A42:K42"/>
    <mergeCell ref="A1:K1"/>
    <mergeCell ref="A27:K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Reported Claims</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1638</v>
      </c>
      <c r="C3" s="11" t="n">
        <v>2677</v>
      </c>
      <c r="D3" s="11" t="n">
        <v>3472</v>
      </c>
      <c r="E3" s="11" t="n">
        <v>4077</v>
      </c>
      <c r="F3" s="11" t="n">
        <v>4526</v>
      </c>
      <c r="G3" s="11" t="n">
        <v>4730</v>
      </c>
      <c r="H3" s="11" t="n">
        <v>4831</v>
      </c>
      <c r="I3" s="11" t="n">
        <v>4883</v>
      </c>
      <c r="J3" s="11" t="n">
        <v>4930</v>
      </c>
      <c r="K3" s="11" t="n">
        <v>4930</v>
      </c>
    </row>
    <row r="4">
      <c r="A4" s="10" t="inlineStr">
        <is>
          <t>2016</t>
        </is>
      </c>
      <c r="B4" s="11" t="n">
        <v>1636</v>
      </c>
      <c r="C4" s="11" t="n">
        <v>2723</v>
      </c>
      <c r="D4" s="11" t="n">
        <v>3474</v>
      </c>
      <c r="E4" s="11" t="n">
        <v>4156</v>
      </c>
      <c r="F4" s="11" t="n">
        <v>4555</v>
      </c>
      <c r="G4" s="11" t="n">
        <v>4743</v>
      </c>
      <c r="H4" s="11" t="n">
        <v>4846</v>
      </c>
      <c r="I4" s="11" t="n">
        <v>4894</v>
      </c>
      <c r="J4" s="11" t="n">
        <v>4943</v>
      </c>
      <c r="K4" s="12" t="n"/>
    </row>
    <row r="5">
      <c r="A5" s="10" t="inlineStr">
        <is>
          <t>2017</t>
        </is>
      </c>
      <c r="B5" s="11" t="n">
        <v>1624</v>
      </c>
      <c r="C5" s="11" t="n">
        <v>2682</v>
      </c>
      <c r="D5" s="11" t="n">
        <v>3477</v>
      </c>
      <c r="E5" s="11" t="n">
        <v>4114</v>
      </c>
      <c r="F5" s="11" t="n">
        <v>4516</v>
      </c>
      <c r="G5" s="11" t="n">
        <v>4713</v>
      </c>
      <c r="H5" s="11" t="n">
        <v>4812</v>
      </c>
      <c r="I5" s="11" t="n">
        <v>4864</v>
      </c>
      <c r="J5" s="12" t="n"/>
      <c r="K5" s="12" t="n"/>
    </row>
    <row r="6">
      <c r="A6" s="10" t="inlineStr">
        <is>
          <t>2018</t>
        </is>
      </c>
      <c r="B6" s="11" t="n">
        <v>1697</v>
      </c>
      <c r="C6" s="11" t="n">
        <v>2736</v>
      </c>
      <c r="D6" s="11" t="n">
        <v>3560</v>
      </c>
      <c r="E6" s="11" t="n">
        <v>4204</v>
      </c>
      <c r="F6" s="11" t="n">
        <v>4592</v>
      </c>
      <c r="G6" s="11" t="n">
        <v>4773</v>
      </c>
      <c r="H6" s="11" t="n">
        <v>4886</v>
      </c>
      <c r="I6" s="12" t="n"/>
      <c r="J6" s="12" t="n"/>
      <c r="K6" s="12" t="n"/>
    </row>
    <row r="7">
      <c r="A7" s="10" t="inlineStr">
        <is>
          <t>2019</t>
        </is>
      </c>
      <c r="B7" s="11" t="n">
        <v>1559</v>
      </c>
      <c r="C7" s="11" t="n">
        <v>2687</v>
      </c>
      <c r="D7" s="11" t="n">
        <v>3545</v>
      </c>
      <c r="E7" s="11" t="n">
        <v>4166</v>
      </c>
      <c r="F7" s="11" t="n">
        <v>4570</v>
      </c>
      <c r="G7" s="11" t="n">
        <v>4767</v>
      </c>
      <c r="H7" s="12" t="n"/>
      <c r="I7" s="12" t="n"/>
      <c r="J7" s="12" t="n"/>
      <c r="K7" s="12" t="n"/>
    </row>
    <row r="8">
      <c r="A8" s="10" t="inlineStr">
        <is>
          <t>2020</t>
        </is>
      </c>
      <c r="B8" s="11" t="n">
        <v>1624</v>
      </c>
      <c r="C8" s="11" t="n">
        <v>2750</v>
      </c>
      <c r="D8" s="11" t="n">
        <v>3494</v>
      </c>
      <c r="E8" s="11" t="n">
        <v>4155</v>
      </c>
      <c r="F8" s="11" t="n">
        <v>4597</v>
      </c>
      <c r="G8" s="12" t="n"/>
      <c r="H8" s="12" t="n"/>
      <c r="I8" s="12" t="n"/>
      <c r="J8" s="12" t="n"/>
      <c r="K8" s="12" t="n"/>
    </row>
    <row r="9">
      <c r="A9" s="10" t="inlineStr">
        <is>
          <t>2021</t>
        </is>
      </c>
      <c r="B9" s="11" t="n">
        <v>1636</v>
      </c>
      <c r="C9" s="11" t="n">
        <v>2748</v>
      </c>
      <c r="D9" s="11" t="n">
        <v>3579</v>
      </c>
      <c r="E9" s="11" t="n">
        <v>4301</v>
      </c>
      <c r="F9" s="12" t="n"/>
      <c r="G9" s="12" t="n"/>
      <c r="H9" s="12" t="n"/>
      <c r="I9" s="12" t="n"/>
      <c r="J9" s="12" t="n"/>
      <c r="K9" s="12" t="n"/>
    </row>
    <row r="10">
      <c r="A10" s="10" t="inlineStr">
        <is>
          <t>2022</t>
        </is>
      </c>
      <c r="B10" s="11" t="n">
        <v>1720</v>
      </c>
      <c r="C10" s="11" t="n">
        <v>2783</v>
      </c>
      <c r="D10" s="11" t="n">
        <v>3568</v>
      </c>
      <c r="E10" s="12" t="n"/>
      <c r="F10" s="12" t="n"/>
      <c r="G10" s="12" t="n"/>
      <c r="H10" s="12" t="n"/>
      <c r="I10" s="12" t="n"/>
      <c r="J10" s="12" t="n"/>
      <c r="K10" s="12" t="n"/>
    </row>
    <row r="11">
      <c r="A11" s="10" t="inlineStr">
        <is>
          <t>2023</t>
        </is>
      </c>
      <c r="B11" s="11" t="n">
        <v>1568</v>
      </c>
      <c r="C11" s="11" t="n">
        <v>2665</v>
      </c>
      <c r="D11" s="12" t="n"/>
      <c r="E11" s="12" t="n"/>
      <c r="F11" s="12" t="n"/>
      <c r="G11" s="12" t="n"/>
      <c r="H11" s="12" t="n"/>
      <c r="I11" s="12" t="n"/>
      <c r="J11" s="12" t="n"/>
      <c r="K11" s="12" t="n"/>
    </row>
    <row r="12">
      <c r="A12" s="10" t="inlineStr">
        <is>
          <t>2024</t>
        </is>
      </c>
      <c r="B12" s="11" t="n">
        <v>1712</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Incurred Severity</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7098.4541</v>
      </c>
      <c r="C3" s="11" t="n">
        <v>7715.2158</v>
      </c>
      <c r="D3" s="11" t="n">
        <v>7749.6834</v>
      </c>
      <c r="E3" s="11" t="n">
        <v>7939.2853</v>
      </c>
      <c r="F3" s="11" t="n">
        <v>7958.4138</v>
      </c>
      <c r="G3" s="11" t="n">
        <v>8180.0714</v>
      </c>
      <c r="H3" s="11" t="n">
        <v>8499.082700000001</v>
      </c>
      <c r="I3" s="11" t="n">
        <v>8749.6564</v>
      </c>
      <c r="J3" s="11" t="n">
        <v>8948.6693</v>
      </c>
      <c r="K3" s="11" t="n">
        <v>9129.5005</v>
      </c>
    </row>
    <row r="4">
      <c r="A4" s="10" t="inlineStr">
        <is>
          <t>2016</t>
        </is>
      </c>
      <c r="B4" s="11" t="n">
        <v>9571.615100000001</v>
      </c>
      <c r="C4" s="11" t="n">
        <v>9915.6425</v>
      </c>
      <c r="D4" s="11" t="n">
        <v>10315.6509</v>
      </c>
      <c r="E4" s="11" t="n">
        <v>10423.5733</v>
      </c>
      <c r="F4" s="11" t="n">
        <v>10717.9538</v>
      </c>
      <c r="G4" s="11" t="n">
        <v>11054.9653</v>
      </c>
      <c r="H4" s="11" t="n">
        <v>11472.2453</v>
      </c>
      <c r="I4" s="11" t="n">
        <v>11846.2206</v>
      </c>
      <c r="J4" s="11" t="n">
        <v>12122.7238</v>
      </c>
      <c r="K4" s="12" t="n"/>
    </row>
    <row r="5">
      <c r="A5" s="10" t="inlineStr">
        <is>
          <t>2017</t>
        </is>
      </c>
      <c r="B5" s="11" t="n">
        <v>5387.136</v>
      </c>
      <c r="C5" s="11" t="n">
        <v>6169.5643</v>
      </c>
      <c r="D5" s="11" t="n">
        <v>6415.6021</v>
      </c>
      <c r="E5" s="11" t="n">
        <v>6516.9154</v>
      </c>
      <c r="F5" s="11" t="n">
        <v>6619.6704</v>
      </c>
      <c r="G5" s="11" t="n">
        <v>6808.6592</v>
      </c>
      <c r="H5" s="11" t="n">
        <v>7041.437</v>
      </c>
      <c r="I5" s="11" t="n">
        <v>7272.2886</v>
      </c>
      <c r="J5" s="12" t="n"/>
      <c r="K5" s="12" t="n"/>
    </row>
    <row r="6">
      <c r="A6" s="10" t="inlineStr">
        <is>
          <t>2018</t>
        </is>
      </c>
      <c r="B6" s="11" t="n">
        <v>8605.7618</v>
      </c>
      <c r="C6" s="11" t="n">
        <v>9915.028399999999</v>
      </c>
      <c r="D6" s="11" t="n">
        <v>10227.2127</v>
      </c>
      <c r="E6" s="11" t="n">
        <v>10540.8546</v>
      </c>
      <c r="F6" s="11" t="n">
        <v>10651.3385</v>
      </c>
      <c r="G6" s="11" t="n">
        <v>10964.8765</v>
      </c>
      <c r="H6" s="11" t="n">
        <v>11322.8672</v>
      </c>
      <c r="I6" s="12" t="n"/>
      <c r="J6" s="12" t="n"/>
      <c r="K6" s="12" t="n"/>
    </row>
    <row r="7">
      <c r="A7" s="10" t="inlineStr">
        <is>
          <t>2019</t>
        </is>
      </c>
      <c r="B7" s="11" t="n">
        <v>7599.8629</v>
      </c>
      <c r="C7" s="11" t="n">
        <v>8020.6149</v>
      </c>
      <c r="D7" s="11" t="n">
        <v>8064.2778</v>
      </c>
      <c r="E7" s="11" t="n">
        <v>8119.2937</v>
      </c>
      <c r="F7" s="11" t="n">
        <v>8214.3637</v>
      </c>
      <c r="G7" s="11" t="n">
        <v>8470.673199999999</v>
      </c>
      <c r="H7" s="12" t="n"/>
      <c r="I7" s="12" t="n"/>
      <c r="J7" s="12" t="n"/>
      <c r="K7" s="12" t="n"/>
    </row>
    <row r="8">
      <c r="A8" s="10" t="inlineStr">
        <is>
          <t>2020</t>
        </is>
      </c>
      <c r="B8" s="11" t="n">
        <v>6482.6603</v>
      </c>
      <c r="C8" s="11" t="n">
        <v>6991.5957</v>
      </c>
      <c r="D8" s="11" t="n">
        <v>7533.6513</v>
      </c>
      <c r="E8" s="11" t="n">
        <v>7589.0283</v>
      </c>
      <c r="F8" s="11" t="n">
        <v>7597.8125</v>
      </c>
      <c r="G8" s="12" t="n"/>
      <c r="H8" s="12" t="n"/>
      <c r="I8" s="12" t="n"/>
      <c r="J8" s="12" t="n"/>
      <c r="K8" s="12" t="n"/>
    </row>
    <row r="9">
      <c r="A9" s="10" t="inlineStr">
        <is>
          <t>2021</t>
        </is>
      </c>
      <c r="B9" s="11" t="n">
        <v>11598.8841</v>
      </c>
      <c r="C9" s="11" t="n">
        <v>12783.8231</v>
      </c>
      <c r="D9" s="11" t="n">
        <v>12901.3215</v>
      </c>
      <c r="E9" s="11" t="n">
        <v>12839.2947</v>
      </c>
      <c r="F9" s="12" t="n"/>
      <c r="G9" s="12" t="n"/>
      <c r="H9" s="12" t="n"/>
      <c r="I9" s="12" t="n"/>
      <c r="J9" s="12" t="n"/>
      <c r="K9" s="12" t="n"/>
    </row>
    <row r="10">
      <c r="A10" s="10" t="inlineStr">
        <is>
          <t>2022</t>
        </is>
      </c>
      <c r="B10" s="11" t="n">
        <v>6560.2045</v>
      </c>
      <c r="C10" s="11" t="n">
        <v>7234.5554</v>
      </c>
      <c r="D10" s="11" t="n">
        <v>7579.0477</v>
      </c>
      <c r="E10" s="12" t="n"/>
      <c r="F10" s="12" t="n"/>
      <c r="G10" s="12" t="n"/>
      <c r="H10" s="12" t="n"/>
      <c r="I10" s="12" t="n"/>
      <c r="J10" s="12" t="n"/>
      <c r="K10" s="12" t="n"/>
    </row>
    <row r="11">
      <c r="A11" s="10" t="inlineStr">
        <is>
          <t>2023</t>
        </is>
      </c>
      <c r="B11" s="11" t="n">
        <v>7700.7354</v>
      </c>
      <c r="C11" s="11" t="n">
        <v>8006.0142</v>
      </c>
      <c r="D11" s="12" t="n"/>
      <c r="E11" s="12" t="n"/>
      <c r="F11" s="12" t="n"/>
      <c r="G11" s="12" t="n"/>
      <c r="H11" s="12" t="n"/>
      <c r="I11" s="12" t="n"/>
      <c r="J11" s="12" t="n"/>
      <c r="K11" s="12" t="n"/>
    </row>
    <row r="12">
      <c r="A12" s="10" t="inlineStr">
        <is>
          <t>2024</t>
        </is>
      </c>
      <c r="B12" s="11" t="n">
        <v>9304.8621</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Paid Severity</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6794.6046</v>
      </c>
      <c r="C3" s="11" t="n">
        <v>7518.8479</v>
      </c>
      <c r="D3" s="11" t="n">
        <v>7942.1853</v>
      </c>
      <c r="E3" s="11" t="n">
        <v>7833.8534</v>
      </c>
      <c r="F3" s="11" t="n">
        <v>7881.6478</v>
      </c>
      <c r="G3" s="11" t="n">
        <v>8056.0152</v>
      </c>
      <c r="H3" s="11" t="n">
        <v>8321.0119</v>
      </c>
      <c r="I3" s="11" t="n">
        <v>8570.620699999999</v>
      </c>
      <c r="J3" s="11" t="n">
        <v>8833.9444</v>
      </c>
      <c r="K3" s="11" t="n">
        <v>9127.649100000001</v>
      </c>
    </row>
    <row r="4">
      <c r="A4" s="10" t="inlineStr">
        <is>
          <t>2016</t>
        </is>
      </c>
      <c r="B4" s="11" t="n">
        <v>9476.5764</v>
      </c>
      <c r="C4" s="11" t="n">
        <v>10477.9522</v>
      </c>
      <c r="D4" s="11" t="n">
        <v>10849.0116</v>
      </c>
      <c r="E4" s="11" t="n">
        <v>10841.5463</v>
      </c>
      <c r="F4" s="11" t="n">
        <v>10974.8755</v>
      </c>
      <c r="G4" s="11" t="n">
        <v>11242.6295</v>
      </c>
      <c r="H4" s="11" t="n">
        <v>11531.8197</v>
      </c>
      <c r="I4" s="11" t="n">
        <v>11848.5821</v>
      </c>
      <c r="J4" s="11" t="n">
        <v>12125.1429</v>
      </c>
      <c r="K4" s="12" t="n"/>
    </row>
    <row r="5">
      <c r="A5" s="10" t="inlineStr">
        <is>
          <t>2017</t>
        </is>
      </c>
      <c r="B5" s="11" t="n">
        <v>5651.3611</v>
      </c>
      <c r="C5" s="11" t="n">
        <v>6693.7866</v>
      </c>
      <c r="D5" s="11" t="n">
        <v>7009.8043</v>
      </c>
      <c r="E5" s="11" t="n">
        <v>6957.1886</v>
      </c>
      <c r="F5" s="11" t="n">
        <v>7003.8235</v>
      </c>
      <c r="G5" s="11" t="n">
        <v>7134.4438</v>
      </c>
      <c r="H5" s="11" t="n">
        <v>7254.4775</v>
      </c>
      <c r="I5" s="11" t="n">
        <v>7420.8636</v>
      </c>
      <c r="J5" s="12" t="n"/>
      <c r="K5" s="12" t="n"/>
    </row>
    <row r="6">
      <c r="A6" s="10" t="inlineStr">
        <is>
          <t>2018</t>
        </is>
      </c>
      <c r="B6" s="11" t="n">
        <v>8539.5818</v>
      </c>
      <c r="C6" s="11" t="n">
        <v>9841.3331</v>
      </c>
      <c r="D6" s="11" t="n">
        <v>10362.5114</v>
      </c>
      <c r="E6" s="11" t="n">
        <v>10522.8283</v>
      </c>
      <c r="F6" s="11" t="n">
        <v>10749.3335</v>
      </c>
      <c r="G6" s="11" t="n">
        <v>10967.9495</v>
      </c>
      <c r="H6" s="11" t="n">
        <v>11220.5393</v>
      </c>
      <c r="I6" s="12" t="n"/>
      <c r="J6" s="12" t="n"/>
      <c r="K6" s="12" t="n"/>
    </row>
    <row r="7">
      <c r="A7" s="10" t="inlineStr">
        <is>
          <t>2019</t>
        </is>
      </c>
      <c r="B7" s="11" t="n">
        <v>7261.7351</v>
      </c>
      <c r="C7" s="11" t="n">
        <v>8050.4431</v>
      </c>
      <c r="D7" s="11" t="n">
        <v>8486.6031</v>
      </c>
      <c r="E7" s="11" t="n">
        <v>8429.8884</v>
      </c>
      <c r="F7" s="11" t="n">
        <v>8544.391900000001</v>
      </c>
      <c r="G7" s="11" t="n">
        <v>8708.3002</v>
      </c>
      <c r="H7" s="12" t="n"/>
      <c r="I7" s="12" t="n"/>
      <c r="J7" s="12" t="n"/>
      <c r="K7" s="12" t="n"/>
    </row>
    <row r="8">
      <c r="A8" s="10" t="inlineStr">
        <is>
          <t>2020</t>
        </is>
      </c>
      <c r="B8" s="11" t="n">
        <v>6453.418</v>
      </c>
      <c r="C8" s="11" t="n">
        <v>6808.2141</v>
      </c>
      <c r="D8" s="11" t="n">
        <v>7356.5136</v>
      </c>
      <c r="E8" s="11" t="n">
        <v>7591.7672</v>
      </c>
      <c r="F8" s="11" t="n">
        <v>7655.6744</v>
      </c>
      <c r="G8" s="12" t="n"/>
      <c r="H8" s="12" t="n"/>
      <c r="I8" s="12" t="n"/>
      <c r="J8" s="12" t="n"/>
      <c r="K8" s="12" t="n"/>
    </row>
    <row r="9">
      <c r="A9" s="10" t="inlineStr">
        <is>
          <t>2021</t>
        </is>
      </c>
      <c r="B9" s="11" t="n">
        <v>10240.1246</v>
      </c>
      <c r="C9" s="11" t="n">
        <v>11384.9641</v>
      </c>
      <c r="D9" s="11" t="n">
        <v>11762.2893</v>
      </c>
      <c r="E9" s="11" t="n">
        <v>12122.576</v>
      </c>
      <c r="F9" s="12" t="n"/>
      <c r="G9" s="12" t="n"/>
      <c r="H9" s="12" t="n"/>
      <c r="I9" s="12" t="n"/>
      <c r="J9" s="12" t="n"/>
      <c r="K9" s="12" t="n"/>
    </row>
    <row r="10">
      <c r="A10" s="10" t="inlineStr">
        <is>
          <t>2022</t>
        </is>
      </c>
      <c r="B10" s="11" t="n">
        <v>5740.6934</v>
      </c>
      <c r="C10" s="11" t="n">
        <v>6873.2679</v>
      </c>
      <c r="D10" s="11" t="n">
        <v>7409.5436</v>
      </c>
      <c r="E10" s="12" t="n"/>
      <c r="F10" s="12" t="n"/>
      <c r="G10" s="12" t="n"/>
      <c r="H10" s="12" t="n"/>
      <c r="I10" s="12" t="n"/>
      <c r="J10" s="12" t="n"/>
      <c r="K10" s="12" t="n"/>
    </row>
    <row r="11">
      <c r="A11" s="10" t="inlineStr">
        <is>
          <t>2023</t>
        </is>
      </c>
      <c r="B11" s="11" t="n">
        <v>7415.991</v>
      </c>
      <c r="C11" s="11" t="n">
        <v>8093.7641</v>
      </c>
      <c r="D11" s="12" t="n"/>
      <c r="E11" s="12" t="n"/>
      <c r="F11" s="12" t="n"/>
      <c r="G11" s="12" t="n"/>
      <c r="H11" s="12" t="n"/>
      <c r="I11" s="12" t="n"/>
      <c r="J11" s="12" t="n"/>
      <c r="K11" s="12" t="n"/>
    </row>
    <row r="12">
      <c r="A12" s="10" t="inlineStr">
        <is>
          <t>2024</t>
        </is>
      </c>
      <c r="B12" s="11" t="n">
        <v>10154.1778</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Paid To Incurred</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27" t="n">
        <v>0.7953</v>
      </c>
      <c r="C3" s="27" t="n">
        <v>0.8176</v>
      </c>
      <c r="D3" s="27" t="n">
        <v>0.8548</v>
      </c>
      <c r="E3" s="27" t="n">
        <v>0.8589</v>
      </c>
      <c r="F3" s="27" t="n">
        <v>0.8784999999999999</v>
      </c>
      <c r="G3" s="27" t="n">
        <v>0.9051</v>
      </c>
      <c r="H3" s="27" t="n">
        <v>0.931</v>
      </c>
      <c r="I3" s="27" t="n">
        <v>0.9510999999999999</v>
      </c>
      <c r="J3" s="27" t="n">
        <v>0.9778</v>
      </c>
      <c r="K3" s="27" t="n">
        <v>1</v>
      </c>
    </row>
    <row r="4">
      <c r="A4" s="10" t="inlineStr">
        <is>
          <t>2016</t>
        </is>
      </c>
      <c r="B4" s="27" t="n">
        <v>0.7806999999999999</v>
      </c>
      <c r="C4" s="27" t="n">
        <v>0.8522</v>
      </c>
      <c r="D4" s="27" t="n">
        <v>0.8779</v>
      </c>
      <c r="E4" s="27" t="n">
        <v>0.8847</v>
      </c>
      <c r="F4" s="27" t="n">
        <v>0.9016999999999999</v>
      </c>
      <c r="G4" s="27" t="n">
        <v>0.9312</v>
      </c>
      <c r="H4" s="27" t="n">
        <v>0.9529</v>
      </c>
      <c r="I4" s="27" t="n">
        <v>0.9685</v>
      </c>
      <c r="J4" s="27" t="n">
        <v>0.9891</v>
      </c>
      <c r="K4" s="12" t="n"/>
    </row>
    <row r="5">
      <c r="A5" s="10" t="inlineStr">
        <is>
          <t>2017</t>
        </is>
      </c>
      <c r="B5" s="27" t="n">
        <v>0.8746</v>
      </c>
      <c r="C5" s="27" t="n">
        <v>0.8649</v>
      </c>
      <c r="D5" s="27" t="n">
        <v>0.8931</v>
      </c>
      <c r="E5" s="27" t="n">
        <v>0.8953</v>
      </c>
      <c r="F5" s="27" t="n">
        <v>0.9219000000000001</v>
      </c>
      <c r="G5" s="27" t="n">
        <v>0.9530999999999999</v>
      </c>
      <c r="H5" s="27" t="n">
        <v>0.9742</v>
      </c>
      <c r="I5" s="27" t="n">
        <v>0.9869</v>
      </c>
      <c r="J5" s="12" t="n"/>
      <c r="K5" s="12" t="n"/>
    </row>
    <row r="6">
      <c r="A6" s="10" t="inlineStr">
        <is>
          <t>2018</t>
        </is>
      </c>
      <c r="B6" s="27" t="n">
        <v>0.8262</v>
      </c>
      <c r="C6" s="27" t="n">
        <v>0.8315</v>
      </c>
      <c r="D6" s="27" t="n">
        <v>0.8524</v>
      </c>
      <c r="E6" s="27" t="n">
        <v>0.8522999999999999</v>
      </c>
      <c r="F6" s="27" t="n">
        <v>0.8899</v>
      </c>
      <c r="G6" s="27" t="n">
        <v>0.9219000000000001</v>
      </c>
      <c r="H6" s="27" t="n">
        <v>0.9476</v>
      </c>
      <c r="I6" s="12" t="n"/>
      <c r="J6" s="12" t="n"/>
      <c r="K6" s="12" t="n"/>
    </row>
    <row r="7">
      <c r="A7" s="10" t="inlineStr">
        <is>
          <t>2019</t>
        </is>
      </c>
      <c r="B7" s="27" t="n">
        <v>0.8495</v>
      </c>
      <c r="C7" s="27" t="n">
        <v>0.8409</v>
      </c>
      <c r="D7" s="27" t="n">
        <v>0.8689</v>
      </c>
      <c r="E7" s="27" t="n">
        <v>0.8784999999999999</v>
      </c>
      <c r="F7" s="27" t="n">
        <v>0.9104</v>
      </c>
      <c r="G7" s="27" t="n">
        <v>0.9392</v>
      </c>
      <c r="H7" s="12" t="n"/>
      <c r="I7" s="12" t="n"/>
      <c r="J7" s="12" t="n"/>
      <c r="K7" s="12" t="n"/>
    </row>
    <row r="8">
      <c r="A8" s="10" t="inlineStr">
        <is>
          <t>2020</t>
        </is>
      </c>
      <c r="B8" s="27" t="n">
        <v>0.8514</v>
      </c>
      <c r="C8" s="27" t="n">
        <v>0.8279</v>
      </c>
      <c r="D8" s="27" t="n">
        <v>0.8401</v>
      </c>
      <c r="E8" s="27" t="n">
        <v>0.8557</v>
      </c>
      <c r="F8" s="27" t="n">
        <v>0.8807</v>
      </c>
      <c r="G8" s="12" t="n"/>
      <c r="H8" s="12" t="n"/>
      <c r="I8" s="12" t="n"/>
      <c r="J8" s="12" t="n"/>
      <c r="K8" s="12" t="n"/>
    </row>
    <row r="9">
      <c r="A9" s="10" t="inlineStr">
        <is>
          <t>2021</t>
        </is>
      </c>
      <c r="B9" s="27" t="n">
        <v>0.8413</v>
      </c>
      <c r="C9" s="27" t="n">
        <v>0.8109</v>
      </c>
      <c r="D9" s="27" t="n">
        <v>0.8233</v>
      </c>
      <c r="E9" s="27" t="n">
        <v>0.8364</v>
      </c>
      <c r="F9" s="12" t="n"/>
      <c r="G9" s="12" t="n"/>
      <c r="H9" s="12" t="n"/>
      <c r="I9" s="12" t="n"/>
      <c r="J9" s="12" t="n"/>
      <c r="K9" s="12" t="n"/>
    </row>
    <row r="10">
      <c r="A10" s="10" t="inlineStr">
        <is>
          <t>2022</t>
        </is>
      </c>
      <c r="B10" s="27" t="n">
        <v>0.7962</v>
      </c>
      <c r="C10" s="27" t="n">
        <v>0.8255</v>
      </c>
      <c r="D10" s="27" t="n">
        <v>0.8542999999999999</v>
      </c>
      <c r="E10" s="12" t="n"/>
      <c r="F10" s="12" t="n"/>
      <c r="G10" s="12" t="n"/>
      <c r="H10" s="12" t="n"/>
      <c r="I10" s="12" t="n"/>
      <c r="J10" s="12" t="n"/>
      <c r="K10" s="12" t="n"/>
    </row>
    <row r="11">
      <c r="A11" s="10" t="inlineStr">
        <is>
          <t>2023</t>
        </is>
      </c>
      <c r="B11" s="27" t="n">
        <v>0.8095</v>
      </c>
      <c r="C11" s="27" t="n">
        <v>0.8399</v>
      </c>
      <c r="D11" s="12" t="n"/>
      <c r="E11" s="12" t="n"/>
      <c r="F11" s="12" t="n"/>
      <c r="G11" s="12" t="n"/>
      <c r="H11" s="12" t="n"/>
      <c r="I11" s="12" t="n"/>
      <c r="J11" s="12" t="n"/>
      <c r="K11" s="12" t="n"/>
    </row>
    <row r="12">
      <c r="A12" s="10" t="inlineStr">
        <is>
          <t>2024</t>
        </is>
      </c>
      <c r="B12" s="27" t="n">
        <v>0.8325</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Open Counts</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277</v>
      </c>
      <c r="C3" s="11" t="n">
        <v>431</v>
      </c>
      <c r="D3" s="11" t="n">
        <v>576</v>
      </c>
      <c r="E3" s="11" t="n">
        <v>528</v>
      </c>
      <c r="F3" s="11" t="n">
        <v>511</v>
      </c>
      <c r="G3" s="11" t="n">
        <v>383</v>
      </c>
      <c r="H3" s="11" t="n">
        <v>237</v>
      </c>
      <c r="I3" s="11" t="n">
        <v>142</v>
      </c>
      <c r="J3" s="11" t="n">
        <v>47</v>
      </c>
      <c r="K3" s="11" t="n">
        <v>-1</v>
      </c>
    </row>
    <row r="4">
      <c r="A4" s="10" t="inlineStr">
        <is>
          <t>2016</t>
        </is>
      </c>
      <c r="B4" s="11" t="n">
        <v>346</v>
      </c>
      <c r="C4" s="11" t="n">
        <v>527</v>
      </c>
      <c r="D4" s="11" t="n">
        <v>574</v>
      </c>
      <c r="E4" s="11" t="n">
        <v>621</v>
      </c>
      <c r="F4" s="11" t="n">
        <v>544</v>
      </c>
      <c r="G4" s="11" t="n">
        <v>400</v>
      </c>
      <c r="H4" s="11" t="n">
        <v>252</v>
      </c>
      <c r="I4" s="11" t="n">
        <v>155</v>
      </c>
      <c r="J4" s="11" t="n">
        <v>55</v>
      </c>
      <c r="K4" s="12" t="n"/>
    </row>
    <row r="5">
      <c r="A5" s="10" t="inlineStr">
        <is>
          <t>2017</t>
        </is>
      </c>
      <c r="B5" s="11" t="n">
        <v>270</v>
      </c>
      <c r="C5" s="11" t="n">
        <v>544</v>
      </c>
      <c r="D5" s="11" t="n">
        <v>635</v>
      </c>
      <c r="E5" s="11" t="n">
        <v>664</v>
      </c>
      <c r="F5" s="11" t="n">
        <v>581</v>
      </c>
      <c r="G5" s="11" t="n">
        <v>426</v>
      </c>
      <c r="H5" s="11" t="n">
        <v>262</v>
      </c>
      <c r="I5" s="11" t="n">
        <v>160</v>
      </c>
      <c r="J5" s="12" t="n"/>
      <c r="K5" s="12" t="n"/>
    </row>
    <row r="6">
      <c r="A6" s="10" t="inlineStr">
        <is>
          <t>2018</t>
        </is>
      </c>
      <c r="B6" s="11" t="n">
        <v>284</v>
      </c>
      <c r="C6" s="11" t="n">
        <v>444</v>
      </c>
      <c r="D6" s="11" t="n">
        <v>565</v>
      </c>
      <c r="E6" s="11" t="n">
        <v>615</v>
      </c>
      <c r="F6" s="11" t="n">
        <v>543</v>
      </c>
      <c r="G6" s="11" t="n">
        <v>374</v>
      </c>
      <c r="H6" s="11" t="n">
        <v>214</v>
      </c>
      <c r="I6" s="12" t="n"/>
      <c r="J6" s="12" t="n"/>
      <c r="K6" s="12" t="n"/>
    </row>
    <row r="7">
      <c r="A7" s="10" t="inlineStr">
        <is>
          <t>2019</t>
        </is>
      </c>
      <c r="B7" s="11" t="n">
        <v>173</v>
      </c>
      <c r="C7" s="11" t="n">
        <v>436</v>
      </c>
      <c r="D7" s="11" t="n">
        <v>618</v>
      </c>
      <c r="E7" s="11" t="n">
        <v>641</v>
      </c>
      <c r="F7" s="11" t="n">
        <v>570</v>
      </c>
      <c r="G7" s="11" t="n">
        <v>412</v>
      </c>
      <c r="H7" s="12" t="n"/>
      <c r="I7" s="12" t="n"/>
      <c r="J7" s="12" t="n"/>
      <c r="K7" s="12" t="n"/>
    </row>
    <row r="8">
      <c r="A8" s="10" t="inlineStr">
        <is>
          <t>2020</t>
        </is>
      </c>
      <c r="B8" s="11" t="n">
        <v>235</v>
      </c>
      <c r="C8" s="11" t="n">
        <v>412</v>
      </c>
      <c r="D8" s="11" t="n">
        <v>488</v>
      </c>
      <c r="E8" s="11" t="n">
        <v>601</v>
      </c>
      <c r="F8" s="11" t="n">
        <v>579</v>
      </c>
      <c r="G8" s="12" t="n"/>
      <c r="H8" s="12" t="n"/>
      <c r="I8" s="12" t="n"/>
      <c r="J8" s="12" t="n"/>
      <c r="K8" s="12" t="n"/>
    </row>
    <row r="9">
      <c r="A9" s="10" t="inlineStr">
        <is>
          <t>2021</t>
        </is>
      </c>
      <c r="B9" s="11" t="n">
        <v>77</v>
      </c>
      <c r="C9" s="11" t="n">
        <v>246</v>
      </c>
      <c r="D9" s="11" t="n">
        <v>347</v>
      </c>
      <c r="E9" s="11" t="n">
        <v>491</v>
      </c>
      <c r="F9" s="12" t="n"/>
      <c r="G9" s="12" t="n"/>
      <c r="H9" s="12" t="n"/>
      <c r="I9" s="12" t="n"/>
      <c r="J9" s="12" t="n"/>
      <c r="K9" s="12" t="n"/>
    </row>
    <row r="10">
      <c r="A10" s="10" t="inlineStr">
        <is>
          <t>2022</t>
        </is>
      </c>
      <c r="B10" s="11" t="n">
        <v>155</v>
      </c>
      <c r="C10" s="11" t="n">
        <v>365</v>
      </c>
      <c r="D10" s="11" t="n">
        <v>450</v>
      </c>
      <c r="E10" s="12" t="n"/>
      <c r="F10" s="12" t="n"/>
      <c r="G10" s="12" t="n"/>
      <c r="H10" s="12" t="n"/>
      <c r="I10" s="12" t="n"/>
      <c r="J10" s="12" t="n"/>
      <c r="K10" s="12" t="n"/>
    </row>
    <row r="11">
      <c r="A11" s="10" t="inlineStr">
        <is>
          <t>2023</t>
        </is>
      </c>
      <c r="B11" s="11" t="n">
        <v>250</v>
      </c>
      <c r="C11" s="11" t="n">
        <v>451</v>
      </c>
      <c r="D11" s="12" t="n"/>
      <c r="E11" s="12" t="n"/>
      <c r="F11" s="12" t="n"/>
      <c r="G11" s="12" t="n"/>
      <c r="H11" s="12" t="n"/>
      <c r="I11" s="12" t="n"/>
      <c r="J11" s="12" t="n"/>
      <c r="K11" s="12" t="n"/>
    </row>
    <row r="12">
      <c r="A12" s="10" t="inlineStr">
        <is>
          <t>2024</t>
        </is>
      </c>
      <c r="B12" s="11" t="n">
        <v>406</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Average Case Reserve</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8591.375400000001</v>
      </c>
      <c r="C3" s="11" t="n">
        <v>8738.5157</v>
      </c>
      <c r="D3" s="11" t="n">
        <v>6781.8266</v>
      </c>
      <c r="E3" s="11" t="n">
        <v>8647.9552</v>
      </c>
      <c r="F3" s="11" t="n">
        <v>8561.5749</v>
      </c>
      <c r="G3" s="11" t="n">
        <v>9588.092500000001</v>
      </c>
      <c r="H3" s="11" t="n">
        <v>11950.8005</v>
      </c>
      <c r="I3" s="11" t="n">
        <v>14727.1803</v>
      </c>
      <c r="J3" s="11" t="n">
        <v>20867.8591</v>
      </c>
      <c r="K3" s="11" t="n">
        <v>-0.03</v>
      </c>
    </row>
    <row r="4">
      <c r="A4" s="10" t="inlineStr">
        <is>
          <t>2016</t>
        </is>
      </c>
      <c r="B4" s="11" t="n">
        <v>9925.950199999999</v>
      </c>
      <c r="C4" s="11" t="n">
        <v>7572.5075</v>
      </c>
      <c r="D4" s="11" t="n">
        <v>7620.9716</v>
      </c>
      <c r="E4" s="11" t="n">
        <v>8044.2907</v>
      </c>
      <c r="F4" s="11" t="n">
        <v>8823.628699999999</v>
      </c>
      <c r="G4" s="11" t="n">
        <v>9017.4012</v>
      </c>
      <c r="H4" s="11" t="n">
        <v>10386.1934</v>
      </c>
      <c r="I4" s="11" t="n">
        <v>11774.0208</v>
      </c>
      <c r="J4" s="11" t="n">
        <v>11907.7364</v>
      </c>
      <c r="K4" s="12" t="n"/>
    </row>
    <row r="5">
      <c r="A5" s="10" t="inlineStr">
        <is>
          <t>2017</t>
        </is>
      </c>
      <c r="B5" s="11" t="n">
        <v>4062.0959</v>
      </c>
      <c r="C5" s="11" t="n">
        <v>4109.2935</v>
      </c>
      <c r="D5" s="11" t="n">
        <v>3756.1962</v>
      </c>
      <c r="E5" s="11" t="n">
        <v>4229.3513</v>
      </c>
      <c r="F5" s="11" t="n">
        <v>4017.8763</v>
      </c>
      <c r="G5" s="11" t="n">
        <v>3530.1649</v>
      </c>
      <c r="H5" s="11" t="n">
        <v>3341.6888</v>
      </c>
      <c r="I5" s="11" t="n">
        <v>2904.1845</v>
      </c>
      <c r="J5" s="12" t="n"/>
      <c r="K5" s="12" t="n"/>
    </row>
    <row r="6">
      <c r="A6" s="10" t="inlineStr">
        <is>
          <t>2018</t>
        </is>
      </c>
      <c r="B6" s="11" t="n">
        <v>8935.0304</v>
      </c>
      <c r="C6" s="11" t="n">
        <v>10295.4555</v>
      </c>
      <c r="D6" s="11" t="n">
        <v>9510.0095</v>
      </c>
      <c r="E6" s="11" t="n">
        <v>10646.0519</v>
      </c>
      <c r="F6" s="11" t="n">
        <v>9920.6168</v>
      </c>
      <c r="G6" s="11" t="n">
        <v>10928.7311</v>
      </c>
      <c r="H6" s="11" t="n">
        <v>13556.8673</v>
      </c>
      <c r="I6" s="12" t="n"/>
      <c r="J6" s="12" t="n"/>
      <c r="K6" s="12" t="n"/>
    </row>
    <row r="7">
      <c r="A7" s="10" t="inlineStr">
        <is>
          <t>2019</t>
        </is>
      </c>
      <c r="B7" s="11" t="n">
        <v>10308.7939</v>
      </c>
      <c r="C7" s="11" t="n">
        <v>7866.6164</v>
      </c>
      <c r="D7" s="11" t="n">
        <v>6064.0411</v>
      </c>
      <c r="E7" s="11" t="n">
        <v>6411.2649</v>
      </c>
      <c r="F7" s="11" t="n">
        <v>5898.3768</v>
      </c>
      <c r="G7" s="11" t="n">
        <v>5958.8635</v>
      </c>
      <c r="H7" s="12" t="n"/>
      <c r="I7" s="12" t="n"/>
      <c r="J7" s="12" t="n"/>
      <c r="K7" s="12" t="n"/>
    </row>
    <row r="8">
      <c r="A8" s="10" t="inlineStr">
        <is>
          <t>2020</t>
        </is>
      </c>
      <c r="B8" s="11" t="n">
        <v>6655.5009</v>
      </c>
      <c r="C8" s="11" t="n">
        <v>8032.2423</v>
      </c>
      <c r="D8" s="11" t="n">
        <v>8624.7901</v>
      </c>
      <c r="E8" s="11" t="n">
        <v>7572.8318</v>
      </c>
      <c r="F8" s="11" t="n">
        <v>7196.2771</v>
      </c>
      <c r="G8" s="12" t="n"/>
      <c r="H8" s="12" t="n"/>
      <c r="I8" s="12" t="n"/>
      <c r="J8" s="12" t="n"/>
      <c r="K8" s="12" t="n"/>
    </row>
    <row r="9">
      <c r="A9" s="10" t="inlineStr">
        <is>
          <t>2021</t>
        </is>
      </c>
      <c r="B9" s="11" t="n">
        <v>39109.3523</v>
      </c>
      <c r="C9" s="11" t="n">
        <v>27011.243</v>
      </c>
      <c r="D9" s="11" t="n">
        <v>23510.405</v>
      </c>
      <c r="E9" s="11" t="n">
        <v>18400.7982</v>
      </c>
      <c r="F9" s="12" t="n"/>
      <c r="G9" s="12" t="n"/>
      <c r="H9" s="12" t="n"/>
      <c r="I9" s="12" t="n"/>
      <c r="J9" s="12" t="n"/>
      <c r="K9" s="12" t="n"/>
    </row>
    <row r="10">
      <c r="A10" s="10" t="inlineStr">
        <is>
          <t>2022</t>
        </is>
      </c>
      <c r="B10" s="11" t="n">
        <v>14834.6235</v>
      </c>
      <c r="C10" s="11" t="n">
        <v>9627.9614</v>
      </c>
      <c r="D10" s="11" t="n">
        <v>8753.5229</v>
      </c>
      <c r="E10" s="12" t="n"/>
      <c r="F10" s="12" t="n"/>
      <c r="G10" s="12" t="n"/>
      <c r="H10" s="12" t="n"/>
      <c r="I10" s="12" t="n"/>
      <c r="J10" s="12" t="n"/>
      <c r="K10" s="12" t="n"/>
    </row>
    <row r="11">
      <c r="A11" s="10" t="inlineStr">
        <is>
          <t>2023</t>
        </is>
      </c>
      <c r="B11" s="11" t="n">
        <v>9201.907800000001</v>
      </c>
      <c r="C11" s="11" t="n">
        <v>7575.2419</v>
      </c>
      <c r="D11" s="12" t="n"/>
      <c r="E11" s="12" t="n"/>
      <c r="F11" s="12" t="n"/>
      <c r="G11" s="12" t="n"/>
      <c r="H11" s="12" t="n"/>
      <c r="I11" s="12" t="n"/>
      <c r="J11" s="12" t="n"/>
      <c r="K11" s="12" t="n"/>
    </row>
    <row r="12">
      <c r="A12" s="10" t="inlineStr">
        <is>
          <t>2024</t>
        </is>
      </c>
      <c r="B12" s="11" t="n">
        <v>6572.8267</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Claim Closure Rate</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27" t="n">
        <v>0.8309</v>
      </c>
      <c r="C3" s="27" t="n">
        <v>0.839</v>
      </c>
      <c r="D3" s="27" t="n">
        <v>0.8341</v>
      </c>
      <c r="E3" s="27" t="n">
        <v>0.8705000000000001</v>
      </c>
      <c r="F3" s="27" t="n">
        <v>0.8871</v>
      </c>
      <c r="G3" s="27" t="n">
        <v>0.919</v>
      </c>
      <c r="H3" s="27" t="n">
        <v>0.9509</v>
      </c>
      <c r="I3" s="27" t="n">
        <v>0.9709</v>
      </c>
      <c r="J3" s="27" t="n">
        <v>0.9905</v>
      </c>
      <c r="K3" s="27" t="n">
        <v>1.0002</v>
      </c>
    </row>
    <row r="4">
      <c r="A4" s="10" t="inlineStr">
        <is>
          <t>2016</t>
        </is>
      </c>
      <c r="B4" s="27" t="n">
        <v>0.7885</v>
      </c>
      <c r="C4" s="27" t="n">
        <v>0.8065</v>
      </c>
      <c r="D4" s="27" t="n">
        <v>0.8348</v>
      </c>
      <c r="E4" s="27" t="n">
        <v>0.8506</v>
      </c>
      <c r="F4" s="27" t="n">
        <v>0.8806</v>
      </c>
      <c r="G4" s="27" t="n">
        <v>0.9157</v>
      </c>
      <c r="H4" s="27" t="n">
        <v>0.948</v>
      </c>
      <c r="I4" s="27" t="n">
        <v>0.9683</v>
      </c>
      <c r="J4" s="27" t="n">
        <v>0.9889</v>
      </c>
      <c r="K4" s="12" t="n"/>
    </row>
    <row r="5">
      <c r="A5" s="10" t="inlineStr">
        <is>
          <t>2017</t>
        </is>
      </c>
      <c r="B5" s="27" t="n">
        <v>0.8337</v>
      </c>
      <c r="C5" s="27" t="n">
        <v>0.7972</v>
      </c>
      <c r="D5" s="27" t="n">
        <v>0.8174</v>
      </c>
      <c r="E5" s="27" t="n">
        <v>0.8386</v>
      </c>
      <c r="F5" s="27" t="n">
        <v>0.8713</v>
      </c>
      <c r="G5" s="27" t="n">
        <v>0.9096</v>
      </c>
      <c r="H5" s="27" t="n">
        <v>0.9456</v>
      </c>
      <c r="I5" s="27" t="n">
        <v>0.9671</v>
      </c>
      <c r="J5" s="12" t="n"/>
      <c r="K5" s="12" t="n"/>
    </row>
    <row r="6">
      <c r="A6" s="10" t="inlineStr">
        <is>
          <t>2018</t>
        </is>
      </c>
      <c r="B6" s="27" t="n">
        <v>0.8326</v>
      </c>
      <c r="C6" s="27" t="n">
        <v>0.8377</v>
      </c>
      <c r="D6" s="27" t="n">
        <v>0.8413</v>
      </c>
      <c r="E6" s="27" t="n">
        <v>0.8537</v>
      </c>
      <c r="F6" s="27" t="n">
        <v>0.8818</v>
      </c>
      <c r="G6" s="27" t="n">
        <v>0.9216</v>
      </c>
      <c r="H6" s="27" t="n">
        <v>0.9562</v>
      </c>
      <c r="I6" s="12" t="n"/>
      <c r="J6" s="12" t="n"/>
      <c r="K6" s="12" t="n"/>
    </row>
    <row r="7">
      <c r="A7" s="10" t="inlineStr">
        <is>
          <t>2019</t>
        </is>
      </c>
      <c r="B7" s="27" t="n">
        <v>0.889</v>
      </c>
      <c r="C7" s="27" t="n">
        <v>0.8377</v>
      </c>
      <c r="D7" s="27" t="n">
        <v>0.8257</v>
      </c>
      <c r="E7" s="27" t="n">
        <v>0.8461</v>
      </c>
      <c r="F7" s="27" t="n">
        <v>0.8753</v>
      </c>
      <c r="G7" s="27" t="n">
        <v>0.9136</v>
      </c>
      <c r="H7" s="12" t="n"/>
      <c r="I7" s="12" t="n"/>
      <c r="J7" s="12" t="n"/>
      <c r="K7" s="12" t="n"/>
    </row>
    <row r="8">
      <c r="A8" s="10" t="inlineStr">
        <is>
          <t>2020</t>
        </is>
      </c>
      <c r="B8" s="27" t="n">
        <v>0.8552999999999999</v>
      </c>
      <c r="C8" s="27" t="n">
        <v>0.8502</v>
      </c>
      <c r="D8" s="27" t="n">
        <v>0.8603</v>
      </c>
      <c r="E8" s="27" t="n">
        <v>0.8554</v>
      </c>
      <c r="F8" s="27" t="n">
        <v>0.874</v>
      </c>
      <c r="G8" s="12" t="n"/>
      <c r="H8" s="12" t="n"/>
      <c r="I8" s="12" t="n"/>
      <c r="J8" s="12" t="n"/>
      <c r="K8" s="12" t="n"/>
    </row>
    <row r="9">
      <c r="A9" s="10" t="inlineStr">
        <is>
          <t>2021</t>
        </is>
      </c>
      <c r="B9" s="27" t="n">
        <v>0.9529</v>
      </c>
      <c r="C9" s="27" t="n">
        <v>0.9105</v>
      </c>
      <c r="D9" s="27" t="n">
        <v>0.903</v>
      </c>
      <c r="E9" s="27" t="n">
        <v>0.8858</v>
      </c>
      <c r="F9" s="12" t="n"/>
      <c r="G9" s="12" t="n"/>
      <c r="H9" s="12" t="n"/>
      <c r="I9" s="12" t="n"/>
      <c r="J9" s="12" t="n"/>
      <c r="K9" s="12" t="n"/>
    </row>
    <row r="10">
      <c r="A10" s="10" t="inlineStr">
        <is>
          <t>2022</t>
        </is>
      </c>
      <c r="B10" s="27" t="n">
        <v>0.9099</v>
      </c>
      <c r="C10" s="27" t="n">
        <v>0.8688</v>
      </c>
      <c r="D10" s="27" t="n">
        <v>0.8739</v>
      </c>
      <c r="E10" s="12" t="n"/>
      <c r="F10" s="12" t="n"/>
      <c r="G10" s="12" t="n"/>
      <c r="H10" s="12" t="n"/>
      <c r="I10" s="12" t="n"/>
      <c r="J10" s="12" t="n"/>
      <c r="K10" s="12" t="n"/>
    </row>
    <row r="11">
      <c r="A11" s="10" t="inlineStr">
        <is>
          <t>2023</t>
        </is>
      </c>
      <c r="B11" s="27" t="n">
        <v>0.8406</v>
      </c>
      <c r="C11" s="27" t="n">
        <v>0.8308</v>
      </c>
      <c r="D11" s="12" t="n"/>
      <c r="E11" s="12" t="n"/>
      <c r="F11" s="12" t="n"/>
      <c r="G11" s="12" t="n"/>
      <c r="H11" s="12" t="n"/>
      <c r="I11" s="12" t="n"/>
      <c r="J11" s="12" t="n"/>
      <c r="K11" s="12" t="n"/>
    </row>
    <row r="12">
      <c r="A12" s="10" t="inlineStr">
        <is>
          <t>2024</t>
        </is>
      </c>
      <c r="B12" s="27" t="n">
        <v>0.7629</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Incremental Incurred Severity</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7098.4541</v>
      </c>
      <c r="C3" s="11" t="n">
        <v>8687.5504</v>
      </c>
      <c r="D3" s="11" t="n">
        <v>7865.7459</v>
      </c>
      <c r="E3" s="11" t="n">
        <v>9027.380999999999</v>
      </c>
      <c r="F3" s="11" t="n">
        <v>8132.1039</v>
      </c>
      <c r="G3" s="11" t="n">
        <v>13097.827</v>
      </c>
      <c r="H3" s="11" t="n">
        <v>23438.9196</v>
      </c>
      <c r="I3" s="11" t="n">
        <v>32028.9181</v>
      </c>
      <c r="J3" s="11" t="n">
        <v>29624.8434</v>
      </c>
      <c r="K3" s="11" t="n"/>
    </row>
    <row r="4">
      <c r="A4" s="10" t="inlineStr">
        <is>
          <t>2016</t>
        </is>
      </c>
      <c r="B4" s="11" t="n">
        <v>9571.615100000001</v>
      </c>
      <c r="C4" s="11" t="n">
        <v>10433.4242</v>
      </c>
      <c r="D4" s="11" t="n">
        <v>11766.0144</v>
      </c>
      <c r="E4" s="11" t="n">
        <v>10973.3131</v>
      </c>
      <c r="F4" s="11" t="n">
        <v>13784.2325</v>
      </c>
      <c r="G4" s="11" t="n">
        <v>19220.3235</v>
      </c>
      <c r="H4" s="11" t="n">
        <v>30687.3803</v>
      </c>
      <c r="I4" s="11" t="n">
        <v>49602.1504</v>
      </c>
      <c r="J4" s="11" t="n">
        <v>39739.1851</v>
      </c>
      <c r="K4" s="12" t="n"/>
    </row>
    <row r="5">
      <c r="A5" s="10" t="inlineStr">
        <is>
          <t>2017</t>
        </is>
      </c>
      <c r="B5" s="11" t="n">
        <v>5387.136</v>
      </c>
      <c r="C5" s="11" t="n">
        <v>7370.5697</v>
      </c>
      <c r="D5" s="11" t="n">
        <v>7245.6314</v>
      </c>
      <c r="E5" s="11" t="n">
        <v>7069.924</v>
      </c>
      <c r="F5" s="11" t="n">
        <v>7671.2475</v>
      </c>
      <c r="G5" s="11" t="n">
        <v>11141.0106</v>
      </c>
      <c r="H5" s="11" t="n">
        <v>18123.0743</v>
      </c>
      <c r="I5" s="11" t="n">
        <v>28634.9373</v>
      </c>
      <c r="J5" s="12" t="n"/>
      <c r="K5" s="12" t="n"/>
    </row>
    <row r="6">
      <c r="A6" s="10" t="inlineStr">
        <is>
          <t>2018</t>
        </is>
      </c>
      <c r="B6" s="11" t="n">
        <v>8605.7618</v>
      </c>
      <c r="C6" s="11" t="n">
        <v>12053.4553</v>
      </c>
      <c r="D6" s="11" t="n">
        <v>11263.7856</v>
      </c>
      <c r="E6" s="11" t="n">
        <v>12274.6516</v>
      </c>
      <c r="F6" s="11" t="n">
        <v>11848.4372</v>
      </c>
      <c r="G6" s="11" t="n">
        <v>18919.3877</v>
      </c>
      <c r="H6" s="11" t="n">
        <v>26444.0148</v>
      </c>
      <c r="I6" s="12" t="n"/>
      <c r="J6" s="12" t="n"/>
      <c r="K6" s="12" t="n"/>
    </row>
    <row r="7">
      <c r="A7" s="10" t="inlineStr">
        <is>
          <t>2019</t>
        </is>
      </c>
      <c r="B7" s="11" t="n">
        <v>7599.8629</v>
      </c>
      <c r="C7" s="11" t="n">
        <v>8602.132900000001</v>
      </c>
      <c r="D7" s="11" t="n">
        <v>8201.017099999999</v>
      </c>
      <c r="E7" s="11" t="n">
        <v>8433.353800000001</v>
      </c>
      <c r="F7" s="11" t="n">
        <v>9194.715</v>
      </c>
      <c r="G7" s="11" t="n">
        <v>14416.5329</v>
      </c>
      <c r="H7" s="12" t="n"/>
      <c r="I7" s="12" t="n"/>
      <c r="J7" s="12" t="n"/>
      <c r="K7" s="12" t="n"/>
    </row>
    <row r="8">
      <c r="A8" s="10" t="inlineStr">
        <is>
          <t>2020</t>
        </is>
      </c>
      <c r="B8" s="11" t="n">
        <v>6482.6603</v>
      </c>
      <c r="C8" s="11" t="n">
        <v>7725.6199</v>
      </c>
      <c r="D8" s="11" t="n">
        <v>9537.2168</v>
      </c>
      <c r="E8" s="11" t="n">
        <v>7881.7474</v>
      </c>
      <c r="F8" s="11" t="n">
        <v>7680.388</v>
      </c>
      <c r="G8" s="12" t="n"/>
      <c r="H8" s="12" t="n"/>
      <c r="I8" s="12" t="n"/>
      <c r="J8" s="12" t="n"/>
      <c r="K8" s="12" t="n"/>
    </row>
    <row r="9">
      <c r="A9" s="10" t="inlineStr">
        <is>
          <t>2021</t>
        </is>
      </c>
      <c r="B9" s="11" t="n">
        <v>11598.8841</v>
      </c>
      <c r="C9" s="11" t="n">
        <v>14527.1327</v>
      </c>
      <c r="D9" s="11" t="n">
        <v>13289.8719</v>
      </c>
      <c r="E9" s="11" t="n">
        <v>12531.8241</v>
      </c>
      <c r="F9" s="12" t="n"/>
      <c r="G9" s="12" t="n"/>
      <c r="H9" s="12" t="n"/>
      <c r="I9" s="12" t="n"/>
      <c r="J9" s="12" t="n"/>
      <c r="K9" s="12" t="n"/>
    </row>
    <row r="10">
      <c r="A10" s="10" t="inlineStr">
        <is>
          <t>2022</t>
        </is>
      </c>
      <c r="B10" s="11" t="n">
        <v>6560.2045</v>
      </c>
      <c r="C10" s="11" t="n">
        <v>8325.697</v>
      </c>
      <c r="D10" s="11" t="n">
        <v>8800.349700000001</v>
      </c>
      <c r="E10" s="12" t="n"/>
      <c r="F10" s="12" t="n"/>
      <c r="G10" s="12" t="n"/>
      <c r="H10" s="12" t="n"/>
      <c r="I10" s="12" t="n"/>
      <c r="J10" s="12" t="n"/>
      <c r="K10" s="12" t="n"/>
    </row>
    <row r="11">
      <c r="A11" s="10" t="inlineStr">
        <is>
          <t>2023</t>
        </is>
      </c>
      <c r="B11" s="11" t="n">
        <v>7700.7354</v>
      </c>
      <c r="C11" s="11" t="n">
        <v>8442.365299999999</v>
      </c>
      <c r="D11" s="12" t="n"/>
      <c r="E11" s="12" t="n"/>
      <c r="F11" s="12" t="n"/>
      <c r="G11" s="12" t="n"/>
      <c r="H11" s="12" t="n"/>
      <c r="I11" s="12" t="n"/>
      <c r="J11" s="12" t="n"/>
      <c r="K11" s="12" t="n"/>
    </row>
    <row r="12">
      <c r="A12" s="10" t="inlineStr">
        <is>
          <t>2024</t>
        </is>
      </c>
      <c r="B12" s="11" t="n">
        <v>9304.8621</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Incremental Paid Severity</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6794.6046</v>
      </c>
      <c r="C3" s="11" t="n">
        <v>8632.6278</v>
      </c>
      <c r="D3" s="11" t="n">
        <v>9404.9786</v>
      </c>
      <c r="E3" s="11" t="n">
        <v>7353.4109</v>
      </c>
      <c r="F3" s="11" t="n">
        <v>8245.644200000001</v>
      </c>
      <c r="G3" s="11" t="n">
        <v>10164.7049</v>
      </c>
      <c r="H3" s="11" t="n">
        <v>12984.7391</v>
      </c>
      <c r="I3" s="11" t="n">
        <v>16371.3188</v>
      </c>
      <c r="J3" s="11" t="n">
        <v>17625.6187</v>
      </c>
      <c r="K3" s="11" t="n">
        <v>39005.9844</v>
      </c>
    </row>
    <row r="4">
      <c r="A4" s="10" t="inlineStr">
        <is>
          <t>2016</t>
        </is>
      </c>
      <c r="B4" s="11" t="n">
        <v>9476.5764</v>
      </c>
      <c r="C4" s="11" t="n">
        <v>11903.7521</v>
      </c>
      <c r="D4" s="11" t="n">
        <v>12006.464</v>
      </c>
      <c r="E4" s="11" t="n">
        <v>10807.453</v>
      </c>
      <c r="F4" s="11" t="n">
        <v>11965.0405</v>
      </c>
      <c r="G4" s="11" t="n">
        <v>14477.453</v>
      </c>
      <c r="H4" s="11" t="n">
        <v>16535.6172</v>
      </c>
      <c r="I4" s="11" t="n">
        <v>21884.4878</v>
      </c>
      <c r="J4" s="11" t="n">
        <v>20921.2603</v>
      </c>
      <c r="K4" s="12" t="n"/>
    </row>
    <row r="5">
      <c r="A5" s="10" t="inlineStr">
        <is>
          <t>2017</t>
        </is>
      </c>
      <c r="B5" s="11" t="n">
        <v>5651.3611</v>
      </c>
      <c r="C5" s="11" t="n">
        <v>8494.098099999999</v>
      </c>
      <c r="D5" s="11" t="n">
        <v>7969.5285</v>
      </c>
      <c r="E5" s="11" t="n">
        <v>6711.2449</v>
      </c>
      <c r="F5" s="11" t="n">
        <v>7335.5559</v>
      </c>
      <c r="G5" s="11" t="n">
        <v>8594.644700000001</v>
      </c>
      <c r="H5" s="11" t="n">
        <v>9211.072899999999</v>
      </c>
      <c r="I5" s="11" t="n">
        <v>12336.8161</v>
      </c>
      <c r="J5" s="12" t="n"/>
      <c r="K5" s="12" t="n"/>
    </row>
    <row r="6">
      <c r="A6" s="10" t="inlineStr">
        <is>
          <t>2018</t>
        </is>
      </c>
      <c r="B6" s="11" t="n">
        <v>8539.5818</v>
      </c>
      <c r="C6" s="11" t="n">
        <v>11933.9095</v>
      </c>
      <c r="D6" s="11" t="n">
        <v>12061.7157</v>
      </c>
      <c r="E6" s="11" t="n">
        <v>11331.16</v>
      </c>
      <c r="F6" s="11" t="n">
        <v>12516.5666</v>
      </c>
      <c r="G6" s="11" t="n">
        <v>13497.0248</v>
      </c>
      <c r="H6" s="11" t="n">
        <v>15290.6575</v>
      </c>
      <c r="I6" s="12" t="n"/>
      <c r="J6" s="12" t="n"/>
      <c r="K6" s="12" t="n"/>
    </row>
    <row r="7">
      <c r="A7" s="10" t="inlineStr">
        <is>
          <t>2019</t>
        </is>
      </c>
      <c r="B7" s="11" t="n">
        <v>7261.7351</v>
      </c>
      <c r="C7" s="11" t="n">
        <v>9314.1994</v>
      </c>
      <c r="D7" s="11" t="n">
        <v>9938.9645</v>
      </c>
      <c r="E7" s="11" t="n">
        <v>8152.2897</v>
      </c>
      <c r="F7" s="11" t="n">
        <v>9394.1283</v>
      </c>
      <c r="G7" s="11" t="n">
        <v>10555.1548</v>
      </c>
      <c r="H7" s="12" t="n"/>
      <c r="I7" s="12" t="n"/>
      <c r="J7" s="12" t="n"/>
      <c r="K7" s="12" t="n"/>
    </row>
    <row r="8">
      <c r="A8" s="10" t="inlineStr">
        <is>
          <t>2020</t>
        </is>
      </c>
      <c r="B8" s="11" t="n">
        <v>6453.418</v>
      </c>
      <c r="C8" s="11" t="n">
        <v>7327.5099</v>
      </c>
      <c r="D8" s="11" t="n">
        <v>9275.5622</v>
      </c>
      <c r="E8" s="11" t="n">
        <v>8882.227500000001</v>
      </c>
      <c r="F8" s="11" t="n">
        <v>8145.1702</v>
      </c>
      <c r="G8" s="12" t="n"/>
      <c r="H8" s="12" t="n"/>
      <c r="I8" s="12" t="n"/>
      <c r="J8" s="12" t="n"/>
      <c r="K8" s="12" t="n"/>
    </row>
    <row r="9">
      <c r="A9" s="10" t="inlineStr">
        <is>
          <t>2021</t>
        </is>
      </c>
      <c r="B9" s="11" t="n">
        <v>10240.1246</v>
      </c>
      <c r="C9" s="11" t="n">
        <v>13277.6521</v>
      </c>
      <c r="D9" s="11" t="n">
        <v>13055.5326</v>
      </c>
      <c r="E9" s="11" t="n">
        <v>14137.1896</v>
      </c>
      <c r="F9" s="12" t="n"/>
      <c r="G9" s="12" t="n"/>
      <c r="H9" s="12" t="n"/>
      <c r="I9" s="12" t="n"/>
      <c r="J9" s="12" t="n"/>
      <c r="K9" s="12" t="n"/>
    </row>
    <row r="10">
      <c r="A10" s="10" t="inlineStr">
        <is>
          <t>2022</t>
        </is>
      </c>
      <c r="B10" s="11" t="n">
        <v>5740.6934</v>
      </c>
      <c r="C10" s="11" t="n">
        <v>8951.203600000001</v>
      </c>
      <c r="D10" s="11" t="n">
        <v>9261.993</v>
      </c>
      <c r="E10" s="12" t="n"/>
      <c r="F10" s="12" t="n"/>
      <c r="G10" s="12" t="n"/>
      <c r="H10" s="12" t="n"/>
      <c r="I10" s="12" t="n"/>
      <c r="J10" s="12" t="n"/>
      <c r="K10" s="12" t="n"/>
    </row>
    <row r="11">
      <c r="A11" s="10" t="inlineStr">
        <is>
          <t>2023</t>
        </is>
      </c>
      <c r="B11" s="11" t="n">
        <v>7415.991</v>
      </c>
      <c r="C11" s="11" t="n">
        <v>9090.7562</v>
      </c>
      <c r="D11" s="12" t="n"/>
      <c r="E11" s="12" t="n"/>
      <c r="F11" s="12" t="n"/>
      <c r="G11" s="12" t="n"/>
      <c r="H11" s="12" t="n"/>
      <c r="I11" s="12" t="n"/>
      <c r="J11" s="12" t="n"/>
      <c r="K11" s="12" t="n"/>
    </row>
    <row r="12">
      <c r="A12" s="10" t="inlineStr">
        <is>
          <t>2024</t>
        </is>
      </c>
      <c r="B12" s="11" t="n">
        <v>10154.1778</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Incremental Closure Rate</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27" t="n">
        <v>0.8309</v>
      </c>
      <c r="C3" s="27" t="n">
        <v>0.8518</v>
      </c>
      <c r="D3" s="27" t="n">
        <v>0.8176</v>
      </c>
      <c r="E3" s="27" t="n">
        <v>1.0793</v>
      </c>
      <c r="F3" s="27" t="n">
        <v>1.0379</v>
      </c>
      <c r="G3" s="27" t="n">
        <v>1.6275</v>
      </c>
      <c r="H3" s="27" t="n">
        <v>2.4455</v>
      </c>
      <c r="I3" s="27" t="n">
        <v>2.8269</v>
      </c>
      <c r="J3" s="27" t="n">
        <v>3.0213</v>
      </c>
      <c r="K3" s="27" t="n"/>
    </row>
    <row r="4">
      <c r="A4" s="10" t="inlineStr">
        <is>
          <t>2016</t>
        </is>
      </c>
      <c r="B4" s="27" t="n">
        <v>0.7885</v>
      </c>
      <c r="C4" s="27" t="n">
        <v>0.8335</v>
      </c>
      <c r="D4" s="27" t="n">
        <v>0.9374</v>
      </c>
      <c r="E4" s="27" t="n">
        <v>0.9311</v>
      </c>
      <c r="F4" s="27" t="n">
        <v>1.193</v>
      </c>
      <c r="G4" s="27" t="n">
        <v>1.766</v>
      </c>
      <c r="H4" s="27" t="n">
        <v>2.4369</v>
      </c>
      <c r="I4" s="27" t="n">
        <v>3.0208</v>
      </c>
      <c r="J4" s="27" t="n">
        <v>3.0408</v>
      </c>
      <c r="K4" s="12" t="n"/>
    </row>
    <row r="5">
      <c r="A5" s="10" t="inlineStr">
        <is>
          <t>2017</t>
        </is>
      </c>
      <c r="B5" s="27" t="n">
        <v>0.8337</v>
      </c>
      <c r="C5" s="27" t="n">
        <v>0.741</v>
      </c>
      <c r="D5" s="27" t="n">
        <v>0.8855</v>
      </c>
      <c r="E5" s="27" t="n">
        <v>0.9545</v>
      </c>
      <c r="F5" s="27" t="n">
        <v>1.2065</v>
      </c>
      <c r="G5" s="27" t="n">
        <v>1.7868</v>
      </c>
      <c r="H5" s="27" t="n">
        <v>2.6566</v>
      </c>
      <c r="I5" s="27" t="n">
        <v>2.9615</v>
      </c>
      <c r="J5" s="12" t="n"/>
      <c r="K5" s="12" t="n"/>
    </row>
    <row r="6">
      <c r="A6" s="10" t="inlineStr">
        <is>
          <t>2018</t>
        </is>
      </c>
      <c r="B6" s="27" t="n">
        <v>0.8326</v>
      </c>
      <c r="C6" s="27" t="n">
        <v>0.846</v>
      </c>
      <c r="D6" s="27" t="n">
        <v>0.8532</v>
      </c>
      <c r="E6" s="27" t="n">
        <v>0.9224</v>
      </c>
      <c r="F6" s="27" t="n">
        <v>1.1856</v>
      </c>
      <c r="G6" s="27" t="n">
        <v>1.9337</v>
      </c>
      <c r="H6" s="27" t="n">
        <v>2.4159</v>
      </c>
      <c r="I6" s="12" t="n"/>
      <c r="J6" s="12" t="n"/>
      <c r="K6" s="12" t="n"/>
    </row>
    <row r="7">
      <c r="A7" s="10" t="inlineStr">
        <is>
          <t>2019</t>
        </is>
      </c>
      <c r="B7" s="27" t="n">
        <v>0.889</v>
      </c>
      <c r="C7" s="27" t="n">
        <v>0.7668</v>
      </c>
      <c r="D7" s="27" t="n">
        <v>0.7879</v>
      </c>
      <c r="E7" s="27" t="n">
        <v>0.963</v>
      </c>
      <c r="F7" s="27" t="n">
        <v>1.1757</v>
      </c>
      <c r="G7" s="27" t="n">
        <v>1.802</v>
      </c>
      <c r="H7" s="12" t="n"/>
      <c r="I7" s="12" t="n"/>
      <c r="J7" s="12" t="n"/>
      <c r="K7" s="12" t="n"/>
    </row>
    <row r="8">
      <c r="A8" s="10" t="inlineStr">
        <is>
          <t>2020</t>
        </is>
      </c>
      <c r="B8" s="27" t="n">
        <v>0.8552999999999999</v>
      </c>
      <c r="C8" s="27" t="n">
        <v>0.8428</v>
      </c>
      <c r="D8" s="27" t="n">
        <v>0.8978</v>
      </c>
      <c r="E8" s="27" t="n">
        <v>0.829</v>
      </c>
      <c r="F8" s="27" t="n">
        <v>1.0498</v>
      </c>
      <c r="G8" s="12" t="n"/>
      <c r="H8" s="12" t="n"/>
      <c r="I8" s="12" t="n"/>
      <c r="J8" s="12" t="n"/>
      <c r="K8" s="12" t="n"/>
    </row>
    <row r="9">
      <c r="A9" s="10" t="inlineStr">
        <is>
          <t>2021</t>
        </is>
      </c>
      <c r="B9" s="27" t="n">
        <v>0.9529</v>
      </c>
      <c r="C9" s="27" t="n">
        <v>0.848</v>
      </c>
      <c r="D9" s="27" t="n">
        <v>0.8784999999999999</v>
      </c>
      <c r="E9" s="27" t="n">
        <v>0.8006</v>
      </c>
      <c r="F9" s="12" t="n"/>
      <c r="G9" s="12" t="n"/>
      <c r="H9" s="12" t="n"/>
      <c r="I9" s="12" t="n"/>
      <c r="J9" s="12" t="n"/>
      <c r="K9" s="12" t="n"/>
    </row>
    <row r="10">
      <c r="A10" s="10" t="inlineStr">
        <is>
          <t>2022</t>
        </is>
      </c>
      <c r="B10" s="27" t="n">
        <v>0.9099</v>
      </c>
      <c r="C10" s="27" t="n">
        <v>0.8024</v>
      </c>
      <c r="D10" s="27" t="n">
        <v>0.8917</v>
      </c>
      <c r="E10" s="12" t="n"/>
      <c r="F10" s="12" t="n"/>
      <c r="G10" s="12" t="n"/>
      <c r="H10" s="12" t="n"/>
      <c r="I10" s="12" t="n"/>
      <c r="J10" s="12" t="n"/>
      <c r="K10" s="12" t="n"/>
    </row>
    <row r="11">
      <c r="A11" s="10" t="inlineStr">
        <is>
          <t>2023</t>
        </is>
      </c>
      <c r="B11" s="27" t="n">
        <v>0.8406</v>
      </c>
      <c r="C11" s="27" t="n">
        <v>0.8168</v>
      </c>
      <c r="D11" s="12" t="n"/>
      <c r="E11" s="12" t="n"/>
      <c r="F11" s="12" t="n"/>
      <c r="G11" s="12" t="n"/>
      <c r="H11" s="12" t="n"/>
      <c r="I11" s="12" t="n"/>
      <c r="J11" s="12" t="n"/>
      <c r="K11" s="12" t="n"/>
    </row>
    <row r="12">
      <c r="A12" s="10" t="inlineStr">
        <is>
          <t>2024</t>
        </is>
      </c>
      <c r="B12" s="27" t="n">
        <v>0.7629</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Closed Count - CV &amp; Slopes</t>
        </is>
      </c>
      <c r="B1" s="2" t="n"/>
      <c r="C1" s="2" t="n"/>
      <c r="D1" s="2" t="n"/>
      <c r="E1" s="2" t="n"/>
      <c r="F1" s="2" t="n"/>
      <c r="G1" s="2" t="n"/>
      <c r="H1" s="2" t="n"/>
      <c r="I1" s="2" t="n"/>
      <c r="J1" s="2" t="n"/>
      <c r="K1" s="3" t="n"/>
    </row>
    <row r="2">
      <c r="A2" s="14" t="inlineStr">
        <is>
          <t>Metric</t>
        </is>
      </c>
      <c r="B2" s="9" t="inlineStr">
        <is>
          <t>12-24</t>
        </is>
      </c>
      <c r="C2" s="9" t="inlineStr">
        <is>
          <t>24-36</t>
        </is>
      </c>
      <c r="D2" s="9" t="inlineStr">
        <is>
          <t>36-48</t>
        </is>
      </c>
      <c r="E2" s="9" t="inlineStr">
        <is>
          <t>48-60</t>
        </is>
      </c>
      <c r="F2" s="9" t="inlineStr">
        <is>
          <t>60-72</t>
        </is>
      </c>
      <c r="G2" s="9" t="inlineStr">
        <is>
          <t>72-84</t>
        </is>
      </c>
      <c r="H2" s="9" t="inlineStr">
        <is>
          <t>84-96</t>
        </is>
      </c>
      <c r="I2" s="9" t="inlineStr">
        <is>
          <t>96-108</t>
        </is>
      </c>
      <c r="J2" s="9" t="inlineStr">
        <is>
          <t>108-120</t>
        </is>
      </c>
      <c r="K2" s="9" t="inlineStr">
        <is>
          <t>Tail</t>
        </is>
      </c>
    </row>
    <row r="3">
      <c r="A3" s="15" t="inlineStr">
        <is>
          <t>cv_3yr</t>
        </is>
      </c>
      <c r="B3" s="13" t="n">
        <v>0.042</v>
      </c>
      <c r="C3" s="13" t="n">
        <v>0.0024</v>
      </c>
      <c r="D3" s="13" t="n">
        <v>0.0116</v>
      </c>
      <c r="E3" s="13" t="n">
        <v>0.003</v>
      </c>
      <c r="F3" s="13" t="n">
        <v>0.0015</v>
      </c>
      <c r="G3" s="13" t="n">
        <v>0.0022</v>
      </c>
      <c r="H3" s="13" t="n">
        <v>0.0011</v>
      </c>
      <c r="I3" s="13" t="n">
        <v>0.001</v>
      </c>
      <c r="J3" s="13" t="n"/>
      <c r="K3" s="12" t="n"/>
    </row>
    <row r="4">
      <c r="A4" s="15" t="inlineStr">
        <is>
          <t>cv_5yr</t>
        </is>
      </c>
      <c r="B4" s="13" t="n">
        <v>0.0353</v>
      </c>
      <c r="C4" s="13" t="n">
        <v>0.0066</v>
      </c>
      <c r="D4" s="13" t="n">
        <v>0.0124</v>
      </c>
      <c r="E4" s="13" t="n">
        <v>0.0042</v>
      </c>
      <c r="F4" s="13" t="n">
        <v>0.003</v>
      </c>
      <c r="G4" s="13" t="n">
        <v>0.0024</v>
      </c>
      <c r="H4" s="13" t="n">
        <v>0.0011</v>
      </c>
      <c r="I4" s="13" t="n">
        <v>0.001</v>
      </c>
      <c r="J4" s="13" t="n"/>
      <c r="K4" s="12" t="n"/>
    </row>
    <row r="5">
      <c r="A5" s="15" t="inlineStr">
        <is>
          <t>cv_10yr</t>
        </is>
      </c>
      <c r="B5" s="13" t="n">
        <v>0.0317</v>
      </c>
      <c r="C5" s="13" t="n">
        <v>0.0123</v>
      </c>
      <c r="D5" s="13" t="n">
        <v>0.0149</v>
      </c>
      <c r="E5" s="13" t="n">
        <v>0.0038</v>
      </c>
      <c r="F5" s="13" t="n">
        <v>0.003</v>
      </c>
      <c r="G5" s="13" t="n">
        <v>0.0024</v>
      </c>
      <c r="H5" s="13" t="n">
        <v>0.0011</v>
      </c>
      <c r="I5" s="13" t="n">
        <v>0.001</v>
      </c>
      <c r="J5" s="13" t="n"/>
      <c r="K5" s="12" t="n"/>
    </row>
    <row r="6">
      <c r="A6" s="15" t="inlineStr">
        <is>
          <t>slope_3yr</t>
        </is>
      </c>
      <c r="B6" s="13" t="n">
        <v>0.0375</v>
      </c>
      <c r="C6" s="13" t="n">
        <v>0.0019</v>
      </c>
      <c r="D6" s="13" t="n">
        <v>-0.0127</v>
      </c>
      <c r="E6" s="13" t="n">
        <v>0.0012</v>
      </c>
      <c r="F6" s="13" t="n">
        <v>-0.0003</v>
      </c>
      <c r="G6" s="13" t="n">
        <v>0.0022</v>
      </c>
      <c r="H6" s="13" t="n">
        <v>0.0009</v>
      </c>
      <c r="I6" s="13" t="n">
        <v>0.0014</v>
      </c>
      <c r="J6" s="13" t="n"/>
      <c r="K6" s="12" t="n"/>
    </row>
    <row r="7">
      <c r="A7" s="15" t="inlineStr">
        <is>
          <t>slope_5yr</t>
        </is>
      </c>
      <c r="B7" s="13" t="n">
        <v>-0.0027</v>
      </c>
      <c r="C7" s="13" t="n">
        <v>-0.0043</v>
      </c>
      <c r="D7" s="13" t="n">
        <v>-0.0086</v>
      </c>
      <c r="E7" s="13" t="n">
        <v>-0.0014</v>
      </c>
      <c r="F7" s="13" t="n">
        <v>0.0016</v>
      </c>
      <c r="G7" s="13" t="n">
        <v>0.0019</v>
      </c>
      <c r="H7" s="13" t="n">
        <v>0.0009</v>
      </c>
      <c r="I7" s="13" t="n">
        <v>0.0014</v>
      </c>
      <c r="J7" s="13" t="n"/>
      <c r="K7" s="12" t="n"/>
    </row>
    <row r="8">
      <c r="A8" s="15" t="inlineStr">
        <is>
          <t>slope_10yr</t>
        </is>
      </c>
      <c r="B8" s="13" t="n">
        <v>-0.004</v>
      </c>
      <c r="C8" s="13" t="n">
        <v>-0.0033</v>
      </c>
      <c r="D8" s="13" t="n">
        <v>-0.008</v>
      </c>
      <c r="E8" s="13" t="n">
        <v>-0.0004</v>
      </c>
      <c r="F8" s="13" t="n">
        <v>0.0016</v>
      </c>
      <c r="G8" s="13" t="n">
        <v>0.0019</v>
      </c>
      <c r="H8" s="13" t="n">
        <v>0.0009</v>
      </c>
      <c r="I8" s="13" t="n">
        <v>0.0014</v>
      </c>
      <c r="J8" s="13" t="n"/>
      <c r="K8" s="12" t="n"/>
    </row>
  </sheetData>
  <mergeCells count="1">
    <mergeCell ref="A1:K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Incurred Loss - CV &amp; Slopes</t>
        </is>
      </c>
      <c r="B1" s="2" t="n"/>
      <c r="C1" s="2" t="n"/>
      <c r="D1" s="2" t="n"/>
      <c r="E1" s="2" t="n"/>
      <c r="F1" s="2" t="n"/>
      <c r="G1" s="2" t="n"/>
      <c r="H1" s="2" t="n"/>
      <c r="I1" s="2" t="n"/>
      <c r="J1" s="2" t="n"/>
      <c r="K1" s="3" t="n"/>
    </row>
    <row r="2">
      <c r="A2" s="14" t="inlineStr">
        <is>
          <t>Metric</t>
        </is>
      </c>
      <c r="B2" s="9" t="inlineStr">
        <is>
          <t>12-24</t>
        </is>
      </c>
      <c r="C2" s="9" t="inlineStr">
        <is>
          <t>24-36</t>
        </is>
      </c>
      <c r="D2" s="9" t="inlineStr">
        <is>
          <t>36-48</t>
        </is>
      </c>
      <c r="E2" s="9" t="inlineStr">
        <is>
          <t>48-60</t>
        </is>
      </c>
      <c r="F2" s="9" t="inlineStr">
        <is>
          <t>60-72</t>
        </is>
      </c>
      <c r="G2" s="9" t="inlineStr">
        <is>
          <t>72-84</t>
        </is>
      </c>
      <c r="H2" s="9" t="inlineStr">
        <is>
          <t>84-96</t>
        </is>
      </c>
      <c r="I2" s="9" t="inlineStr">
        <is>
          <t>96-108</t>
        </is>
      </c>
      <c r="J2" s="9" t="inlineStr">
        <is>
          <t>108-120</t>
        </is>
      </c>
      <c r="K2" s="9" t="inlineStr">
        <is>
          <t>Tail</t>
        </is>
      </c>
    </row>
    <row r="3">
      <c r="A3" s="15" t="inlineStr">
        <is>
          <t>cv_3yr</t>
        </is>
      </c>
      <c r="B3" s="13" t="n">
        <v>0.0247</v>
      </c>
      <c r="C3" s="13" t="n">
        <v>0.0204</v>
      </c>
      <c r="D3" s="13" t="n">
        <v>0.0067</v>
      </c>
      <c r="E3" s="13" t="n">
        <v>0.0028</v>
      </c>
      <c r="F3" s="13" t="n">
        <v>0.0027</v>
      </c>
      <c r="G3" s="13" t="n">
        <v>0.0022</v>
      </c>
      <c r="H3" s="13" t="n">
        <v>0.0016</v>
      </c>
      <c r="I3" s="13" t="n">
        <v>0.0007</v>
      </c>
      <c r="J3" s="13" t="n"/>
      <c r="K3" s="12" t="n"/>
    </row>
    <row r="4">
      <c r="A4" s="15" t="inlineStr">
        <is>
          <t>cv_5yr</t>
        </is>
      </c>
      <c r="B4" s="13" t="n">
        <v>0.0187</v>
      </c>
      <c r="C4" s="13" t="n">
        <v>0.0154</v>
      </c>
      <c r="D4" s="13" t="n">
        <v>0.0102</v>
      </c>
      <c r="E4" s="13" t="n">
        <v>0.0081</v>
      </c>
      <c r="F4" s="13" t="n">
        <v>0.002</v>
      </c>
      <c r="G4" s="13" t="n">
        <v>0.0024</v>
      </c>
      <c r="H4" s="13" t="n">
        <v>0.0016</v>
      </c>
      <c r="I4" s="13" t="n">
        <v>0.0007</v>
      </c>
      <c r="J4" s="13" t="n"/>
      <c r="K4" s="12" t="n"/>
    </row>
    <row r="5">
      <c r="A5" s="15" t="inlineStr">
        <is>
          <t>cv_10yr</t>
        </is>
      </c>
      <c r="B5" s="13" t="n">
        <v>0.0289</v>
      </c>
      <c r="C5" s="13" t="n">
        <v>0.0156</v>
      </c>
      <c r="D5" s="13" t="n">
        <v>0.008800000000000001</v>
      </c>
      <c r="E5" s="13" t="n">
        <v>0.0072</v>
      </c>
      <c r="F5" s="13" t="n">
        <v>0.002</v>
      </c>
      <c r="G5" s="13" t="n">
        <v>0.0024</v>
      </c>
      <c r="H5" s="13" t="n">
        <v>0.0016</v>
      </c>
      <c r="I5" s="13" t="n">
        <v>0.0007</v>
      </c>
      <c r="J5" s="13" t="n"/>
      <c r="K5" s="12" t="n"/>
    </row>
    <row r="6">
      <c r="A6" s="15" t="inlineStr">
        <is>
          <t>slope_3yr</t>
        </is>
      </c>
      <c r="B6" s="13" t="n">
        <v>-0.0421</v>
      </c>
      <c r="C6" s="13" t="n">
        <v>-0.013</v>
      </c>
      <c r="D6" s="13" t="n">
        <v>0.0064</v>
      </c>
      <c r="E6" s="13" t="n">
        <v>0.002</v>
      </c>
      <c r="F6" s="13" t="n">
        <v>0.0012</v>
      </c>
      <c r="G6" s="13" t="n">
        <v>-0.0016</v>
      </c>
      <c r="H6" s="13" t="n">
        <v>0.0017</v>
      </c>
      <c r="I6" s="13" t="n">
        <v>0.001</v>
      </c>
      <c r="J6" s="13" t="n"/>
      <c r="K6" s="12" t="n"/>
    </row>
    <row r="7">
      <c r="A7" s="15" t="inlineStr">
        <is>
          <t>slope_5yr</t>
        </is>
      </c>
      <c r="B7" s="13" t="n">
        <v>-0.0146</v>
      </c>
      <c r="C7" s="13" t="n">
        <v>-0.001</v>
      </c>
      <c r="D7" s="13" t="n">
        <v>-0.0031</v>
      </c>
      <c r="E7" s="13" t="n">
        <v>-0.0044</v>
      </c>
      <c r="F7" s="13" t="n">
        <v>-0.0001</v>
      </c>
      <c r="G7" s="13" t="n">
        <v>-0.0017</v>
      </c>
      <c r="H7" s="13" t="n">
        <v>0.0017</v>
      </c>
      <c r="I7" s="13" t="n">
        <v>0.001</v>
      </c>
      <c r="J7" s="13" t="n"/>
      <c r="K7" s="12" t="n"/>
    </row>
    <row r="8">
      <c r="A8" s="15" t="inlineStr">
        <is>
          <t>slope_10yr</t>
        </is>
      </c>
      <c r="B8" s="13" t="n">
        <v>0.0005</v>
      </c>
      <c r="C8" s="13" t="n">
        <v>0.0032</v>
      </c>
      <c r="D8" s="13" t="n">
        <v>-0.0022</v>
      </c>
      <c r="E8" s="13" t="n">
        <v>-0.0025</v>
      </c>
      <c r="F8" s="13" t="n">
        <v>-0.0001</v>
      </c>
      <c r="G8" s="13" t="n">
        <v>-0.0017</v>
      </c>
      <c r="H8" s="13" t="n">
        <v>0.0017</v>
      </c>
      <c r="I8" s="13" t="n">
        <v>0.001</v>
      </c>
      <c r="J8" s="13" t="n"/>
      <c r="K8" s="12" t="n"/>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Paid Loss - CV &amp; Slopes</t>
        </is>
      </c>
      <c r="B1" s="2" t="n"/>
      <c r="C1" s="2" t="n"/>
      <c r="D1" s="2" t="n"/>
      <c r="E1" s="2" t="n"/>
      <c r="F1" s="2" t="n"/>
      <c r="G1" s="2" t="n"/>
      <c r="H1" s="2" t="n"/>
      <c r="I1" s="2" t="n"/>
      <c r="J1" s="2" t="n"/>
      <c r="K1" s="3" t="n"/>
    </row>
    <row r="2">
      <c r="A2" s="14" t="inlineStr">
        <is>
          <t>Metric</t>
        </is>
      </c>
      <c r="B2" s="9" t="inlineStr">
        <is>
          <t>12-24</t>
        </is>
      </c>
      <c r="C2" s="9" t="inlineStr">
        <is>
          <t>24-36</t>
        </is>
      </c>
      <c r="D2" s="9" t="inlineStr">
        <is>
          <t>36-48</t>
        </is>
      </c>
      <c r="E2" s="9" t="inlineStr">
        <is>
          <t>48-60</t>
        </is>
      </c>
      <c r="F2" s="9" t="inlineStr">
        <is>
          <t>60-72</t>
        </is>
      </c>
      <c r="G2" s="9" t="inlineStr">
        <is>
          <t>72-84</t>
        </is>
      </c>
      <c r="H2" s="9" t="inlineStr">
        <is>
          <t>84-96</t>
        </is>
      </c>
      <c r="I2" s="9" t="inlineStr">
        <is>
          <t>96-108</t>
        </is>
      </c>
      <c r="J2" s="9" t="inlineStr">
        <is>
          <t>108-120</t>
        </is>
      </c>
      <c r="K2" s="9" t="inlineStr">
        <is>
          <t>Tail</t>
        </is>
      </c>
    </row>
    <row r="3">
      <c r="A3" s="15" t="inlineStr">
        <is>
          <t>cv_3yr</t>
        </is>
      </c>
      <c r="B3" s="13" t="n">
        <v>0.0187</v>
      </c>
      <c r="C3" s="13" t="n">
        <v>0.0232</v>
      </c>
      <c r="D3" s="13" t="n">
        <v>0.0103</v>
      </c>
      <c r="E3" s="13" t="n">
        <v>0.0057</v>
      </c>
      <c r="F3" s="13" t="n">
        <v>0.0005999999999999999</v>
      </c>
      <c r="G3" s="13" t="n">
        <v>0.0036</v>
      </c>
      <c r="H3" s="13" t="n">
        <v>0.0026</v>
      </c>
      <c r="I3" s="13" t="n">
        <v>0.0041</v>
      </c>
      <c r="J3" s="13" t="n"/>
      <c r="K3" s="12" t="n"/>
    </row>
    <row r="4">
      <c r="A4" s="15" t="inlineStr">
        <is>
          <t>cv_5yr</t>
        </is>
      </c>
      <c r="B4" s="13" t="n">
        <v>0.0176</v>
      </c>
      <c r="C4" s="13" t="n">
        <v>0.0165</v>
      </c>
      <c r="D4" s="13" t="n">
        <v>0.0081</v>
      </c>
      <c r="E4" s="13" t="n">
        <v>0.0041</v>
      </c>
      <c r="F4" s="13" t="n">
        <v>0.0012</v>
      </c>
      <c r="G4" s="13" t="n">
        <v>0.0047</v>
      </c>
      <c r="H4" s="13" t="n">
        <v>0.0026</v>
      </c>
      <c r="I4" s="13" t="n">
        <v>0.0041</v>
      </c>
      <c r="J4" s="13" t="n"/>
      <c r="K4" s="12" t="n"/>
    </row>
    <row r="5">
      <c r="A5" s="15" t="inlineStr">
        <is>
          <t>cv_10yr</t>
        </is>
      </c>
      <c r="B5" s="13" t="n">
        <v>0.0213</v>
      </c>
      <c r="C5" s="13" t="n">
        <v>0.0139</v>
      </c>
      <c r="D5" s="13" t="n">
        <v>0.0071</v>
      </c>
      <c r="E5" s="13" t="n">
        <v>0.005</v>
      </c>
      <c r="F5" s="13" t="n">
        <v>0.0012</v>
      </c>
      <c r="G5" s="13" t="n">
        <v>0.0047</v>
      </c>
      <c r="H5" s="13" t="n">
        <v>0.0026</v>
      </c>
      <c r="I5" s="13" t="n">
        <v>0.0041</v>
      </c>
      <c r="J5" s="13" t="n"/>
      <c r="K5" s="12" t="n"/>
    </row>
    <row r="6">
      <c r="A6" s="15" t="inlineStr">
        <is>
          <t>slope_3yr</t>
        </is>
      </c>
      <c r="B6" s="13" t="n">
        <v>0.0245</v>
      </c>
      <c r="C6" s="13" t="n">
        <v>0.0004</v>
      </c>
      <c r="D6" s="13" t="n">
        <v>0.009299999999999999</v>
      </c>
      <c r="E6" s="13" t="n">
        <v>-0.0062</v>
      </c>
      <c r="F6" s="13" t="n">
        <v>-0.0001</v>
      </c>
      <c r="G6" s="13" t="n">
        <v>0.0008</v>
      </c>
      <c r="H6" s="13" t="n">
        <v>-0.0027</v>
      </c>
      <c r="I6" s="13" t="n">
        <v>-0.0061</v>
      </c>
      <c r="J6" s="13" t="n"/>
      <c r="K6" s="12" t="n"/>
    </row>
    <row r="7">
      <c r="A7" s="15" t="inlineStr">
        <is>
          <t>slope_5yr</t>
        </is>
      </c>
      <c r="B7" s="13" t="n">
        <v>0.014</v>
      </c>
      <c r="C7" s="13" t="n">
        <v>-0.0008</v>
      </c>
      <c r="D7" s="13" t="n">
        <v>0.0023</v>
      </c>
      <c r="E7" s="13" t="n">
        <v>-0.0015</v>
      </c>
      <c r="F7" s="13" t="n">
        <v>0.0005</v>
      </c>
      <c r="G7" s="13" t="n">
        <v>-0.0021</v>
      </c>
      <c r="H7" s="13" t="n">
        <v>-0.0027</v>
      </c>
      <c r="I7" s="13" t="n">
        <v>-0.0061</v>
      </c>
      <c r="J7" s="13" t="n"/>
      <c r="K7" s="12" t="n"/>
    </row>
    <row r="8">
      <c r="A8" s="15" t="inlineStr">
        <is>
          <t>slope_10yr</t>
        </is>
      </c>
      <c r="B8" s="13" t="n">
        <v>-0.0056</v>
      </c>
      <c r="C8" s="13" t="n">
        <v>0.0002</v>
      </c>
      <c r="D8" s="13" t="n">
        <v>0.0005</v>
      </c>
      <c r="E8" s="13" t="n">
        <v>0.0005</v>
      </c>
      <c r="F8" s="13" t="n">
        <v>0.0005</v>
      </c>
      <c r="G8" s="13" t="n">
        <v>-0.0021</v>
      </c>
      <c r="H8" s="13" t="n">
        <v>-0.0027</v>
      </c>
      <c r="I8" s="13" t="n">
        <v>-0.0061</v>
      </c>
      <c r="J8" s="13" t="n"/>
      <c r="K8" s="12" t="n"/>
    </row>
  </sheetData>
  <mergeCells count="1">
    <mergeCell ref="A1:K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Reported Count - CV &amp; Slopes</t>
        </is>
      </c>
      <c r="B1" s="2" t="n"/>
      <c r="C1" s="2" t="n"/>
      <c r="D1" s="2" t="n"/>
      <c r="E1" s="2" t="n"/>
      <c r="F1" s="2" t="n"/>
      <c r="G1" s="2" t="n"/>
      <c r="H1" s="2" t="n"/>
      <c r="I1" s="2" t="n"/>
      <c r="J1" s="2" t="n"/>
      <c r="K1" s="3" t="n"/>
    </row>
    <row r="2">
      <c r="A2" s="14" t="inlineStr">
        <is>
          <t>Metric</t>
        </is>
      </c>
      <c r="B2" s="9" t="inlineStr">
        <is>
          <t>12-24</t>
        </is>
      </c>
      <c r="C2" s="9" t="inlineStr">
        <is>
          <t>24-36</t>
        </is>
      </c>
      <c r="D2" s="9" t="inlineStr">
        <is>
          <t>36-48</t>
        </is>
      </c>
      <c r="E2" s="9" t="inlineStr">
        <is>
          <t>48-60</t>
        </is>
      </c>
      <c r="F2" s="9" t="inlineStr">
        <is>
          <t>60-72</t>
        </is>
      </c>
      <c r="G2" s="9" t="inlineStr">
        <is>
          <t>72-84</t>
        </is>
      </c>
      <c r="H2" s="9" t="inlineStr">
        <is>
          <t>84-96</t>
        </is>
      </c>
      <c r="I2" s="9" t="inlineStr">
        <is>
          <t>96-108</t>
        </is>
      </c>
      <c r="J2" s="9" t="inlineStr">
        <is>
          <t>108-120</t>
        </is>
      </c>
      <c r="K2" s="9" t="inlineStr">
        <is>
          <t>Tail</t>
        </is>
      </c>
    </row>
    <row r="3">
      <c r="A3" s="15" t="inlineStr">
        <is>
          <t>cv_3yr</t>
        </is>
      </c>
      <c r="B3" s="13" t="n">
        <v>0.0255</v>
      </c>
      <c r="C3" s="13" t="n">
        <v>0.0126</v>
      </c>
      <c r="D3" s="13" t="n">
        <v>0.0112</v>
      </c>
      <c r="E3" s="13" t="n">
        <v>0.0065</v>
      </c>
      <c r="F3" s="13" t="n">
        <v>0.0022</v>
      </c>
      <c r="G3" s="13" t="n">
        <v>0.0014</v>
      </c>
      <c r="H3" s="13" t="n">
        <v>0.0005</v>
      </c>
      <c r="I3" s="13" t="n">
        <v>0.0003</v>
      </c>
      <c r="J3" s="13" t="n"/>
      <c r="K3" s="12" t="n"/>
    </row>
    <row r="4">
      <c r="A4" s="15" t="inlineStr">
        <is>
          <t>cv_5yr</t>
        </is>
      </c>
      <c r="B4" s="13" t="n">
        <v>0.0235</v>
      </c>
      <c r="C4" s="13" t="n">
        <v>0.0147</v>
      </c>
      <c r="D4" s="13" t="n">
        <v>0.008500000000000001</v>
      </c>
      <c r="E4" s="13" t="n">
        <v>0.0047</v>
      </c>
      <c r="F4" s="13" t="n">
        <v>0.0021</v>
      </c>
      <c r="G4" s="13" t="n">
        <v>0.0012</v>
      </c>
      <c r="H4" s="13" t="n">
        <v>0.0005</v>
      </c>
      <c r="I4" s="13" t="n">
        <v>0.0003</v>
      </c>
      <c r="J4" s="13" t="n"/>
      <c r="K4" s="12" t="n"/>
    </row>
    <row r="5">
      <c r="A5" s="15" t="inlineStr">
        <is>
          <t>cv_10yr</t>
        </is>
      </c>
      <c r="B5" s="13" t="n">
        <v>0.023</v>
      </c>
      <c r="C5" s="13" t="n">
        <v>0.0124</v>
      </c>
      <c r="D5" s="13" t="n">
        <v>0.008800000000000001</v>
      </c>
      <c r="E5" s="13" t="n">
        <v>0.0062</v>
      </c>
      <c r="F5" s="13" t="n">
        <v>0.0021</v>
      </c>
      <c r="G5" s="13" t="n">
        <v>0.0012</v>
      </c>
      <c r="H5" s="13" t="n">
        <v>0.0005</v>
      </c>
      <c r="I5" s="13" t="n">
        <v>0.0003</v>
      </c>
      <c r="J5" s="13" t="n"/>
      <c r="K5" s="12" t="n"/>
    </row>
    <row r="6">
      <c r="A6" s="15" t="inlineStr">
        <is>
          <t>slope_3yr</t>
        </is>
      </c>
      <c r="B6" s="13" t="n">
        <v>0.01</v>
      </c>
      <c r="C6" s="13" t="n">
        <v>0.0058</v>
      </c>
      <c r="D6" s="13" t="n">
        <v>0.0133</v>
      </c>
      <c r="E6" s="13" t="n">
        <v>0.0071</v>
      </c>
      <c r="F6" s="13" t="n">
        <v>-0.0002</v>
      </c>
      <c r="G6" s="13" t="n">
        <v>0.001</v>
      </c>
      <c r="H6" s="13" t="n">
        <v>0</v>
      </c>
      <c r="I6" s="13" t="n">
        <v>0.0004</v>
      </c>
      <c r="J6" s="13" t="n"/>
      <c r="K6" s="12" t="n"/>
    </row>
    <row r="7">
      <c r="A7" s="15" t="inlineStr">
        <is>
          <t>slope_5yr</t>
        </is>
      </c>
      <c r="B7" s="13" t="n">
        <v>-0.0123</v>
      </c>
      <c r="C7" s="13" t="n">
        <v>-0.0055</v>
      </c>
      <c r="D7" s="13" t="n">
        <v>0.0045</v>
      </c>
      <c r="E7" s="13" t="n">
        <v>0.002</v>
      </c>
      <c r="F7" s="13" t="n">
        <v>-0.0005999999999999999</v>
      </c>
      <c r="G7" s="13" t="n">
        <v>0.0005999999999999999</v>
      </c>
      <c r="H7" s="13" t="n">
        <v>0</v>
      </c>
      <c r="I7" s="13" t="n">
        <v>0.0004</v>
      </c>
      <c r="J7" s="13" t="n"/>
      <c r="K7" s="12" t="n"/>
    </row>
    <row r="8">
      <c r="A8" s="15" t="inlineStr">
        <is>
          <t>slope_10yr</t>
        </is>
      </c>
      <c r="B8" s="13" t="n">
        <v>0.0043</v>
      </c>
      <c r="C8" s="13" t="n">
        <v>-0.0004</v>
      </c>
      <c r="D8" s="13" t="n">
        <v>0.0021</v>
      </c>
      <c r="E8" s="13" t="n">
        <v>-0.0005999999999999999</v>
      </c>
      <c r="F8" s="13" t="n">
        <v>-0.0005999999999999999</v>
      </c>
      <c r="G8" s="13" t="n">
        <v>0.0005999999999999999</v>
      </c>
      <c r="H8" s="13" t="n">
        <v>0</v>
      </c>
      <c r="I8" s="13" t="n">
        <v>0.0004</v>
      </c>
      <c r="J8" s="13" t="n"/>
      <c r="K8" s="12" t="n"/>
    </row>
  </sheetData>
  <mergeCells count="1">
    <mergeCell ref="A1:K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8" customWidth="1" min="3" max="3"/>
    <col width="20" customWidth="1" min="4" max="4"/>
    <col width="14" customWidth="1" min="5" max="5"/>
  </cols>
  <sheetData>
    <row r="1">
      <c r="A1" s="28" t="inlineStr">
        <is>
          <t>Selected Ultimates — Incurred Loss</t>
        </is>
      </c>
    </row>
    <row r="2">
      <c r="A2" s="29" t="inlineStr">
        <is>
          <t>Accident Period</t>
        </is>
      </c>
      <c r="B2" s="29" t="inlineStr">
        <is>
          <t>Actual (Latest)</t>
        </is>
      </c>
      <c r="C2" s="29" t="inlineStr">
        <is>
          <t>Chain Ladder Ult</t>
        </is>
      </c>
      <c r="D2" s="29" t="inlineStr">
        <is>
          <t>Selected Ultimate</t>
        </is>
      </c>
      <c r="E2" s="29" t="inlineStr">
        <is>
          <t>IBNR</t>
        </is>
      </c>
    </row>
    <row r="3">
      <c r="A3">
        <f>'CL - Incurred Loss'!A56</f>
        <v/>
      </c>
      <c r="B3" s="26">
        <f>'CL - Incurred Loss'!C56</f>
        <v/>
      </c>
      <c r="C3" s="26">
        <f>'CL - Incurred Loss'!E56</f>
        <v/>
      </c>
      <c r="D3" s="26">
        <f>C3</f>
        <v/>
      </c>
      <c r="E3" s="26">
        <f>D3-B3</f>
        <v/>
      </c>
    </row>
    <row r="4">
      <c r="A4">
        <f>'CL - Incurred Loss'!A57</f>
        <v/>
      </c>
      <c r="B4" s="26">
        <f>'CL - Incurred Loss'!C57</f>
        <v/>
      </c>
      <c r="C4" s="26">
        <f>'CL - Incurred Loss'!E57</f>
        <v/>
      </c>
      <c r="D4" s="26">
        <f>C4</f>
        <v/>
      </c>
      <c r="E4" s="26">
        <f>D4-B4</f>
        <v/>
      </c>
    </row>
    <row r="5">
      <c r="A5">
        <f>'CL - Incurred Loss'!A58</f>
        <v/>
      </c>
      <c r="B5" s="26">
        <f>'CL - Incurred Loss'!C58</f>
        <v/>
      </c>
      <c r="C5" s="26">
        <f>'CL - Incurred Loss'!E58</f>
        <v/>
      </c>
      <c r="D5" s="26">
        <f>C5</f>
        <v/>
      </c>
      <c r="E5" s="26">
        <f>D5-B5</f>
        <v/>
      </c>
    </row>
    <row r="6">
      <c r="A6">
        <f>'CL - Incurred Loss'!A59</f>
        <v/>
      </c>
      <c r="B6" s="26">
        <f>'CL - Incurred Loss'!C59</f>
        <v/>
      </c>
      <c r="C6" s="26">
        <f>'CL - Incurred Loss'!E59</f>
        <v/>
      </c>
      <c r="D6" s="26">
        <f>C6</f>
        <v/>
      </c>
      <c r="E6" s="26">
        <f>D6-B6</f>
        <v/>
      </c>
    </row>
    <row r="7">
      <c r="A7">
        <f>'CL - Incurred Loss'!A60</f>
        <v/>
      </c>
      <c r="B7" s="26">
        <f>'CL - Incurred Loss'!C60</f>
        <v/>
      </c>
      <c r="C7" s="26">
        <f>'CL - Incurred Loss'!E60</f>
        <v/>
      </c>
      <c r="D7" s="26">
        <f>C7</f>
        <v/>
      </c>
      <c r="E7" s="26">
        <f>D7-B7</f>
        <v/>
      </c>
    </row>
    <row r="8">
      <c r="A8">
        <f>'CL - Incurred Loss'!A61</f>
        <v/>
      </c>
      <c r="B8" s="26">
        <f>'CL - Incurred Loss'!C61</f>
        <v/>
      </c>
      <c r="C8" s="26">
        <f>'CL - Incurred Loss'!E61</f>
        <v/>
      </c>
      <c r="D8" s="26">
        <f>C8</f>
        <v/>
      </c>
      <c r="E8" s="26">
        <f>D8-B8</f>
        <v/>
      </c>
    </row>
    <row r="9">
      <c r="A9">
        <f>'CL - Incurred Loss'!A62</f>
        <v/>
      </c>
      <c r="B9" s="26">
        <f>'CL - Incurred Loss'!C62</f>
        <v/>
      </c>
      <c r="C9" s="26">
        <f>'CL - Incurred Loss'!E62</f>
        <v/>
      </c>
      <c r="D9" s="26">
        <f>C9</f>
        <v/>
      </c>
      <c r="E9" s="26">
        <f>D9-B9</f>
        <v/>
      </c>
    </row>
    <row r="10">
      <c r="A10">
        <f>'CL - Incurred Loss'!A63</f>
        <v/>
      </c>
      <c r="B10" s="26">
        <f>'CL - Incurred Loss'!C63</f>
        <v/>
      </c>
      <c r="C10" s="26">
        <f>'CL - Incurred Loss'!E63</f>
        <v/>
      </c>
      <c r="D10" s="26">
        <f>C10</f>
        <v/>
      </c>
      <c r="E10" s="26">
        <f>D10-B10</f>
        <v/>
      </c>
    </row>
    <row r="11">
      <c r="A11">
        <f>'CL - Incurred Loss'!A64</f>
        <v/>
      </c>
      <c r="B11" s="26">
        <f>'CL - Incurred Loss'!C64</f>
        <v/>
      </c>
      <c r="C11" s="26">
        <f>'CL - Incurred Loss'!E64</f>
        <v/>
      </c>
      <c r="D11" s="26">
        <f>C11</f>
        <v/>
      </c>
      <c r="E11" s="26">
        <f>D11-B11</f>
        <v/>
      </c>
    </row>
    <row r="12">
      <c r="A12">
        <f>'CL - Incurred Loss'!A65</f>
        <v/>
      </c>
      <c r="B12" s="26">
        <f>'CL - Incurred Loss'!C65</f>
        <v/>
      </c>
      <c r="C12" s="26">
        <f>'CL - Incurred Loss'!E65</f>
        <v/>
      </c>
      <c r="D12" s="26">
        <f>C12</f>
        <v/>
      </c>
      <c r="E12" s="26">
        <f>D12-B12</f>
        <v/>
      </c>
    </row>
    <row r="13">
      <c r="A13" s="30" t="inlineStr">
        <is>
          <t>Total</t>
        </is>
      </c>
      <c r="B13" s="31">
        <f>SUM(B3:B12)</f>
        <v/>
      </c>
      <c r="C13" s="31">
        <f>SUM(C3:C12)</f>
        <v/>
      </c>
      <c r="D13" s="31">
        <f>SUM(D3:D12)</f>
        <v/>
      </c>
      <c r="E13" s="31">
        <f>SUM(E3:E12)</f>
        <v/>
      </c>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8" customWidth="1" min="3" max="3"/>
    <col width="20" customWidth="1" min="4" max="4"/>
    <col width="14" customWidth="1" min="5" max="5"/>
  </cols>
  <sheetData>
    <row r="1">
      <c r="A1" s="28" t="inlineStr">
        <is>
          <t>Selected Ultimates — Paid Loss</t>
        </is>
      </c>
    </row>
    <row r="2">
      <c r="A2" s="29" t="inlineStr">
        <is>
          <t>Accident Period</t>
        </is>
      </c>
      <c r="B2" s="29" t="inlineStr">
        <is>
          <t>Actual (Latest)</t>
        </is>
      </c>
      <c r="C2" s="29" t="inlineStr">
        <is>
          <t>Chain Ladder Ult</t>
        </is>
      </c>
      <c r="D2" s="29" t="inlineStr">
        <is>
          <t>Selected Ultimate</t>
        </is>
      </c>
      <c r="E2" s="29" t="inlineStr">
        <is>
          <t>IBNR</t>
        </is>
      </c>
    </row>
    <row r="3">
      <c r="A3">
        <f>'CL - Paid Loss'!A56</f>
        <v/>
      </c>
      <c r="B3" s="26">
        <f>'CL - Paid Loss'!C56</f>
        <v/>
      </c>
      <c r="C3" s="26">
        <f>'CL - Paid Loss'!E56</f>
        <v/>
      </c>
      <c r="D3" s="26">
        <f>C3</f>
        <v/>
      </c>
      <c r="E3" s="26">
        <f>D3-B3</f>
        <v/>
      </c>
    </row>
    <row r="4">
      <c r="A4">
        <f>'CL - Paid Loss'!A57</f>
        <v/>
      </c>
      <c r="B4" s="26">
        <f>'CL - Paid Loss'!C57</f>
        <v/>
      </c>
      <c r="C4" s="26">
        <f>'CL - Paid Loss'!E57</f>
        <v/>
      </c>
      <c r="D4" s="26">
        <f>C4</f>
        <v/>
      </c>
      <c r="E4" s="26">
        <f>D4-B4</f>
        <v/>
      </c>
    </row>
    <row r="5">
      <c r="A5">
        <f>'CL - Paid Loss'!A58</f>
        <v/>
      </c>
      <c r="B5" s="26">
        <f>'CL - Paid Loss'!C58</f>
        <v/>
      </c>
      <c r="C5" s="26">
        <f>'CL - Paid Loss'!E58</f>
        <v/>
      </c>
      <c r="D5" s="26">
        <f>C5</f>
        <v/>
      </c>
      <c r="E5" s="26">
        <f>D5-B5</f>
        <v/>
      </c>
    </row>
    <row r="6">
      <c r="A6">
        <f>'CL - Paid Loss'!A59</f>
        <v/>
      </c>
      <c r="B6" s="26">
        <f>'CL - Paid Loss'!C59</f>
        <v/>
      </c>
      <c r="C6" s="26">
        <f>'CL - Paid Loss'!E59</f>
        <v/>
      </c>
      <c r="D6" s="26">
        <f>C6</f>
        <v/>
      </c>
      <c r="E6" s="26">
        <f>D6-B6</f>
        <v/>
      </c>
    </row>
    <row r="7">
      <c r="A7">
        <f>'CL - Paid Loss'!A60</f>
        <v/>
      </c>
      <c r="B7" s="26">
        <f>'CL - Paid Loss'!C60</f>
        <v/>
      </c>
      <c r="C7" s="26">
        <f>'CL - Paid Loss'!E60</f>
        <v/>
      </c>
      <c r="D7" s="26">
        <f>C7</f>
        <v/>
      </c>
      <c r="E7" s="26">
        <f>D7-B7</f>
        <v/>
      </c>
    </row>
    <row r="8">
      <c r="A8">
        <f>'CL - Paid Loss'!A61</f>
        <v/>
      </c>
      <c r="B8" s="26">
        <f>'CL - Paid Loss'!C61</f>
        <v/>
      </c>
      <c r="C8" s="26">
        <f>'CL - Paid Loss'!E61</f>
        <v/>
      </c>
      <c r="D8" s="26">
        <f>C8</f>
        <v/>
      </c>
      <c r="E8" s="26">
        <f>D8-B8</f>
        <v/>
      </c>
    </row>
    <row r="9">
      <c r="A9">
        <f>'CL - Paid Loss'!A62</f>
        <v/>
      </c>
      <c r="B9" s="26">
        <f>'CL - Paid Loss'!C62</f>
        <v/>
      </c>
      <c r="C9" s="26">
        <f>'CL - Paid Loss'!E62</f>
        <v/>
      </c>
      <c r="D9" s="26">
        <f>C9</f>
        <v/>
      </c>
      <c r="E9" s="26">
        <f>D9-B9</f>
        <v/>
      </c>
    </row>
    <row r="10">
      <c r="A10">
        <f>'CL - Paid Loss'!A63</f>
        <v/>
      </c>
      <c r="B10" s="26">
        <f>'CL - Paid Loss'!C63</f>
        <v/>
      </c>
      <c r="C10" s="26">
        <f>'CL - Paid Loss'!E63</f>
        <v/>
      </c>
      <c r="D10" s="26">
        <f>C10</f>
        <v/>
      </c>
      <c r="E10" s="26">
        <f>D10-B10</f>
        <v/>
      </c>
    </row>
    <row r="11">
      <c r="A11">
        <f>'CL - Paid Loss'!A64</f>
        <v/>
      </c>
      <c r="B11" s="26">
        <f>'CL - Paid Loss'!C64</f>
        <v/>
      </c>
      <c r="C11" s="26">
        <f>'CL - Paid Loss'!E64</f>
        <v/>
      </c>
      <c r="D11" s="26">
        <f>C11</f>
        <v/>
      </c>
      <c r="E11" s="26">
        <f>D11-B11</f>
        <v/>
      </c>
    </row>
    <row r="12">
      <c r="A12">
        <f>'CL - Paid Loss'!A65</f>
        <v/>
      </c>
      <c r="B12" s="26">
        <f>'CL - Paid Loss'!C65</f>
        <v/>
      </c>
      <c r="C12" s="26">
        <f>'CL - Paid Loss'!E65</f>
        <v/>
      </c>
      <c r="D12" s="26">
        <f>C12</f>
        <v/>
      </c>
      <c r="E12" s="26">
        <f>D12-B12</f>
        <v/>
      </c>
    </row>
    <row r="13">
      <c r="A13" s="30" t="inlineStr">
        <is>
          <t>Total</t>
        </is>
      </c>
      <c r="B13" s="31">
        <f>SUM(B3:B12)</f>
        <v/>
      </c>
      <c r="C13" s="31">
        <f>SUM(C3:C12)</f>
        <v/>
      </c>
      <c r="D13" s="31">
        <f>SUM(D3:D12)</f>
        <v/>
      </c>
      <c r="E13" s="31">
        <f>SUM(E3:E12)</f>
        <v/>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8" customWidth="1" min="3" max="3"/>
    <col width="20" customWidth="1" min="4" max="4"/>
    <col width="14" customWidth="1" min="5" max="5"/>
  </cols>
  <sheetData>
    <row r="1">
      <c r="A1" s="28" t="inlineStr">
        <is>
          <t>Selected Ultimates — Reported Count</t>
        </is>
      </c>
    </row>
    <row r="2">
      <c r="A2" s="29" t="inlineStr">
        <is>
          <t>Accident Period</t>
        </is>
      </c>
      <c r="B2" s="29" t="inlineStr">
        <is>
          <t>Actual (Latest)</t>
        </is>
      </c>
      <c r="C2" s="29" t="inlineStr">
        <is>
          <t>Chain Ladder Ult</t>
        </is>
      </c>
      <c r="D2" s="29" t="inlineStr">
        <is>
          <t>Selected Ultimate</t>
        </is>
      </c>
      <c r="E2" s="29" t="inlineStr">
        <is>
          <t>IBNR</t>
        </is>
      </c>
    </row>
    <row r="3">
      <c r="A3">
        <f>'CL - Reported Count'!A56</f>
        <v/>
      </c>
      <c r="B3" s="26">
        <f>'CL - Reported Count'!C56</f>
        <v/>
      </c>
      <c r="C3" s="26">
        <f>'CL - Reported Count'!E56</f>
        <v/>
      </c>
      <c r="D3" s="26">
        <f>C3</f>
        <v/>
      </c>
      <c r="E3" s="26">
        <f>D3-B3</f>
        <v/>
      </c>
    </row>
    <row r="4">
      <c r="A4">
        <f>'CL - Reported Count'!A57</f>
        <v/>
      </c>
      <c r="B4" s="26">
        <f>'CL - Reported Count'!C57</f>
        <v/>
      </c>
      <c r="C4" s="26">
        <f>'CL - Reported Count'!E57</f>
        <v/>
      </c>
      <c r="D4" s="26">
        <f>C4</f>
        <v/>
      </c>
      <c r="E4" s="26">
        <f>D4-B4</f>
        <v/>
      </c>
    </row>
    <row r="5">
      <c r="A5">
        <f>'CL - Reported Count'!A58</f>
        <v/>
      </c>
      <c r="B5" s="26">
        <f>'CL - Reported Count'!C58</f>
        <v/>
      </c>
      <c r="C5" s="26">
        <f>'CL - Reported Count'!E58</f>
        <v/>
      </c>
      <c r="D5" s="26">
        <f>C5</f>
        <v/>
      </c>
      <c r="E5" s="26">
        <f>D5-B5</f>
        <v/>
      </c>
    </row>
    <row r="6">
      <c r="A6">
        <f>'CL - Reported Count'!A59</f>
        <v/>
      </c>
      <c r="B6" s="26">
        <f>'CL - Reported Count'!C59</f>
        <v/>
      </c>
      <c r="C6" s="26">
        <f>'CL - Reported Count'!E59</f>
        <v/>
      </c>
      <c r="D6" s="26">
        <f>C6</f>
        <v/>
      </c>
      <c r="E6" s="26">
        <f>D6-B6</f>
        <v/>
      </c>
    </row>
    <row r="7">
      <c r="A7">
        <f>'CL - Reported Count'!A60</f>
        <v/>
      </c>
      <c r="B7" s="26">
        <f>'CL - Reported Count'!C60</f>
        <v/>
      </c>
      <c r="C7" s="26">
        <f>'CL - Reported Count'!E60</f>
        <v/>
      </c>
      <c r="D7" s="26">
        <f>C7</f>
        <v/>
      </c>
      <c r="E7" s="26">
        <f>D7-B7</f>
        <v/>
      </c>
    </row>
    <row r="8">
      <c r="A8">
        <f>'CL - Reported Count'!A61</f>
        <v/>
      </c>
      <c r="B8" s="26">
        <f>'CL - Reported Count'!C61</f>
        <v/>
      </c>
      <c r="C8" s="26">
        <f>'CL - Reported Count'!E61</f>
        <v/>
      </c>
      <c r="D8" s="26">
        <f>C8</f>
        <v/>
      </c>
      <c r="E8" s="26">
        <f>D8-B8</f>
        <v/>
      </c>
    </row>
    <row r="9">
      <c r="A9">
        <f>'CL - Reported Count'!A62</f>
        <v/>
      </c>
      <c r="B9" s="26">
        <f>'CL - Reported Count'!C62</f>
        <v/>
      </c>
      <c r="C9" s="26">
        <f>'CL - Reported Count'!E62</f>
        <v/>
      </c>
      <c r="D9" s="26">
        <f>C9</f>
        <v/>
      </c>
      <c r="E9" s="26">
        <f>D9-B9</f>
        <v/>
      </c>
    </row>
    <row r="10">
      <c r="A10">
        <f>'CL - Reported Count'!A63</f>
        <v/>
      </c>
      <c r="B10" s="26">
        <f>'CL - Reported Count'!C63</f>
        <v/>
      </c>
      <c r="C10" s="26">
        <f>'CL - Reported Count'!E63</f>
        <v/>
      </c>
      <c r="D10" s="26">
        <f>C10</f>
        <v/>
      </c>
      <c r="E10" s="26">
        <f>D10-B10</f>
        <v/>
      </c>
    </row>
    <row r="11">
      <c r="A11">
        <f>'CL - Reported Count'!A64</f>
        <v/>
      </c>
      <c r="B11" s="26">
        <f>'CL - Reported Count'!C64</f>
        <v/>
      </c>
      <c r="C11" s="26">
        <f>'CL - Reported Count'!E64</f>
        <v/>
      </c>
      <c r="D11" s="26">
        <f>C11</f>
        <v/>
      </c>
      <c r="E11" s="26">
        <f>D11-B11</f>
        <v/>
      </c>
    </row>
    <row r="12">
      <c r="A12">
        <f>'CL - Reported Count'!A65</f>
        <v/>
      </c>
      <c r="B12" s="26">
        <f>'CL - Reported Count'!C65</f>
        <v/>
      </c>
      <c r="C12" s="26">
        <f>'CL - Reported Count'!E65</f>
        <v/>
      </c>
      <c r="D12" s="26">
        <f>C12</f>
        <v/>
      </c>
      <c r="E12" s="26">
        <f>D12-B12</f>
        <v/>
      </c>
    </row>
    <row r="13">
      <c r="A13" s="30" t="inlineStr">
        <is>
          <t>Total</t>
        </is>
      </c>
      <c r="B13" s="31">
        <f>SUM(B3:B12)</f>
        <v/>
      </c>
      <c r="C13" s="31">
        <f>SUM(C3:C12)</f>
        <v/>
      </c>
      <c r="D13" s="31">
        <f>SUM(D3:D12)</f>
        <v/>
      </c>
      <c r="E13" s="31">
        <f>SUM(E3:E12)</f>
        <v/>
      </c>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8" customWidth="1" min="3" max="3"/>
    <col width="20" customWidth="1" min="4" max="4"/>
    <col width="14" customWidth="1" min="5" max="5"/>
  </cols>
  <sheetData>
    <row r="1">
      <c r="A1" s="28" t="inlineStr">
        <is>
          <t>Selected Ultimates — Closed Count</t>
        </is>
      </c>
    </row>
    <row r="2">
      <c r="A2" s="29" t="inlineStr">
        <is>
          <t>Accident Period</t>
        </is>
      </c>
      <c r="B2" s="29" t="inlineStr">
        <is>
          <t>Actual (Latest)</t>
        </is>
      </c>
      <c r="C2" s="29" t="inlineStr">
        <is>
          <t>Chain Ladder Ult</t>
        </is>
      </c>
      <c r="D2" s="29" t="inlineStr">
        <is>
          <t>Selected Ultimate</t>
        </is>
      </c>
      <c r="E2" s="29" t="inlineStr">
        <is>
          <t>IBNR</t>
        </is>
      </c>
    </row>
    <row r="3">
      <c r="A3">
        <f>'CL - Closed Count'!A56</f>
        <v/>
      </c>
      <c r="B3" s="26">
        <f>'CL - Closed Count'!C56</f>
        <v/>
      </c>
      <c r="C3" s="26">
        <f>'CL - Closed Count'!E56</f>
        <v/>
      </c>
      <c r="D3" s="26">
        <f>C3</f>
        <v/>
      </c>
      <c r="E3" s="26">
        <f>D3-B3</f>
        <v/>
      </c>
    </row>
    <row r="4">
      <c r="A4">
        <f>'CL - Closed Count'!A57</f>
        <v/>
      </c>
      <c r="B4" s="26">
        <f>'CL - Closed Count'!C57</f>
        <v/>
      </c>
      <c r="C4" s="26">
        <f>'CL - Closed Count'!E57</f>
        <v/>
      </c>
      <c r="D4" s="26">
        <f>C4</f>
        <v/>
      </c>
      <c r="E4" s="26">
        <f>D4-B4</f>
        <v/>
      </c>
    </row>
    <row r="5">
      <c r="A5">
        <f>'CL - Closed Count'!A58</f>
        <v/>
      </c>
      <c r="B5" s="26">
        <f>'CL - Closed Count'!C58</f>
        <v/>
      </c>
      <c r="C5" s="26">
        <f>'CL - Closed Count'!E58</f>
        <v/>
      </c>
      <c r="D5" s="26">
        <f>C5</f>
        <v/>
      </c>
      <c r="E5" s="26">
        <f>D5-B5</f>
        <v/>
      </c>
    </row>
    <row r="6">
      <c r="A6">
        <f>'CL - Closed Count'!A59</f>
        <v/>
      </c>
      <c r="B6" s="26">
        <f>'CL - Closed Count'!C59</f>
        <v/>
      </c>
      <c r="C6" s="26">
        <f>'CL - Closed Count'!E59</f>
        <v/>
      </c>
      <c r="D6" s="26">
        <f>C6</f>
        <v/>
      </c>
      <c r="E6" s="26">
        <f>D6-B6</f>
        <v/>
      </c>
    </row>
    <row r="7">
      <c r="A7">
        <f>'CL - Closed Count'!A60</f>
        <v/>
      </c>
      <c r="B7" s="26">
        <f>'CL - Closed Count'!C60</f>
        <v/>
      </c>
      <c r="C7" s="26">
        <f>'CL - Closed Count'!E60</f>
        <v/>
      </c>
      <c r="D7" s="26">
        <f>C7</f>
        <v/>
      </c>
      <c r="E7" s="26">
        <f>D7-B7</f>
        <v/>
      </c>
    </row>
    <row r="8">
      <c r="A8">
        <f>'CL - Closed Count'!A61</f>
        <v/>
      </c>
      <c r="B8" s="26">
        <f>'CL - Closed Count'!C61</f>
        <v/>
      </c>
      <c r="C8" s="26">
        <f>'CL - Closed Count'!E61</f>
        <v/>
      </c>
      <c r="D8" s="26">
        <f>C8</f>
        <v/>
      </c>
      <c r="E8" s="26">
        <f>D8-B8</f>
        <v/>
      </c>
    </row>
    <row r="9">
      <c r="A9">
        <f>'CL - Closed Count'!A62</f>
        <v/>
      </c>
      <c r="B9" s="26">
        <f>'CL - Closed Count'!C62</f>
        <v/>
      </c>
      <c r="C9" s="26">
        <f>'CL - Closed Count'!E62</f>
        <v/>
      </c>
      <c r="D9" s="26">
        <f>C9</f>
        <v/>
      </c>
      <c r="E9" s="26">
        <f>D9-B9</f>
        <v/>
      </c>
    </row>
    <row r="10">
      <c r="A10">
        <f>'CL - Closed Count'!A63</f>
        <v/>
      </c>
      <c r="B10" s="26">
        <f>'CL - Closed Count'!C63</f>
        <v/>
      </c>
      <c r="C10" s="26">
        <f>'CL - Closed Count'!E63</f>
        <v/>
      </c>
      <c r="D10" s="26">
        <f>C10</f>
        <v/>
      </c>
      <c r="E10" s="26">
        <f>D10-B10</f>
        <v/>
      </c>
    </row>
    <row r="11">
      <c r="A11">
        <f>'CL - Closed Count'!A64</f>
        <v/>
      </c>
      <c r="B11" s="26">
        <f>'CL - Closed Count'!C64</f>
        <v/>
      </c>
      <c r="C11" s="26">
        <f>'CL - Closed Count'!E64</f>
        <v/>
      </c>
      <c r="D11" s="26">
        <f>C11</f>
        <v/>
      </c>
      <c r="E11" s="26">
        <f>D11-B11</f>
        <v/>
      </c>
    </row>
    <row r="12">
      <c r="A12">
        <f>'CL - Closed Count'!A65</f>
        <v/>
      </c>
      <c r="B12" s="26">
        <f>'CL - Closed Count'!C65</f>
        <v/>
      </c>
      <c r="C12" s="26">
        <f>'CL - Closed Count'!E65</f>
        <v/>
      </c>
      <c r="D12" s="26">
        <f>C12</f>
        <v/>
      </c>
      <c r="E12" s="26">
        <f>D12-B12</f>
        <v/>
      </c>
    </row>
    <row r="13">
      <c r="A13" s="30" t="inlineStr">
        <is>
          <t>Total</t>
        </is>
      </c>
      <c r="B13" s="31">
        <f>SUM(B3:B12)</f>
        <v/>
      </c>
      <c r="C13" s="31">
        <f>SUM(C3:C12)</f>
        <v/>
      </c>
      <c r="D13" s="31">
        <f>SUM(D3:D12)</f>
        <v/>
      </c>
      <c r="E13" s="31">
        <f>SUM(E3:E12)</f>
        <v/>
      </c>
    </row>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20" customWidth="1" min="3" max="3"/>
    <col width="20" customWidth="1" min="4" max="4"/>
  </cols>
  <sheetData>
    <row r="1">
      <c r="A1" s="28" t="inlineStr">
        <is>
          <t>Ultimate Severity — Incurred / Reported</t>
        </is>
      </c>
    </row>
    <row r="2">
      <c r="A2" s="29" t="inlineStr">
        <is>
          <t>Period</t>
        </is>
      </c>
      <c r="B2" s="29" t="inlineStr">
        <is>
          <t>Incurred Ultimate</t>
        </is>
      </c>
      <c r="C2" s="29" t="inlineStr">
        <is>
          <t>Reported Ultimate</t>
        </is>
      </c>
      <c r="D2" s="29" t="inlineStr">
        <is>
          <t>Ultimate Severity</t>
        </is>
      </c>
    </row>
    <row r="3">
      <c r="A3">
        <f>'CL - Sel Ults - Incurred Loss'!A3</f>
        <v/>
      </c>
      <c r="B3" s="26">
        <f>'CL - Sel Ults - Incurred Loss'!D3</f>
        <v/>
      </c>
      <c r="C3" s="26">
        <f>'CL - Sel Ults - Reported Count'!D3</f>
        <v/>
      </c>
      <c r="D3" s="32">
        <f>IFERROR(B3/C3,"")</f>
        <v/>
      </c>
    </row>
    <row r="4">
      <c r="A4">
        <f>'CL - Sel Ults - Incurred Loss'!A4</f>
        <v/>
      </c>
      <c r="B4" s="26">
        <f>'CL - Sel Ults - Incurred Loss'!D4</f>
        <v/>
      </c>
      <c r="C4" s="26">
        <f>'CL - Sel Ults - Reported Count'!D4</f>
        <v/>
      </c>
      <c r="D4" s="32">
        <f>IFERROR(B4/C4,"")</f>
        <v/>
      </c>
    </row>
    <row r="5">
      <c r="A5">
        <f>'CL - Sel Ults - Incurred Loss'!A5</f>
        <v/>
      </c>
      <c r="B5" s="26">
        <f>'CL - Sel Ults - Incurred Loss'!D5</f>
        <v/>
      </c>
      <c r="C5" s="26">
        <f>'CL - Sel Ults - Reported Count'!D5</f>
        <v/>
      </c>
      <c r="D5" s="32">
        <f>IFERROR(B5/C5,"")</f>
        <v/>
      </c>
    </row>
    <row r="6">
      <c r="A6">
        <f>'CL - Sel Ults - Incurred Loss'!A6</f>
        <v/>
      </c>
      <c r="B6" s="26">
        <f>'CL - Sel Ults - Incurred Loss'!D6</f>
        <v/>
      </c>
      <c r="C6" s="26">
        <f>'CL - Sel Ults - Reported Count'!D6</f>
        <v/>
      </c>
      <c r="D6" s="32">
        <f>IFERROR(B6/C6,"")</f>
        <v/>
      </c>
    </row>
    <row r="7">
      <c r="A7">
        <f>'CL - Sel Ults - Incurred Loss'!A7</f>
        <v/>
      </c>
      <c r="B7" s="26">
        <f>'CL - Sel Ults - Incurred Loss'!D7</f>
        <v/>
      </c>
      <c r="C7" s="26">
        <f>'CL - Sel Ults - Reported Count'!D7</f>
        <v/>
      </c>
      <c r="D7" s="32">
        <f>IFERROR(B7/C7,"")</f>
        <v/>
      </c>
    </row>
    <row r="8">
      <c r="A8">
        <f>'CL - Sel Ults - Incurred Loss'!A8</f>
        <v/>
      </c>
      <c r="B8" s="26">
        <f>'CL - Sel Ults - Incurred Loss'!D8</f>
        <v/>
      </c>
      <c r="C8" s="26">
        <f>'CL - Sel Ults - Reported Count'!D8</f>
        <v/>
      </c>
      <c r="D8" s="32">
        <f>IFERROR(B8/C8,"")</f>
        <v/>
      </c>
    </row>
    <row r="9">
      <c r="A9">
        <f>'CL - Sel Ults - Incurred Loss'!A9</f>
        <v/>
      </c>
      <c r="B9" s="26">
        <f>'CL - Sel Ults - Incurred Loss'!D9</f>
        <v/>
      </c>
      <c r="C9" s="26">
        <f>'CL - Sel Ults - Reported Count'!D9</f>
        <v/>
      </c>
      <c r="D9" s="32">
        <f>IFERROR(B9/C9,"")</f>
        <v/>
      </c>
    </row>
    <row r="10">
      <c r="A10">
        <f>'CL - Sel Ults - Incurred Loss'!A10</f>
        <v/>
      </c>
      <c r="B10" s="26">
        <f>'CL - Sel Ults - Incurred Loss'!D10</f>
        <v/>
      </c>
      <c r="C10" s="26">
        <f>'CL - Sel Ults - Reported Count'!D10</f>
        <v/>
      </c>
      <c r="D10" s="32">
        <f>IFERROR(B10/C10,"")</f>
        <v/>
      </c>
    </row>
    <row r="11">
      <c r="A11">
        <f>'CL - Sel Ults - Incurred Loss'!A11</f>
        <v/>
      </c>
      <c r="B11" s="26">
        <f>'CL - Sel Ults - Incurred Loss'!D11</f>
        <v/>
      </c>
      <c r="C11" s="26">
        <f>'CL - Sel Ults - Reported Count'!D11</f>
        <v/>
      </c>
      <c r="D11" s="32">
        <f>IFERROR(B11/C11,"")</f>
        <v/>
      </c>
    </row>
    <row r="12">
      <c r="A12">
        <f>'CL - Sel Ults - Incurred Loss'!A12</f>
        <v/>
      </c>
      <c r="B12" s="26">
        <f>'CL - Sel Ults - Incurred Loss'!D12</f>
        <v/>
      </c>
      <c r="C12" s="26">
        <f>'CL - Sel Ults - Reported Count'!D12</f>
        <v/>
      </c>
      <c r="D12" s="32">
        <f>IFERROR(B12/C12,"")</f>
        <v/>
      </c>
    </row>
  </sheetData>
  <mergeCells count="1">
    <mergeCell ref="A1:D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Incurred to Ultimate — ratio triangle</t>
        </is>
      </c>
    </row>
    <row r="2">
      <c r="A2" s="22" t="inlineStr">
        <is>
          <t>Period</t>
        </is>
      </c>
      <c r="B2" s="29">
        <f>'CL - Incurred Loss'!B$2</f>
        <v/>
      </c>
      <c r="C2" s="29">
        <f>'CL - Incurred Loss'!C$2</f>
        <v/>
      </c>
      <c r="D2" s="29">
        <f>'CL - Incurred Loss'!D$2</f>
        <v/>
      </c>
      <c r="E2" s="29">
        <f>'CL - Incurred Loss'!E$2</f>
        <v/>
      </c>
      <c r="F2" s="29">
        <f>'CL - Incurred Loss'!F$2</f>
        <v/>
      </c>
      <c r="G2" s="29">
        <f>'CL - Incurred Loss'!G$2</f>
        <v/>
      </c>
      <c r="H2" s="29">
        <f>'CL - Incurred Loss'!H$2</f>
        <v/>
      </c>
      <c r="I2" s="29">
        <f>'CL - Incurred Loss'!I$2</f>
        <v/>
      </c>
      <c r="J2" s="29">
        <f>'CL - Incurred Loss'!J$2</f>
        <v/>
      </c>
      <c r="K2" s="29">
        <f>'CL - Incurred Loss'!K$2</f>
        <v/>
      </c>
    </row>
    <row r="3">
      <c r="A3">
        <f>'CL - Incurred Loss'!A3</f>
        <v/>
      </c>
      <c r="B3" s="24">
        <f>IFERROR(IF('CL - Incurred Loss'!B3="","",'CL - Incurred Loss'!B3/'CL - Sel Ults - Incurred Loss'!D3),"")</f>
        <v/>
      </c>
      <c r="C3" s="24">
        <f>IFERROR(IF('CL - Incurred Loss'!C3="","",'CL - Incurred Loss'!C3/'CL - Sel Ults - Incurred Loss'!D3),"")</f>
        <v/>
      </c>
      <c r="D3" s="24">
        <f>IFERROR(IF('CL - Incurred Loss'!D3="","",'CL - Incurred Loss'!D3/'CL - Sel Ults - Incurred Loss'!D3),"")</f>
        <v/>
      </c>
      <c r="E3" s="24">
        <f>IFERROR(IF('CL - Incurred Loss'!E3="","",'CL - Incurred Loss'!E3/'CL - Sel Ults - Incurred Loss'!D3),"")</f>
        <v/>
      </c>
      <c r="F3" s="24">
        <f>IFERROR(IF('CL - Incurred Loss'!F3="","",'CL - Incurred Loss'!F3/'CL - Sel Ults - Incurred Loss'!D3),"")</f>
        <v/>
      </c>
      <c r="G3" s="24">
        <f>IFERROR(IF('CL - Incurred Loss'!G3="","",'CL - Incurred Loss'!G3/'CL - Sel Ults - Incurred Loss'!D3),"")</f>
        <v/>
      </c>
      <c r="H3" s="24">
        <f>IFERROR(IF('CL - Incurred Loss'!H3="","",'CL - Incurred Loss'!H3/'CL - Sel Ults - Incurred Loss'!D3),"")</f>
        <v/>
      </c>
      <c r="I3" s="24">
        <f>IFERROR(IF('CL - Incurred Loss'!I3="","",'CL - Incurred Loss'!I3/'CL - Sel Ults - Incurred Loss'!D3),"")</f>
        <v/>
      </c>
      <c r="J3" s="24">
        <f>IFERROR(IF('CL - Incurred Loss'!J3="","",'CL - Incurred Loss'!J3/'CL - Sel Ults - Incurred Loss'!D3),"")</f>
        <v/>
      </c>
      <c r="K3" s="24">
        <f>IFERROR(IF('CL - Incurred Loss'!K3="","",'CL - Incurred Loss'!K3/'CL - Sel Ults - Incurred Loss'!D3),"")</f>
        <v/>
      </c>
    </row>
    <row r="4">
      <c r="A4">
        <f>'CL - Incurred Loss'!A4</f>
        <v/>
      </c>
      <c r="B4" s="24">
        <f>IFERROR(IF('CL - Incurred Loss'!B4="","",'CL - Incurred Loss'!B4/'CL - Sel Ults - Incurred Loss'!D4),"")</f>
        <v/>
      </c>
      <c r="C4" s="24">
        <f>IFERROR(IF('CL - Incurred Loss'!C4="","",'CL - Incurred Loss'!C4/'CL - Sel Ults - Incurred Loss'!D4),"")</f>
        <v/>
      </c>
      <c r="D4" s="24">
        <f>IFERROR(IF('CL - Incurred Loss'!D4="","",'CL - Incurred Loss'!D4/'CL - Sel Ults - Incurred Loss'!D4),"")</f>
        <v/>
      </c>
      <c r="E4" s="24">
        <f>IFERROR(IF('CL - Incurred Loss'!E4="","",'CL - Incurred Loss'!E4/'CL - Sel Ults - Incurred Loss'!D4),"")</f>
        <v/>
      </c>
      <c r="F4" s="24">
        <f>IFERROR(IF('CL - Incurred Loss'!F4="","",'CL - Incurred Loss'!F4/'CL - Sel Ults - Incurred Loss'!D4),"")</f>
        <v/>
      </c>
      <c r="G4" s="24">
        <f>IFERROR(IF('CL - Incurred Loss'!G4="","",'CL - Incurred Loss'!G4/'CL - Sel Ults - Incurred Loss'!D4),"")</f>
        <v/>
      </c>
      <c r="H4" s="24">
        <f>IFERROR(IF('CL - Incurred Loss'!H4="","",'CL - Incurred Loss'!H4/'CL - Sel Ults - Incurred Loss'!D4),"")</f>
        <v/>
      </c>
      <c r="I4" s="24">
        <f>IFERROR(IF('CL - Incurred Loss'!I4="","",'CL - Incurred Loss'!I4/'CL - Sel Ults - Incurred Loss'!D4),"")</f>
        <v/>
      </c>
      <c r="J4" s="24">
        <f>IFERROR(IF('CL - Incurred Loss'!J4="","",'CL - Incurred Loss'!J4/'CL - Sel Ults - Incurred Loss'!D4),"")</f>
        <v/>
      </c>
      <c r="K4" s="24">
        <f>IFERROR(IF('CL - Incurred Loss'!K4="","",'CL - Incurred Loss'!K4/'CL - Sel Ults - Incurred Loss'!D4),"")</f>
        <v/>
      </c>
    </row>
    <row r="5">
      <c r="A5">
        <f>'CL - Incurred Loss'!A5</f>
        <v/>
      </c>
      <c r="B5" s="24">
        <f>IFERROR(IF('CL - Incurred Loss'!B5="","",'CL - Incurred Loss'!B5/'CL - Sel Ults - Incurred Loss'!D5),"")</f>
        <v/>
      </c>
      <c r="C5" s="24">
        <f>IFERROR(IF('CL - Incurred Loss'!C5="","",'CL - Incurred Loss'!C5/'CL - Sel Ults - Incurred Loss'!D5),"")</f>
        <v/>
      </c>
      <c r="D5" s="24">
        <f>IFERROR(IF('CL - Incurred Loss'!D5="","",'CL - Incurred Loss'!D5/'CL - Sel Ults - Incurred Loss'!D5),"")</f>
        <v/>
      </c>
      <c r="E5" s="24">
        <f>IFERROR(IF('CL - Incurred Loss'!E5="","",'CL - Incurred Loss'!E5/'CL - Sel Ults - Incurred Loss'!D5),"")</f>
        <v/>
      </c>
      <c r="F5" s="24">
        <f>IFERROR(IF('CL - Incurred Loss'!F5="","",'CL - Incurred Loss'!F5/'CL - Sel Ults - Incurred Loss'!D5),"")</f>
        <v/>
      </c>
      <c r="G5" s="24">
        <f>IFERROR(IF('CL - Incurred Loss'!G5="","",'CL - Incurred Loss'!G5/'CL - Sel Ults - Incurred Loss'!D5),"")</f>
        <v/>
      </c>
      <c r="H5" s="24">
        <f>IFERROR(IF('CL - Incurred Loss'!H5="","",'CL - Incurred Loss'!H5/'CL - Sel Ults - Incurred Loss'!D5),"")</f>
        <v/>
      </c>
      <c r="I5" s="24">
        <f>IFERROR(IF('CL - Incurred Loss'!I5="","",'CL - Incurred Loss'!I5/'CL - Sel Ults - Incurred Loss'!D5),"")</f>
        <v/>
      </c>
      <c r="J5" s="24">
        <f>IFERROR(IF('CL - Incurred Loss'!J5="","",'CL - Incurred Loss'!J5/'CL - Sel Ults - Incurred Loss'!D5),"")</f>
        <v/>
      </c>
      <c r="K5" s="24">
        <f>IFERROR(IF('CL - Incurred Loss'!K5="","",'CL - Incurred Loss'!K5/'CL - Sel Ults - Incurred Loss'!D5),"")</f>
        <v/>
      </c>
    </row>
    <row r="6">
      <c r="A6">
        <f>'CL - Incurred Loss'!A6</f>
        <v/>
      </c>
      <c r="B6" s="24">
        <f>IFERROR(IF('CL - Incurred Loss'!B6="","",'CL - Incurred Loss'!B6/'CL - Sel Ults - Incurred Loss'!D6),"")</f>
        <v/>
      </c>
      <c r="C6" s="24">
        <f>IFERROR(IF('CL - Incurred Loss'!C6="","",'CL - Incurred Loss'!C6/'CL - Sel Ults - Incurred Loss'!D6),"")</f>
        <v/>
      </c>
      <c r="D6" s="24">
        <f>IFERROR(IF('CL - Incurred Loss'!D6="","",'CL - Incurred Loss'!D6/'CL - Sel Ults - Incurred Loss'!D6),"")</f>
        <v/>
      </c>
      <c r="E6" s="24">
        <f>IFERROR(IF('CL - Incurred Loss'!E6="","",'CL - Incurred Loss'!E6/'CL - Sel Ults - Incurred Loss'!D6),"")</f>
        <v/>
      </c>
      <c r="F6" s="24">
        <f>IFERROR(IF('CL - Incurred Loss'!F6="","",'CL - Incurred Loss'!F6/'CL - Sel Ults - Incurred Loss'!D6),"")</f>
        <v/>
      </c>
      <c r="G6" s="24">
        <f>IFERROR(IF('CL - Incurred Loss'!G6="","",'CL - Incurred Loss'!G6/'CL - Sel Ults - Incurred Loss'!D6),"")</f>
        <v/>
      </c>
      <c r="H6" s="24">
        <f>IFERROR(IF('CL - Incurred Loss'!H6="","",'CL - Incurred Loss'!H6/'CL - Sel Ults - Incurred Loss'!D6),"")</f>
        <v/>
      </c>
      <c r="I6" s="24">
        <f>IFERROR(IF('CL - Incurred Loss'!I6="","",'CL - Incurred Loss'!I6/'CL - Sel Ults - Incurred Loss'!D6),"")</f>
        <v/>
      </c>
      <c r="J6" s="24">
        <f>IFERROR(IF('CL - Incurred Loss'!J6="","",'CL - Incurred Loss'!J6/'CL - Sel Ults - Incurred Loss'!D6),"")</f>
        <v/>
      </c>
      <c r="K6" s="24">
        <f>IFERROR(IF('CL - Incurred Loss'!K6="","",'CL - Incurred Loss'!K6/'CL - Sel Ults - Incurred Loss'!D6),"")</f>
        <v/>
      </c>
    </row>
    <row r="7">
      <c r="A7">
        <f>'CL - Incurred Loss'!A7</f>
        <v/>
      </c>
      <c r="B7" s="24">
        <f>IFERROR(IF('CL - Incurred Loss'!B7="","",'CL - Incurred Loss'!B7/'CL - Sel Ults - Incurred Loss'!D7),"")</f>
        <v/>
      </c>
      <c r="C7" s="24">
        <f>IFERROR(IF('CL - Incurred Loss'!C7="","",'CL - Incurred Loss'!C7/'CL - Sel Ults - Incurred Loss'!D7),"")</f>
        <v/>
      </c>
      <c r="D7" s="24">
        <f>IFERROR(IF('CL - Incurred Loss'!D7="","",'CL - Incurred Loss'!D7/'CL - Sel Ults - Incurred Loss'!D7),"")</f>
        <v/>
      </c>
      <c r="E7" s="24">
        <f>IFERROR(IF('CL - Incurred Loss'!E7="","",'CL - Incurred Loss'!E7/'CL - Sel Ults - Incurred Loss'!D7),"")</f>
        <v/>
      </c>
      <c r="F7" s="24">
        <f>IFERROR(IF('CL - Incurred Loss'!F7="","",'CL - Incurred Loss'!F7/'CL - Sel Ults - Incurred Loss'!D7),"")</f>
        <v/>
      </c>
      <c r="G7" s="24">
        <f>IFERROR(IF('CL - Incurred Loss'!G7="","",'CL - Incurred Loss'!G7/'CL - Sel Ults - Incurred Loss'!D7),"")</f>
        <v/>
      </c>
      <c r="H7" s="24">
        <f>IFERROR(IF('CL - Incurred Loss'!H7="","",'CL - Incurred Loss'!H7/'CL - Sel Ults - Incurred Loss'!D7),"")</f>
        <v/>
      </c>
      <c r="I7" s="24">
        <f>IFERROR(IF('CL - Incurred Loss'!I7="","",'CL - Incurred Loss'!I7/'CL - Sel Ults - Incurred Loss'!D7),"")</f>
        <v/>
      </c>
      <c r="J7" s="24">
        <f>IFERROR(IF('CL - Incurred Loss'!J7="","",'CL - Incurred Loss'!J7/'CL - Sel Ults - Incurred Loss'!D7),"")</f>
        <v/>
      </c>
      <c r="K7" s="24">
        <f>IFERROR(IF('CL - Incurred Loss'!K7="","",'CL - Incurred Loss'!K7/'CL - Sel Ults - Incurred Loss'!D7),"")</f>
        <v/>
      </c>
    </row>
    <row r="8">
      <c r="A8">
        <f>'CL - Incurred Loss'!A8</f>
        <v/>
      </c>
      <c r="B8" s="24">
        <f>IFERROR(IF('CL - Incurred Loss'!B8="","",'CL - Incurred Loss'!B8/'CL - Sel Ults - Incurred Loss'!D8),"")</f>
        <v/>
      </c>
      <c r="C8" s="24">
        <f>IFERROR(IF('CL - Incurred Loss'!C8="","",'CL - Incurred Loss'!C8/'CL - Sel Ults - Incurred Loss'!D8),"")</f>
        <v/>
      </c>
      <c r="D8" s="24">
        <f>IFERROR(IF('CL - Incurred Loss'!D8="","",'CL - Incurred Loss'!D8/'CL - Sel Ults - Incurred Loss'!D8),"")</f>
        <v/>
      </c>
      <c r="E8" s="24">
        <f>IFERROR(IF('CL - Incurred Loss'!E8="","",'CL - Incurred Loss'!E8/'CL - Sel Ults - Incurred Loss'!D8),"")</f>
        <v/>
      </c>
      <c r="F8" s="24">
        <f>IFERROR(IF('CL - Incurred Loss'!F8="","",'CL - Incurred Loss'!F8/'CL - Sel Ults - Incurred Loss'!D8),"")</f>
        <v/>
      </c>
      <c r="G8" s="24">
        <f>IFERROR(IF('CL - Incurred Loss'!G8="","",'CL - Incurred Loss'!G8/'CL - Sel Ults - Incurred Loss'!D8),"")</f>
        <v/>
      </c>
      <c r="H8" s="24">
        <f>IFERROR(IF('CL - Incurred Loss'!H8="","",'CL - Incurred Loss'!H8/'CL - Sel Ults - Incurred Loss'!D8),"")</f>
        <v/>
      </c>
      <c r="I8" s="24">
        <f>IFERROR(IF('CL - Incurred Loss'!I8="","",'CL - Incurred Loss'!I8/'CL - Sel Ults - Incurred Loss'!D8),"")</f>
        <v/>
      </c>
      <c r="J8" s="24">
        <f>IFERROR(IF('CL - Incurred Loss'!J8="","",'CL - Incurred Loss'!J8/'CL - Sel Ults - Incurred Loss'!D8),"")</f>
        <v/>
      </c>
      <c r="K8" s="24">
        <f>IFERROR(IF('CL - Incurred Loss'!K8="","",'CL - Incurred Loss'!K8/'CL - Sel Ults - Incurred Loss'!D8),"")</f>
        <v/>
      </c>
    </row>
    <row r="9">
      <c r="A9">
        <f>'CL - Incurred Loss'!A9</f>
        <v/>
      </c>
      <c r="B9" s="24">
        <f>IFERROR(IF('CL - Incurred Loss'!B9="","",'CL - Incurred Loss'!B9/'CL - Sel Ults - Incurred Loss'!D9),"")</f>
        <v/>
      </c>
      <c r="C9" s="24">
        <f>IFERROR(IF('CL - Incurred Loss'!C9="","",'CL - Incurred Loss'!C9/'CL - Sel Ults - Incurred Loss'!D9),"")</f>
        <v/>
      </c>
      <c r="D9" s="24">
        <f>IFERROR(IF('CL - Incurred Loss'!D9="","",'CL - Incurred Loss'!D9/'CL - Sel Ults - Incurred Loss'!D9),"")</f>
        <v/>
      </c>
      <c r="E9" s="24">
        <f>IFERROR(IF('CL - Incurred Loss'!E9="","",'CL - Incurred Loss'!E9/'CL - Sel Ults - Incurred Loss'!D9),"")</f>
        <v/>
      </c>
      <c r="F9" s="24">
        <f>IFERROR(IF('CL - Incurred Loss'!F9="","",'CL - Incurred Loss'!F9/'CL - Sel Ults - Incurred Loss'!D9),"")</f>
        <v/>
      </c>
      <c r="G9" s="24">
        <f>IFERROR(IF('CL - Incurred Loss'!G9="","",'CL - Incurred Loss'!G9/'CL - Sel Ults - Incurred Loss'!D9),"")</f>
        <v/>
      </c>
      <c r="H9" s="24">
        <f>IFERROR(IF('CL - Incurred Loss'!H9="","",'CL - Incurred Loss'!H9/'CL - Sel Ults - Incurred Loss'!D9),"")</f>
        <v/>
      </c>
      <c r="I9" s="24">
        <f>IFERROR(IF('CL - Incurred Loss'!I9="","",'CL - Incurred Loss'!I9/'CL - Sel Ults - Incurred Loss'!D9),"")</f>
        <v/>
      </c>
      <c r="J9" s="24">
        <f>IFERROR(IF('CL - Incurred Loss'!J9="","",'CL - Incurred Loss'!J9/'CL - Sel Ults - Incurred Loss'!D9),"")</f>
        <v/>
      </c>
      <c r="K9" s="24">
        <f>IFERROR(IF('CL - Incurred Loss'!K9="","",'CL - Incurred Loss'!K9/'CL - Sel Ults - Incurred Loss'!D9),"")</f>
        <v/>
      </c>
    </row>
    <row r="10">
      <c r="A10">
        <f>'CL - Incurred Loss'!A10</f>
        <v/>
      </c>
      <c r="B10" s="24">
        <f>IFERROR(IF('CL - Incurred Loss'!B10="","",'CL - Incurred Loss'!B10/'CL - Sel Ults - Incurred Loss'!D10),"")</f>
        <v/>
      </c>
      <c r="C10" s="24">
        <f>IFERROR(IF('CL - Incurred Loss'!C10="","",'CL - Incurred Loss'!C10/'CL - Sel Ults - Incurred Loss'!D10),"")</f>
        <v/>
      </c>
      <c r="D10" s="24">
        <f>IFERROR(IF('CL - Incurred Loss'!D10="","",'CL - Incurred Loss'!D10/'CL - Sel Ults - Incurred Loss'!D10),"")</f>
        <v/>
      </c>
      <c r="E10" s="24">
        <f>IFERROR(IF('CL - Incurred Loss'!E10="","",'CL - Incurred Loss'!E10/'CL - Sel Ults - Incurred Loss'!D10),"")</f>
        <v/>
      </c>
      <c r="F10" s="24">
        <f>IFERROR(IF('CL - Incurred Loss'!F10="","",'CL - Incurred Loss'!F10/'CL - Sel Ults - Incurred Loss'!D10),"")</f>
        <v/>
      </c>
      <c r="G10" s="24">
        <f>IFERROR(IF('CL - Incurred Loss'!G10="","",'CL - Incurred Loss'!G10/'CL - Sel Ults - Incurred Loss'!D10),"")</f>
        <v/>
      </c>
      <c r="H10" s="24">
        <f>IFERROR(IF('CL - Incurred Loss'!H10="","",'CL - Incurred Loss'!H10/'CL - Sel Ults - Incurred Loss'!D10),"")</f>
        <v/>
      </c>
      <c r="I10" s="24">
        <f>IFERROR(IF('CL - Incurred Loss'!I10="","",'CL - Incurred Loss'!I10/'CL - Sel Ults - Incurred Loss'!D10),"")</f>
        <v/>
      </c>
      <c r="J10" s="24">
        <f>IFERROR(IF('CL - Incurred Loss'!J10="","",'CL - Incurred Loss'!J10/'CL - Sel Ults - Incurred Loss'!D10),"")</f>
        <v/>
      </c>
      <c r="K10" s="24">
        <f>IFERROR(IF('CL - Incurred Loss'!K10="","",'CL - Incurred Loss'!K10/'CL - Sel Ults - Incurred Loss'!D10),"")</f>
        <v/>
      </c>
    </row>
    <row r="11">
      <c r="A11">
        <f>'CL - Incurred Loss'!A11</f>
        <v/>
      </c>
      <c r="B11" s="24">
        <f>IFERROR(IF('CL - Incurred Loss'!B11="","",'CL - Incurred Loss'!B11/'CL - Sel Ults - Incurred Loss'!D11),"")</f>
        <v/>
      </c>
      <c r="C11" s="24">
        <f>IFERROR(IF('CL - Incurred Loss'!C11="","",'CL - Incurred Loss'!C11/'CL - Sel Ults - Incurred Loss'!D11),"")</f>
        <v/>
      </c>
      <c r="D11" s="24">
        <f>IFERROR(IF('CL - Incurred Loss'!D11="","",'CL - Incurred Loss'!D11/'CL - Sel Ults - Incurred Loss'!D11),"")</f>
        <v/>
      </c>
      <c r="E11" s="24">
        <f>IFERROR(IF('CL - Incurred Loss'!E11="","",'CL - Incurred Loss'!E11/'CL - Sel Ults - Incurred Loss'!D11),"")</f>
        <v/>
      </c>
      <c r="F11" s="24">
        <f>IFERROR(IF('CL - Incurred Loss'!F11="","",'CL - Incurred Loss'!F11/'CL - Sel Ults - Incurred Loss'!D11),"")</f>
        <v/>
      </c>
      <c r="G11" s="24">
        <f>IFERROR(IF('CL - Incurred Loss'!G11="","",'CL - Incurred Loss'!G11/'CL - Sel Ults - Incurred Loss'!D11),"")</f>
        <v/>
      </c>
      <c r="H11" s="24">
        <f>IFERROR(IF('CL - Incurred Loss'!H11="","",'CL - Incurred Loss'!H11/'CL - Sel Ults - Incurred Loss'!D11),"")</f>
        <v/>
      </c>
      <c r="I11" s="24">
        <f>IFERROR(IF('CL - Incurred Loss'!I11="","",'CL - Incurred Loss'!I11/'CL - Sel Ults - Incurred Loss'!D11),"")</f>
        <v/>
      </c>
      <c r="J11" s="24">
        <f>IFERROR(IF('CL - Incurred Loss'!J11="","",'CL - Incurred Loss'!J11/'CL - Sel Ults - Incurred Loss'!D11),"")</f>
        <v/>
      </c>
      <c r="K11" s="24">
        <f>IFERROR(IF('CL - Incurred Loss'!K11="","",'CL - Incurred Loss'!K11/'CL - Sel Ults - Incurred Loss'!D11),"")</f>
        <v/>
      </c>
    </row>
    <row r="12">
      <c r="A12">
        <f>'CL - Incurred Loss'!A12</f>
        <v/>
      </c>
      <c r="B12" s="24">
        <f>IFERROR(IF('CL - Incurred Loss'!B12="","",'CL - Incurred Loss'!B12/'CL - Sel Ults - Incurred Loss'!D12),"")</f>
        <v/>
      </c>
      <c r="C12" s="24">
        <f>IFERROR(IF('CL - Incurred Loss'!C12="","",'CL - Incurred Loss'!C12/'CL - Sel Ults - Incurred Loss'!D12),"")</f>
        <v/>
      </c>
      <c r="D12" s="24">
        <f>IFERROR(IF('CL - Incurred Loss'!D12="","",'CL - Incurred Loss'!D12/'CL - Sel Ults - Incurred Loss'!D12),"")</f>
        <v/>
      </c>
      <c r="E12" s="24">
        <f>IFERROR(IF('CL - Incurred Loss'!E12="","",'CL - Incurred Loss'!E12/'CL - Sel Ults - Incurred Loss'!D12),"")</f>
        <v/>
      </c>
      <c r="F12" s="24">
        <f>IFERROR(IF('CL - Incurred Loss'!F12="","",'CL - Incurred Loss'!F12/'CL - Sel Ults - Incurred Loss'!D12),"")</f>
        <v/>
      </c>
      <c r="G12" s="24">
        <f>IFERROR(IF('CL - Incurred Loss'!G12="","",'CL - Incurred Loss'!G12/'CL - Sel Ults - Incurred Loss'!D12),"")</f>
        <v/>
      </c>
      <c r="H12" s="24">
        <f>IFERROR(IF('CL - Incurred Loss'!H12="","",'CL - Incurred Loss'!H12/'CL - Sel Ults - Incurred Loss'!D12),"")</f>
        <v/>
      </c>
      <c r="I12" s="24">
        <f>IFERROR(IF('CL - Incurred Loss'!I12="","",'CL - Incurred Loss'!I12/'CL - Sel Ults - Incurred Loss'!D12),"")</f>
        <v/>
      </c>
      <c r="J12" s="24">
        <f>IFERROR(IF('CL - Incurred Loss'!J12="","",'CL - Incurred Loss'!J12/'CL - Sel Ults - Incurred Loss'!D12),"")</f>
        <v/>
      </c>
      <c r="K12" s="24">
        <f>IFERROR(IF('CL - Incurred Loss'!K12="","",'CL - Incurred Loss'!K12/'CL - Sel Ults - Incurred Loss'!D12),"")</f>
        <v/>
      </c>
    </row>
  </sheetData>
  <mergeCells count="1">
    <mergeCell ref="A1:K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Paid to Ultimate — ratio triangle</t>
        </is>
      </c>
    </row>
    <row r="2">
      <c r="A2" s="22" t="inlineStr">
        <is>
          <t>Period</t>
        </is>
      </c>
      <c r="B2" s="29">
        <f>'CL - Paid Loss'!B$2</f>
        <v/>
      </c>
      <c r="C2" s="29">
        <f>'CL - Paid Loss'!C$2</f>
        <v/>
      </c>
      <c r="D2" s="29">
        <f>'CL - Paid Loss'!D$2</f>
        <v/>
      </c>
      <c r="E2" s="29">
        <f>'CL - Paid Loss'!E$2</f>
        <v/>
      </c>
      <c r="F2" s="29">
        <f>'CL - Paid Loss'!F$2</f>
        <v/>
      </c>
      <c r="G2" s="29">
        <f>'CL - Paid Loss'!G$2</f>
        <v/>
      </c>
      <c r="H2" s="29">
        <f>'CL - Paid Loss'!H$2</f>
        <v/>
      </c>
      <c r="I2" s="29">
        <f>'CL - Paid Loss'!I$2</f>
        <v/>
      </c>
      <c r="J2" s="29">
        <f>'CL - Paid Loss'!J$2</f>
        <v/>
      </c>
      <c r="K2" s="29">
        <f>'CL - Paid Loss'!K$2</f>
        <v/>
      </c>
    </row>
    <row r="3">
      <c r="A3">
        <f>'CL - Paid Loss'!A3</f>
        <v/>
      </c>
      <c r="B3" s="24">
        <f>IFERROR(IF('CL - Paid Loss'!B3="","",'CL - Paid Loss'!B3/'CL - Sel Ults - Paid Loss'!D3),"")</f>
        <v/>
      </c>
      <c r="C3" s="24">
        <f>IFERROR(IF('CL - Paid Loss'!C3="","",'CL - Paid Loss'!C3/'CL - Sel Ults - Paid Loss'!D3),"")</f>
        <v/>
      </c>
      <c r="D3" s="24">
        <f>IFERROR(IF('CL - Paid Loss'!D3="","",'CL - Paid Loss'!D3/'CL - Sel Ults - Paid Loss'!D3),"")</f>
        <v/>
      </c>
      <c r="E3" s="24">
        <f>IFERROR(IF('CL - Paid Loss'!E3="","",'CL - Paid Loss'!E3/'CL - Sel Ults - Paid Loss'!D3),"")</f>
        <v/>
      </c>
      <c r="F3" s="24">
        <f>IFERROR(IF('CL - Paid Loss'!F3="","",'CL - Paid Loss'!F3/'CL - Sel Ults - Paid Loss'!D3),"")</f>
        <v/>
      </c>
      <c r="G3" s="24">
        <f>IFERROR(IF('CL - Paid Loss'!G3="","",'CL - Paid Loss'!G3/'CL - Sel Ults - Paid Loss'!D3),"")</f>
        <v/>
      </c>
      <c r="H3" s="24">
        <f>IFERROR(IF('CL - Paid Loss'!H3="","",'CL - Paid Loss'!H3/'CL - Sel Ults - Paid Loss'!D3),"")</f>
        <v/>
      </c>
      <c r="I3" s="24">
        <f>IFERROR(IF('CL - Paid Loss'!I3="","",'CL - Paid Loss'!I3/'CL - Sel Ults - Paid Loss'!D3),"")</f>
        <v/>
      </c>
      <c r="J3" s="24">
        <f>IFERROR(IF('CL - Paid Loss'!J3="","",'CL - Paid Loss'!J3/'CL - Sel Ults - Paid Loss'!D3),"")</f>
        <v/>
      </c>
      <c r="K3" s="24">
        <f>IFERROR(IF('CL - Paid Loss'!K3="","",'CL - Paid Loss'!K3/'CL - Sel Ults - Paid Loss'!D3),"")</f>
        <v/>
      </c>
    </row>
    <row r="4">
      <c r="A4">
        <f>'CL - Paid Loss'!A4</f>
        <v/>
      </c>
      <c r="B4" s="24">
        <f>IFERROR(IF('CL - Paid Loss'!B4="","",'CL - Paid Loss'!B4/'CL - Sel Ults - Paid Loss'!D4),"")</f>
        <v/>
      </c>
      <c r="C4" s="24">
        <f>IFERROR(IF('CL - Paid Loss'!C4="","",'CL - Paid Loss'!C4/'CL - Sel Ults - Paid Loss'!D4),"")</f>
        <v/>
      </c>
      <c r="D4" s="24">
        <f>IFERROR(IF('CL - Paid Loss'!D4="","",'CL - Paid Loss'!D4/'CL - Sel Ults - Paid Loss'!D4),"")</f>
        <v/>
      </c>
      <c r="E4" s="24">
        <f>IFERROR(IF('CL - Paid Loss'!E4="","",'CL - Paid Loss'!E4/'CL - Sel Ults - Paid Loss'!D4),"")</f>
        <v/>
      </c>
      <c r="F4" s="24">
        <f>IFERROR(IF('CL - Paid Loss'!F4="","",'CL - Paid Loss'!F4/'CL - Sel Ults - Paid Loss'!D4),"")</f>
        <v/>
      </c>
      <c r="G4" s="24">
        <f>IFERROR(IF('CL - Paid Loss'!G4="","",'CL - Paid Loss'!G4/'CL - Sel Ults - Paid Loss'!D4),"")</f>
        <v/>
      </c>
      <c r="H4" s="24">
        <f>IFERROR(IF('CL - Paid Loss'!H4="","",'CL - Paid Loss'!H4/'CL - Sel Ults - Paid Loss'!D4),"")</f>
        <v/>
      </c>
      <c r="I4" s="24">
        <f>IFERROR(IF('CL - Paid Loss'!I4="","",'CL - Paid Loss'!I4/'CL - Sel Ults - Paid Loss'!D4),"")</f>
        <v/>
      </c>
      <c r="J4" s="24">
        <f>IFERROR(IF('CL - Paid Loss'!J4="","",'CL - Paid Loss'!J4/'CL - Sel Ults - Paid Loss'!D4),"")</f>
        <v/>
      </c>
      <c r="K4" s="24">
        <f>IFERROR(IF('CL - Paid Loss'!K4="","",'CL - Paid Loss'!K4/'CL - Sel Ults - Paid Loss'!D4),"")</f>
        <v/>
      </c>
    </row>
    <row r="5">
      <c r="A5">
        <f>'CL - Paid Loss'!A5</f>
        <v/>
      </c>
      <c r="B5" s="24">
        <f>IFERROR(IF('CL - Paid Loss'!B5="","",'CL - Paid Loss'!B5/'CL - Sel Ults - Paid Loss'!D5),"")</f>
        <v/>
      </c>
      <c r="C5" s="24">
        <f>IFERROR(IF('CL - Paid Loss'!C5="","",'CL - Paid Loss'!C5/'CL - Sel Ults - Paid Loss'!D5),"")</f>
        <v/>
      </c>
      <c r="D5" s="24">
        <f>IFERROR(IF('CL - Paid Loss'!D5="","",'CL - Paid Loss'!D5/'CL - Sel Ults - Paid Loss'!D5),"")</f>
        <v/>
      </c>
      <c r="E5" s="24">
        <f>IFERROR(IF('CL - Paid Loss'!E5="","",'CL - Paid Loss'!E5/'CL - Sel Ults - Paid Loss'!D5),"")</f>
        <v/>
      </c>
      <c r="F5" s="24">
        <f>IFERROR(IF('CL - Paid Loss'!F5="","",'CL - Paid Loss'!F5/'CL - Sel Ults - Paid Loss'!D5),"")</f>
        <v/>
      </c>
      <c r="G5" s="24">
        <f>IFERROR(IF('CL - Paid Loss'!G5="","",'CL - Paid Loss'!G5/'CL - Sel Ults - Paid Loss'!D5),"")</f>
        <v/>
      </c>
      <c r="H5" s="24">
        <f>IFERROR(IF('CL - Paid Loss'!H5="","",'CL - Paid Loss'!H5/'CL - Sel Ults - Paid Loss'!D5),"")</f>
        <v/>
      </c>
      <c r="I5" s="24">
        <f>IFERROR(IF('CL - Paid Loss'!I5="","",'CL - Paid Loss'!I5/'CL - Sel Ults - Paid Loss'!D5),"")</f>
        <v/>
      </c>
      <c r="J5" s="24">
        <f>IFERROR(IF('CL - Paid Loss'!J5="","",'CL - Paid Loss'!J5/'CL - Sel Ults - Paid Loss'!D5),"")</f>
        <v/>
      </c>
      <c r="K5" s="24">
        <f>IFERROR(IF('CL - Paid Loss'!K5="","",'CL - Paid Loss'!K5/'CL - Sel Ults - Paid Loss'!D5),"")</f>
        <v/>
      </c>
    </row>
    <row r="6">
      <c r="A6">
        <f>'CL - Paid Loss'!A6</f>
        <v/>
      </c>
      <c r="B6" s="24">
        <f>IFERROR(IF('CL - Paid Loss'!B6="","",'CL - Paid Loss'!B6/'CL - Sel Ults - Paid Loss'!D6),"")</f>
        <v/>
      </c>
      <c r="C6" s="24">
        <f>IFERROR(IF('CL - Paid Loss'!C6="","",'CL - Paid Loss'!C6/'CL - Sel Ults - Paid Loss'!D6),"")</f>
        <v/>
      </c>
      <c r="D6" s="24">
        <f>IFERROR(IF('CL - Paid Loss'!D6="","",'CL - Paid Loss'!D6/'CL - Sel Ults - Paid Loss'!D6),"")</f>
        <v/>
      </c>
      <c r="E6" s="24">
        <f>IFERROR(IF('CL - Paid Loss'!E6="","",'CL - Paid Loss'!E6/'CL - Sel Ults - Paid Loss'!D6),"")</f>
        <v/>
      </c>
      <c r="F6" s="24">
        <f>IFERROR(IF('CL - Paid Loss'!F6="","",'CL - Paid Loss'!F6/'CL - Sel Ults - Paid Loss'!D6),"")</f>
        <v/>
      </c>
      <c r="G6" s="24">
        <f>IFERROR(IF('CL - Paid Loss'!G6="","",'CL - Paid Loss'!G6/'CL - Sel Ults - Paid Loss'!D6),"")</f>
        <v/>
      </c>
      <c r="H6" s="24">
        <f>IFERROR(IF('CL - Paid Loss'!H6="","",'CL - Paid Loss'!H6/'CL - Sel Ults - Paid Loss'!D6),"")</f>
        <v/>
      </c>
      <c r="I6" s="24">
        <f>IFERROR(IF('CL - Paid Loss'!I6="","",'CL - Paid Loss'!I6/'CL - Sel Ults - Paid Loss'!D6),"")</f>
        <v/>
      </c>
      <c r="J6" s="24">
        <f>IFERROR(IF('CL - Paid Loss'!J6="","",'CL - Paid Loss'!J6/'CL - Sel Ults - Paid Loss'!D6),"")</f>
        <v/>
      </c>
      <c r="K6" s="24">
        <f>IFERROR(IF('CL - Paid Loss'!K6="","",'CL - Paid Loss'!K6/'CL - Sel Ults - Paid Loss'!D6),"")</f>
        <v/>
      </c>
    </row>
    <row r="7">
      <c r="A7">
        <f>'CL - Paid Loss'!A7</f>
        <v/>
      </c>
      <c r="B7" s="24">
        <f>IFERROR(IF('CL - Paid Loss'!B7="","",'CL - Paid Loss'!B7/'CL - Sel Ults - Paid Loss'!D7),"")</f>
        <v/>
      </c>
      <c r="C7" s="24">
        <f>IFERROR(IF('CL - Paid Loss'!C7="","",'CL - Paid Loss'!C7/'CL - Sel Ults - Paid Loss'!D7),"")</f>
        <v/>
      </c>
      <c r="D7" s="24">
        <f>IFERROR(IF('CL - Paid Loss'!D7="","",'CL - Paid Loss'!D7/'CL - Sel Ults - Paid Loss'!D7),"")</f>
        <v/>
      </c>
      <c r="E7" s="24">
        <f>IFERROR(IF('CL - Paid Loss'!E7="","",'CL - Paid Loss'!E7/'CL - Sel Ults - Paid Loss'!D7),"")</f>
        <v/>
      </c>
      <c r="F7" s="24">
        <f>IFERROR(IF('CL - Paid Loss'!F7="","",'CL - Paid Loss'!F7/'CL - Sel Ults - Paid Loss'!D7),"")</f>
        <v/>
      </c>
      <c r="G7" s="24">
        <f>IFERROR(IF('CL - Paid Loss'!G7="","",'CL - Paid Loss'!G7/'CL - Sel Ults - Paid Loss'!D7),"")</f>
        <v/>
      </c>
      <c r="H7" s="24">
        <f>IFERROR(IF('CL - Paid Loss'!H7="","",'CL - Paid Loss'!H7/'CL - Sel Ults - Paid Loss'!D7),"")</f>
        <v/>
      </c>
      <c r="I7" s="24">
        <f>IFERROR(IF('CL - Paid Loss'!I7="","",'CL - Paid Loss'!I7/'CL - Sel Ults - Paid Loss'!D7),"")</f>
        <v/>
      </c>
      <c r="J7" s="24">
        <f>IFERROR(IF('CL - Paid Loss'!J7="","",'CL - Paid Loss'!J7/'CL - Sel Ults - Paid Loss'!D7),"")</f>
        <v/>
      </c>
      <c r="K7" s="24">
        <f>IFERROR(IF('CL - Paid Loss'!K7="","",'CL - Paid Loss'!K7/'CL - Sel Ults - Paid Loss'!D7),"")</f>
        <v/>
      </c>
    </row>
    <row r="8">
      <c r="A8">
        <f>'CL - Paid Loss'!A8</f>
        <v/>
      </c>
      <c r="B8" s="24">
        <f>IFERROR(IF('CL - Paid Loss'!B8="","",'CL - Paid Loss'!B8/'CL - Sel Ults - Paid Loss'!D8),"")</f>
        <v/>
      </c>
      <c r="C8" s="24">
        <f>IFERROR(IF('CL - Paid Loss'!C8="","",'CL - Paid Loss'!C8/'CL - Sel Ults - Paid Loss'!D8),"")</f>
        <v/>
      </c>
      <c r="D8" s="24">
        <f>IFERROR(IF('CL - Paid Loss'!D8="","",'CL - Paid Loss'!D8/'CL - Sel Ults - Paid Loss'!D8),"")</f>
        <v/>
      </c>
      <c r="E8" s="24">
        <f>IFERROR(IF('CL - Paid Loss'!E8="","",'CL - Paid Loss'!E8/'CL - Sel Ults - Paid Loss'!D8),"")</f>
        <v/>
      </c>
      <c r="F8" s="24">
        <f>IFERROR(IF('CL - Paid Loss'!F8="","",'CL - Paid Loss'!F8/'CL - Sel Ults - Paid Loss'!D8),"")</f>
        <v/>
      </c>
      <c r="G8" s="24">
        <f>IFERROR(IF('CL - Paid Loss'!G8="","",'CL - Paid Loss'!G8/'CL - Sel Ults - Paid Loss'!D8),"")</f>
        <v/>
      </c>
      <c r="H8" s="24">
        <f>IFERROR(IF('CL - Paid Loss'!H8="","",'CL - Paid Loss'!H8/'CL - Sel Ults - Paid Loss'!D8),"")</f>
        <v/>
      </c>
      <c r="I8" s="24">
        <f>IFERROR(IF('CL - Paid Loss'!I8="","",'CL - Paid Loss'!I8/'CL - Sel Ults - Paid Loss'!D8),"")</f>
        <v/>
      </c>
      <c r="J8" s="24">
        <f>IFERROR(IF('CL - Paid Loss'!J8="","",'CL - Paid Loss'!J8/'CL - Sel Ults - Paid Loss'!D8),"")</f>
        <v/>
      </c>
      <c r="K8" s="24">
        <f>IFERROR(IF('CL - Paid Loss'!K8="","",'CL - Paid Loss'!K8/'CL - Sel Ults - Paid Loss'!D8),"")</f>
        <v/>
      </c>
    </row>
    <row r="9">
      <c r="A9">
        <f>'CL - Paid Loss'!A9</f>
        <v/>
      </c>
      <c r="B9" s="24">
        <f>IFERROR(IF('CL - Paid Loss'!B9="","",'CL - Paid Loss'!B9/'CL - Sel Ults - Paid Loss'!D9),"")</f>
        <v/>
      </c>
      <c r="C9" s="24">
        <f>IFERROR(IF('CL - Paid Loss'!C9="","",'CL - Paid Loss'!C9/'CL - Sel Ults - Paid Loss'!D9),"")</f>
        <v/>
      </c>
      <c r="D9" s="24">
        <f>IFERROR(IF('CL - Paid Loss'!D9="","",'CL - Paid Loss'!D9/'CL - Sel Ults - Paid Loss'!D9),"")</f>
        <v/>
      </c>
      <c r="E9" s="24">
        <f>IFERROR(IF('CL - Paid Loss'!E9="","",'CL - Paid Loss'!E9/'CL - Sel Ults - Paid Loss'!D9),"")</f>
        <v/>
      </c>
      <c r="F9" s="24">
        <f>IFERROR(IF('CL - Paid Loss'!F9="","",'CL - Paid Loss'!F9/'CL - Sel Ults - Paid Loss'!D9),"")</f>
        <v/>
      </c>
      <c r="G9" s="24">
        <f>IFERROR(IF('CL - Paid Loss'!G9="","",'CL - Paid Loss'!G9/'CL - Sel Ults - Paid Loss'!D9),"")</f>
        <v/>
      </c>
      <c r="H9" s="24">
        <f>IFERROR(IF('CL - Paid Loss'!H9="","",'CL - Paid Loss'!H9/'CL - Sel Ults - Paid Loss'!D9),"")</f>
        <v/>
      </c>
      <c r="I9" s="24">
        <f>IFERROR(IF('CL - Paid Loss'!I9="","",'CL - Paid Loss'!I9/'CL - Sel Ults - Paid Loss'!D9),"")</f>
        <v/>
      </c>
      <c r="J9" s="24">
        <f>IFERROR(IF('CL - Paid Loss'!J9="","",'CL - Paid Loss'!J9/'CL - Sel Ults - Paid Loss'!D9),"")</f>
        <v/>
      </c>
      <c r="K9" s="24">
        <f>IFERROR(IF('CL - Paid Loss'!K9="","",'CL - Paid Loss'!K9/'CL - Sel Ults - Paid Loss'!D9),"")</f>
        <v/>
      </c>
    </row>
    <row r="10">
      <c r="A10">
        <f>'CL - Paid Loss'!A10</f>
        <v/>
      </c>
      <c r="B10" s="24">
        <f>IFERROR(IF('CL - Paid Loss'!B10="","",'CL - Paid Loss'!B10/'CL - Sel Ults - Paid Loss'!D10),"")</f>
        <v/>
      </c>
      <c r="C10" s="24">
        <f>IFERROR(IF('CL - Paid Loss'!C10="","",'CL - Paid Loss'!C10/'CL - Sel Ults - Paid Loss'!D10),"")</f>
        <v/>
      </c>
      <c r="D10" s="24">
        <f>IFERROR(IF('CL - Paid Loss'!D10="","",'CL - Paid Loss'!D10/'CL - Sel Ults - Paid Loss'!D10),"")</f>
        <v/>
      </c>
      <c r="E10" s="24">
        <f>IFERROR(IF('CL - Paid Loss'!E10="","",'CL - Paid Loss'!E10/'CL - Sel Ults - Paid Loss'!D10),"")</f>
        <v/>
      </c>
      <c r="F10" s="24">
        <f>IFERROR(IF('CL - Paid Loss'!F10="","",'CL - Paid Loss'!F10/'CL - Sel Ults - Paid Loss'!D10),"")</f>
        <v/>
      </c>
      <c r="G10" s="24">
        <f>IFERROR(IF('CL - Paid Loss'!G10="","",'CL - Paid Loss'!G10/'CL - Sel Ults - Paid Loss'!D10),"")</f>
        <v/>
      </c>
      <c r="H10" s="24">
        <f>IFERROR(IF('CL - Paid Loss'!H10="","",'CL - Paid Loss'!H10/'CL - Sel Ults - Paid Loss'!D10),"")</f>
        <v/>
      </c>
      <c r="I10" s="24">
        <f>IFERROR(IF('CL - Paid Loss'!I10="","",'CL - Paid Loss'!I10/'CL - Sel Ults - Paid Loss'!D10),"")</f>
        <v/>
      </c>
      <c r="J10" s="24">
        <f>IFERROR(IF('CL - Paid Loss'!J10="","",'CL - Paid Loss'!J10/'CL - Sel Ults - Paid Loss'!D10),"")</f>
        <v/>
      </c>
      <c r="K10" s="24">
        <f>IFERROR(IF('CL - Paid Loss'!K10="","",'CL - Paid Loss'!K10/'CL - Sel Ults - Paid Loss'!D10),"")</f>
        <v/>
      </c>
    </row>
    <row r="11">
      <c r="A11">
        <f>'CL - Paid Loss'!A11</f>
        <v/>
      </c>
      <c r="B11" s="24">
        <f>IFERROR(IF('CL - Paid Loss'!B11="","",'CL - Paid Loss'!B11/'CL - Sel Ults - Paid Loss'!D11),"")</f>
        <v/>
      </c>
      <c r="C11" s="24">
        <f>IFERROR(IF('CL - Paid Loss'!C11="","",'CL - Paid Loss'!C11/'CL - Sel Ults - Paid Loss'!D11),"")</f>
        <v/>
      </c>
      <c r="D11" s="24">
        <f>IFERROR(IF('CL - Paid Loss'!D11="","",'CL - Paid Loss'!D11/'CL - Sel Ults - Paid Loss'!D11),"")</f>
        <v/>
      </c>
      <c r="E11" s="24">
        <f>IFERROR(IF('CL - Paid Loss'!E11="","",'CL - Paid Loss'!E11/'CL - Sel Ults - Paid Loss'!D11),"")</f>
        <v/>
      </c>
      <c r="F11" s="24">
        <f>IFERROR(IF('CL - Paid Loss'!F11="","",'CL - Paid Loss'!F11/'CL - Sel Ults - Paid Loss'!D11),"")</f>
        <v/>
      </c>
      <c r="G11" s="24">
        <f>IFERROR(IF('CL - Paid Loss'!G11="","",'CL - Paid Loss'!G11/'CL - Sel Ults - Paid Loss'!D11),"")</f>
        <v/>
      </c>
      <c r="H11" s="24">
        <f>IFERROR(IF('CL - Paid Loss'!H11="","",'CL - Paid Loss'!H11/'CL - Sel Ults - Paid Loss'!D11),"")</f>
        <v/>
      </c>
      <c r="I11" s="24">
        <f>IFERROR(IF('CL - Paid Loss'!I11="","",'CL - Paid Loss'!I11/'CL - Sel Ults - Paid Loss'!D11),"")</f>
        <v/>
      </c>
      <c r="J11" s="24">
        <f>IFERROR(IF('CL - Paid Loss'!J11="","",'CL - Paid Loss'!J11/'CL - Sel Ults - Paid Loss'!D11),"")</f>
        <v/>
      </c>
      <c r="K11" s="24">
        <f>IFERROR(IF('CL - Paid Loss'!K11="","",'CL - Paid Loss'!K11/'CL - Sel Ults - Paid Loss'!D11),"")</f>
        <v/>
      </c>
    </row>
    <row r="12">
      <c r="A12">
        <f>'CL - Paid Loss'!A12</f>
        <v/>
      </c>
      <c r="B12" s="24">
        <f>IFERROR(IF('CL - Paid Loss'!B12="","",'CL - Paid Loss'!B12/'CL - Sel Ults - Paid Loss'!D12),"")</f>
        <v/>
      </c>
      <c r="C12" s="24">
        <f>IFERROR(IF('CL - Paid Loss'!C12="","",'CL - Paid Loss'!C12/'CL - Sel Ults - Paid Loss'!D12),"")</f>
        <v/>
      </c>
      <c r="D12" s="24">
        <f>IFERROR(IF('CL - Paid Loss'!D12="","",'CL - Paid Loss'!D12/'CL - Sel Ults - Paid Loss'!D12),"")</f>
        <v/>
      </c>
      <c r="E12" s="24">
        <f>IFERROR(IF('CL - Paid Loss'!E12="","",'CL - Paid Loss'!E12/'CL - Sel Ults - Paid Loss'!D12),"")</f>
        <v/>
      </c>
      <c r="F12" s="24">
        <f>IFERROR(IF('CL - Paid Loss'!F12="","",'CL - Paid Loss'!F12/'CL - Sel Ults - Paid Loss'!D12),"")</f>
        <v/>
      </c>
      <c r="G12" s="24">
        <f>IFERROR(IF('CL - Paid Loss'!G12="","",'CL - Paid Loss'!G12/'CL - Sel Ults - Paid Loss'!D12),"")</f>
        <v/>
      </c>
      <c r="H12" s="24">
        <f>IFERROR(IF('CL - Paid Loss'!H12="","",'CL - Paid Loss'!H12/'CL - Sel Ults - Paid Loss'!D12),"")</f>
        <v/>
      </c>
      <c r="I12" s="24">
        <f>IFERROR(IF('CL - Paid Loss'!I12="","",'CL - Paid Loss'!I12/'CL - Sel Ults - Paid Loss'!D12),"")</f>
        <v/>
      </c>
      <c r="J12" s="24">
        <f>IFERROR(IF('CL - Paid Loss'!J12="","",'CL - Paid Loss'!J12/'CL - Sel Ults - Paid Loss'!D12),"")</f>
        <v/>
      </c>
      <c r="K12" s="24">
        <f>IFERROR(IF('CL - Paid Loss'!K12="","",'CL - Paid Loss'!K12/'CL - Sel Ults - Paid Loss'!D12),"")</f>
        <v/>
      </c>
    </row>
  </sheetData>
  <mergeCells count="1">
    <mergeCell ref="A1:K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Reported to Ultimate — ratio triangle</t>
        </is>
      </c>
    </row>
    <row r="2">
      <c r="A2" s="22" t="inlineStr">
        <is>
          <t>Period</t>
        </is>
      </c>
      <c r="B2" s="29">
        <f>'CL - Reported Count'!B$2</f>
        <v/>
      </c>
      <c r="C2" s="29">
        <f>'CL - Reported Count'!C$2</f>
        <v/>
      </c>
      <c r="D2" s="29">
        <f>'CL - Reported Count'!D$2</f>
        <v/>
      </c>
      <c r="E2" s="29">
        <f>'CL - Reported Count'!E$2</f>
        <v/>
      </c>
      <c r="F2" s="29">
        <f>'CL - Reported Count'!F$2</f>
        <v/>
      </c>
      <c r="G2" s="29">
        <f>'CL - Reported Count'!G$2</f>
        <v/>
      </c>
      <c r="H2" s="29">
        <f>'CL - Reported Count'!H$2</f>
        <v/>
      </c>
      <c r="I2" s="29">
        <f>'CL - Reported Count'!I$2</f>
        <v/>
      </c>
      <c r="J2" s="29">
        <f>'CL - Reported Count'!J$2</f>
        <v/>
      </c>
      <c r="K2" s="29">
        <f>'CL - Reported Count'!K$2</f>
        <v/>
      </c>
    </row>
    <row r="3">
      <c r="A3">
        <f>'CL - Reported Count'!A3</f>
        <v/>
      </c>
      <c r="B3" s="24">
        <f>IFERROR(IF('CL - Reported Count'!B3="","",'CL - Reported Count'!B3/'CL - Sel Ults - Reported Count'!D3),"")</f>
        <v/>
      </c>
      <c r="C3" s="24">
        <f>IFERROR(IF('CL - Reported Count'!C3="","",'CL - Reported Count'!C3/'CL - Sel Ults - Reported Count'!D3),"")</f>
        <v/>
      </c>
      <c r="D3" s="24">
        <f>IFERROR(IF('CL - Reported Count'!D3="","",'CL - Reported Count'!D3/'CL - Sel Ults - Reported Count'!D3),"")</f>
        <v/>
      </c>
      <c r="E3" s="24">
        <f>IFERROR(IF('CL - Reported Count'!E3="","",'CL - Reported Count'!E3/'CL - Sel Ults - Reported Count'!D3),"")</f>
        <v/>
      </c>
      <c r="F3" s="24">
        <f>IFERROR(IF('CL - Reported Count'!F3="","",'CL - Reported Count'!F3/'CL - Sel Ults - Reported Count'!D3),"")</f>
        <v/>
      </c>
      <c r="G3" s="24">
        <f>IFERROR(IF('CL - Reported Count'!G3="","",'CL - Reported Count'!G3/'CL - Sel Ults - Reported Count'!D3),"")</f>
        <v/>
      </c>
      <c r="H3" s="24">
        <f>IFERROR(IF('CL - Reported Count'!H3="","",'CL - Reported Count'!H3/'CL - Sel Ults - Reported Count'!D3),"")</f>
        <v/>
      </c>
      <c r="I3" s="24">
        <f>IFERROR(IF('CL - Reported Count'!I3="","",'CL - Reported Count'!I3/'CL - Sel Ults - Reported Count'!D3),"")</f>
        <v/>
      </c>
      <c r="J3" s="24">
        <f>IFERROR(IF('CL - Reported Count'!J3="","",'CL - Reported Count'!J3/'CL - Sel Ults - Reported Count'!D3),"")</f>
        <v/>
      </c>
      <c r="K3" s="24">
        <f>IFERROR(IF('CL - Reported Count'!K3="","",'CL - Reported Count'!K3/'CL - Sel Ults - Reported Count'!D3),"")</f>
        <v/>
      </c>
    </row>
    <row r="4">
      <c r="A4">
        <f>'CL - Reported Count'!A4</f>
        <v/>
      </c>
      <c r="B4" s="24">
        <f>IFERROR(IF('CL - Reported Count'!B4="","",'CL - Reported Count'!B4/'CL - Sel Ults - Reported Count'!D4),"")</f>
        <v/>
      </c>
      <c r="C4" s="24">
        <f>IFERROR(IF('CL - Reported Count'!C4="","",'CL - Reported Count'!C4/'CL - Sel Ults - Reported Count'!D4),"")</f>
        <v/>
      </c>
      <c r="D4" s="24">
        <f>IFERROR(IF('CL - Reported Count'!D4="","",'CL - Reported Count'!D4/'CL - Sel Ults - Reported Count'!D4),"")</f>
        <v/>
      </c>
      <c r="E4" s="24">
        <f>IFERROR(IF('CL - Reported Count'!E4="","",'CL - Reported Count'!E4/'CL - Sel Ults - Reported Count'!D4),"")</f>
        <v/>
      </c>
      <c r="F4" s="24">
        <f>IFERROR(IF('CL - Reported Count'!F4="","",'CL - Reported Count'!F4/'CL - Sel Ults - Reported Count'!D4),"")</f>
        <v/>
      </c>
      <c r="G4" s="24">
        <f>IFERROR(IF('CL - Reported Count'!G4="","",'CL - Reported Count'!G4/'CL - Sel Ults - Reported Count'!D4),"")</f>
        <v/>
      </c>
      <c r="H4" s="24">
        <f>IFERROR(IF('CL - Reported Count'!H4="","",'CL - Reported Count'!H4/'CL - Sel Ults - Reported Count'!D4),"")</f>
        <v/>
      </c>
      <c r="I4" s="24">
        <f>IFERROR(IF('CL - Reported Count'!I4="","",'CL - Reported Count'!I4/'CL - Sel Ults - Reported Count'!D4),"")</f>
        <v/>
      </c>
      <c r="J4" s="24">
        <f>IFERROR(IF('CL - Reported Count'!J4="","",'CL - Reported Count'!J4/'CL - Sel Ults - Reported Count'!D4),"")</f>
        <v/>
      </c>
      <c r="K4" s="24">
        <f>IFERROR(IF('CL - Reported Count'!K4="","",'CL - Reported Count'!K4/'CL - Sel Ults - Reported Count'!D4),"")</f>
        <v/>
      </c>
    </row>
    <row r="5">
      <c r="A5">
        <f>'CL - Reported Count'!A5</f>
        <v/>
      </c>
      <c r="B5" s="24">
        <f>IFERROR(IF('CL - Reported Count'!B5="","",'CL - Reported Count'!B5/'CL - Sel Ults - Reported Count'!D5),"")</f>
        <v/>
      </c>
      <c r="C5" s="24">
        <f>IFERROR(IF('CL - Reported Count'!C5="","",'CL - Reported Count'!C5/'CL - Sel Ults - Reported Count'!D5),"")</f>
        <v/>
      </c>
      <c r="D5" s="24">
        <f>IFERROR(IF('CL - Reported Count'!D5="","",'CL - Reported Count'!D5/'CL - Sel Ults - Reported Count'!D5),"")</f>
        <v/>
      </c>
      <c r="E5" s="24">
        <f>IFERROR(IF('CL - Reported Count'!E5="","",'CL - Reported Count'!E5/'CL - Sel Ults - Reported Count'!D5),"")</f>
        <v/>
      </c>
      <c r="F5" s="24">
        <f>IFERROR(IF('CL - Reported Count'!F5="","",'CL - Reported Count'!F5/'CL - Sel Ults - Reported Count'!D5),"")</f>
        <v/>
      </c>
      <c r="G5" s="24">
        <f>IFERROR(IF('CL - Reported Count'!G5="","",'CL - Reported Count'!G5/'CL - Sel Ults - Reported Count'!D5),"")</f>
        <v/>
      </c>
      <c r="H5" s="24">
        <f>IFERROR(IF('CL - Reported Count'!H5="","",'CL - Reported Count'!H5/'CL - Sel Ults - Reported Count'!D5),"")</f>
        <v/>
      </c>
      <c r="I5" s="24">
        <f>IFERROR(IF('CL - Reported Count'!I5="","",'CL - Reported Count'!I5/'CL - Sel Ults - Reported Count'!D5),"")</f>
        <v/>
      </c>
      <c r="J5" s="24">
        <f>IFERROR(IF('CL - Reported Count'!J5="","",'CL - Reported Count'!J5/'CL - Sel Ults - Reported Count'!D5),"")</f>
        <v/>
      </c>
      <c r="K5" s="24">
        <f>IFERROR(IF('CL - Reported Count'!K5="","",'CL - Reported Count'!K5/'CL - Sel Ults - Reported Count'!D5),"")</f>
        <v/>
      </c>
    </row>
    <row r="6">
      <c r="A6">
        <f>'CL - Reported Count'!A6</f>
        <v/>
      </c>
      <c r="B6" s="24">
        <f>IFERROR(IF('CL - Reported Count'!B6="","",'CL - Reported Count'!B6/'CL - Sel Ults - Reported Count'!D6),"")</f>
        <v/>
      </c>
      <c r="C6" s="24">
        <f>IFERROR(IF('CL - Reported Count'!C6="","",'CL - Reported Count'!C6/'CL - Sel Ults - Reported Count'!D6),"")</f>
        <v/>
      </c>
      <c r="D6" s="24">
        <f>IFERROR(IF('CL - Reported Count'!D6="","",'CL - Reported Count'!D6/'CL - Sel Ults - Reported Count'!D6),"")</f>
        <v/>
      </c>
      <c r="E6" s="24">
        <f>IFERROR(IF('CL - Reported Count'!E6="","",'CL - Reported Count'!E6/'CL - Sel Ults - Reported Count'!D6),"")</f>
        <v/>
      </c>
      <c r="F6" s="24">
        <f>IFERROR(IF('CL - Reported Count'!F6="","",'CL - Reported Count'!F6/'CL - Sel Ults - Reported Count'!D6),"")</f>
        <v/>
      </c>
      <c r="G6" s="24">
        <f>IFERROR(IF('CL - Reported Count'!G6="","",'CL - Reported Count'!G6/'CL - Sel Ults - Reported Count'!D6),"")</f>
        <v/>
      </c>
      <c r="H6" s="24">
        <f>IFERROR(IF('CL - Reported Count'!H6="","",'CL - Reported Count'!H6/'CL - Sel Ults - Reported Count'!D6),"")</f>
        <v/>
      </c>
      <c r="I6" s="24">
        <f>IFERROR(IF('CL - Reported Count'!I6="","",'CL - Reported Count'!I6/'CL - Sel Ults - Reported Count'!D6),"")</f>
        <v/>
      </c>
      <c r="J6" s="24">
        <f>IFERROR(IF('CL - Reported Count'!J6="","",'CL - Reported Count'!J6/'CL - Sel Ults - Reported Count'!D6),"")</f>
        <v/>
      </c>
      <c r="K6" s="24">
        <f>IFERROR(IF('CL - Reported Count'!K6="","",'CL - Reported Count'!K6/'CL - Sel Ults - Reported Count'!D6),"")</f>
        <v/>
      </c>
    </row>
    <row r="7">
      <c r="A7">
        <f>'CL - Reported Count'!A7</f>
        <v/>
      </c>
      <c r="B7" s="24">
        <f>IFERROR(IF('CL - Reported Count'!B7="","",'CL - Reported Count'!B7/'CL - Sel Ults - Reported Count'!D7),"")</f>
        <v/>
      </c>
      <c r="C7" s="24">
        <f>IFERROR(IF('CL - Reported Count'!C7="","",'CL - Reported Count'!C7/'CL - Sel Ults - Reported Count'!D7),"")</f>
        <v/>
      </c>
      <c r="D7" s="24">
        <f>IFERROR(IF('CL - Reported Count'!D7="","",'CL - Reported Count'!D7/'CL - Sel Ults - Reported Count'!D7),"")</f>
        <v/>
      </c>
      <c r="E7" s="24">
        <f>IFERROR(IF('CL - Reported Count'!E7="","",'CL - Reported Count'!E7/'CL - Sel Ults - Reported Count'!D7),"")</f>
        <v/>
      </c>
      <c r="F7" s="24">
        <f>IFERROR(IF('CL - Reported Count'!F7="","",'CL - Reported Count'!F7/'CL - Sel Ults - Reported Count'!D7),"")</f>
        <v/>
      </c>
      <c r="G7" s="24">
        <f>IFERROR(IF('CL - Reported Count'!G7="","",'CL - Reported Count'!G7/'CL - Sel Ults - Reported Count'!D7),"")</f>
        <v/>
      </c>
      <c r="H7" s="24">
        <f>IFERROR(IF('CL - Reported Count'!H7="","",'CL - Reported Count'!H7/'CL - Sel Ults - Reported Count'!D7),"")</f>
        <v/>
      </c>
      <c r="I7" s="24">
        <f>IFERROR(IF('CL - Reported Count'!I7="","",'CL - Reported Count'!I7/'CL - Sel Ults - Reported Count'!D7),"")</f>
        <v/>
      </c>
      <c r="J7" s="24">
        <f>IFERROR(IF('CL - Reported Count'!J7="","",'CL - Reported Count'!J7/'CL - Sel Ults - Reported Count'!D7),"")</f>
        <v/>
      </c>
      <c r="K7" s="24">
        <f>IFERROR(IF('CL - Reported Count'!K7="","",'CL - Reported Count'!K7/'CL - Sel Ults - Reported Count'!D7),"")</f>
        <v/>
      </c>
    </row>
    <row r="8">
      <c r="A8">
        <f>'CL - Reported Count'!A8</f>
        <v/>
      </c>
      <c r="B8" s="24">
        <f>IFERROR(IF('CL - Reported Count'!B8="","",'CL - Reported Count'!B8/'CL - Sel Ults - Reported Count'!D8),"")</f>
        <v/>
      </c>
      <c r="C8" s="24">
        <f>IFERROR(IF('CL - Reported Count'!C8="","",'CL - Reported Count'!C8/'CL - Sel Ults - Reported Count'!D8),"")</f>
        <v/>
      </c>
      <c r="D8" s="24">
        <f>IFERROR(IF('CL - Reported Count'!D8="","",'CL - Reported Count'!D8/'CL - Sel Ults - Reported Count'!D8),"")</f>
        <v/>
      </c>
      <c r="E8" s="24">
        <f>IFERROR(IF('CL - Reported Count'!E8="","",'CL - Reported Count'!E8/'CL - Sel Ults - Reported Count'!D8),"")</f>
        <v/>
      </c>
      <c r="F8" s="24">
        <f>IFERROR(IF('CL - Reported Count'!F8="","",'CL - Reported Count'!F8/'CL - Sel Ults - Reported Count'!D8),"")</f>
        <v/>
      </c>
      <c r="G8" s="24">
        <f>IFERROR(IF('CL - Reported Count'!G8="","",'CL - Reported Count'!G8/'CL - Sel Ults - Reported Count'!D8),"")</f>
        <v/>
      </c>
      <c r="H8" s="24">
        <f>IFERROR(IF('CL - Reported Count'!H8="","",'CL - Reported Count'!H8/'CL - Sel Ults - Reported Count'!D8),"")</f>
        <v/>
      </c>
      <c r="I8" s="24">
        <f>IFERROR(IF('CL - Reported Count'!I8="","",'CL - Reported Count'!I8/'CL - Sel Ults - Reported Count'!D8),"")</f>
        <v/>
      </c>
      <c r="J8" s="24">
        <f>IFERROR(IF('CL - Reported Count'!J8="","",'CL - Reported Count'!J8/'CL - Sel Ults - Reported Count'!D8),"")</f>
        <v/>
      </c>
      <c r="K8" s="24">
        <f>IFERROR(IF('CL - Reported Count'!K8="","",'CL - Reported Count'!K8/'CL - Sel Ults - Reported Count'!D8),"")</f>
        <v/>
      </c>
    </row>
    <row r="9">
      <c r="A9">
        <f>'CL - Reported Count'!A9</f>
        <v/>
      </c>
      <c r="B9" s="24">
        <f>IFERROR(IF('CL - Reported Count'!B9="","",'CL - Reported Count'!B9/'CL - Sel Ults - Reported Count'!D9),"")</f>
        <v/>
      </c>
      <c r="C9" s="24">
        <f>IFERROR(IF('CL - Reported Count'!C9="","",'CL - Reported Count'!C9/'CL - Sel Ults - Reported Count'!D9),"")</f>
        <v/>
      </c>
      <c r="D9" s="24">
        <f>IFERROR(IF('CL - Reported Count'!D9="","",'CL - Reported Count'!D9/'CL - Sel Ults - Reported Count'!D9),"")</f>
        <v/>
      </c>
      <c r="E9" s="24">
        <f>IFERROR(IF('CL - Reported Count'!E9="","",'CL - Reported Count'!E9/'CL - Sel Ults - Reported Count'!D9),"")</f>
        <v/>
      </c>
      <c r="F9" s="24">
        <f>IFERROR(IF('CL - Reported Count'!F9="","",'CL - Reported Count'!F9/'CL - Sel Ults - Reported Count'!D9),"")</f>
        <v/>
      </c>
      <c r="G9" s="24">
        <f>IFERROR(IF('CL - Reported Count'!G9="","",'CL - Reported Count'!G9/'CL - Sel Ults - Reported Count'!D9),"")</f>
        <v/>
      </c>
      <c r="H9" s="24">
        <f>IFERROR(IF('CL - Reported Count'!H9="","",'CL - Reported Count'!H9/'CL - Sel Ults - Reported Count'!D9),"")</f>
        <v/>
      </c>
      <c r="I9" s="24">
        <f>IFERROR(IF('CL - Reported Count'!I9="","",'CL - Reported Count'!I9/'CL - Sel Ults - Reported Count'!D9),"")</f>
        <v/>
      </c>
      <c r="J9" s="24">
        <f>IFERROR(IF('CL - Reported Count'!J9="","",'CL - Reported Count'!J9/'CL - Sel Ults - Reported Count'!D9),"")</f>
        <v/>
      </c>
      <c r="K9" s="24">
        <f>IFERROR(IF('CL - Reported Count'!K9="","",'CL - Reported Count'!K9/'CL - Sel Ults - Reported Count'!D9),"")</f>
        <v/>
      </c>
    </row>
    <row r="10">
      <c r="A10">
        <f>'CL - Reported Count'!A10</f>
        <v/>
      </c>
      <c r="B10" s="24">
        <f>IFERROR(IF('CL - Reported Count'!B10="","",'CL - Reported Count'!B10/'CL - Sel Ults - Reported Count'!D10),"")</f>
        <v/>
      </c>
      <c r="C10" s="24">
        <f>IFERROR(IF('CL - Reported Count'!C10="","",'CL - Reported Count'!C10/'CL - Sel Ults - Reported Count'!D10),"")</f>
        <v/>
      </c>
      <c r="D10" s="24">
        <f>IFERROR(IF('CL - Reported Count'!D10="","",'CL - Reported Count'!D10/'CL - Sel Ults - Reported Count'!D10),"")</f>
        <v/>
      </c>
      <c r="E10" s="24">
        <f>IFERROR(IF('CL - Reported Count'!E10="","",'CL - Reported Count'!E10/'CL - Sel Ults - Reported Count'!D10),"")</f>
        <v/>
      </c>
      <c r="F10" s="24">
        <f>IFERROR(IF('CL - Reported Count'!F10="","",'CL - Reported Count'!F10/'CL - Sel Ults - Reported Count'!D10),"")</f>
        <v/>
      </c>
      <c r="G10" s="24">
        <f>IFERROR(IF('CL - Reported Count'!G10="","",'CL - Reported Count'!G10/'CL - Sel Ults - Reported Count'!D10),"")</f>
        <v/>
      </c>
      <c r="H10" s="24">
        <f>IFERROR(IF('CL - Reported Count'!H10="","",'CL - Reported Count'!H10/'CL - Sel Ults - Reported Count'!D10),"")</f>
        <v/>
      </c>
      <c r="I10" s="24">
        <f>IFERROR(IF('CL - Reported Count'!I10="","",'CL - Reported Count'!I10/'CL - Sel Ults - Reported Count'!D10),"")</f>
        <v/>
      </c>
      <c r="J10" s="24">
        <f>IFERROR(IF('CL - Reported Count'!J10="","",'CL - Reported Count'!J10/'CL - Sel Ults - Reported Count'!D10),"")</f>
        <v/>
      </c>
      <c r="K10" s="24">
        <f>IFERROR(IF('CL - Reported Count'!K10="","",'CL - Reported Count'!K10/'CL - Sel Ults - Reported Count'!D10),"")</f>
        <v/>
      </c>
    </row>
    <row r="11">
      <c r="A11">
        <f>'CL - Reported Count'!A11</f>
        <v/>
      </c>
      <c r="B11" s="24">
        <f>IFERROR(IF('CL - Reported Count'!B11="","",'CL - Reported Count'!B11/'CL - Sel Ults - Reported Count'!D11),"")</f>
        <v/>
      </c>
      <c r="C11" s="24">
        <f>IFERROR(IF('CL - Reported Count'!C11="","",'CL - Reported Count'!C11/'CL - Sel Ults - Reported Count'!D11),"")</f>
        <v/>
      </c>
      <c r="D11" s="24">
        <f>IFERROR(IF('CL - Reported Count'!D11="","",'CL - Reported Count'!D11/'CL - Sel Ults - Reported Count'!D11),"")</f>
        <v/>
      </c>
      <c r="E11" s="24">
        <f>IFERROR(IF('CL - Reported Count'!E11="","",'CL - Reported Count'!E11/'CL - Sel Ults - Reported Count'!D11),"")</f>
        <v/>
      </c>
      <c r="F11" s="24">
        <f>IFERROR(IF('CL - Reported Count'!F11="","",'CL - Reported Count'!F11/'CL - Sel Ults - Reported Count'!D11),"")</f>
        <v/>
      </c>
      <c r="G11" s="24">
        <f>IFERROR(IF('CL - Reported Count'!G11="","",'CL - Reported Count'!G11/'CL - Sel Ults - Reported Count'!D11),"")</f>
        <v/>
      </c>
      <c r="H11" s="24">
        <f>IFERROR(IF('CL - Reported Count'!H11="","",'CL - Reported Count'!H11/'CL - Sel Ults - Reported Count'!D11),"")</f>
        <v/>
      </c>
      <c r="I11" s="24">
        <f>IFERROR(IF('CL - Reported Count'!I11="","",'CL - Reported Count'!I11/'CL - Sel Ults - Reported Count'!D11),"")</f>
        <v/>
      </c>
      <c r="J11" s="24">
        <f>IFERROR(IF('CL - Reported Count'!J11="","",'CL - Reported Count'!J11/'CL - Sel Ults - Reported Count'!D11),"")</f>
        <v/>
      </c>
      <c r="K11" s="24">
        <f>IFERROR(IF('CL - Reported Count'!K11="","",'CL - Reported Count'!K11/'CL - Sel Ults - Reported Count'!D11),"")</f>
        <v/>
      </c>
    </row>
    <row r="12">
      <c r="A12">
        <f>'CL - Reported Count'!A12</f>
        <v/>
      </c>
      <c r="B12" s="24">
        <f>IFERROR(IF('CL - Reported Count'!B12="","",'CL - Reported Count'!B12/'CL - Sel Ults - Reported Count'!D12),"")</f>
        <v/>
      </c>
      <c r="C12" s="24">
        <f>IFERROR(IF('CL - Reported Count'!C12="","",'CL - Reported Count'!C12/'CL - Sel Ults - Reported Count'!D12),"")</f>
        <v/>
      </c>
      <c r="D12" s="24">
        <f>IFERROR(IF('CL - Reported Count'!D12="","",'CL - Reported Count'!D12/'CL - Sel Ults - Reported Count'!D12),"")</f>
        <v/>
      </c>
      <c r="E12" s="24">
        <f>IFERROR(IF('CL - Reported Count'!E12="","",'CL - Reported Count'!E12/'CL - Sel Ults - Reported Count'!D12),"")</f>
        <v/>
      </c>
      <c r="F12" s="24">
        <f>IFERROR(IF('CL - Reported Count'!F12="","",'CL - Reported Count'!F12/'CL - Sel Ults - Reported Count'!D12),"")</f>
        <v/>
      </c>
      <c r="G12" s="24">
        <f>IFERROR(IF('CL - Reported Count'!G12="","",'CL - Reported Count'!G12/'CL - Sel Ults - Reported Count'!D12),"")</f>
        <v/>
      </c>
      <c r="H12" s="24">
        <f>IFERROR(IF('CL - Reported Count'!H12="","",'CL - Reported Count'!H12/'CL - Sel Ults - Reported Count'!D12),"")</f>
        <v/>
      </c>
      <c r="I12" s="24">
        <f>IFERROR(IF('CL - Reported Count'!I12="","",'CL - Reported Count'!I12/'CL - Sel Ults - Reported Count'!D12),"")</f>
        <v/>
      </c>
      <c r="J12" s="24">
        <f>IFERROR(IF('CL - Reported Count'!J12="","",'CL - Reported Count'!J12/'CL - Sel Ults - Reported Count'!D12),"")</f>
        <v/>
      </c>
      <c r="K12" s="24">
        <f>IFERROR(IF('CL - Reported Count'!K12="","",'CL - Reported Count'!K12/'CL - Sel Ults - Reported Count'!D12),"")</f>
        <v/>
      </c>
    </row>
  </sheetData>
  <mergeCells count="1">
    <mergeCell ref="A1:K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Closed to Ultimate — ratio triangle</t>
        </is>
      </c>
    </row>
    <row r="2">
      <c r="A2" s="22" t="inlineStr">
        <is>
          <t>Period</t>
        </is>
      </c>
      <c r="B2" s="29">
        <f>'CL - Closed Count'!B$2</f>
        <v/>
      </c>
      <c r="C2" s="29">
        <f>'CL - Closed Count'!C$2</f>
        <v/>
      </c>
      <c r="D2" s="29">
        <f>'CL - Closed Count'!D$2</f>
        <v/>
      </c>
      <c r="E2" s="29">
        <f>'CL - Closed Count'!E$2</f>
        <v/>
      </c>
      <c r="F2" s="29">
        <f>'CL - Closed Count'!F$2</f>
        <v/>
      </c>
      <c r="G2" s="29">
        <f>'CL - Closed Count'!G$2</f>
        <v/>
      </c>
      <c r="H2" s="29">
        <f>'CL - Closed Count'!H$2</f>
        <v/>
      </c>
      <c r="I2" s="29">
        <f>'CL - Closed Count'!I$2</f>
        <v/>
      </c>
      <c r="J2" s="29">
        <f>'CL - Closed Count'!J$2</f>
        <v/>
      </c>
      <c r="K2" s="29">
        <f>'CL - Closed Count'!K$2</f>
        <v/>
      </c>
    </row>
    <row r="3">
      <c r="A3">
        <f>'CL - Closed Count'!A3</f>
        <v/>
      </c>
      <c r="B3" s="24">
        <f>IFERROR(IF('CL - Closed Count'!B3="","",'CL - Closed Count'!B3/'CL - Sel Ults - Closed Count'!D3),"")</f>
        <v/>
      </c>
      <c r="C3" s="24">
        <f>IFERROR(IF('CL - Closed Count'!C3="","",'CL - Closed Count'!C3/'CL - Sel Ults - Closed Count'!D3),"")</f>
        <v/>
      </c>
      <c r="D3" s="24">
        <f>IFERROR(IF('CL - Closed Count'!D3="","",'CL - Closed Count'!D3/'CL - Sel Ults - Closed Count'!D3),"")</f>
        <v/>
      </c>
      <c r="E3" s="24">
        <f>IFERROR(IF('CL - Closed Count'!E3="","",'CL - Closed Count'!E3/'CL - Sel Ults - Closed Count'!D3),"")</f>
        <v/>
      </c>
      <c r="F3" s="24">
        <f>IFERROR(IF('CL - Closed Count'!F3="","",'CL - Closed Count'!F3/'CL - Sel Ults - Closed Count'!D3),"")</f>
        <v/>
      </c>
      <c r="G3" s="24">
        <f>IFERROR(IF('CL - Closed Count'!G3="","",'CL - Closed Count'!G3/'CL - Sel Ults - Closed Count'!D3),"")</f>
        <v/>
      </c>
      <c r="H3" s="24">
        <f>IFERROR(IF('CL - Closed Count'!H3="","",'CL - Closed Count'!H3/'CL - Sel Ults - Closed Count'!D3),"")</f>
        <v/>
      </c>
      <c r="I3" s="24">
        <f>IFERROR(IF('CL - Closed Count'!I3="","",'CL - Closed Count'!I3/'CL - Sel Ults - Closed Count'!D3),"")</f>
        <v/>
      </c>
      <c r="J3" s="24">
        <f>IFERROR(IF('CL - Closed Count'!J3="","",'CL - Closed Count'!J3/'CL - Sel Ults - Closed Count'!D3),"")</f>
        <v/>
      </c>
      <c r="K3" s="24">
        <f>IFERROR(IF('CL - Closed Count'!K3="","",'CL - Closed Count'!K3/'CL - Sel Ults - Closed Count'!D3),"")</f>
        <v/>
      </c>
    </row>
    <row r="4">
      <c r="A4">
        <f>'CL - Closed Count'!A4</f>
        <v/>
      </c>
      <c r="B4" s="24">
        <f>IFERROR(IF('CL - Closed Count'!B4="","",'CL - Closed Count'!B4/'CL - Sel Ults - Closed Count'!D4),"")</f>
        <v/>
      </c>
      <c r="C4" s="24">
        <f>IFERROR(IF('CL - Closed Count'!C4="","",'CL - Closed Count'!C4/'CL - Sel Ults - Closed Count'!D4),"")</f>
        <v/>
      </c>
      <c r="D4" s="24">
        <f>IFERROR(IF('CL - Closed Count'!D4="","",'CL - Closed Count'!D4/'CL - Sel Ults - Closed Count'!D4),"")</f>
        <v/>
      </c>
      <c r="E4" s="24">
        <f>IFERROR(IF('CL - Closed Count'!E4="","",'CL - Closed Count'!E4/'CL - Sel Ults - Closed Count'!D4),"")</f>
        <v/>
      </c>
      <c r="F4" s="24">
        <f>IFERROR(IF('CL - Closed Count'!F4="","",'CL - Closed Count'!F4/'CL - Sel Ults - Closed Count'!D4),"")</f>
        <v/>
      </c>
      <c r="G4" s="24">
        <f>IFERROR(IF('CL - Closed Count'!G4="","",'CL - Closed Count'!G4/'CL - Sel Ults - Closed Count'!D4),"")</f>
        <v/>
      </c>
      <c r="H4" s="24">
        <f>IFERROR(IF('CL - Closed Count'!H4="","",'CL - Closed Count'!H4/'CL - Sel Ults - Closed Count'!D4),"")</f>
        <v/>
      </c>
      <c r="I4" s="24">
        <f>IFERROR(IF('CL - Closed Count'!I4="","",'CL - Closed Count'!I4/'CL - Sel Ults - Closed Count'!D4),"")</f>
        <v/>
      </c>
      <c r="J4" s="24">
        <f>IFERROR(IF('CL - Closed Count'!J4="","",'CL - Closed Count'!J4/'CL - Sel Ults - Closed Count'!D4),"")</f>
        <v/>
      </c>
      <c r="K4" s="24">
        <f>IFERROR(IF('CL - Closed Count'!K4="","",'CL - Closed Count'!K4/'CL - Sel Ults - Closed Count'!D4),"")</f>
        <v/>
      </c>
    </row>
    <row r="5">
      <c r="A5">
        <f>'CL - Closed Count'!A5</f>
        <v/>
      </c>
      <c r="B5" s="24">
        <f>IFERROR(IF('CL - Closed Count'!B5="","",'CL - Closed Count'!B5/'CL - Sel Ults - Closed Count'!D5),"")</f>
        <v/>
      </c>
      <c r="C5" s="24">
        <f>IFERROR(IF('CL - Closed Count'!C5="","",'CL - Closed Count'!C5/'CL - Sel Ults - Closed Count'!D5),"")</f>
        <v/>
      </c>
      <c r="D5" s="24">
        <f>IFERROR(IF('CL - Closed Count'!D5="","",'CL - Closed Count'!D5/'CL - Sel Ults - Closed Count'!D5),"")</f>
        <v/>
      </c>
      <c r="E5" s="24">
        <f>IFERROR(IF('CL - Closed Count'!E5="","",'CL - Closed Count'!E5/'CL - Sel Ults - Closed Count'!D5),"")</f>
        <v/>
      </c>
      <c r="F5" s="24">
        <f>IFERROR(IF('CL - Closed Count'!F5="","",'CL - Closed Count'!F5/'CL - Sel Ults - Closed Count'!D5),"")</f>
        <v/>
      </c>
      <c r="G5" s="24">
        <f>IFERROR(IF('CL - Closed Count'!G5="","",'CL - Closed Count'!G5/'CL - Sel Ults - Closed Count'!D5),"")</f>
        <v/>
      </c>
      <c r="H5" s="24">
        <f>IFERROR(IF('CL - Closed Count'!H5="","",'CL - Closed Count'!H5/'CL - Sel Ults - Closed Count'!D5),"")</f>
        <v/>
      </c>
      <c r="I5" s="24">
        <f>IFERROR(IF('CL - Closed Count'!I5="","",'CL - Closed Count'!I5/'CL - Sel Ults - Closed Count'!D5),"")</f>
        <v/>
      </c>
      <c r="J5" s="24">
        <f>IFERROR(IF('CL - Closed Count'!J5="","",'CL - Closed Count'!J5/'CL - Sel Ults - Closed Count'!D5),"")</f>
        <v/>
      </c>
      <c r="K5" s="24">
        <f>IFERROR(IF('CL - Closed Count'!K5="","",'CL - Closed Count'!K5/'CL - Sel Ults - Closed Count'!D5),"")</f>
        <v/>
      </c>
    </row>
    <row r="6">
      <c r="A6">
        <f>'CL - Closed Count'!A6</f>
        <v/>
      </c>
      <c r="B6" s="24">
        <f>IFERROR(IF('CL - Closed Count'!B6="","",'CL - Closed Count'!B6/'CL - Sel Ults - Closed Count'!D6),"")</f>
        <v/>
      </c>
      <c r="C6" s="24">
        <f>IFERROR(IF('CL - Closed Count'!C6="","",'CL - Closed Count'!C6/'CL - Sel Ults - Closed Count'!D6),"")</f>
        <v/>
      </c>
      <c r="D6" s="24">
        <f>IFERROR(IF('CL - Closed Count'!D6="","",'CL - Closed Count'!D6/'CL - Sel Ults - Closed Count'!D6),"")</f>
        <v/>
      </c>
      <c r="E6" s="24">
        <f>IFERROR(IF('CL - Closed Count'!E6="","",'CL - Closed Count'!E6/'CL - Sel Ults - Closed Count'!D6),"")</f>
        <v/>
      </c>
      <c r="F6" s="24">
        <f>IFERROR(IF('CL - Closed Count'!F6="","",'CL - Closed Count'!F6/'CL - Sel Ults - Closed Count'!D6),"")</f>
        <v/>
      </c>
      <c r="G6" s="24">
        <f>IFERROR(IF('CL - Closed Count'!G6="","",'CL - Closed Count'!G6/'CL - Sel Ults - Closed Count'!D6),"")</f>
        <v/>
      </c>
      <c r="H6" s="24">
        <f>IFERROR(IF('CL - Closed Count'!H6="","",'CL - Closed Count'!H6/'CL - Sel Ults - Closed Count'!D6),"")</f>
        <v/>
      </c>
      <c r="I6" s="24">
        <f>IFERROR(IF('CL - Closed Count'!I6="","",'CL - Closed Count'!I6/'CL - Sel Ults - Closed Count'!D6),"")</f>
        <v/>
      </c>
      <c r="J6" s="24">
        <f>IFERROR(IF('CL - Closed Count'!J6="","",'CL - Closed Count'!J6/'CL - Sel Ults - Closed Count'!D6),"")</f>
        <v/>
      </c>
      <c r="K6" s="24">
        <f>IFERROR(IF('CL - Closed Count'!K6="","",'CL - Closed Count'!K6/'CL - Sel Ults - Closed Count'!D6),"")</f>
        <v/>
      </c>
    </row>
    <row r="7">
      <c r="A7">
        <f>'CL - Closed Count'!A7</f>
        <v/>
      </c>
      <c r="B7" s="24">
        <f>IFERROR(IF('CL - Closed Count'!B7="","",'CL - Closed Count'!B7/'CL - Sel Ults - Closed Count'!D7),"")</f>
        <v/>
      </c>
      <c r="C7" s="24">
        <f>IFERROR(IF('CL - Closed Count'!C7="","",'CL - Closed Count'!C7/'CL - Sel Ults - Closed Count'!D7),"")</f>
        <v/>
      </c>
      <c r="D7" s="24">
        <f>IFERROR(IF('CL - Closed Count'!D7="","",'CL - Closed Count'!D7/'CL - Sel Ults - Closed Count'!D7),"")</f>
        <v/>
      </c>
      <c r="E7" s="24">
        <f>IFERROR(IF('CL - Closed Count'!E7="","",'CL - Closed Count'!E7/'CL - Sel Ults - Closed Count'!D7),"")</f>
        <v/>
      </c>
      <c r="F7" s="24">
        <f>IFERROR(IF('CL - Closed Count'!F7="","",'CL - Closed Count'!F7/'CL - Sel Ults - Closed Count'!D7),"")</f>
        <v/>
      </c>
      <c r="G7" s="24">
        <f>IFERROR(IF('CL - Closed Count'!G7="","",'CL - Closed Count'!G7/'CL - Sel Ults - Closed Count'!D7),"")</f>
        <v/>
      </c>
      <c r="H7" s="24">
        <f>IFERROR(IF('CL - Closed Count'!H7="","",'CL - Closed Count'!H7/'CL - Sel Ults - Closed Count'!D7),"")</f>
        <v/>
      </c>
      <c r="I7" s="24">
        <f>IFERROR(IF('CL - Closed Count'!I7="","",'CL - Closed Count'!I7/'CL - Sel Ults - Closed Count'!D7),"")</f>
        <v/>
      </c>
      <c r="J7" s="24">
        <f>IFERROR(IF('CL - Closed Count'!J7="","",'CL - Closed Count'!J7/'CL - Sel Ults - Closed Count'!D7),"")</f>
        <v/>
      </c>
      <c r="K7" s="24">
        <f>IFERROR(IF('CL - Closed Count'!K7="","",'CL - Closed Count'!K7/'CL - Sel Ults - Closed Count'!D7),"")</f>
        <v/>
      </c>
    </row>
    <row r="8">
      <c r="A8">
        <f>'CL - Closed Count'!A8</f>
        <v/>
      </c>
      <c r="B8" s="24">
        <f>IFERROR(IF('CL - Closed Count'!B8="","",'CL - Closed Count'!B8/'CL - Sel Ults - Closed Count'!D8),"")</f>
        <v/>
      </c>
      <c r="C8" s="24">
        <f>IFERROR(IF('CL - Closed Count'!C8="","",'CL - Closed Count'!C8/'CL - Sel Ults - Closed Count'!D8),"")</f>
        <v/>
      </c>
      <c r="D8" s="24">
        <f>IFERROR(IF('CL - Closed Count'!D8="","",'CL - Closed Count'!D8/'CL - Sel Ults - Closed Count'!D8),"")</f>
        <v/>
      </c>
      <c r="E8" s="24">
        <f>IFERROR(IF('CL - Closed Count'!E8="","",'CL - Closed Count'!E8/'CL - Sel Ults - Closed Count'!D8),"")</f>
        <v/>
      </c>
      <c r="F8" s="24">
        <f>IFERROR(IF('CL - Closed Count'!F8="","",'CL - Closed Count'!F8/'CL - Sel Ults - Closed Count'!D8),"")</f>
        <v/>
      </c>
      <c r="G8" s="24">
        <f>IFERROR(IF('CL - Closed Count'!G8="","",'CL - Closed Count'!G8/'CL - Sel Ults - Closed Count'!D8),"")</f>
        <v/>
      </c>
      <c r="H8" s="24">
        <f>IFERROR(IF('CL - Closed Count'!H8="","",'CL - Closed Count'!H8/'CL - Sel Ults - Closed Count'!D8),"")</f>
        <v/>
      </c>
      <c r="I8" s="24">
        <f>IFERROR(IF('CL - Closed Count'!I8="","",'CL - Closed Count'!I8/'CL - Sel Ults - Closed Count'!D8),"")</f>
        <v/>
      </c>
      <c r="J8" s="24">
        <f>IFERROR(IF('CL - Closed Count'!J8="","",'CL - Closed Count'!J8/'CL - Sel Ults - Closed Count'!D8),"")</f>
        <v/>
      </c>
      <c r="K8" s="24">
        <f>IFERROR(IF('CL - Closed Count'!K8="","",'CL - Closed Count'!K8/'CL - Sel Ults - Closed Count'!D8),"")</f>
        <v/>
      </c>
    </row>
    <row r="9">
      <c r="A9">
        <f>'CL - Closed Count'!A9</f>
        <v/>
      </c>
      <c r="B9" s="24">
        <f>IFERROR(IF('CL - Closed Count'!B9="","",'CL - Closed Count'!B9/'CL - Sel Ults - Closed Count'!D9),"")</f>
        <v/>
      </c>
      <c r="C9" s="24">
        <f>IFERROR(IF('CL - Closed Count'!C9="","",'CL - Closed Count'!C9/'CL - Sel Ults - Closed Count'!D9),"")</f>
        <v/>
      </c>
      <c r="D9" s="24">
        <f>IFERROR(IF('CL - Closed Count'!D9="","",'CL - Closed Count'!D9/'CL - Sel Ults - Closed Count'!D9),"")</f>
        <v/>
      </c>
      <c r="E9" s="24">
        <f>IFERROR(IF('CL - Closed Count'!E9="","",'CL - Closed Count'!E9/'CL - Sel Ults - Closed Count'!D9),"")</f>
        <v/>
      </c>
      <c r="F9" s="24">
        <f>IFERROR(IF('CL - Closed Count'!F9="","",'CL - Closed Count'!F9/'CL - Sel Ults - Closed Count'!D9),"")</f>
        <v/>
      </c>
      <c r="G9" s="24">
        <f>IFERROR(IF('CL - Closed Count'!G9="","",'CL - Closed Count'!G9/'CL - Sel Ults - Closed Count'!D9),"")</f>
        <v/>
      </c>
      <c r="H9" s="24">
        <f>IFERROR(IF('CL - Closed Count'!H9="","",'CL - Closed Count'!H9/'CL - Sel Ults - Closed Count'!D9),"")</f>
        <v/>
      </c>
      <c r="I9" s="24">
        <f>IFERROR(IF('CL - Closed Count'!I9="","",'CL - Closed Count'!I9/'CL - Sel Ults - Closed Count'!D9),"")</f>
        <v/>
      </c>
      <c r="J9" s="24">
        <f>IFERROR(IF('CL - Closed Count'!J9="","",'CL - Closed Count'!J9/'CL - Sel Ults - Closed Count'!D9),"")</f>
        <v/>
      </c>
      <c r="K9" s="24">
        <f>IFERROR(IF('CL - Closed Count'!K9="","",'CL - Closed Count'!K9/'CL - Sel Ults - Closed Count'!D9),"")</f>
        <v/>
      </c>
    </row>
    <row r="10">
      <c r="A10">
        <f>'CL - Closed Count'!A10</f>
        <v/>
      </c>
      <c r="B10" s="24">
        <f>IFERROR(IF('CL - Closed Count'!B10="","",'CL - Closed Count'!B10/'CL - Sel Ults - Closed Count'!D10),"")</f>
        <v/>
      </c>
      <c r="C10" s="24">
        <f>IFERROR(IF('CL - Closed Count'!C10="","",'CL - Closed Count'!C10/'CL - Sel Ults - Closed Count'!D10),"")</f>
        <v/>
      </c>
      <c r="D10" s="24">
        <f>IFERROR(IF('CL - Closed Count'!D10="","",'CL - Closed Count'!D10/'CL - Sel Ults - Closed Count'!D10),"")</f>
        <v/>
      </c>
      <c r="E10" s="24">
        <f>IFERROR(IF('CL - Closed Count'!E10="","",'CL - Closed Count'!E10/'CL - Sel Ults - Closed Count'!D10),"")</f>
        <v/>
      </c>
      <c r="F10" s="24">
        <f>IFERROR(IF('CL - Closed Count'!F10="","",'CL - Closed Count'!F10/'CL - Sel Ults - Closed Count'!D10),"")</f>
        <v/>
      </c>
      <c r="G10" s="24">
        <f>IFERROR(IF('CL - Closed Count'!G10="","",'CL - Closed Count'!G10/'CL - Sel Ults - Closed Count'!D10),"")</f>
        <v/>
      </c>
      <c r="H10" s="24">
        <f>IFERROR(IF('CL - Closed Count'!H10="","",'CL - Closed Count'!H10/'CL - Sel Ults - Closed Count'!D10),"")</f>
        <v/>
      </c>
      <c r="I10" s="24">
        <f>IFERROR(IF('CL - Closed Count'!I10="","",'CL - Closed Count'!I10/'CL - Sel Ults - Closed Count'!D10),"")</f>
        <v/>
      </c>
      <c r="J10" s="24">
        <f>IFERROR(IF('CL - Closed Count'!J10="","",'CL - Closed Count'!J10/'CL - Sel Ults - Closed Count'!D10),"")</f>
        <v/>
      </c>
      <c r="K10" s="24">
        <f>IFERROR(IF('CL - Closed Count'!K10="","",'CL - Closed Count'!K10/'CL - Sel Ults - Closed Count'!D10),"")</f>
        <v/>
      </c>
    </row>
    <row r="11">
      <c r="A11">
        <f>'CL - Closed Count'!A11</f>
        <v/>
      </c>
      <c r="B11" s="24">
        <f>IFERROR(IF('CL - Closed Count'!B11="","",'CL - Closed Count'!B11/'CL - Sel Ults - Closed Count'!D11),"")</f>
        <v/>
      </c>
      <c r="C11" s="24">
        <f>IFERROR(IF('CL - Closed Count'!C11="","",'CL - Closed Count'!C11/'CL - Sel Ults - Closed Count'!D11),"")</f>
        <v/>
      </c>
      <c r="D11" s="24">
        <f>IFERROR(IF('CL - Closed Count'!D11="","",'CL - Closed Count'!D11/'CL - Sel Ults - Closed Count'!D11),"")</f>
        <v/>
      </c>
      <c r="E11" s="24">
        <f>IFERROR(IF('CL - Closed Count'!E11="","",'CL - Closed Count'!E11/'CL - Sel Ults - Closed Count'!D11),"")</f>
        <v/>
      </c>
      <c r="F11" s="24">
        <f>IFERROR(IF('CL - Closed Count'!F11="","",'CL - Closed Count'!F11/'CL - Sel Ults - Closed Count'!D11),"")</f>
        <v/>
      </c>
      <c r="G11" s="24">
        <f>IFERROR(IF('CL - Closed Count'!G11="","",'CL - Closed Count'!G11/'CL - Sel Ults - Closed Count'!D11),"")</f>
        <v/>
      </c>
      <c r="H11" s="24">
        <f>IFERROR(IF('CL - Closed Count'!H11="","",'CL - Closed Count'!H11/'CL - Sel Ults - Closed Count'!D11),"")</f>
        <v/>
      </c>
      <c r="I11" s="24">
        <f>IFERROR(IF('CL - Closed Count'!I11="","",'CL - Closed Count'!I11/'CL - Sel Ults - Closed Count'!D11),"")</f>
        <v/>
      </c>
      <c r="J11" s="24">
        <f>IFERROR(IF('CL - Closed Count'!J11="","",'CL - Closed Count'!J11/'CL - Sel Ults - Closed Count'!D11),"")</f>
        <v/>
      </c>
      <c r="K11" s="24">
        <f>IFERROR(IF('CL - Closed Count'!K11="","",'CL - Closed Count'!K11/'CL - Sel Ults - Closed Count'!D11),"")</f>
        <v/>
      </c>
    </row>
    <row r="12">
      <c r="A12">
        <f>'CL - Closed Count'!A12</f>
        <v/>
      </c>
      <c r="B12" s="24">
        <f>IFERROR(IF('CL - Closed Count'!B12="","",'CL - Closed Count'!B12/'CL - Sel Ults - Closed Count'!D12),"")</f>
        <v/>
      </c>
      <c r="C12" s="24">
        <f>IFERROR(IF('CL - Closed Count'!C12="","",'CL - Closed Count'!C12/'CL - Sel Ults - Closed Count'!D12),"")</f>
        <v/>
      </c>
      <c r="D12" s="24">
        <f>IFERROR(IF('CL - Closed Count'!D12="","",'CL - Closed Count'!D12/'CL - Sel Ults - Closed Count'!D12),"")</f>
        <v/>
      </c>
      <c r="E12" s="24">
        <f>IFERROR(IF('CL - Closed Count'!E12="","",'CL - Closed Count'!E12/'CL - Sel Ults - Closed Count'!D12),"")</f>
        <v/>
      </c>
      <c r="F12" s="24">
        <f>IFERROR(IF('CL - Closed Count'!F12="","",'CL - Closed Count'!F12/'CL - Sel Ults - Closed Count'!D12),"")</f>
        <v/>
      </c>
      <c r="G12" s="24">
        <f>IFERROR(IF('CL - Closed Count'!G12="","",'CL - Closed Count'!G12/'CL - Sel Ults - Closed Count'!D12),"")</f>
        <v/>
      </c>
      <c r="H12" s="24">
        <f>IFERROR(IF('CL - Closed Count'!H12="","",'CL - Closed Count'!H12/'CL - Sel Ults - Closed Count'!D12),"")</f>
        <v/>
      </c>
      <c r="I12" s="24">
        <f>IFERROR(IF('CL - Closed Count'!I12="","",'CL - Closed Count'!I12/'CL - Sel Ults - Closed Count'!D12),"")</f>
        <v/>
      </c>
      <c r="J12" s="24">
        <f>IFERROR(IF('CL - Closed Count'!J12="","",'CL - Closed Count'!J12/'CL - Sel Ults - Closed Count'!D12),"")</f>
        <v/>
      </c>
      <c r="K12" s="24">
        <f>IFERROR(IF('CL - Closed Count'!K12="","",'CL - Closed Count'!K12/'CL - Sel Ults - Closed Count'!D12),"")</f>
        <v/>
      </c>
    </row>
  </sheetData>
  <mergeCells count="1">
    <mergeCell ref="A1:K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Average IBNR (Incurred Ult - Incurred)</t>
        </is>
      </c>
    </row>
    <row r="2">
      <c r="A2" s="22" t="inlineStr">
        <is>
          <t>Period</t>
        </is>
      </c>
      <c r="B2" s="29">
        <f>'CL - Incurred Loss'!B$2</f>
        <v/>
      </c>
      <c r="C2" s="29">
        <f>'CL - Incurred Loss'!C$2</f>
        <v/>
      </c>
      <c r="D2" s="29">
        <f>'CL - Incurred Loss'!D$2</f>
        <v/>
      </c>
      <c r="E2" s="29">
        <f>'CL - Incurred Loss'!E$2</f>
        <v/>
      </c>
      <c r="F2" s="29">
        <f>'CL - Incurred Loss'!F$2</f>
        <v/>
      </c>
      <c r="G2" s="29">
        <f>'CL - Incurred Loss'!G$2</f>
        <v/>
      </c>
      <c r="H2" s="29">
        <f>'CL - Incurred Loss'!H$2</f>
        <v/>
      </c>
      <c r="I2" s="29">
        <f>'CL - Incurred Loss'!I$2</f>
        <v/>
      </c>
      <c r="J2" s="29">
        <f>'CL - Incurred Loss'!J$2</f>
        <v/>
      </c>
      <c r="K2" s="29">
        <f>'CL - Incurred Loss'!K$2</f>
        <v/>
      </c>
    </row>
    <row r="3">
      <c r="A3">
        <f>'CL - Incurred Loss'!A3</f>
        <v/>
      </c>
      <c r="B3" s="26">
        <f>IFERROR(IF('CL - Incurred Loss'!B3="","",'CL - Sel Ults - Incurred Loss'!D3-'CL - Incurred Loss'!B3),"")</f>
        <v/>
      </c>
      <c r="C3" s="26">
        <f>IFERROR(IF('CL - Incurred Loss'!C3="","",'CL - Sel Ults - Incurred Loss'!D3-'CL - Incurred Loss'!C3),"")</f>
        <v/>
      </c>
      <c r="D3" s="26">
        <f>IFERROR(IF('CL - Incurred Loss'!D3="","",'CL - Sel Ults - Incurred Loss'!D3-'CL - Incurred Loss'!D3),"")</f>
        <v/>
      </c>
      <c r="E3" s="26">
        <f>IFERROR(IF('CL - Incurred Loss'!E3="","",'CL - Sel Ults - Incurred Loss'!D3-'CL - Incurred Loss'!E3),"")</f>
        <v/>
      </c>
      <c r="F3" s="26">
        <f>IFERROR(IF('CL - Incurred Loss'!F3="","",'CL - Sel Ults - Incurred Loss'!D3-'CL - Incurred Loss'!F3),"")</f>
        <v/>
      </c>
      <c r="G3" s="26">
        <f>IFERROR(IF('CL - Incurred Loss'!G3="","",'CL - Sel Ults - Incurred Loss'!D3-'CL - Incurred Loss'!G3),"")</f>
        <v/>
      </c>
      <c r="H3" s="26">
        <f>IFERROR(IF('CL - Incurred Loss'!H3="","",'CL - Sel Ults - Incurred Loss'!D3-'CL - Incurred Loss'!H3),"")</f>
        <v/>
      </c>
      <c r="I3" s="26">
        <f>IFERROR(IF('CL - Incurred Loss'!I3="","",'CL - Sel Ults - Incurred Loss'!D3-'CL - Incurred Loss'!I3),"")</f>
        <v/>
      </c>
      <c r="J3" s="26">
        <f>IFERROR(IF('CL - Incurred Loss'!J3="","",'CL - Sel Ults - Incurred Loss'!D3-'CL - Incurred Loss'!J3),"")</f>
        <v/>
      </c>
      <c r="K3" s="26">
        <f>IFERROR(IF('CL - Incurred Loss'!K3="","",'CL - Sel Ults - Incurred Loss'!D3-'CL - Incurred Loss'!K3),"")</f>
        <v/>
      </c>
    </row>
    <row r="4">
      <c r="A4">
        <f>'CL - Incurred Loss'!A4</f>
        <v/>
      </c>
      <c r="B4" s="26">
        <f>IFERROR(IF('CL - Incurred Loss'!B4="","",'CL - Sel Ults - Incurred Loss'!D4-'CL - Incurred Loss'!B4),"")</f>
        <v/>
      </c>
      <c r="C4" s="26">
        <f>IFERROR(IF('CL - Incurred Loss'!C4="","",'CL - Sel Ults - Incurred Loss'!D4-'CL - Incurred Loss'!C4),"")</f>
        <v/>
      </c>
      <c r="D4" s="26">
        <f>IFERROR(IF('CL - Incurred Loss'!D4="","",'CL - Sel Ults - Incurred Loss'!D4-'CL - Incurred Loss'!D4),"")</f>
        <v/>
      </c>
      <c r="E4" s="26">
        <f>IFERROR(IF('CL - Incurred Loss'!E4="","",'CL - Sel Ults - Incurred Loss'!D4-'CL - Incurred Loss'!E4),"")</f>
        <v/>
      </c>
      <c r="F4" s="26">
        <f>IFERROR(IF('CL - Incurred Loss'!F4="","",'CL - Sel Ults - Incurred Loss'!D4-'CL - Incurred Loss'!F4),"")</f>
        <v/>
      </c>
      <c r="G4" s="26">
        <f>IFERROR(IF('CL - Incurred Loss'!G4="","",'CL - Sel Ults - Incurred Loss'!D4-'CL - Incurred Loss'!G4),"")</f>
        <v/>
      </c>
      <c r="H4" s="26">
        <f>IFERROR(IF('CL - Incurred Loss'!H4="","",'CL - Sel Ults - Incurred Loss'!D4-'CL - Incurred Loss'!H4),"")</f>
        <v/>
      </c>
      <c r="I4" s="26">
        <f>IFERROR(IF('CL - Incurred Loss'!I4="","",'CL - Sel Ults - Incurred Loss'!D4-'CL - Incurred Loss'!I4),"")</f>
        <v/>
      </c>
      <c r="J4" s="26">
        <f>IFERROR(IF('CL - Incurred Loss'!J4="","",'CL - Sel Ults - Incurred Loss'!D4-'CL - Incurred Loss'!J4),"")</f>
        <v/>
      </c>
      <c r="K4" s="26">
        <f>IFERROR(IF('CL - Incurred Loss'!K4="","",'CL - Sel Ults - Incurred Loss'!D4-'CL - Incurred Loss'!K4),"")</f>
        <v/>
      </c>
    </row>
    <row r="5">
      <c r="A5">
        <f>'CL - Incurred Loss'!A5</f>
        <v/>
      </c>
      <c r="B5" s="26">
        <f>IFERROR(IF('CL - Incurred Loss'!B5="","",'CL - Sel Ults - Incurred Loss'!D5-'CL - Incurred Loss'!B5),"")</f>
        <v/>
      </c>
      <c r="C5" s="26">
        <f>IFERROR(IF('CL - Incurred Loss'!C5="","",'CL - Sel Ults - Incurred Loss'!D5-'CL - Incurred Loss'!C5),"")</f>
        <v/>
      </c>
      <c r="D5" s="26">
        <f>IFERROR(IF('CL - Incurred Loss'!D5="","",'CL - Sel Ults - Incurred Loss'!D5-'CL - Incurred Loss'!D5),"")</f>
        <v/>
      </c>
      <c r="E5" s="26">
        <f>IFERROR(IF('CL - Incurred Loss'!E5="","",'CL - Sel Ults - Incurred Loss'!D5-'CL - Incurred Loss'!E5),"")</f>
        <v/>
      </c>
      <c r="F5" s="26">
        <f>IFERROR(IF('CL - Incurred Loss'!F5="","",'CL - Sel Ults - Incurred Loss'!D5-'CL - Incurred Loss'!F5),"")</f>
        <v/>
      </c>
      <c r="G5" s="26">
        <f>IFERROR(IF('CL - Incurred Loss'!G5="","",'CL - Sel Ults - Incurred Loss'!D5-'CL - Incurred Loss'!G5),"")</f>
        <v/>
      </c>
      <c r="H5" s="26">
        <f>IFERROR(IF('CL - Incurred Loss'!H5="","",'CL - Sel Ults - Incurred Loss'!D5-'CL - Incurred Loss'!H5),"")</f>
        <v/>
      </c>
      <c r="I5" s="26">
        <f>IFERROR(IF('CL - Incurred Loss'!I5="","",'CL - Sel Ults - Incurred Loss'!D5-'CL - Incurred Loss'!I5),"")</f>
        <v/>
      </c>
      <c r="J5" s="26">
        <f>IFERROR(IF('CL - Incurred Loss'!J5="","",'CL - Sel Ults - Incurred Loss'!D5-'CL - Incurred Loss'!J5),"")</f>
        <v/>
      </c>
      <c r="K5" s="26">
        <f>IFERROR(IF('CL - Incurred Loss'!K5="","",'CL - Sel Ults - Incurred Loss'!D5-'CL - Incurred Loss'!K5),"")</f>
        <v/>
      </c>
    </row>
    <row r="6">
      <c r="A6">
        <f>'CL - Incurred Loss'!A6</f>
        <v/>
      </c>
      <c r="B6" s="26">
        <f>IFERROR(IF('CL - Incurred Loss'!B6="","",'CL - Sel Ults - Incurred Loss'!D6-'CL - Incurred Loss'!B6),"")</f>
        <v/>
      </c>
      <c r="C6" s="26">
        <f>IFERROR(IF('CL - Incurred Loss'!C6="","",'CL - Sel Ults - Incurred Loss'!D6-'CL - Incurred Loss'!C6),"")</f>
        <v/>
      </c>
      <c r="D6" s="26">
        <f>IFERROR(IF('CL - Incurred Loss'!D6="","",'CL - Sel Ults - Incurred Loss'!D6-'CL - Incurred Loss'!D6),"")</f>
        <v/>
      </c>
      <c r="E6" s="26">
        <f>IFERROR(IF('CL - Incurred Loss'!E6="","",'CL - Sel Ults - Incurred Loss'!D6-'CL - Incurred Loss'!E6),"")</f>
        <v/>
      </c>
      <c r="F6" s="26">
        <f>IFERROR(IF('CL - Incurred Loss'!F6="","",'CL - Sel Ults - Incurred Loss'!D6-'CL - Incurred Loss'!F6),"")</f>
        <v/>
      </c>
      <c r="G6" s="26">
        <f>IFERROR(IF('CL - Incurred Loss'!G6="","",'CL - Sel Ults - Incurred Loss'!D6-'CL - Incurred Loss'!G6),"")</f>
        <v/>
      </c>
      <c r="H6" s="26">
        <f>IFERROR(IF('CL - Incurred Loss'!H6="","",'CL - Sel Ults - Incurred Loss'!D6-'CL - Incurred Loss'!H6),"")</f>
        <v/>
      </c>
      <c r="I6" s="26">
        <f>IFERROR(IF('CL - Incurred Loss'!I6="","",'CL - Sel Ults - Incurred Loss'!D6-'CL - Incurred Loss'!I6),"")</f>
        <v/>
      </c>
      <c r="J6" s="26">
        <f>IFERROR(IF('CL - Incurred Loss'!J6="","",'CL - Sel Ults - Incurred Loss'!D6-'CL - Incurred Loss'!J6),"")</f>
        <v/>
      </c>
      <c r="K6" s="26">
        <f>IFERROR(IF('CL - Incurred Loss'!K6="","",'CL - Sel Ults - Incurred Loss'!D6-'CL - Incurred Loss'!K6),"")</f>
        <v/>
      </c>
    </row>
    <row r="7">
      <c r="A7">
        <f>'CL - Incurred Loss'!A7</f>
        <v/>
      </c>
      <c r="B7" s="26">
        <f>IFERROR(IF('CL - Incurred Loss'!B7="","",'CL - Sel Ults - Incurred Loss'!D7-'CL - Incurred Loss'!B7),"")</f>
        <v/>
      </c>
      <c r="C7" s="26">
        <f>IFERROR(IF('CL - Incurred Loss'!C7="","",'CL - Sel Ults - Incurred Loss'!D7-'CL - Incurred Loss'!C7),"")</f>
        <v/>
      </c>
      <c r="D7" s="26">
        <f>IFERROR(IF('CL - Incurred Loss'!D7="","",'CL - Sel Ults - Incurred Loss'!D7-'CL - Incurred Loss'!D7),"")</f>
        <v/>
      </c>
      <c r="E7" s="26">
        <f>IFERROR(IF('CL - Incurred Loss'!E7="","",'CL - Sel Ults - Incurred Loss'!D7-'CL - Incurred Loss'!E7),"")</f>
        <v/>
      </c>
      <c r="F7" s="26">
        <f>IFERROR(IF('CL - Incurred Loss'!F7="","",'CL - Sel Ults - Incurred Loss'!D7-'CL - Incurred Loss'!F7),"")</f>
        <v/>
      </c>
      <c r="G7" s="26">
        <f>IFERROR(IF('CL - Incurred Loss'!G7="","",'CL - Sel Ults - Incurred Loss'!D7-'CL - Incurred Loss'!G7),"")</f>
        <v/>
      </c>
      <c r="H7" s="26">
        <f>IFERROR(IF('CL - Incurred Loss'!H7="","",'CL - Sel Ults - Incurred Loss'!D7-'CL - Incurred Loss'!H7),"")</f>
        <v/>
      </c>
      <c r="I7" s="26">
        <f>IFERROR(IF('CL - Incurred Loss'!I7="","",'CL - Sel Ults - Incurred Loss'!D7-'CL - Incurred Loss'!I7),"")</f>
        <v/>
      </c>
      <c r="J7" s="26">
        <f>IFERROR(IF('CL - Incurred Loss'!J7="","",'CL - Sel Ults - Incurred Loss'!D7-'CL - Incurred Loss'!J7),"")</f>
        <v/>
      </c>
      <c r="K7" s="26">
        <f>IFERROR(IF('CL - Incurred Loss'!K7="","",'CL - Sel Ults - Incurred Loss'!D7-'CL - Incurred Loss'!K7),"")</f>
        <v/>
      </c>
    </row>
    <row r="8">
      <c r="A8">
        <f>'CL - Incurred Loss'!A8</f>
        <v/>
      </c>
      <c r="B8" s="26">
        <f>IFERROR(IF('CL - Incurred Loss'!B8="","",'CL - Sel Ults - Incurred Loss'!D8-'CL - Incurred Loss'!B8),"")</f>
        <v/>
      </c>
      <c r="C8" s="26">
        <f>IFERROR(IF('CL - Incurred Loss'!C8="","",'CL - Sel Ults - Incurred Loss'!D8-'CL - Incurred Loss'!C8),"")</f>
        <v/>
      </c>
      <c r="D8" s="26">
        <f>IFERROR(IF('CL - Incurred Loss'!D8="","",'CL - Sel Ults - Incurred Loss'!D8-'CL - Incurred Loss'!D8),"")</f>
        <v/>
      </c>
      <c r="E8" s="26">
        <f>IFERROR(IF('CL - Incurred Loss'!E8="","",'CL - Sel Ults - Incurred Loss'!D8-'CL - Incurred Loss'!E8),"")</f>
        <v/>
      </c>
      <c r="F8" s="26">
        <f>IFERROR(IF('CL - Incurred Loss'!F8="","",'CL - Sel Ults - Incurred Loss'!D8-'CL - Incurred Loss'!F8),"")</f>
        <v/>
      </c>
      <c r="G8" s="26">
        <f>IFERROR(IF('CL - Incurred Loss'!G8="","",'CL - Sel Ults - Incurred Loss'!D8-'CL - Incurred Loss'!G8),"")</f>
        <v/>
      </c>
      <c r="H8" s="26">
        <f>IFERROR(IF('CL - Incurred Loss'!H8="","",'CL - Sel Ults - Incurred Loss'!D8-'CL - Incurred Loss'!H8),"")</f>
        <v/>
      </c>
      <c r="I8" s="26">
        <f>IFERROR(IF('CL - Incurred Loss'!I8="","",'CL - Sel Ults - Incurred Loss'!D8-'CL - Incurred Loss'!I8),"")</f>
        <v/>
      </c>
      <c r="J8" s="26">
        <f>IFERROR(IF('CL - Incurred Loss'!J8="","",'CL - Sel Ults - Incurred Loss'!D8-'CL - Incurred Loss'!J8),"")</f>
        <v/>
      </c>
      <c r="K8" s="26">
        <f>IFERROR(IF('CL - Incurred Loss'!K8="","",'CL - Sel Ults - Incurred Loss'!D8-'CL - Incurred Loss'!K8),"")</f>
        <v/>
      </c>
    </row>
    <row r="9">
      <c r="A9">
        <f>'CL - Incurred Loss'!A9</f>
        <v/>
      </c>
      <c r="B9" s="26">
        <f>IFERROR(IF('CL - Incurred Loss'!B9="","",'CL - Sel Ults - Incurred Loss'!D9-'CL - Incurred Loss'!B9),"")</f>
        <v/>
      </c>
      <c r="C9" s="26">
        <f>IFERROR(IF('CL - Incurred Loss'!C9="","",'CL - Sel Ults - Incurred Loss'!D9-'CL - Incurred Loss'!C9),"")</f>
        <v/>
      </c>
      <c r="D9" s="26">
        <f>IFERROR(IF('CL - Incurred Loss'!D9="","",'CL - Sel Ults - Incurred Loss'!D9-'CL - Incurred Loss'!D9),"")</f>
        <v/>
      </c>
      <c r="E9" s="26">
        <f>IFERROR(IF('CL - Incurred Loss'!E9="","",'CL - Sel Ults - Incurred Loss'!D9-'CL - Incurred Loss'!E9),"")</f>
        <v/>
      </c>
      <c r="F9" s="26">
        <f>IFERROR(IF('CL - Incurred Loss'!F9="","",'CL - Sel Ults - Incurred Loss'!D9-'CL - Incurred Loss'!F9),"")</f>
        <v/>
      </c>
      <c r="G9" s="26">
        <f>IFERROR(IF('CL - Incurred Loss'!G9="","",'CL - Sel Ults - Incurred Loss'!D9-'CL - Incurred Loss'!G9),"")</f>
        <v/>
      </c>
      <c r="H9" s="26">
        <f>IFERROR(IF('CL - Incurred Loss'!H9="","",'CL - Sel Ults - Incurred Loss'!D9-'CL - Incurred Loss'!H9),"")</f>
        <v/>
      </c>
      <c r="I9" s="26">
        <f>IFERROR(IF('CL - Incurred Loss'!I9="","",'CL - Sel Ults - Incurred Loss'!D9-'CL - Incurred Loss'!I9),"")</f>
        <v/>
      </c>
      <c r="J9" s="26">
        <f>IFERROR(IF('CL - Incurred Loss'!J9="","",'CL - Sel Ults - Incurred Loss'!D9-'CL - Incurred Loss'!J9),"")</f>
        <v/>
      </c>
      <c r="K9" s="26">
        <f>IFERROR(IF('CL - Incurred Loss'!K9="","",'CL - Sel Ults - Incurred Loss'!D9-'CL - Incurred Loss'!K9),"")</f>
        <v/>
      </c>
    </row>
    <row r="10">
      <c r="A10">
        <f>'CL - Incurred Loss'!A10</f>
        <v/>
      </c>
      <c r="B10" s="26">
        <f>IFERROR(IF('CL - Incurred Loss'!B10="","",'CL - Sel Ults - Incurred Loss'!D10-'CL - Incurred Loss'!B10),"")</f>
        <v/>
      </c>
      <c r="C10" s="26">
        <f>IFERROR(IF('CL - Incurred Loss'!C10="","",'CL - Sel Ults - Incurred Loss'!D10-'CL - Incurred Loss'!C10),"")</f>
        <v/>
      </c>
      <c r="D10" s="26">
        <f>IFERROR(IF('CL - Incurred Loss'!D10="","",'CL - Sel Ults - Incurred Loss'!D10-'CL - Incurred Loss'!D10),"")</f>
        <v/>
      </c>
      <c r="E10" s="26">
        <f>IFERROR(IF('CL - Incurred Loss'!E10="","",'CL - Sel Ults - Incurred Loss'!D10-'CL - Incurred Loss'!E10),"")</f>
        <v/>
      </c>
      <c r="F10" s="26">
        <f>IFERROR(IF('CL - Incurred Loss'!F10="","",'CL - Sel Ults - Incurred Loss'!D10-'CL - Incurred Loss'!F10),"")</f>
        <v/>
      </c>
      <c r="G10" s="26">
        <f>IFERROR(IF('CL - Incurred Loss'!G10="","",'CL - Sel Ults - Incurred Loss'!D10-'CL - Incurred Loss'!G10),"")</f>
        <v/>
      </c>
      <c r="H10" s="26">
        <f>IFERROR(IF('CL - Incurred Loss'!H10="","",'CL - Sel Ults - Incurred Loss'!D10-'CL - Incurred Loss'!H10),"")</f>
        <v/>
      </c>
      <c r="I10" s="26">
        <f>IFERROR(IF('CL - Incurred Loss'!I10="","",'CL - Sel Ults - Incurred Loss'!D10-'CL - Incurred Loss'!I10),"")</f>
        <v/>
      </c>
      <c r="J10" s="26">
        <f>IFERROR(IF('CL - Incurred Loss'!J10="","",'CL - Sel Ults - Incurred Loss'!D10-'CL - Incurred Loss'!J10),"")</f>
        <v/>
      </c>
      <c r="K10" s="26">
        <f>IFERROR(IF('CL - Incurred Loss'!K10="","",'CL - Sel Ults - Incurred Loss'!D10-'CL - Incurred Loss'!K10),"")</f>
        <v/>
      </c>
    </row>
    <row r="11">
      <c r="A11">
        <f>'CL - Incurred Loss'!A11</f>
        <v/>
      </c>
      <c r="B11" s="26">
        <f>IFERROR(IF('CL - Incurred Loss'!B11="","",'CL - Sel Ults - Incurred Loss'!D11-'CL - Incurred Loss'!B11),"")</f>
        <v/>
      </c>
      <c r="C11" s="26">
        <f>IFERROR(IF('CL - Incurred Loss'!C11="","",'CL - Sel Ults - Incurred Loss'!D11-'CL - Incurred Loss'!C11),"")</f>
        <v/>
      </c>
      <c r="D11" s="26">
        <f>IFERROR(IF('CL - Incurred Loss'!D11="","",'CL - Sel Ults - Incurred Loss'!D11-'CL - Incurred Loss'!D11),"")</f>
        <v/>
      </c>
      <c r="E11" s="26">
        <f>IFERROR(IF('CL - Incurred Loss'!E11="","",'CL - Sel Ults - Incurred Loss'!D11-'CL - Incurred Loss'!E11),"")</f>
        <v/>
      </c>
      <c r="F11" s="26">
        <f>IFERROR(IF('CL - Incurred Loss'!F11="","",'CL - Sel Ults - Incurred Loss'!D11-'CL - Incurred Loss'!F11),"")</f>
        <v/>
      </c>
      <c r="G11" s="26">
        <f>IFERROR(IF('CL - Incurred Loss'!G11="","",'CL - Sel Ults - Incurred Loss'!D11-'CL - Incurred Loss'!G11),"")</f>
        <v/>
      </c>
      <c r="H11" s="26">
        <f>IFERROR(IF('CL - Incurred Loss'!H11="","",'CL - Sel Ults - Incurred Loss'!D11-'CL - Incurred Loss'!H11),"")</f>
        <v/>
      </c>
      <c r="I11" s="26">
        <f>IFERROR(IF('CL - Incurred Loss'!I11="","",'CL - Sel Ults - Incurred Loss'!D11-'CL - Incurred Loss'!I11),"")</f>
        <v/>
      </c>
      <c r="J11" s="26">
        <f>IFERROR(IF('CL - Incurred Loss'!J11="","",'CL - Sel Ults - Incurred Loss'!D11-'CL - Incurred Loss'!J11),"")</f>
        <v/>
      </c>
      <c r="K11" s="26">
        <f>IFERROR(IF('CL - Incurred Loss'!K11="","",'CL - Sel Ults - Incurred Loss'!D11-'CL - Incurred Loss'!K11),"")</f>
        <v/>
      </c>
    </row>
    <row r="12">
      <c r="A12">
        <f>'CL - Incurred Loss'!A12</f>
        <v/>
      </c>
      <c r="B12" s="26">
        <f>IFERROR(IF('CL - Incurred Loss'!B12="","",'CL - Sel Ults - Incurred Loss'!D12-'CL - Incurred Loss'!B12),"")</f>
        <v/>
      </c>
      <c r="C12" s="26">
        <f>IFERROR(IF('CL - Incurred Loss'!C12="","",'CL - Sel Ults - Incurred Loss'!D12-'CL - Incurred Loss'!C12),"")</f>
        <v/>
      </c>
      <c r="D12" s="26">
        <f>IFERROR(IF('CL - Incurred Loss'!D12="","",'CL - Sel Ults - Incurred Loss'!D12-'CL - Incurred Loss'!D12),"")</f>
        <v/>
      </c>
      <c r="E12" s="26">
        <f>IFERROR(IF('CL - Incurred Loss'!E12="","",'CL - Sel Ults - Incurred Loss'!D12-'CL - Incurred Loss'!E12),"")</f>
        <v/>
      </c>
      <c r="F12" s="26">
        <f>IFERROR(IF('CL - Incurred Loss'!F12="","",'CL - Sel Ults - Incurred Loss'!D12-'CL - Incurred Loss'!F12),"")</f>
        <v/>
      </c>
      <c r="G12" s="26">
        <f>IFERROR(IF('CL - Incurred Loss'!G12="","",'CL - Sel Ults - Incurred Loss'!D12-'CL - Incurred Loss'!G12),"")</f>
        <v/>
      </c>
      <c r="H12" s="26">
        <f>IFERROR(IF('CL - Incurred Loss'!H12="","",'CL - Sel Ults - Incurred Loss'!D12-'CL - Incurred Loss'!H12),"")</f>
        <v/>
      </c>
      <c r="I12" s="26">
        <f>IFERROR(IF('CL - Incurred Loss'!I12="","",'CL - Sel Ults - Incurred Loss'!D12-'CL - Incurred Loss'!I12),"")</f>
        <v/>
      </c>
      <c r="J12" s="26">
        <f>IFERROR(IF('CL - Incurred Loss'!J12="","",'CL - Sel Ults - Incurred Loss'!D12-'CL - Incurred Loss'!J12),"")</f>
        <v/>
      </c>
      <c r="K12" s="26">
        <f>IFERROR(IF('CL - Incurred Loss'!K12="","",'CL - Sel Ults - Incurred Loss'!D12-'CL - Incurred Loss'!K12),"")</f>
        <v/>
      </c>
    </row>
  </sheetData>
  <mergeCells count="1">
    <mergeCell ref="A1:K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Average Unpaid (Incurred Ult - Paid)</t>
        </is>
      </c>
    </row>
    <row r="2">
      <c r="A2" s="22" t="inlineStr">
        <is>
          <t>Period</t>
        </is>
      </c>
      <c r="B2" s="29">
        <f>'CL - Incurred Loss'!B$2</f>
        <v/>
      </c>
      <c r="C2" s="29">
        <f>'CL - Incurred Loss'!C$2</f>
        <v/>
      </c>
      <c r="D2" s="29">
        <f>'CL - Incurred Loss'!D$2</f>
        <v/>
      </c>
      <c r="E2" s="29">
        <f>'CL - Incurred Loss'!E$2</f>
        <v/>
      </c>
      <c r="F2" s="29">
        <f>'CL - Incurred Loss'!F$2</f>
        <v/>
      </c>
      <c r="G2" s="29">
        <f>'CL - Incurred Loss'!G$2</f>
        <v/>
      </c>
      <c r="H2" s="29">
        <f>'CL - Incurred Loss'!H$2</f>
        <v/>
      </c>
      <c r="I2" s="29">
        <f>'CL - Incurred Loss'!I$2</f>
        <v/>
      </c>
      <c r="J2" s="29">
        <f>'CL - Incurred Loss'!J$2</f>
        <v/>
      </c>
      <c r="K2" s="29">
        <f>'CL - Incurred Loss'!K$2</f>
        <v/>
      </c>
    </row>
    <row r="3">
      <c r="A3">
        <f>'CL - Incurred Loss'!A3</f>
        <v/>
      </c>
      <c r="B3" s="26">
        <f>IFERROR(IF('CL - Paid Loss'!B3="","",'CL - Sel Ults - Incurred Loss'!D3-'CL - Paid Loss'!B3),"")</f>
        <v/>
      </c>
      <c r="C3" s="26">
        <f>IFERROR(IF('CL - Paid Loss'!C3="","",'CL - Sel Ults - Incurred Loss'!D3-'CL - Paid Loss'!C3),"")</f>
        <v/>
      </c>
      <c r="D3" s="26">
        <f>IFERROR(IF('CL - Paid Loss'!D3="","",'CL - Sel Ults - Incurred Loss'!D3-'CL - Paid Loss'!D3),"")</f>
        <v/>
      </c>
      <c r="E3" s="26">
        <f>IFERROR(IF('CL - Paid Loss'!E3="","",'CL - Sel Ults - Incurred Loss'!D3-'CL - Paid Loss'!E3),"")</f>
        <v/>
      </c>
      <c r="F3" s="26">
        <f>IFERROR(IF('CL - Paid Loss'!F3="","",'CL - Sel Ults - Incurred Loss'!D3-'CL - Paid Loss'!F3),"")</f>
        <v/>
      </c>
      <c r="G3" s="26">
        <f>IFERROR(IF('CL - Paid Loss'!G3="","",'CL - Sel Ults - Incurred Loss'!D3-'CL - Paid Loss'!G3),"")</f>
        <v/>
      </c>
      <c r="H3" s="26">
        <f>IFERROR(IF('CL - Paid Loss'!H3="","",'CL - Sel Ults - Incurred Loss'!D3-'CL - Paid Loss'!H3),"")</f>
        <v/>
      </c>
      <c r="I3" s="26">
        <f>IFERROR(IF('CL - Paid Loss'!I3="","",'CL - Sel Ults - Incurred Loss'!D3-'CL - Paid Loss'!I3),"")</f>
        <v/>
      </c>
      <c r="J3" s="26">
        <f>IFERROR(IF('CL - Paid Loss'!J3="","",'CL - Sel Ults - Incurred Loss'!D3-'CL - Paid Loss'!J3),"")</f>
        <v/>
      </c>
      <c r="K3" s="26">
        <f>IFERROR(IF('CL - Paid Loss'!K3="","",'CL - Sel Ults - Incurred Loss'!D3-'CL - Paid Loss'!K3),"")</f>
        <v/>
      </c>
    </row>
    <row r="4">
      <c r="A4">
        <f>'CL - Incurred Loss'!A4</f>
        <v/>
      </c>
      <c r="B4" s="26">
        <f>IFERROR(IF('CL - Paid Loss'!B4="","",'CL - Sel Ults - Incurred Loss'!D4-'CL - Paid Loss'!B4),"")</f>
        <v/>
      </c>
      <c r="C4" s="26">
        <f>IFERROR(IF('CL - Paid Loss'!C4="","",'CL - Sel Ults - Incurred Loss'!D4-'CL - Paid Loss'!C4),"")</f>
        <v/>
      </c>
      <c r="D4" s="26">
        <f>IFERROR(IF('CL - Paid Loss'!D4="","",'CL - Sel Ults - Incurred Loss'!D4-'CL - Paid Loss'!D4),"")</f>
        <v/>
      </c>
      <c r="E4" s="26">
        <f>IFERROR(IF('CL - Paid Loss'!E4="","",'CL - Sel Ults - Incurred Loss'!D4-'CL - Paid Loss'!E4),"")</f>
        <v/>
      </c>
      <c r="F4" s="26">
        <f>IFERROR(IF('CL - Paid Loss'!F4="","",'CL - Sel Ults - Incurred Loss'!D4-'CL - Paid Loss'!F4),"")</f>
        <v/>
      </c>
      <c r="G4" s="26">
        <f>IFERROR(IF('CL - Paid Loss'!G4="","",'CL - Sel Ults - Incurred Loss'!D4-'CL - Paid Loss'!G4),"")</f>
        <v/>
      </c>
      <c r="H4" s="26">
        <f>IFERROR(IF('CL - Paid Loss'!H4="","",'CL - Sel Ults - Incurred Loss'!D4-'CL - Paid Loss'!H4),"")</f>
        <v/>
      </c>
      <c r="I4" s="26">
        <f>IFERROR(IF('CL - Paid Loss'!I4="","",'CL - Sel Ults - Incurred Loss'!D4-'CL - Paid Loss'!I4),"")</f>
        <v/>
      </c>
      <c r="J4" s="26">
        <f>IFERROR(IF('CL - Paid Loss'!J4="","",'CL - Sel Ults - Incurred Loss'!D4-'CL - Paid Loss'!J4),"")</f>
        <v/>
      </c>
      <c r="K4" s="26">
        <f>IFERROR(IF('CL - Paid Loss'!K4="","",'CL - Sel Ults - Incurred Loss'!D4-'CL - Paid Loss'!K4),"")</f>
        <v/>
      </c>
    </row>
    <row r="5">
      <c r="A5">
        <f>'CL - Incurred Loss'!A5</f>
        <v/>
      </c>
      <c r="B5" s="26">
        <f>IFERROR(IF('CL - Paid Loss'!B5="","",'CL - Sel Ults - Incurred Loss'!D5-'CL - Paid Loss'!B5),"")</f>
        <v/>
      </c>
      <c r="C5" s="26">
        <f>IFERROR(IF('CL - Paid Loss'!C5="","",'CL - Sel Ults - Incurred Loss'!D5-'CL - Paid Loss'!C5),"")</f>
        <v/>
      </c>
      <c r="D5" s="26">
        <f>IFERROR(IF('CL - Paid Loss'!D5="","",'CL - Sel Ults - Incurred Loss'!D5-'CL - Paid Loss'!D5),"")</f>
        <v/>
      </c>
      <c r="E5" s="26">
        <f>IFERROR(IF('CL - Paid Loss'!E5="","",'CL - Sel Ults - Incurred Loss'!D5-'CL - Paid Loss'!E5),"")</f>
        <v/>
      </c>
      <c r="F5" s="26">
        <f>IFERROR(IF('CL - Paid Loss'!F5="","",'CL - Sel Ults - Incurred Loss'!D5-'CL - Paid Loss'!F5),"")</f>
        <v/>
      </c>
      <c r="G5" s="26">
        <f>IFERROR(IF('CL - Paid Loss'!G5="","",'CL - Sel Ults - Incurred Loss'!D5-'CL - Paid Loss'!G5),"")</f>
        <v/>
      </c>
      <c r="H5" s="26">
        <f>IFERROR(IF('CL - Paid Loss'!H5="","",'CL - Sel Ults - Incurred Loss'!D5-'CL - Paid Loss'!H5),"")</f>
        <v/>
      </c>
      <c r="I5" s="26">
        <f>IFERROR(IF('CL - Paid Loss'!I5="","",'CL - Sel Ults - Incurred Loss'!D5-'CL - Paid Loss'!I5),"")</f>
        <v/>
      </c>
      <c r="J5" s="26">
        <f>IFERROR(IF('CL - Paid Loss'!J5="","",'CL - Sel Ults - Incurred Loss'!D5-'CL - Paid Loss'!J5),"")</f>
        <v/>
      </c>
      <c r="K5" s="26">
        <f>IFERROR(IF('CL - Paid Loss'!K5="","",'CL - Sel Ults - Incurred Loss'!D5-'CL - Paid Loss'!K5),"")</f>
        <v/>
      </c>
    </row>
    <row r="6">
      <c r="A6">
        <f>'CL - Incurred Loss'!A6</f>
        <v/>
      </c>
      <c r="B6" s="26">
        <f>IFERROR(IF('CL - Paid Loss'!B6="","",'CL - Sel Ults - Incurred Loss'!D6-'CL - Paid Loss'!B6),"")</f>
        <v/>
      </c>
      <c r="C6" s="26">
        <f>IFERROR(IF('CL - Paid Loss'!C6="","",'CL - Sel Ults - Incurred Loss'!D6-'CL - Paid Loss'!C6),"")</f>
        <v/>
      </c>
      <c r="D6" s="26">
        <f>IFERROR(IF('CL - Paid Loss'!D6="","",'CL - Sel Ults - Incurred Loss'!D6-'CL - Paid Loss'!D6),"")</f>
        <v/>
      </c>
      <c r="E6" s="26">
        <f>IFERROR(IF('CL - Paid Loss'!E6="","",'CL - Sel Ults - Incurred Loss'!D6-'CL - Paid Loss'!E6),"")</f>
        <v/>
      </c>
      <c r="F6" s="26">
        <f>IFERROR(IF('CL - Paid Loss'!F6="","",'CL - Sel Ults - Incurred Loss'!D6-'CL - Paid Loss'!F6),"")</f>
        <v/>
      </c>
      <c r="G6" s="26">
        <f>IFERROR(IF('CL - Paid Loss'!G6="","",'CL - Sel Ults - Incurred Loss'!D6-'CL - Paid Loss'!G6),"")</f>
        <v/>
      </c>
      <c r="H6" s="26">
        <f>IFERROR(IF('CL - Paid Loss'!H6="","",'CL - Sel Ults - Incurred Loss'!D6-'CL - Paid Loss'!H6),"")</f>
        <v/>
      </c>
      <c r="I6" s="26">
        <f>IFERROR(IF('CL - Paid Loss'!I6="","",'CL - Sel Ults - Incurred Loss'!D6-'CL - Paid Loss'!I6),"")</f>
        <v/>
      </c>
      <c r="J6" s="26">
        <f>IFERROR(IF('CL - Paid Loss'!J6="","",'CL - Sel Ults - Incurred Loss'!D6-'CL - Paid Loss'!J6),"")</f>
        <v/>
      </c>
      <c r="K6" s="26">
        <f>IFERROR(IF('CL - Paid Loss'!K6="","",'CL - Sel Ults - Incurred Loss'!D6-'CL - Paid Loss'!K6),"")</f>
        <v/>
      </c>
    </row>
    <row r="7">
      <c r="A7">
        <f>'CL - Incurred Loss'!A7</f>
        <v/>
      </c>
      <c r="B7" s="26">
        <f>IFERROR(IF('CL - Paid Loss'!B7="","",'CL - Sel Ults - Incurred Loss'!D7-'CL - Paid Loss'!B7),"")</f>
        <v/>
      </c>
      <c r="C7" s="26">
        <f>IFERROR(IF('CL - Paid Loss'!C7="","",'CL - Sel Ults - Incurred Loss'!D7-'CL - Paid Loss'!C7),"")</f>
        <v/>
      </c>
      <c r="D7" s="26">
        <f>IFERROR(IF('CL - Paid Loss'!D7="","",'CL - Sel Ults - Incurred Loss'!D7-'CL - Paid Loss'!D7),"")</f>
        <v/>
      </c>
      <c r="E7" s="26">
        <f>IFERROR(IF('CL - Paid Loss'!E7="","",'CL - Sel Ults - Incurred Loss'!D7-'CL - Paid Loss'!E7),"")</f>
        <v/>
      </c>
      <c r="F7" s="26">
        <f>IFERROR(IF('CL - Paid Loss'!F7="","",'CL - Sel Ults - Incurred Loss'!D7-'CL - Paid Loss'!F7),"")</f>
        <v/>
      </c>
      <c r="G7" s="26">
        <f>IFERROR(IF('CL - Paid Loss'!G7="","",'CL - Sel Ults - Incurred Loss'!D7-'CL - Paid Loss'!G7),"")</f>
        <v/>
      </c>
      <c r="H7" s="26">
        <f>IFERROR(IF('CL - Paid Loss'!H7="","",'CL - Sel Ults - Incurred Loss'!D7-'CL - Paid Loss'!H7),"")</f>
        <v/>
      </c>
      <c r="I7" s="26">
        <f>IFERROR(IF('CL - Paid Loss'!I7="","",'CL - Sel Ults - Incurred Loss'!D7-'CL - Paid Loss'!I7),"")</f>
        <v/>
      </c>
      <c r="J7" s="26">
        <f>IFERROR(IF('CL - Paid Loss'!J7="","",'CL - Sel Ults - Incurred Loss'!D7-'CL - Paid Loss'!J7),"")</f>
        <v/>
      </c>
      <c r="K7" s="26">
        <f>IFERROR(IF('CL - Paid Loss'!K7="","",'CL - Sel Ults - Incurred Loss'!D7-'CL - Paid Loss'!K7),"")</f>
        <v/>
      </c>
    </row>
    <row r="8">
      <c r="A8">
        <f>'CL - Incurred Loss'!A8</f>
        <v/>
      </c>
      <c r="B8" s="26">
        <f>IFERROR(IF('CL - Paid Loss'!B8="","",'CL - Sel Ults - Incurred Loss'!D8-'CL - Paid Loss'!B8),"")</f>
        <v/>
      </c>
      <c r="C8" s="26">
        <f>IFERROR(IF('CL - Paid Loss'!C8="","",'CL - Sel Ults - Incurred Loss'!D8-'CL - Paid Loss'!C8),"")</f>
        <v/>
      </c>
      <c r="D8" s="26">
        <f>IFERROR(IF('CL - Paid Loss'!D8="","",'CL - Sel Ults - Incurred Loss'!D8-'CL - Paid Loss'!D8),"")</f>
        <v/>
      </c>
      <c r="E8" s="26">
        <f>IFERROR(IF('CL - Paid Loss'!E8="","",'CL - Sel Ults - Incurred Loss'!D8-'CL - Paid Loss'!E8),"")</f>
        <v/>
      </c>
      <c r="F8" s="26">
        <f>IFERROR(IF('CL - Paid Loss'!F8="","",'CL - Sel Ults - Incurred Loss'!D8-'CL - Paid Loss'!F8),"")</f>
        <v/>
      </c>
      <c r="G8" s="26">
        <f>IFERROR(IF('CL - Paid Loss'!G8="","",'CL - Sel Ults - Incurred Loss'!D8-'CL - Paid Loss'!G8),"")</f>
        <v/>
      </c>
      <c r="H8" s="26">
        <f>IFERROR(IF('CL - Paid Loss'!H8="","",'CL - Sel Ults - Incurred Loss'!D8-'CL - Paid Loss'!H8),"")</f>
        <v/>
      </c>
      <c r="I8" s="26">
        <f>IFERROR(IF('CL - Paid Loss'!I8="","",'CL - Sel Ults - Incurred Loss'!D8-'CL - Paid Loss'!I8),"")</f>
        <v/>
      </c>
      <c r="J8" s="26">
        <f>IFERROR(IF('CL - Paid Loss'!J8="","",'CL - Sel Ults - Incurred Loss'!D8-'CL - Paid Loss'!J8),"")</f>
        <v/>
      </c>
      <c r="K8" s="26">
        <f>IFERROR(IF('CL - Paid Loss'!K8="","",'CL - Sel Ults - Incurred Loss'!D8-'CL - Paid Loss'!K8),"")</f>
        <v/>
      </c>
    </row>
    <row r="9">
      <c r="A9">
        <f>'CL - Incurred Loss'!A9</f>
        <v/>
      </c>
      <c r="B9" s="26">
        <f>IFERROR(IF('CL - Paid Loss'!B9="","",'CL - Sel Ults - Incurred Loss'!D9-'CL - Paid Loss'!B9),"")</f>
        <v/>
      </c>
      <c r="C9" s="26">
        <f>IFERROR(IF('CL - Paid Loss'!C9="","",'CL - Sel Ults - Incurred Loss'!D9-'CL - Paid Loss'!C9),"")</f>
        <v/>
      </c>
      <c r="D9" s="26">
        <f>IFERROR(IF('CL - Paid Loss'!D9="","",'CL - Sel Ults - Incurred Loss'!D9-'CL - Paid Loss'!D9),"")</f>
        <v/>
      </c>
      <c r="E9" s="26">
        <f>IFERROR(IF('CL - Paid Loss'!E9="","",'CL - Sel Ults - Incurred Loss'!D9-'CL - Paid Loss'!E9),"")</f>
        <v/>
      </c>
      <c r="F9" s="26">
        <f>IFERROR(IF('CL - Paid Loss'!F9="","",'CL - Sel Ults - Incurred Loss'!D9-'CL - Paid Loss'!F9),"")</f>
        <v/>
      </c>
      <c r="G9" s="26">
        <f>IFERROR(IF('CL - Paid Loss'!G9="","",'CL - Sel Ults - Incurred Loss'!D9-'CL - Paid Loss'!G9),"")</f>
        <v/>
      </c>
      <c r="H9" s="26">
        <f>IFERROR(IF('CL - Paid Loss'!H9="","",'CL - Sel Ults - Incurred Loss'!D9-'CL - Paid Loss'!H9),"")</f>
        <v/>
      </c>
      <c r="I9" s="26">
        <f>IFERROR(IF('CL - Paid Loss'!I9="","",'CL - Sel Ults - Incurred Loss'!D9-'CL - Paid Loss'!I9),"")</f>
        <v/>
      </c>
      <c r="J9" s="26">
        <f>IFERROR(IF('CL - Paid Loss'!J9="","",'CL - Sel Ults - Incurred Loss'!D9-'CL - Paid Loss'!J9),"")</f>
        <v/>
      </c>
      <c r="K9" s="26">
        <f>IFERROR(IF('CL - Paid Loss'!K9="","",'CL - Sel Ults - Incurred Loss'!D9-'CL - Paid Loss'!K9),"")</f>
        <v/>
      </c>
    </row>
    <row r="10">
      <c r="A10">
        <f>'CL - Incurred Loss'!A10</f>
        <v/>
      </c>
      <c r="B10" s="26">
        <f>IFERROR(IF('CL - Paid Loss'!B10="","",'CL - Sel Ults - Incurred Loss'!D10-'CL - Paid Loss'!B10),"")</f>
        <v/>
      </c>
      <c r="C10" s="26">
        <f>IFERROR(IF('CL - Paid Loss'!C10="","",'CL - Sel Ults - Incurred Loss'!D10-'CL - Paid Loss'!C10),"")</f>
        <v/>
      </c>
      <c r="D10" s="26">
        <f>IFERROR(IF('CL - Paid Loss'!D10="","",'CL - Sel Ults - Incurred Loss'!D10-'CL - Paid Loss'!D10),"")</f>
        <v/>
      </c>
      <c r="E10" s="26">
        <f>IFERROR(IF('CL - Paid Loss'!E10="","",'CL - Sel Ults - Incurred Loss'!D10-'CL - Paid Loss'!E10),"")</f>
        <v/>
      </c>
      <c r="F10" s="26">
        <f>IFERROR(IF('CL - Paid Loss'!F10="","",'CL - Sel Ults - Incurred Loss'!D10-'CL - Paid Loss'!F10),"")</f>
        <v/>
      </c>
      <c r="G10" s="26">
        <f>IFERROR(IF('CL - Paid Loss'!G10="","",'CL - Sel Ults - Incurred Loss'!D10-'CL - Paid Loss'!G10),"")</f>
        <v/>
      </c>
      <c r="H10" s="26">
        <f>IFERROR(IF('CL - Paid Loss'!H10="","",'CL - Sel Ults - Incurred Loss'!D10-'CL - Paid Loss'!H10),"")</f>
        <v/>
      </c>
      <c r="I10" s="26">
        <f>IFERROR(IF('CL - Paid Loss'!I10="","",'CL - Sel Ults - Incurred Loss'!D10-'CL - Paid Loss'!I10),"")</f>
        <v/>
      </c>
      <c r="J10" s="26">
        <f>IFERROR(IF('CL - Paid Loss'!J10="","",'CL - Sel Ults - Incurred Loss'!D10-'CL - Paid Loss'!J10),"")</f>
        <v/>
      </c>
      <c r="K10" s="26">
        <f>IFERROR(IF('CL - Paid Loss'!K10="","",'CL - Sel Ults - Incurred Loss'!D10-'CL - Paid Loss'!K10),"")</f>
        <v/>
      </c>
    </row>
    <row r="11">
      <c r="A11">
        <f>'CL - Incurred Loss'!A11</f>
        <v/>
      </c>
      <c r="B11" s="26">
        <f>IFERROR(IF('CL - Paid Loss'!B11="","",'CL - Sel Ults - Incurred Loss'!D11-'CL - Paid Loss'!B11),"")</f>
        <v/>
      </c>
      <c r="C11" s="26">
        <f>IFERROR(IF('CL - Paid Loss'!C11="","",'CL - Sel Ults - Incurred Loss'!D11-'CL - Paid Loss'!C11),"")</f>
        <v/>
      </c>
      <c r="D11" s="26">
        <f>IFERROR(IF('CL - Paid Loss'!D11="","",'CL - Sel Ults - Incurred Loss'!D11-'CL - Paid Loss'!D11),"")</f>
        <v/>
      </c>
      <c r="E11" s="26">
        <f>IFERROR(IF('CL - Paid Loss'!E11="","",'CL - Sel Ults - Incurred Loss'!D11-'CL - Paid Loss'!E11),"")</f>
        <v/>
      </c>
      <c r="F11" s="26">
        <f>IFERROR(IF('CL - Paid Loss'!F11="","",'CL - Sel Ults - Incurred Loss'!D11-'CL - Paid Loss'!F11),"")</f>
        <v/>
      </c>
      <c r="G11" s="26">
        <f>IFERROR(IF('CL - Paid Loss'!G11="","",'CL - Sel Ults - Incurred Loss'!D11-'CL - Paid Loss'!G11),"")</f>
        <v/>
      </c>
      <c r="H11" s="26">
        <f>IFERROR(IF('CL - Paid Loss'!H11="","",'CL - Sel Ults - Incurred Loss'!D11-'CL - Paid Loss'!H11),"")</f>
        <v/>
      </c>
      <c r="I11" s="26">
        <f>IFERROR(IF('CL - Paid Loss'!I11="","",'CL - Sel Ults - Incurred Loss'!D11-'CL - Paid Loss'!I11),"")</f>
        <v/>
      </c>
      <c r="J11" s="26">
        <f>IFERROR(IF('CL - Paid Loss'!J11="","",'CL - Sel Ults - Incurred Loss'!D11-'CL - Paid Loss'!J11),"")</f>
        <v/>
      </c>
      <c r="K11" s="26">
        <f>IFERROR(IF('CL - Paid Loss'!K11="","",'CL - Sel Ults - Incurred Loss'!D11-'CL - Paid Loss'!K11),"")</f>
        <v/>
      </c>
    </row>
    <row r="12">
      <c r="A12">
        <f>'CL - Incurred Loss'!A12</f>
        <v/>
      </c>
      <c r="B12" s="26">
        <f>IFERROR(IF('CL - Paid Loss'!B12="","",'CL - Sel Ults - Incurred Loss'!D12-'CL - Paid Loss'!B12),"")</f>
        <v/>
      </c>
      <c r="C12" s="26">
        <f>IFERROR(IF('CL - Paid Loss'!C12="","",'CL - Sel Ults - Incurred Loss'!D12-'CL - Paid Loss'!C12),"")</f>
        <v/>
      </c>
      <c r="D12" s="26">
        <f>IFERROR(IF('CL - Paid Loss'!D12="","",'CL - Sel Ults - Incurred Loss'!D12-'CL - Paid Loss'!D12),"")</f>
        <v/>
      </c>
      <c r="E12" s="26">
        <f>IFERROR(IF('CL - Paid Loss'!E12="","",'CL - Sel Ults - Incurred Loss'!D12-'CL - Paid Loss'!E12),"")</f>
        <v/>
      </c>
      <c r="F12" s="26">
        <f>IFERROR(IF('CL - Paid Loss'!F12="","",'CL - Sel Ults - Incurred Loss'!D12-'CL - Paid Loss'!F12),"")</f>
        <v/>
      </c>
      <c r="G12" s="26">
        <f>IFERROR(IF('CL - Paid Loss'!G12="","",'CL - Sel Ults - Incurred Loss'!D12-'CL - Paid Loss'!G12),"")</f>
        <v/>
      </c>
      <c r="H12" s="26">
        <f>IFERROR(IF('CL - Paid Loss'!H12="","",'CL - Sel Ults - Incurred Loss'!D12-'CL - Paid Loss'!H12),"")</f>
        <v/>
      </c>
      <c r="I12" s="26">
        <f>IFERROR(IF('CL - Paid Loss'!I12="","",'CL - Sel Ults - Incurred Loss'!D12-'CL - Paid Loss'!I12),"")</f>
        <v/>
      </c>
      <c r="J12" s="26">
        <f>IFERROR(IF('CL - Paid Loss'!J12="","",'CL - Sel Ults - Incurred Loss'!D12-'CL - Paid Loss'!J12),"")</f>
        <v/>
      </c>
      <c r="K12" s="26">
        <f>IFERROR(IF('CL - Paid Loss'!K12="","",'CL - Sel Ults - Incurred Loss'!D12-'CL - Paid Loss'!K12),"")</f>
        <v/>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2026-04-17T21:44:47Z</dcterms:created>
  <dcterms:modified xsi:type="dcterms:W3CDTF">2026-04-17T21:44:48Z</dcterms:modified>
</cp:coreProperties>
</file>