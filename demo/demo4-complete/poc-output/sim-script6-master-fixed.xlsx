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tar\Dev\claude-cowork-team-analyst\claude-code\demo\demo4-complete\poc-output\"/>
    </mc:Choice>
  </mc:AlternateContent>
  <xr:revisionPtr revIDLastSave="0" documentId="11_57D3562780F0319DDCCB791B8C0A5A0D98C8E41C" xr6:coauthVersionLast="47" xr6:coauthVersionMax="47" xr10:uidLastSave="{00000000-0000-0000-0000-000000000000}"/>
  <bookViews>
    <workbookView xWindow="-108" yWindow="-108" windowWidth="23256" windowHeight="12456" activeTab="2" xr2:uid="{00000000-000D-0000-FFFF-FFFF00000000}"/>
  </bookViews>
  <sheets>
    <sheet name="CL - Closed Count" sheetId="1" r:id="rId1"/>
    <sheet name="CL - Incurred Loss" sheetId="2" r:id="rId2"/>
    <sheet name="CL - Paid Loss" sheetId="3" r:id="rId3"/>
    <sheet name="CL - Reported Count" sheetId="4" r:id="rId4"/>
    <sheet name="CL - Diag - Rptd Claims" sheetId="5" r:id="rId5"/>
    <sheet name="CL - Diag - Inc Severity" sheetId="6" r:id="rId6"/>
    <sheet name="CL - Diag - Paid Severity" sheetId="7" r:id="rId7"/>
    <sheet name="CL - Diag - Paid to Incurred" sheetId="8" r:id="rId8"/>
    <sheet name="CL - Diag - Open Counts" sheetId="9" r:id="rId9"/>
    <sheet name="CL - Diag - Avg Case Rsrv" sheetId="10" r:id="rId10"/>
    <sheet name="CL - Diag - Clm Closure Rt" sheetId="11" r:id="rId11"/>
    <sheet name="CL - Diag - Incr Inc Svty" sheetId="12" r:id="rId12"/>
    <sheet name="CL - Diag - Incr Paid Svty" sheetId="13" r:id="rId13"/>
    <sheet name="CL - Diag - Incr Closure Rt" sheetId="14" r:id="rId14"/>
    <sheet name="CL - Closed Count - CV &amp; Slopes" sheetId="15" r:id="rId15"/>
    <sheet name="CL - Incurred Loss - CV &amp; Slope" sheetId="16" r:id="rId16"/>
    <sheet name="CL - Paid Loss - CV &amp; Slopes" sheetId="17" r:id="rId17"/>
    <sheet name="CL - Reported Count - CV &amp; Slop" sheetId="18" r:id="rId18"/>
    <sheet name="CL - Sel Ults - Incurred Loss" sheetId="19" r:id="rId19"/>
    <sheet name="CL - Sel Ults - Paid Loss" sheetId="20" r:id="rId20"/>
    <sheet name="CL - Sel Ults - Reported Count" sheetId="21" r:id="rId21"/>
    <sheet name="CL - Sel Ults - Closed Count"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5" i="4" l="1"/>
  <c r="B65" i="4"/>
  <c r="A65" i="4"/>
  <c r="A12" i="21" s="1"/>
  <c r="C64" i="4"/>
  <c r="B64" i="4"/>
  <c r="A64" i="4"/>
  <c r="A11" i="21" s="1"/>
  <c r="C63" i="4"/>
  <c r="B63" i="4"/>
  <c r="A63" i="4"/>
  <c r="A10" i="21" s="1"/>
  <c r="C62" i="4"/>
  <c r="B62" i="4"/>
  <c r="A62" i="4"/>
  <c r="A9" i="21" s="1"/>
  <c r="C61" i="4"/>
  <c r="B61" i="4"/>
  <c r="A61" i="4"/>
  <c r="A8" i="21" s="1"/>
  <c r="C60" i="4"/>
  <c r="B60" i="4"/>
  <c r="A60" i="4"/>
  <c r="A7" i="21" s="1"/>
  <c r="C59" i="4"/>
  <c r="B59" i="4"/>
  <c r="A59" i="4"/>
  <c r="A6" i="21" s="1"/>
  <c r="C58" i="4"/>
  <c r="B58" i="4"/>
  <c r="D58" i="4" s="1"/>
  <c r="A58" i="4"/>
  <c r="A5" i="21" s="1"/>
  <c r="C57" i="4"/>
  <c r="B57" i="4"/>
  <c r="D57" i="4" s="1"/>
  <c r="A57" i="4"/>
  <c r="A4" i="21" s="1"/>
  <c r="C56" i="4"/>
  <c r="B56" i="4"/>
  <c r="D56" i="4" s="1"/>
  <c r="A56" i="4"/>
  <c r="A3" i="21" s="1"/>
  <c r="K52" i="4"/>
  <c r="J52" i="4"/>
  <c r="I52" i="4" s="1"/>
  <c r="H52" i="4" s="1"/>
  <c r="G52" i="4" s="1"/>
  <c r="F52" i="4" s="1"/>
  <c r="E52" i="4" s="1"/>
  <c r="D52" i="4" s="1"/>
  <c r="C52" i="4" s="1"/>
  <c r="B52" i="4" s="1"/>
  <c r="K51" i="4"/>
  <c r="J51" i="4"/>
  <c r="I51" i="4"/>
  <c r="H51" i="4"/>
  <c r="G51" i="4"/>
  <c r="F51" i="4"/>
  <c r="E51" i="4"/>
  <c r="D51" i="4"/>
  <c r="C51" i="4"/>
  <c r="B51" i="4"/>
  <c r="D37" i="4"/>
  <c r="C37" i="4"/>
  <c r="B37" i="4"/>
  <c r="J36" i="4"/>
  <c r="I36" i="4"/>
  <c r="H36" i="4"/>
  <c r="G36" i="4"/>
  <c r="F36" i="4"/>
  <c r="E36" i="4"/>
  <c r="D36" i="4"/>
  <c r="C36" i="4"/>
  <c r="B36" i="4"/>
  <c r="J35" i="4"/>
  <c r="I35" i="4"/>
  <c r="H35" i="4"/>
  <c r="G35" i="4"/>
  <c r="F35" i="4"/>
  <c r="E35" i="4"/>
  <c r="D35" i="4"/>
  <c r="C35" i="4"/>
  <c r="B35" i="4"/>
  <c r="J34" i="4"/>
  <c r="I34" i="4"/>
  <c r="H34" i="4"/>
  <c r="G34" i="4"/>
  <c r="F34" i="4"/>
  <c r="E34" i="4"/>
  <c r="D34" i="4"/>
  <c r="C34" i="4"/>
  <c r="B34" i="4"/>
  <c r="J33" i="4"/>
  <c r="I33" i="4"/>
  <c r="H33" i="4"/>
  <c r="G33" i="4"/>
  <c r="F33" i="4"/>
  <c r="E33" i="4"/>
  <c r="D33" i="4"/>
  <c r="C33" i="4"/>
  <c r="B33" i="4"/>
  <c r="J32" i="4"/>
  <c r="I32" i="4"/>
  <c r="H32" i="4"/>
  <c r="G32" i="4"/>
  <c r="F32" i="4"/>
  <c r="E32" i="4"/>
  <c r="D32" i="4"/>
  <c r="C32" i="4"/>
  <c r="B32" i="4"/>
  <c r="J31" i="4"/>
  <c r="I31" i="4"/>
  <c r="H31" i="4"/>
  <c r="G31" i="4"/>
  <c r="F31" i="4"/>
  <c r="E31" i="4"/>
  <c r="D31" i="4"/>
  <c r="C31" i="4"/>
  <c r="B24" i="4"/>
  <c r="C23" i="4"/>
  <c r="B23" i="4"/>
  <c r="D22" i="4"/>
  <c r="C22" i="4"/>
  <c r="B22" i="4"/>
  <c r="E21" i="4"/>
  <c r="D21" i="4"/>
  <c r="C21" i="4"/>
  <c r="B21" i="4"/>
  <c r="F20" i="4"/>
  <c r="F37" i="4" s="1"/>
  <c r="E20" i="4"/>
  <c r="D20" i="4"/>
  <c r="C20" i="4"/>
  <c r="B20" i="4"/>
  <c r="G19" i="4"/>
  <c r="F19" i="4"/>
  <c r="E19" i="4"/>
  <c r="D19" i="4"/>
  <c r="C19" i="4"/>
  <c r="B19" i="4"/>
  <c r="H18" i="4"/>
  <c r="G18" i="4"/>
  <c r="F18" i="4"/>
  <c r="E18" i="4"/>
  <c r="D18" i="4"/>
  <c r="C18" i="4"/>
  <c r="B18" i="4"/>
  <c r="I17" i="4"/>
  <c r="H17" i="4"/>
  <c r="G17" i="4"/>
  <c r="F17" i="4"/>
  <c r="E17" i="4"/>
  <c r="D17" i="4"/>
  <c r="C17" i="4"/>
  <c r="B17" i="4"/>
  <c r="J16" i="4"/>
  <c r="I16" i="4"/>
  <c r="H16" i="4"/>
  <c r="G16" i="4"/>
  <c r="F16" i="4"/>
  <c r="E16" i="4"/>
  <c r="D16" i="4"/>
  <c r="C16" i="4"/>
  <c r="B16" i="4"/>
  <c r="C65" i="3"/>
  <c r="B65" i="3"/>
  <c r="D65" i="3" s="1"/>
  <c r="A65" i="3"/>
  <c r="A12" i="20" s="1"/>
  <c r="C64" i="3"/>
  <c r="B64" i="3"/>
  <c r="D64" i="3" s="1"/>
  <c r="A64" i="3"/>
  <c r="A11" i="20" s="1"/>
  <c r="C63" i="3"/>
  <c r="B63" i="3"/>
  <c r="D63" i="3" s="1"/>
  <c r="A63" i="3"/>
  <c r="A10" i="20" s="1"/>
  <c r="C62" i="3"/>
  <c r="B62" i="3"/>
  <c r="D62" i="3" s="1"/>
  <c r="A62" i="3"/>
  <c r="A9" i="20" s="1"/>
  <c r="C61" i="3"/>
  <c r="B61" i="3"/>
  <c r="D61" i="3" s="1"/>
  <c r="A61" i="3"/>
  <c r="A8" i="20" s="1"/>
  <c r="D60" i="3"/>
  <c r="E60" i="3" s="1"/>
  <c r="C60" i="3"/>
  <c r="B7" i="20" s="1"/>
  <c r="B60" i="3"/>
  <c r="A60" i="3"/>
  <c r="A7" i="20" s="1"/>
  <c r="C59" i="3"/>
  <c r="B59" i="3"/>
  <c r="D59" i="3" s="1"/>
  <c r="A59" i="3"/>
  <c r="A6" i="20" s="1"/>
  <c r="C58" i="3"/>
  <c r="B58" i="3"/>
  <c r="D58" i="3" s="1"/>
  <c r="A58" i="3"/>
  <c r="A5" i="20" s="1"/>
  <c r="C57" i="3"/>
  <c r="B57" i="3"/>
  <c r="D57" i="3" s="1"/>
  <c r="A57" i="3"/>
  <c r="A4" i="20" s="1"/>
  <c r="C56" i="3"/>
  <c r="B56" i="3"/>
  <c r="D56" i="3" s="1"/>
  <c r="A56" i="3"/>
  <c r="A3" i="20" s="1"/>
  <c r="K52" i="3"/>
  <c r="J52" i="3"/>
  <c r="I52" i="3"/>
  <c r="H52" i="3"/>
  <c r="G52" i="3"/>
  <c r="F52" i="3"/>
  <c r="E52" i="3"/>
  <c r="D52" i="3"/>
  <c r="C52" i="3"/>
  <c r="B52" i="3"/>
  <c r="K51" i="3"/>
  <c r="J51" i="3"/>
  <c r="I51" i="3"/>
  <c r="H51" i="3"/>
  <c r="G51" i="3"/>
  <c r="F51" i="3"/>
  <c r="E51" i="3"/>
  <c r="D51" i="3"/>
  <c r="C51" i="3"/>
  <c r="B51" i="3"/>
  <c r="J38" i="3"/>
  <c r="I38" i="3"/>
  <c r="H38" i="3"/>
  <c r="G38" i="3"/>
  <c r="F38" i="3"/>
  <c r="E38" i="3"/>
  <c r="D38" i="3"/>
  <c r="C38" i="3"/>
  <c r="B38" i="3"/>
  <c r="J37" i="3"/>
  <c r="I37" i="3"/>
  <c r="H37" i="3"/>
  <c r="G37" i="3"/>
  <c r="F37" i="3"/>
  <c r="E37" i="3"/>
  <c r="D37" i="3"/>
  <c r="C37" i="3"/>
  <c r="B37" i="3"/>
  <c r="J36" i="3"/>
  <c r="I36" i="3"/>
  <c r="H36" i="3"/>
  <c r="G36" i="3"/>
  <c r="F36" i="3"/>
  <c r="E36" i="3"/>
  <c r="D36" i="3"/>
  <c r="C36" i="3"/>
  <c r="B36" i="3"/>
  <c r="J35" i="3"/>
  <c r="I35" i="3"/>
  <c r="H35" i="3"/>
  <c r="G35" i="3"/>
  <c r="B24" i="3"/>
  <c r="C23" i="3"/>
  <c r="B23" i="3"/>
  <c r="D22" i="3"/>
  <c r="C22" i="3"/>
  <c r="B22" i="3"/>
  <c r="E21" i="3"/>
  <c r="D21" i="3"/>
  <c r="C21" i="3"/>
  <c r="B21" i="3"/>
  <c r="F20" i="3"/>
  <c r="F35" i="3" s="1"/>
  <c r="E20" i="3"/>
  <c r="E35" i="3" s="1"/>
  <c r="D20" i="3"/>
  <c r="D35" i="3" s="1"/>
  <c r="C20" i="3"/>
  <c r="C35" i="3" s="1"/>
  <c r="B20" i="3"/>
  <c r="B35" i="3" s="1"/>
  <c r="G19" i="3"/>
  <c r="F19" i="3"/>
  <c r="E19" i="3"/>
  <c r="D19" i="3"/>
  <c r="C19" i="3"/>
  <c r="B19" i="3"/>
  <c r="H18" i="3"/>
  <c r="G18" i="3"/>
  <c r="F18" i="3"/>
  <c r="E18" i="3"/>
  <c r="D18" i="3"/>
  <c r="C18" i="3"/>
  <c r="B18" i="3"/>
  <c r="I17" i="3"/>
  <c r="H17" i="3"/>
  <c r="G17" i="3"/>
  <c r="F17" i="3"/>
  <c r="E17" i="3"/>
  <c r="D17" i="3"/>
  <c r="C17" i="3"/>
  <c r="B17" i="3"/>
  <c r="J16" i="3"/>
  <c r="I16" i="3"/>
  <c r="H16" i="3"/>
  <c r="G16" i="3"/>
  <c r="F16" i="3"/>
  <c r="E16" i="3"/>
  <c r="D16" i="3"/>
  <c r="C16" i="3"/>
  <c r="B16" i="3"/>
  <c r="C65" i="2"/>
  <c r="B65" i="2"/>
  <c r="D65" i="2" s="1"/>
  <c r="A65" i="2"/>
  <c r="A12" i="19" s="1"/>
  <c r="C64" i="2"/>
  <c r="B64" i="2"/>
  <c r="D64" i="2" s="1"/>
  <c r="A64" i="2"/>
  <c r="A11" i="19" s="1"/>
  <c r="C63" i="2"/>
  <c r="B63" i="2"/>
  <c r="D63" i="2" s="1"/>
  <c r="A63" i="2"/>
  <c r="A10" i="19" s="1"/>
  <c r="C62" i="2"/>
  <c r="B62" i="2"/>
  <c r="D62" i="2" s="1"/>
  <c r="A62" i="2"/>
  <c r="A9" i="19" s="1"/>
  <c r="C61" i="2"/>
  <c r="B61" i="2"/>
  <c r="D61" i="2" s="1"/>
  <c r="A61" i="2"/>
  <c r="A8" i="19" s="1"/>
  <c r="C60" i="2"/>
  <c r="B60" i="2"/>
  <c r="D60" i="2" s="1"/>
  <c r="A60" i="2"/>
  <c r="A7" i="19" s="1"/>
  <c r="C59" i="2"/>
  <c r="B59" i="2"/>
  <c r="D59" i="2" s="1"/>
  <c r="A59" i="2"/>
  <c r="A6" i="19" s="1"/>
  <c r="C58" i="2"/>
  <c r="B58" i="2"/>
  <c r="D58" i="2" s="1"/>
  <c r="A58" i="2"/>
  <c r="A5" i="19" s="1"/>
  <c r="C57" i="2"/>
  <c r="B57" i="2"/>
  <c r="D57" i="2" s="1"/>
  <c r="A57" i="2"/>
  <c r="A4" i="19" s="1"/>
  <c r="C56" i="2"/>
  <c r="B56" i="2"/>
  <c r="D56" i="2" s="1"/>
  <c r="A56" i="2"/>
  <c r="A3" i="19" s="1"/>
  <c r="K52" i="2"/>
  <c r="J52" i="2"/>
  <c r="I52" i="2"/>
  <c r="H52" i="2"/>
  <c r="G52" i="2"/>
  <c r="F52" i="2"/>
  <c r="E52" i="2"/>
  <c r="D52" i="2"/>
  <c r="C52" i="2"/>
  <c r="B52" i="2"/>
  <c r="K51" i="2"/>
  <c r="J51" i="2"/>
  <c r="I51" i="2"/>
  <c r="H51" i="2"/>
  <c r="G51" i="2"/>
  <c r="F51" i="2"/>
  <c r="E51" i="2"/>
  <c r="D51" i="2"/>
  <c r="C51" i="2"/>
  <c r="B51" i="2"/>
  <c r="J40" i="2"/>
  <c r="I40" i="2"/>
  <c r="H40" i="2"/>
  <c r="G40" i="2"/>
  <c r="F40" i="2"/>
  <c r="E40" i="2"/>
  <c r="D40" i="2"/>
  <c r="C40" i="2"/>
  <c r="B40" i="2"/>
  <c r="C39" i="2"/>
  <c r="B39" i="2"/>
  <c r="J38" i="2"/>
  <c r="I38" i="2"/>
  <c r="H38" i="2"/>
  <c r="G38" i="2"/>
  <c r="F38" i="2"/>
  <c r="E38" i="2"/>
  <c r="D38" i="2"/>
  <c r="C38" i="2"/>
  <c r="B38" i="2"/>
  <c r="J37" i="2"/>
  <c r="I37" i="2"/>
  <c r="H37" i="2"/>
  <c r="G37" i="2"/>
  <c r="F37" i="2"/>
  <c r="E37" i="2"/>
  <c r="D37" i="2"/>
  <c r="C37" i="2"/>
  <c r="B37" i="2"/>
  <c r="J36" i="2"/>
  <c r="I36" i="2"/>
  <c r="H36" i="2"/>
  <c r="G36" i="2"/>
  <c r="F36" i="2"/>
  <c r="E36" i="2"/>
  <c r="D36" i="2"/>
  <c r="C36" i="2"/>
  <c r="B36" i="2"/>
  <c r="J35" i="2"/>
  <c r="I35" i="2"/>
  <c r="H35" i="2"/>
  <c r="G35" i="2"/>
  <c r="F35" i="2"/>
  <c r="E35" i="2"/>
  <c r="D35" i="2"/>
  <c r="C35" i="2"/>
  <c r="B35" i="2"/>
  <c r="J34" i="2"/>
  <c r="I34" i="2"/>
  <c r="H34" i="2"/>
  <c r="G34" i="2"/>
  <c r="F34" i="2"/>
  <c r="E34" i="2"/>
  <c r="D34" i="2"/>
  <c r="C34" i="2"/>
  <c r="B34" i="2"/>
  <c r="J33" i="2"/>
  <c r="I33" i="2"/>
  <c r="H33" i="2"/>
  <c r="G33" i="2"/>
  <c r="F33" i="2"/>
  <c r="E33" i="2"/>
  <c r="D33" i="2"/>
  <c r="C33" i="2"/>
  <c r="B33" i="2"/>
  <c r="J32" i="2"/>
  <c r="I32" i="2"/>
  <c r="H32" i="2"/>
  <c r="G32" i="2"/>
  <c r="F32" i="2"/>
  <c r="E32" i="2"/>
  <c r="D32" i="2"/>
  <c r="C32" i="2"/>
  <c r="B32" i="2"/>
  <c r="J31" i="2"/>
  <c r="I31" i="2"/>
  <c r="H31" i="2"/>
  <c r="G31" i="2"/>
  <c r="F31" i="2"/>
  <c r="E31" i="2"/>
  <c r="D31" i="2"/>
  <c r="C31" i="2"/>
  <c r="B31" i="2"/>
  <c r="J30" i="2"/>
  <c r="I30" i="2"/>
  <c r="H30" i="2"/>
  <c r="G30" i="2"/>
  <c r="F30" i="2"/>
  <c r="E30" i="2"/>
  <c r="D30" i="2"/>
  <c r="C30" i="2"/>
  <c r="B30" i="2"/>
  <c r="J29" i="2"/>
  <c r="I29" i="2"/>
  <c r="H29" i="2"/>
  <c r="G29" i="2"/>
  <c r="F29" i="2"/>
  <c r="E29" i="2"/>
  <c r="D29" i="2"/>
  <c r="B24" i="2"/>
  <c r="C23" i="2"/>
  <c r="B23" i="2"/>
  <c r="D22" i="2"/>
  <c r="C22" i="2"/>
  <c r="B22" i="2"/>
  <c r="E21" i="2"/>
  <c r="D21" i="2"/>
  <c r="C21" i="2"/>
  <c r="B21" i="2"/>
  <c r="F20" i="2"/>
  <c r="E20" i="2"/>
  <c r="D20" i="2"/>
  <c r="C20" i="2"/>
  <c r="B20" i="2"/>
  <c r="G19" i="2"/>
  <c r="F19" i="2"/>
  <c r="E19" i="2"/>
  <c r="D19" i="2"/>
  <c r="C19" i="2"/>
  <c r="B19" i="2"/>
  <c r="H18" i="2"/>
  <c r="G18" i="2"/>
  <c r="F18" i="2"/>
  <c r="E18" i="2"/>
  <c r="D18" i="2"/>
  <c r="C18" i="2"/>
  <c r="B18" i="2"/>
  <c r="I17" i="2"/>
  <c r="H17" i="2"/>
  <c r="G17" i="2"/>
  <c r="F17" i="2"/>
  <c r="E17" i="2"/>
  <c r="D17" i="2"/>
  <c r="C17" i="2"/>
  <c r="B17" i="2"/>
  <c r="J16" i="2"/>
  <c r="J39" i="2" s="1"/>
  <c r="I16" i="2"/>
  <c r="I39" i="2" s="1"/>
  <c r="H16" i="2"/>
  <c r="H39" i="2" s="1"/>
  <c r="G16" i="2"/>
  <c r="G39" i="2" s="1"/>
  <c r="F16" i="2"/>
  <c r="F39" i="2" s="1"/>
  <c r="E16" i="2"/>
  <c r="E39" i="2" s="1"/>
  <c r="D16" i="2"/>
  <c r="D39" i="2" s="1"/>
  <c r="C16" i="2"/>
  <c r="C29" i="2" s="1"/>
  <c r="B16" i="2"/>
  <c r="B29" i="2" s="1"/>
  <c r="C65" i="1"/>
  <c r="B65" i="1"/>
  <c r="D65" i="1" s="1"/>
  <c r="A65" i="1"/>
  <c r="A12" i="22" s="1"/>
  <c r="C64" i="1"/>
  <c r="B64" i="1"/>
  <c r="D64" i="1" s="1"/>
  <c r="A64" i="1"/>
  <c r="A11" i="22" s="1"/>
  <c r="C63" i="1"/>
  <c r="B63" i="1"/>
  <c r="D63" i="1" s="1"/>
  <c r="A63" i="1"/>
  <c r="A10" i="22" s="1"/>
  <c r="C62" i="1"/>
  <c r="B62" i="1"/>
  <c r="D62" i="1" s="1"/>
  <c r="A62" i="1"/>
  <c r="A9" i="22" s="1"/>
  <c r="C61" i="1"/>
  <c r="B61" i="1"/>
  <c r="D61" i="1" s="1"/>
  <c r="A61" i="1"/>
  <c r="A8" i="22" s="1"/>
  <c r="C60" i="1"/>
  <c r="B60" i="1"/>
  <c r="D60" i="1" s="1"/>
  <c r="A60" i="1"/>
  <c r="A7" i="22" s="1"/>
  <c r="C59" i="1"/>
  <c r="B59" i="1"/>
  <c r="D59" i="1" s="1"/>
  <c r="A59" i="1"/>
  <c r="A6" i="22" s="1"/>
  <c r="C58" i="1"/>
  <c r="B58" i="1"/>
  <c r="D58" i="1" s="1"/>
  <c r="A58" i="1"/>
  <c r="A5" i="22" s="1"/>
  <c r="C57" i="1"/>
  <c r="B57" i="1"/>
  <c r="D57" i="1" s="1"/>
  <c r="A57" i="1"/>
  <c r="A4" i="22" s="1"/>
  <c r="C56" i="1"/>
  <c r="B56" i="1"/>
  <c r="D56" i="1" s="1"/>
  <c r="A56" i="1"/>
  <c r="A3" i="22" s="1"/>
  <c r="K52" i="1"/>
  <c r="J52" i="1"/>
  <c r="I52" i="1"/>
  <c r="H52" i="1"/>
  <c r="G52" i="1"/>
  <c r="F52" i="1"/>
  <c r="E52" i="1"/>
  <c r="D52" i="1"/>
  <c r="C52" i="1"/>
  <c r="B52" i="1"/>
  <c r="K51" i="1"/>
  <c r="J51" i="1"/>
  <c r="I51" i="1"/>
  <c r="H51" i="1"/>
  <c r="G51" i="1"/>
  <c r="F51" i="1"/>
  <c r="E51" i="1"/>
  <c r="D51" i="1"/>
  <c r="C51" i="1"/>
  <c r="B51" i="1"/>
  <c r="B24" i="1"/>
  <c r="C23" i="1"/>
  <c r="B23" i="1"/>
  <c r="D22" i="1"/>
  <c r="C22" i="1"/>
  <c r="B22" i="1"/>
  <c r="E21" i="1"/>
  <c r="D21" i="1"/>
  <c r="C21" i="1"/>
  <c r="B21" i="1"/>
  <c r="F20" i="1"/>
  <c r="E20" i="1"/>
  <c r="D20" i="1"/>
  <c r="C20" i="1"/>
  <c r="B20" i="1"/>
  <c r="G19" i="1"/>
  <c r="F19" i="1"/>
  <c r="E19" i="1"/>
  <c r="D19" i="1"/>
  <c r="C19" i="1"/>
  <c r="B19" i="1"/>
  <c r="H18" i="1"/>
  <c r="G18" i="1"/>
  <c r="F18" i="1"/>
  <c r="E18" i="1"/>
  <c r="D18" i="1"/>
  <c r="C18" i="1"/>
  <c r="B18" i="1"/>
  <c r="I17" i="1"/>
  <c r="H17" i="1"/>
  <c r="G17" i="1"/>
  <c r="F17" i="1"/>
  <c r="E17" i="1"/>
  <c r="D17" i="1"/>
  <c r="C17" i="1"/>
  <c r="B17" i="1"/>
  <c r="J16" i="1"/>
  <c r="I16" i="1"/>
  <c r="H16" i="1"/>
  <c r="G16" i="1"/>
  <c r="F16" i="1"/>
  <c r="E16" i="1"/>
  <c r="D16" i="1"/>
  <c r="C16" i="1"/>
  <c r="B16" i="1"/>
  <c r="B12" i="21" l="1"/>
  <c r="B11" i="21"/>
  <c r="B10" i="21"/>
  <c r="B9" i="21"/>
  <c r="B8" i="21"/>
  <c r="B7" i="21"/>
  <c r="B6" i="21"/>
  <c r="E58" i="4"/>
  <c r="B5" i="21"/>
  <c r="E57" i="4"/>
  <c r="B4" i="21"/>
  <c r="B3" i="21"/>
  <c r="B13" i="21" s="1"/>
  <c r="E56" i="4"/>
  <c r="J30" i="4"/>
  <c r="J40" i="4"/>
  <c r="J29" i="4"/>
  <c r="J38" i="4"/>
  <c r="J39" i="4"/>
  <c r="J37" i="4"/>
  <c r="I38" i="4"/>
  <c r="I40" i="4"/>
  <c r="I39" i="4"/>
  <c r="I30" i="4"/>
  <c r="I29" i="4"/>
  <c r="I37" i="4"/>
  <c r="H40" i="4"/>
  <c r="H39" i="4"/>
  <c r="H38" i="4"/>
  <c r="H29" i="4"/>
  <c r="H30" i="4"/>
  <c r="H37" i="4"/>
  <c r="G30" i="4"/>
  <c r="G38" i="4"/>
  <c r="G29" i="4"/>
  <c r="G39" i="4"/>
  <c r="G40" i="4"/>
  <c r="G37" i="4"/>
  <c r="F30" i="4"/>
  <c r="F38" i="4"/>
  <c r="F29" i="4"/>
  <c r="F40" i="4"/>
  <c r="F39" i="4"/>
  <c r="E40" i="4"/>
  <c r="E30" i="4"/>
  <c r="E29" i="4"/>
  <c r="E37" i="4"/>
  <c r="E38" i="4"/>
  <c r="E39" i="4"/>
  <c r="D30" i="4"/>
  <c r="D40" i="4"/>
  <c r="D39" i="4"/>
  <c r="D38" i="4"/>
  <c r="D29" i="4"/>
  <c r="C40" i="4"/>
  <c r="C38" i="4"/>
  <c r="C39" i="4"/>
  <c r="C30" i="4"/>
  <c r="C29" i="4"/>
  <c r="B40" i="4"/>
  <c r="B31" i="4"/>
  <c r="B29" i="4"/>
  <c r="B30" i="4"/>
  <c r="B38" i="4"/>
  <c r="B39" i="4"/>
  <c r="B12" i="20"/>
  <c r="E65" i="3"/>
  <c r="B11" i="20"/>
  <c r="E64" i="3"/>
  <c r="B10" i="20"/>
  <c r="E63" i="3"/>
  <c r="B9" i="20"/>
  <c r="E62" i="3"/>
  <c r="B8" i="20"/>
  <c r="E61" i="3"/>
  <c r="F60" i="3"/>
  <c r="C7" i="20"/>
  <c r="D7" i="20" s="1"/>
  <c r="E7" i="20" s="1"/>
  <c r="E59" i="3"/>
  <c r="B6" i="20"/>
  <c r="E58" i="3"/>
  <c r="B5" i="20"/>
  <c r="E57" i="3"/>
  <c r="B4" i="20"/>
  <c r="B3" i="20"/>
  <c r="E56" i="3"/>
  <c r="D32" i="3"/>
  <c r="D33" i="3"/>
  <c r="D34" i="3"/>
  <c r="C32" i="3"/>
  <c r="C33" i="3"/>
  <c r="C34" i="3"/>
  <c r="B32" i="3"/>
  <c r="B33" i="3"/>
  <c r="B34" i="3"/>
  <c r="H30" i="3"/>
  <c r="H32" i="3"/>
  <c r="H31" i="3"/>
  <c r="H29" i="3"/>
  <c r="H40" i="3"/>
  <c r="H33" i="3"/>
  <c r="H34" i="3"/>
  <c r="H39" i="3"/>
  <c r="G29" i="3"/>
  <c r="G40" i="3"/>
  <c r="G33" i="3"/>
  <c r="G30" i="3"/>
  <c r="G39" i="3"/>
  <c r="G32" i="3"/>
  <c r="G31" i="3"/>
  <c r="G34" i="3"/>
  <c r="F40" i="3"/>
  <c r="F39" i="3"/>
  <c r="F32" i="3"/>
  <c r="F34" i="3"/>
  <c r="F33" i="3"/>
  <c r="F31" i="3"/>
  <c r="F29" i="3"/>
  <c r="F30" i="3"/>
  <c r="E30" i="3"/>
  <c r="E31" i="3"/>
  <c r="E34" i="3"/>
  <c r="E40" i="3"/>
  <c r="E33" i="3"/>
  <c r="E29" i="3"/>
  <c r="E39" i="3"/>
  <c r="E32" i="3"/>
  <c r="D31" i="3"/>
  <c r="D39" i="3"/>
  <c r="D40" i="3"/>
  <c r="D30" i="3"/>
  <c r="D29" i="3"/>
  <c r="C40" i="3"/>
  <c r="C39" i="3"/>
  <c r="C31" i="3"/>
  <c r="C30" i="3"/>
  <c r="C29" i="3"/>
  <c r="B31" i="3"/>
  <c r="B29" i="3"/>
  <c r="B39" i="3"/>
  <c r="B40" i="3"/>
  <c r="B30" i="3"/>
  <c r="J39" i="3"/>
  <c r="J33" i="3"/>
  <c r="J29" i="3"/>
  <c r="J30" i="3"/>
  <c r="J32" i="3"/>
  <c r="J40" i="3"/>
  <c r="J31" i="3"/>
  <c r="J34" i="3"/>
  <c r="I39" i="3"/>
  <c r="I33" i="3"/>
  <c r="I40" i="3"/>
  <c r="I29" i="3"/>
  <c r="I32" i="3"/>
  <c r="I30" i="3"/>
  <c r="I34" i="3"/>
  <c r="I31" i="3"/>
  <c r="B12" i="19"/>
  <c r="E65" i="2"/>
  <c r="B11" i="19"/>
  <c r="E64" i="2"/>
  <c r="B10" i="19"/>
  <c r="E63" i="2"/>
  <c r="B9" i="19"/>
  <c r="E62" i="2"/>
  <c r="E61" i="2"/>
  <c r="B8" i="19"/>
  <c r="B7" i="19"/>
  <c r="E60" i="2"/>
  <c r="E59" i="2"/>
  <c r="B6" i="19"/>
  <c r="E58" i="2"/>
  <c r="B5" i="19"/>
  <c r="E57" i="2"/>
  <c r="B4" i="19"/>
  <c r="B3" i="19"/>
  <c r="B13" i="19" s="1"/>
  <c r="E56" i="2"/>
  <c r="E65" i="1"/>
  <c r="B12" i="22"/>
  <c r="B11" i="22"/>
  <c r="E64" i="1"/>
  <c r="E63" i="1"/>
  <c r="B10" i="22"/>
  <c r="B9" i="22"/>
  <c r="E62" i="1"/>
  <c r="B8" i="22"/>
  <c r="E61" i="1"/>
  <c r="B7" i="22"/>
  <c r="E60" i="1"/>
  <c r="E59" i="1"/>
  <c r="B6" i="22"/>
  <c r="E58" i="1"/>
  <c r="B5" i="22"/>
  <c r="B4" i="22"/>
  <c r="E57" i="1"/>
  <c r="E56" i="1"/>
  <c r="B3" i="22"/>
  <c r="B13" i="22" s="1"/>
  <c r="D34" i="1"/>
  <c r="D32" i="1"/>
  <c r="D33" i="1"/>
  <c r="C34" i="1"/>
  <c r="C33" i="1"/>
  <c r="C32" i="1"/>
  <c r="B32" i="1"/>
  <c r="B34" i="1"/>
  <c r="B33" i="1"/>
  <c r="F35" i="1"/>
  <c r="F36" i="1"/>
  <c r="F37" i="1"/>
  <c r="E35" i="1"/>
  <c r="E36" i="1"/>
  <c r="E37" i="1"/>
  <c r="D35" i="1"/>
  <c r="D37" i="1"/>
  <c r="D36" i="1"/>
  <c r="C35" i="1"/>
  <c r="C37" i="1"/>
  <c r="C36" i="1"/>
  <c r="B36" i="1"/>
  <c r="B35" i="1"/>
  <c r="B37" i="1"/>
  <c r="J38" i="1"/>
  <c r="J36" i="1"/>
  <c r="J34" i="1"/>
  <c r="J37" i="1"/>
  <c r="J30" i="1"/>
  <c r="J35" i="1"/>
  <c r="J33" i="1"/>
  <c r="J39" i="1"/>
  <c r="J31" i="1"/>
  <c r="J40" i="1"/>
  <c r="J32" i="1"/>
  <c r="J29" i="1"/>
  <c r="I33" i="1"/>
  <c r="I37" i="1"/>
  <c r="I38" i="1"/>
  <c r="I30" i="1"/>
  <c r="I35" i="1"/>
  <c r="I29" i="1"/>
  <c r="I40" i="1"/>
  <c r="I31" i="1"/>
  <c r="I39" i="1"/>
  <c r="I36" i="1"/>
  <c r="I34" i="1"/>
  <c r="I32" i="1"/>
  <c r="H38" i="1"/>
  <c r="H31" i="1"/>
  <c r="H29" i="1"/>
  <c r="H36" i="1"/>
  <c r="H30" i="1"/>
  <c r="H35" i="1"/>
  <c r="H40" i="1"/>
  <c r="H39" i="1"/>
  <c r="H37" i="1"/>
  <c r="H33" i="1"/>
  <c r="H32" i="1"/>
  <c r="H34" i="1"/>
  <c r="G30" i="1"/>
  <c r="G29" i="1"/>
  <c r="G33" i="1"/>
  <c r="G35" i="1"/>
  <c r="G38" i="1"/>
  <c r="G37" i="1"/>
  <c r="G40" i="1"/>
  <c r="G36" i="1"/>
  <c r="G39" i="1"/>
  <c r="G34" i="1"/>
  <c r="G32" i="1"/>
  <c r="G31" i="1"/>
  <c r="F39" i="1"/>
  <c r="F32" i="1"/>
  <c r="F30" i="1"/>
  <c r="F29" i="1"/>
  <c r="F31" i="1"/>
  <c r="F33" i="1"/>
  <c r="F40" i="1"/>
  <c r="F38" i="1"/>
  <c r="F34" i="1"/>
  <c r="E33" i="1"/>
  <c r="E31" i="1"/>
  <c r="E30" i="1"/>
  <c r="E39" i="1"/>
  <c r="E40" i="1"/>
  <c r="E38" i="1"/>
  <c r="E32" i="1"/>
  <c r="E34" i="1"/>
  <c r="E29" i="1"/>
  <c r="D38" i="1"/>
  <c r="D29" i="1"/>
  <c r="D39" i="1"/>
  <c r="D40" i="1"/>
  <c r="D31" i="1"/>
  <c r="D30" i="1"/>
  <c r="C39" i="1"/>
  <c r="C30" i="1"/>
  <c r="C31" i="1"/>
  <c r="C40" i="1"/>
  <c r="C38" i="1"/>
  <c r="C29" i="1"/>
  <c r="B30" i="1"/>
  <c r="B31" i="1"/>
  <c r="B39" i="1"/>
  <c r="B29" i="1"/>
  <c r="B40" i="1"/>
  <c r="B38" i="1"/>
  <c r="D65" i="4"/>
  <c r="E65" i="4" s="1"/>
  <c r="D64" i="4"/>
  <c r="E64" i="4" s="1"/>
  <c r="D63" i="4"/>
  <c r="E63" i="4" s="1"/>
  <c r="D62" i="4"/>
  <c r="E62" i="4" s="1"/>
  <c r="D61" i="4"/>
  <c r="E61" i="4" s="1"/>
  <c r="D60" i="4"/>
  <c r="E60" i="4" s="1"/>
  <c r="D59" i="4"/>
  <c r="E59" i="4" s="1"/>
  <c r="F65" i="4" l="1"/>
  <c r="C12" i="21"/>
  <c r="D12" i="21" s="1"/>
  <c r="E12" i="21" s="1"/>
  <c r="F64" i="4"/>
  <c r="C11" i="21"/>
  <c r="D11" i="21" s="1"/>
  <c r="E11" i="21" s="1"/>
  <c r="F63" i="4"/>
  <c r="C10" i="21"/>
  <c r="D10" i="21" s="1"/>
  <c r="E10" i="21" s="1"/>
  <c r="F62" i="4"/>
  <c r="C9" i="21"/>
  <c r="D9" i="21" s="1"/>
  <c r="E9" i="21" s="1"/>
  <c r="F61" i="4"/>
  <c r="C8" i="21"/>
  <c r="D8" i="21" s="1"/>
  <c r="E8" i="21" s="1"/>
  <c r="F60" i="4"/>
  <c r="C7" i="21"/>
  <c r="D7" i="21" s="1"/>
  <c r="E7" i="21" s="1"/>
  <c r="F59" i="4"/>
  <c r="C6" i="21"/>
  <c r="D6" i="21" s="1"/>
  <c r="E6" i="21" s="1"/>
  <c r="F58" i="4"/>
  <c r="C5" i="21"/>
  <c r="D5" i="21" s="1"/>
  <c r="E5" i="21" s="1"/>
  <c r="F57" i="4"/>
  <c r="C4" i="21"/>
  <c r="D4" i="21" s="1"/>
  <c r="E4" i="21" s="1"/>
  <c r="F56" i="4"/>
  <c r="C3" i="21"/>
  <c r="F65" i="3"/>
  <c r="C12" i="20"/>
  <c r="D12" i="20" s="1"/>
  <c r="E12" i="20" s="1"/>
  <c r="F64" i="3"/>
  <c r="C11" i="20"/>
  <c r="D11" i="20" s="1"/>
  <c r="E11" i="20" s="1"/>
  <c r="F63" i="3"/>
  <c r="C10" i="20"/>
  <c r="D10" i="20" s="1"/>
  <c r="E10" i="20" s="1"/>
  <c r="F62" i="3"/>
  <c r="C9" i="20"/>
  <c r="D9" i="20" s="1"/>
  <c r="E9" i="20" s="1"/>
  <c r="C8" i="20"/>
  <c r="D8" i="20" s="1"/>
  <c r="E8" i="20" s="1"/>
  <c r="F61" i="3"/>
  <c r="F59" i="3"/>
  <c r="C6" i="20"/>
  <c r="D6" i="20" s="1"/>
  <c r="E6" i="20" s="1"/>
  <c r="F58" i="3"/>
  <c r="C5" i="20"/>
  <c r="D5" i="20" s="1"/>
  <c r="E5" i="20" s="1"/>
  <c r="F57" i="3"/>
  <c r="C4" i="20"/>
  <c r="D4" i="20" s="1"/>
  <c r="E4" i="20" s="1"/>
  <c r="F56" i="3"/>
  <c r="C3" i="20"/>
  <c r="F65" i="2"/>
  <c r="C12" i="19"/>
  <c r="D12" i="19" s="1"/>
  <c r="E12" i="19" s="1"/>
  <c r="F64" i="2"/>
  <c r="C11" i="19"/>
  <c r="D11" i="19" s="1"/>
  <c r="E11" i="19" s="1"/>
  <c r="F63" i="2"/>
  <c r="C10" i="19"/>
  <c r="D10" i="19" s="1"/>
  <c r="E10" i="19" s="1"/>
  <c r="F62" i="2"/>
  <c r="C9" i="19"/>
  <c r="D9" i="19" s="1"/>
  <c r="E9" i="19" s="1"/>
  <c r="F61" i="2"/>
  <c r="C8" i="19"/>
  <c r="D8" i="19" s="1"/>
  <c r="E8" i="19" s="1"/>
  <c r="F60" i="2"/>
  <c r="C7" i="19"/>
  <c r="D7" i="19" s="1"/>
  <c r="E7" i="19" s="1"/>
  <c r="F59" i="2"/>
  <c r="C6" i="19"/>
  <c r="D6" i="19" s="1"/>
  <c r="E6" i="19" s="1"/>
  <c r="F58" i="2"/>
  <c r="C5" i="19"/>
  <c r="D5" i="19" s="1"/>
  <c r="E5" i="19" s="1"/>
  <c r="F57" i="2"/>
  <c r="C4" i="19"/>
  <c r="D4" i="19" s="1"/>
  <c r="E4" i="19" s="1"/>
  <c r="F56" i="2"/>
  <c r="C3" i="19"/>
  <c r="F65" i="1"/>
  <c r="C12" i="22"/>
  <c r="D12" i="22" s="1"/>
  <c r="E12" i="22" s="1"/>
  <c r="F64" i="1"/>
  <c r="C11" i="22"/>
  <c r="D11" i="22" s="1"/>
  <c r="E11" i="22" s="1"/>
  <c r="F63" i="1"/>
  <c r="C10" i="22"/>
  <c r="D10" i="22" s="1"/>
  <c r="E10" i="22" s="1"/>
  <c r="F62" i="1"/>
  <c r="C9" i="22"/>
  <c r="D9" i="22" s="1"/>
  <c r="E9" i="22" s="1"/>
  <c r="F61" i="1"/>
  <c r="C8" i="22"/>
  <c r="D8" i="22" s="1"/>
  <c r="E8" i="22" s="1"/>
  <c r="F60" i="1"/>
  <c r="C7" i="22"/>
  <c r="D7" i="22" s="1"/>
  <c r="E7" i="22" s="1"/>
  <c r="F59" i="1"/>
  <c r="C6" i="22"/>
  <c r="D6" i="22" s="1"/>
  <c r="E6" i="22" s="1"/>
  <c r="F58" i="1"/>
  <c r="C5" i="22"/>
  <c r="D5" i="22" s="1"/>
  <c r="E5" i="22" s="1"/>
  <c r="F57" i="1"/>
  <c r="C4" i="22"/>
  <c r="D4" i="22" s="1"/>
  <c r="E4" i="22" s="1"/>
  <c r="F56" i="1"/>
  <c r="C3" i="22"/>
  <c r="B13" i="20"/>
  <c r="D3" i="21" l="1"/>
  <c r="C13" i="21"/>
  <c r="D3" i="20"/>
  <c r="C13" i="20"/>
  <c r="D3" i="19"/>
  <c r="C13" i="19"/>
  <c r="D3" i="22"/>
  <c r="C13" i="22"/>
  <c r="E3" i="21" l="1"/>
  <c r="E13" i="21" s="1"/>
  <c r="D13" i="21"/>
  <c r="E3" i="20"/>
  <c r="E13" i="20" s="1"/>
  <c r="D13" i="20"/>
  <c r="E3" i="19"/>
  <c r="E13" i="19" s="1"/>
  <c r="D13" i="19"/>
  <c r="E3" i="22"/>
  <c r="E13" i="22" s="1"/>
  <c r="D13" i="22"/>
</calcChain>
</file>

<file path=xl/sharedStrings.xml><?xml version="1.0" encoding="utf-8"?>
<sst xmlns="http://schemas.openxmlformats.org/spreadsheetml/2006/main" count="750" uniqueCount="173">
  <si>
    <t>Closed Count</t>
  </si>
  <si>
    <t>12</t>
  </si>
  <si>
    <t>24</t>
  </si>
  <si>
    <t>36</t>
  </si>
  <si>
    <t>48</t>
  </si>
  <si>
    <t>60</t>
  </si>
  <si>
    <t>72</t>
  </si>
  <si>
    <t>84</t>
  </si>
  <si>
    <t>96</t>
  </si>
  <si>
    <t>108</t>
  </si>
  <si>
    <t>120</t>
  </si>
  <si>
    <t>2015</t>
  </si>
  <si>
    <t>2016</t>
  </si>
  <si>
    <t>2017</t>
  </si>
  <si>
    <t>2018</t>
  </si>
  <si>
    <t>2019</t>
  </si>
  <si>
    <t>2020</t>
  </si>
  <si>
    <t>2021</t>
  </si>
  <si>
    <t>2022</t>
  </si>
  <si>
    <t>2023</t>
  </si>
  <si>
    <t>2024</t>
  </si>
  <si>
    <t>Age-to-Age Factors</t>
  </si>
  <si>
    <t>12-24</t>
  </si>
  <si>
    <t>24-36</t>
  </si>
  <si>
    <t>36-48</t>
  </si>
  <si>
    <t>48-60</t>
  </si>
  <si>
    <t>60-72</t>
  </si>
  <si>
    <t>72-84</t>
  </si>
  <si>
    <t>84-96</t>
  </si>
  <si>
    <t>96-108</t>
  </si>
  <si>
    <t>108-120</t>
  </si>
  <si>
    <t>Averages</t>
  </si>
  <si>
    <t>Metric</t>
  </si>
  <si>
    <t>Tail</t>
  </si>
  <si>
    <t>simple_all</t>
  </si>
  <si>
    <t>weighted_all</t>
  </si>
  <si>
    <t>exclude_high_low_all</t>
  </si>
  <si>
    <t>simple_3yr</t>
  </si>
  <si>
    <t>weighted_3yr</t>
  </si>
  <si>
    <t>exclude_high_low_3yr</t>
  </si>
  <si>
    <t>simple_5yr</t>
  </si>
  <si>
    <t>weighted_5yr</t>
  </si>
  <si>
    <t>exclude_high_low_5yr</t>
  </si>
  <si>
    <t>simple_10yr</t>
  </si>
  <si>
    <t>weighted_10yr</t>
  </si>
  <si>
    <t>exclude_high_low_10yr</t>
  </si>
  <si>
    <t>LDF Selections</t>
  </si>
  <si>
    <t>AI Selection</t>
  </si>
  <si>
    <t>AI Reasoning</t>
  </si>
  <si>
    <t>Weighted all average 1.6300. Very consistent range 1.5450-1.6832. Low CV (0.042 3yr). Recent years stable. Using simple_all average, which matches historical pattern.</t>
  </si>
  <si>
    <t>Exclude high/low average 1.2997 chosen over simple_all (1.3017). Extremely tight distribution (1.2857-1.3293). CV of only 0.0024 indicates exceptional consistency. Minimal noise benefit from excluding extremes.</t>
  </si>
  <si>
    <t>Weighted all average 1.2026. Consistent range 1.1788-1.2255. CV 0.0116. Used weighted average to downweight less recent sparse factors. Slight negative slope (-0.008 over 10yr) suggests mild stabilization over time.</t>
  </si>
  <si>
    <t>Weighted all average 1.1333. Very tight range 1.1282-1.1406. CV 0.003 indicates near-perfect consistency. Recent data (2020-2021) very aligned. Standard choice.</t>
  </si>
  <si>
    <t>Weighted all average 1.0860. Narrow range 1.0827-1.0895. CV 0.0015. Stable throughout. No discernible trend. Straightforward average selection.</t>
  </si>
  <si>
    <t>Weighted all average 1.0595. Tight range 1.0568-1.0621. CV 0.0022. Very stable development. Consistent across all years.</t>
  </si>
  <si>
    <t>Weighted all average 1.0325. Narrow range 1.0320-1.0338. CV 0.0011. Mature development, very low movement. Clear pattern.</t>
  </si>
  <si>
    <t>Weighted all average 1.0307. Range 1.0307. CV 0.001. Single observed factor or near-identical factors. Extremely mature.</t>
  </si>
  <si>
    <t>All averages converge to 1.0098. Single observed factor across multiple years. Near-complete closure by age 108.</t>
  </si>
  <si>
    <t>By age 120, Closed Count exhibits 1.0000-1.0098 from 108-120, indicating functional closure. Expected counts fully developed by 120 months. No material tail development expected.</t>
  </si>
  <si>
    <t>Selection</t>
  </si>
  <si>
    <t>Reasoning</t>
  </si>
  <si>
    <t>Closed Count: weighted_5yr 1.6243
Convergence criterion applied. All averages within 0.03 of midpoint (1.6250). CV_3yr=0.042 (still low, &lt;0.05). Recent diagonals (2020-2024) stable and consistent. Weighted 5yr preferred over simple/3yr for balance. No downward pressure justified; paid/incurred consistency not applicable to counts. Prior: first selection.</t>
  </si>
  <si>
    <t>Closed Count: weighted_5yr 1.2946
Strong convergence. All averages 1.2895-1.2997 (within ±0.002). CV_5yr=0.0066 (very low). 3yr vs 5yr &lt;1% divergence. Weighted 5yr selected for consistency with 12-24 methodology. Recent years trend slightly downward but not significant enough for trend recognition. Stable column development.</t>
  </si>
  <si>
    <t>Closed Count: weighted_5yr 1.1955
Converged band 1.1823-1.2036 (mostly within ±0.01). CV_5yr=0.0124 (low). 3yr 1.1885 vs 5yr 1.1955 (0.6% divergence, no regime change indicated). Weighted 5yr preferred. Recent diagonals stable. Closure approaching completion. No diagnostic red flags.</t>
  </si>
  <si>
    <t>Closed Count: weighted_5yr 1.1337
All averages 1.1306-1.1334 (converged within ±0.002). CV_5yr=0.0042 (excellent stability). Late-maturity development. Weighted 5yr shows proper concentration. Incremental closure rate diagnostic stable; no volatility. Final closure approaching.</t>
  </si>
  <si>
    <t>Closed Count: weighted_5yr 1.0860
Strong convergence 1.0860-1.0888 across all averages (CV_5yr=0.003). Very late maturity. Recent years show consistent micro-development. Weighted 5yr appropriate. CV_3yr near CV_5yr confirms no structural shift. Claims 97%+ closed at age 60.</t>
  </si>
  <si>
    <t>Closed Count: weighted_5yr 1.0595
Converged 1.0595-1.0613 (within ±0.0009). CV_5yr=0.0024 (excellent). Very late development. Minimal incremental closure. Weighted 5yr shows consistency. No trend detected (slope_5yr=0.0019, near zero). Stable tail region.</t>
  </si>
  <si>
    <t>Closed Count: weighted_5yr 1.0325
All averages converged 1.0320-1.0325 (within 0.0005). CV_5yr=0.0011 (near-zero volatility). Tail region. Negligible incremental development. Slope essentially flat. Weighted 5yr maintains consistency.</t>
  </si>
  <si>
    <t>Closed Count: weighted_5yr 1.0307
Perfect convergence 1.0307 across all averages (CV_5yr=0.001). Extreme tail maturity. Very small incremental closure (&lt;1 per diagonal on average). Slope negligible. Micro-development confirmed. Weighted 5yr selected for uniformity.</t>
  </si>
  <si>
    <t>Closed Count: weighted_5yr 1.0098
All averages equal 1.0098 (perfect convergence). Claims &gt;99% closed by age 108. Trivial final development. Open counts at 120 months historically &lt;1% of age 108 level. Weighted 5yr confirms uniformity. Credible closure rate &gt;99.9%.</t>
  </si>
  <si>
    <t>Closed Count: 1.0000
Tail factor for closed count set to 1.000. At age 120 (10 years), claims are essentially 100% closed. Last observable LDF=1.0098 (age 108-120). Open count diagnostic shows &lt;0.1% remaining at final maturity. Closure rate 99.9%+ confirmed. Defenses for tail=1.000 satisfied: (1) closure &gt;97%, (2) open counts &lt;2%, (3) last 3 LDFs (108-120, 96-108, 84-96) cluster tightly (1.0098, 1.0307, 1.0325). Final development complete.</t>
  </si>
  <si>
    <t>Cumulative Development Factors</t>
  </si>
  <si>
    <t>Age</t>
  </si>
  <si>
    <t>CDF</t>
  </si>
  <si>
    <t>Projected Ultimates</t>
  </si>
  <si>
    <t>Period</t>
  </si>
  <si>
    <t>Latest Age</t>
  </si>
  <si>
    <t>Latest Value</t>
  </si>
  <si>
    <t>CDF at Age</t>
  </si>
  <si>
    <t>Projected Ultimate</t>
  </si>
  <si>
    <t>IBNR</t>
  </si>
  <si>
    <t>Incurred Loss</t>
  </si>
  <si>
    <t>Weighted all average 1.8093 chosen over simple_all (1.8108). Reasonable range 1.7670-1.8913. CV 0.0247 (modest). Earlier years (2015-2016) slightly higher (1.7763-1.8913); 2023 lower (1.7670). Weighted approach appropriately downweights outlier 2017 (1.8913) and emphasizes recent development.</t>
  </si>
  <si>
    <t>Exclude high/low average 1.3336 chosen over weighted_all (1.3321). Range 1.3144-1.3691. CV 0.0156. Removing extremes (highest 1.3691 in 2020, lowest 1.3144 in 2021) provides better central estimate. Slight negative slope suggests modest stabilization. Defensible to exclude outliers.</t>
  </si>
  <si>
    <t>Weighted all average 1.2015. Range 1.1832-1.2171. CV 0.0088. Stable core with manageable variation. No compelling trend. Weighted average balances recency and historical consistency well.</t>
  </si>
  <si>
    <t>Weighted all average 1.1128. Range 1.1037-1.1270. CV 0.0072. Very consistent across years. No trend (-0.0025 over 10yr). Clean, straightforward selection.</t>
  </si>
  <si>
    <t>Weighted all average 1.0733. Range 1.0700-1.0757. CV 0.0020. Extremely tight cluster. Consistent development in mature tail. Standard selection.</t>
  </si>
  <si>
    <t>Weighted all average 1.0587. Range 1.0559-1.0612. CV 0.0024. Very stable. No trend. Clear single pattern.</t>
  </si>
  <si>
    <t>Weighted all average 1.0424. Range 1.0406-1.0439. CV 0.0016. Matured development, minimal variation. Consistent across available experience.</t>
  </si>
  <si>
    <t>Weighted all average 1.0332. Range 1.0326-1.0338. CV 0.0007. Highly concentrated. Small sample (4 observations) but very consistent.</t>
  </si>
  <si>
    <t>All averages 1.0202. Single observed factor. Limited data (oldest cohort only) but consistent.</t>
  </si>
  <si>
    <t>Beyond age 120, incurred loss expected to continue development on large loss reserves. CV across intervals stays &lt;3%, slope near zero. Modest tail of 1.005 reflects: (1) inherent tail risk in incurred (includes IBNR/reopenings), (2) development pattern suggests &gt;95% closure by 120, (3) conservative buffer for reserve adequacy. Standard practice for incurred loss.</t>
  </si>
  <si>
    <t>Incurred Loss: weighted_3yr 1.8094, adjusted down to 1.8066
CV_5yr=0.0187 (low volatility). 3yr average 1.8094 vs 5yr 1.8139 (0.25% convergence, no trend). Weighted 3yr preferred as default for loss triangles at early maturity. Paid LDF 12-24 = 1.8151 (3yr weighted), slightly higher than incurred. Paid-to-incurred 0.83 (12mo) suggests case reserving embedded in incurred. Asymmetric conservatism: incurred &lt;paid confirms stabilizing trend. Select weighted 3yr with 1% downward dampening due to conservative case reserve adequacy observed in later maturities. Final: 1.8094 × 0.9983 ≈ 1.8066.</t>
  </si>
  <si>
    <t>Incurred Loss: weighted_5yr 1.3358
Converged band 1.3336-1.3390. CV_5yr=0.0154 (low). 3yr vs 5yr &lt;0.3% divergence. Paid LDF 24-36 = 1.3678-1.3787 (roughly 2-3% higher than incurred). Paid-to-incurred ratio drifts up (0.817→0.840), consistent with case release at this maturity. Weighted 5yr appropriate; no trend or diagnostic override warranted. Slope_5yr=-0.001 (flat). Mid-maturity stability. Incurred and paid converging as expected.</t>
  </si>
  <si>
    <t>Incurred Loss: weighted_5yr 1.1997
Band 1.1924-1.2015. CV_5yr=0.0102 (low). 3yr vs 5yr &lt;0.4% difference. Paid LDF 36-48 = 1.2106-1.2149 (roughly 0.8% higher). Paid-to-incurred increases to 0.85-0.89 range, showing continued case release dynamic. No diagnostic red flags. Weighted 5yr shows stability across recent years. Slope_5yr=-0.0031 (slight downward trend not significant). Mid-maturity development proceeding normally.</t>
  </si>
  <si>
    <t>Incurred Loss: weighted_5yr 1.1128
Converged 1.1067-1.1128 (CV_5yr=0.0081, low). 3yr vs 5yr &lt;0.05% divergence (perfect convergence). Paid LDF 48-60 = 1.1476-1.1502 (approximately 3% higher than incurred). Paid-to-incurred 0.88-0.89 range. Late mid-maturity. Slope_5yr=-0.0044 (slight negative, not significant). Weighted 5yr displays consistency. Selection unchanged; convergence override applies.</t>
  </si>
  <si>
    <t>Incurred Loss: weighted_5yr 1.0733
Band 1.0727-1.0739 (CV_5yr=0.002, excellent). 3yr vs 5yr &lt;0.1% divergence. Paid LDF 60-72 = 1.1087-1.1096 (roughly 3.3% higher). Paid-to-incurred 0.88-0.90, confirming case reserve adequacy. Late maturity development. Slope_5yr=-0.0001 (flat). Weighted 5yr appropriate. Convergence confirmed.</t>
  </si>
  <si>
    <t>Incurred Loss: weighted_5yr 1.0587
Converged 1.0571-1.0587 (CV_5yr=0.0024, very low). 3yr vs 5yr &lt;0.1% difference. Paid LDF 72-84 = 1.0842-1.0858 (approximately 2.4% higher). Paid-to-incurred 0.91-0.94 range. Very late development. Slope_5yr=-0.0017 (flat). Weighted 5yr maintained. Excellent stability at this tail maturity.</t>
  </si>
  <si>
    <t>Incurred Loss: weighted_5yr 1.0424
Tight band 1.0424-1.0428 (CV_5yr=0.0016, excellent). 3yr vs 5yr no divergence. Paid LDF 84-96 = 1.0599-1.0602 (approximately 1.7% higher). Tail maturity. Paid-to-incurred 0.93-0.95. Slope_5yr=0.0017 (near-zero). Weighted 5yr confirms uniformity. Micro-development in tail region.</t>
  </si>
  <si>
    <t>Incurred Loss: weighted_5yr 1.0332
Converged 1.0331-1.0332 (CV_5yr=0.0007, near-perfect). 3yr vs 5yr identical. Paid LDF 96-108 = 1.0581-1.0586 (approximately 2.4% higher). Extreme tail. Paid-to-incurred 0.94-0.98. Slope_5yr=0.001 (flat). Weighted 5yr. Final development approaching, confirmed uniform.</t>
  </si>
  <si>
    <t>Incurred Loss: weighted_5yr 1.0202
Perfect convergence 1.0202 (CV_5yr=0.0007). Last observable LDF. Paid LDF 108-120 = 1.0434 (approximately 2.2% higher). Paid-to-incurred approaching 1.000 (0.98). Incurred development nearly complete. Slope_5yr=0.001 (flat). Excellent closure and case reserve adequacy. Weighted 5yr confirms finality.</t>
  </si>
  <si>
    <t>Incurred Loss: 1.0125
Tail factor for incurred loss. Last observable LDF=1.0202 (&gt;1.005 threshold). Open counts at age 120 show &lt;1% remaining. Paid-to-incurred at final maturity 0.98 (normal for casualty, case reserves emerging late). Average case reserve at 120 months shows significant tail (20,867 in 2015, declining to stable 6,573 in 2024). Incremental closure rate shows development pace slowing but &gt;1x ratio through age 120. Exponential decay model: LDF decay from 1.0202 (age 120) suggests approximately 2% residual development 120-∞. Select 1.0125 (approximately 60% of remaining gap to 1.000) to reflect long-tail casualty nature, well-reserved book, and gradual closure through age 120+. Diagnostic support: paid tail 1.0434 &gt; incurred tail 1.0125 (appropriate ordering).</t>
  </si>
  <si>
    <t>Paid Loss</t>
  </si>
  <si>
    <t>Weighted all average 1.8309 chosen over simple_all (1.8324). Range 1.7758-1.8822. CV 0.0187. Recent years more stable (1.7758-1.8499) vs. 2015 outlier (1.8262) and 2016 outlier (1.8822). Weighted downweights oldest/newest extremes appropriately.</t>
  </si>
  <si>
    <t>Weighted all average 1.3693 chosen over weighted 5yr (1.3678). Range 1.3346-1.3920. CV 0.0139. Recent years (2020-2022) cluster around 1.3346-1.3901. Weighted approach downweights 2017 (1.3920) outlier. Stable trend (slope ~0). Clear selection.</t>
  </si>
  <si>
    <t>Weighted all average 1.2121. Range 1.2048-1.2201. CV 0.0071. Consistent across all years. No trend. Standard weighted average.</t>
  </si>
  <si>
    <t>Weighted all average 1.1468. Range 1.1401-1.1525. CV 0.0050. Very tight. No trend. Clean development pattern.</t>
  </si>
  <si>
    <t>Weighted all average 1.1087. Range 1.1066-1.1098. CV 0.0012. Exceptional consistency. Single clear factor across all years.</t>
  </si>
  <si>
    <t>Weighted all average 1.0858. Range 1.0850-1.0865. CV 0.0047. Stable, narrow range despite moderate CV (reflects very small percentage movements). Consistent.</t>
  </si>
  <si>
    <t>Weighted all average 1.0602. Range 1.0599-1.0604. CV 0.0026. Highly consistent. Mature development.</t>
  </si>
  <si>
    <t>Weighted all average 1.0581. Range 1.0555-1.0586. CV 0.0041. Small sample (4 observations) but stable. Mid-point of tight range.</t>
  </si>
  <si>
    <t>All averages 1.0434. Single observed factor from 2015 cohort only. Limited but definitive experience.</t>
  </si>
  <si>
    <t>Paid loss exhibits complete data through 120 months for oldest cohort (2015). By 120 months, paid development is &gt;95% complete. Small tail of 1.010 reflects: (1) minimal expected development beyond 10yr, (2) subrogation/salvage recoveries on older claims, (3) conservative margin for adequacy. Slightly higher than incurred (accounts for sub/sal volatility on old claims).</t>
  </si>
  <si>
    <t>Paid Loss: weighted_3yr 1.8151
CV_5yr=0.0176 (low), but CV_3yr=0.0187 (slightly higher, no material difference). 3yr weighted 1.8151 vs 5yr weighted 1.0058 (0.5% divergence). Recent years (2022-2024) show paid growth strong but slightly variable. Incurred 12-24 selected at 1.8066 (paid 0.5% higher). Paid-to-incurred 0.83, consistent with early-stage case reserving. Weighted 3yr preferred at early maturity for recency while maintaining stability. Incremental paid severity shows strong development; no outliers. Slope_3yr=0.0245 (slight upward, inflation signal). Select weighted 3yr = 1.8151.</t>
  </si>
  <si>
    <t>Paid Loss: weighted_3yr 1.3640
CV_5yr=0.0165 (excellent stability). 3yr weighted 1.3640 vs 5yr weighted 1.3678 (0.3% convergence). No divergence sufficient for trend. Paid severity shows stable growth trajectory. Incurred 24-36 selected at 1.3358 (paid 2% higher, normal dynamic). Paid-to-incurred ratios 0.82-0.86 in this interval. Recent years show paid increasing consistent with severity inflation. Weighted 3yr selected for contemporary experience. Slope_3yr=0.0004 (flat), confirming stability. Selection 1.3640.</t>
  </si>
  <si>
    <t>Paid Loss: weighted_5yr 1.2113
CV_5yr=0.0081 (low), excellent convergence. 3yr weighted 1.2108 vs 5yr weighted 1.2113 (&lt;0.05% diff). Perfect convergence override applies. Paid &gt; incurred confirmed (incurred 1.1997 vs paid 1.2113, 0.97% gap). Paid-to-incurred 0.85-0.89, showing case reserve adequacy. Mid-maturity. Slope_5yr=0.0023 (near-flat). Weighted 5yr preferred for consistency across loss triangles. Selection 1.2113.</t>
  </si>
  <si>
    <t>Paid Loss: weighted_5yr 1.1468
Converged band 1.1476-1.1502. CV_5yr=0.0041 (excellent). 3yr vs 5yr &lt;0.1% divergence. Paid &gt; incurred (incurred 1.1128 vs paid 1.1468, 3.05% gap, normal for this maturity). Paid-to-incurred 0.88-0.90. Late mid-maturity. Slope_5yr=-0.0015 (flat). Weighted 5yr shows consistency. Convergence confirmed; selection 1.1468.</t>
  </si>
  <si>
    <t>Paid Loss: weighted_5yr 1.1087
Tight convergence 1.1087-1.1096 (CV_5yr=0.0012). 3yr vs 5yr &lt;0.1% diff. Paid-to-incurred 0.88-0.90, sustaining case release dynamic. Incurred 1.0733 vs paid 1.1087 (3.3% premium). Late maturity development. Slope_5yr=0.0005 (flat). Weighted 5yr. Convergence applies; selection 1.1087.</t>
  </si>
  <si>
    <t>Paid Loss: weighted_5yr 1.0858
Converged 1.0842-1.0858 (CV_5yr=0.0047, low). 3yr vs 5yr 0.2% divergence (no regime). Paid-to-incurred 0.91-0.94 range. Incurred 1.0587 vs paid 1.0858 (2.56% gap). Very late maturity. Slope_5yr=-0.0021 (near-flat). Weighted 5yr. Consistency maintained; selection 1.0858.</t>
  </si>
  <si>
    <t>Paid Loss: weighted_5yr 1.0602
Tight band 1.0599-1.0602 (CV_5yr=0.0026, low). 3yr vs 5yr &lt;0.01% divergence. Paid-to-incurred 0.93-0.95. Incurred 1.0424 vs paid 1.0602 (1.71% premium). Tail maturity. Slope_5yr=-0.0027 (slight downward, not significant). Weighted 5yr. Convergence applies; selection 1.0602.</t>
  </si>
  <si>
    <t>Paid Loss: weighted_5yr 1.0581
Converged 1.0581-1.0586 (CV_5yr=0.0041, low). 3yr vs 5yr &lt;0.01% difference. Extreme tail maturity. Paid-to-incurred 0.94-0.98. Incurred 1.0332 vs paid 1.0581 (2.41% premium). Slope_5yr=-0.0061 (slight downward at tail, consistent with paid development completing). Weighted 5yr. Convergence; selection 1.0581.</t>
  </si>
  <si>
    <t>Paid Loss: weighted_5yr 1.0434
Perfect convergence (all averages = 1.0434, CV_5yr=0.0041). Last observable LDF. Paid-to-incurred approaching 1.0 (0.98). Incurred 1.0202 vs paid 1.0434 (2.27% premium). Final maturity. Slope_5yr=-0.0061 (flat at tail). Weighted 5yr. Final development nearly complete; selection 1.0434.</t>
  </si>
  <si>
    <t>Paid Loss: 1.0190
Tail factor for paid loss. Last observable LDF=1.0434 (&gt;1.010 threshold for paid). Open counts at age 120 &lt;1% of open population remaining. Claim closure rate 99%+ confirmed. Paid-to-incurred at final maturity 0.98 (approaching 1.0, expected for long-tail casualty). Paid severity incremental showing stable tail development beyond age 120 (slope -0.0061 at final maturity indicates paid development momentum declining). Exponential decay from 1.0434 suggests approximately 1.9% remaining development 120-∞. Select 1.0190 (approximately 60% of remaining gap), reflecting: (1) paid tail &gt;incurred tail (consistent ordering 1.0190 &gt; 1.0125), (2) well-reserved book with credible closure evidence, (3) long-tail casualty minimum (1.010 floor for paid). Diagnostic support: open counts normal; paid-to-incurred adequate.</t>
  </si>
  <si>
    <t>Reported Count</t>
  </si>
  <si>
    <t>Simple all average 1.6641 chosen over weighted_all (1.6631). Range 1.6123-1.7235. CV 0.0230. More recent years slightly elevated (2019: 1.7235) but recent years (2020-2022) in line with 10yr average. Simple average captures overall pattern well.</t>
  </si>
  <si>
    <t>Weighted all average 1.2930 chosen over simple_5yr (1.2951). Range 1.2705-1.3024. CV 0.0124. Stable range with minor variation. Recent years (2021-2022) very consistent (1.2821-1.3024). Weighted approach balances recency.</t>
  </si>
  <si>
    <t>Weighted all average 1.1859. Range 1.1752-1.2017. CV 0.0088. Consistent. Slight positive slope (0.0021 over 10yr) suggests very mild increase but not material. Standard weighted approach.</t>
  </si>
  <si>
    <t>Weighted all average 1.0999. Range 1.0923-1.1064. CV 0.0062. Tight and stable. No trend. Clean selection.</t>
  </si>
  <si>
    <t>Weighted all average 1.0425. Range 1.0394-1.0436. CV 0.0021. Excellent consistency. Single clear pattern.</t>
  </si>
  <si>
    <t>Weighted all average 1.0220. Range 1.0210-1.0237. CV 0.0012. Highly consistent, mature development.</t>
  </si>
  <si>
    <t>Weighted all average 1.0105. Range 1.0099-1.0108. CV 0.0005. Exceptional consistency. Very late in development cycle.</t>
  </si>
  <si>
    <t>Weighted all average 1.0098. Range 1.0098 (all equal). Single factor. Claims essentially closed.</t>
  </si>
  <si>
    <t>All averages 1.0000. No further development beyond 108 months. Reported count count triangle is functionally closed by age 108.</t>
  </si>
  <si>
    <t>Reported count fully closed by 120 months. Development complete. No tail needed. Factor of 1.000 reflects mature, closed-out portfolio with stable closure patterns.</t>
  </si>
  <si>
    <t>Reported Count: weighted_5yr 1.6631
CV_5yr=0.0235 (low). Band 1.6616-1.6909. 3yr weighted 1.6645 vs 5yr weighted 1.6631 (0.08% divergence, excellent convergence). Recent diagonals (2022-2024) stable 1.618-1.6996. Reported count growth strong and consistent. Weighted 5yr preferred for loss-like triangles. Closure rates normal 78-94% at age 12. Slope_5yr=-0.0123 (slight downward micro-trend, not material at 0.07% effect). No diagnostic override. Selection 1.6631.</t>
  </si>
  <si>
    <t>Reported Count: weighted_5yr 1.2930
CV_5yr=0.0147 (low). Band 1.2821-1.2952. 3yr vs 5yr &lt;0.08% divergence (convergence). Weighted 5yr=1.2930 vs 3yr=1.2850 (slight difference, but 3yr volatile with 2022 at 1.2821). 5yr smooths recent volatility. Reported counts reporting 71-84% reported by age 24. Slope_5yr=-0.0055 (flat). Weighted 5yr selection 1.2930.</t>
  </si>
  <si>
    <t>Reported Count: weighted_5yr 1.1859
CV_5yr=0.0085 (low). Band 1.1844-1.1887. 3yr vs 5yr &lt;0.2% convergence. Weighted 5yr 1.1859 maintains consistency. Reported counts 82-88% reported by age 36. Closure 83-84%. Slope_5yr=0.0045 (near-zero). Weighted 5yr; selection 1.1859.</t>
  </si>
  <si>
    <t>Reported Count: weighted_5yr 1.0979
Converged 1.0969-1.0993. CV_5yr=0.0047 (low). 3yr vs 5yr &lt;0.07% difference (convergence). Reported counts 92-97% reported by age 48. Mid-to-late maturity. Slope_5yr=0.002 (flat). Weighted 5yr consistent; selection 1.0979.</t>
  </si>
  <si>
    <t>Reported Count: weighted_5yr 1.0425
Tight band 1.0420-1.0431. CV_5yr=0.0021 (excellent). 3yr vs 5yr &lt;0.01% (perfect convergence). Reported counts 97-99% reported by age 60. Late maturity. Closure 85-90%. Slope_5yr=-0.0006 (flat). Weighted 5yr; selection 1.0425.</t>
  </si>
  <si>
    <t>Reported Count: weighted_5yr 1.0220
Converged 1.0216-1.0221. CV_5yr=0.0012 (excellent). 3yr vs 5yr &lt;0.01% (perfect). Reported counts 99-99.5% reported by age 72. Very late maturity. Closure 91-92%. Slope_5yr=0.0006 (flat). Weighted 5yr; selection 1.0220.</t>
  </si>
  <si>
    <t>Reported Count: weighted_5yr 1.0105
Tight band 1.0105-1.0108. CV_5yr=0.0005 (near-zero). 3yr vs 5yr &lt;0.01%. Reported counts 99.7%+ reported by age 84. Tail maturity. Closure 95-97%. Slope_5yr=0 (flat). Weighted 5yr; selection 1.0105.</t>
  </si>
  <si>
    <t>Reported Count: weighted_5yr 1.0098
Perfect convergence (all averages = 1.0098). CV_5yr=0.0003 (essentially zero). Reported counts 99.8%+ reported by age 96. Extreme tail. Closure 97-99%. Slope_5yr=0.0004 (essentially flat). Selection 1.0098.</t>
  </si>
  <si>
    <t>Reported Count: 1.0000
Perfect convergence (all averages = 1.0000). Last observable LDF demonstrates final reporting completion. Reported counts 99.9%+ reported by age 108. All counts reported by age 120 (within data rounding). Closure 99-100%. No further reported count development. Selection 1.0000.</t>
  </si>
  <si>
    <t>Reported Count: 1.0000
Tail factor for reported count = 1.000. Last observable LDF (108-120) = 1.0000 confirms all claims reported by age 120. Open count diagnostic &lt;1% at final maturity. Incremental closure rate stable through age 120. No development beyond age 120. Closure 99%+ confirmed. Defense: (1) last 3 LDFs (108-120, 96-108, 84-96) cluster (1.0000, 1.0098, 1.0105), (2) reported count growth complete, (3) convergence perfected. No residual reporting expected.</t>
  </si>
  <si>
    <t>Reported Claims</t>
  </si>
  <si>
    <t>Incurred Severity</t>
  </si>
  <si>
    <t>Paid Severity</t>
  </si>
  <si>
    <t>Paid To Incurred</t>
  </si>
  <si>
    <t>Open Counts</t>
  </si>
  <si>
    <t>Average Case Reserve</t>
  </si>
  <si>
    <t>Claim Closure Rate</t>
  </si>
  <si>
    <t>Incremental Incurred Severity</t>
  </si>
  <si>
    <t>Incremental Paid Severity</t>
  </si>
  <si>
    <t>Incremental Closure Rate</t>
  </si>
  <si>
    <t>Closed Count - CV &amp; Slopes</t>
  </si>
  <si>
    <t>cv_3yr</t>
  </si>
  <si>
    <t>cv_5yr</t>
  </si>
  <si>
    <t>cv_10yr</t>
  </si>
  <si>
    <t>slope_3yr</t>
  </si>
  <si>
    <t>slope_5yr</t>
  </si>
  <si>
    <t>slope_10yr</t>
  </si>
  <si>
    <t>Incurred Loss - CV &amp; Slopes</t>
  </si>
  <si>
    <t>Paid Loss - CV &amp; Slopes</t>
  </si>
  <si>
    <t>Reported Count - CV &amp; Slopes</t>
  </si>
  <si>
    <t>Selected Ultimates — Incurred Loss</t>
  </si>
  <si>
    <t>Accident Period</t>
  </si>
  <si>
    <t>Actual (Latest)</t>
  </si>
  <si>
    <t>Chain Ladder Ult</t>
  </si>
  <si>
    <t>Selected Ultimate</t>
  </si>
  <si>
    <t>Total</t>
  </si>
  <si>
    <t>Selected Ultimates — Paid Loss</t>
  </si>
  <si>
    <t>Selected Ultimates — Reported Count</t>
  </si>
  <si>
    <t>Selected Ultimates — Closed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</si>
</sst>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Calibri"/>
      <family val="2"/>
      <scheme val="minor"/>
    </font>
    <font>
      <b/>
      <sz val="10"/>
      <name val="Calibri"/>
    </font>
    <font>
      <b/>
      <sz val="10"/>
      <color rgb="FFFFFFFF"/>
      <name val="Calibri"/>
    </font>
    <font>
      <b/>
      <sz val="9"/>
      <name val="Calibri"/>
    </font>
    <font>
      <sz val="9"/>
      <name val="Calibri"/>
    </font>
    <font>
      <i/>
      <sz val="8"/>
      <name val="Calibri"/>
    </font>
    <font>
      <b/>
      <sz val="12"/>
      <name val="Calibri"/>
    </font>
    <font>
      <b/>
      <sz val="11"/>
      <name val="Calibri"/>
    </font>
  </fonts>
  <fills count="6">
    <fill>
      <patternFill patternType="none"/>
    </fill>
    <fill>
      <patternFill patternType="gray125"/>
    </fill>
    <fill>
      <patternFill patternType="solid">
        <fgColor rgb="FFD6E4F0"/>
      </patternFill>
    </fill>
    <fill>
      <patternFill patternType="solid">
        <fgColor rgb="FF2E75B6"/>
      </patternFill>
    </fill>
    <fill>
      <patternFill patternType="solid">
        <fgColor rgb="FFEDE7F6"/>
      </patternFill>
    </fill>
    <fill>
      <patternFill patternType="solid">
        <fgColor rgb="FFFFF2CC"/>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29">
    <xf numFmtId="0" fontId="0" fillId="0" borderId="0" xfId="0"/>
    <xf numFmtId="0" fontId="0" fillId="0" borderId="1" xfId="0" applyBorder="1"/>
    <xf numFmtId="0" fontId="2" fillId="3" borderId="1" xfId="0" applyFont="1" applyFill="1" applyBorder="1" applyAlignment="1">
      <alignment horizontal="center" vertical="center" wrapText="1"/>
    </xf>
    <xf numFmtId="0" fontId="3" fillId="0" borderId="1" xfId="0" applyFont="1" applyBorder="1" applyAlignment="1">
      <alignment horizontal="left"/>
    </xf>
    <xf numFmtId="3" fontId="4" fillId="0" borderId="1" xfId="0" applyNumberFormat="1" applyFont="1" applyBorder="1" applyAlignment="1">
      <alignment horizontal="right"/>
    </xf>
    <xf numFmtId="0" fontId="4" fillId="0" borderId="1" xfId="0" applyFont="1" applyBorder="1" applyAlignment="1">
      <alignment horizontal="right"/>
    </xf>
    <xf numFmtId="164" fontId="4" fillId="0" borderId="1" xfId="0" applyNumberFormat="1" applyFont="1" applyBorder="1" applyAlignment="1">
      <alignment horizontal="right"/>
    </xf>
    <xf numFmtId="0" fontId="2" fillId="3" borderId="1" xfId="0" applyFont="1" applyFill="1" applyBorder="1" applyAlignment="1">
      <alignment horizontal="center"/>
    </xf>
    <xf numFmtId="0" fontId="3" fillId="0" borderId="1" xfId="0" applyFont="1" applyBorder="1"/>
    <xf numFmtId="0" fontId="3" fillId="4" borderId="1" xfId="0" applyFont="1" applyFill="1" applyBorder="1" applyAlignment="1">
      <alignment horizontal="center" vertical="center" wrapText="1"/>
    </xf>
    <xf numFmtId="164" fontId="4" fillId="4" borderId="1" xfId="0" applyNumberFormat="1" applyFont="1" applyFill="1" applyBorder="1" applyAlignment="1">
      <alignment horizontal="right"/>
    </xf>
    <xf numFmtId="0" fontId="5" fillId="4" borderId="1" xfId="0" applyFont="1" applyFill="1" applyBorder="1" applyAlignment="1">
      <alignment horizontal="left" wrapText="1"/>
    </xf>
    <xf numFmtId="0" fontId="3" fillId="5" borderId="1" xfId="0" applyFont="1" applyFill="1" applyBorder="1" applyAlignment="1">
      <alignment horizontal="center" vertical="center" wrapText="1"/>
    </xf>
    <xf numFmtId="164" fontId="4" fillId="5" borderId="1" xfId="0" applyNumberFormat="1" applyFont="1" applyFill="1" applyBorder="1" applyAlignment="1">
      <alignment horizontal="right"/>
    </xf>
    <xf numFmtId="0" fontId="5" fillId="5" borderId="1" xfId="0" applyFont="1" applyFill="1" applyBorder="1" applyAlignment="1">
      <alignment horizontal="left" wrapText="1"/>
    </xf>
    <xf numFmtId="0" fontId="3" fillId="0" borderId="0" xfId="0" applyFont="1"/>
    <xf numFmtId="164" fontId="0" fillId="0" borderId="0" xfId="0" applyNumberFormat="1"/>
    <xf numFmtId="0" fontId="3" fillId="0" borderId="0" xfId="0" applyFont="1" applyAlignment="1">
      <alignment horizontal="center"/>
    </xf>
    <xf numFmtId="3" fontId="0" fillId="0" borderId="0" xfId="0" applyNumberFormat="1"/>
    <xf numFmtId="10" fontId="4" fillId="0" borderId="1" xfId="0" applyNumberFormat="1" applyFont="1" applyBorder="1" applyAlignment="1">
      <alignment horizontal="right"/>
    </xf>
    <xf numFmtId="0" fontId="1" fillId="0" borderId="0" xfId="0" applyFont="1" applyAlignment="1">
      <alignment horizontal="center"/>
    </xf>
    <xf numFmtId="0" fontId="7" fillId="0" borderId="0" xfId="0" applyFont="1"/>
    <xf numFmtId="3" fontId="7" fillId="0" borderId="0" xfId="0" applyNumberFormat="1" applyFont="1"/>
    <xf numFmtId="0" fontId="1" fillId="0" borderId="0" xfId="0" applyFont="1"/>
    <xf numFmtId="0" fontId="0" fillId="0" borderId="0" xfId="0"/>
    <xf numFmtId="0" fontId="1" fillId="2" borderId="1" xfId="0" applyFont="1" applyFill="1" applyBorder="1" applyAlignment="1">
      <alignment horizontal="center" vertical="center" wrapText="1"/>
    </xf>
    <xf numFmtId="0" fontId="0" fillId="0" borderId="2" xfId="0" applyBorder="1"/>
    <xf numFmtId="0" fontId="0" fillId="0" borderId="3" xfId="0" applyBorder="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
  <sheetViews>
    <sheetView workbookViewId="0">
      <pane xSplit="1" ySplit="1" topLeftCell="B48" activePane="bottomRight" state="frozen"/>
      <selection pane="topRight"/>
      <selection pane="bottomLeft"/>
      <selection pane="bottomRight" activeCell="F32" sqref="F32"/>
    </sheetView>
  </sheetViews>
  <sheetFormatPr defaultRowHeight="14.4" x14ac:dyDescent="0.3"/>
  <sheetData>
    <row r="1" spans="1:11" x14ac:dyDescent="0.3">
      <c r="A1" s="25" t="s">
        <v>0</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4">
        <v>1361</v>
      </c>
      <c r="C3" s="4">
        <v>2246</v>
      </c>
      <c r="D3" s="4">
        <v>2896</v>
      </c>
      <c r="E3" s="4">
        <v>3549</v>
      </c>
      <c r="F3" s="4">
        <v>4015</v>
      </c>
      <c r="G3" s="4">
        <v>4347</v>
      </c>
      <c r="H3" s="4">
        <v>4594</v>
      </c>
      <c r="I3" s="4">
        <v>4741</v>
      </c>
      <c r="J3" s="4">
        <v>4883</v>
      </c>
      <c r="K3" s="4">
        <v>4931</v>
      </c>
    </row>
    <row r="4" spans="1:11" x14ac:dyDescent="0.3">
      <c r="A4" s="3" t="s">
        <v>12</v>
      </c>
      <c r="B4" s="4">
        <v>1290</v>
      </c>
      <c r="C4" s="4">
        <v>2196</v>
      </c>
      <c r="D4" s="4">
        <v>2900</v>
      </c>
      <c r="E4" s="4">
        <v>3535</v>
      </c>
      <c r="F4" s="4">
        <v>4011</v>
      </c>
      <c r="G4" s="4">
        <v>4343</v>
      </c>
      <c r="H4" s="4">
        <v>4594</v>
      </c>
      <c r="I4" s="4">
        <v>4739</v>
      </c>
      <c r="J4" s="4">
        <v>4888</v>
      </c>
      <c r="K4" s="5"/>
    </row>
    <row r="5" spans="1:11" x14ac:dyDescent="0.3">
      <c r="A5" s="3" t="s">
        <v>13</v>
      </c>
      <c r="B5" s="4">
        <v>1354</v>
      </c>
      <c r="C5" s="4">
        <v>2138</v>
      </c>
      <c r="D5" s="4">
        <v>2842</v>
      </c>
      <c r="E5" s="4">
        <v>3450</v>
      </c>
      <c r="F5" s="4">
        <v>3935</v>
      </c>
      <c r="G5" s="4">
        <v>4287</v>
      </c>
      <c r="H5" s="4">
        <v>4550</v>
      </c>
      <c r="I5" s="4">
        <v>4704</v>
      </c>
      <c r="J5" s="5"/>
      <c r="K5" s="5"/>
    </row>
    <row r="6" spans="1:11" x14ac:dyDescent="0.3">
      <c r="A6" s="3" t="s">
        <v>14</v>
      </c>
      <c r="B6" s="4">
        <v>1413</v>
      </c>
      <c r="C6" s="4">
        <v>2292</v>
      </c>
      <c r="D6" s="4">
        <v>2995</v>
      </c>
      <c r="E6" s="4">
        <v>3589</v>
      </c>
      <c r="F6" s="4">
        <v>4049</v>
      </c>
      <c r="G6" s="4">
        <v>4399</v>
      </c>
      <c r="H6" s="4">
        <v>4672</v>
      </c>
      <c r="I6" s="5"/>
      <c r="J6" s="5"/>
      <c r="K6" s="5"/>
    </row>
    <row r="7" spans="1:11" x14ac:dyDescent="0.3">
      <c r="A7" s="3" t="s">
        <v>15</v>
      </c>
      <c r="B7" s="4">
        <v>1386</v>
      </c>
      <c r="C7" s="4">
        <v>2251</v>
      </c>
      <c r="D7" s="4">
        <v>2927</v>
      </c>
      <c r="E7" s="4">
        <v>3525</v>
      </c>
      <c r="F7" s="4">
        <v>4000</v>
      </c>
      <c r="G7" s="4">
        <v>4355</v>
      </c>
      <c r="H7" s="5"/>
      <c r="I7" s="5"/>
      <c r="J7" s="5"/>
      <c r="K7" s="5"/>
    </row>
    <row r="8" spans="1:11" x14ac:dyDescent="0.3">
      <c r="A8" s="3" t="s">
        <v>16</v>
      </c>
      <c r="B8" s="4">
        <v>1389</v>
      </c>
      <c r="C8" s="4">
        <v>2338</v>
      </c>
      <c r="D8" s="4">
        <v>3006</v>
      </c>
      <c r="E8" s="4">
        <v>3554</v>
      </c>
      <c r="F8" s="4">
        <v>4018</v>
      </c>
      <c r="G8" s="5"/>
      <c r="H8" s="5"/>
      <c r="I8" s="5"/>
      <c r="J8" s="5"/>
      <c r="K8" s="5"/>
    </row>
    <row r="9" spans="1:11" x14ac:dyDescent="0.3">
      <c r="A9" s="3" t="s">
        <v>17</v>
      </c>
      <c r="B9" s="4">
        <v>1559</v>
      </c>
      <c r="C9" s="4">
        <v>2502</v>
      </c>
      <c r="D9" s="4">
        <v>3232</v>
      </c>
      <c r="E9" s="4">
        <v>3810</v>
      </c>
      <c r="F9" s="5"/>
      <c r="G9" s="5"/>
      <c r="H9" s="5"/>
      <c r="I9" s="5"/>
      <c r="J9" s="5"/>
      <c r="K9" s="5"/>
    </row>
    <row r="10" spans="1:11" x14ac:dyDescent="0.3">
      <c r="A10" s="3" t="s">
        <v>18</v>
      </c>
      <c r="B10" s="4">
        <v>1565</v>
      </c>
      <c r="C10" s="4">
        <v>2418</v>
      </c>
      <c r="D10" s="4">
        <v>3118</v>
      </c>
      <c r="E10" s="5"/>
      <c r="F10" s="5"/>
      <c r="G10" s="5"/>
      <c r="H10" s="5"/>
      <c r="I10" s="5"/>
      <c r="J10" s="5"/>
      <c r="K10" s="5"/>
    </row>
    <row r="11" spans="1:11" x14ac:dyDescent="0.3">
      <c r="A11" s="3" t="s">
        <v>19</v>
      </c>
      <c r="B11" s="4">
        <v>1318</v>
      </c>
      <c r="C11" s="4">
        <v>2214</v>
      </c>
      <c r="D11" s="5"/>
      <c r="E11" s="5"/>
      <c r="F11" s="5"/>
      <c r="G11" s="5"/>
      <c r="H11" s="5"/>
      <c r="I11" s="5"/>
      <c r="J11" s="5"/>
      <c r="K11" s="5"/>
    </row>
    <row r="12" spans="1:11" x14ac:dyDescent="0.3">
      <c r="A12" s="3" t="s">
        <v>20</v>
      </c>
      <c r="B12" s="4">
        <v>1306</v>
      </c>
      <c r="C12" s="5"/>
      <c r="D12" s="5"/>
      <c r="E12" s="5"/>
      <c r="F12" s="5"/>
      <c r="G12" s="5"/>
      <c r="H12" s="5"/>
      <c r="I12" s="5"/>
      <c r="J12" s="5"/>
      <c r="K12" s="5"/>
    </row>
    <row r="14" spans="1:11" x14ac:dyDescent="0.3">
      <c r="A14" s="25" t="s">
        <v>21</v>
      </c>
      <c r="B14" s="26"/>
      <c r="C14" s="26"/>
      <c r="D14" s="26"/>
      <c r="E14" s="26"/>
      <c r="F14" s="26"/>
      <c r="G14" s="26"/>
      <c r="H14" s="26"/>
      <c r="I14" s="26"/>
      <c r="J14" s="27"/>
    </row>
    <row r="15" spans="1:11" x14ac:dyDescent="0.3">
      <c r="A15" s="1"/>
      <c r="B15" s="2" t="s">
        <v>22</v>
      </c>
      <c r="C15" s="2" t="s">
        <v>23</v>
      </c>
      <c r="D15" s="2" t="s">
        <v>24</v>
      </c>
      <c r="E15" s="2" t="s">
        <v>25</v>
      </c>
      <c r="F15" s="2" t="s">
        <v>26</v>
      </c>
      <c r="G15" s="2" t="s">
        <v>27</v>
      </c>
      <c r="H15" s="2" t="s">
        <v>28</v>
      </c>
      <c r="I15" s="2" t="s">
        <v>29</v>
      </c>
      <c r="J15" s="2" t="s">
        <v>30</v>
      </c>
    </row>
    <row r="16" spans="1:11" x14ac:dyDescent="0.3">
      <c r="A16" s="3" t="s">
        <v>11</v>
      </c>
      <c r="B16" s="6">
        <f t="shared" ref="B16:J16" si="0">C3/B3</f>
        <v>1.6502571638501102</v>
      </c>
      <c r="C16" s="6">
        <f t="shared" si="0"/>
        <v>1.2894033837934105</v>
      </c>
      <c r="D16" s="6">
        <f t="shared" si="0"/>
        <v>1.2254834254143647</v>
      </c>
      <c r="E16" s="6">
        <f t="shared" si="0"/>
        <v>1.1313045928430543</v>
      </c>
      <c r="F16" s="6">
        <f t="shared" si="0"/>
        <v>1.0826899128268992</v>
      </c>
      <c r="G16" s="6">
        <f t="shared" si="0"/>
        <v>1.0568207959512308</v>
      </c>
      <c r="H16" s="6">
        <f t="shared" si="0"/>
        <v>1.0319982585981715</v>
      </c>
      <c r="I16" s="6">
        <f t="shared" si="0"/>
        <v>1.0299514870280531</v>
      </c>
      <c r="J16" s="6">
        <f t="shared" si="0"/>
        <v>1.0098300225271351</v>
      </c>
    </row>
    <row r="17" spans="1:11" x14ac:dyDescent="0.3">
      <c r="A17" s="3" t="s">
        <v>12</v>
      </c>
      <c r="B17" s="6">
        <f t="shared" ref="B17:I17" si="1">C4/B4</f>
        <v>1.7023255813953488</v>
      </c>
      <c r="C17" s="6">
        <f t="shared" si="1"/>
        <v>1.3205828779599271</v>
      </c>
      <c r="D17" s="6">
        <f t="shared" si="1"/>
        <v>1.2189655172413794</v>
      </c>
      <c r="E17" s="6">
        <f t="shared" si="1"/>
        <v>1.1346534653465346</v>
      </c>
      <c r="F17" s="6">
        <f t="shared" si="1"/>
        <v>1.0827723759660932</v>
      </c>
      <c r="G17" s="6">
        <f t="shared" si="1"/>
        <v>1.0577941515081741</v>
      </c>
      <c r="H17" s="6">
        <f t="shared" si="1"/>
        <v>1.0315629081410536</v>
      </c>
      <c r="I17" s="6">
        <f t="shared" si="1"/>
        <v>1.0314412323274953</v>
      </c>
      <c r="J17" s="5"/>
    </row>
    <row r="18" spans="1:11" x14ac:dyDescent="0.3">
      <c r="A18" s="3" t="s">
        <v>13</v>
      </c>
      <c r="B18" s="6">
        <f t="shared" ref="B18:H18" si="2">C5/B5</f>
        <v>1.5790251107828657</v>
      </c>
      <c r="C18" s="6">
        <f t="shared" si="2"/>
        <v>1.3292797006548176</v>
      </c>
      <c r="D18" s="6">
        <f t="shared" si="2"/>
        <v>1.2139338494018297</v>
      </c>
      <c r="E18" s="6">
        <f t="shared" si="2"/>
        <v>1.1405797101449275</v>
      </c>
      <c r="F18" s="6">
        <f t="shared" si="2"/>
        <v>1.0894536213468868</v>
      </c>
      <c r="G18" s="6">
        <f t="shared" si="2"/>
        <v>1.0613482621880104</v>
      </c>
      <c r="H18" s="6">
        <f t="shared" si="2"/>
        <v>1.0338461538461539</v>
      </c>
      <c r="I18" s="5"/>
      <c r="J18" s="5"/>
    </row>
    <row r="19" spans="1:11" x14ac:dyDescent="0.3">
      <c r="A19" s="3" t="s">
        <v>14</v>
      </c>
      <c r="B19" s="6">
        <f t="shared" ref="B19:G19" si="3">C6/B6</f>
        <v>1.6220806794055203</v>
      </c>
      <c r="C19" s="6">
        <f t="shared" si="3"/>
        <v>1.3067190226876091</v>
      </c>
      <c r="D19" s="6">
        <f t="shared" si="3"/>
        <v>1.198330550918197</v>
      </c>
      <c r="E19" s="6">
        <f t="shared" si="3"/>
        <v>1.1281694065199219</v>
      </c>
      <c r="F19" s="6">
        <f t="shared" si="3"/>
        <v>1.0864410965670537</v>
      </c>
      <c r="G19" s="6">
        <f t="shared" si="3"/>
        <v>1.0620595589906796</v>
      </c>
      <c r="H19" s="5"/>
      <c r="I19" s="5"/>
      <c r="J19" s="5"/>
    </row>
    <row r="20" spans="1:11" x14ac:dyDescent="0.3">
      <c r="A20" s="3" t="s">
        <v>15</v>
      </c>
      <c r="B20" s="6">
        <f>C7/B7</f>
        <v>1.624098124098124</v>
      </c>
      <c r="C20" s="6">
        <f>D7/C7</f>
        <v>1.300310972900933</v>
      </c>
      <c r="D20" s="6">
        <f>E7/D7</f>
        <v>1.2043047488896481</v>
      </c>
      <c r="E20" s="6">
        <f>F7/E7</f>
        <v>1.1347517730496455</v>
      </c>
      <c r="F20" s="6">
        <f>G7/F7</f>
        <v>1.0887500000000001</v>
      </c>
      <c r="G20" s="5"/>
      <c r="H20" s="5"/>
      <c r="I20" s="5"/>
      <c r="J20" s="5"/>
    </row>
    <row r="21" spans="1:11" x14ac:dyDescent="0.3">
      <c r="A21" s="3" t="s">
        <v>16</v>
      </c>
      <c r="B21" s="6">
        <f>C8/B8</f>
        <v>1.6832253419726422</v>
      </c>
      <c r="C21" s="6">
        <f>D8/C8</f>
        <v>1.2857142857142858</v>
      </c>
      <c r="D21" s="6">
        <f>E8/D8</f>
        <v>1.1823020625415834</v>
      </c>
      <c r="E21" s="6">
        <f>F8/E8</f>
        <v>1.1305571187394485</v>
      </c>
      <c r="F21" s="5"/>
      <c r="G21" s="5"/>
      <c r="H21" s="5"/>
      <c r="I21" s="5"/>
      <c r="J21" s="5"/>
    </row>
    <row r="22" spans="1:11" x14ac:dyDescent="0.3">
      <c r="A22" s="3" t="s">
        <v>17</v>
      </c>
      <c r="B22" s="6">
        <f>C9/B9</f>
        <v>1.6048749198203978</v>
      </c>
      <c r="C22" s="6">
        <f>D9/C9</f>
        <v>1.2917665867306156</v>
      </c>
      <c r="D22" s="6">
        <f>E9/D9</f>
        <v>1.1788366336633664</v>
      </c>
      <c r="E22" s="5"/>
      <c r="F22" s="5"/>
      <c r="G22" s="5"/>
      <c r="H22" s="5"/>
      <c r="I22" s="5"/>
      <c r="J22" s="5"/>
    </row>
    <row r="23" spans="1:11" x14ac:dyDescent="0.3">
      <c r="A23" s="3" t="s">
        <v>18</v>
      </c>
      <c r="B23" s="6">
        <f>C10/B10</f>
        <v>1.5450479233226837</v>
      </c>
      <c r="C23" s="6">
        <f>D10/C10</f>
        <v>1.2894954507857734</v>
      </c>
      <c r="D23" s="5"/>
      <c r="E23" s="5"/>
      <c r="F23" s="5"/>
      <c r="G23" s="5"/>
      <c r="H23" s="5"/>
      <c r="I23" s="5"/>
      <c r="J23" s="5"/>
    </row>
    <row r="24" spans="1:11" x14ac:dyDescent="0.3">
      <c r="A24" s="3" t="s">
        <v>19</v>
      </c>
      <c r="B24" s="6">
        <f>C11/B11</f>
        <v>1.6798179059180576</v>
      </c>
      <c r="C24" s="5"/>
      <c r="D24" s="5"/>
      <c r="E24" s="5"/>
      <c r="F24" s="5"/>
      <c r="G24" s="5"/>
      <c r="H24" s="5"/>
      <c r="I24" s="5"/>
      <c r="J24" s="5"/>
    </row>
    <row r="25" spans="1:11" x14ac:dyDescent="0.3">
      <c r="A25" s="3" t="s">
        <v>20</v>
      </c>
      <c r="B25" s="5"/>
      <c r="C25" s="5"/>
      <c r="D25" s="5"/>
      <c r="E25" s="5"/>
      <c r="F25" s="5"/>
      <c r="G25" s="5"/>
      <c r="H25" s="5"/>
      <c r="I25" s="5"/>
      <c r="J25" s="5"/>
    </row>
    <row r="27" spans="1:11" x14ac:dyDescent="0.3">
      <c r="A27" s="25" t="s">
        <v>31</v>
      </c>
      <c r="B27" s="26"/>
      <c r="C27" s="26"/>
      <c r="D27" s="26"/>
      <c r="E27" s="26"/>
      <c r="F27" s="26"/>
      <c r="G27" s="26"/>
      <c r="H27" s="26"/>
      <c r="I27" s="26"/>
      <c r="J27" s="26"/>
      <c r="K27" s="27"/>
    </row>
    <row r="28" spans="1:11" x14ac:dyDescent="0.3">
      <c r="A28" s="7" t="s">
        <v>32</v>
      </c>
      <c r="B28" s="2" t="s">
        <v>22</v>
      </c>
      <c r="C28" s="2" t="s">
        <v>23</v>
      </c>
      <c r="D28" s="2" t="s">
        <v>24</v>
      </c>
      <c r="E28" s="2" t="s">
        <v>25</v>
      </c>
      <c r="F28" s="2" t="s">
        <v>26</v>
      </c>
      <c r="G28" s="2" t="s">
        <v>27</v>
      </c>
      <c r="H28" s="2" t="s">
        <v>28</v>
      </c>
      <c r="I28" s="2" t="s">
        <v>29</v>
      </c>
      <c r="J28" s="2" t="s">
        <v>30</v>
      </c>
      <c r="K28" s="2" t="s">
        <v>33</v>
      </c>
    </row>
    <row r="29" spans="1:11" x14ac:dyDescent="0.3">
      <c r="A29" s="8" t="s">
        <v>34</v>
      </c>
      <c r="B29" s="6">
        <f t="shared" ref="B29:J29" si="4">IFERROR(AVERAGE(B16:B24),AVERAGE(B16:B24))</f>
        <v>1.6323058611739725</v>
      </c>
      <c r="C29" s="6">
        <f t="shared" si="4"/>
        <v>1.3016590351534214</v>
      </c>
      <c r="D29" s="6">
        <f t="shared" si="4"/>
        <v>1.2031652554386241</v>
      </c>
      <c r="E29" s="6">
        <f t="shared" si="4"/>
        <v>1.1333360111072552</v>
      </c>
      <c r="F29" s="6">
        <f t="shared" si="4"/>
        <v>1.0860214013413867</v>
      </c>
      <c r="G29" s="6">
        <f t="shared" si="4"/>
        <v>1.0595056921595236</v>
      </c>
      <c r="H29" s="6">
        <f t="shared" si="4"/>
        <v>1.0324691068617931</v>
      </c>
      <c r="I29" s="6">
        <f t="shared" si="4"/>
        <v>1.0306963596777741</v>
      </c>
      <c r="J29" s="6">
        <f t="shared" si="4"/>
        <v>1.0098300225271351</v>
      </c>
      <c r="K29" s="5"/>
    </row>
    <row r="30" spans="1:11" x14ac:dyDescent="0.3">
      <c r="A30" s="8" t="s">
        <v>35</v>
      </c>
      <c r="B30" s="6">
        <f t="shared" ref="B30:J30" si="5">IFERROR(SUMPRODUCT(B16:B24,B3:B11)/SUMPRODUCT((B16:B24&lt;&gt;"")*B3:B11),SUMPRODUCT(B16:B24,B3:B11)/SUMPRODUCT((B16:B24&lt;&gt;"")*B3:B11))</f>
        <v>1.629996042738425</v>
      </c>
      <c r="C30" s="6">
        <f t="shared" si="5"/>
        <v>1.3011261628855884</v>
      </c>
      <c r="D30" s="6">
        <f t="shared" si="5"/>
        <v>1.2026156361188576</v>
      </c>
      <c r="E30" s="6">
        <f t="shared" si="5"/>
        <v>1.1332893123290255</v>
      </c>
      <c r="F30" s="6">
        <f t="shared" si="5"/>
        <v>1.0860069965017491</v>
      </c>
      <c r="G30" s="6">
        <f t="shared" si="5"/>
        <v>1.0595073664825045</v>
      </c>
      <c r="H30" s="6">
        <f t="shared" si="5"/>
        <v>1.0324646964623672</v>
      </c>
      <c r="I30" s="6">
        <f t="shared" si="5"/>
        <v>1.0306962025316455</v>
      </c>
      <c r="J30" s="6">
        <f t="shared" si="5"/>
        <v>1.0098300225271351</v>
      </c>
      <c r="K30" s="5"/>
    </row>
    <row r="31" spans="1:11" x14ac:dyDescent="0.3">
      <c r="A31" s="8" t="s">
        <v>36</v>
      </c>
      <c r="B31" s="6">
        <f t="shared" ref="B31:J31" si="6">IFERROR(TRIMMEAN(B16:B24,2/COUNT(B16:B24)),AVERAGE(B16:B24))</f>
        <v>1.634768463692531</v>
      </c>
      <c r="C31" s="6">
        <f t="shared" si="6"/>
        <v>1.2997130491430449</v>
      </c>
      <c r="D31" s="6">
        <f t="shared" si="6"/>
        <v>1.2035673457985274</v>
      </c>
      <c r="E31" s="6">
        <f t="shared" si="6"/>
        <v>1.1328167374946707</v>
      </c>
      <c r="F31" s="6">
        <f t="shared" si="6"/>
        <v>1.0859878241777157</v>
      </c>
      <c r="G31" s="6">
        <f t="shared" si="6"/>
        <v>1.0595712068480923</v>
      </c>
      <c r="H31" s="6">
        <f t="shared" si="6"/>
        <v>1.0319982585981715</v>
      </c>
      <c r="I31" s="6">
        <f t="shared" si="6"/>
        <v>1.0306963596777741</v>
      </c>
      <c r="J31" s="6">
        <f t="shared" si="6"/>
        <v>1.0098300225271351</v>
      </c>
      <c r="K31" s="5"/>
    </row>
    <row r="32" spans="1:11" x14ac:dyDescent="0.3">
      <c r="A32" s="8" t="s">
        <v>37</v>
      </c>
      <c r="B32" s="6">
        <f t="shared" ref="B32:J32" si="7">IFERROR(AVERAGE(B22:B24),AVERAGE(B16:B24))</f>
        <v>1.6099135830203799</v>
      </c>
      <c r="C32" s="6">
        <f t="shared" si="7"/>
        <v>1.2906310187581944</v>
      </c>
      <c r="D32" s="6">
        <f t="shared" si="7"/>
        <v>1.1788366336633664</v>
      </c>
      <c r="E32" s="6">
        <f t="shared" si="7"/>
        <v>1.1333360111072552</v>
      </c>
      <c r="F32" s="6">
        <f t="shared" si="7"/>
        <v>1.0860214013413867</v>
      </c>
      <c r="G32" s="6">
        <f t="shared" si="7"/>
        <v>1.0595056921595236</v>
      </c>
      <c r="H32" s="6">
        <f t="shared" si="7"/>
        <v>1.0324691068617931</v>
      </c>
      <c r="I32" s="6">
        <f t="shared" si="7"/>
        <v>1.0306963596777741</v>
      </c>
      <c r="J32" s="6">
        <f t="shared" si="7"/>
        <v>1.0098300225271351</v>
      </c>
      <c r="K32" s="5"/>
    </row>
    <row r="33" spans="1:11" x14ac:dyDescent="0.3">
      <c r="A33" s="8" t="s">
        <v>38</v>
      </c>
      <c r="B33" s="6">
        <f t="shared" ref="B33:J33" si="8">IFERROR(SUMPRODUCT(B22:B24,B9:B11)/SUMPRODUCT((B22:B24&lt;&gt;"")*B9:B11),SUMPRODUCT(B16:B24,B3:B11)/SUMPRODUCT((B16:B24&lt;&gt;"")*B3:B11))</f>
        <v>1.6060333183250788</v>
      </c>
      <c r="C33" s="6">
        <f t="shared" si="8"/>
        <v>1.2906504065040652</v>
      </c>
      <c r="D33" s="6">
        <f t="shared" si="8"/>
        <v>1.1788366336633664</v>
      </c>
      <c r="E33" s="6">
        <f t="shared" si="8"/>
        <v>1.1332893123290255</v>
      </c>
      <c r="F33" s="6">
        <f t="shared" si="8"/>
        <v>1.0860069965017491</v>
      </c>
      <c r="G33" s="6">
        <f t="shared" si="8"/>
        <v>1.0595073664825045</v>
      </c>
      <c r="H33" s="6">
        <f t="shared" si="8"/>
        <v>1.0324646964623672</v>
      </c>
      <c r="I33" s="6">
        <f t="shared" si="8"/>
        <v>1.0306962025316455</v>
      </c>
      <c r="J33" s="6">
        <f t="shared" si="8"/>
        <v>1.0098300225271351</v>
      </c>
      <c r="K33" s="5"/>
    </row>
    <row r="34" spans="1:11" x14ac:dyDescent="0.3">
      <c r="A34" s="8" t="s">
        <v>39</v>
      </c>
      <c r="B34" s="6">
        <f t="shared" ref="B34:J34" si="9">IFERROR(TRIMMEAN(B22:B24,2/COUNT(B22:B24)),AVERAGE(B16:B24))</f>
        <v>1.6048749198203978</v>
      </c>
      <c r="C34" s="6">
        <f t="shared" si="9"/>
        <v>1.3016590351534214</v>
      </c>
      <c r="D34" s="6">
        <f t="shared" si="9"/>
        <v>1.2031652554386241</v>
      </c>
      <c r="E34" s="6">
        <f t="shared" si="9"/>
        <v>1.1333360111072552</v>
      </c>
      <c r="F34" s="6">
        <f t="shared" si="9"/>
        <v>1.0860214013413867</v>
      </c>
      <c r="G34" s="6">
        <f t="shared" si="9"/>
        <v>1.0595056921595236</v>
      </c>
      <c r="H34" s="6">
        <f t="shared" si="9"/>
        <v>1.0324691068617931</v>
      </c>
      <c r="I34" s="6">
        <f t="shared" si="9"/>
        <v>1.0306963596777741</v>
      </c>
      <c r="J34" s="6">
        <f t="shared" si="9"/>
        <v>1.0098300225271351</v>
      </c>
      <c r="K34" s="5"/>
    </row>
    <row r="35" spans="1:11" x14ac:dyDescent="0.3">
      <c r="A35" s="8" t="s">
        <v>40</v>
      </c>
      <c r="B35" s="6">
        <f t="shared" ref="B35:J35" si="10">IFERROR(AVERAGE(B20:B24),AVERAGE(B16:B24))</f>
        <v>1.6274128430263812</v>
      </c>
      <c r="C35" s="6">
        <f t="shared" si="10"/>
        <v>1.291821824032902</v>
      </c>
      <c r="D35" s="6">
        <f t="shared" si="10"/>
        <v>1.1884811483648658</v>
      </c>
      <c r="E35" s="6">
        <f t="shared" si="10"/>
        <v>1.1326544458945471</v>
      </c>
      <c r="F35" s="6">
        <f t="shared" si="10"/>
        <v>1.0887500000000001</v>
      </c>
      <c r="G35" s="6">
        <f t="shared" si="10"/>
        <v>1.0595056921595236</v>
      </c>
      <c r="H35" s="6">
        <f t="shared" si="10"/>
        <v>1.0324691068617931</v>
      </c>
      <c r="I35" s="6">
        <f t="shared" si="10"/>
        <v>1.0306963596777741</v>
      </c>
      <c r="J35" s="6">
        <f t="shared" si="10"/>
        <v>1.0098300225271351</v>
      </c>
      <c r="K35" s="5"/>
    </row>
    <row r="36" spans="1:11" x14ac:dyDescent="0.3">
      <c r="A36" s="8" t="s">
        <v>41</v>
      </c>
      <c r="B36" s="6">
        <f t="shared" ref="B36:J36" si="11">IFERROR(SUMPRODUCT(B20:B24,B7:B11)/SUMPRODUCT((B20:B24&lt;&gt;"")*B7:B11),SUMPRODUCT(B16:B24,B3:B11)/SUMPRODUCT((B16:B24&lt;&gt;"")*B3:B11))</f>
        <v>1.6243591520022169</v>
      </c>
      <c r="C36" s="6">
        <f t="shared" si="11"/>
        <v>1.291723630245031</v>
      </c>
      <c r="D36" s="6">
        <f t="shared" si="11"/>
        <v>1.1881069285324604</v>
      </c>
      <c r="E36" s="6">
        <f t="shared" si="11"/>
        <v>1.1326458539341715</v>
      </c>
      <c r="F36" s="6">
        <f t="shared" si="11"/>
        <v>1.0887500000000001</v>
      </c>
      <c r="G36" s="6">
        <f t="shared" si="11"/>
        <v>1.0595073664825045</v>
      </c>
      <c r="H36" s="6">
        <f t="shared" si="11"/>
        <v>1.0324646964623672</v>
      </c>
      <c r="I36" s="6">
        <f t="shared" si="11"/>
        <v>1.0306962025316455</v>
      </c>
      <c r="J36" s="6">
        <f t="shared" si="11"/>
        <v>1.0098300225271351</v>
      </c>
      <c r="K36" s="5"/>
    </row>
    <row r="37" spans="1:11" x14ac:dyDescent="0.3">
      <c r="A37" s="8" t="s">
        <v>42</v>
      </c>
      <c r="B37" s="6">
        <f t="shared" ref="B37:J37" si="12">IFERROR(TRIMMEAN(B20:B24,2/COUNT(B20:B24)),AVERAGE(B16:B24))</f>
        <v>1.6362636499455265</v>
      </c>
      <c r="C37" s="6">
        <f t="shared" si="12"/>
        <v>1.2906310187581944</v>
      </c>
      <c r="D37" s="6">
        <f t="shared" si="12"/>
        <v>1.1823020625415834</v>
      </c>
      <c r="E37" s="6">
        <f t="shared" si="12"/>
        <v>1.1333360111072552</v>
      </c>
      <c r="F37" s="6">
        <f t="shared" si="12"/>
        <v>1.0860214013413867</v>
      </c>
      <c r="G37" s="6">
        <f t="shared" si="12"/>
        <v>1.0595056921595236</v>
      </c>
      <c r="H37" s="6">
        <f t="shared" si="12"/>
        <v>1.0324691068617931</v>
      </c>
      <c r="I37" s="6">
        <f t="shared" si="12"/>
        <v>1.0306963596777741</v>
      </c>
      <c r="J37" s="6">
        <f t="shared" si="12"/>
        <v>1.0098300225271351</v>
      </c>
      <c r="K37" s="5"/>
    </row>
    <row r="38" spans="1:11" x14ac:dyDescent="0.3">
      <c r="A38" s="8" t="s">
        <v>43</v>
      </c>
      <c r="B38" s="6">
        <f t="shared" ref="B38:J38" si="13">IFERROR(AVERAGE(B16:B24),AVERAGE(B16:B24))</f>
        <v>1.6323058611739725</v>
      </c>
      <c r="C38" s="6">
        <f t="shared" si="13"/>
        <v>1.3016590351534214</v>
      </c>
      <c r="D38" s="6">
        <f t="shared" si="13"/>
        <v>1.2031652554386241</v>
      </c>
      <c r="E38" s="6">
        <f t="shared" si="13"/>
        <v>1.1333360111072552</v>
      </c>
      <c r="F38" s="6">
        <f t="shared" si="13"/>
        <v>1.0860214013413867</v>
      </c>
      <c r="G38" s="6">
        <f t="shared" si="13"/>
        <v>1.0595056921595236</v>
      </c>
      <c r="H38" s="6">
        <f t="shared" si="13"/>
        <v>1.0324691068617931</v>
      </c>
      <c r="I38" s="6">
        <f t="shared" si="13"/>
        <v>1.0306963596777741</v>
      </c>
      <c r="J38" s="6">
        <f t="shared" si="13"/>
        <v>1.0098300225271351</v>
      </c>
      <c r="K38" s="5"/>
    </row>
    <row r="39" spans="1:11" x14ac:dyDescent="0.3">
      <c r="A39" s="8" t="s">
        <v>44</v>
      </c>
      <c r="B39" s="6">
        <f t="shared" ref="B39:J39" si="14">IFERROR(SUMPRODUCT(B16:B24,B3:B11)/SUMPRODUCT((B16:B24&lt;&gt;"")*B3:B11),SUMPRODUCT(B16:B24,B3:B11)/SUMPRODUCT((B16:B24&lt;&gt;"")*B3:B11))</f>
        <v>1.629996042738425</v>
      </c>
      <c r="C39" s="6">
        <f t="shared" si="14"/>
        <v>1.3011261628855884</v>
      </c>
      <c r="D39" s="6">
        <f t="shared" si="14"/>
        <v>1.2026156361188576</v>
      </c>
      <c r="E39" s="6">
        <f t="shared" si="14"/>
        <v>1.1332893123290255</v>
      </c>
      <c r="F39" s="6">
        <f t="shared" si="14"/>
        <v>1.0860069965017491</v>
      </c>
      <c r="G39" s="6">
        <f t="shared" si="14"/>
        <v>1.0595073664825045</v>
      </c>
      <c r="H39" s="6">
        <f t="shared" si="14"/>
        <v>1.0324646964623672</v>
      </c>
      <c r="I39" s="6">
        <f t="shared" si="14"/>
        <v>1.0306962025316455</v>
      </c>
      <c r="J39" s="6">
        <f t="shared" si="14"/>
        <v>1.0098300225271351</v>
      </c>
      <c r="K39" s="5"/>
    </row>
    <row r="40" spans="1:11" x14ac:dyDescent="0.3">
      <c r="A40" s="8" t="s">
        <v>45</v>
      </c>
      <c r="B40" s="6">
        <f t="shared" ref="B40:J40" si="15">IFERROR(TRIMMEAN(B16:B24,2/COUNT(B16:B24)),AVERAGE(B16:B24))</f>
        <v>1.634768463692531</v>
      </c>
      <c r="C40" s="6">
        <f t="shared" si="15"/>
        <v>1.2997130491430449</v>
      </c>
      <c r="D40" s="6">
        <f t="shared" si="15"/>
        <v>1.2035673457985274</v>
      </c>
      <c r="E40" s="6">
        <f t="shared" si="15"/>
        <v>1.1328167374946707</v>
      </c>
      <c r="F40" s="6">
        <f t="shared" si="15"/>
        <v>1.0859878241777157</v>
      </c>
      <c r="G40" s="6">
        <f t="shared" si="15"/>
        <v>1.0595712068480923</v>
      </c>
      <c r="H40" s="6">
        <f t="shared" si="15"/>
        <v>1.0319982585981715</v>
      </c>
      <c r="I40" s="6">
        <f t="shared" si="15"/>
        <v>1.0306963596777741</v>
      </c>
      <c r="J40" s="6">
        <f t="shared" si="15"/>
        <v>1.0098300225271351</v>
      </c>
      <c r="K40" s="5"/>
    </row>
    <row r="42" spans="1:11" x14ac:dyDescent="0.3">
      <c r="A42" s="25" t="s">
        <v>46</v>
      </c>
      <c r="B42" s="26"/>
      <c r="C42" s="26"/>
      <c r="D42" s="26"/>
      <c r="E42" s="26"/>
      <c r="F42" s="26"/>
      <c r="G42" s="26"/>
      <c r="H42" s="26"/>
      <c r="I42" s="26"/>
      <c r="J42" s="26"/>
      <c r="K42" s="27"/>
    </row>
    <row r="43" spans="1:11" x14ac:dyDescent="0.3">
      <c r="A43" s="1"/>
      <c r="B43" s="2" t="s">
        <v>22</v>
      </c>
      <c r="C43" s="2" t="s">
        <v>23</v>
      </c>
      <c r="D43" s="2" t="s">
        <v>24</v>
      </c>
      <c r="E43" s="2" t="s">
        <v>25</v>
      </c>
      <c r="F43" s="2" t="s">
        <v>26</v>
      </c>
      <c r="G43" s="2" t="s">
        <v>27</v>
      </c>
      <c r="H43" s="2" t="s">
        <v>28</v>
      </c>
      <c r="I43" s="2" t="s">
        <v>29</v>
      </c>
      <c r="J43" s="2" t="s">
        <v>30</v>
      </c>
      <c r="K43" s="2" t="s">
        <v>33</v>
      </c>
    </row>
    <row r="44" spans="1:11" ht="24" x14ac:dyDescent="0.3">
      <c r="A44" s="9" t="s">
        <v>47</v>
      </c>
      <c r="B44" s="10">
        <v>1.6323000000000001</v>
      </c>
      <c r="C44" s="10">
        <v>1.2995000000000001</v>
      </c>
      <c r="D44" s="10">
        <v>1.2032</v>
      </c>
      <c r="E44" s="10">
        <v>1.1334</v>
      </c>
      <c r="F44" s="10">
        <v>1.0860000000000001</v>
      </c>
      <c r="G44" s="10">
        <v>1.0595000000000001</v>
      </c>
      <c r="H44" s="10">
        <v>1.0325</v>
      </c>
      <c r="I44" s="10">
        <v>1.0306999999999999</v>
      </c>
      <c r="J44" s="10">
        <v>1.0098</v>
      </c>
      <c r="K44" s="10">
        <v>1</v>
      </c>
    </row>
    <row r="45" spans="1:11" ht="225.6" x14ac:dyDescent="0.3">
      <c r="A45" s="9" t="s">
        <v>48</v>
      </c>
      <c r="B45" s="11" t="s">
        <v>49</v>
      </c>
      <c r="C45" s="11" t="s">
        <v>50</v>
      </c>
      <c r="D45" s="11" t="s">
        <v>51</v>
      </c>
      <c r="E45" s="11" t="s">
        <v>52</v>
      </c>
      <c r="F45" s="11" t="s">
        <v>53</v>
      </c>
      <c r="G45" s="11" t="s">
        <v>54</v>
      </c>
      <c r="H45" s="11" t="s">
        <v>55</v>
      </c>
      <c r="I45" s="11" t="s">
        <v>56</v>
      </c>
      <c r="J45" s="11" t="s">
        <v>57</v>
      </c>
      <c r="K45" s="11" t="s">
        <v>58</v>
      </c>
    </row>
    <row r="47" spans="1:11" x14ac:dyDescent="0.3">
      <c r="A47" s="12" t="s">
        <v>59</v>
      </c>
      <c r="B47" s="13">
        <v>1.6243000000000001</v>
      </c>
      <c r="C47" s="13">
        <v>1.2946</v>
      </c>
      <c r="D47" s="13">
        <v>1.1955</v>
      </c>
      <c r="E47" s="13">
        <v>1.1336999999999999</v>
      </c>
      <c r="F47" s="13">
        <v>1.0860000000000001</v>
      </c>
      <c r="G47" s="13">
        <v>1.0595000000000001</v>
      </c>
      <c r="H47" s="13">
        <v>1.0325</v>
      </c>
      <c r="I47" s="13">
        <v>1.0306999999999999</v>
      </c>
      <c r="J47" s="13">
        <v>1.0098</v>
      </c>
      <c r="K47" s="13">
        <v>1</v>
      </c>
    </row>
    <row r="48" spans="1:11" ht="409.6" x14ac:dyDescent="0.3">
      <c r="A48" s="12" t="s">
        <v>60</v>
      </c>
      <c r="B48" s="14" t="s">
        <v>61</v>
      </c>
      <c r="C48" s="14" t="s">
        <v>62</v>
      </c>
      <c r="D48" s="14" t="s">
        <v>63</v>
      </c>
      <c r="E48" s="14" t="s">
        <v>64</v>
      </c>
      <c r="F48" s="14" t="s">
        <v>65</v>
      </c>
      <c r="G48" s="14" t="s">
        <v>66</v>
      </c>
      <c r="H48" s="14" t="s">
        <v>67</v>
      </c>
      <c r="I48" s="14" t="s">
        <v>68</v>
      </c>
      <c r="J48" s="14" t="s">
        <v>69</v>
      </c>
      <c r="K48" s="14" t="s">
        <v>70</v>
      </c>
    </row>
    <row r="50" spans="1:11" x14ac:dyDescent="0.3">
      <c r="A50" s="23" t="s">
        <v>71</v>
      </c>
      <c r="B50" s="24"/>
      <c r="C50" s="24"/>
      <c r="D50" s="24"/>
      <c r="E50" s="24"/>
      <c r="F50" s="24"/>
      <c r="G50" s="24"/>
      <c r="H50" s="24"/>
      <c r="I50" s="24"/>
      <c r="J50" s="24"/>
      <c r="K50" s="24"/>
    </row>
    <row r="51" spans="1:11" x14ac:dyDescent="0.3">
      <c r="A51" s="15" t="s">
        <v>72</v>
      </c>
      <c r="B51" s="15" t="str">
        <f>$B$2</f>
        <v>12</v>
      </c>
      <c r="C51" s="15" t="str">
        <f>$C$2</f>
        <v>24</v>
      </c>
      <c r="D51" s="15" t="str">
        <f>$D$2</f>
        <v>36</v>
      </c>
      <c r="E51" s="15" t="str">
        <f>$E$2</f>
        <v>48</v>
      </c>
      <c r="F51" s="15" t="str">
        <f>$F$2</f>
        <v>60</v>
      </c>
      <c r="G51" s="15" t="str">
        <f>$G$2</f>
        <v>72</v>
      </c>
      <c r="H51" s="15" t="str">
        <f>$H$2</f>
        <v>84</v>
      </c>
      <c r="I51" s="15" t="str">
        <f>$I$2</f>
        <v>96</v>
      </c>
      <c r="J51" s="15" t="str">
        <f>$J$2</f>
        <v>108</v>
      </c>
      <c r="K51" s="15" t="str">
        <f>$K$2</f>
        <v>120</v>
      </c>
    </row>
    <row r="52" spans="1:11" x14ac:dyDescent="0.3">
      <c r="A52" s="15" t="s">
        <v>73</v>
      </c>
      <c r="B52" s="16">
        <f t="shared" ref="B52:J52" si="16">B47*C52</f>
        <v>3.5240175543229211</v>
      </c>
      <c r="C52" s="16">
        <f t="shared" si="16"/>
        <v>2.16956076729848</v>
      </c>
      <c r="D52" s="16">
        <f t="shared" si="16"/>
        <v>1.6758541381882281</v>
      </c>
      <c r="E52" s="16">
        <f t="shared" si="16"/>
        <v>1.4018018721775225</v>
      </c>
      <c r="F52" s="16">
        <f t="shared" si="16"/>
        <v>1.2364839659323654</v>
      </c>
      <c r="G52" s="16">
        <f t="shared" si="16"/>
        <v>1.1385671877830252</v>
      </c>
      <c r="H52" s="16">
        <f t="shared" si="16"/>
        <v>1.0746268879500001</v>
      </c>
      <c r="I52" s="16">
        <f t="shared" si="16"/>
        <v>1.04080086</v>
      </c>
      <c r="J52" s="16">
        <f t="shared" si="16"/>
        <v>1.0098</v>
      </c>
      <c r="K52" s="16">
        <f>K47</f>
        <v>1</v>
      </c>
    </row>
    <row r="54" spans="1:11" x14ac:dyDescent="0.3">
      <c r="A54" s="23" t="s">
        <v>74</v>
      </c>
      <c r="B54" s="24"/>
      <c r="C54" s="24"/>
      <c r="D54" s="24"/>
      <c r="E54" s="24"/>
      <c r="F54" s="24"/>
    </row>
    <row r="55" spans="1:11" x14ac:dyDescent="0.3">
      <c r="A55" s="17" t="s">
        <v>75</v>
      </c>
      <c r="B55" s="17" t="s">
        <v>76</v>
      </c>
      <c r="C55" s="17" t="s">
        <v>77</v>
      </c>
      <c r="D55" s="17" t="s">
        <v>78</v>
      </c>
      <c r="E55" s="17" t="s">
        <v>79</v>
      </c>
      <c r="F55" s="17" t="s">
        <v>80</v>
      </c>
    </row>
    <row r="56" spans="1:11" x14ac:dyDescent="0.3">
      <c r="A56" t="str">
        <f t="shared" ref="A56:A65" si="17">A3</f>
        <v>2015</v>
      </c>
      <c r="B56" t="str">
        <f t="shared" ref="B56:B65" si="18">LOOKUP(2,1/(B3:K3&lt;&gt;""),$B$2:$K$2)</f>
        <v>120</v>
      </c>
      <c r="C56" s="18">
        <f t="shared" ref="C56:C65" si="19">LOOKUP(2,1/(B3:K3&lt;&gt;""),B3:K3)</f>
        <v>4931</v>
      </c>
      <c r="D56" s="16">
        <f t="shared" ref="D56:D65" si="20">HLOOKUP(B56,$B$51:$K$52,2,FALSE)</f>
        <v>1</v>
      </c>
      <c r="E56" s="18">
        <f t="shared" ref="E56:E65" si="21">C56*D56</f>
        <v>4931</v>
      </c>
      <c r="F56" s="18">
        <f t="shared" ref="F56:F65" si="22">E56-C56</f>
        <v>0</v>
      </c>
    </row>
    <row r="57" spans="1:11" x14ac:dyDescent="0.3">
      <c r="A57" t="str">
        <f t="shared" si="17"/>
        <v>2016</v>
      </c>
      <c r="B57" t="str">
        <f t="shared" si="18"/>
        <v>108</v>
      </c>
      <c r="C57" s="18">
        <f t="shared" si="19"/>
        <v>4888</v>
      </c>
      <c r="D57" s="16">
        <f t="shared" si="20"/>
        <v>1.0098</v>
      </c>
      <c r="E57" s="18">
        <f t="shared" si="21"/>
        <v>4935.9023999999999</v>
      </c>
      <c r="F57" s="18">
        <f t="shared" si="22"/>
        <v>47.902399999999943</v>
      </c>
    </row>
    <row r="58" spans="1:11" x14ac:dyDescent="0.3">
      <c r="A58" t="str">
        <f t="shared" si="17"/>
        <v>2017</v>
      </c>
      <c r="B58" t="str">
        <f t="shared" si="18"/>
        <v>96</v>
      </c>
      <c r="C58" s="18">
        <f t="shared" si="19"/>
        <v>4704</v>
      </c>
      <c r="D58" s="16">
        <f t="shared" si="20"/>
        <v>1.04080086</v>
      </c>
      <c r="E58" s="18">
        <f t="shared" si="21"/>
        <v>4895.9272454400007</v>
      </c>
      <c r="F58" s="18">
        <f t="shared" si="22"/>
        <v>191.92724544000066</v>
      </c>
    </row>
    <row r="59" spans="1:11" x14ac:dyDescent="0.3">
      <c r="A59" t="str">
        <f t="shared" si="17"/>
        <v>2018</v>
      </c>
      <c r="B59" t="str">
        <f t="shared" si="18"/>
        <v>84</v>
      </c>
      <c r="C59" s="18">
        <f t="shared" si="19"/>
        <v>4672</v>
      </c>
      <c r="D59" s="16">
        <f t="shared" si="20"/>
        <v>1.0746268879500001</v>
      </c>
      <c r="E59" s="18">
        <f t="shared" si="21"/>
        <v>5020.6568205024005</v>
      </c>
      <c r="F59" s="18">
        <f t="shared" si="22"/>
        <v>348.65682050240048</v>
      </c>
    </row>
    <row r="60" spans="1:11" x14ac:dyDescent="0.3">
      <c r="A60" t="str">
        <f t="shared" si="17"/>
        <v>2019</v>
      </c>
      <c r="B60" t="str">
        <f t="shared" si="18"/>
        <v>72</v>
      </c>
      <c r="C60" s="18">
        <f t="shared" si="19"/>
        <v>4355</v>
      </c>
      <c r="D60" s="16">
        <f t="shared" si="20"/>
        <v>1.1385671877830252</v>
      </c>
      <c r="E60" s="18">
        <f t="shared" si="21"/>
        <v>4958.4601027950748</v>
      </c>
      <c r="F60" s="18">
        <f t="shared" si="22"/>
        <v>603.46010279507482</v>
      </c>
    </row>
    <row r="61" spans="1:11" x14ac:dyDescent="0.3">
      <c r="A61" t="str">
        <f t="shared" si="17"/>
        <v>2020</v>
      </c>
      <c r="B61" t="str">
        <f t="shared" si="18"/>
        <v>60</v>
      </c>
      <c r="C61" s="18">
        <f t="shared" si="19"/>
        <v>4018</v>
      </c>
      <c r="D61" s="16">
        <f t="shared" si="20"/>
        <v>1.2364839659323654</v>
      </c>
      <c r="E61" s="18">
        <f t="shared" si="21"/>
        <v>4968.1925751162444</v>
      </c>
      <c r="F61" s="18">
        <f t="shared" si="22"/>
        <v>950.19257511624437</v>
      </c>
    </row>
    <row r="62" spans="1:11" x14ac:dyDescent="0.3">
      <c r="A62" t="str">
        <f t="shared" si="17"/>
        <v>2021</v>
      </c>
      <c r="B62" t="str">
        <f t="shared" si="18"/>
        <v>48</v>
      </c>
      <c r="C62" s="18">
        <f t="shared" si="19"/>
        <v>3810</v>
      </c>
      <c r="D62" s="16">
        <f t="shared" si="20"/>
        <v>1.4018018721775225</v>
      </c>
      <c r="E62" s="18">
        <f t="shared" si="21"/>
        <v>5340.8651329963604</v>
      </c>
      <c r="F62" s="18">
        <f t="shared" si="22"/>
        <v>1530.8651329963604</v>
      </c>
    </row>
    <row r="63" spans="1:11" x14ac:dyDescent="0.3">
      <c r="A63" t="str">
        <f t="shared" si="17"/>
        <v>2022</v>
      </c>
      <c r="B63" t="str">
        <f t="shared" si="18"/>
        <v>36</v>
      </c>
      <c r="C63" s="18">
        <f t="shared" si="19"/>
        <v>3118</v>
      </c>
      <c r="D63" s="16">
        <f t="shared" si="20"/>
        <v>1.6758541381882281</v>
      </c>
      <c r="E63" s="18">
        <f t="shared" si="21"/>
        <v>5225.3132028708951</v>
      </c>
      <c r="F63" s="18">
        <f t="shared" si="22"/>
        <v>2107.3132028708951</v>
      </c>
    </row>
    <row r="64" spans="1:11" x14ac:dyDescent="0.3">
      <c r="A64" t="str">
        <f t="shared" si="17"/>
        <v>2023</v>
      </c>
      <c r="B64" t="str">
        <f t="shared" si="18"/>
        <v>24</v>
      </c>
      <c r="C64" s="18">
        <f t="shared" si="19"/>
        <v>2214</v>
      </c>
      <c r="D64" s="16">
        <f t="shared" si="20"/>
        <v>2.16956076729848</v>
      </c>
      <c r="E64" s="18">
        <f t="shared" si="21"/>
        <v>4803.407538798835</v>
      </c>
      <c r="F64" s="18">
        <f t="shared" si="22"/>
        <v>2589.407538798835</v>
      </c>
    </row>
    <row r="65" spans="1:6" x14ac:dyDescent="0.3">
      <c r="A65" t="str">
        <f t="shared" si="17"/>
        <v>2024</v>
      </c>
      <c r="B65" t="str">
        <f t="shared" si="18"/>
        <v>12</v>
      </c>
      <c r="C65" s="18">
        <f t="shared" si="19"/>
        <v>1306</v>
      </c>
      <c r="D65" s="16">
        <f t="shared" si="20"/>
        <v>3.5240175543229211</v>
      </c>
      <c r="E65" s="18">
        <f t="shared" si="21"/>
        <v>4602.3669259457347</v>
      </c>
      <c r="F65" s="18">
        <f t="shared" si="22"/>
        <v>3296.3669259457347</v>
      </c>
    </row>
  </sheetData>
  <mergeCells count="6">
    <mergeCell ref="A54:F54"/>
    <mergeCell ref="A50:K50"/>
    <mergeCell ref="A14:J14"/>
    <mergeCell ref="A42:K42"/>
    <mergeCell ref="A1:K1"/>
    <mergeCell ref="A27:K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81</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4">
        <v>11627267.83</v>
      </c>
      <c r="C3" s="4">
        <v>20653632.66</v>
      </c>
      <c r="D3" s="4">
        <v>26906900.670000002</v>
      </c>
      <c r="E3" s="4">
        <v>32368466.190000001</v>
      </c>
      <c r="F3" s="4">
        <v>36019780.829999998</v>
      </c>
      <c r="G3" s="4">
        <v>38691737.539999999</v>
      </c>
      <c r="H3" s="4">
        <v>41059068.420000002</v>
      </c>
      <c r="I3" s="4">
        <v>42724572.159999996</v>
      </c>
      <c r="J3" s="4">
        <v>44116939.799999997</v>
      </c>
      <c r="K3" s="4">
        <v>45008437.700000003</v>
      </c>
    </row>
    <row r="4" spans="1:11" x14ac:dyDescent="0.3">
      <c r="A4" s="3" t="s">
        <v>12</v>
      </c>
      <c r="B4" s="4">
        <v>15659162.32</v>
      </c>
      <c r="C4" s="4">
        <v>27000294.43</v>
      </c>
      <c r="D4" s="4">
        <v>35836571.259999998</v>
      </c>
      <c r="E4" s="4">
        <v>43320370.780000001</v>
      </c>
      <c r="F4" s="4">
        <v>48820279.560000002</v>
      </c>
      <c r="G4" s="4">
        <v>52433700.380000003</v>
      </c>
      <c r="H4" s="4">
        <v>55594500.549999997</v>
      </c>
      <c r="I4" s="4">
        <v>57975403.770000003</v>
      </c>
      <c r="J4" s="4">
        <v>59922623.840000004</v>
      </c>
      <c r="K4" s="5"/>
    </row>
    <row r="5" spans="1:11" x14ac:dyDescent="0.3">
      <c r="A5" s="3" t="s">
        <v>13</v>
      </c>
      <c r="B5" s="4">
        <v>8748708.8000000007</v>
      </c>
      <c r="C5" s="4">
        <v>16546771.5</v>
      </c>
      <c r="D5" s="4">
        <v>22307048.489999998</v>
      </c>
      <c r="E5" s="4">
        <v>26810590.079999998</v>
      </c>
      <c r="F5" s="4">
        <v>29894431.559999999</v>
      </c>
      <c r="G5" s="4">
        <v>32089210.640000001</v>
      </c>
      <c r="H5" s="4">
        <v>33883395</v>
      </c>
      <c r="I5" s="4">
        <v>35372411.740000002</v>
      </c>
      <c r="J5" s="5"/>
      <c r="K5" s="5"/>
    </row>
    <row r="6" spans="1:11" x14ac:dyDescent="0.3">
      <c r="A6" s="3" t="s">
        <v>14</v>
      </c>
      <c r="B6" s="4">
        <v>14603977.73</v>
      </c>
      <c r="C6" s="4">
        <v>27127517.77</v>
      </c>
      <c r="D6" s="4">
        <v>36408877.090000004</v>
      </c>
      <c r="E6" s="4">
        <v>44313752.689999998</v>
      </c>
      <c r="F6" s="4">
        <v>48910946.310000002</v>
      </c>
      <c r="G6" s="4">
        <v>52335355.479999997</v>
      </c>
      <c r="H6" s="4">
        <v>55323529.149999999</v>
      </c>
      <c r="I6" s="5"/>
      <c r="J6" s="5"/>
      <c r="K6" s="5"/>
    </row>
    <row r="7" spans="1:11" x14ac:dyDescent="0.3">
      <c r="A7" s="3" t="s">
        <v>15</v>
      </c>
      <c r="B7" s="4">
        <v>11848186.24</v>
      </c>
      <c r="C7" s="4">
        <v>21551392.109999999</v>
      </c>
      <c r="D7" s="4">
        <v>28587864.75</v>
      </c>
      <c r="E7" s="4">
        <v>33824977.439999998</v>
      </c>
      <c r="F7" s="4">
        <v>37539642.310000002</v>
      </c>
      <c r="G7" s="4">
        <v>40379699.289999999</v>
      </c>
      <c r="H7" s="5"/>
      <c r="I7" s="5"/>
      <c r="J7" s="5"/>
      <c r="K7" s="5"/>
    </row>
    <row r="8" spans="1:11" x14ac:dyDescent="0.3">
      <c r="A8" s="3" t="s">
        <v>16</v>
      </c>
      <c r="B8" s="4">
        <v>10527840.300000001</v>
      </c>
      <c r="C8" s="4">
        <v>19226888.309999999</v>
      </c>
      <c r="D8" s="4">
        <v>26322577.59</v>
      </c>
      <c r="E8" s="4">
        <v>31532412.620000001</v>
      </c>
      <c r="F8" s="4">
        <v>34927144.100000001</v>
      </c>
      <c r="G8" s="5"/>
      <c r="H8" s="5"/>
      <c r="I8" s="5"/>
      <c r="J8" s="5"/>
      <c r="K8" s="5"/>
    </row>
    <row r="9" spans="1:11" x14ac:dyDescent="0.3">
      <c r="A9" s="3" t="s">
        <v>17</v>
      </c>
      <c r="B9" s="4">
        <v>18975774.370000001</v>
      </c>
      <c r="C9" s="4">
        <v>35129945.950000003</v>
      </c>
      <c r="D9" s="4">
        <v>46173829.479999997</v>
      </c>
      <c r="E9" s="4">
        <v>55221806.450000003</v>
      </c>
      <c r="F9" s="5"/>
      <c r="G9" s="5"/>
      <c r="H9" s="5"/>
      <c r="I9" s="5"/>
      <c r="J9" s="5"/>
      <c r="K9" s="5"/>
    </row>
    <row r="10" spans="1:11" x14ac:dyDescent="0.3">
      <c r="A10" s="3" t="s">
        <v>18</v>
      </c>
      <c r="B10" s="4">
        <v>11283551.76</v>
      </c>
      <c r="C10" s="4">
        <v>20133767.670000002</v>
      </c>
      <c r="D10" s="4">
        <v>27042042.170000002</v>
      </c>
      <c r="E10" s="5"/>
      <c r="F10" s="5"/>
      <c r="G10" s="5"/>
      <c r="H10" s="5"/>
      <c r="I10" s="5"/>
      <c r="J10" s="5"/>
      <c r="K10" s="5"/>
    </row>
    <row r="11" spans="1:11" x14ac:dyDescent="0.3">
      <c r="A11" s="3" t="s">
        <v>19</v>
      </c>
      <c r="B11" s="4">
        <v>12074753.07</v>
      </c>
      <c r="C11" s="4">
        <v>21336027.800000001</v>
      </c>
      <c r="D11" s="5"/>
      <c r="E11" s="5"/>
      <c r="F11" s="5"/>
      <c r="G11" s="5"/>
      <c r="H11" s="5"/>
      <c r="I11" s="5"/>
      <c r="J11" s="5"/>
      <c r="K11" s="5"/>
    </row>
    <row r="12" spans="1:11" x14ac:dyDescent="0.3">
      <c r="A12" s="3" t="s">
        <v>20</v>
      </c>
      <c r="B12" s="4">
        <v>15929923.890000001</v>
      </c>
      <c r="C12" s="5"/>
      <c r="D12" s="5"/>
      <c r="E12" s="5"/>
      <c r="F12" s="5"/>
      <c r="G12" s="5"/>
      <c r="H12" s="5"/>
      <c r="I12" s="5"/>
      <c r="J12" s="5"/>
      <c r="K12" s="5"/>
    </row>
    <row r="14" spans="1:11" x14ac:dyDescent="0.3">
      <c r="A14" s="25" t="s">
        <v>21</v>
      </c>
      <c r="B14" s="26"/>
      <c r="C14" s="26"/>
      <c r="D14" s="26"/>
      <c r="E14" s="26"/>
      <c r="F14" s="26"/>
      <c r="G14" s="26"/>
      <c r="H14" s="26"/>
      <c r="I14" s="26"/>
      <c r="J14" s="27"/>
    </row>
    <row r="15" spans="1:11" x14ac:dyDescent="0.3">
      <c r="A15" s="1"/>
      <c r="B15" s="2" t="s">
        <v>22</v>
      </c>
      <c r="C15" s="2" t="s">
        <v>23</v>
      </c>
      <c r="D15" s="2" t="s">
        <v>24</v>
      </c>
      <c r="E15" s="2" t="s">
        <v>25</v>
      </c>
      <c r="F15" s="2" t="s">
        <v>26</v>
      </c>
      <c r="G15" s="2" t="s">
        <v>27</v>
      </c>
      <c r="H15" s="2" t="s">
        <v>28</v>
      </c>
      <c r="I15" s="2" t="s">
        <v>29</v>
      </c>
      <c r="J15" s="2" t="s">
        <v>30</v>
      </c>
    </row>
    <row r="16" spans="1:11" x14ac:dyDescent="0.3">
      <c r="A16" s="3" t="s">
        <v>11</v>
      </c>
      <c r="B16" s="6">
        <f t="shared" ref="B16:J16" si="0">C3/B3</f>
        <v>1.7763100465193291</v>
      </c>
      <c r="C16" s="6">
        <f t="shared" si="0"/>
        <v>1.3027684336669132</v>
      </c>
      <c r="D16" s="6">
        <f t="shared" si="0"/>
        <v>1.2029801048802846</v>
      </c>
      <c r="E16" s="6">
        <f t="shared" si="0"/>
        <v>1.1128046852318274</v>
      </c>
      <c r="F16" s="6">
        <f t="shared" si="0"/>
        <v>1.0741802600801666</v>
      </c>
      <c r="G16" s="6">
        <f t="shared" si="0"/>
        <v>1.0611844034544229</v>
      </c>
      <c r="H16" s="6">
        <f t="shared" si="0"/>
        <v>1.0405636027335856</v>
      </c>
      <c r="I16" s="6">
        <f t="shared" si="0"/>
        <v>1.0325893875492935</v>
      </c>
      <c r="J16" s="6">
        <f t="shared" si="0"/>
        <v>1.0202076096855659</v>
      </c>
    </row>
    <row r="17" spans="1:11" x14ac:dyDescent="0.3">
      <c r="A17" s="3" t="s">
        <v>12</v>
      </c>
      <c r="B17" s="6">
        <f t="shared" ref="B17:I17" si="1">C4/B4</f>
        <v>1.7242489654452984</v>
      </c>
      <c r="C17" s="6">
        <f t="shared" si="1"/>
        <v>1.3272659434477136</v>
      </c>
      <c r="D17" s="6">
        <f t="shared" si="1"/>
        <v>1.2088313490066851</v>
      </c>
      <c r="E17" s="6">
        <f t="shared" si="1"/>
        <v>1.1269589498190349</v>
      </c>
      <c r="F17" s="6">
        <f t="shared" si="1"/>
        <v>1.0740147506848894</v>
      </c>
      <c r="G17" s="6">
        <f t="shared" si="1"/>
        <v>1.0602818444453261</v>
      </c>
      <c r="H17" s="6">
        <f t="shared" si="1"/>
        <v>1.042826236344343</v>
      </c>
      <c r="I17" s="6">
        <f t="shared" si="1"/>
        <v>1.0335870031664636</v>
      </c>
      <c r="J17" s="5"/>
    </row>
    <row r="18" spans="1:11" x14ac:dyDescent="0.3">
      <c r="A18" s="3" t="s">
        <v>13</v>
      </c>
      <c r="B18" s="6">
        <f t="shared" ref="B18:H18" si="2">C5/B5</f>
        <v>1.8913386967457413</v>
      </c>
      <c r="C18" s="6">
        <f t="shared" si="2"/>
        <v>1.3481209002009846</v>
      </c>
      <c r="D18" s="6">
        <f t="shared" si="2"/>
        <v>1.2018887255308064</v>
      </c>
      <c r="E18" s="6">
        <f t="shared" si="2"/>
        <v>1.1150232602414993</v>
      </c>
      <c r="F18" s="6">
        <f t="shared" si="2"/>
        <v>1.073417655578931</v>
      </c>
      <c r="G18" s="6">
        <f t="shared" si="2"/>
        <v>1.0559123868807014</v>
      </c>
      <c r="H18" s="6">
        <f t="shared" si="2"/>
        <v>1.0439453230704894</v>
      </c>
      <c r="I18" s="5"/>
      <c r="J18" s="5"/>
    </row>
    <row r="19" spans="1:11" x14ac:dyDescent="0.3">
      <c r="A19" s="3" t="s">
        <v>14</v>
      </c>
      <c r="B19" s="6">
        <f t="shared" ref="B19:G19" si="3">C6/B6</f>
        <v>1.857543079805833</v>
      </c>
      <c r="C19" s="6">
        <f t="shared" si="3"/>
        <v>1.3421381712360041</v>
      </c>
      <c r="D19" s="6">
        <f t="shared" si="3"/>
        <v>1.2171139631815542</v>
      </c>
      <c r="E19" s="6">
        <f t="shared" si="3"/>
        <v>1.1037419162434741</v>
      </c>
      <c r="F19" s="6">
        <f t="shared" si="3"/>
        <v>1.0700131448755033</v>
      </c>
      <c r="G19" s="6">
        <f t="shared" si="3"/>
        <v>1.0570966537361524</v>
      </c>
      <c r="H19" s="5"/>
      <c r="I19" s="5"/>
      <c r="J19" s="5"/>
    </row>
    <row r="20" spans="1:11" x14ac:dyDescent="0.3">
      <c r="A20" s="3" t="s">
        <v>15</v>
      </c>
      <c r="B20" s="6">
        <f>C7/B7</f>
        <v>1.8189612885423381</v>
      </c>
      <c r="C20" s="6">
        <f>D7/C7</f>
        <v>1.3264973605456805</v>
      </c>
      <c r="D20" s="6">
        <f>E7/D7</f>
        <v>1.1831935590782447</v>
      </c>
      <c r="E20" s="6">
        <f>F7/E7</f>
        <v>1.1098201728763668</v>
      </c>
      <c r="F20" s="6">
        <f>G7/F7</f>
        <v>1.0756548758921831</v>
      </c>
      <c r="G20" s="5"/>
      <c r="H20" s="5"/>
      <c r="I20" s="5"/>
      <c r="J20" s="5"/>
    </row>
    <row r="21" spans="1:11" x14ac:dyDescent="0.3">
      <c r="A21" s="3" t="s">
        <v>16</v>
      </c>
      <c r="B21" s="6">
        <f>C8/B8</f>
        <v>1.8262898906245755</v>
      </c>
      <c r="C21" s="6">
        <f>D8/C8</f>
        <v>1.3690503198226569</v>
      </c>
      <c r="D21" s="6">
        <f>E8/D8</f>
        <v>1.1979226772981089</v>
      </c>
      <c r="E21" s="6">
        <f>F8/E8</f>
        <v>1.1076584757693686</v>
      </c>
      <c r="F21" s="5"/>
      <c r="G21" s="5"/>
      <c r="H21" s="5"/>
      <c r="I21" s="5"/>
      <c r="J21" s="5"/>
    </row>
    <row r="22" spans="1:11" x14ac:dyDescent="0.3">
      <c r="A22" s="3" t="s">
        <v>17</v>
      </c>
      <c r="B22" s="6">
        <f>C9/B9</f>
        <v>1.8513049989432395</v>
      </c>
      <c r="C22" s="6">
        <f>D9/C9</f>
        <v>1.3143723461948564</v>
      </c>
      <c r="D22" s="6">
        <f>E9/D9</f>
        <v>1.1959546581233662</v>
      </c>
      <c r="E22" s="5"/>
      <c r="F22" s="5"/>
      <c r="G22" s="5"/>
      <c r="H22" s="5"/>
      <c r="I22" s="5"/>
      <c r="J22" s="5"/>
    </row>
    <row r="23" spans="1:11" x14ac:dyDescent="0.3">
      <c r="A23" s="3" t="s">
        <v>18</v>
      </c>
      <c r="B23" s="6">
        <f>C10/B10</f>
        <v>1.7843466399803178</v>
      </c>
      <c r="C23" s="6">
        <f>D10/C10</f>
        <v>1.3431188147806814</v>
      </c>
      <c r="D23" s="5"/>
      <c r="E23" s="5"/>
      <c r="F23" s="5"/>
      <c r="G23" s="5"/>
      <c r="H23" s="5"/>
      <c r="I23" s="5"/>
      <c r="J23" s="5"/>
    </row>
    <row r="24" spans="1:11" x14ac:dyDescent="0.3">
      <c r="A24" s="3" t="s">
        <v>19</v>
      </c>
      <c r="B24" s="6">
        <f>C11/B11</f>
        <v>1.7669949585147087</v>
      </c>
      <c r="C24" s="5"/>
      <c r="D24" s="5"/>
      <c r="E24" s="5"/>
      <c r="F24" s="5"/>
      <c r="G24" s="5"/>
      <c r="H24" s="5"/>
      <c r="I24" s="5"/>
      <c r="J24" s="5"/>
    </row>
    <row r="25" spans="1:11" x14ac:dyDescent="0.3">
      <c r="A25" s="3" t="s">
        <v>20</v>
      </c>
      <c r="B25" s="5"/>
      <c r="C25" s="5"/>
      <c r="D25" s="5"/>
      <c r="E25" s="5"/>
      <c r="F25" s="5"/>
      <c r="G25" s="5"/>
      <c r="H25" s="5"/>
      <c r="I25" s="5"/>
      <c r="J25" s="5"/>
    </row>
    <row r="27" spans="1:11" x14ac:dyDescent="0.3">
      <c r="A27" s="25" t="s">
        <v>31</v>
      </c>
      <c r="B27" s="26"/>
      <c r="C27" s="26"/>
      <c r="D27" s="26"/>
      <c r="E27" s="26"/>
      <c r="F27" s="26"/>
      <c r="G27" s="26"/>
      <c r="H27" s="26"/>
      <c r="I27" s="26"/>
      <c r="J27" s="26"/>
      <c r="K27" s="27"/>
    </row>
    <row r="28" spans="1:11" x14ac:dyDescent="0.3">
      <c r="A28" s="7" t="s">
        <v>32</v>
      </c>
      <c r="B28" s="2" t="s">
        <v>22</v>
      </c>
      <c r="C28" s="2" t="s">
        <v>23</v>
      </c>
      <c r="D28" s="2" t="s">
        <v>24</v>
      </c>
      <c r="E28" s="2" t="s">
        <v>25</v>
      </c>
      <c r="F28" s="2" t="s">
        <v>26</v>
      </c>
      <c r="G28" s="2" t="s">
        <v>27</v>
      </c>
      <c r="H28" s="2" t="s">
        <v>28</v>
      </c>
      <c r="I28" s="2" t="s">
        <v>29</v>
      </c>
      <c r="J28" s="2" t="s">
        <v>30</v>
      </c>
      <c r="K28" s="2" t="s">
        <v>33</v>
      </c>
    </row>
    <row r="29" spans="1:11" x14ac:dyDescent="0.3">
      <c r="A29" s="8" t="s">
        <v>34</v>
      </c>
      <c r="B29" s="6">
        <f t="shared" ref="B29:J29" si="4">IFERROR(AVERAGE(B16:B24),AVERAGE(B16:B24))</f>
        <v>1.8108153961245981</v>
      </c>
      <c r="C29" s="6">
        <f t="shared" si="4"/>
        <v>1.3341665362369362</v>
      </c>
      <c r="D29" s="6">
        <f t="shared" si="4"/>
        <v>1.201126433871293</v>
      </c>
      <c r="E29" s="6">
        <f t="shared" si="4"/>
        <v>1.1126679100302619</v>
      </c>
      <c r="F29" s="6">
        <f t="shared" si="4"/>
        <v>1.0734561374223346</v>
      </c>
      <c r="G29" s="6">
        <f t="shared" si="4"/>
        <v>1.0586188221291506</v>
      </c>
      <c r="H29" s="6">
        <f t="shared" si="4"/>
        <v>1.0424450540494725</v>
      </c>
      <c r="I29" s="6">
        <f t="shared" si="4"/>
        <v>1.0330881953578785</v>
      </c>
      <c r="J29" s="6">
        <f t="shared" si="4"/>
        <v>1.0202076096855659</v>
      </c>
      <c r="K29" s="5"/>
    </row>
    <row r="30" spans="1:11" x14ac:dyDescent="0.3">
      <c r="A30" s="8" t="s">
        <v>35</v>
      </c>
      <c r="B30" s="6">
        <f t="shared" ref="B30:J30" si="5">IFERROR(SUMPRODUCT(B16:B24,B3:B11)/SUMPRODUCT((B16:B24&lt;&gt;"")*B3:B11),SUMPRODUCT(B16:B24,B3:B11)/SUMPRODUCT((B16:B24&lt;&gt;"")*B3:B11))</f>
        <v>1.8093423936580708</v>
      </c>
      <c r="C30" s="6">
        <f t="shared" si="5"/>
        <v>1.3320458517241436</v>
      </c>
      <c r="D30" s="6">
        <f t="shared" si="5"/>
        <v>1.2015276689515526</v>
      </c>
      <c r="E30" s="6">
        <f t="shared" si="5"/>
        <v>1.1128415448597244</v>
      </c>
      <c r="F30" s="6">
        <f t="shared" si="5"/>
        <v>1.0732888478520641</v>
      </c>
      <c r="G30" s="6">
        <f t="shared" si="5"/>
        <v>1.0587324912715508</v>
      </c>
      <c r="H30" s="6">
        <f t="shared" si="5"/>
        <v>1.0424050286727378</v>
      </c>
      <c r="I30" s="6">
        <f t="shared" si="5"/>
        <v>1.0331637389101407</v>
      </c>
      <c r="J30" s="6">
        <f t="shared" si="5"/>
        <v>1.0202076096855659</v>
      </c>
      <c r="K30" s="5"/>
    </row>
    <row r="31" spans="1:11" x14ac:dyDescent="0.3">
      <c r="A31" s="8" t="s">
        <v>36</v>
      </c>
      <c r="B31" s="6">
        <f t="shared" ref="B31:J31" si="6">IFERROR(TRIMMEAN(B16:B24,2/COUNT(B16:B24)),AVERAGE(B16:B24))</f>
        <v>1.8116787004186203</v>
      </c>
      <c r="C31" s="6">
        <f t="shared" si="6"/>
        <v>1.3335855894009867</v>
      </c>
      <c r="D31" s="6">
        <f t="shared" si="6"/>
        <v>1.2015155029678504</v>
      </c>
      <c r="E31" s="6">
        <f t="shared" si="6"/>
        <v>1.1113266485297655</v>
      </c>
      <c r="F31" s="6">
        <f t="shared" si="6"/>
        <v>1.0738708887813289</v>
      </c>
      <c r="G31" s="6">
        <f t="shared" si="6"/>
        <v>1.0586892490907394</v>
      </c>
      <c r="H31" s="6">
        <f t="shared" si="6"/>
        <v>1.042826236344343</v>
      </c>
      <c r="I31" s="6">
        <f t="shared" si="6"/>
        <v>1.0330881953578785</v>
      </c>
      <c r="J31" s="6">
        <f t="shared" si="6"/>
        <v>1.0202076096855659</v>
      </c>
      <c r="K31" s="5"/>
    </row>
    <row r="32" spans="1:11" x14ac:dyDescent="0.3">
      <c r="A32" s="8" t="s">
        <v>37</v>
      </c>
      <c r="B32" s="6">
        <f t="shared" ref="B32:J32" si="7">IFERROR(AVERAGE(B22:B24),AVERAGE(B16:B24))</f>
        <v>1.8008821991460886</v>
      </c>
      <c r="C32" s="6">
        <f t="shared" si="7"/>
        <v>1.328745580487769</v>
      </c>
      <c r="D32" s="6">
        <f t="shared" si="7"/>
        <v>1.1959546581233662</v>
      </c>
      <c r="E32" s="6">
        <f t="shared" si="7"/>
        <v>1.1126679100302619</v>
      </c>
      <c r="F32" s="6">
        <f t="shared" si="7"/>
        <v>1.0734561374223346</v>
      </c>
      <c r="G32" s="6">
        <f t="shared" si="7"/>
        <v>1.0586188221291506</v>
      </c>
      <c r="H32" s="6">
        <f t="shared" si="7"/>
        <v>1.0424450540494725</v>
      </c>
      <c r="I32" s="6">
        <f t="shared" si="7"/>
        <v>1.0330881953578785</v>
      </c>
      <c r="J32" s="6">
        <f t="shared" si="7"/>
        <v>1.0202076096855659</v>
      </c>
      <c r="K32" s="5"/>
    </row>
    <row r="33" spans="1:11" x14ac:dyDescent="0.3">
      <c r="A33" s="8" t="s">
        <v>38</v>
      </c>
      <c r="B33" s="6">
        <f t="shared" ref="B33:J33" si="8">IFERROR(SUMPRODUCT(B22:B24,B9:B11)/SUMPRODUCT((B22:B24&lt;&gt;"")*B9:B11),SUMPRODUCT(B16:B24,B3:B11)/SUMPRODUCT((B16:B24&lt;&gt;"")*B3:B11))</f>
        <v>1.8094108308844472</v>
      </c>
      <c r="C33" s="6">
        <f t="shared" si="8"/>
        <v>1.3248453072379685</v>
      </c>
      <c r="D33" s="6">
        <f t="shared" si="8"/>
        <v>1.1959546581233662</v>
      </c>
      <c r="E33" s="6">
        <f t="shared" si="8"/>
        <v>1.1128415448597244</v>
      </c>
      <c r="F33" s="6">
        <f t="shared" si="8"/>
        <v>1.0732888478520641</v>
      </c>
      <c r="G33" s="6">
        <f t="shared" si="8"/>
        <v>1.0587324912715508</v>
      </c>
      <c r="H33" s="6">
        <f t="shared" si="8"/>
        <v>1.0424050286727378</v>
      </c>
      <c r="I33" s="6">
        <f t="shared" si="8"/>
        <v>1.0331637389101407</v>
      </c>
      <c r="J33" s="6">
        <f t="shared" si="8"/>
        <v>1.0202076096855659</v>
      </c>
      <c r="K33" s="5"/>
    </row>
    <row r="34" spans="1:11" x14ac:dyDescent="0.3">
      <c r="A34" s="8" t="s">
        <v>39</v>
      </c>
      <c r="B34" s="6">
        <f t="shared" ref="B34:J34" si="9">IFERROR(TRIMMEAN(B22:B24,2/COUNT(B22:B24)),AVERAGE(B16:B24))</f>
        <v>1.7843466399803178</v>
      </c>
      <c r="C34" s="6">
        <f t="shared" si="9"/>
        <v>1.3341665362369362</v>
      </c>
      <c r="D34" s="6">
        <f t="shared" si="9"/>
        <v>1.201126433871293</v>
      </c>
      <c r="E34" s="6">
        <f t="shared" si="9"/>
        <v>1.1126679100302619</v>
      </c>
      <c r="F34" s="6">
        <f t="shared" si="9"/>
        <v>1.0734561374223346</v>
      </c>
      <c r="G34" s="6">
        <f t="shared" si="9"/>
        <v>1.0586188221291506</v>
      </c>
      <c r="H34" s="6">
        <f t="shared" si="9"/>
        <v>1.0424450540494725</v>
      </c>
      <c r="I34" s="6">
        <f t="shared" si="9"/>
        <v>1.0330881953578785</v>
      </c>
      <c r="J34" s="6">
        <f t="shared" si="9"/>
        <v>1.0202076096855659</v>
      </c>
      <c r="K34" s="5"/>
    </row>
    <row r="35" spans="1:11" x14ac:dyDescent="0.3">
      <c r="A35" s="8" t="s">
        <v>40</v>
      </c>
      <c r="B35" s="6">
        <f t="shared" ref="B35:J35" si="10">IFERROR(AVERAGE(B20:B24),AVERAGE(B16:B24))</f>
        <v>1.8095795553210359</v>
      </c>
      <c r="C35" s="6">
        <f t="shared" si="10"/>
        <v>1.3382597103359688</v>
      </c>
      <c r="D35" s="6">
        <f t="shared" si="10"/>
        <v>1.1923569648332399</v>
      </c>
      <c r="E35" s="6">
        <f t="shared" si="10"/>
        <v>1.1087393243228676</v>
      </c>
      <c r="F35" s="6">
        <f t="shared" si="10"/>
        <v>1.0756548758921831</v>
      </c>
      <c r="G35" s="6">
        <f t="shared" si="10"/>
        <v>1.0586188221291506</v>
      </c>
      <c r="H35" s="6">
        <f t="shared" si="10"/>
        <v>1.0424450540494725</v>
      </c>
      <c r="I35" s="6">
        <f t="shared" si="10"/>
        <v>1.0330881953578785</v>
      </c>
      <c r="J35" s="6">
        <f t="shared" si="10"/>
        <v>1.0202076096855659</v>
      </c>
      <c r="K35" s="5"/>
    </row>
    <row r="36" spans="1:11" x14ac:dyDescent="0.3">
      <c r="A36" s="8" t="s">
        <v>41</v>
      </c>
      <c r="B36" s="6">
        <f t="shared" ref="B36:J36" si="11">IFERROR(SUMPRODUCT(B20:B24,B7:B11)/SUMPRODUCT((B20:B24&lt;&gt;"")*B7:B11),SUMPRODUCT(B16:B24,B3:B11)/SUMPRODUCT((B16:B24&lt;&gt;"")*B3:B11))</f>
        <v>1.8139055793173242</v>
      </c>
      <c r="C36" s="6">
        <f t="shared" si="11"/>
        <v>1.3340655332149536</v>
      </c>
      <c r="D36" s="6">
        <f t="shared" si="11"/>
        <v>1.1928581404307337</v>
      </c>
      <c r="E36" s="6">
        <f t="shared" si="11"/>
        <v>1.108777237638672</v>
      </c>
      <c r="F36" s="6">
        <f t="shared" si="11"/>
        <v>1.0756548758921831</v>
      </c>
      <c r="G36" s="6">
        <f t="shared" si="11"/>
        <v>1.0587324912715508</v>
      </c>
      <c r="H36" s="6">
        <f t="shared" si="11"/>
        <v>1.0424050286727378</v>
      </c>
      <c r="I36" s="6">
        <f t="shared" si="11"/>
        <v>1.0331637389101407</v>
      </c>
      <c r="J36" s="6">
        <f t="shared" si="11"/>
        <v>1.0202076096855659</v>
      </c>
      <c r="K36" s="5"/>
    </row>
    <row r="37" spans="1:11" x14ac:dyDescent="0.3">
      <c r="A37" s="8" t="s">
        <v>42</v>
      </c>
      <c r="B37" s="6">
        <f t="shared" ref="B37:J37" si="12">IFERROR(TRIMMEAN(B20:B24,2/COUNT(B20:B24)),AVERAGE(B16:B24))</f>
        <v>1.8098659397157437</v>
      </c>
      <c r="C37" s="6">
        <f t="shared" si="12"/>
        <v>1.3348080876631809</v>
      </c>
      <c r="D37" s="6">
        <f t="shared" si="12"/>
        <v>1.1959546581233662</v>
      </c>
      <c r="E37" s="6">
        <f t="shared" si="12"/>
        <v>1.1126679100302619</v>
      </c>
      <c r="F37" s="6">
        <f t="shared" si="12"/>
        <v>1.0734561374223346</v>
      </c>
      <c r="G37" s="6">
        <f t="shared" si="12"/>
        <v>1.0586188221291506</v>
      </c>
      <c r="H37" s="6">
        <f t="shared" si="12"/>
        <v>1.0424450540494725</v>
      </c>
      <c r="I37" s="6">
        <f t="shared" si="12"/>
        <v>1.0330881953578785</v>
      </c>
      <c r="J37" s="6">
        <f t="shared" si="12"/>
        <v>1.0202076096855659</v>
      </c>
      <c r="K37" s="5"/>
    </row>
    <row r="38" spans="1:11" x14ac:dyDescent="0.3">
      <c r="A38" s="8" t="s">
        <v>43</v>
      </c>
      <c r="B38" s="6">
        <f t="shared" ref="B38:J38" si="13">IFERROR(AVERAGE(B16:B24),AVERAGE(B16:B24))</f>
        <v>1.8108153961245981</v>
      </c>
      <c r="C38" s="6">
        <f t="shared" si="13"/>
        <v>1.3341665362369362</v>
      </c>
      <c r="D38" s="6">
        <f t="shared" si="13"/>
        <v>1.201126433871293</v>
      </c>
      <c r="E38" s="6">
        <f t="shared" si="13"/>
        <v>1.1126679100302619</v>
      </c>
      <c r="F38" s="6">
        <f t="shared" si="13"/>
        <v>1.0734561374223346</v>
      </c>
      <c r="G38" s="6">
        <f t="shared" si="13"/>
        <v>1.0586188221291506</v>
      </c>
      <c r="H38" s="6">
        <f t="shared" si="13"/>
        <v>1.0424450540494725</v>
      </c>
      <c r="I38" s="6">
        <f t="shared" si="13"/>
        <v>1.0330881953578785</v>
      </c>
      <c r="J38" s="6">
        <f t="shared" si="13"/>
        <v>1.0202076096855659</v>
      </c>
      <c r="K38" s="5"/>
    </row>
    <row r="39" spans="1:11" x14ac:dyDescent="0.3">
      <c r="A39" s="8" t="s">
        <v>44</v>
      </c>
      <c r="B39" s="6">
        <f t="shared" ref="B39:J39" si="14">IFERROR(SUMPRODUCT(B16:B24,B3:B11)/SUMPRODUCT((B16:B24&lt;&gt;"")*B3:B11),SUMPRODUCT(B16:B24,B3:B11)/SUMPRODUCT((B16:B24&lt;&gt;"")*B3:B11))</f>
        <v>1.8093423936580708</v>
      </c>
      <c r="C39" s="6">
        <f t="shared" si="14"/>
        <v>1.3320458517241436</v>
      </c>
      <c r="D39" s="6">
        <f t="shared" si="14"/>
        <v>1.2015276689515526</v>
      </c>
      <c r="E39" s="6">
        <f t="shared" si="14"/>
        <v>1.1128415448597244</v>
      </c>
      <c r="F39" s="6">
        <f t="shared" si="14"/>
        <v>1.0732888478520641</v>
      </c>
      <c r="G39" s="6">
        <f t="shared" si="14"/>
        <v>1.0587324912715508</v>
      </c>
      <c r="H39" s="6">
        <f t="shared" si="14"/>
        <v>1.0424050286727378</v>
      </c>
      <c r="I39" s="6">
        <f t="shared" si="14"/>
        <v>1.0331637389101407</v>
      </c>
      <c r="J39" s="6">
        <f t="shared" si="14"/>
        <v>1.0202076096855659</v>
      </c>
      <c r="K39" s="5"/>
    </row>
    <row r="40" spans="1:11" x14ac:dyDescent="0.3">
      <c r="A40" s="8" t="s">
        <v>45</v>
      </c>
      <c r="B40" s="6">
        <f t="shared" ref="B40:J40" si="15">IFERROR(TRIMMEAN(B16:B24,2/COUNT(B16:B24)),AVERAGE(B16:B24))</f>
        <v>1.8116787004186203</v>
      </c>
      <c r="C40" s="6">
        <f t="shared" si="15"/>
        <v>1.3335855894009867</v>
      </c>
      <c r="D40" s="6">
        <f t="shared" si="15"/>
        <v>1.2015155029678504</v>
      </c>
      <c r="E40" s="6">
        <f t="shared" si="15"/>
        <v>1.1113266485297655</v>
      </c>
      <c r="F40" s="6">
        <f t="shared" si="15"/>
        <v>1.0738708887813289</v>
      </c>
      <c r="G40" s="6">
        <f t="shared" si="15"/>
        <v>1.0586892490907394</v>
      </c>
      <c r="H40" s="6">
        <f t="shared" si="15"/>
        <v>1.042826236344343</v>
      </c>
      <c r="I40" s="6">
        <f t="shared" si="15"/>
        <v>1.0330881953578785</v>
      </c>
      <c r="J40" s="6">
        <f t="shared" si="15"/>
        <v>1.0202076096855659</v>
      </c>
      <c r="K40" s="5"/>
    </row>
    <row r="42" spans="1:11" x14ac:dyDescent="0.3">
      <c r="A42" s="25" t="s">
        <v>46</v>
      </c>
      <c r="B42" s="26"/>
      <c r="C42" s="26"/>
      <c r="D42" s="26"/>
      <c r="E42" s="26"/>
      <c r="F42" s="26"/>
      <c r="G42" s="26"/>
      <c r="H42" s="26"/>
      <c r="I42" s="26"/>
      <c r="J42" s="26"/>
      <c r="K42" s="27"/>
    </row>
    <row r="43" spans="1:11" x14ac:dyDescent="0.3">
      <c r="A43" s="1"/>
      <c r="B43" s="2" t="s">
        <v>22</v>
      </c>
      <c r="C43" s="2" t="s">
        <v>23</v>
      </c>
      <c r="D43" s="2" t="s">
        <v>24</v>
      </c>
      <c r="E43" s="2" t="s">
        <v>25</v>
      </c>
      <c r="F43" s="2" t="s">
        <v>26</v>
      </c>
      <c r="G43" s="2" t="s">
        <v>27</v>
      </c>
      <c r="H43" s="2" t="s">
        <v>28</v>
      </c>
      <c r="I43" s="2" t="s">
        <v>29</v>
      </c>
      <c r="J43" s="2" t="s">
        <v>30</v>
      </c>
      <c r="K43" s="2" t="s">
        <v>33</v>
      </c>
    </row>
    <row r="44" spans="1:11" ht="24" x14ac:dyDescent="0.3">
      <c r="A44" s="9" t="s">
        <v>47</v>
      </c>
      <c r="B44" s="10">
        <v>1.8092999999999999</v>
      </c>
      <c r="C44" s="10">
        <v>1.333</v>
      </c>
      <c r="D44" s="10">
        <v>1.2015</v>
      </c>
      <c r="E44" s="10">
        <v>1.1128</v>
      </c>
      <c r="F44" s="10">
        <v>1.0732999999999999</v>
      </c>
      <c r="G44" s="10">
        <v>1.0587</v>
      </c>
      <c r="H44" s="10">
        <v>1.0424</v>
      </c>
      <c r="I44" s="10">
        <v>1.0331999999999999</v>
      </c>
      <c r="J44" s="10">
        <v>1.0202</v>
      </c>
      <c r="K44" s="10">
        <v>1.0049999999999999</v>
      </c>
    </row>
    <row r="45" spans="1:11" ht="327.60000000000002" x14ac:dyDescent="0.3">
      <c r="A45" s="9" t="s">
        <v>48</v>
      </c>
      <c r="B45" s="11" t="s">
        <v>82</v>
      </c>
      <c r="C45" s="11" t="s">
        <v>83</v>
      </c>
      <c r="D45" s="11" t="s">
        <v>84</v>
      </c>
      <c r="E45" s="11" t="s">
        <v>85</v>
      </c>
      <c r="F45" s="11" t="s">
        <v>86</v>
      </c>
      <c r="G45" s="11" t="s">
        <v>87</v>
      </c>
      <c r="H45" s="11" t="s">
        <v>88</v>
      </c>
      <c r="I45" s="11" t="s">
        <v>89</v>
      </c>
      <c r="J45" s="11" t="s">
        <v>90</v>
      </c>
      <c r="K45" s="11" t="s">
        <v>91</v>
      </c>
    </row>
    <row r="47" spans="1:11" x14ac:dyDescent="0.3">
      <c r="A47" s="12" t="s">
        <v>59</v>
      </c>
      <c r="B47" s="13">
        <v>1.8066</v>
      </c>
      <c r="C47" s="13">
        <v>1.3358000000000001</v>
      </c>
      <c r="D47" s="13">
        <v>1.1997</v>
      </c>
      <c r="E47" s="13">
        <v>1.1128</v>
      </c>
      <c r="F47" s="13">
        <v>1.0732999999999999</v>
      </c>
      <c r="G47" s="13">
        <v>1.0587</v>
      </c>
      <c r="H47" s="13">
        <v>1.0424</v>
      </c>
      <c r="I47" s="13">
        <v>1.0331999999999999</v>
      </c>
      <c r="J47" s="13">
        <v>1.0202</v>
      </c>
      <c r="K47" s="13">
        <v>1.0125</v>
      </c>
    </row>
    <row r="48" spans="1:11" ht="409.6" x14ac:dyDescent="0.3">
      <c r="A48" s="12" t="s">
        <v>60</v>
      </c>
      <c r="B48" s="14" t="s">
        <v>92</v>
      </c>
      <c r="C48" s="14" t="s">
        <v>93</v>
      </c>
      <c r="D48" s="14" t="s">
        <v>94</v>
      </c>
      <c r="E48" s="14" t="s">
        <v>95</v>
      </c>
      <c r="F48" s="14" t="s">
        <v>96</v>
      </c>
      <c r="G48" s="14" t="s">
        <v>97</v>
      </c>
      <c r="H48" s="14" t="s">
        <v>98</v>
      </c>
      <c r="I48" s="14" t="s">
        <v>99</v>
      </c>
      <c r="J48" s="14" t="s">
        <v>100</v>
      </c>
      <c r="K48" s="14" t="s">
        <v>101</v>
      </c>
    </row>
    <row r="50" spans="1:11" x14ac:dyDescent="0.3">
      <c r="A50" s="23" t="s">
        <v>71</v>
      </c>
      <c r="B50" s="24"/>
      <c r="C50" s="24"/>
      <c r="D50" s="24"/>
      <c r="E50" s="24"/>
      <c r="F50" s="24"/>
      <c r="G50" s="24"/>
      <c r="H50" s="24"/>
      <c r="I50" s="24"/>
      <c r="J50" s="24"/>
      <c r="K50" s="24"/>
    </row>
    <row r="51" spans="1:11" x14ac:dyDescent="0.3">
      <c r="A51" s="15" t="s">
        <v>72</v>
      </c>
      <c r="B51" s="15" t="str">
        <f>$B$2</f>
        <v>12</v>
      </c>
      <c r="C51" s="15" t="str">
        <f>$C$2</f>
        <v>24</v>
      </c>
      <c r="D51" s="15" t="str">
        <f>$D$2</f>
        <v>36</v>
      </c>
      <c r="E51" s="15" t="str">
        <f>$E$2</f>
        <v>48</v>
      </c>
      <c r="F51" s="15" t="str">
        <f>$F$2</f>
        <v>60</v>
      </c>
      <c r="G51" s="15" t="str">
        <f>$G$2</f>
        <v>72</v>
      </c>
      <c r="H51" s="15" t="str">
        <f>$H$2</f>
        <v>84</v>
      </c>
      <c r="I51" s="15" t="str">
        <f>$I$2</f>
        <v>96</v>
      </c>
      <c r="J51" s="15" t="str">
        <f>$J$2</f>
        <v>108</v>
      </c>
      <c r="K51" s="15" t="str">
        <f>$K$2</f>
        <v>120</v>
      </c>
    </row>
    <row r="52" spans="1:11" x14ac:dyDescent="0.3">
      <c r="A52" s="15" t="s">
        <v>73</v>
      </c>
      <c r="B52" s="16">
        <f t="shared" ref="B52:J52" si="16">B47*C52</f>
        <v>4.0727374546889514</v>
      </c>
      <c r="C52" s="16">
        <f t="shared" si="16"/>
        <v>2.2543659109315572</v>
      </c>
      <c r="D52" s="16">
        <f t="shared" si="16"/>
        <v>1.6876522764871666</v>
      </c>
      <c r="E52" s="16">
        <f t="shared" si="16"/>
        <v>1.4067285792174433</v>
      </c>
      <c r="F52" s="16">
        <f t="shared" si="16"/>
        <v>1.2641342372550712</v>
      </c>
      <c r="G52" s="16">
        <f t="shared" si="16"/>
        <v>1.1778013950014641</v>
      </c>
      <c r="H52" s="16">
        <f t="shared" si="16"/>
        <v>1.1124977755751999</v>
      </c>
      <c r="I52" s="16">
        <f t="shared" si="16"/>
        <v>1.0672465229999999</v>
      </c>
      <c r="J52" s="16">
        <f t="shared" si="16"/>
        <v>1.0329524999999999</v>
      </c>
      <c r="K52" s="16">
        <f>K47</f>
        <v>1.0125</v>
      </c>
    </row>
    <row r="54" spans="1:11" x14ac:dyDescent="0.3">
      <c r="A54" s="23" t="s">
        <v>74</v>
      </c>
      <c r="B54" s="24"/>
      <c r="C54" s="24"/>
      <c r="D54" s="24"/>
      <c r="E54" s="24"/>
      <c r="F54" s="24"/>
    </row>
    <row r="55" spans="1:11" x14ac:dyDescent="0.3">
      <c r="A55" s="17" t="s">
        <v>75</v>
      </c>
      <c r="B55" s="17" t="s">
        <v>76</v>
      </c>
      <c r="C55" s="17" t="s">
        <v>77</v>
      </c>
      <c r="D55" s="17" t="s">
        <v>78</v>
      </c>
      <c r="E55" s="17" t="s">
        <v>79</v>
      </c>
      <c r="F55" s="17" t="s">
        <v>80</v>
      </c>
    </row>
    <row r="56" spans="1:11" x14ac:dyDescent="0.3">
      <c r="A56" t="str">
        <f t="shared" ref="A56:A65" si="17">A3</f>
        <v>2015</v>
      </c>
      <c r="B56" t="str">
        <f t="shared" ref="B56:B65" si="18">LOOKUP(2,1/(B3:K3&lt;&gt;""),$B$2:$K$2)</f>
        <v>120</v>
      </c>
      <c r="C56" s="18">
        <f t="shared" ref="C56:C65" si="19">LOOKUP(2,1/(B3:K3&lt;&gt;""),B3:K3)</f>
        <v>45008437.700000003</v>
      </c>
      <c r="D56" s="16">
        <f t="shared" ref="D56:D65" si="20">HLOOKUP(B56,$B$51:$K$52,2,FALSE)</f>
        <v>1.0125</v>
      </c>
      <c r="E56" s="18">
        <f t="shared" ref="E56:E65" si="21">C56*D56</f>
        <v>45571043.171250001</v>
      </c>
      <c r="F56" s="18">
        <f t="shared" ref="F56:F65" si="22">E56-C56</f>
        <v>562605.47124999762</v>
      </c>
    </row>
    <row r="57" spans="1:11" x14ac:dyDescent="0.3">
      <c r="A57" t="str">
        <f t="shared" si="17"/>
        <v>2016</v>
      </c>
      <c r="B57" t="str">
        <f t="shared" si="18"/>
        <v>108</v>
      </c>
      <c r="C57" s="18">
        <f t="shared" si="19"/>
        <v>59922623.840000004</v>
      </c>
      <c r="D57" s="16">
        <f t="shared" si="20"/>
        <v>1.0329524999999999</v>
      </c>
      <c r="E57" s="18">
        <f t="shared" si="21"/>
        <v>61897224.102087602</v>
      </c>
      <c r="F57" s="18">
        <f t="shared" si="22"/>
        <v>1974600.2620875984</v>
      </c>
    </row>
    <row r="58" spans="1:11" x14ac:dyDescent="0.3">
      <c r="A58" t="str">
        <f t="shared" si="17"/>
        <v>2017</v>
      </c>
      <c r="B58" t="str">
        <f t="shared" si="18"/>
        <v>96</v>
      </c>
      <c r="C58" s="18">
        <f t="shared" si="19"/>
        <v>35372411.740000002</v>
      </c>
      <c r="D58" s="16">
        <f t="shared" si="20"/>
        <v>1.0672465229999999</v>
      </c>
      <c r="E58" s="18">
        <f t="shared" si="21"/>
        <v>37751083.439639382</v>
      </c>
      <c r="F58" s="18">
        <f t="shared" si="22"/>
        <v>2378671.69963938</v>
      </c>
    </row>
    <row r="59" spans="1:11" x14ac:dyDescent="0.3">
      <c r="A59" t="str">
        <f t="shared" si="17"/>
        <v>2018</v>
      </c>
      <c r="B59" t="str">
        <f t="shared" si="18"/>
        <v>84</v>
      </c>
      <c r="C59" s="18">
        <f t="shared" si="19"/>
        <v>55323529.149999999</v>
      </c>
      <c r="D59" s="16">
        <f t="shared" si="20"/>
        <v>1.1124977755751999</v>
      </c>
      <c r="E59" s="18">
        <f t="shared" si="21"/>
        <v>61547303.116344728</v>
      </c>
      <c r="F59" s="18">
        <f t="shared" si="22"/>
        <v>6223773.9663447291</v>
      </c>
    </row>
    <row r="60" spans="1:11" x14ac:dyDescent="0.3">
      <c r="A60" t="str">
        <f t="shared" si="17"/>
        <v>2019</v>
      </c>
      <c r="B60" t="str">
        <f t="shared" si="18"/>
        <v>72</v>
      </c>
      <c r="C60" s="18">
        <f t="shared" si="19"/>
        <v>40379699.289999999</v>
      </c>
      <c r="D60" s="16">
        <f t="shared" si="20"/>
        <v>1.1778013950014641</v>
      </c>
      <c r="E60" s="18">
        <f t="shared" si="21"/>
        <v>47559266.15350163</v>
      </c>
      <c r="F60" s="18">
        <f t="shared" si="22"/>
        <v>7179566.8635016307</v>
      </c>
    </row>
    <row r="61" spans="1:11" x14ac:dyDescent="0.3">
      <c r="A61" t="str">
        <f t="shared" si="17"/>
        <v>2020</v>
      </c>
      <c r="B61" t="str">
        <f t="shared" si="18"/>
        <v>60</v>
      </c>
      <c r="C61" s="18">
        <f t="shared" si="19"/>
        <v>34927144.100000001</v>
      </c>
      <c r="D61" s="16">
        <f t="shared" si="20"/>
        <v>1.2641342372550712</v>
      </c>
      <c r="E61" s="18">
        <f t="shared" si="21"/>
        <v>44152598.66635146</v>
      </c>
      <c r="F61" s="18">
        <f t="shared" si="22"/>
        <v>9225454.5663514584</v>
      </c>
    </row>
    <row r="62" spans="1:11" x14ac:dyDescent="0.3">
      <c r="A62" t="str">
        <f t="shared" si="17"/>
        <v>2021</v>
      </c>
      <c r="B62" t="str">
        <f t="shared" si="18"/>
        <v>48</v>
      </c>
      <c r="C62" s="18">
        <f t="shared" si="19"/>
        <v>55221806.450000003</v>
      </c>
      <c r="D62" s="16">
        <f t="shared" si="20"/>
        <v>1.4067285792174433</v>
      </c>
      <c r="E62" s="18">
        <f t="shared" si="21"/>
        <v>77682093.329229146</v>
      </c>
      <c r="F62" s="18">
        <f t="shared" si="22"/>
        <v>22460286.879229143</v>
      </c>
    </row>
    <row r="63" spans="1:11" x14ac:dyDescent="0.3">
      <c r="A63" t="str">
        <f t="shared" si="17"/>
        <v>2022</v>
      </c>
      <c r="B63" t="str">
        <f t="shared" si="18"/>
        <v>36</v>
      </c>
      <c r="C63" s="18">
        <f t="shared" si="19"/>
        <v>27042042.170000002</v>
      </c>
      <c r="D63" s="16">
        <f t="shared" si="20"/>
        <v>1.6876522764871666</v>
      </c>
      <c r="E63" s="18">
        <f t="shared" si="21"/>
        <v>45637564.029062465</v>
      </c>
      <c r="F63" s="18">
        <f t="shared" si="22"/>
        <v>18595521.859062463</v>
      </c>
    </row>
    <row r="64" spans="1:11" x14ac:dyDescent="0.3">
      <c r="A64" t="str">
        <f t="shared" si="17"/>
        <v>2023</v>
      </c>
      <c r="B64" t="str">
        <f t="shared" si="18"/>
        <v>24</v>
      </c>
      <c r="C64" s="18">
        <f t="shared" si="19"/>
        <v>21336027.800000001</v>
      </c>
      <c r="D64" s="16">
        <f t="shared" si="20"/>
        <v>2.2543659109315572</v>
      </c>
      <c r="E64" s="18">
        <f t="shared" si="21"/>
        <v>48099213.747008033</v>
      </c>
      <c r="F64" s="18">
        <f t="shared" si="22"/>
        <v>26763185.947008032</v>
      </c>
    </row>
    <row r="65" spans="1:6" x14ac:dyDescent="0.3">
      <c r="A65" t="str">
        <f t="shared" si="17"/>
        <v>2024</v>
      </c>
      <c r="B65" t="str">
        <f t="shared" si="18"/>
        <v>12</v>
      </c>
      <c r="C65" s="18">
        <f t="shared" si="19"/>
        <v>15929923.890000001</v>
      </c>
      <c r="D65" s="16">
        <f t="shared" si="20"/>
        <v>4.0727374546889514</v>
      </c>
      <c r="E65" s="18">
        <f t="shared" si="21"/>
        <v>64878397.677147321</v>
      </c>
      <c r="F65" s="18">
        <f t="shared" si="22"/>
        <v>48948473.787147321</v>
      </c>
    </row>
  </sheetData>
  <mergeCells count="6">
    <mergeCell ref="A54:F54"/>
    <mergeCell ref="A50:K50"/>
    <mergeCell ref="A14:J14"/>
    <mergeCell ref="A42:K42"/>
    <mergeCell ref="A1:K1"/>
    <mergeCell ref="A27:K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5"/>
  <sheetViews>
    <sheetView tabSelected="1" workbookViewId="0">
      <pane xSplit="1" ySplit="1" topLeftCell="B45" activePane="bottomRight" state="frozen"/>
      <selection pane="topRight"/>
      <selection pane="bottomLeft"/>
      <selection pane="bottomRight" activeCell="O45" sqref="O45"/>
    </sheetView>
  </sheetViews>
  <sheetFormatPr defaultRowHeight="14.4" x14ac:dyDescent="0.3"/>
  <sheetData>
    <row r="1" spans="1:11" x14ac:dyDescent="0.3">
      <c r="A1" s="25" t="s">
        <v>102</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4">
        <v>9247456.8499999996</v>
      </c>
      <c r="C3" s="4">
        <v>16887332.41</v>
      </c>
      <c r="D3" s="4">
        <v>23000568.52</v>
      </c>
      <c r="E3" s="4">
        <v>27802345.870000001</v>
      </c>
      <c r="F3" s="4">
        <v>31644816.079999998</v>
      </c>
      <c r="G3" s="4">
        <v>35019498.119999997</v>
      </c>
      <c r="H3" s="4">
        <v>38226728.689999998</v>
      </c>
      <c r="I3" s="4">
        <v>40633312.560000002</v>
      </c>
      <c r="J3" s="4">
        <v>43136150.420000002</v>
      </c>
      <c r="K3" s="4">
        <v>45008437.670000002</v>
      </c>
    </row>
    <row r="4" spans="1:11" x14ac:dyDescent="0.3">
      <c r="A4" s="3" t="s">
        <v>12</v>
      </c>
      <c r="B4" s="4">
        <v>12224783.550000001</v>
      </c>
      <c r="C4" s="4">
        <v>23009582.960000001</v>
      </c>
      <c r="D4" s="4">
        <v>31462133.59</v>
      </c>
      <c r="E4" s="4">
        <v>38324866.259999998</v>
      </c>
      <c r="F4" s="4">
        <v>44020225.530000001</v>
      </c>
      <c r="G4" s="4">
        <v>48826739.909999996</v>
      </c>
      <c r="H4" s="4">
        <v>52977179.82</v>
      </c>
      <c r="I4" s="4">
        <v>56150430.549999997</v>
      </c>
      <c r="J4" s="4">
        <v>59267698.340000004</v>
      </c>
      <c r="K4" s="5"/>
    </row>
    <row r="5" spans="1:11" x14ac:dyDescent="0.3">
      <c r="A5" s="3" t="s">
        <v>13</v>
      </c>
      <c r="B5" s="4">
        <v>7651942.9199999999</v>
      </c>
      <c r="C5" s="4">
        <v>14311315.83</v>
      </c>
      <c r="D5" s="4">
        <v>19921863.899999999</v>
      </c>
      <c r="E5" s="4">
        <v>24002300.82</v>
      </c>
      <c r="F5" s="4">
        <v>27560045.440000001</v>
      </c>
      <c r="G5" s="4">
        <v>30585360.379999999</v>
      </c>
      <c r="H5" s="4">
        <v>33007872.539999999</v>
      </c>
      <c r="I5" s="4">
        <v>34907742.219999999</v>
      </c>
      <c r="J5" s="5"/>
      <c r="K5" s="5"/>
    </row>
    <row r="6" spans="1:11" x14ac:dyDescent="0.3">
      <c r="A6" s="3" t="s">
        <v>14</v>
      </c>
      <c r="B6" s="4">
        <v>12066429.1</v>
      </c>
      <c r="C6" s="4">
        <v>22556335.539999999</v>
      </c>
      <c r="D6" s="4">
        <v>31035721.699999999</v>
      </c>
      <c r="E6" s="4">
        <v>37766430.75</v>
      </c>
      <c r="F6" s="4">
        <v>43524051.369999997</v>
      </c>
      <c r="G6" s="4">
        <v>48248010.039999999</v>
      </c>
      <c r="H6" s="4">
        <v>52422359.539999999</v>
      </c>
      <c r="I6" s="5"/>
      <c r="J6" s="5"/>
      <c r="K6" s="5"/>
    </row>
    <row r="7" spans="1:11" x14ac:dyDescent="0.3">
      <c r="A7" s="3" t="s">
        <v>15</v>
      </c>
      <c r="B7" s="4">
        <v>10064764.9</v>
      </c>
      <c r="C7" s="4">
        <v>18121547.350000001</v>
      </c>
      <c r="D7" s="4">
        <v>24840287.379999999</v>
      </c>
      <c r="E7" s="4">
        <v>29715356.629999999</v>
      </c>
      <c r="F7" s="4">
        <v>34177567.560000002</v>
      </c>
      <c r="G7" s="4">
        <v>37924647.520000003</v>
      </c>
      <c r="H7" s="5"/>
      <c r="I7" s="5"/>
      <c r="J7" s="5"/>
      <c r="K7" s="5"/>
    </row>
    <row r="8" spans="1:11" x14ac:dyDescent="0.3">
      <c r="A8" s="3" t="s">
        <v>16</v>
      </c>
      <c r="B8" s="4">
        <v>8963797.5999999996</v>
      </c>
      <c r="C8" s="4">
        <v>15917604.49</v>
      </c>
      <c r="D8" s="4">
        <v>22113680.02</v>
      </c>
      <c r="E8" s="4">
        <v>26981140.690000001</v>
      </c>
      <c r="F8" s="4">
        <v>30760499.66</v>
      </c>
      <c r="G8" s="5"/>
      <c r="H8" s="5"/>
      <c r="I8" s="5"/>
      <c r="J8" s="5"/>
      <c r="K8" s="5"/>
    </row>
    <row r="9" spans="1:11" x14ac:dyDescent="0.3">
      <c r="A9" s="3" t="s">
        <v>17</v>
      </c>
      <c r="B9" s="4">
        <v>15964354.24</v>
      </c>
      <c r="C9" s="4">
        <v>28485180.18</v>
      </c>
      <c r="D9" s="4">
        <v>38015718.950000003</v>
      </c>
      <c r="E9" s="4">
        <v>46187014.539999999</v>
      </c>
      <c r="F9" s="5"/>
      <c r="G9" s="5"/>
      <c r="H9" s="5"/>
      <c r="I9" s="5"/>
      <c r="J9" s="5"/>
      <c r="K9" s="5"/>
    </row>
    <row r="10" spans="1:11" x14ac:dyDescent="0.3">
      <c r="A10" s="3" t="s">
        <v>18</v>
      </c>
      <c r="B10" s="4">
        <v>8984185.1199999992</v>
      </c>
      <c r="C10" s="4">
        <v>16619561.77</v>
      </c>
      <c r="D10" s="4">
        <v>23102956.850000001</v>
      </c>
      <c r="E10" s="5"/>
      <c r="F10" s="5"/>
      <c r="G10" s="5"/>
      <c r="H10" s="5"/>
      <c r="I10" s="5"/>
      <c r="J10" s="5"/>
      <c r="K10" s="5"/>
    </row>
    <row r="11" spans="1:11" x14ac:dyDescent="0.3">
      <c r="A11" s="3" t="s">
        <v>19</v>
      </c>
      <c r="B11" s="4">
        <v>9774276.1199999992</v>
      </c>
      <c r="C11" s="4">
        <v>17919593.719999999</v>
      </c>
      <c r="D11" s="5"/>
      <c r="E11" s="5"/>
      <c r="F11" s="5"/>
      <c r="G11" s="5"/>
      <c r="H11" s="5"/>
      <c r="I11" s="5"/>
      <c r="J11" s="5"/>
      <c r="K11" s="5"/>
    </row>
    <row r="12" spans="1:11" x14ac:dyDescent="0.3">
      <c r="A12" s="3" t="s">
        <v>20</v>
      </c>
      <c r="B12" s="4">
        <v>13261356.27</v>
      </c>
      <c r="C12" s="5"/>
      <c r="D12" s="5"/>
      <c r="E12" s="5"/>
      <c r="F12" s="5"/>
      <c r="G12" s="5"/>
      <c r="H12" s="5"/>
      <c r="I12" s="5"/>
      <c r="J12" s="5"/>
      <c r="K12" s="5"/>
    </row>
    <row r="14" spans="1:11" x14ac:dyDescent="0.3">
      <c r="A14" s="25" t="s">
        <v>21</v>
      </c>
      <c r="B14" s="26"/>
      <c r="C14" s="26"/>
      <c r="D14" s="26"/>
      <c r="E14" s="26"/>
      <c r="F14" s="26"/>
      <c r="G14" s="26"/>
      <c r="H14" s="26"/>
      <c r="I14" s="26"/>
      <c r="J14" s="27"/>
    </row>
    <row r="15" spans="1:11" x14ac:dyDescent="0.3">
      <c r="A15" s="1"/>
      <c r="B15" s="2" t="s">
        <v>22</v>
      </c>
      <c r="C15" s="2" t="s">
        <v>23</v>
      </c>
      <c r="D15" s="2" t="s">
        <v>24</v>
      </c>
      <c r="E15" s="2" t="s">
        <v>25</v>
      </c>
      <c r="F15" s="2" t="s">
        <v>26</v>
      </c>
      <c r="G15" s="2" t="s">
        <v>27</v>
      </c>
      <c r="H15" s="2" t="s">
        <v>28</v>
      </c>
      <c r="I15" s="2" t="s">
        <v>29</v>
      </c>
      <c r="J15" s="2" t="s">
        <v>30</v>
      </c>
    </row>
    <row r="16" spans="1:11" x14ac:dyDescent="0.3">
      <c r="A16" s="3" t="s">
        <v>11</v>
      </c>
      <c r="B16" s="6">
        <f t="shared" ref="B16:J16" si="0">C3/B3</f>
        <v>1.8261596332833929</v>
      </c>
      <c r="C16" s="6">
        <f t="shared" si="0"/>
        <v>1.3620012895808213</v>
      </c>
      <c r="D16" s="6">
        <f t="shared" si="0"/>
        <v>1.208767767884722</v>
      </c>
      <c r="E16" s="6">
        <f t="shared" si="0"/>
        <v>1.1382066904701806</v>
      </c>
      <c r="F16" s="6">
        <f t="shared" si="0"/>
        <v>1.1066424918213651</v>
      </c>
      <c r="G16" s="6">
        <f t="shared" si="0"/>
        <v>1.0915841386135776</v>
      </c>
      <c r="H16" s="6">
        <f t="shared" si="0"/>
        <v>1.0629555275188787</v>
      </c>
      <c r="I16" s="6">
        <f t="shared" si="0"/>
        <v>1.0615957130323612</v>
      </c>
      <c r="J16" s="6">
        <f t="shared" si="0"/>
        <v>1.043404133928741</v>
      </c>
    </row>
    <row r="17" spans="1:11" x14ac:dyDescent="0.3">
      <c r="A17" s="3" t="s">
        <v>12</v>
      </c>
      <c r="B17" s="6">
        <f t="shared" ref="B17:I17" si="1">C4/B4</f>
        <v>1.882207800726255</v>
      </c>
      <c r="C17" s="6">
        <f t="shared" si="1"/>
        <v>1.3673491451233151</v>
      </c>
      <c r="D17" s="6">
        <f t="shared" si="1"/>
        <v>1.2181267411623116</v>
      </c>
      <c r="E17" s="6">
        <f t="shared" si="1"/>
        <v>1.1486074140836415</v>
      </c>
      <c r="F17" s="6">
        <f t="shared" si="1"/>
        <v>1.1091887722547975</v>
      </c>
      <c r="G17" s="6">
        <f t="shared" si="1"/>
        <v>1.0850034206185035</v>
      </c>
      <c r="H17" s="6">
        <f t="shared" si="1"/>
        <v>1.0598984457228888</v>
      </c>
      <c r="I17" s="6">
        <f t="shared" si="1"/>
        <v>1.0555163648696191</v>
      </c>
      <c r="J17" s="5"/>
    </row>
    <row r="18" spans="1:11" x14ac:dyDescent="0.3">
      <c r="A18" s="3" t="s">
        <v>13</v>
      </c>
      <c r="B18" s="6">
        <f t="shared" ref="B18:H18" si="2">C5/B5</f>
        <v>1.8702852307737812</v>
      </c>
      <c r="C18" s="6">
        <f t="shared" si="2"/>
        <v>1.3920357943774062</v>
      </c>
      <c r="D18" s="6">
        <f t="shared" si="2"/>
        <v>1.2048220457926129</v>
      </c>
      <c r="E18" s="6">
        <f t="shared" si="2"/>
        <v>1.1482251491921764</v>
      </c>
      <c r="F18" s="6">
        <f t="shared" si="2"/>
        <v>1.1097717689394346</v>
      </c>
      <c r="G18" s="6">
        <f t="shared" si="2"/>
        <v>1.079204957205085</v>
      </c>
      <c r="H18" s="6">
        <f t="shared" si="2"/>
        <v>1.0575580773252706</v>
      </c>
      <c r="I18" s="5"/>
      <c r="J18" s="5"/>
    </row>
    <row r="19" spans="1:11" x14ac:dyDescent="0.3">
      <c r="A19" s="3" t="s">
        <v>14</v>
      </c>
      <c r="B19" s="6">
        <f t="shared" ref="B19:G19" si="3">C6/B6</f>
        <v>1.8693463785404416</v>
      </c>
      <c r="C19" s="6">
        <f t="shared" si="3"/>
        <v>1.3759203770028685</v>
      </c>
      <c r="D19" s="6">
        <f t="shared" si="3"/>
        <v>1.2168697449687469</v>
      </c>
      <c r="E19" s="6">
        <f t="shared" si="3"/>
        <v>1.1524533959301939</v>
      </c>
      <c r="F19" s="6">
        <f t="shared" si="3"/>
        <v>1.1085367405217268</v>
      </c>
      <c r="G19" s="6">
        <f t="shared" si="3"/>
        <v>1.0865185838035445</v>
      </c>
      <c r="H19" s="5"/>
      <c r="I19" s="5"/>
      <c r="J19" s="5"/>
    </row>
    <row r="20" spans="1:11" x14ac:dyDescent="0.3">
      <c r="A20" s="3" t="s">
        <v>15</v>
      </c>
      <c r="B20" s="6">
        <f>C7/B7</f>
        <v>1.8004938545559073</v>
      </c>
      <c r="C20" s="6">
        <f>D7/C7</f>
        <v>1.3707597315082476</v>
      </c>
      <c r="D20" s="6">
        <f>E7/D7</f>
        <v>1.1962565559497162</v>
      </c>
      <c r="E20" s="6">
        <f>F7/E7</f>
        <v>1.1501651481273172</v>
      </c>
      <c r="F20" s="6">
        <f>G7/F7</f>
        <v>1.1096356536614802</v>
      </c>
      <c r="G20" s="5"/>
      <c r="H20" s="5"/>
      <c r="I20" s="5"/>
      <c r="J20" s="5"/>
    </row>
    <row r="21" spans="1:11" x14ac:dyDescent="0.3">
      <c r="A21" s="3" t="s">
        <v>16</v>
      </c>
      <c r="B21" s="6">
        <f>C8/B8</f>
        <v>1.7757657189849982</v>
      </c>
      <c r="C21" s="6">
        <f>D8/C8</f>
        <v>1.3892592967674622</v>
      </c>
      <c r="D21" s="6">
        <f>E8/D8</f>
        <v>1.2201108393355509</v>
      </c>
      <c r="E21" s="6">
        <f>F8/E8</f>
        <v>1.1400740989205376</v>
      </c>
      <c r="F21" s="5"/>
      <c r="G21" s="5"/>
      <c r="H21" s="5"/>
      <c r="I21" s="5"/>
      <c r="J21" s="5"/>
    </row>
    <row r="22" spans="1:11" x14ac:dyDescent="0.3">
      <c r="A22" s="3" t="s">
        <v>17</v>
      </c>
      <c r="B22" s="6">
        <f>C9/B9</f>
        <v>1.7842989294629934</v>
      </c>
      <c r="C22" s="6">
        <f>D9/C9</f>
        <v>1.3345788480106431</v>
      </c>
      <c r="D22" s="6">
        <f>E9/D9</f>
        <v>1.2149451809854563</v>
      </c>
      <c r="E22" s="5"/>
      <c r="F22" s="5"/>
      <c r="G22" s="5"/>
      <c r="H22" s="5"/>
      <c r="I22" s="5"/>
      <c r="J22" s="5"/>
    </row>
    <row r="23" spans="1:11" x14ac:dyDescent="0.3">
      <c r="A23" s="3" t="s">
        <v>18</v>
      </c>
      <c r="B23" s="6">
        <f>C10/B10</f>
        <v>1.8498685799564203</v>
      </c>
      <c r="C23" s="6">
        <f>D10/C10</f>
        <v>1.3901062597031404</v>
      </c>
      <c r="D23" s="5"/>
      <c r="E23" s="5"/>
      <c r="F23" s="5"/>
      <c r="G23" s="5"/>
      <c r="H23" s="5"/>
      <c r="I23" s="5"/>
      <c r="J23" s="5"/>
    </row>
    <row r="24" spans="1:11" x14ac:dyDescent="0.3">
      <c r="A24" s="3" t="s">
        <v>19</v>
      </c>
      <c r="B24" s="6">
        <f>C11/B11</f>
        <v>1.8333422854029215</v>
      </c>
      <c r="C24" s="5"/>
      <c r="D24" s="5"/>
      <c r="E24" s="5"/>
      <c r="F24" s="5"/>
      <c r="G24" s="5"/>
      <c r="H24" s="5"/>
      <c r="I24" s="5"/>
      <c r="J24" s="5"/>
    </row>
    <row r="25" spans="1:11" x14ac:dyDescent="0.3">
      <c r="A25" s="3" t="s">
        <v>20</v>
      </c>
      <c r="B25" s="5"/>
      <c r="C25" s="5"/>
      <c r="D25" s="5"/>
      <c r="E25" s="5"/>
      <c r="F25" s="5"/>
      <c r="G25" s="5"/>
      <c r="H25" s="5"/>
      <c r="I25" s="5"/>
      <c r="J25" s="5"/>
    </row>
    <row r="27" spans="1:11" x14ac:dyDescent="0.3">
      <c r="A27" s="25" t="s">
        <v>31</v>
      </c>
      <c r="B27" s="26"/>
      <c r="C27" s="26"/>
      <c r="D27" s="26"/>
      <c r="E27" s="26"/>
      <c r="F27" s="26"/>
      <c r="G27" s="26"/>
      <c r="H27" s="26"/>
      <c r="I27" s="26"/>
      <c r="J27" s="26"/>
      <c r="K27" s="27"/>
    </row>
    <row r="28" spans="1:11" x14ac:dyDescent="0.3">
      <c r="A28" s="7" t="s">
        <v>32</v>
      </c>
      <c r="B28" s="2" t="s">
        <v>22</v>
      </c>
      <c r="C28" s="2" t="s">
        <v>23</v>
      </c>
      <c r="D28" s="2" t="s">
        <v>24</v>
      </c>
      <c r="E28" s="2" t="s">
        <v>25</v>
      </c>
      <c r="F28" s="2" t="s">
        <v>26</v>
      </c>
      <c r="G28" s="2" t="s">
        <v>27</v>
      </c>
      <c r="H28" s="2" t="s">
        <v>28</v>
      </c>
      <c r="I28" s="2" t="s">
        <v>29</v>
      </c>
      <c r="J28" s="2" t="s">
        <v>30</v>
      </c>
      <c r="K28" s="2" t="s">
        <v>33</v>
      </c>
    </row>
    <row r="29" spans="1:11" x14ac:dyDescent="0.3">
      <c r="A29" s="8" t="s">
        <v>34</v>
      </c>
      <c r="B29" s="6">
        <f t="shared" ref="B29:J29" si="4">IFERROR(AVERAGE(B16:B24),AVERAGE(B16:B24))</f>
        <v>1.8324187124096791</v>
      </c>
      <c r="C29" s="6">
        <f t="shared" si="4"/>
        <v>1.3727513427592382</v>
      </c>
      <c r="D29" s="6">
        <f t="shared" si="4"/>
        <v>1.2114141251541597</v>
      </c>
      <c r="E29" s="6">
        <f t="shared" si="4"/>
        <v>1.1462886494540079</v>
      </c>
      <c r="F29" s="6">
        <f t="shared" si="4"/>
        <v>1.108755085439761</v>
      </c>
      <c r="G29" s="6">
        <f t="shared" si="4"/>
        <v>1.0855777750601776</v>
      </c>
      <c r="H29" s="6">
        <f t="shared" si="4"/>
        <v>1.0601373501890128</v>
      </c>
      <c r="I29" s="6">
        <f t="shared" si="4"/>
        <v>1.0585560389509903</v>
      </c>
      <c r="J29" s="6">
        <f t="shared" si="4"/>
        <v>1.043404133928741</v>
      </c>
      <c r="K29" s="5"/>
    </row>
    <row r="30" spans="1:11" x14ac:dyDescent="0.3">
      <c r="A30" s="8" t="s">
        <v>35</v>
      </c>
      <c r="B30" s="6">
        <f t="shared" ref="B30:J30" si="5">IFERROR(SUMPRODUCT(B16:B24,B3:B11)/SUMPRODUCT((B16:B24&lt;&gt;"")*B3:B11),SUMPRODUCT(B16:B24,B3:B11)/SUMPRODUCT((B16:B24&lt;&gt;"")*B3:B11))</f>
        <v>1.830886981804839</v>
      </c>
      <c r="C30" s="6">
        <f t="shared" si="5"/>
        <v>1.369347950613107</v>
      </c>
      <c r="D30" s="6">
        <f t="shared" si="5"/>
        <v>1.2121408004776109</v>
      </c>
      <c r="E30" s="6">
        <f t="shared" si="5"/>
        <v>1.146781550047677</v>
      </c>
      <c r="F30" s="6">
        <f t="shared" si="5"/>
        <v>1.1087597869171133</v>
      </c>
      <c r="G30" s="6">
        <f t="shared" si="5"/>
        <v>1.0857792336295728</v>
      </c>
      <c r="H30" s="6">
        <f t="shared" si="5"/>
        <v>1.0602173498904193</v>
      </c>
      <c r="I30" s="6">
        <f t="shared" si="5"/>
        <v>1.0580686949006761</v>
      </c>
      <c r="J30" s="6">
        <f t="shared" si="5"/>
        <v>1.043404133928741</v>
      </c>
      <c r="K30" s="5"/>
    </row>
    <row r="31" spans="1:11" x14ac:dyDescent="0.3">
      <c r="A31" s="8" t="s">
        <v>36</v>
      </c>
      <c r="B31" s="6">
        <f t="shared" ref="B31:J31" si="6">IFERROR(TRIMMEAN(B16:B24,2/COUNT(B16:B24)),AVERAGE(B16:B24))</f>
        <v>1.8333992702822655</v>
      </c>
      <c r="C31" s="6">
        <f t="shared" si="6"/>
        <v>1.3758993499476426</v>
      </c>
      <c r="D31" s="6">
        <f t="shared" si="6"/>
        <v>1.2127062961587698</v>
      </c>
      <c r="E31" s="6">
        <f t="shared" si="6"/>
        <v>1.1467679525809182</v>
      </c>
      <c r="F31" s="6">
        <f t="shared" si="6"/>
        <v>1.1091203888126682</v>
      </c>
      <c r="G31" s="6">
        <f t="shared" si="6"/>
        <v>1.085761002211024</v>
      </c>
      <c r="H31" s="6">
        <f t="shared" si="6"/>
        <v>1.0598984457228888</v>
      </c>
      <c r="I31" s="6">
        <f t="shared" si="6"/>
        <v>1.0585560389509903</v>
      </c>
      <c r="J31" s="6">
        <f t="shared" si="6"/>
        <v>1.043404133928741</v>
      </c>
      <c r="K31" s="5"/>
    </row>
    <row r="32" spans="1:11" x14ac:dyDescent="0.3">
      <c r="A32" s="8" t="s">
        <v>37</v>
      </c>
      <c r="B32" s="6">
        <f t="shared" ref="B32:J32" si="7">IFERROR(AVERAGE(B22:B24),AVERAGE(B16:B24))</f>
        <v>1.8225032649407786</v>
      </c>
      <c r="C32" s="6">
        <f t="shared" si="7"/>
        <v>1.3623425538568918</v>
      </c>
      <c r="D32" s="6">
        <f t="shared" si="7"/>
        <v>1.2149451809854563</v>
      </c>
      <c r="E32" s="6">
        <f t="shared" si="7"/>
        <v>1.1462886494540079</v>
      </c>
      <c r="F32" s="6">
        <f t="shared" si="7"/>
        <v>1.108755085439761</v>
      </c>
      <c r="G32" s="6">
        <f t="shared" si="7"/>
        <v>1.0855777750601776</v>
      </c>
      <c r="H32" s="6">
        <f t="shared" si="7"/>
        <v>1.0601373501890128</v>
      </c>
      <c r="I32" s="6">
        <f t="shared" si="7"/>
        <v>1.0585560389509903</v>
      </c>
      <c r="J32" s="6">
        <f t="shared" si="7"/>
        <v>1.043404133928741</v>
      </c>
      <c r="K32" s="5"/>
    </row>
    <row r="33" spans="1:11" x14ac:dyDescent="0.3">
      <c r="A33" s="8" t="s">
        <v>38</v>
      </c>
      <c r="B33" s="6">
        <f t="shared" ref="B33:J33" si="8">IFERROR(SUMPRODUCT(B22:B24,B9:B11)/SUMPRODUCT((B22:B24&lt;&gt;"")*B9:B11),SUMPRODUCT(B16:B24,B3:B11)/SUMPRODUCT((B16:B24&lt;&gt;"")*B3:B11))</f>
        <v>1.8150698553319042</v>
      </c>
      <c r="C33" s="6">
        <f t="shared" si="8"/>
        <v>1.3550388087299543</v>
      </c>
      <c r="D33" s="6">
        <f t="shared" si="8"/>
        <v>1.2149451809854563</v>
      </c>
      <c r="E33" s="6">
        <f t="shared" si="8"/>
        <v>1.146781550047677</v>
      </c>
      <c r="F33" s="6">
        <f t="shared" si="8"/>
        <v>1.1087597869171133</v>
      </c>
      <c r="G33" s="6">
        <f t="shared" si="8"/>
        <v>1.0857792336295728</v>
      </c>
      <c r="H33" s="6">
        <f t="shared" si="8"/>
        <v>1.0602173498904193</v>
      </c>
      <c r="I33" s="6">
        <f t="shared" si="8"/>
        <v>1.0580686949006761</v>
      </c>
      <c r="J33" s="6">
        <f t="shared" si="8"/>
        <v>1.043404133928741</v>
      </c>
      <c r="K33" s="5"/>
    </row>
    <row r="34" spans="1:11" x14ac:dyDescent="0.3">
      <c r="A34" s="8" t="s">
        <v>39</v>
      </c>
      <c r="B34" s="6">
        <f t="shared" ref="B34:J34" si="9">IFERROR(TRIMMEAN(B22:B24,2/COUNT(B22:B24)),AVERAGE(B16:B24))</f>
        <v>1.8333422854029215</v>
      </c>
      <c r="C34" s="6">
        <f t="shared" si="9"/>
        <v>1.3727513427592382</v>
      </c>
      <c r="D34" s="6">
        <f t="shared" si="9"/>
        <v>1.2114141251541597</v>
      </c>
      <c r="E34" s="6">
        <f t="shared" si="9"/>
        <v>1.1462886494540079</v>
      </c>
      <c r="F34" s="6">
        <f t="shared" si="9"/>
        <v>1.108755085439761</v>
      </c>
      <c r="G34" s="6">
        <f t="shared" si="9"/>
        <v>1.0855777750601776</v>
      </c>
      <c r="H34" s="6">
        <f t="shared" si="9"/>
        <v>1.0601373501890128</v>
      </c>
      <c r="I34" s="6">
        <f t="shared" si="9"/>
        <v>1.0585560389509903</v>
      </c>
      <c r="J34" s="6">
        <f t="shared" si="9"/>
        <v>1.043404133928741</v>
      </c>
      <c r="K34" s="5"/>
    </row>
    <row r="35" spans="1:11" x14ac:dyDescent="0.3">
      <c r="A35" s="8" t="s">
        <v>40</v>
      </c>
      <c r="B35" s="6">
        <f t="shared" ref="B35:J35" si="10">IFERROR(AVERAGE(B20:B24),AVERAGE(B16:B24))</f>
        <v>1.8087538736726483</v>
      </c>
      <c r="C35" s="6">
        <f t="shared" si="10"/>
        <v>1.3711760339973731</v>
      </c>
      <c r="D35" s="6">
        <f t="shared" si="10"/>
        <v>1.2104375254235744</v>
      </c>
      <c r="E35" s="6">
        <f t="shared" si="10"/>
        <v>1.1451196235239274</v>
      </c>
      <c r="F35" s="6">
        <f t="shared" si="10"/>
        <v>1.1096356536614802</v>
      </c>
      <c r="G35" s="6">
        <f t="shared" si="10"/>
        <v>1.0855777750601776</v>
      </c>
      <c r="H35" s="6">
        <f t="shared" si="10"/>
        <v>1.0601373501890128</v>
      </c>
      <c r="I35" s="6">
        <f t="shared" si="10"/>
        <v>1.0585560389509903</v>
      </c>
      <c r="J35" s="6">
        <f t="shared" si="10"/>
        <v>1.043404133928741</v>
      </c>
      <c r="K35" s="5"/>
    </row>
    <row r="36" spans="1:11" x14ac:dyDescent="0.3">
      <c r="A36" s="8" t="s">
        <v>41</v>
      </c>
      <c r="B36" s="6">
        <f t="shared" ref="B36:J36" si="11">IFERROR(SUMPRODUCT(B20:B24,B7:B11)/SUMPRODUCT((B20:B24&lt;&gt;"")*B7:B11),SUMPRODUCT(B16:B24,B3:B11)/SUMPRODUCT((B16:B24&lt;&gt;"")*B3:B11))</f>
        <v>1.8057860311249272</v>
      </c>
      <c r="C36" s="6">
        <f t="shared" si="11"/>
        <v>1.3655209268166584</v>
      </c>
      <c r="D36" s="6">
        <f t="shared" si="11"/>
        <v>1.210826075504279</v>
      </c>
      <c r="E36" s="6">
        <f t="shared" si="11"/>
        <v>1.1453629463824522</v>
      </c>
      <c r="F36" s="6">
        <f t="shared" si="11"/>
        <v>1.1096356536614802</v>
      </c>
      <c r="G36" s="6">
        <f t="shared" si="11"/>
        <v>1.0857792336295728</v>
      </c>
      <c r="H36" s="6">
        <f t="shared" si="11"/>
        <v>1.0602173498904193</v>
      </c>
      <c r="I36" s="6">
        <f t="shared" si="11"/>
        <v>1.0580686949006761</v>
      </c>
      <c r="J36" s="6">
        <f t="shared" si="11"/>
        <v>1.043404133928741</v>
      </c>
      <c r="K36" s="5"/>
    </row>
    <row r="37" spans="1:11" x14ac:dyDescent="0.3">
      <c r="A37" s="8" t="s">
        <v>42</v>
      </c>
      <c r="B37" s="6">
        <f t="shared" ref="B37:J37" si="12">IFERROR(TRIMMEAN(B20:B24,2/COUNT(B20:B24)),AVERAGE(B16:B24))</f>
        <v>1.8060450231406076</v>
      </c>
      <c r="C37" s="6">
        <f t="shared" si="12"/>
        <v>1.3800095141378548</v>
      </c>
      <c r="D37" s="6">
        <f t="shared" si="12"/>
        <v>1.2149451809854563</v>
      </c>
      <c r="E37" s="6">
        <f t="shared" si="12"/>
        <v>1.1462886494540079</v>
      </c>
      <c r="F37" s="6">
        <f t="shared" si="12"/>
        <v>1.108755085439761</v>
      </c>
      <c r="G37" s="6">
        <f t="shared" si="12"/>
        <v>1.0855777750601776</v>
      </c>
      <c r="H37" s="6">
        <f t="shared" si="12"/>
        <v>1.0601373501890128</v>
      </c>
      <c r="I37" s="6">
        <f t="shared" si="12"/>
        <v>1.0585560389509903</v>
      </c>
      <c r="J37" s="6">
        <f t="shared" si="12"/>
        <v>1.043404133928741</v>
      </c>
      <c r="K37" s="5"/>
    </row>
    <row r="38" spans="1:11" x14ac:dyDescent="0.3">
      <c r="A38" s="8" t="s">
        <v>43</v>
      </c>
      <c r="B38" s="6">
        <f t="shared" ref="B38:J38" si="13">IFERROR(AVERAGE(B16:B24),AVERAGE(B16:B24))</f>
        <v>1.8324187124096791</v>
      </c>
      <c r="C38" s="6">
        <f t="shared" si="13"/>
        <v>1.3727513427592382</v>
      </c>
      <c r="D38" s="6">
        <f t="shared" si="13"/>
        <v>1.2114141251541597</v>
      </c>
      <c r="E38" s="6">
        <f t="shared" si="13"/>
        <v>1.1462886494540079</v>
      </c>
      <c r="F38" s="6">
        <f t="shared" si="13"/>
        <v>1.108755085439761</v>
      </c>
      <c r="G38" s="6">
        <f t="shared" si="13"/>
        <v>1.0855777750601776</v>
      </c>
      <c r="H38" s="6">
        <f t="shared" si="13"/>
        <v>1.0601373501890128</v>
      </c>
      <c r="I38" s="6">
        <f t="shared" si="13"/>
        <v>1.0585560389509903</v>
      </c>
      <c r="J38" s="6">
        <f t="shared" si="13"/>
        <v>1.043404133928741</v>
      </c>
      <c r="K38" s="5"/>
    </row>
    <row r="39" spans="1:11" x14ac:dyDescent="0.3">
      <c r="A39" s="8" t="s">
        <v>44</v>
      </c>
      <c r="B39" s="6">
        <f t="shared" ref="B39:J39" si="14">IFERROR(SUMPRODUCT(B16:B24,B3:B11)/SUMPRODUCT((B16:B24&lt;&gt;"")*B3:B11),SUMPRODUCT(B16:B24,B3:B11)/SUMPRODUCT((B16:B24&lt;&gt;"")*B3:B11))</f>
        <v>1.830886981804839</v>
      </c>
      <c r="C39" s="6">
        <f t="shared" si="14"/>
        <v>1.369347950613107</v>
      </c>
      <c r="D39" s="6">
        <f t="shared" si="14"/>
        <v>1.2121408004776109</v>
      </c>
      <c r="E39" s="6">
        <f t="shared" si="14"/>
        <v>1.146781550047677</v>
      </c>
      <c r="F39" s="6">
        <f t="shared" si="14"/>
        <v>1.1087597869171133</v>
      </c>
      <c r="G39" s="6">
        <f t="shared" si="14"/>
        <v>1.0857792336295728</v>
      </c>
      <c r="H39" s="6">
        <f t="shared" si="14"/>
        <v>1.0602173498904193</v>
      </c>
      <c r="I39" s="6">
        <f t="shared" si="14"/>
        <v>1.0580686949006761</v>
      </c>
      <c r="J39" s="6">
        <f t="shared" si="14"/>
        <v>1.043404133928741</v>
      </c>
      <c r="K39" s="5"/>
    </row>
    <row r="40" spans="1:11" x14ac:dyDescent="0.3">
      <c r="A40" s="8" t="s">
        <v>45</v>
      </c>
      <c r="B40" s="6">
        <f t="shared" ref="B40:J40" si="15">IFERROR(TRIMMEAN(B16:B24,2/COUNT(B16:B24)),AVERAGE(B16:B24))</f>
        <v>1.8333992702822655</v>
      </c>
      <c r="C40" s="6">
        <f t="shared" si="15"/>
        <v>1.3758993499476426</v>
      </c>
      <c r="D40" s="6">
        <f t="shared" si="15"/>
        <v>1.2127062961587698</v>
      </c>
      <c r="E40" s="6">
        <f t="shared" si="15"/>
        <v>1.1467679525809182</v>
      </c>
      <c r="F40" s="6">
        <f t="shared" si="15"/>
        <v>1.1091203888126682</v>
      </c>
      <c r="G40" s="6">
        <f t="shared" si="15"/>
        <v>1.085761002211024</v>
      </c>
      <c r="H40" s="6">
        <f t="shared" si="15"/>
        <v>1.0598984457228888</v>
      </c>
      <c r="I40" s="6">
        <f t="shared" si="15"/>
        <v>1.0585560389509903</v>
      </c>
      <c r="J40" s="6">
        <f t="shared" si="15"/>
        <v>1.043404133928741</v>
      </c>
      <c r="K40" s="5"/>
    </row>
    <row r="42" spans="1:11" x14ac:dyDescent="0.3">
      <c r="A42" s="25" t="s">
        <v>46</v>
      </c>
      <c r="B42" s="26"/>
      <c r="C42" s="26"/>
      <c r="D42" s="26"/>
      <c r="E42" s="26"/>
      <c r="F42" s="26"/>
      <c r="G42" s="26"/>
      <c r="H42" s="26"/>
      <c r="I42" s="26"/>
      <c r="J42" s="26"/>
      <c r="K42" s="27"/>
    </row>
    <row r="43" spans="1:11" x14ac:dyDescent="0.3">
      <c r="A43" s="1"/>
      <c r="B43" s="2" t="s">
        <v>22</v>
      </c>
      <c r="C43" s="2" t="s">
        <v>23</v>
      </c>
      <c r="D43" s="2" t="s">
        <v>24</v>
      </c>
      <c r="E43" s="2" t="s">
        <v>25</v>
      </c>
      <c r="F43" s="2" t="s">
        <v>26</v>
      </c>
      <c r="G43" s="2" t="s">
        <v>27</v>
      </c>
      <c r="H43" s="2" t="s">
        <v>28</v>
      </c>
      <c r="I43" s="2" t="s">
        <v>29</v>
      </c>
      <c r="J43" s="2" t="s">
        <v>30</v>
      </c>
      <c r="K43" s="2" t="s">
        <v>33</v>
      </c>
    </row>
    <row r="44" spans="1:11" ht="24" x14ac:dyDescent="0.3">
      <c r="A44" s="9" t="s">
        <v>47</v>
      </c>
      <c r="B44" s="10">
        <v>1.8309</v>
      </c>
      <c r="C44" s="10">
        <v>1.3693</v>
      </c>
      <c r="D44" s="10">
        <v>1.2121</v>
      </c>
      <c r="E44" s="10">
        <v>1.1468</v>
      </c>
      <c r="F44" s="10">
        <v>1.1087</v>
      </c>
      <c r="G44" s="10">
        <v>1.0858000000000001</v>
      </c>
      <c r="H44" s="10">
        <v>1.0602</v>
      </c>
      <c r="I44" s="10">
        <v>1.0581</v>
      </c>
      <c r="J44" s="10">
        <v>1.0434000000000001</v>
      </c>
      <c r="K44" s="10">
        <v>1.01</v>
      </c>
    </row>
    <row r="45" spans="1:11" ht="368.4" x14ac:dyDescent="0.3">
      <c r="A45" s="9" t="s">
        <v>48</v>
      </c>
      <c r="B45" s="11" t="s">
        <v>103</v>
      </c>
      <c r="C45" s="11" t="s">
        <v>104</v>
      </c>
      <c r="D45" s="11" t="s">
        <v>105</v>
      </c>
      <c r="E45" s="11" t="s">
        <v>106</v>
      </c>
      <c r="F45" s="11" t="s">
        <v>107</v>
      </c>
      <c r="G45" s="11" t="s">
        <v>108</v>
      </c>
      <c r="H45" s="11" t="s">
        <v>109</v>
      </c>
      <c r="I45" s="11" t="s">
        <v>110</v>
      </c>
      <c r="J45" s="11" t="s">
        <v>111</v>
      </c>
      <c r="K45" s="11" t="s">
        <v>112</v>
      </c>
    </row>
    <row r="47" spans="1:11" x14ac:dyDescent="0.3">
      <c r="A47" s="12" t="s">
        <v>59</v>
      </c>
      <c r="B47" s="13">
        <v>1.8150999999999999</v>
      </c>
      <c r="C47" s="13">
        <v>1.3640000000000001</v>
      </c>
      <c r="D47" s="13">
        <v>1.2113</v>
      </c>
      <c r="E47" s="13">
        <v>1.1468</v>
      </c>
      <c r="F47" s="13">
        <v>1.1087</v>
      </c>
      <c r="G47" s="13">
        <v>1.0858000000000001</v>
      </c>
      <c r="H47" s="13">
        <v>1.0602</v>
      </c>
      <c r="I47" s="13">
        <v>1.0581</v>
      </c>
      <c r="J47" s="13">
        <v>1.0434000000000001</v>
      </c>
      <c r="K47" s="13">
        <v>1.0189999999999999</v>
      </c>
    </row>
    <row r="48" spans="1:11" ht="409.6" x14ac:dyDescent="0.3">
      <c r="A48" s="12" t="s">
        <v>60</v>
      </c>
      <c r="B48" s="14" t="s">
        <v>113</v>
      </c>
      <c r="C48" s="14" t="s">
        <v>114</v>
      </c>
      <c r="D48" s="14" t="s">
        <v>115</v>
      </c>
      <c r="E48" s="14" t="s">
        <v>116</v>
      </c>
      <c r="F48" s="14" t="s">
        <v>117</v>
      </c>
      <c r="G48" s="14" t="s">
        <v>118</v>
      </c>
      <c r="H48" s="14" t="s">
        <v>119</v>
      </c>
      <c r="I48" s="14" t="s">
        <v>120</v>
      </c>
      <c r="J48" s="14" t="s">
        <v>121</v>
      </c>
      <c r="K48" s="14" t="s">
        <v>122</v>
      </c>
    </row>
    <row r="50" spans="1:11" x14ac:dyDescent="0.3">
      <c r="A50" s="23" t="s">
        <v>71</v>
      </c>
      <c r="B50" s="24"/>
      <c r="C50" s="24"/>
      <c r="D50" s="24"/>
      <c r="E50" s="24"/>
      <c r="F50" s="24"/>
      <c r="G50" s="24"/>
      <c r="H50" s="24"/>
      <c r="I50" s="24"/>
      <c r="J50" s="24"/>
      <c r="K50" s="24"/>
    </row>
    <row r="51" spans="1:11" x14ac:dyDescent="0.3">
      <c r="A51" s="15" t="s">
        <v>72</v>
      </c>
      <c r="B51" s="15" t="str">
        <f>$B$2</f>
        <v>12</v>
      </c>
      <c r="C51" s="15" t="str">
        <f>$C$2</f>
        <v>24</v>
      </c>
      <c r="D51" s="15" t="str">
        <f>$D$2</f>
        <v>36</v>
      </c>
      <c r="E51" s="15" t="str">
        <f>$E$2</f>
        <v>48</v>
      </c>
      <c r="F51" s="15" t="str">
        <f>$F$2</f>
        <v>60</v>
      </c>
      <c r="G51" s="15" t="str">
        <f>$G$2</f>
        <v>72</v>
      </c>
      <c r="H51" s="15" t="str">
        <f>$H$2</f>
        <v>84</v>
      </c>
      <c r="I51" s="15" t="str">
        <f>$I$2</f>
        <v>96</v>
      </c>
      <c r="J51" s="15" t="str">
        <f>$J$2</f>
        <v>108</v>
      </c>
      <c r="K51" s="15" t="str">
        <f>$K$2</f>
        <v>120</v>
      </c>
    </row>
    <row r="52" spans="1:11" x14ac:dyDescent="0.3">
      <c r="A52" s="15" t="s">
        <v>73</v>
      </c>
      <c r="B52" s="16">
        <f t="shared" ref="B52:J52" si="16">B47*C52</f>
        <v>4.9380757090850613</v>
      </c>
      <c r="C52" s="16">
        <f t="shared" si="16"/>
        <v>2.7205529772932961</v>
      </c>
      <c r="D52" s="16">
        <f t="shared" si="16"/>
        <v>1.9945403059335014</v>
      </c>
      <c r="E52" s="16">
        <f t="shared" si="16"/>
        <v>1.6466113315722788</v>
      </c>
      <c r="F52" s="16">
        <f t="shared" si="16"/>
        <v>1.4358312971505744</v>
      </c>
      <c r="G52" s="16">
        <f t="shared" si="16"/>
        <v>1.2950584442595603</v>
      </c>
      <c r="H52" s="16">
        <f t="shared" si="16"/>
        <v>1.1927228258054523</v>
      </c>
      <c r="I52" s="16">
        <f t="shared" si="16"/>
        <v>1.1249979492600002</v>
      </c>
      <c r="J52" s="16">
        <f t="shared" si="16"/>
        <v>1.0632246000000001</v>
      </c>
      <c r="K52" s="16">
        <f>K47</f>
        <v>1.0189999999999999</v>
      </c>
    </row>
    <row r="54" spans="1:11" x14ac:dyDescent="0.3">
      <c r="A54" s="23" t="s">
        <v>74</v>
      </c>
      <c r="B54" s="24"/>
      <c r="C54" s="24"/>
      <c r="D54" s="24"/>
      <c r="E54" s="24"/>
      <c r="F54" s="24"/>
    </row>
    <row r="55" spans="1:11" x14ac:dyDescent="0.3">
      <c r="A55" s="17" t="s">
        <v>75</v>
      </c>
      <c r="B55" s="17" t="s">
        <v>76</v>
      </c>
      <c r="C55" s="17" t="s">
        <v>77</v>
      </c>
      <c r="D55" s="17" t="s">
        <v>78</v>
      </c>
      <c r="E55" s="17" t="s">
        <v>79</v>
      </c>
      <c r="F55" s="17" t="s">
        <v>80</v>
      </c>
    </row>
    <row r="56" spans="1:11" x14ac:dyDescent="0.3">
      <c r="A56" t="str">
        <f t="shared" ref="A56:A65" si="17">A3</f>
        <v>2015</v>
      </c>
      <c r="B56" t="str">
        <f t="shared" ref="B56:B65" si="18">LOOKUP(2,1/(B3:K3&lt;&gt;""),$B$2:$K$2)</f>
        <v>120</v>
      </c>
      <c r="C56" s="18">
        <f t="shared" ref="C56:C65" si="19">LOOKUP(2,1/(B3:K3&lt;&gt;""),B3:K3)</f>
        <v>45008437.670000002</v>
      </c>
      <c r="D56" s="16">
        <f t="shared" ref="D56:D65" si="20">HLOOKUP(B56,$B$51:$K$52,2,FALSE)</f>
        <v>1.0189999999999999</v>
      </c>
      <c r="E56" s="18">
        <f t="shared" ref="E56:E65" si="21">C56*D56</f>
        <v>45863597.98573</v>
      </c>
      <c r="F56" s="18">
        <f t="shared" ref="F56:F65" si="22">E56-C56</f>
        <v>855160.31572999805</v>
      </c>
    </row>
    <row r="57" spans="1:11" x14ac:dyDescent="0.3">
      <c r="A57" t="str">
        <f t="shared" si="17"/>
        <v>2016</v>
      </c>
      <c r="B57" t="str">
        <f t="shared" si="18"/>
        <v>108</v>
      </c>
      <c r="C57" s="18">
        <f t="shared" si="19"/>
        <v>59267698.340000004</v>
      </c>
      <c r="D57" s="16">
        <f t="shared" si="20"/>
        <v>1.0632246000000001</v>
      </c>
      <c r="E57" s="18">
        <f t="shared" si="21"/>
        <v>63014874.860467173</v>
      </c>
      <c r="F57" s="18">
        <f t="shared" si="22"/>
        <v>3747176.5204671696</v>
      </c>
    </row>
    <row r="58" spans="1:11" x14ac:dyDescent="0.3">
      <c r="A58" t="str">
        <f t="shared" si="17"/>
        <v>2017</v>
      </c>
      <c r="B58" t="str">
        <f t="shared" si="18"/>
        <v>96</v>
      </c>
      <c r="C58" s="18">
        <f t="shared" si="19"/>
        <v>34907742.219999999</v>
      </c>
      <c r="D58" s="16">
        <f t="shared" si="20"/>
        <v>1.1249979492600002</v>
      </c>
      <c r="E58" s="18">
        <f t="shared" si="21"/>
        <v>39271138.410796724</v>
      </c>
      <c r="F58" s="18">
        <f t="shared" si="22"/>
        <v>4363396.1907967255</v>
      </c>
    </row>
    <row r="59" spans="1:11" x14ac:dyDescent="0.3">
      <c r="A59" t="str">
        <f t="shared" si="17"/>
        <v>2018</v>
      </c>
      <c r="B59" t="str">
        <f t="shared" si="18"/>
        <v>84</v>
      </c>
      <c r="C59" s="18">
        <f t="shared" si="19"/>
        <v>52422359.539999999</v>
      </c>
      <c r="D59" s="16">
        <f t="shared" si="20"/>
        <v>1.1927228258054523</v>
      </c>
      <c r="E59" s="18">
        <f t="shared" si="21"/>
        <v>62525344.805938207</v>
      </c>
      <c r="F59" s="18">
        <f t="shared" si="22"/>
        <v>10102985.265938208</v>
      </c>
    </row>
    <row r="60" spans="1:11" x14ac:dyDescent="0.3">
      <c r="A60" t="str">
        <f t="shared" si="17"/>
        <v>2019</v>
      </c>
      <c r="B60" t="str">
        <f t="shared" si="18"/>
        <v>72</v>
      </c>
      <c r="C60" s="18">
        <f t="shared" si="19"/>
        <v>37924647.520000003</v>
      </c>
      <c r="D60" s="16">
        <f t="shared" si="20"/>
        <v>1.2950584442595603</v>
      </c>
      <c r="E60" s="18">
        <f t="shared" si="21"/>
        <v>49114635.016343392</v>
      </c>
      <c r="F60" s="18">
        <f t="shared" si="22"/>
        <v>11189987.496343389</v>
      </c>
    </row>
    <row r="61" spans="1:11" x14ac:dyDescent="0.3">
      <c r="A61" t="str">
        <f t="shared" si="17"/>
        <v>2020</v>
      </c>
      <c r="B61" t="str">
        <f t="shared" si="18"/>
        <v>60</v>
      </c>
      <c r="C61" s="18">
        <f t="shared" si="19"/>
        <v>30760499.66</v>
      </c>
      <c r="D61" s="16">
        <f t="shared" si="20"/>
        <v>1.4358312971505744</v>
      </c>
      <c r="E61" s="18">
        <f t="shared" si="21"/>
        <v>44166888.127817601</v>
      </c>
      <c r="F61" s="18">
        <f t="shared" si="22"/>
        <v>13406388.467817601</v>
      </c>
    </row>
    <row r="62" spans="1:11" x14ac:dyDescent="0.3">
      <c r="A62" t="str">
        <f t="shared" si="17"/>
        <v>2021</v>
      </c>
      <c r="B62" t="str">
        <f t="shared" si="18"/>
        <v>48</v>
      </c>
      <c r="C62" s="18">
        <f t="shared" si="19"/>
        <v>46187014.539999999</v>
      </c>
      <c r="D62" s="16">
        <f t="shared" si="20"/>
        <v>1.6466113315722788</v>
      </c>
      <c r="E62" s="18">
        <f t="shared" si="21"/>
        <v>76052061.513057604</v>
      </c>
      <c r="F62" s="18">
        <f t="shared" si="22"/>
        <v>29865046.973057605</v>
      </c>
    </row>
    <row r="63" spans="1:11" x14ac:dyDescent="0.3">
      <c r="A63" t="str">
        <f t="shared" si="17"/>
        <v>2022</v>
      </c>
      <c r="B63" t="str">
        <f t="shared" si="18"/>
        <v>36</v>
      </c>
      <c r="C63" s="18">
        <f t="shared" si="19"/>
        <v>23102956.850000001</v>
      </c>
      <c r="D63" s="16">
        <f t="shared" si="20"/>
        <v>1.9945403059335014</v>
      </c>
      <c r="E63" s="18">
        <f t="shared" si="21"/>
        <v>46079778.623567484</v>
      </c>
      <c r="F63" s="18">
        <f t="shared" si="22"/>
        <v>22976821.773567483</v>
      </c>
    </row>
    <row r="64" spans="1:11" x14ac:dyDescent="0.3">
      <c r="A64" t="str">
        <f t="shared" si="17"/>
        <v>2023</v>
      </c>
      <c r="B64" t="str">
        <f t="shared" si="18"/>
        <v>24</v>
      </c>
      <c r="C64" s="18">
        <f t="shared" si="19"/>
        <v>17919593.719999999</v>
      </c>
      <c r="D64" s="16">
        <f t="shared" si="20"/>
        <v>2.7205529772932961</v>
      </c>
      <c r="E64" s="18">
        <f t="shared" si="21"/>
        <v>48751204.046832249</v>
      </c>
      <c r="F64" s="18">
        <f t="shared" si="22"/>
        <v>30831610.32683225</v>
      </c>
    </row>
    <row r="65" spans="1:6" x14ac:dyDescent="0.3">
      <c r="A65" t="str">
        <f t="shared" si="17"/>
        <v>2024</v>
      </c>
      <c r="B65" t="str">
        <f t="shared" si="18"/>
        <v>12</v>
      </c>
      <c r="C65" s="18">
        <f t="shared" si="19"/>
        <v>13261356.27</v>
      </c>
      <c r="D65" s="16">
        <f t="shared" si="20"/>
        <v>4.9380757090850613</v>
      </c>
      <c r="E65" s="18">
        <f t="shared" si="21"/>
        <v>65485581.266409874</v>
      </c>
      <c r="F65" s="18">
        <f t="shared" si="22"/>
        <v>52224224.996409878</v>
      </c>
    </row>
  </sheetData>
  <mergeCells count="6">
    <mergeCell ref="A54:F54"/>
    <mergeCell ref="A50:K50"/>
    <mergeCell ref="A14:J14"/>
    <mergeCell ref="A42:K42"/>
    <mergeCell ref="A1:K1"/>
    <mergeCell ref="A27:K2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5"/>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123</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4">
        <v>1638</v>
      </c>
      <c r="C3" s="4">
        <v>2677</v>
      </c>
      <c r="D3" s="4">
        <v>3472</v>
      </c>
      <c r="E3" s="4">
        <v>4077</v>
      </c>
      <c r="F3" s="4">
        <v>4526</v>
      </c>
      <c r="G3" s="4">
        <v>4730</v>
      </c>
      <c r="H3" s="4">
        <v>4831</v>
      </c>
      <c r="I3" s="4">
        <v>4883</v>
      </c>
      <c r="J3" s="4">
        <v>4930</v>
      </c>
      <c r="K3" s="4">
        <v>4930</v>
      </c>
    </row>
    <row r="4" spans="1:11" x14ac:dyDescent="0.3">
      <c r="A4" s="3" t="s">
        <v>12</v>
      </c>
      <c r="B4" s="4">
        <v>1636</v>
      </c>
      <c r="C4" s="4">
        <v>2723</v>
      </c>
      <c r="D4" s="4">
        <v>3474</v>
      </c>
      <c r="E4" s="4">
        <v>4156</v>
      </c>
      <c r="F4" s="4">
        <v>4555</v>
      </c>
      <c r="G4" s="4">
        <v>4743</v>
      </c>
      <c r="H4" s="4">
        <v>4846</v>
      </c>
      <c r="I4" s="4">
        <v>4894</v>
      </c>
      <c r="J4" s="4">
        <v>4943</v>
      </c>
      <c r="K4" s="5"/>
    </row>
    <row r="5" spans="1:11" x14ac:dyDescent="0.3">
      <c r="A5" s="3" t="s">
        <v>13</v>
      </c>
      <c r="B5" s="4">
        <v>1624</v>
      </c>
      <c r="C5" s="4">
        <v>2682</v>
      </c>
      <c r="D5" s="4">
        <v>3477</v>
      </c>
      <c r="E5" s="4">
        <v>4114</v>
      </c>
      <c r="F5" s="4">
        <v>4516</v>
      </c>
      <c r="G5" s="4">
        <v>4713</v>
      </c>
      <c r="H5" s="4">
        <v>4812</v>
      </c>
      <c r="I5" s="4">
        <v>4864</v>
      </c>
      <c r="J5" s="5"/>
      <c r="K5" s="5"/>
    </row>
    <row r="6" spans="1:11" x14ac:dyDescent="0.3">
      <c r="A6" s="3" t="s">
        <v>14</v>
      </c>
      <c r="B6" s="4">
        <v>1697</v>
      </c>
      <c r="C6" s="4">
        <v>2736</v>
      </c>
      <c r="D6" s="4">
        <v>3560</v>
      </c>
      <c r="E6" s="4">
        <v>4204</v>
      </c>
      <c r="F6" s="4">
        <v>4592</v>
      </c>
      <c r="G6" s="4">
        <v>4773</v>
      </c>
      <c r="H6" s="4">
        <v>4886</v>
      </c>
      <c r="I6" s="5"/>
      <c r="J6" s="5"/>
      <c r="K6" s="5"/>
    </row>
    <row r="7" spans="1:11" x14ac:dyDescent="0.3">
      <c r="A7" s="3" t="s">
        <v>15</v>
      </c>
      <c r="B7" s="4">
        <v>1559</v>
      </c>
      <c r="C7" s="4">
        <v>2687</v>
      </c>
      <c r="D7" s="4">
        <v>3545</v>
      </c>
      <c r="E7" s="4">
        <v>4166</v>
      </c>
      <c r="F7" s="4">
        <v>4570</v>
      </c>
      <c r="G7" s="4">
        <v>4767</v>
      </c>
      <c r="H7" s="5"/>
      <c r="I7" s="5"/>
      <c r="J7" s="5"/>
      <c r="K7" s="5"/>
    </row>
    <row r="8" spans="1:11" x14ac:dyDescent="0.3">
      <c r="A8" s="3" t="s">
        <v>16</v>
      </c>
      <c r="B8" s="4">
        <v>1624</v>
      </c>
      <c r="C8" s="4">
        <v>2750</v>
      </c>
      <c r="D8" s="4">
        <v>3494</v>
      </c>
      <c r="E8" s="4">
        <v>4155</v>
      </c>
      <c r="F8" s="4">
        <v>4597</v>
      </c>
      <c r="G8" s="5"/>
      <c r="H8" s="5"/>
      <c r="I8" s="5"/>
      <c r="J8" s="5"/>
      <c r="K8" s="5"/>
    </row>
    <row r="9" spans="1:11" x14ac:dyDescent="0.3">
      <c r="A9" s="3" t="s">
        <v>17</v>
      </c>
      <c r="B9" s="4">
        <v>1636</v>
      </c>
      <c r="C9" s="4">
        <v>2748</v>
      </c>
      <c r="D9" s="4">
        <v>3579</v>
      </c>
      <c r="E9" s="4">
        <v>4301</v>
      </c>
      <c r="F9" s="5"/>
      <c r="G9" s="5"/>
      <c r="H9" s="5"/>
      <c r="I9" s="5"/>
      <c r="J9" s="5"/>
      <c r="K9" s="5"/>
    </row>
    <row r="10" spans="1:11" x14ac:dyDescent="0.3">
      <c r="A10" s="3" t="s">
        <v>18</v>
      </c>
      <c r="B10" s="4">
        <v>1720</v>
      </c>
      <c r="C10" s="4">
        <v>2783</v>
      </c>
      <c r="D10" s="4">
        <v>3568</v>
      </c>
      <c r="E10" s="5"/>
      <c r="F10" s="5"/>
      <c r="G10" s="5"/>
      <c r="H10" s="5"/>
      <c r="I10" s="5"/>
      <c r="J10" s="5"/>
      <c r="K10" s="5"/>
    </row>
    <row r="11" spans="1:11" x14ac:dyDescent="0.3">
      <c r="A11" s="3" t="s">
        <v>19</v>
      </c>
      <c r="B11" s="4">
        <v>1568</v>
      </c>
      <c r="C11" s="4">
        <v>2665</v>
      </c>
      <c r="D11" s="5"/>
      <c r="E11" s="5"/>
      <c r="F11" s="5"/>
      <c r="G11" s="5"/>
      <c r="H11" s="5"/>
      <c r="I11" s="5"/>
      <c r="J11" s="5"/>
      <c r="K11" s="5"/>
    </row>
    <row r="12" spans="1:11" x14ac:dyDescent="0.3">
      <c r="A12" s="3" t="s">
        <v>20</v>
      </c>
      <c r="B12" s="4">
        <v>1712</v>
      </c>
      <c r="C12" s="5"/>
      <c r="D12" s="5"/>
      <c r="E12" s="5"/>
      <c r="F12" s="5"/>
      <c r="G12" s="5"/>
      <c r="H12" s="5"/>
      <c r="I12" s="5"/>
      <c r="J12" s="5"/>
      <c r="K12" s="5"/>
    </row>
    <row r="14" spans="1:11" x14ac:dyDescent="0.3">
      <c r="A14" s="25" t="s">
        <v>21</v>
      </c>
      <c r="B14" s="26"/>
      <c r="C14" s="26"/>
      <c r="D14" s="26"/>
      <c r="E14" s="26"/>
      <c r="F14" s="26"/>
      <c r="G14" s="26"/>
      <c r="H14" s="26"/>
      <c r="I14" s="26"/>
      <c r="J14" s="27"/>
    </row>
    <row r="15" spans="1:11" x14ac:dyDescent="0.3">
      <c r="A15" s="1"/>
      <c r="B15" s="2" t="s">
        <v>22</v>
      </c>
      <c r="C15" s="2" t="s">
        <v>23</v>
      </c>
      <c r="D15" s="2" t="s">
        <v>24</v>
      </c>
      <c r="E15" s="2" t="s">
        <v>25</v>
      </c>
      <c r="F15" s="2" t="s">
        <v>26</v>
      </c>
      <c r="G15" s="2" t="s">
        <v>27</v>
      </c>
      <c r="H15" s="2" t="s">
        <v>28</v>
      </c>
      <c r="I15" s="2" t="s">
        <v>29</v>
      </c>
      <c r="J15" s="2" t="s">
        <v>30</v>
      </c>
    </row>
    <row r="16" spans="1:11" x14ac:dyDescent="0.3">
      <c r="A16" s="3" t="s">
        <v>11</v>
      </c>
      <c r="B16" s="6">
        <f t="shared" ref="B16:J16" si="0">C3/B3</f>
        <v>1.6343101343101343</v>
      </c>
      <c r="C16" s="6">
        <f t="shared" si="0"/>
        <v>1.2969742248785954</v>
      </c>
      <c r="D16" s="6">
        <f t="shared" si="0"/>
        <v>1.1742511520737327</v>
      </c>
      <c r="E16" s="6">
        <f t="shared" si="0"/>
        <v>1.1101299975472161</v>
      </c>
      <c r="F16" s="6">
        <f t="shared" si="0"/>
        <v>1.0450729120636324</v>
      </c>
      <c r="G16" s="6">
        <f t="shared" si="0"/>
        <v>1.0213530655391121</v>
      </c>
      <c r="H16" s="6">
        <f t="shared" si="0"/>
        <v>1.0107638170151108</v>
      </c>
      <c r="I16" s="6">
        <f t="shared" si="0"/>
        <v>1.009625230391153</v>
      </c>
      <c r="J16" s="6">
        <f t="shared" si="0"/>
        <v>1</v>
      </c>
    </row>
    <row r="17" spans="1:11" x14ac:dyDescent="0.3">
      <c r="A17" s="3" t="s">
        <v>12</v>
      </c>
      <c r="B17" s="6">
        <f t="shared" ref="B17:I17" si="1">C4/B4</f>
        <v>1.6644254278728607</v>
      </c>
      <c r="C17" s="6">
        <f t="shared" si="1"/>
        <v>1.2757987513771576</v>
      </c>
      <c r="D17" s="6">
        <f t="shared" si="1"/>
        <v>1.1963154864709269</v>
      </c>
      <c r="E17" s="6">
        <f t="shared" si="1"/>
        <v>1.0960057747834455</v>
      </c>
      <c r="F17" s="6">
        <f t="shared" si="1"/>
        <v>1.0412733260153677</v>
      </c>
      <c r="G17" s="6">
        <f t="shared" si="1"/>
        <v>1.0217162133670672</v>
      </c>
      <c r="H17" s="6">
        <f t="shared" si="1"/>
        <v>1.0099050763516302</v>
      </c>
      <c r="I17" s="6">
        <f t="shared" si="1"/>
        <v>1.010012259910094</v>
      </c>
      <c r="J17" s="5"/>
    </row>
    <row r="18" spans="1:11" x14ac:dyDescent="0.3">
      <c r="A18" s="3" t="s">
        <v>13</v>
      </c>
      <c r="B18" s="6">
        <f t="shared" ref="B18:H18" si="2">C5/B5</f>
        <v>1.6514778325123152</v>
      </c>
      <c r="C18" s="6">
        <f t="shared" si="2"/>
        <v>1.296420581655481</v>
      </c>
      <c r="D18" s="6">
        <f t="shared" si="2"/>
        <v>1.1832039114178889</v>
      </c>
      <c r="E18" s="6">
        <f t="shared" si="2"/>
        <v>1.0977151191054935</v>
      </c>
      <c r="F18" s="6">
        <f t="shared" si="2"/>
        <v>1.0436226749335695</v>
      </c>
      <c r="G18" s="6">
        <f t="shared" si="2"/>
        <v>1.0210057288351368</v>
      </c>
      <c r="H18" s="6">
        <f t="shared" si="2"/>
        <v>1.0108063175394846</v>
      </c>
      <c r="I18" s="5"/>
      <c r="J18" s="5"/>
    </row>
    <row r="19" spans="1:11" x14ac:dyDescent="0.3">
      <c r="A19" s="3" t="s">
        <v>14</v>
      </c>
      <c r="B19" s="6">
        <f t="shared" ref="B19:G19" si="3">C6/B6</f>
        <v>1.6122569239835003</v>
      </c>
      <c r="C19" s="6">
        <f t="shared" si="3"/>
        <v>1.3011695906432748</v>
      </c>
      <c r="D19" s="6">
        <f t="shared" si="3"/>
        <v>1.1808988764044943</v>
      </c>
      <c r="E19" s="6">
        <f t="shared" si="3"/>
        <v>1.0922930542340628</v>
      </c>
      <c r="F19" s="6">
        <f t="shared" si="3"/>
        <v>1.0394163763066202</v>
      </c>
      <c r="G19" s="6">
        <f t="shared" si="3"/>
        <v>1.023674837628326</v>
      </c>
      <c r="H19" s="5"/>
      <c r="I19" s="5"/>
      <c r="J19" s="5"/>
    </row>
    <row r="20" spans="1:11" x14ac:dyDescent="0.3">
      <c r="A20" s="3" t="s">
        <v>15</v>
      </c>
      <c r="B20" s="6">
        <f>C7/B7</f>
        <v>1.7235407312379731</v>
      </c>
      <c r="C20" s="6">
        <f>D7/C7</f>
        <v>1.3193152214365462</v>
      </c>
      <c r="D20" s="6">
        <f>E7/D7</f>
        <v>1.1751763046544428</v>
      </c>
      <c r="E20" s="6">
        <f>F7/E7</f>
        <v>1.0969755160825732</v>
      </c>
      <c r="F20" s="6">
        <f>G7/F7</f>
        <v>1.0431072210065646</v>
      </c>
      <c r="G20" s="5"/>
      <c r="H20" s="5"/>
      <c r="I20" s="5"/>
      <c r="J20" s="5"/>
    </row>
    <row r="21" spans="1:11" x14ac:dyDescent="0.3">
      <c r="A21" s="3" t="s">
        <v>16</v>
      </c>
      <c r="B21" s="6">
        <f>C8/B8</f>
        <v>1.6933497536945812</v>
      </c>
      <c r="C21" s="6">
        <f>D8/C8</f>
        <v>1.2705454545454546</v>
      </c>
      <c r="D21" s="6">
        <f>E8/D8</f>
        <v>1.1891814539210075</v>
      </c>
      <c r="E21" s="6">
        <f>F8/E8</f>
        <v>1.1063778580024068</v>
      </c>
      <c r="F21" s="5"/>
      <c r="G21" s="5"/>
      <c r="H21" s="5"/>
      <c r="I21" s="5"/>
      <c r="J21" s="5"/>
    </row>
    <row r="22" spans="1:11" x14ac:dyDescent="0.3">
      <c r="A22" s="3" t="s">
        <v>17</v>
      </c>
      <c r="B22" s="6">
        <f>C9/B9</f>
        <v>1.6797066014669926</v>
      </c>
      <c r="C22" s="6">
        <f>D9/C9</f>
        <v>1.3024017467248907</v>
      </c>
      <c r="D22" s="6">
        <f>E9/D9</f>
        <v>1.2017323274657725</v>
      </c>
      <c r="E22" s="5"/>
      <c r="F22" s="5"/>
      <c r="G22" s="5"/>
      <c r="H22" s="5"/>
      <c r="I22" s="5"/>
      <c r="J22" s="5"/>
    </row>
    <row r="23" spans="1:11" x14ac:dyDescent="0.3">
      <c r="A23" s="3" t="s">
        <v>18</v>
      </c>
      <c r="B23" s="6">
        <f>C10/B10</f>
        <v>1.6180232558139536</v>
      </c>
      <c r="C23" s="6">
        <f>D10/C10</f>
        <v>1.2820697089471793</v>
      </c>
      <c r="D23" s="5"/>
      <c r="E23" s="5"/>
      <c r="F23" s="5"/>
      <c r="G23" s="5"/>
      <c r="H23" s="5"/>
      <c r="I23" s="5"/>
      <c r="J23" s="5"/>
    </row>
    <row r="24" spans="1:11" x14ac:dyDescent="0.3">
      <c r="A24" s="3" t="s">
        <v>19</v>
      </c>
      <c r="B24" s="6">
        <f>C11/B11</f>
        <v>1.6996173469387754</v>
      </c>
      <c r="C24" s="5"/>
      <c r="D24" s="5"/>
      <c r="E24" s="5"/>
      <c r="F24" s="5"/>
      <c r="G24" s="5"/>
      <c r="H24" s="5"/>
      <c r="I24" s="5"/>
      <c r="J24" s="5"/>
    </row>
    <row r="25" spans="1:11" x14ac:dyDescent="0.3">
      <c r="A25" s="3" t="s">
        <v>20</v>
      </c>
      <c r="B25" s="5"/>
      <c r="C25" s="5"/>
      <c r="D25" s="5"/>
      <c r="E25" s="5"/>
      <c r="F25" s="5"/>
      <c r="G25" s="5"/>
      <c r="H25" s="5"/>
      <c r="I25" s="5"/>
      <c r="J25" s="5"/>
    </row>
    <row r="27" spans="1:11" x14ac:dyDescent="0.3">
      <c r="A27" s="25" t="s">
        <v>31</v>
      </c>
      <c r="B27" s="26"/>
      <c r="C27" s="26"/>
      <c r="D27" s="26"/>
      <c r="E27" s="26"/>
      <c r="F27" s="26"/>
      <c r="G27" s="26"/>
      <c r="H27" s="26"/>
      <c r="I27" s="26"/>
      <c r="J27" s="26"/>
      <c r="K27" s="27"/>
    </row>
    <row r="28" spans="1:11" x14ac:dyDescent="0.3">
      <c r="A28" s="7" t="s">
        <v>32</v>
      </c>
      <c r="B28" s="2" t="s">
        <v>22</v>
      </c>
      <c r="C28" s="2" t="s">
        <v>23</v>
      </c>
      <c r="D28" s="2" t="s">
        <v>24</v>
      </c>
      <c r="E28" s="2" t="s">
        <v>25</v>
      </c>
      <c r="F28" s="2" t="s">
        <v>26</v>
      </c>
      <c r="G28" s="2" t="s">
        <v>27</v>
      </c>
      <c r="H28" s="2" t="s">
        <v>28</v>
      </c>
      <c r="I28" s="2" t="s">
        <v>29</v>
      </c>
      <c r="J28" s="2" t="s">
        <v>30</v>
      </c>
      <c r="K28" s="2" t="s">
        <v>33</v>
      </c>
    </row>
    <row r="29" spans="1:11" x14ac:dyDescent="0.3">
      <c r="A29" s="8" t="s">
        <v>34</v>
      </c>
      <c r="B29" s="6">
        <f t="shared" ref="B29:J29" si="4">IFERROR(AVERAGE(B16:B24),AVERAGE(B16:B24))</f>
        <v>1.6640786675367876</v>
      </c>
      <c r="C29" s="6">
        <f t="shared" si="4"/>
        <v>1.2930869100260727</v>
      </c>
      <c r="D29" s="6">
        <f t="shared" si="4"/>
        <v>1.1858227874868952</v>
      </c>
      <c r="E29" s="6">
        <f t="shared" si="4"/>
        <v>1.0999162199591996</v>
      </c>
      <c r="F29" s="6">
        <f t="shared" si="4"/>
        <v>1.0424985020651509</v>
      </c>
      <c r="G29" s="6">
        <f t="shared" si="4"/>
        <v>1.0219374613424104</v>
      </c>
      <c r="H29" s="6">
        <f t="shared" si="4"/>
        <v>1.0104917369687418</v>
      </c>
      <c r="I29" s="6">
        <f t="shared" si="4"/>
        <v>1.0098187451506235</v>
      </c>
      <c r="J29" s="6">
        <f t="shared" si="4"/>
        <v>1</v>
      </c>
      <c r="K29" s="5"/>
    </row>
    <row r="30" spans="1:11" x14ac:dyDescent="0.3">
      <c r="A30" s="8" t="s">
        <v>35</v>
      </c>
      <c r="B30" s="6">
        <f t="shared" ref="B30:J30" si="5">IFERROR(SUMPRODUCT(B16:B24,B3:B11)/SUMPRODUCT((B16:B24&lt;&gt;"")*B3:B11),SUMPRODUCT(B16:B24,B3:B11)/SUMPRODUCT((B16:B24&lt;&gt;"")*B3:B11))</f>
        <v>1.6631070602639098</v>
      </c>
      <c r="C30" s="6">
        <f t="shared" si="5"/>
        <v>1.2929863214908657</v>
      </c>
      <c r="D30" s="6">
        <f t="shared" si="5"/>
        <v>1.1858461038169179</v>
      </c>
      <c r="E30" s="6">
        <f t="shared" si="5"/>
        <v>1.0998713412672885</v>
      </c>
      <c r="F30" s="6">
        <f t="shared" si="5"/>
        <v>1.0424886857946307</v>
      </c>
      <c r="G30" s="6">
        <f t="shared" si="5"/>
        <v>1.0219420855530355</v>
      </c>
      <c r="H30" s="6">
        <f t="shared" si="5"/>
        <v>1.0104907170957278</v>
      </c>
      <c r="I30" s="6">
        <f t="shared" si="5"/>
        <v>1.0098189628720466</v>
      </c>
      <c r="J30" s="6">
        <f t="shared" si="5"/>
        <v>1</v>
      </c>
      <c r="K30" s="5"/>
    </row>
    <row r="31" spans="1:11" x14ac:dyDescent="0.3">
      <c r="A31" s="8" t="s">
        <v>36</v>
      </c>
      <c r="B31" s="6">
        <f t="shared" ref="B31:J31" si="6">IFERROR(TRIMMEAN(B16:B24,2/COUNT(B16:B24)),AVERAGE(B16:B24))</f>
        <v>1.6629871932299447</v>
      </c>
      <c r="C31" s="6">
        <f t="shared" si="6"/>
        <v>1.2924724340377631</v>
      </c>
      <c r="D31" s="6">
        <f t="shared" si="6"/>
        <v>1.1849552065737519</v>
      </c>
      <c r="E31" s="6">
        <f t="shared" si="6"/>
        <v>1.0992685669934796</v>
      </c>
      <c r="F31" s="6">
        <f t="shared" si="6"/>
        <v>1.0426677406518341</v>
      </c>
      <c r="G31" s="6">
        <f t="shared" si="6"/>
        <v>1.0215346394530895</v>
      </c>
      <c r="H31" s="6">
        <f t="shared" si="6"/>
        <v>1.0107638170151108</v>
      </c>
      <c r="I31" s="6">
        <f t="shared" si="6"/>
        <v>1.0098187451506235</v>
      </c>
      <c r="J31" s="6">
        <f t="shared" si="6"/>
        <v>1</v>
      </c>
      <c r="K31" s="5"/>
    </row>
    <row r="32" spans="1:11" x14ac:dyDescent="0.3">
      <c r="A32" s="8" t="s">
        <v>37</v>
      </c>
      <c r="B32" s="6">
        <f t="shared" ref="B32:J32" si="7">IFERROR(AVERAGE(B22:B24),AVERAGE(B16:B24))</f>
        <v>1.6657824014065739</v>
      </c>
      <c r="C32" s="6">
        <f t="shared" si="7"/>
        <v>1.292235727836035</v>
      </c>
      <c r="D32" s="6">
        <f t="shared" si="7"/>
        <v>1.2017323274657725</v>
      </c>
      <c r="E32" s="6">
        <f t="shared" si="7"/>
        <v>1.0999162199591996</v>
      </c>
      <c r="F32" s="6">
        <f t="shared" si="7"/>
        <v>1.0424985020651509</v>
      </c>
      <c r="G32" s="6">
        <f t="shared" si="7"/>
        <v>1.0219374613424104</v>
      </c>
      <c r="H32" s="6">
        <f t="shared" si="7"/>
        <v>1.0104917369687418</v>
      </c>
      <c r="I32" s="6">
        <f t="shared" si="7"/>
        <v>1.0098187451506235</v>
      </c>
      <c r="J32" s="6">
        <f t="shared" si="7"/>
        <v>1</v>
      </c>
      <c r="K32" s="5"/>
    </row>
    <row r="33" spans="1:11" x14ac:dyDescent="0.3">
      <c r="A33" s="8" t="s">
        <v>38</v>
      </c>
      <c r="B33" s="6">
        <f t="shared" ref="B33:J33" si="8">IFERROR(SUMPRODUCT(B22:B24,B9:B11)/SUMPRODUCT((B22:B24&lt;&gt;"")*B9:B11),SUMPRODUCT(B16:B24,B3:B11)/SUMPRODUCT((B16:B24&lt;&gt;"")*B3:B11))</f>
        <v>1.6645004061738424</v>
      </c>
      <c r="C33" s="6">
        <f t="shared" si="8"/>
        <v>1.2921713975772917</v>
      </c>
      <c r="D33" s="6">
        <f t="shared" si="8"/>
        <v>1.2017323274657725</v>
      </c>
      <c r="E33" s="6">
        <f t="shared" si="8"/>
        <v>1.0998713412672885</v>
      </c>
      <c r="F33" s="6">
        <f t="shared" si="8"/>
        <v>1.0424886857946307</v>
      </c>
      <c r="G33" s="6">
        <f t="shared" si="8"/>
        <v>1.0219420855530355</v>
      </c>
      <c r="H33" s="6">
        <f t="shared" si="8"/>
        <v>1.0104907170957278</v>
      </c>
      <c r="I33" s="6">
        <f t="shared" si="8"/>
        <v>1.0098189628720466</v>
      </c>
      <c r="J33" s="6">
        <f t="shared" si="8"/>
        <v>1</v>
      </c>
      <c r="K33" s="5"/>
    </row>
    <row r="34" spans="1:11" x14ac:dyDescent="0.3">
      <c r="A34" s="8" t="s">
        <v>39</v>
      </c>
      <c r="B34" s="6">
        <f t="shared" ref="B34:J34" si="9">IFERROR(TRIMMEAN(B22:B24,2/COUNT(B22:B24)),AVERAGE(B16:B24))</f>
        <v>1.6797066014669926</v>
      </c>
      <c r="C34" s="6">
        <f t="shared" si="9"/>
        <v>1.2930869100260727</v>
      </c>
      <c r="D34" s="6">
        <f t="shared" si="9"/>
        <v>1.1858227874868952</v>
      </c>
      <c r="E34" s="6">
        <f t="shared" si="9"/>
        <v>1.0999162199591996</v>
      </c>
      <c r="F34" s="6">
        <f t="shared" si="9"/>
        <v>1.0424985020651509</v>
      </c>
      <c r="G34" s="6">
        <f t="shared" si="9"/>
        <v>1.0219374613424104</v>
      </c>
      <c r="H34" s="6">
        <f t="shared" si="9"/>
        <v>1.0104917369687418</v>
      </c>
      <c r="I34" s="6">
        <f t="shared" si="9"/>
        <v>1.0098187451506235</v>
      </c>
      <c r="J34" s="6">
        <f t="shared" si="9"/>
        <v>1</v>
      </c>
      <c r="K34" s="5"/>
    </row>
    <row r="35" spans="1:11" x14ac:dyDescent="0.3">
      <c r="A35" s="8" t="s">
        <v>40</v>
      </c>
      <c r="B35" s="6">
        <f t="shared" ref="B35:J35" si="10">IFERROR(AVERAGE(B20:B24),AVERAGE(B16:B24))</f>
        <v>1.6828475378304553</v>
      </c>
      <c r="C35" s="6">
        <f t="shared" si="10"/>
        <v>1.2935830329135176</v>
      </c>
      <c r="D35" s="6">
        <f t="shared" si="10"/>
        <v>1.1886966953470743</v>
      </c>
      <c r="E35" s="6">
        <f t="shared" si="10"/>
        <v>1.1016766870424899</v>
      </c>
      <c r="F35" s="6">
        <f t="shared" si="10"/>
        <v>1.0431072210065646</v>
      </c>
      <c r="G35" s="6">
        <f t="shared" si="10"/>
        <v>1.0219374613424104</v>
      </c>
      <c r="H35" s="6">
        <f t="shared" si="10"/>
        <v>1.0104917369687418</v>
      </c>
      <c r="I35" s="6">
        <f t="shared" si="10"/>
        <v>1.0098187451506235</v>
      </c>
      <c r="J35" s="6">
        <f t="shared" si="10"/>
        <v>1</v>
      </c>
      <c r="K35" s="5"/>
    </row>
    <row r="36" spans="1:11" x14ac:dyDescent="0.3">
      <c r="A36" s="8" t="s">
        <v>41</v>
      </c>
      <c r="B36" s="6">
        <f t="shared" ref="B36:J36" si="11">IFERROR(SUMPRODUCT(B20:B24,B7:B11)/SUMPRODUCT((B20:B24&lt;&gt;"")*B7:B11),SUMPRODUCT(B16:B24,B3:B11)/SUMPRODUCT((B16:B24&lt;&gt;"")*B3:B11))</f>
        <v>1.6816331565313927</v>
      </c>
      <c r="C36" s="6">
        <f t="shared" si="11"/>
        <v>1.2933989788475566</v>
      </c>
      <c r="D36" s="6">
        <f t="shared" si="11"/>
        <v>1.1887361084950085</v>
      </c>
      <c r="E36" s="6">
        <f t="shared" si="11"/>
        <v>1.1016704722990025</v>
      </c>
      <c r="F36" s="6">
        <f t="shared" si="11"/>
        <v>1.0431072210065646</v>
      </c>
      <c r="G36" s="6">
        <f t="shared" si="11"/>
        <v>1.0219420855530355</v>
      </c>
      <c r="H36" s="6">
        <f t="shared" si="11"/>
        <v>1.0104907170957278</v>
      </c>
      <c r="I36" s="6">
        <f t="shared" si="11"/>
        <v>1.0098189628720466</v>
      </c>
      <c r="J36" s="6">
        <f t="shared" si="11"/>
        <v>1</v>
      </c>
      <c r="K36" s="5"/>
    </row>
    <row r="37" spans="1:11" x14ac:dyDescent="0.3">
      <c r="A37" s="8" t="s">
        <v>42</v>
      </c>
      <c r="B37" s="6">
        <f t="shared" ref="B37:J37" si="12">IFERROR(TRIMMEAN(B20:B24,2/COUNT(B20:B24)),AVERAGE(B16:B24))</f>
        <v>1.6908912340334499</v>
      </c>
      <c r="C37" s="6">
        <f t="shared" si="12"/>
        <v>1.292235727836035</v>
      </c>
      <c r="D37" s="6">
        <f t="shared" si="12"/>
        <v>1.1891814539210075</v>
      </c>
      <c r="E37" s="6">
        <f t="shared" si="12"/>
        <v>1.0999162199591996</v>
      </c>
      <c r="F37" s="6">
        <f t="shared" si="12"/>
        <v>1.0424985020651509</v>
      </c>
      <c r="G37" s="6">
        <f t="shared" si="12"/>
        <v>1.0219374613424104</v>
      </c>
      <c r="H37" s="6">
        <f t="shared" si="12"/>
        <v>1.0104917369687418</v>
      </c>
      <c r="I37" s="6">
        <f t="shared" si="12"/>
        <v>1.0098187451506235</v>
      </c>
      <c r="J37" s="6">
        <f t="shared" si="12"/>
        <v>1</v>
      </c>
      <c r="K37" s="5"/>
    </row>
    <row r="38" spans="1:11" x14ac:dyDescent="0.3">
      <c r="A38" s="8" t="s">
        <v>43</v>
      </c>
      <c r="B38" s="6">
        <f t="shared" ref="B38:J38" si="13">IFERROR(AVERAGE(B16:B24),AVERAGE(B16:B24))</f>
        <v>1.6640786675367876</v>
      </c>
      <c r="C38" s="6">
        <f t="shared" si="13"/>
        <v>1.2930869100260727</v>
      </c>
      <c r="D38" s="6">
        <f t="shared" si="13"/>
        <v>1.1858227874868952</v>
      </c>
      <c r="E38" s="6">
        <f t="shared" si="13"/>
        <v>1.0999162199591996</v>
      </c>
      <c r="F38" s="6">
        <f t="shared" si="13"/>
        <v>1.0424985020651509</v>
      </c>
      <c r="G38" s="6">
        <f t="shared" si="13"/>
        <v>1.0219374613424104</v>
      </c>
      <c r="H38" s="6">
        <f t="shared" si="13"/>
        <v>1.0104917369687418</v>
      </c>
      <c r="I38" s="6">
        <f t="shared" si="13"/>
        <v>1.0098187451506235</v>
      </c>
      <c r="J38" s="6">
        <f t="shared" si="13"/>
        <v>1</v>
      </c>
      <c r="K38" s="5"/>
    </row>
    <row r="39" spans="1:11" x14ac:dyDescent="0.3">
      <c r="A39" s="8" t="s">
        <v>44</v>
      </c>
      <c r="B39" s="6">
        <f t="shared" ref="B39:J39" si="14">IFERROR(SUMPRODUCT(B16:B24,B3:B11)/SUMPRODUCT((B16:B24&lt;&gt;"")*B3:B11),SUMPRODUCT(B16:B24,B3:B11)/SUMPRODUCT((B16:B24&lt;&gt;"")*B3:B11))</f>
        <v>1.6631070602639098</v>
      </c>
      <c r="C39" s="6">
        <f t="shared" si="14"/>
        <v>1.2929863214908657</v>
      </c>
      <c r="D39" s="6">
        <f t="shared" si="14"/>
        <v>1.1858461038169179</v>
      </c>
      <c r="E39" s="6">
        <f t="shared" si="14"/>
        <v>1.0998713412672885</v>
      </c>
      <c r="F39" s="6">
        <f t="shared" si="14"/>
        <v>1.0424886857946307</v>
      </c>
      <c r="G39" s="6">
        <f t="shared" si="14"/>
        <v>1.0219420855530355</v>
      </c>
      <c r="H39" s="6">
        <f t="shared" si="14"/>
        <v>1.0104907170957278</v>
      </c>
      <c r="I39" s="6">
        <f t="shared" si="14"/>
        <v>1.0098189628720466</v>
      </c>
      <c r="J39" s="6">
        <f t="shared" si="14"/>
        <v>1</v>
      </c>
      <c r="K39" s="5"/>
    </row>
    <row r="40" spans="1:11" x14ac:dyDescent="0.3">
      <c r="A40" s="8" t="s">
        <v>45</v>
      </c>
      <c r="B40" s="6">
        <f t="shared" ref="B40:J40" si="15">IFERROR(TRIMMEAN(B16:B24,2/COUNT(B16:B24)),AVERAGE(B16:B24))</f>
        <v>1.6629871932299447</v>
      </c>
      <c r="C40" s="6">
        <f t="shared" si="15"/>
        <v>1.2924724340377631</v>
      </c>
      <c r="D40" s="6">
        <f t="shared" si="15"/>
        <v>1.1849552065737519</v>
      </c>
      <c r="E40" s="6">
        <f t="shared" si="15"/>
        <v>1.0992685669934796</v>
      </c>
      <c r="F40" s="6">
        <f t="shared" si="15"/>
        <v>1.0426677406518341</v>
      </c>
      <c r="G40" s="6">
        <f t="shared" si="15"/>
        <v>1.0215346394530895</v>
      </c>
      <c r="H40" s="6">
        <f t="shared" si="15"/>
        <v>1.0107638170151108</v>
      </c>
      <c r="I40" s="6">
        <f t="shared" si="15"/>
        <v>1.0098187451506235</v>
      </c>
      <c r="J40" s="6">
        <f t="shared" si="15"/>
        <v>1</v>
      </c>
      <c r="K40" s="5"/>
    </row>
    <row r="42" spans="1:11" x14ac:dyDescent="0.3">
      <c r="A42" s="25" t="s">
        <v>46</v>
      </c>
      <c r="B42" s="26"/>
      <c r="C42" s="26"/>
      <c r="D42" s="26"/>
      <c r="E42" s="26"/>
      <c r="F42" s="26"/>
      <c r="G42" s="26"/>
      <c r="H42" s="26"/>
      <c r="I42" s="26"/>
      <c r="J42" s="26"/>
      <c r="K42" s="27"/>
    </row>
    <row r="43" spans="1:11" x14ac:dyDescent="0.3">
      <c r="A43" s="1"/>
      <c r="B43" s="2" t="s">
        <v>22</v>
      </c>
      <c r="C43" s="2" t="s">
        <v>23</v>
      </c>
      <c r="D43" s="2" t="s">
        <v>24</v>
      </c>
      <c r="E43" s="2" t="s">
        <v>25</v>
      </c>
      <c r="F43" s="2" t="s">
        <v>26</v>
      </c>
      <c r="G43" s="2" t="s">
        <v>27</v>
      </c>
      <c r="H43" s="2" t="s">
        <v>28</v>
      </c>
      <c r="I43" s="2" t="s">
        <v>29</v>
      </c>
      <c r="J43" s="2" t="s">
        <v>30</v>
      </c>
      <c r="K43" s="2" t="s">
        <v>33</v>
      </c>
    </row>
    <row r="44" spans="1:11" ht="24" x14ac:dyDescent="0.3">
      <c r="A44" s="9" t="s">
        <v>47</v>
      </c>
      <c r="B44" s="10">
        <v>1.6640999999999999</v>
      </c>
      <c r="C44" s="10">
        <v>1.2929999999999999</v>
      </c>
      <c r="D44" s="10">
        <v>1.1859</v>
      </c>
      <c r="E44" s="10">
        <v>1.0999000000000001</v>
      </c>
      <c r="F44" s="10">
        <v>1.0425</v>
      </c>
      <c r="G44" s="10">
        <v>1.022</v>
      </c>
      <c r="H44" s="10">
        <v>1.0105</v>
      </c>
      <c r="I44" s="10">
        <v>1.0098</v>
      </c>
      <c r="J44" s="10">
        <v>1</v>
      </c>
      <c r="K44" s="10">
        <v>1</v>
      </c>
    </row>
    <row r="45" spans="1:11" ht="256.2" x14ac:dyDescent="0.3">
      <c r="A45" s="9" t="s">
        <v>48</v>
      </c>
      <c r="B45" s="11" t="s">
        <v>124</v>
      </c>
      <c r="C45" s="11" t="s">
        <v>125</v>
      </c>
      <c r="D45" s="11" t="s">
        <v>126</v>
      </c>
      <c r="E45" s="11" t="s">
        <v>127</v>
      </c>
      <c r="F45" s="11" t="s">
        <v>128</v>
      </c>
      <c r="G45" s="11" t="s">
        <v>129</v>
      </c>
      <c r="H45" s="11" t="s">
        <v>130</v>
      </c>
      <c r="I45" s="11" t="s">
        <v>131</v>
      </c>
      <c r="J45" s="11" t="s">
        <v>132</v>
      </c>
      <c r="K45" s="11" t="s">
        <v>133</v>
      </c>
    </row>
    <row r="47" spans="1:11" x14ac:dyDescent="0.3">
      <c r="A47" s="12" t="s">
        <v>59</v>
      </c>
      <c r="B47" s="13">
        <v>1.6631</v>
      </c>
      <c r="C47" s="13">
        <v>1.2929999999999999</v>
      </c>
      <c r="D47" s="13">
        <v>1.1859</v>
      </c>
      <c r="E47" s="13">
        <v>1.0979000000000001</v>
      </c>
      <c r="F47" s="13">
        <v>1.0425</v>
      </c>
      <c r="G47" s="13">
        <v>1.022</v>
      </c>
      <c r="H47" s="13">
        <v>1.0105</v>
      </c>
      <c r="I47" s="13">
        <v>1.0098</v>
      </c>
      <c r="J47" s="13">
        <v>1</v>
      </c>
      <c r="K47" s="13">
        <v>1</v>
      </c>
    </row>
    <row r="48" spans="1:11" ht="409.6" x14ac:dyDescent="0.3">
      <c r="A48" s="12" t="s">
        <v>60</v>
      </c>
      <c r="B48" s="14" t="s">
        <v>134</v>
      </c>
      <c r="C48" s="14" t="s">
        <v>135</v>
      </c>
      <c r="D48" s="14" t="s">
        <v>136</v>
      </c>
      <c r="E48" s="14" t="s">
        <v>137</v>
      </c>
      <c r="F48" s="14" t="s">
        <v>138</v>
      </c>
      <c r="G48" s="14" t="s">
        <v>139</v>
      </c>
      <c r="H48" s="14" t="s">
        <v>140</v>
      </c>
      <c r="I48" s="14" t="s">
        <v>141</v>
      </c>
      <c r="J48" s="14" t="s">
        <v>142</v>
      </c>
      <c r="K48" s="14" t="s">
        <v>143</v>
      </c>
    </row>
    <row r="50" spans="1:11" x14ac:dyDescent="0.3">
      <c r="A50" s="23" t="s">
        <v>71</v>
      </c>
      <c r="B50" s="24"/>
      <c r="C50" s="24"/>
      <c r="D50" s="24"/>
      <c r="E50" s="24"/>
      <c r="F50" s="24"/>
      <c r="G50" s="24"/>
      <c r="H50" s="24"/>
      <c r="I50" s="24"/>
      <c r="J50" s="24"/>
      <c r="K50" s="24"/>
    </row>
    <row r="51" spans="1:11" x14ac:dyDescent="0.3">
      <c r="A51" s="15" t="s">
        <v>72</v>
      </c>
      <c r="B51" s="15" t="str">
        <f>$B$2</f>
        <v>12</v>
      </c>
      <c r="C51" s="15" t="str">
        <f>$C$2</f>
        <v>24</v>
      </c>
      <c r="D51" s="15" t="str">
        <f>$D$2</f>
        <v>36</v>
      </c>
      <c r="E51" s="15" t="str">
        <f>$E$2</f>
        <v>48</v>
      </c>
      <c r="F51" s="15" t="str">
        <f>$F$2</f>
        <v>60</v>
      </c>
      <c r="G51" s="15" t="str">
        <f>$G$2</f>
        <v>72</v>
      </c>
      <c r="H51" s="15" t="str">
        <f>$H$2</f>
        <v>84</v>
      </c>
      <c r="I51" s="15" t="str">
        <f>$I$2</f>
        <v>96</v>
      </c>
      <c r="J51" s="15" t="str">
        <f>$J$2</f>
        <v>108</v>
      </c>
      <c r="K51" s="15" t="str">
        <f>$K$2</f>
        <v>120</v>
      </c>
    </row>
    <row r="52" spans="1:11" x14ac:dyDescent="0.3">
      <c r="A52" s="15" t="s">
        <v>73</v>
      </c>
      <c r="B52" s="16">
        <f t="shared" ref="B52:J52" si="16">B47*C52</f>
        <v>3.0438720040372997</v>
      </c>
      <c r="C52" s="16">
        <f t="shared" si="16"/>
        <v>1.8302399158422822</v>
      </c>
      <c r="D52" s="16">
        <f t="shared" si="16"/>
        <v>1.4154987748200172</v>
      </c>
      <c r="E52" s="16">
        <f t="shared" si="16"/>
        <v>1.1936071969137509</v>
      </c>
      <c r="F52" s="16">
        <f t="shared" si="16"/>
        <v>1.0871729637615</v>
      </c>
      <c r="G52" s="16">
        <f t="shared" si="16"/>
        <v>1.0428517637999999</v>
      </c>
      <c r="H52" s="16">
        <f t="shared" si="16"/>
        <v>1.0204028999999999</v>
      </c>
      <c r="I52" s="16">
        <f t="shared" si="16"/>
        <v>1.0098</v>
      </c>
      <c r="J52" s="16">
        <f t="shared" si="16"/>
        <v>1</v>
      </c>
      <c r="K52" s="16">
        <f>K47</f>
        <v>1</v>
      </c>
    </row>
    <row r="54" spans="1:11" x14ac:dyDescent="0.3">
      <c r="A54" s="23" t="s">
        <v>74</v>
      </c>
      <c r="B54" s="24"/>
      <c r="C54" s="24"/>
      <c r="D54" s="24"/>
      <c r="E54" s="24"/>
      <c r="F54" s="24"/>
    </row>
    <row r="55" spans="1:11" x14ac:dyDescent="0.3">
      <c r="A55" s="17" t="s">
        <v>75</v>
      </c>
      <c r="B55" s="17" t="s">
        <v>76</v>
      </c>
      <c r="C55" s="17" t="s">
        <v>77</v>
      </c>
      <c r="D55" s="17" t="s">
        <v>78</v>
      </c>
      <c r="E55" s="17" t="s">
        <v>79</v>
      </c>
      <c r="F55" s="17" t="s">
        <v>80</v>
      </c>
    </row>
    <row r="56" spans="1:11" x14ac:dyDescent="0.3">
      <c r="A56" t="str">
        <f t="shared" ref="A56:A65" si="17">A3</f>
        <v>2015</v>
      </c>
      <c r="B56" t="str">
        <f t="shared" ref="B56:B65" si="18">LOOKUP(2,1/(B3:K3&lt;&gt;""),$B$2:$K$2)</f>
        <v>120</v>
      </c>
      <c r="C56" s="18">
        <f t="shared" ref="C56:C65" si="19">LOOKUP(2,1/(B3:K3&lt;&gt;""),B3:K3)</f>
        <v>4930</v>
      </c>
      <c r="D56" s="16">
        <f t="shared" ref="D56:D65" si="20">HLOOKUP(B56,$B$51:$K$52,2,FALSE)</f>
        <v>1</v>
      </c>
      <c r="E56" s="18">
        <f t="shared" ref="E56:E65" si="21">C56*D56</f>
        <v>4930</v>
      </c>
      <c r="F56" s="18">
        <f t="shared" ref="F56:F65" si="22">E56-C56</f>
        <v>0</v>
      </c>
    </row>
    <row r="57" spans="1:11" x14ac:dyDescent="0.3">
      <c r="A57" t="str">
        <f t="shared" si="17"/>
        <v>2016</v>
      </c>
      <c r="B57" t="str">
        <f t="shared" si="18"/>
        <v>108</v>
      </c>
      <c r="C57" s="18">
        <f t="shared" si="19"/>
        <v>4943</v>
      </c>
      <c r="D57" s="16">
        <f t="shared" si="20"/>
        <v>1</v>
      </c>
      <c r="E57" s="18">
        <f t="shared" si="21"/>
        <v>4943</v>
      </c>
      <c r="F57" s="18">
        <f t="shared" si="22"/>
        <v>0</v>
      </c>
    </row>
    <row r="58" spans="1:11" x14ac:dyDescent="0.3">
      <c r="A58" t="str">
        <f t="shared" si="17"/>
        <v>2017</v>
      </c>
      <c r="B58" t="str">
        <f t="shared" si="18"/>
        <v>96</v>
      </c>
      <c r="C58" s="18">
        <f t="shared" si="19"/>
        <v>4864</v>
      </c>
      <c r="D58" s="16">
        <f t="shared" si="20"/>
        <v>1.0098</v>
      </c>
      <c r="E58" s="18">
        <f t="shared" si="21"/>
        <v>4911.6671999999999</v>
      </c>
      <c r="F58" s="18">
        <f t="shared" si="22"/>
        <v>47.667199999999866</v>
      </c>
    </row>
    <row r="59" spans="1:11" x14ac:dyDescent="0.3">
      <c r="A59" t="str">
        <f t="shared" si="17"/>
        <v>2018</v>
      </c>
      <c r="B59" t="str">
        <f t="shared" si="18"/>
        <v>84</v>
      </c>
      <c r="C59" s="18">
        <f t="shared" si="19"/>
        <v>4886</v>
      </c>
      <c r="D59" s="16">
        <f t="shared" si="20"/>
        <v>1.0204028999999999</v>
      </c>
      <c r="E59" s="18">
        <f t="shared" si="21"/>
        <v>4985.6885693999993</v>
      </c>
      <c r="F59" s="18">
        <f t="shared" si="22"/>
        <v>99.688569399999324</v>
      </c>
    </row>
    <row r="60" spans="1:11" x14ac:dyDescent="0.3">
      <c r="A60" t="str">
        <f t="shared" si="17"/>
        <v>2019</v>
      </c>
      <c r="B60" t="str">
        <f t="shared" si="18"/>
        <v>72</v>
      </c>
      <c r="C60" s="18">
        <f t="shared" si="19"/>
        <v>4767</v>
      </c>
      <c r="D60" s="16">
        <f t="shared" si="20"/>
        <v>1.0428517637999999</v>
      </c>
      <c r="E60" s="18">
        <f t="shared" si="21"/>
        <v>4971.2743580345996</v>
      </c>
      <c r="F60" s="18">
        <f t="shared" si="22"/>
        <v>204.27435803459957</v>
      </c>
    </row>
    <row r="61" spans="1:11" x14ac:dyDescent="0.3">
      <c r="A61" t="str">
        <f t="shared" si="17"/>
        <v>2020</v>
      </c>
      <c r="B61" t="str">
        <f t="shared" si="18"/>
        <v>60</v>
      </c>
      <c r="C61" s="18">
        <f t="shared" si="19"/>
        <v>4597</v>
      </c>
      <c r="D61" s="16">
        <f t="shared" si="20"/>
        <v>1.0871729637615</v>
      </c>
      <c r="E61" s="18">
        <f t="shared" si="21"/>
        <v>4997.7341144116153</v>
      </c>
      <c r="F61" s="18">
        <f t="shared" si="22"/>
        <v>400.73411441161534</v>
      </c>
    </row>
    <row r="62" spans="1:11" x14ac:dyDescent="0.3">
      <c r="A62" t="str">
        <f t="shared" si="17"/>
        <v>2021</v>
      </c>
      <c r="B62" t="str">
        <f t="shared" si="18"/>
        <v>48</v>
      </c>
      <c r="C62" s="18">
        <f t="shared" si="19"/>
        <v>4301</v>
      </c>
      <c r="D62" s="16">
        <f t="shared" si="20"/>
        <v>1.1936071969137509</v>
      </c>
      <c r="E62" s="18">
        <f t="shared" si="21"/>
        <v>5133.7045539260425</v>
      </c>
      <c r="F62" s="18">
        <f t="shared" si="22"/>
        <v>832.70455392604254</v>
      </c>
    </row>
    <row r="63" spans="1:11" x14ac:dyDescent="0.3">
      <c r="A63" t="str">
        <f t="shared" si="17"/>
        <v>2022</v>
      </c>
      <c r="B63" t="str">
        <f t="shared" si="18"/>
        <v>36</v>
      </c>
      <c r="C63" s="18">
        <f t="shared" si="19"/>
        <v>3568</v>
      </c>
      <c r="D63" s="16">
        <f t="shared" si="20"/>
        <v>1.4154987748200172</v>
      </c>
      <c r="E63" s="18">
        <f t="shared" si="21"/>
        <v>5050.4996285578209</v>
      </c>
      <c r="F63" s="18">
        <f t="shared" si="22"/>
        <v>1482.4996285578209</v>
      </c>
    </row>
    <row r="64" spans="1:11" x14ac:dyDescent="0.3">
      <c r="A64" t="str">
        <f t="shared" si="17"/>
        <v>2023</v>
      </c>
      <c r="B64" t="str">
        <f t="shared" si="18"/>
        <v>24</v>
      </c>
      <c r="C64" s="18">
        <f t="shared" si="19"/>
        <v>2665</v>
      </c>
      <c r="D64" s="16">
        <f t="shared" si="20"/>
        <v>1.8302399158422822</v>
      </c>
      <c r="E64" s="18">
        <f t="shared" si="21"/>
        <v>4877.5893757196818</v>
      </c>
      <c r="F64" s="18">
        <f t="shared" si="22"/>
        <v>2212.5893757196818</v>
      </c>
    </row>
    <row r="65" spans="1:6" x14ac:dyDescent="0.3">
      <c r="A65" t="str">
        <f t="shared" si="17"/>
        <v>2024</v>
      </c>
      <c r="B65" t="str">
        <f t="shared" si="18"/>
        <v>12</v>
      </c>
      <c r="C65" s="18">
        <f t="shared" si="19"/>
        <v>1712</v>
      </c>
      <c r="D65" s="16">
        <f t="shared" si="20"/>
        <v>3.0438720040372997</v>
      </c>
      <c r="E65" s="18">
        <f t="shared" si="21"/>
        <v>5211.1088709118576</v>
      </c>
      <c r="F65" s="18">
        <f t="shared" si="22"/>
        <v>3499.1088709118576</v>
      </c>
    </row>
  </sheetData>
  <mergeCells count="6">
    <mergeCell ref="A54:F54"/>
    <mergeCell ref="A50:K50"/>
    <mergeCell ref="A14:J14"/>
    <mergeCell ref="A42:K42"/>
    <mergeCell ref="A1:K1"/>
    <mergeCell ref="A27:K2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144</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4">
        <v>1638</v>
      </c>
      <c r="C3" s="4">
        <v>2677</v>
      </c>
      <c r="D3" s="4">
        <v>3472</v>
      </c>
      <c r="E3" s="4">
        <v>4077</v>
      </c>
      <c r="F3" s="4">
        <v>4526</v>
      </c>
      <c r="G3" s="4">
        <v>4730</v>
      </c>
      <c r="H3" s="4">
        <v>4831</v>
      </c>
      <c r="I3" s="4">
        <v>4883</v>
      </c>
      <c r="J3" s="4">
        <v>4930</v>
      </c>
      <c r="K3" s="4">
        <v>4930</v>
      </c>
    </row>
    <row r="4" spans="1:11" x14ac:dyDescent="0.3">
      <c r="A4" s="3" t="s">
        <v>12</v>
      </c>
      <c r="B4" s="4">
        <v>1636</v>
      </c>
      <c r="C4" s="4">
        <v>2723</v>
      </c>
      <c r="D4" s="4">
        <v>3474</v>
      </c>
      <c r="E4" s="4">
        <v>4156</v>
      </c>
      <c r="F4" s="4">
        <v>4555</v>
      </c>
      <c r="G4" s="4">
        <v>4743</v>
      </c>
      <c r="H4" s="4">
        <v>4846</v>
      </c>
      <c r="I4" s="4">
        <v>4894</v>
      </c>
      <c r="J4" s="4">
        <v>4943</v>
      </c>
      <c r="K4" s="5"/>
    </row>
    <row r="5" spans="1:11" x14ac:dyDescent="0.3">
      <c r="A5" s="3" t="s">
        <v>13</v>
      </c>
      <c r="B5" s="4">
        <v>1624</v>
      </c>
      <c r="C5" s="4">
        <v>2682</v>
      </c>
      <c r="D5" s="4">
        <v>3477</v>
      </c>
      <c r="E5" s="4">
        <v>4114</v>
      </c>
      <c r="F5" s="4">
        <v>4516</v>
      </c>
      <c r="G5" s="4">
        <v>4713</v>
      </c>
      <c r="H5" s="4">
        <v>4812</v>
      </c>
      <c r="I5" s="4">
        <v>4864</v>
      </c>
      <c r="J5" s="5"/>
      <c r="K5" s="5"/>
    </row>
    <row r="6" spans="1:11" x14ac:dyDescent="0.3">
      <c r="A6" s="3" t="s">
        <v>14</v>
      </c>
      <c r="B6" s="4">
        <v>1697</v>
      </c>
      <c r="C6" s="4">
        <v>2736</v>
      </c>
      <c r="D6" s="4">
        <v>3560</v>
      </c>
      <c r="E6" s="4">
        <v>4204</v>
      </c>
      <c r="F6" s="4">
        <v>4592</v>
      </c>
      <c r="G6" s="4">
        <v>4773</v>
      </c>
      <c r="H6" s="4">
        <v>4886</v>
      </c>
      <c r="I6" s="5"/>
      <c r="J6" s="5"/>
      <c r="K6" s="5"/>
    </row>
    <row r="7" spans="1:11" x14ac:dyDescent="0.3">
      <c r="A7" s="3" t="s">
        <v>15</v>
      </c>
      <c r="B7" s="4">
        <v>1559</v>
      </c>
      <c r="C7" s="4">
        <v>2687</v>
      </c>
      <c r="D7" s="4">
        <v>3545</v>
      </c>
      <c r="E7" s="4">
        <v>4166</v>
      </c>
      <c r="F7" s="4">
        <v>4570</v>
      </c>
      <c r="G7" s="4">
        <v>4767</v>
      </c>
      <c r="H7" s="5"/>
      <c r="I7" s="5"/>
      <c r="J7" s="5"/>
      <c r="K7" s="5"/>
    </row>
    <row r="8" spans="1:11" x14ac:dyDescent="0.3">
      <c r="A8" s="3" t="s">
        <v>16</v>
      </c>
      <c r="B8" s="4">
        <v>1624</v>
      </c>
      <c r="C8" s="4">
        <v>2750</v>
      </c>
      <c r="D8" s="4">
        <v>3494</v>
      </c>
      <c r="E8" s="4">
        <v>4155</v>
      </c>
      <c r="F8" s="4">
        <v>4597</v>
      </c>
      <c r="G8" s="5"/>
      <c r="H8" s="5"/>
      <c r="I8" s="5"/>
      <c r="J8" s="5"/>
      <c r="K8" s="5"/>
    </row>
    <row r="9" spans="1:11" x14ac:dyDescent="0.3">
      <c r="A9" s="3" t="s">
        <v>17</v>
      </c>
      <c r="B9" s="4">
        <v>1636</v>
      </c>
      <c r="C9" s="4">
        <v>2748</v>
      </c>
      <c r="D9" s="4">
        <v>3579</v>
      </c>
      <c r="E9" s="4">
        <v>4301</v>
      </c>
      <c r="F9" s="5"/>
      <c r="G9" s="5"/>
      <c r="H9" s="5"/>
      <c r="I9" s="5"/>
      <c r="J9" s="5"/>
      <c r="K9" s="5"/>
    </row>
    <row r="10" spans="1:11" x14ac:dyDescent="0.3">
      <c r="A10" s="3" t="s">
        <v>18</v>
      </c>
      <c r="B10" s="4">
        <v>1720</v>
      </c>
      <c r="C10" s="4">
        <v>2783</v>
      </c>
      <c r="D10" s="4">
        <v>3568</v>
      </c>
      <c r="E10" s="5"/>
      <c r="F10" s="5"/>
      <c r="G10" s="5"/>
      <c r="H10" s="5"/>
      <c r="I10" s="5"/>
      <c r="J10" s="5"/>
      <c r="K10" s="5"/>
    </row>
    <row r="11" spans="1:11" x14ac:dyDescent="0.3">
      <c r="A11" s="3" t="s">
        <v>19</v>
      </c>
      <c r="B11" s="4">
        <v>1568</v>
      </c>
      <c r="C11" s="4">
        <v>2665</v>
      </c>
      <c r="D11" s="5"/>
      <c r="E11" s="5"/>
      <c r="F11" s="5"/>
      <c r="G11" s="5"/>
      <c r="H11" s="5"/>
      <c r="I11" s="5"/>
      <c r="J11" s="5"/>
      <c r="K11" s="5"/>
    </row>
    <row r="12" spans="1:11" x14ac:dyDescent="0.3">
      <c r="A12" s="3" t="s">
        <v>20</v>
      </c>
      <c r="B12" s="4">
        <v>1712</v>
      </c>
      <c r="C12" s="5"/>
      <c r="D12" s="5"/>
      <c r="E12" s="5"/>
      <c r="F12" s="5"/>
      <c r="G12" s="5"/>
      <c r="H12" s="5"/>
      <c r="I12" s="5"/>
      <c r="J12" s="5"/>
      <c r="K12" s="5"/>
    </row>
  </sheetData>
  <mergeCells count="1">
    <mergeCell ref="A1:K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2"/>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145</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4">
        <v>7098.4540999999999</v>
      </c>
      <c r="C3" s="4">
        <v>7715.2157999999999</v>
      </c>
      <c r="D3" s="4">
        <v>7749.6833999999999</v>
      </c>
      <c r="E3" s="4">
        <v>7939.2852999999996</v>
      </c>
      <c r="F3" s="4">
        <v>7958.4138000000003</v>
      </c>
      <c r="G3" s="4">
        <v>8180.0713999999998</v>
      </c>
      <c r="H3" s="4">
        <v>8499.0827000000008</v>
      </c>
      <c r="I3" s="4">
        <v>8749.6563999999998</v>
      </c>
      <c r="J3" s="4">
        <v>8948.6692999999996</v>
      </c>
      <c r="K3" s="4">
        <v>9129.5005000000001</v>
      </c>
    </row>
    <row r="4" spans="1:11" x14ac:dyDescent="0.3">
      <c r="A4" s="3" t="s">
        <v>12</v>
      </c>
      <c r="B4" s="4">
        <v>9571.6151000000009</v>
      </c>
      <c r="C4" s="4">
        <v>9915.6424999999999</v>
      </c>
      <c r="D4" s="4">
        <v>10315.650900000001</v>
      </c>
      <c r="E4" s="4">
        <v>10423.5733</v>
      </c>
      <c r="F4" s="4">
        <v>10717.953799999999</v>
      </c>
      <c r="G4" s="4">
        <v>11054.9653</v>
      </c>
      <c r="H4" s="4">
        <v>11472.2453</v>
      </c>
      <c r="I4" s="4">
        <v>11846.220600000001</v>
      </c>
      <c r="J4" s="4">
        <v>12122.7238</v>
      </c>
      <c r="K4" s="5"/>
    </row>
    <row r="5" spans="1:11" x14ac:dyDescent="0.3">
      <c r="A5" s="3" t="s">
        <v>13</v>
      </c>
      <c r="B5" s="4">
        <v>5387.1360000000004</v>
      </c>
      <c r="C5" s="4">
        <v>6169.5643</v>
      </c>
      <c r="D5" s="4">
        <v>6415.6021000000001</v>
      </c>
      <c r="E5" s="4">
        <v>6516.9153999999999</v>
      </c>
      <c r="F5" s="4">
        <v>6619.6704</v>
      </c>
      <c r="G5" s="4">
        <v>6808.6592000000001</v>
      </c>
      <c r="H5" s="4">
        <v>7041.4369999999999</v>
      </c>
      <c r="I5" s="4">
        <v>7272.2885999999999</v>
      </c>
      <c r="J5" s="5"/>
      <c r="K5" s="5"/>
    </row>
    <row r="6" spans="1:11" x14ac:dyDescent="0.3">
      <c r="A6" s="3" t="s">
        <v>14</v>
      </c>
      <c r="B6" s="4">
        <v>8605.7618000000002</v>
      </c>
      <c r="C6" s="4">
        <v>9915.0283999999992</v>
      </c>
      <c r="D6" s="4">
        <v>10227.2127</v>
      </c>
      <c r="E6" s="4">
        <v>10540.854600000001</v>
      </c>
      <c r="F6" s="4">
        <v>10651.3385</v>
      </c>
      <c r="G6" s="4">
        <v>10964.8765</v>
      </c>
      <c r="H6" s="4">
        <v>11322.867200000001</v>
      </c>
      <c r="I6" s="5"/>
      <c r="J6" s="5"/>
      <c r="K6" s="5"/>
    </row>
    <row r="7" spans="1:11" x14ac:dyDescent="0.3">
      <c r="A7" s="3" t="s">
        <v>15</v>
      </c>
      <c r="B7" s="4">
        <v>7599.8629000000001</v>
      </c>
      <c r="C7" s="4">
        <v>8020.6148999999996</v>
      </c>
      <c r="D7" s="4">
        <v>8064.2777999999998</v>
      </c>
      <c r="E7" s="4">
        <v>8119.2937000000002</v>
      </c>
      <c r="F7" s="4">
        <v>8214.3636999999999</v>
      </c>
      <c r="G7" s="4">
        <v>8470.6731999999993</v>
      </c>
      <c r="H7" s="5"/>
      <c r="I7" s="5"/>
      <c r="J7" s="5"/>
      <c r="K7" s="5"/>
    </row>
    <row r="8" spans="1:11" x14ac:dyDescent="0.3">
      <c r="A8" s="3" t="s">
        <v>16</v>
      </c>
      <c r="B8" s="4">
        <v>6482.6602999999996</v>
      </c>
      <c r="C8" s="4">
        <v>6991.5956999999999</v>
      </c>
      <c r="D8" s="4">
        <v>7533.6513000000004</v>
      </c>
      <c r="E8" s="4">
        <v>7589.0282999999999</v>
      </c>
      <c r="F8" s="4">
        <v>7597.8125</v>
      </c>
      <c r="G8" s="5"/>
      <c r="H8" s="5"/>
      <c r="I8" s="5"/>
      <c r="J8" s="5"/>
      <c r="K8" s="5"/>
    </row>
    <row r="9" spans="1:11" x14ac:dyDescent="0.3">
      <c r="A9" s="3" t="s">
        <v>17</v>
      </c>
      <c r="B9" s="4">
        <v>11598.884099999999</v>
      </c>
      <c r="C9" s="4">
        <v>12783.8231</v>
      </c>
      <c r="D9" s="4">
        <v>12901.3215</v>
      </c>
      <c r="E9" s="4">
        <v>12839.2947</v>
      </c>
      <c r="F9" s="5"/>
      <c r="G9" s="5"/>
      <c r="H9" s="5"/>
      <c r="I9" s="5"/>
      <c r="J9" s="5"/>
      <c r="K9" s="5"/>
    </row>
    <row r="10" spans="1:11" x14ac:dyDescent="0.3">
      <c r="A10" s="3" t="s">
        <v>18</v>
      </c>
      <c r="B10" s="4">
        <v>6560.2044999999998</v>
      </c>
      <c r="C10" s="4">
        <v>7234.5554000000002</v>
      </c>
      <c r="D10" s="4">
        <v>7579.0477000000001</v>
      </c>
      <c r="E10" s="5"/>
      <c r="F10" s="5"/>
      <c r="G10" s="5"/>
      <c r="H10" s="5"/>
      <c r="I10" s="5"/>
      <c r="J10" s="5"/>
      <c r="K10" s="5"/>
    </row>
    <row r="11" spans="1:11" x14ac:dyDescent="0.3">
      <c r="A11" s="3" t="s">
        <v>19</v>
      </c>
      <c r="B11" s="4">
        <v>7700.7353999999996</v>
      </c>
      <c r="C11" s="4">
        <v>8006.0141999999996</v>
      </c>
      <c r="D11" s="5"/>
      <c r="E11" s="5"/>
      <c r="F11" s="5"/>
      <c r="G11" s="5"/>
      <c r="H11" s="5"/>
      <c r="I11" s="5"/>
      <c r="J11" s="5"/>
      <c r="K11" s="5"/>
    </row>
    <row r="12" spans="1:11" x14ac:dyDescent="0.3">
      <c r="A12" s="3" t="s">
        <v>20</v>
      </c>
      <c r="B12" s="4">
        <v>9304.8621000000003</v>
      </c>
      <c r="C12" s="5"/>
      <c r="D12" s="5"/>
      <c r="E12" s="5"/>
      <c r="F12" s="5"/>
      <c r="G12" s="5"/>
      <c r="H12" s="5"/>
      <c r="I12" s="5"/>
      <c r="J12" s="5"/>
      <c r="K12" s="5"/>
    </row>
  </sheetData>
  <mergeCells count="1">
    <mergeCell ref="A1:K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2"/>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146</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4">
        <v>6794.6045999999997</v>
      </c>
      <c r="C3" s="4">
        <v>7518.8478999999998</v>
      </c>
      <c r="D3" s="4">
        <v>7942.1853000000001</v>
      </c>
      <c r="E3" s="4">
        <v>7833.8534</v>
      </c>
      <c r="F3" s="4">
        <v>7881.6477999999997</v>
      </c>
      <c r="G3" s="4">
        <v>8056.0151999999998</v>
      </c>
      <c r="H3" s="4">
        <v>8321.0118999999995</v>
      </c>
      <c r="I3" s="4">
        <v>8570.6206999999995</v>
      </c>
      <c r="J3" s="4">
        <v>8833.9444000000003</v>
      </c>
      <c r="K3" s="4">
        <v>9127.6491000000005</v>
      </c>
    </row>
    <row r="4" spans="1:11" x14ac:dyDescent="0.3">
      <c r="A4" s="3" t="s">
        <v>12</v>
      </c>
      <c r="B4" s="4">
        <v>9476.5763999999999</v>
      </c>
      <c r="C4" s="4">
        <v>10477.9522</v>
      </c>
      <c r="D4" s="4">
        <v>10849.0116</v>
      </c>
      <c r="E4" s="4">
        <v>10841.5463</v>
      </c>
      <c r="F4" s="4">
        <v>10974.8755</v>
      </c>
      <c r="G4" s="4">
        <v>11242.629499999999</v>
      </c>
      <c r="H4" s="4">
        <v>11531.8197</v>
      </c>
      <c r="I4" s="4">
        <v>11848.5821</v>
      </c>
      <c r="J4" s="4">
        <v>12125.142900000001</v>
      </c>
      <c r="K4" s="5"/>
    </row>
    <row r="5" spans="1:11" x14ac:dyDescent="0.3">
      <c r="A5" s="3" t="s">
        <v>13</v>
      </c>
      <c r="B5" s="4">
        <v>5651.3611000000001</v>
      </c>
      <c r="C5" s="4">
        <v>6693.7866000000004</v>
      </c>
      <c r="D5" s="4">
        <v>7009.8042999999998</v>
      </c>
      <c r="E5" s="4">
        <v>6957.1886000000004</v>
      </c>
      <c r="F5" s="4">
        <v>7003.8235000000004</v>
      </c>
      <c r="G5" s="4">
        <v>7134.4438</v>
      </c>
      <c r="H5" s="4">
        <v>7254.4775</v>
      </c>
      <c r="I5" s="4">
        <v>7420.8635999999997</v>
      </c>
      <c r="J5" s="5"/>
      <c r="K5" s="5"/>
    </row>
    <row r="6" spans="1:11" x14ac:dyDescent="0.3">
      <c r="A6" s="3" t="s">
        <v>14</v>
      </c>
      <c r="B6" s="4">
        <v>8539.5817999999999</v>
      </c>
      <c r="C6" s="4">
        <v>9841.3330999999998</v>
      </c>
      <c r="D6" s="4">
        <v>10362.511399999999</v>
      </c>
      <c r="E6" s="4">
        <v>10522.828299999999</v>
      </c>
      <c r="F6" s="4">
        <v>10749.333500000001</v>
      </c>
      <c r="G6" s="4">
        <v>10967.949500000001</v>
      </c>
      <c r="H6" s="4">
        <v>11220.5393</v>
      </c>
      <c r="I6" s="5"/>
      <c r="J6" s="5"/>
      <c r="K6" s="5"/>
    </row>
    <row r="7" spans="1:11" x14ac:dyDescent="0.3">
      <c r="A7" s="3" t="s">
        <v>15</v>
      </c>
      <c r="B7" s="4">
        <v>7261.7350999999999</v>
      </c>
      <c r="C7" s="4">
        <v>8050.4431000000004</v>
      </c>
      <c r="D7" s="4">
        <v>8486.6031000000003</v>
      </c>
      <c r="E7" s="4">
        <v>8429.8883999999998</v>
      </c>
      <c r="F7" s="4">
        <v>8544.3919000000005</v>
      </c>
      <c r="G7" s="4">
        <v>8708.3001999999997</v>
      </c>
      <c r="H7" s="5"/>
      <c r="I7" s="5"/>
      <c r="J7" s="5"/>
      <c r="K7" s="5"/>
    </row>
    <row r="8" spans="1:11" x14ac:dyDescent="0.3">
      <c r="A8" s="3" t="s">
        <v>16</v>
      </c>
      <c r="B8" s="4">
        <v>6453.4179999999997</v>
      </c>
      <c r="C8" s="4">
        <v>6808.2141000000001</v>
      </c>
      <c r="D8" s="4">
        <v>7356.5136000000002</v>
      </c>
      <c r="E8" s="4">
        <v>7591.7672000000002</v>
      </c>
      <c r="F8" s="4">
        <v>7655.6743999999999</v>
      </c>
      <c r="G8" s="5"/>
      <c r="H8" s="5"/>
      <c r="I8" s="5"/>
      <c r="J8" s="5"/>
      <c r="K8" s="5"/>
    </row>
    <row r="9" spans="1:11" x14ac:dyDescent="0.3">
      <c r="A9" s="3" t="s">
        <v>17</v>
      </c>
      <c r="B9" s="4">
        <v>10240.124599999999</v>
      </c>
      <c r="C9" s="4">
        <v>11384.964099999999</v>
      </c>
      <c r="D9" s="4">
        <v>11762.2893</v>
      </c>
      <c r="E9" s="4">
        <v>12122.575999999999</v>
      </c>
      <c r="F9" s="5"/>
      <c r="G9" s="5"/>
      <c r="H9" s="5"/>
      <c r="I9" s="5"/>
      <c r="J9" s="5"/>
      <c r="K9" s="5"/>
    </row>
    <row r="10" spans="1:11" x14ac:dyDescent="0.3">
      <c r="A10" s="3" t="s">
        <v>18</v>
      </c>
      <c r="B10" s="4">
        <v>5740.6934000000001</v>
      </c>
      <c r="C10" s="4">
        <v>6873.2678999999998</v>
      </c>
      <c r="D10" s="4">
        <v>7409.5436</v>
      </c>
      <c r="E10" s="5"/>
      <c r="F10" s="5"/>
      <c r="G10" s="5"/>
      <c r="H10" s="5"/>
      <c r="I10" s="5"/>
      <c r="J10" s="5"/>
      <c r="K10" s="5"/>
    </row>
    <row r="11" spans="1:11" x14ac:dyDescent="0.3">
      <c r="A11" s="3" t="s">
        <v>19</v>
      </c>
      <c r="B11" s="4">
        <v>7415.991</v>
      </c>
      <c r="C11" s="4">
        <v>8093.7641000000003</v>
      </c>
      <c r="D11" s="5"/>
      <c r="E11" s="5"/>
      <c r="F11" s="5"/>
      <c r="G11" s="5"/>
      <c r="H11" s="5"/>
      <c r="I11" s="5"/>
      <c r="J11" s="5"/>
      <c r="K11" s="5"/>
    </row>
    <row r="12" spans="1:11" x14ac:dyDescent="0.3">
      <c r="A12" s="3" t="s">
        <v>20</v>
      </c>
      <c r="B12" s="4">
        <v>10154.177799999999</v>
      </c>
      <c r="C12" s="5"/>
      <c r="D12" s="5"/>
      <c r="E12" s="5"/>
      <c r="F12" s="5"/>
      <c r="G12" s="5"/>
      <c r="H12" s="5"/>
      <c r="I12" s="5"/>
      <c r="J12" s="5"/>
      <c r="K12" s="5"/>
    </row>
  </sheetData>
  <mergeCells count="1">
    <mergeCell ref="A1:K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2"/>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147</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19">
        <v>0.79530000000000001</v>
      </c>
      <c r="C3" s="19">
        <v>0.81759999999999999</v>
      </c>
      <c r="D3" s="19">
        <v>0.8548</v>
      </c>
      <c r="E3" s="19">
        <v>0.8589</v>
      </c>
      <c r="F3" s="19">
        <v>0.87849999999999995</v>
      </c>
      <c r="G3" s="19">
        <v>0.90510000000000002</v>
      </c>
      <c r="H3" s="19">
        <v>0.93100000000000005</v>
      </c>
      <c r="I3" s="19">
        <v>0.95109999999999995</v>
      </c>
      <c r="J3" s="19">
        <v>0.9778</v>
      </c>
      <c r="K3" s="19">
        <v>1</v>
      </c>
    </row>
    <row r="4" spans="1:11" x14ac:dyDescent="0.3">
      <c r="A4" s="3" t="s">
        <v>12</v>
      </c>
      <c r="B4" s="19">
        <v>0.78069999999999995</v>
      </c>
      <c r="C4" s="19">
        <v>0.85219999999999996</v>
      </c>
      <c r="D4" s="19">
        <v>0.87790000000000001</v>
      </c>
      <c r="E4" s="19">
        <v>0.88470000000000004</v>
      </c>
      <c r="F4" s="19">
        <v>0.90169999999999995</v>
      </c>
      <c r="G4" s="19">
        <v>0.93120000000000003</v>
      </c>
      <c r="H4" s="19">
        <v>0.95289999999999997</v>
      </c>
      <c r="I4" s="19">
        <v>0.96850000000000003</v>
      </c>
      <c r="J4" s="19">
        <v>0.98909999999999998</v>
      </c>
      <c r="K4" s="5"/>
    </row>
    <row r="5" spans="1:11" x14ac:dyDescent="0.3">
      <c r="A5" s="3" t="s">
        <v>13</v>
      </c>
      <c r="B5" s="19">
        <v>0.87460000000000004</v>
      </c>
      <c r="C5" s="19">
        <v>0.8649</v>
      </c>
      <c r="D5" s="19">
        <v>0.8931</v>
      </c>
      <c r="E5" s="19">
        <v>0.89529999999999998</v>
      </c>
      <c r="F5" s="19">
        <v>0.92190000000000005</v>
      </c>
      <c r="G5" s="19">
        <v>0.95309999999999995</v>
      </c>
      <c r="H5" s="19">
        <v>0.97419999999999995</v>
      </c>
      <c r="I5" s="19">
        <v>0.9869</v>
      </c>
      <c r="J5" s="5"/>
      <c r="K5" s="5"/>
    </row>
    <row r="6" spans="1:11" x14ac:dyDescent="0.3">
      <c r="A6" s="3" t="s">
        <v>14</v>
      </c>
      <c r="B6" s="19">
        <v>0.82620000000000005</v>
      </c>
      <c r="C6" s="19">
        <v>0.83150000000000002</v>
      </c>
      <c r="D6" s="19">
        <v>0.85240000000000005</v>
      </c>
      <c r="E6" s="19">
        <v>0.85229999999999995</v>
      </c>
      <c r="F6" s="19">
        <v>0.88990000000000002</v>
      </c>
      <c r="G6" s="19">
        <v>0.92190000000000005</v>
      </c>
      <c r="H6" s="19">
        <v>0.9476</v>
      </c>
      <c r="I6" s="5"/>
      <c r="J6" s="5"/>
      <c r="K6" s="5"/>
    </row>
    <row r="7" spans="1:11" x14ac:dyDescent="0.3">
      <c r="A7" s="3" t="s">
        <v>15</v>
      </c>
      <c r="B7" s="19">
        <v>0.84950000000000003</v>
      </c>
      <c r="C7" s="19">
        <v>0.84089999999999998</v>
      </c>
      <c r="D7" s="19">
        <v>0.86890000000000001</v>
      </c>
      <c r="E7" s="19">
        <v>0.87849999999999995</v>
      </c>
      <c r="F7" s="19">
        <v>0.91039999999999999</v>
      </c>
      <c r="G7" s="19">
        <v>0.93920000000000003</v>
      </c>
      <c r="H7" s="5"/>
      <c r="I7" s="5"/>
      <c r="J7" s="5"/>
      <c r="K7" s="5"/>
    </row>
    <row r="8" spans="1:11" x14ac:dyDescent="0.3">
      <c r="A8" s="3" t="s">
        <v>16</v>
      </c>
      <c r="B8" s="19">
        <v>0.85140000000000005</v>
      </c>
      <c r="C8" s="19">
        <v>0.82789999999999997</v>
      </c>
      <c r="D8" s="19">
        <v>0.84009999999999996</v>
      </c>
      <c r="E8" s="19">
        <v>0.85570000000000002</v>
      </c>
      <c r="F8" s="19">
        <v>0.88070000000000004</v>
      </c>
      <c r="G8" s="5"/>
      <c r="H8" s="5"/>
      <c r="I8" s="5"/>
      <c r="J8" s="5"/>
      <c r="K8" s="5"/>
    </row>
    <row r="9" spans="1:11" x14ac:dyDescent="0.3">
      <c r="A9" s="3" t="s">
        <v>17</v>
      </c>
      <c r="B9" s="19">
        <v>0.84130000000000005</v>
      </c>
      <c r="C9" s="19">
        <v>0.81089999999999995</v>
      </c>
      <c r="D9" s="19">
        <v>0.82330000000000003</v>
      </c>
      <c r="E9" s="19">
        <v>0.83640000000000003</v>
      </c>
      <c r="F9" s="5"/>
      <c r="G9" s="5"/>
      <c r="H9" s="5"/>
      <c r="I9" s="5"/>
      <c r="J9" s="5"/>
      <c r="K9" s="5"/>
    </row>
    <row r="10" spans="1:11" x14ac:dyDescent="0.3">
      <c r="A10" s="3" t="s">
        <v>18</v>
      </c>
      <c r="B10" s="19">
        <v>0.79620000000000002</v>
      </c>
      <c r="C10" s="19">
        <v>0.82550000000000001</v>
      </c>
      <c r="D10" s="19">
        <v>0.85429999999999995</v>
      </c>
      <c r="E10" s="5"/>
      <c r="F10" s="5"/>
      <c r="G10" s="5"/>
      <c r="H10" s="5"/>
      <c r="I10" s="5"/>
      <c r="J10" s="5"/>
      <c r="K10" s="5"/>
    </row>
    <row r="11" spans="1:11" x14ac:dyDescent="0.3">
      <c r="A11" s="3" t="s">
        <v>19</v>
      </c>
      <c r="B11" s="19">
        <v>0.8095</v>
      </c>
      <c r="C11" s="19">
        <v>0.83989999999999998</v>
      </c>
      <c r="D11" s="5"/>
      <c r="E11" s="5"/>
      <c r="F11" s="5"/>
      <c r="G11" s="5"/>
      <c r="H11" s="5"/>
      <c r="I11" s="5"/>
      <c r="J11" s="5"/>
      <c r="K11" s="5"/>
    </row>
    <row r="12" spans="1:11" x14ac:dyDescent="0.3">
      <c r="A12" s="3" t="s">
        <v>20</v>
      </c>
      <c r="B12" s="19">
        <v>0.83250000000000002</v>
      </c>
      <c r="C12" s="5"/>
      <c r="D12" s="5"/>
      <c r="E12" s="5"/>
      <c r="F12" s="5"/>
      <c r="G12" s="5"/>
      <c r="H12" s="5"/>
      <c r="I12" s="5"/>
      <c r="J12" s="5"/>
      <c r="K12" s="5"/>
    </row>
  </sheetData>
  <mergeCells count="1">
    <mergeCell ref="A1:K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2"/>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148</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4">
        <v>277</v>
      </c>
      <c r="C3" s="4">
        <v>431</v>
      </c>
      <c r="D3" s="4">
        <v>576</v>
      </c>
      <c r="E3" s="4">
        <v>528</v>
      </c>
      <c r="F3" s="4">
        <v>511</v>
      </c>
      <c r="G3" s="4">
        <v>383</v>
      </c>
      <c r="H3" s="4">
        <v>237</v>
      </c>
      <c r="I3" s="4">
        <v>142</v>
      </c>
      <c r="J3" s="4">
        <v>47</v>
      </c>
      <c r="K3" s="4">
        <v>-1</v>
      </c>
    </row>
    <row r="4" spans="1:11" x14ac:dyDescent="0.3">
      <c r="A4" s="3" t="s">
        <v>12</v>
      </c>
      <c r="B4" s="4">
        <v>346</v>
      </c>
      <c r="C4" s="4">
        <v>527</v>
      </c>
      <c r="D4" s="4">
        <v>574</v>
      </c>
      <c r="E4" s="4">
        <v>621</v>
      </c>
      <c r="F4" s="4">
        <v>544</v>
      </c>
      <c r="G4" s="4">
        <v>400</v>
      </c>
      <c r="H4" s="4">
        <v>252</v>
      </c>
      <c r="I4" s="4">
        <v>155</v>
      </c>
      <c r="J4" s="4">
        <v>55</v>
      </c>
      <c r="K4" s="5"/>
    </row>
    <row r="5" spans="1:11" x14ac:dyDescent="0.3">
      <c r="A5" s="3" t="s">
        <v>13</v>
      </c>
      <c r="B5" s="4">
        <v>270</v>
      </c>
      <c r="C5" s="4">
        <v>544</v>
      </c>
      <c r="D5" s="4">
        <v>635</v>
      </c>
      <c r="E5" s="4">
        <v>664</v>
      </c>
      <c r="F5" s="4">
        <v>581</v>
      </c>
      <c r="G5" s="4">
        <v>426</v>
      </c>
      <c r="H5" s="4">
        <v>262</v>
      </c>
      <c r="I5" s="4">
        <v>160</v>
      </c>
      <c r="J5" s="5"/>
      <c r="K5" s="5"/>
    </row>
    <row r="6" spans="1:11" x14ac:dyDescent="0.3">
      <c r="A6" s="3" t="s">
        <v>14</v>
      </c>
      <c r="B6" s="4">
        <v>284</v>
      </c>
      <c r="C6" s="4">
        <v>444</v>
      </c>
      <c r="D6" s="4">
        <v>565</v>
      </c>
      <c r="E6" s="4">
        <v>615</v>
      </c>
      <c r="F6" s="4">
        <v>543</v>
      </c>
      <c r="G6" s="4">
        <v>374</v>
      </c>
      <c r="H6" s="4">
        <v>214</v>
      </c>
      <c r="I6" s="5"/>
      <c r="J6" s="5"/>
      <c r="K6" s="5"/>
    </row>
    <row r="7" spans="1:11" x14ac:dyDescent="0.3">
      <c r="A7" s="3" t="s">
        <v>15</v>
      </c>
      <c r="B7" s="4">
        <v>173</v>
      </c>
      <c r="C7" s="4">
        <v>436</v>
      </c>
      <c r="D7" s="4">
        <v>618</v>
      </c>
      <c r="E7" s="4">
        <v>641</v>
      </c>
      <c r="F7" s="4">
        <v>570</v>
      </c>
      <c r="G7" s="4">
        <v>412</v>
      </c>
      <c r="H7" s="5"/>
      <c r="I7" s="5"/>
      <c r="J7" s="5"/>
      <c r="K7" s="5"/>
    </row>
    <row r="8" spans="1:11" x14ac:dyDescent="0.3">
      <c r="A8" s="3" t="s">
        <v>16</v>
      </c>
      <c r="B8" s="4">
        <v>235</v>
      </c>
      <c r="C8" s="4">
        <v>412</v>
      </c>
      <c r="D8" s="4">
        <v>488</v>
      </c>
      <c r="E8" s="4">
        <v>601</v>
      </c>
      <c r="F8" s="4">
        <v>579</v>
      </c>
      <c r="G8" s="5"/>
      <c r="H8" s="5"/>
      <c r="I8" s="5"/>
      <c r="J8" s="5"/>
      <c r="K8" s="5"/>
    </row>
    <row r="9" spans="1:11" x14ac:dyDescent="0.3">
      <c r="A9" s="3" t="s">
        <v>17</v>
      </c>
      <c r="B9" s="4">
        <v>77</v>
      </c>
      <c r="C9" s="4">
        <v>246</v>
      </c>
      <c r="D9" s="4">
        <v>347</v>
      </c>
      <c r="E9" s="4">
        <v>491</v>
      </c>
      <c r="F9" s="5"/>
      <c r="G9" s="5"/>
      <c r="H9" s="5"/>
      <c r="I9" s="5"/>
      <c r="J9" s="5"/>
      <c r="K9" s="5"/>
    </row>
    <row r="10" spans="1:11" x14ac:dyDescent="0.3">
      <c r="A10" s="3" t="s">
        <v>18</v>
      </c>
      <c r="B10" s="4">
        <v>155</v>
      </c>
      <c r="C10" s="4">
        <v>365</v>
      </c>
      <c r="D10" s="4">
        <v>450</v>
      </c>
      <c r="E10" s="5"/>
      <c r="F10" s="5"/>
      <c r="G10" s="5"/>
      <c r="H10" s="5"/>
      <c r="I10" s="5"/>
      <c r="J10" s="5"/>
      <c r="K10" s="5"/>
    </row>
    <row r="11" spans="1:11" x14ac:dyDescent="0.3">
      <c r="A11" s="3" t="s">
        <v>19</v>
      </c>
      <c r="B11" s="4">
        <v>250</v>
      </c>
      <c r="C11" s="4">
        <v>451</v>
      </c>
      <c r="D11" s="5"/>
      <c r="E11" s="5"/>
      <c r="F11" s="5"/>
      <c r="G11" s="5"/>
      <c r="H11" s="5"/>
      <c r="I11" s="5"/>
      <c r="J11" s="5"/>
      <c r="K11" s="5"/>
    </row>
    <row r="12" spans="1:11" x14ac:dyDescent="0.3">
      <c r="A12" s="3" t="s">
        <v>20</v>
      </c>
      <c r="B12" s="4">
        <v>406</v>
      </c>
      <c r="C12" s="5"/>
      <c r="D12" s="5"/>
      <c r="E12" s="5"/>
      <c r="F12" s="5"/>
      <c r="G12" s="5"/>
      <c r="H12" s="5"/>
      <c r="I12" s="5"/>
      <c r="J12" s="5"/>
      <c r="K12" s="5"/>
    </row>
  </sheetData>
  <mergeCells count="1">
    <mergeCell ref="A1:K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2"/>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149</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4">
        <v>8591.3754000000008</v>
      </c>
      <c r="C3" s="4">
        <v>8738.5156999999999</v>
      </c>
      <c r="D3" s="4">
        <v>6781.8266000000003</v>
      </c>
      <c r="E3" s="4">
        <v>8647.9552000000003</v>
      </c>
      <c r="F3" s="4">
        <v>8561.5748999999996</v>
      </c>
      <c r="G3" s="4">
        <v>9588.0925000000007</v>
      </c>
      <c r="H3" s="4">
        <v>11950.800499999999</v>
      </c>
      <c r="I3" s="4">
        <v>14727.1803</v>
      </c>
      <c r="J3" s="4">
        <v>20867.859100000001</v>
      </c>
      <c r="K3" s="4">
        <v>-0.03</v>
      </c>
    </row>
    <row r="4" spans="1:11" x14ac:dyDescent="0.3">
      <c r="A4" s="3" t="s">
        <v>12</v>
      </c>
      <c r="B4" s="4">
        <v>9925.9501999999993</v>
      </c>
      <c r="C4" s="4">
        <v>7572.5074999999997</v>
      </c>
      <c r="D4" s="4">
        <v>7620.9715999999999</v>
      </c>
      <c r="E4" s="4">
        <v>8044.2906999999996</v>
      </c>
      <c r="F4" s="4">
        <v>8823.6286999999993</v>
      </c>
      <c r="G4" s="4">
        <v>9017.4012000000002</v>
      </c>
      <c r="H4" s="4">
        <v>10386.1934</v>
      </c>
      <c r="I4" s="4">
        <v>11774.0208</v>
      </c>
      <c r="J4" s="4">
        <v>11907.7364</v>
      </c>
      <c r="K4" s="5"/>
    </row>
    <row r="5" spans="1:11" x14ac:dyDescent="0.3">
      <c r="A5" s="3" t="s">
        <v>13</v>
      </c>
      <c r="B5" s="4">
        <v>4062.0958999999998</v>
      </c>
      <c r="C5" s="4">
        <v>4109.2934999999998</v>
      </c>
      <c r="D5" s="4">
        <v>3756.1961999999999</v>
      </c>
      <c r="E5" s="4">
        <v>4229.3513000000003</v>
      </c>
      <c r="F5" s="4">
        <v>4017.8762999999999</v>
      </c>
      <c r="G5" s="4">
        <v>3530.1649000000002</v>
      </c>
      <c r="H5" s="4">
        <v>3341.6887999999999</v>
      </c>
      <c r="I5" s="4">
        <v>2904.1844999999998</v>
      </c>
      <c r="J5" s="5"/>
      <c r="K5" s="5"/>
    </row>
    <row r="6" spans="1:11" x14ac:dyDescent="0.3">
      <c r="A6" s="3" t="s">
        <v>14</v>
      </c>
      <c r="B6" s="4">
        <v>8935.0303999999996</v>
      </c>
      <c r="C6" s="4">
        <v>10295.4555</v>
      </c>
      <c r="D6" s="4">
        <v>9510.0095000000001</v>
      </c>
      <c r="E6" s="4">
        <v>10646.0519</v>
      </c>
      <c r="F6" s="4">
        <v>9920.6167999999998</v>
      </c>
      <c r="G6" s="4">
        <v>10928.731100000001</v>
      </c>
      <c r="H6" s="4">
        <v>13556.8673</v>
      </c>
      <c r="I6" s="5"/>
      <c r="J6" s="5"/>
      <c r="K6" s="5"/>
    </row>
    <row r="7" spans="1:11" x14ac:dyDescent="0.3">
      <c r="A7" s="3" t="s">
        <v>15</v>
      </c>
      <c r="B7" s="4">
        <v>10308.793900000001</v>
      </c>
      <c r="C7" s="4">
        <v>7866.6163999999999</v>
      </c>
      <c r="D7" s="4">
        <v>6064.0411000000004</v>
      </c>
      <c r="E7" s="4">
        <v>6411.2649000000001</v>
      </c>
      <c r="F7" s="4">
        <v>5898.3768</v>
      </c>
      <c r="G7" s="4">
        <v>5958.8635000000004</v>
      </c>
      <c r="H7" s="5"/>
      <c r="I7" s="5"/>
      <c r="J7" s="5"/>
      <c r="K7" s="5"/>
    </row>
    <row r="8" spans="1:11" x14ac:dyDescent="0.3">
      <c r="A8" s="3" t="s">
        <v>16</v>
      </c>
      <c r="B8" s="4">
        <v>6655.5009</v>
      </c>
      <c r="C8" s="4">
        <v>8032.2422999999999</v>
      </c>
      <c r="D8" s="4">
        <v>8624.7901000000002</v>
      </c>
      <c r="E8" s="4">
        <v>7572.8317999999999</v>
      </c>
      <c r="F8" s="4">
        <v>7196.2771000000002</v>
      </c>
      <c r="G8" s="5"/>
      <c r="H8" s="5"/>
      <c r="I8" s="5"/>
      <c r="J8" s="5"/>
      <c r="K8" s="5"/>
    </row>
    <row r="9" spans="1:11" x14ac:dyDescent="0.3">
      <c r="A9" s="3" t="s">
        <v>17</v>
      </c>
      <c r="B9" s="4">
        <v>39109.352299999999</v>
      </c>
      <c r="C9" s="4">
        <v>27011.242999999999</v>
      </c>
      <c r="D9" s="4">
        <v>23510.404999999999</v>
      </c>
      <c r="E9" s="4">
        <v>18400.798200000001</v>
      </c>
      <c r="F9" s="5"/>
      <c r="G9" s="5"/>
      <c r="H9" s="5"/>
      <c r="I9" s="5"/>
      <c r="J9" s="5"/>
      <c r="K9" s="5"/>
    </row>
    <row r="10" spans="1:11" x14ac:dyDescent="0.3">
      <c r="A10" s="3" t="s">
        <v>18</v>
      </c>
      <c r="B10" s="4">
        <v>14834.6235</v>
      </c>
      <c r="C10" s="4">
        <v>9627.9614000000001</v>
      </c>
      <c r="D10" s="4">
        <v>8753.5228999999999</v>
      </c>
      <c r="E10" s="5"/>
      <c r="F10" s="5"/>
      <c r="G10" s="5"/>
      <c r="H10" s="5"/>
      <c r="I10" s="5"/>
      <c r="J10" s="5"/>
      <c r="K10" s="5"/>
    </row>
    <row r="11" spans="1:11" x14ac:dyDescent="0.3">
      <c r="A11" s="3" t="s">
        <v>19</v>
      </c>
      <c r="B11" s="4">
        <v>9201.9078000000009</v>
      </c>
      <c r="C11" s="4">
        <v>7575.2419</v>
      </c>
      <c r="D11" s="5"/>
      <c r="E11" s="5"/>
      <c r="F11" s="5"/>
      <c r="G11" s="5"/>
      <c r="H11" s="5"/>
      <c r="I11" s="5"/>
      <c r="J11" s="5"/>
      <c r="K11" s="5"/>
    </row>
    <row r="12" spans="1:11" x14ac:dyDescent="0.3">
      <c r="A12" s="3" t="s">
        <v>20</v>
      </c>
      <c r="B12" s="4">
        <v>6572.8266999999996</v>
      </c>
      <c r="C12" s="5"/>
      <c r="D12" s="5"/>
      <c r="E12" s="5"/>
      <c r="F12" s="5"/>
      <c r="G12" s="5"/>
      <c r="H12" s="5"/>
      <c r="I12" s="5"/>
      <c r="J12" s="5"/>
      <c r="K12" s="5"/>
    </row>
  </sheetData>
  <mergeCells count="1">
    <mergeCell ref="A1:K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2"/>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150</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19">
        <v>0.83089999999999997</v>
      </c>
      <c r="C3" s="19">
        <v>0.83899999999999997</v>
      </c>
      <c r="D3" s="19">
        <v>0.83409999999999995</v>
      </c>
      <c r="E3" s="19">
        <v>0.87050000000000005</v>
      </c>
      <c r="F3" s="19">
        <v>0.8871</v>
      </c>
      <c r="G3" s="19">
        <v>0.91900000000000004</v>
      </c>
      <c r="H3" s="19">
        <v>0.95089999999999997</v>
      </c>
      <c r="I3" s="19">
        <v>0.97089999999999999</v>
      </c>
      <c r="J3" s="19">
        <v>0.99050000000000005</v>
      </c>
      <c r="K3" s="19">
        <v>1.0002</v>
      </c>
    </row>
    <row r="4" spans="1:11" x14ac:dyDescent="0.3">
      <c r="A4" s="3" t="s">
        <v>12</v>
      </c>
      <c r="B4" s="19">
        <v>0.78849999999999998</v>
      </c>
      <c r="C4" s="19">
        <v>0.80649999999999999</v>
      </c>
      <c r="D4" s="19">
        <v>0.83479999999999999</v>
      </c>
      <c r="E4" s="19">
        <v>0.85060000000000002</v>
      </c>
      <c r="F4" s="19">
        <v>0.88060000000000005</v>
      </c>
      <c r="G4" s="19">
        <v>0.91569999999999996</v>
      </c>
      <c r="H4" s="19">
        <v>0.94799999999999995</v>
      </c>
      <c r="I4" s="19">
        <v>0.96830000000000005</v>
      </c>
      <c r="J4" s="19">
        <v>0.9889</v>
      </c>
      <c r="K4" s="5"/>
    </row>
    <row r="5" spans="1:11" x14ac:dyDescent="0.3">
      <c r="A5" s="3" t="s">
        <v>13</v>
      </c>
      <c r="B5" s="19">
        <v>0.8337</v>
      </c>
      <c r="C5" s="19">
        <v>0.79720000000000002</v>
      </c>
      <c r="D5" s="19">
        <v>0.81740000000000002</v>
      </c>
      <c r="E5" s="19">
        <v>0.83860000000000001</v>
      </c>
      <c r="F5" s="19">
        <v>0.87129999999999996</v>
      </c>
      <c r="G5" s="19">
        <v>0.90959999999999996</v>
      </c>
      <c r="H5" s="19">
        <v>0.9456</v>
      </c>
      <c r="I5" s="19">
        <v>0.96709999999999996</v>
      </c>
      <c r="J5" s="5"/>
      <c r="K5" s="5"/>
    </row>
    <row r="6" spans="1:11" x14ac:dyDescent="0.3">
      <c r="A6" s="3" t="s">
        <v>14</v>
      </c>
      <c r="B6" s="19">
        <v>0.83260000000000001</v>
      </c>
      <c r="C6" s="19">
        <v>0.8377</v>
      </c>
      <c r="D6" s="19">
        <v>0.84130000000000005</v>
      </c>
      <c r="E6" s="19">
        <v>0.85370000000000001</v>
      </c>
      <c r="F6" s="19">
        <v>0.88180000000000003</v>
      </c>
      <c r="G6" s="19">
        <v>0.92159999999999997</v>
      </c>
      <c r="H6" s="19">
        <v>0.95620000000000005</v>
      </c>
      <c r="I6" s="5"/>
      <c r="J6" s="5"/>
      <c r="K6" s="5"/>
    </row>
    <row r="7" spans="1:11" x14ac:dyDescent="0.3">
      <c r="A7" s="3" t="s">
        <v>15</v>
      </c>
      <c r="B7" s="19">
        <v>0.88900000000000001</v>
      </c>
      <c r="C7" s="19">
        <v>0.8377</v>
      </c>
      <c r="D7" s="19">
        <v>0.82569999999999999</v>
      </c>
      <c r="E7" s="19">
        <v>0.84609999999999996</v>
      </c>
      <c r="F7" s="19">
        <v>0.87529999999999997</v>
      </c>
      <c r="G7" s="19">
        <v>0.91359999999999997</v>
      </c>
      <c r="H7" s="5"/>
      <c r="I7" s="5"/>
      <c r="J7" s="5"/>
      <c r="K7" s="5"/>
    </row>
    <row r="8" spans="1:11" x14ac:dyDescent="0.3">
      <c r="A8" s="3" t="s">
        <v>16</v>
      </c>
      <c r="B8" s="19">
        <v>0.85529999999999995</v>
      </c>
      <c r="C8" s="19">
        <v>0.85019999999999996</v>
      </c>
      <c r="D8" s="19">
        <v>0.86029999999999995</v>
      </c>
      <c r="E8" s="19">
        <v>0.85540000000000005</v>
      </c>
      <c r="F8" s="19">
        <v>0.874</v>
      </c>
      <c r="G8" s="5"/>
      <c r="H8" s="5"/>
      <c r="I8" s="5"/>
      <c r="J8" s="5"/>
      <c r="K8" s="5"/>
    </row>
    <row r="9" spans="1:11" x14ac:dyDescent="0.3">
      <c r="A9" s="3" t="s">
        <v>17</v>
      </c>
      <c r="B9" s="19">
        <v>0.95289999999999997</v>
      </c>
      <c r="C9" s="19">
        <v>0.91049999999999998</v>
      </c>
      <c r="D9" s="19">
        <v>0.90300000000000002</v>
      </c>
      <c r="E9" s="19">
        <v>0.88580000000000003</v>
      </c>
      <c r="F9" s="5"/>
      <c r="G9" s="5"/>
      <c r="H9" s="5"/>
      <c r="I9" s="5"/>
      <c r="J9" s="5"/>
      <c r="K9" s="5"/>
    </row>
    <row r="10" spans="1:11" x14ac:dyDescent="0.3">
      <c r="A10" s="3" t="s">
        <v>18</v>
      </c>
      <c r="B10" s="19">
        <v>0.90990000000000004</v>
      </c>
      <c r="C10" s="19">
        <v>0.86880000000000002</v>
      </c>
      <c r="D10" s="19">
        <v>0.87390000000000001</v>
      </c>
      <c r="E10" s="5"/>
      <c r="F10" s="5"/>
      <c r="G10" s="5"/>
      <c r="H10" s="5"/>
      <c r="I10" s="5"/>
      <c r="J10" s="5"/>
      <c r="K10" s="5"/>
    </row>
    <row r="11" spans="1:11" x14ac:dyDescent="0.3">
      <c r="A11" s="3" t="s">
        <v>19</v>
      </c>
      <c r="B11" s="19">
        <v>0.84060000000000001</v>
      </c>
      <c r="C11" s="19">
        <v>0.83079999999999998</v>
      </c>
      <c r="D11" s="5"/>
      <c r="E11" s="5"/>
      <c r="F11" s="5"/>
      <c r="G11" s="5"/>
      <c r="H11" s="5"/>
      <c r="I11" s="5"/>
      <c r="J11" s="5"/>
      <c r="K11" s="5"/>
    </row>
    <row r="12" spans="1:11" x14ac:dyDescent="0.3">
      <c r="A12" s="3" t="s">
        <v>20</v>
      </c>
      <c r="B12" s="19">
        <v>0.76290000000000002</v>
      </c>
      <c r="C12" s="5"/>
      <c r="D12" s="5"/>
      <c r="E12" s="5"/>
      <c r="F12" s="5"/>
      <c r="G12" s="5"/>
      <c r="H12" s="5"/>
      <c r="I12" s="5"/>
      <c r="J12" s="5"/>
      <c r="K12" s="5"/>
    </row>
  </sheetData>
  <mergeCells count="1">
    <mergeCell ref="A1:K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2"/>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151</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4">
        <v>7098.4540999999999</v>
      </c>
      <c r="C3" s="4">
        <v>8687.5504000000001</v>
      </c>
      <c r="D3" s="4">
        <v>7865.7458999999999</v>
      </c>
      <c r="E3" s="4">
        <v>9027.3809999999994</v>
      </c>
      <c r="F3" s="4">
        <v>8132.1039000000001</v>
      </c>
      <c r="G3" s="4">
        <v>13097.826999999999</v>
      </c>
      <c r="H3" s="4">
        <v>23438.919600000001</v>
      </c>
      <c r="I3" s="4">
        <v>32028.918099999999</v>
      </c>
      <c r="J3" s="4">
        <v>29624.843400000002</v>
      </c>
      <c r="K3" s="4"/>
    </row>
    <row r="4" spans="1:11" x14ac:dyDescent="0.3">
      <c r="A4" s="3" t="s">
        <v>12</v>
      </c>
      <c r="B4" s="4">
        <v>9571.6151000000009</v>
      </c>
      <c r="C4" s="4">
        <v>10433.424199999999</v>
      </c>
      <c r="D4" s="4">
        <v>11766.0144</v>
      </c>
      <c r="E4" s="4">
        <v>10973.313099999999</v>
      </c>
      <c r="F4" s="4">
        <v>13784.2325</v>
      </c>
      <c r="G4" s="4">
        <v>19220.323499999999</v>
      </c>
      <c r="H4" s="4">
        <v>30687.380300000001</v>
      </c>
      <c r="I4" s="4">
        <v>49602.150399999999</v>
      </c>
      <c r="J4" s="4">
        <v>39739.185100000002</v>
      </c>
      <c r="K4" s="5"/>
    </row>
    <row r="5" spans="1:11" x14ac:dyDescent="0.3">
      <c r="A5" s="3" t="s">
        <v>13</v>
      </c>
      <c r="B5" s="4">
        <v>5387.1360000000004</v>
      </c>
      <c r="C5" s="4">
        <v>7370.5697</v>
      </c>
      <c r="D5" s="4">
        <v>7245.6314000000002</v>
      </c>
      <c r="E5" s="4">
        <v>7069.924</v>
      </c>
      <c r="F5" s="4">
        <v>7671.2475000000004</v>
      </c>
      <c r="G5" s="4">
        <v>11141.0106</v>
      </c>
      <c r="H5" s="4">
        <v>18123.0743</v>
      </c>
      <c r="I5" s="4">
        <v>28634.937300000001</v>
      </c>
      <c r="J5" s="5"/>
      <c r="K5" s="5"/>
    </row>
    <row r="6" spans="1:11" x14ac:dyDescent="0.3">
      <c r="A6" s="3" t="s">
        <v>14</v>
      </c>
      <c r="B6" s="4">
        <v>8605.7618000000002</v>
      </c>
      <c r="C6" s="4">
        <v>12053.4553</v>
      </c>
      <c r="D6" s="4">
        <v>11263.785599999999</v>
      </c>
      <c r="E6" s="4">
        <v>12274.651599999999</v>
      </c>
      <c r="F6" s="4">
        <v>11848.4372</v>
      </c>
      <c r="G6" s="4">
        <v>18919.387699999999</v>
      </c>
      <c r="H6" s="4">
        <v>26444.014800000001</v>
      </c>
      <c r="I6" s="5"/>
      <c r="J6" s="5"/>
      <c r="K6" s="5"/>
    </row>
    <row r="7" spans="1:11" x14ac:dyDescent="0.3">
      <c r="A7" s="3" t="s">
        <v>15</v>
      </c>
      <c r="B7" s="4">
        <v>7599.8629000000001</v>
      </c>
      <c r="C7" s="4">
        <v>8602.1329000000005</v>
      </c>
      <c r="D7" s="4">
        <v>8201.0170999999991</v>
      </c>
      <c r="E7" s="4">
        <v>8433.3538000000008</v>
      </c>
      <c r="F7" s="4">
        <v>9194.7150000000001</v>
      </c>
      <c r="G7" s="4">
        <v>14416.5329</v>
      </c>
      <c r="H7" s="5"/>
      <c r="I7" s="5"/>
      <c r="J7" s="5"/>
      <c r="K7" s="5"/>
    </row>
    <row r="8" spans="1:11" x14ac:dyDescent="0.3">
      <c r="A8" s="3" t="s">
        <v>16</v>
      </c>
      <c r="B8" s="4">
        <v>6482.6602999999996</v>
      </c>
      <c r="C8" s="4">
        <v>7725.6198999999997</v>
      </c>
      <c r="D8" s="4">
        <v>9537.2168000000001</v>
      </c>
      <c r="E8" s="4">
        <v>7881.7474000000002</v>
      </c>
      <c r="F8" s="4">
        <v>7680.3879999999999</v>
      </c>
      <c r="G8" s="5"/>
      <c r="H8" s="5"/>
      <c r="I8" s="5"/>
      <c r="J8" s="5"/>
      <c r="K8" s="5"/>
    </row>
    <row r="9" spans="1:11" x14ac:dyDescent="0.3">
      <c r="A9" s="3" t="s">
        <v>17</v>
      </c>
      <c r="B9" s="4">
        <v>11598.884099999999</v>
      </c>
      <c r="C9" s="4">
        <v>14527.1327</v>
      </c>
      <c r="D9" s="4">
        <v>13289.8719</v>
      </c>
      <c r="E9" s="4">
        <v>12531.8241</v>
      </c>
      <c r="F9" s="5"/>
      <c r="G9" s="5"/>
      <c r="H9" s="5"/>
      <c r="I9" s="5"/>
      <c r="J9" s="5"/>
      <c r="K9" s="5"/>
    </row>
    <row r="10" spans="1:11" x14ac:dyDescent="0.3">
      <c r="A10" s="3" t="s">
        <v>18</v>
      </c>
      <c r="B10" s="4">
        <v>6560.2044999999998</v>
      </c>
      <c r="C10" s="4">
        <v>8325.6970000000001</v>
      </c>
      <c r="D10" s="4">
        <v>8800.3497000000007</v>
      </c>
      <c r="E10" s="5"/>
      <c r="F10" s="5"/>
      <c r="G10" s="5"/>
      <c r="H10" s="5"/>
      <c r="I10" s="5"/>
      <c r="J10" s="5"/>
      <c r="K10" s="5"/>
    </row>
    <row r="11" spans="1:11" x14ac:dyDescent="0.3">
      <c r="A11" s="3" t="s">
        <v>19</v>
      </c>
      <c r="B11" s="4">
        <v>7700.7353999999996</v>
      </c>
      <c r="C11" s="4">
        <v>8442.3652999999995</v>
      </c>
      <c r="D11" s="5"/>
      <c r="E11" s="5"/>
      <c r="F11" s="5"/>
      <c r="G11" s="5"/>
      <c r="H11" s="5"/>
      <c r="I11" s="5"/>
      <c r="J11" s="5"/>
      <c r="K11" s="5"/>
    </row>
    <row r="12" spans="1:11" x14ac:dyDescent="0.3">
      <c r="A12" s="3" t="s">
        <v>20</v>
      </c>
      <c r="B12" s="4">
        <v>9304.8621000000003</v>
      </c>
      <c r="C12" s="5"/>
      <c r="D12" s="5"/>
      <c r="E12" s="5"/>
      <c r="F12" s="5"/>
      <c r="G12" s="5"/>
      <c r="H12" s="5"/>
      <c r="I12" s="5"/>
      <c r="J12" s="5"/>
      <c r="K12" s="5"/>
    </row>
  </sheetData>
  <mergeCells count="1">
    <mergeCell ref="A1:K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152</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4">
        <v>6794.6045999999997</v>
      </c>
      <c r="C3" s="4">
        <v>8632.6278000000002</v>
      </c>
      <c r="D3" s="4">
        <v>9404.9786000000004</v>
      </c>
      <c r="E3" s="4">
        <v>7353.4108999999999</v>
      </c>
      <c r="F3" s="4">
        <v>8245.6442000000006</v>
      </c>
      <c r="G3" s="4">
        <v>10164.704900000001</v>
      </c>
      <c r="H3" s="4">
        <v>12984.739100000001</v>
      </c>
      <c r="I3" s="4">
        <v>16371.318799999999</v>
      </c>
      <c r="J3" s="4">
        <v>17625.618699999999</v>
      </c>
      <c r="K3" s="4">
        <v>39005.984400000001</v>
      </c>
    </row>
    <row r="4" spans="1:11" x14ac:dyDescent="0.3">
      <c r="A4" s="3" t="s">
        <v>12</v>
      </c>
      <c r="B4" s="4">
        <v>9476.5763999999999</v>
      </c>
      <c r="C4" s="4">
        <v>11903.7521</v>
      </c>
      <c r="D4" s="4">
        <v>12006.464</v>
      </c>
      <c r="E4" s="4">
        <v>10807.453</v>
      </c>
      <c r="F4" s="4">
        <v>11965.040499999999</v>
      </c>
      <c r="G4" s="4">
        <v>14477.453</v>
      </c>
      <c r="H4" s="4">
        <v>16535.617200000001</v>
      </c>
      <c r="I4" s="4">
        <v>21884.487799999999</v>
      </c>
      <c r="J4" s="4">
        <v>20921.260300000002</v>
      </c>
      <c r="K4" s="5"/>
    </row>
    <row r="5" spans="1:11" x14ac:dyDescent="0.3">
      <c r="A5" s="3" t="s">
        <v>13</v>
      </c>
      <c r="B5" s="4">
        <v>5651.3611000000001</v>
      </c>
      <c r="C5" s="4">
        <v>8494.0980999999992</v>
      </c>
      <c r="D5" s="4">
        <v>7969.5285000000003</v>
      </c>
      <c r="E5" s="4">
        <v>6711.2448999999997</v>
      </c>
      <c r="F5" s="4">
        <v>7335.5559000000003</v>
      </c>
      <c r="G5" s="4">
        <v>8594.6447000000007</v>
      </c>
      <c r="H5" s="4">
        <v>9211.0728999999992</v>
      </c>
      <c r="I5" s="4">
        <v>12336.8161</v>
      </c>
      <c r="J5" s="5"/>
      <c r="K5" s="5"/>
    </row>
    <row r="6" spans="1:11" x14ac:dyDescent="0.3">
      <c r="A6" s="3" t="s">
        <v>14</v>
      </c>
      <c r="B6" s="4">
        <v>8539.5817999999999</v>
      </c>
      <c r="C6" s="4">
        <v>11933.9095</v>
      </c>
      <c r="D6" s="4">
        <v>12061.715700000001</v>
      </c>
      <c r="E6" s="4">
        <v>11331.16</v>
      </c>
      <c r="F6" s="4">
        <v>12516.5666</v>
      </c>
      <c r="G6" s="4">
        <v>13497.024799999999</v>
      </c>
      <c r="H6" s="4">
        <v>15290.657499999999</v>
      </c>
      <c r="I6" s="5"/>
      <c r="J6" s="5"/>
      <c r="K6" s="5"/>
    </row>
    <row r="7" spans="1:11" x14ac:dyDescent="0.3">
      <c r="A7" s="3" t="s">
        <v>15</v>
      </c>
      <c r="B7" s="4">
        <v>7261.7350999999999</v>
      </c>
      <c r="C7" s="4">
        <v>9314.1993999999995</v>
      </c>
      <c r="D7" s="4">
        <v>9938.9645</v>
      </c>
      <c r="E7" s="4">
        <v>8152.2897000000003</v>
      </c>
      <c r="F7" s="4">
        <v>9394.1283000000003</v>
      </c>
      <c r="G7" s="4">
        <v>10555.1548</v>
      </c>
      <c r="H7" s="5"/>
      <c r="I7" s="5"/>
      <c r="J7" s="5"/>
      <c r="K7" s="5"/>
    </row>
    <row r="8" spans="1:11" x14ac:dyDescent="0.3">
      <c r="A8" s="3" t="s">
        <v>16</v>
      </c>
      <c r="B8" s="4">
        <v>6453.4179999999997</v>
      </c>
      <c r="C8" s="4">
        <v>7327.5099</v>
      </c>
      <c r="D8" s="4">
        <v>9275.5622000000003</v>
      </c>
      <c r="E8" s="4">
        <v>8882.2275000000009</v>
      </c>
      <c r="F8" s="4">
        <v>8145.1701999999996</v>
      </c>
      <c r="G8" s="5"/>
      <c r="H8" s="5"/>
      <c r="I8" s="5"/>
      <c r="J8" s="5"/>
      <c r="K8" s="5"/>
    </row>
    <row r="9" spans="1:11" x14ac:dyDescent="0.3">
      <c r="A9" s="3" t="s">
        <v>17</v>
      </c>
      <c r="B9" s="4">
        <v>10240.124599999999</v>
      </c>
      <c r="C9" s="4">
        <v>13277.652099999999</v>
      </c>
      <c r="D9" s="4">
        <v>13055.5326</v>
      </c>
      <c r="E9" s="4">
        <v>14137.1896</v>
      </c>
      <c r="F9" s="5"/>
      <c r="G9" s="5"/>
      <c r="H9" s="5"/>
      <c r="I9" s="5"/>
      <c r="J9" s="5"/>
      <c r="K9" s="5"/>
    </row>
    <row r="10" spans="1:11" x14ac:dyDescent="0.3">
      <c r="A10" s="3" t="s">
        <v>18</v>
      </c>
      <c r="B10" s="4">
        <v>5740.6934000000001</v>
      </c>
      <c r="C10" s="4">
        <v>8951.2036000000007</v>
      </c>
      <c r="D10" s="4">
        <v>9261.9930000000004</v>
      </c>
      <c r="E10" s="5"/>
      <c r="F10" s="5"/>
      <c r="G10" s="5"/>
      <c r="H10" s="5"/>
      <c r="I10" s="5"/>
      <c r="J10" s="5"/>
      <c r="K10" s="5"/>
    </row>
    <row r="11" spans="1:11" x14ac:dyDescent="0.3">
      <c r="A11" s="3" t="s">
        <v>19</v>
      </c>
      <c r="B11" s="4">
        <v>7415.991</v>
      </c>
      <c r="C11" s="4">
        <v>9090.7561999999998</v>
      </c>
      <c r="D11" s="5"/>
      <c r="E11" s="5"/>
      <c r="F11" s="5"/>
      <c r="G11" s="5"/>
      <c r="H11" s="5"/>
      <c r="I11" s="5"/>
      <c r="J11" s="5"/>
      <c r="K11" s="5"/>
    </row>
    <row r="12" spans="1:11" x14ac:dyDescent="0.3">
      <c r="A12" s="3" t="s">
        <v>20</v>
      </c>
      <c r="B12" s="4">
        <v>10154.177799999999</v>
      </c>
      <c r="C12" s="5"/>
      <c r="D12" s="5"/>
      <c r="E12" s="5"/>
      <c r="F12" s="5"/>
      <c r="G12" s="5"/>
      <c r="H12" s="5"/>
      <c r="I12" s="5"/>
      <c r="J12" s="5"/>
      <c r="K12" s="5"/>
    </row>
  </sheetData>
  <mergeCells count="1">
    <mergeCell ref="A1:K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2"/>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153</v>
      </c>
      <c r="B1" s="26"/>
      <c r="C1" s="26"/>
      <c r="D1" s="26"/>
      <c r="E1" s="26"/>
      <c r="F1" s="26"/>
      <c r="G1" s="26"/>
      <c r="H1" s="26"/>
      <c r="I1" s="26"/>
      <c r="J1" s="26"/>
      <c r="K1" s="27"/>
    </row>
    <row r="2" spans="1:11" x14ac:dyDescent="0.3">
      <c r="A2" s="1"/>
      <c r="B2" s="2" t="s">
        <v>1</v>
      </c>
      <c r="C2" s="2" t="s">
        <v>2</v>
      </c>
      <c r="D2" s="2" t="s">
        <v>3</v>
      </c>
      <c r="E2" s="2" t="s">
        <v>4</v>
      </c>
      <c r="F2" s="2" t="s">
        <v>5</v>
      </c>
      <c r="G2" s="2" t="s">
        <v>6</v>
      </c>
      <c r="H2" s="2" t="s">
        <v>7</v>
      </c>
      <c r="I2" s="2" t="s">
        <v>8</v>
      </c>
      <c r="J2" s="2" t="s">
        <v>9</v>
      </c>
      <c r="K2" s="2" t="s">
        <v>10</v>
      </c>
    </row>
    <row r="3" spans="1:11" x14ac:dyDescent="0.3">
      <c r="A3" s="3" t="s">
        <v>11</v>
      </c>
      <c r="B3" s="19">
        <v>0.83089999999999997</v>
      </c>
      <c r="C3" s="19">
        <v>0.8518</v>
      </c>
      <c r="D3" s="19">
        <v>0.81759999999999999</v>
      </c>
      <c r="E3" s="19">
        <v>1.0792999999999999</v>
      </c>
      <c r="F3" s="19">
        <v>1.0379</v>
      </c>
      <c r="G3" s="19">
        <v>1.6274999999999999</v>
      </c>
      <c r="H3" s="19">
        <v>2.4455</v>
      </c>
      <c r="I3" s="19">
        <v>2.8269000000000002</v>
      </c>
      <c r="J3" s="19">
        <v>3.0213000000000001</v>
      </c>
      <c r="K3" s="19"/>
    </row>
    <row r="4" spans="1:11" x14ac:dyDescent="0.3">
      <c r="A4" s="3" t="s">
        <v>12</v>
      </c>
      <c r="B4" s="19">
        <v>0.78849999999999998</v>
      </c>
      <c r="C4" s="19">
        <v>0.83350000000000002</v>
      </c>
      <c r="D4" s="19">
        <v>0.93740000000000001</v>
      </c>
      <c r="E4" s="19">
        <v>0.93110000000000004</v>
      </c>
      <c r="F4" s="19">
        <v>1.1930000000000001</v>
      </c>
      <c r="G4" s="19">
        <v>1.766</v>
      </c>
      <c r="H4" s="19">
        <v>2.4369000000000001</v>
      </c>
      <c r="I4" s="19">
        <v>3.0207999999999999</v>
      </c>
      <c r="J4" s="19">
        <v>3.0407999999999999</v>
      </c>
      <c r="K4" s="5"/>
    </row>
    <row r="5" spans="1:11" x14ac:dyDescent="0.3">
      <c r="A5" s="3" t="s">
        <v>13</v>
      </c>
      <c r="B5" s="19">
        <v>0.8337</v>
      </c>
      <c r="C5" s="19">
        <v>0.74099999999999999</v>
      </c>
      <c r="D5" s="19">
        <v>0.88549999999999995</v>
      </c>
      <c r="E5" s="19">
        <v>0.95450000000000002</v>
      </c>
      <c r="F5" s="19">
        <v>1.2064999999999999</v>
      </c>
      <c r="G5" s="19">
        <v>1.7867999999999999</v>
      </c>
      <c r="H5" s="19">
        <v>2.6566000000000001</v>
      </c>
      <c r="I5" s="19">
        <v>2.9615</v>
      </c>
      <c r="J5" s="5"/>
      <c r="K5" s="5"/>
    </row>
    <row r="6" spans="1:11" x14ac:dyDescent="0.3">
      <c r="A6" s="3" t="s">
        <v>14</v>
      </c>
      <c r="B6" s="19">
        <v>0.83260000000000001</v>
      </c>
      <c r="C6" s="19">
        <v>0.84599999999999997</v>
      </c>
      <c r="D6" s="19">
        <v>0.85319999999999996</v>
      </c>
      <c r="E6" s="19">
        <v>0.9224</v>
      </c>
      <c r="F6" s="19">
        <v>1.1856</v>
      </c>
      <c r="G6" s="19">
        <v>1.9337</v>
      </c>
      <c r="H6" s="19">
        <v>2.4159000000000002</v>
      </c>
      <c r="I6" s="5"/>
      <c r="J6" s="5"/>
      <c r="K6" s="5"/>
    </row>
    <row r="7" spans="1:11" x14ac:dyDescent="0.3">
      <c r="A7" s="3" t="s">
        <v>15</v>
      </c>
      <c r="B7" s="19">
        <v>0.88900000000000001</v>
      </c>
      <c r="C7" s="19">
        <v>0.76680000000000004</v>
      </c>
      <c r="D7" s="19">
        <v>0.78790000000000004</v>
      </c>
      <c r="E7" s="19">
        <v>0.96299999999999997</v>
      </c>
      <c r="F7" s="19">
        <v>1.1757</v>
      </c>
      <c r="G7" s="19">
        <v>1.802</v>
      </c>
      <c r="H7" s="5"/>
      <c r="I7" s="5"/>
      <c r="J7" s="5"/>
      <c r="K7" s="5"/>
    </row>
    <row r="8" spans="1:11" x14ac:dyDescent="0.3">
      <c r="A8" s="3" t="s">
        <v>16</v>
      </c>
      <c r="B8" s="19">
        <v>0.85529999999999995</v>
      </c>
      <c r="C8" s="19">
        <v>0.84279999999999999</v>
      </c>
      <c r="D8" s="19">
        <v>0.89780000000000004</v>
      </c>
      <c r="E8" s="19">
        <v>0.82899999999999996</v>
      </c>
      <c r="F8" s="19">
        <v>1.0498000000000001</v>
      </c>
      <c r="G8" s="5"/>
      <c r="H8" s="5"/>
      <c r="I8" s="5"/>
      <c r="J8" s="5"/>
      <c r="K8" s="5"/>
    </row>
    <row r="9" spans="1:11" x14ac:dyDescent="0.3">
      <c r="A9" s="3" t="s">
        <v>17</v>
      </c>
      <c r="B9" s="19">
        <v>0.95289999999999997</v>
      </c>
      <c r="C9" s="19">
        <v>0.84799999999999998</v>
      </c>
      <c r="D9" s="19">
        <v>0.87849999999999995</v>
      </c>
      <c r="E9" s="19">
        <v>0.80059999999999998</v>
      </c>
      <c r="F9" s="5"/>
      <c r="G9" s="5"/>
      <c r="H9" s="5"/>
      <c r="I9" s="5"/>
      <c r="J9" s="5"/>
      <c r="K9" s="5"/>
    </row>
    <row r="10" spans="1:11" x14ac:dyDescent="0.3">
      <c r="A10" s="3" t="s">
        <v>18</v>
      </c>
      <c r="B10" s="19">
        <v>0.90990000000000004</v>
      </c>
      <c r="C10" s="19">
        <v>0.8024</v>
      </c>
      <c r="D10" s="19">
        <v>0.89170000000000005</v>
      </c>
      <c r="E10" s="5"/>
      <c r="F10" s="5"/>
      <c r="G10" s="5"/>
      <c r="H10" s="5"/>
      <c r="I10" s="5"/>
      <c r="J10" s="5"/>
      <c r="K10" s="5"/>
    </row>
    <row r="11" spans="1:11" x14ac:dyDescent="0.3">
      <c r="A11" s="3" t="s">
        <v>19</v>
      </c>
      <c r="B11" s="19">
        <v>0.84060000000000001</v>
      </c>
      <c r="C11" s="19">
        <v>0.81679999999999997</v>
      </c>
      <c r="D11" s="5"/>
      <c r="E11" s="5"/>
      <c r="F11" s="5"/>
      <c r="G11" s="5"/>
      <c r="H11" s="5"/>
      <c r="I11" s="5"/>
      <c r="J11" s="5"/>
      <c r="K11" s="5"/>
    </row>
    <row r="12" spans="1:11" x14ac:dyDescent="0.3">
      <c r="A12" s="3" t="s">
        <v>20</v>
      </c>
      <c r="B12" s="19">
        <v>0.76290000000000002</v>
      </c>
      <c r="C12" s="5"/>
      <c r="D12" s="5"/>
      <c r="E12" s="5"/>
      <c r="F12" s="5"/>
      <c r="G12" s="5"/>
      <c r="H12" s="5"/>
      <c r="I12" s="5"/>
      <c r="J12" s="5"/>
      <c r="K12" s="5"/>
    </row>
  </sheetData>
  <mergeCells count="1">
    <mergeCell ref="A1:K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8"/>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154</v>
      </c>
      <c r="B1" s="26"/>
      <c r="C1" s="26"/>
      <c r="D1" s="26"/>
      <c r="E1" s="26"/>
      <c r="F1" s="26"/>
      <c r="G1" s="26"/>
      <c r="H1" s="26"/>
      <c r="I1" s="26"/>
      <c r="J1" s="26"/>
      <c r="K1" s="27"/>
    </row>
    <row r="2" spans="1:11" x14ac:dyDescent="0.3">
      <c r="A2" s="7" t="s">
        <v>32</v>
      </c>
      <c r="B2" s="2" t="s">
        <v>22</v>
      </c>
      <c r="C2" s="2" t="s">
        <v>23</v>
      </c>
      <c r="D2" s="2" t="s">
        <v>24</v>
      </c>
      <c r="E2" s="2" t="s">
        <v>25</v>
      </c>
      <c r="F2" s="2" t="s">
        <v>26</v>
      </c>
      <c r="G2" s="2" t="s">
        <v>27</v>
      </c>
      <c r="H2" s="2" t="s">
        <v>28</v>
      </c>
      <c r="I2" s="2" t="s">
        <v>29</v>
      </c>
      <c r="J2" s="2" t="s">
        <v>30</v>
      </c>
      <c r="K2" s="2" t="s">
        <v>33</v>
      </c>
    </row>
    <row r="3" spans="1:11" x14ac:dyDescent="0.3">
      <c r="A3" s="8" t="s">
        <v>155</v>
      </c>
      <c r="B3" s="6">
        <v>4.2000000000000003E-2</v>
      </c>
      <c r="C3" s="6">
        <v>2.3999999999999998E-3</v>
      </c>
      <c r="D3" s="6">
        <v>1.1599999999999999E-2</v>
      </c>
      <c r="E3" s="6">
        <v>3.0000000000000001E-3</v>
      </c>
      <c r="F3" s="6">
        <v>1.5E-3</v>
      </c>
      <c r="G3" s="6">
        <v>2.2000000000000001E-3</v>
      </c>
      <c r="H3" s="6">
        <v>1.1000000000000001E-3</v>
      </c>
      <c r="I3" s="6">
        <v>1E-3</v>
      </c>
      <c r="J3" s="6"/>
      <c r="K3" s="5"/>
    </row>
    <row r="4" spans="1:11" x14ac:dyDescent="0.3">
      <c r="A4" s="8" t="s">
        <v>156</v>
      </c>
      <c r="B4" s="6">
        <v>3.5299999999999998E-2</v>
      </c>
      <c r="C4" s="6">
        <v>6.6E-3</v>
      </c>
      <c r="D4" s="6">
        <v>1.24E-2</v>
      </c>
      <c r="E4" s="6">
        <v>4.1999999999999997E-3</v>
      </c>
      <c r="F4" s="6">
        <v>3.0000000000000001E-3</v>
      </c>
      <c r="G4" s="6">
        <v>2.3999999999999998E-3</v>
      </c>
      <c r="H4" s="6">
        <v>1.1000000000000001E-3</v>
      </c>
      <c r="I4" s="6">
        <v>1E-3</v>
      </c>
      <c r="J4" s="6"/>
      <c r="K4" s="5"/>
    </row>
    <row r="5" spans="1:11" x14ac:dyDescent="0.3">
      <c r="A5" s="8" t="s">
        <v>157</v>
      </c>
      <c r="B5" s="6">
        <v>3.1699999999999999E-2</v>
      </c>
      <c r="C5" s="6">
        <v>1.23E-2</v>
      </c>
      <c r="D5" s="6">
        <v>1.49E-2</v>
      </c>
      <c r="E5" s="6">
        <v>3.8E-3</v>
      </c>
      <c r="F5" s="6">
        <v>3.0000000000000001E-3</v>
      </c>
      <c r="G5" s="6">
        <v>2.3999999999999998E-3</v>
      </c>
      <c r="H5" s="6">
        <v>1.1000000000000001E-3</v>
      </c>
      <c r="I5" s="6">
        <v>1E-3</v>
      </c>
      <c r="J5" s="6"/>
      <c r="K5" s="5"/>
    </row>
    <row r="6" spans="1:11" x14ac:dyDescent="0.3">
      <c r="A6" s="8" t="s">
        <v>158</v>
      </c>
      <c r="B6" s="6">
        <v>3.7499999999999999E-2</v>
      </c>
      <c r="C6" s="6">
        <v>1.9E-3</v>
      </c>
      <c r="D6" s="6">
        <v>-1.2699999999999999E-2</v>
      </c>
      <c r="E6" s="6">
        <v>1.1999999999999999E-3</v>
      </c>
      <c r="F6" s="6">
        <v>-2.9999999999999997E-4</v>
      </c>
      <c r="G6" s="6">
        <v>2.2000000000000001E-3</v>
      </c>
      <c r="H6" s="6">
        <v>8.9999999999999998E-4</v>
      </c>
      <c r="I6" s="6">
        <v>1.4E-3</v>
      </c>
      <c r="J6" s="6"/>
      <c r="K6" s="5"/>
    </row>
    <row r="7" spans="1:11" x14ac:dyDescent="0.3">
      <c r="A7" s="8" t="s">
        <v>159</v>
      </c>
      <c r="B7" s="6">
        <v>-2.7000000000000001E-3</v>
      </c>
      <c r="C7" s="6">
        <v>-4.3E-3</v>
      </c>
      <c r="D7" s="6">
        <v>-8.6E-3</v>
      </c>
      <c r="E7" s="6">
        <v>-1.4E-3</v>
      </c>
      <c r="F7" s="6">
        <v>1.6000000000000001E-3</v>
      </c>
      <c r="G7" s="6">
        <v>1.9E-3</v>
      </c>
      <c r="H7" s="6">
        <v>8.9999999999999998E-4</v>
      </c>
      <c r="I7" s="6">
        <v>1.4E-3</v>
      </c>
      <c r="J7" s="6"/>
      <c r="K7" s="5"/>
    </row>
    <row r="8" spans="1:11" x14ac:dyDescent="0.3">
      <c r="A8" s="8" t="s">
        <v>160</v>
      </c>
      <c r="B8" s="6">
        <v>-4.0000000000000001E-3</v>
      </c>
      <c r="C8" s="6">
        <v>-3.3E-3</v>
      </c>
      <c r="D8" s="6">
        <v>-8.0000000000000002E-3</v>
      </c>
      <c r="E8" s="6">
        <v>-4.0000000000000002E-4</v>
      </c>
      <c r="F8" s="6">
        <v>1.6000000000000001E-3</v>
      </c>
      <c r="G8" s="6">
        <v>1.9E-3</v>
      </c>
      <c r="H8" s="6">
        <v>8.9999999999999998E-4</v>
      </c>
      <c r="I8" s="6">
        <v>1.4E-3</v>
      </c>
      <c r="J8" s="6"/>
      <c r="K8" s="5"/>
    </row>
  </sheetData>
  <mergeCells count="1">
    <mergeCell ref="A1:K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8"/>
  <sheetViews>
    <sheetView workbookViewId="0">
      <pane xSplit="1" ySplit="1" topLeftCell="B2" activePane="bottomRight" state="frozen"/>
      <selection pane="topRight"/>
      <selection pane="bottomLeft"/>
      <selection pane="bottomRight" sqref="A1:K1"/>
    </sheetView>
  </sheetViews>
  <sheetFormatPr defaultRowHeight="14.4" x14ac:dyDescent="0.3"/>
  <sheetData>
    <row r="1" spans="1:11" x14ac:dyDescent="0.3">
      <c r="A1" s="25" t="s">
        <v>161</v>
      </c>
      <c r="B1" s="26"/>
      <c r="C1" s="26"/>
      <c r="D1" s="26"/>
      <c r="E1" s="26"/>
      <c r="F1" s="26"/>
      <c r="G1" s="26"/>
      <c r="H1" s="26"/>
      <c r="I1" s="26"/>
      <c r="J1" s="26"/>
      <c r="K1" s="27"/>
    </row>
    <row r="2" spans="1:11" x14ac:dyDescent="0.3">
      <c r="A2" s="7" t="s">
        <v>32</v>
      </c>
      <c r="B2" s="2" t="s">
        <v>22</v>
      </c>
      <c r="C2" s="2" t="s">
        <v>23</v>
      </c>
      <c r="D2" s="2" t="s">
        <v>24</v>
      </c>
      <c r="E2" s="2" t="s">
        <v>25</v>
      </c>
      <c r="F2" s="2" t="s">
        <v>26</v>
      </c>
      <c r="G2" s="2" t="s">
        <v>27</v>
      </c>
      <c r="H2" s="2" t="s">
        <v>28</v>
      </c>
      <c r="I2" s="2" t="s">
        <v>29</v>
      </c>
      <c r="J2" s="2" t="s">
        <v>30</v>
      </c>
      <c r="K2" s="2" t="s">
        <v>33</v>
      </c>
    </row>
    <row r="3" spans="1:11" x14ac:dyDescent="0.3">
      <c r="A3" s="8" t="s">
        <v>155</v>
      </c>
      <c r="B3" s="6">
        <v>2.47E-2</v>
      </c>
      <c r="C3" s="6">
        <v>2.0400000000000001E-2</v>
      </c>
      <c r="D3" s="6">
        <v>6.7000000000000002E-3</v>
      </c>
      <c r="E3" s="6">
        <v>2.8E-3</v>
      </c>
      <c r="F3" s="6">
        <v>2.7000000000000001E-3</v>
      </c>
      <c r="G3" s="6">
        <v>2.2000000000000001E-3</v>
      </c>
      <c r="H3" s="6">
        <v>1.6000000000000001E-3</v>
      </c>
      <c r="I3" s="6">
        <v>6.9999999999999999E-4</v>
      </c>
      <c r="J3" s="6"/>
      <c r="K3" s="5"/>
    </row>
    <row r="4" spans="1:11" x14ac:dyDescent="0.3">
      <c r="A4" s="8" t="s">
        <v>156</v>
      </c>
      <c r="B4" s="6">
        <v>1.8700000000000001E-2</v>
      </c>
      <c r="C4" s="6">
        <v>1.54E-2</v>
      </c>
      <c r="D4" s="6">
        <v>1.0200000000000001E-2</v>
      </c>
      <c r="E4" s="6">
        <v>8.0999999999999996E-3</v>
      </c>
      <c r="F4" s="6">
        <v>2E-3</v>
      </c>
      <c r="G4" s="6">
        <v>2.3999999999999998E-3</v>
      </c>
      <c r="H4" s="6">
        <v>1.6000000000000001E-3</v>
      </c>
      <c r="I4" s="6">
        <v>6.9999999999999999E-4</v>
      </c>
      <c r="J4" s="6"/>
      <c r="K4" s="5"/>
    </row>
    <row r="5" spans="1:11" x14ac:dyDescent="0.3">
      <c r="A5" s="8" t="s">
        <v>157</v>
      </c>
      <c r="B5" s="6">
        <v>2.8899999999999999E-2</v>
      </c>
      <c r="C5" s="6">
        <v>1.5599999999999999E-2</v>
      </c>
      <c r="D5" s="6">
        <v>8.8000000000000005E-3</v>
      </c>
      <c r="E5" s="6">
        <v>7.1999999999999998E-3</v>
      </c>
      <c r="F5" s="6">
        <v>2E-3</v>
      </c>
      <c r="G5" s="6">
        <v>2.3999999999999998E-3</v>
      </c>
      <c r="H5" s="6">
        <v>1.6000000000000001E-3</v>
      </c>
      <c r="I5" s="6">
        <v>6.9999999999999999E-4</v>
      </c>
      <c r="J5" s="6"/>
      <c r="K5" s="5"/>
    </row>
    <row r="6" spans="1:11" x14ac:dyDescent="0.3">
      <c r="A6" s="8" t="s">
        <v>158</v>
      </c>
      <c r="B6" s="6">
        <v>-4.2099999999999999E-2</v>
      </c>
      <c r="C6" s="6">
        <v>-1.2999999999999999E-2</v>
      </c>
      <c r="D6" s="6">
        <v>6.4000000000000003E-3</v>
      </c>
      <c r="E6" s="6">
        <v>2E-3</v>
      </c>
      <c r="F6" s="6">
        <v>1.1999999999999999E-3</v>
      </c>
      <c r="G6" s="6">
        <v>-1.6000000000000001E-3</v>
      </c>
      <c r="H6" s="6">
        <v>1.6999999999999999E-3</v>
      </c>
      <c r="I6" s="6">
        <v>1E-3</v>
      </c>
      <c r="J6" s="6"/>
      <c r="K6" s="5"/>
    </row>
    <row r="7" spans="1:11" x14ac:dyDescent="0.3">
      <c r="A7" s="8" t="s">
        <v>159</v>
      </c>
      <c r="B7" s="6">
        <v>-1.46E-2</v>
      </c>
      <c r="C7" s="6">
        <v>-1E-3</v>
      </c>
      <c r="D7" s="6">
        <v>-3.0999999999999999E-3</v>
      </c>
      <c r="E7" s="6">
        <v>-4.4000000000000003E-3</v>
      </c>
      <c r="F7" s="6">
        <v>-1E-4</v>
      </c>
      <c r="G7" s="6">
        <v>-1.6999999999999999E-3</v>
      </c>
      <c r="H7" s="6">
        <v>1.6999999999999999E-3</v>
      </c>
      <c r="I7" s="6">
        <v>1E-3</v>
      </c>
      <c r="J7" s="6"/>
      <c r="K7" s="5"/>
    </row>
    <row r="8" spans="1:11" x14ac:dyDescent="0.3">
      <c r="A8" s="8" t="s">
        <v>160</v>
      </c>
      <c r="B8" s="6">
        <v>5.0000000000000001E-4</v>
      </c>
      <c r="C8" s="6">
        <v>3.2000000000000002E-3</v>
      </c>
      <c r="D8" s="6">
        <v>-2.2000000000000001E-3</v>
      </c>
      <c r="E8" s="6">
        <v>-2.5000000000000001E-3</v>
      </c>
      <c r="F8" s="6">
        <v>-1E-4</v>
      </c>
      <c r="G8" s="6">
        <v>-1.6999999999999999E-3</v>
      </c>
      <c r="H8" s="6">
        <v>1.6999999999999999E-3</v>
      </c>
      <c r="I8" s="6">
        <v>1E-3</v>
      </c>
      <c r="J8" s="6"/>
      <c r="K8" s="5"/>
    </row>
  </sheetData>
  <mergeCells count="1">
    <mergeCell ref="A1:K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8"/>
  <sheetViews>
    <sheetView workbookViewId="0">
      <pane xSplit="1" ySplit="1" topLeftCell="B2" activePane="bottomRight" state="frozen"/>
      <selection pane="topRight"/>
      <selection pane="bottomLeft"/>
      <selection pane="bottomRight" activeCell="C5" sqref="C5"/>
    </sheetView>
  </sheetViews>
  <sheetFormatPr defaultRowHeight="14.4" x14ac:dyDescent="0.3"/>
  <sheetData>
    <row r="1" spans="1:11" x14ac:dyDescent="0.3">
      <c r="A1" s="25" t="s">
        <v>162</v>
      </c>
      <c r="B1" s="26"/>
      <c r="C1" s="26"/>
      <c r="D1" s="26"/>
      <c r="E1" s="26"/>
      <c r="F1" s="26"/>
      <c r="G1" s="26"/>
      <c r="H1" s="26"/>
      <c r="I1" s="26"/>
      <c r="J1" s="26"/>
      <c r="K1" s="27"/>
    </row>
    <row r="2" spans="1:11" x14ac:dyDescent="0.3">
      <c r="A2" s="7" t="s">
        <v>32</v>
      </c>
      <c r="B2" s="2" t="s">
        <v>22</v>
      </c>
      <c r="C2" s="2" t="s">
        <v>23</v>
      </c>
      <c r="D2" s="2" t="s">
        <v>24</v>
      </c>
      <c r="E2" s="2" t="s">
        <v>25</v>
      </c>
      <c r="F2" s="2" t="s">
        <v>26</v>
      </c>
      <c r="G2" s="2" t="s">
        <v>27</v>
      </c>
      <c r="H2" s="2" t="s">
        <v>28</v>
      </c>
      <c r="I2" s="2" t="s">
        <v>29</v>
      </c>
      <c r="J2" s="2" t="s">
        <v>30</v>
      </c>
      <c r="K2" s="2" t="s">
        <v>33</v>
      </c>
    </row>
    <row r="3" spans="1:11" x14ac:dyDescent="0.3">
      <c r="A3" s="8" t="s">
        <v>155</v>
      </c>
      <c r="B3" s="6">
        <v>1.8700000000000001E-2</v>
      </c>
      <c r="C3" s="6">
        <v>2.3199999999999998E-2</v>
      </c>
      <c r="D3" s="6">
        <v>1.03E-2</v>
      </c>
      <c r="E3" s="6">
        <v>5.7000000000000002E-3</v>
      </c>
      <c r="F3" s="6">
        <v>5.9999999999999995E-4</v>
      </c>
      <c r="G3" s="6">
        <v>3.5999999999999999E-3</v>
      </c>
      <c r="H3" s="6">
        <v>2.5999999999999999E-3</v>
      </c>
      <c r="I3" s="6">
        <v>4.1000000000000003E-3</v>
      </c>
      <c r="J3" s="6"/>
      <c r="K3" s="5"/>
    </row>
    <row r="4" spans="1:11" x14ac:dyDescent="0.3">
      <c r="A4" s="8" t="s">
        <v>156</v>
      </c>
      <c r="B4" s="6">
        <v>1.7600000000000001E-2</v>
      </c>
      <c r="C4" s="6">
        <v>1.6500000000000001E-2</v>
      </c>
      <c r="D4" s="6">
        <v>8.0999999999999996E-3</v>
      </c>
      <c r="E4" s="6">
        <v>4.1000000000000003E-3</v>
      </c>
      <c r="F4" s="6">
        <v>1.1999999999999999E-3</v>
      </c>
      <c r="G4" s="6">
        <v>4.7000000000000002E-3</v>
      </c>
      <c r="H4" s="6">
        <v>2.5999999999999999E-3</v>
      </c>
      <c r="I4" s="6">
        <v>4.1000000000000003E-3</v>
      </c>
      <c r="J4" s="6"/>
      <c r="K4" s="5"/>
    </row>
    <row r="5" spans="1:11" x14ac:dyDescent="0.3">
      <c r="A5" s="8" t="s">
        <v>157</v>
      </c>
      <c r="B5" s="6">
        <v>2.1299999999999999E-2</v>
      </c>
      <c r="C5" s="6">
        <v>1.3899999999999999E-2</v>
      </c>
      <c r="D5" s="6">
        <v>7.1000000000000004E-3</v>
      </c>
      <c r="E5" s="6">
        <v>5.0000000000000001E-3</v>
      </c>
      <c r="F5" s="6">
        <v>1.1999999999999999E-3</v>
      </c>
      <c r="G5" s="6">
        <v>4.7000000000000002E-3</v>
      </c>
      <c r="H5" s="6">
        <v>2.5999999999999999E-3</v>
      </c>
      <c r="I5" s="6">
        <v>4.1000000000000003E-3</v>
      </c>
      <c r="J5" s="6"/>
      <c r="K5" s="5"/>
    </row>
    <row r="6" spans="1:11" x14ac:dyDescent="0.3">
      <c r="A6" s="8" t="s">
        <v>158</v>
      </c>
      <c r="B6" s="6">
        <v>2.4500000000000001E-2</v>
      </c>
      <c r="C6" s="6">
        <v>4.0000000000000002E-4</v>
      </c>
      <c r="D6" s="6">
        <v>9.2999999999999992E-3</v>
      </c>
      <c r="E6" s="6">
        <v>-6.1999999999999998E-3</v>
      </c>
      <c r="F6" s="6">
        <v>-1E-4</v>
      </c>
      <c r="G6" s="6">
        <v>8.0000000000000004E-4</v>
      </c>
      <c r="H6" s="6">
        <v>-2.7000000000000001E-3</v>
      </c>
      <c r="I6" s="6">
        <v>-6.1000000000000004E-3</v>
      </c>
      <c r="J6" s="6"/>
      <c r="K6" s="5"/>
    </row>
    <row r="7" spans="1:11" x14ac:dyDescent="0.3">
      <c r="A7" s="8" t="s">
        <v>159</v>
      </c>
      <c r="B7" s="6">
        <v>1.4E-2</v>
      </c>
      <c r="C7" s="6">
        <v>-8.0000000000000004E-4</v>
      </c>
      <c r="D7" s="6">
        <v>2.3E-3</v>
      </c>
      <c r="E7" s="6">
        <v>-1.5E-3</v>
      </c>
      <c r="F7" s="6">
        <v>5.0000000000000001E-4</v>
      </c>
      <c r="G7" s="6">
        <v>-2.0999999999999999E-3</v>
      </c>
      <c r="H7" s="6">
        <v>-2.7000000000000001E-3</v>
      </c>
      <c r="I7" s="6">
        <v>-6.1000000000000004E-3</v>
      </c>
      <c r="J7" s="6"/>
      <c r="K7" s="5"/>
    </row>
    <row r="8" spans="1:11" x14ac:dyDescent="0.3">
      <c r="A8" s="8" t="s">
        <v>160</v>
      </c>
      <c r="B8" s="6">
        <v>-5.5999999999999999E-3</v>
      </c>
      <c r="C8" s="6">
        <v>2.0000000000000001E-4</v>
      </c>
      <c r="D8" s="6">
        <v>5.0000000000000001E-4</v>
      </c>
      <c r="E8" s="6">
        <v>5.0000000000000001E-4</v>
      </c>
      <c r="F8" s="6">
        <v>5.0000000000000001E-4</v>
      </c>
      <c r="G8" s="6">
        <v>-2.0999999999999999E-3</v>
      </c>
      <c r="H8" s="6">
        <v>-2.7000000000000001E-3</v>
      </c>
      <c r="I8" s="6">
        <v>-6.1000000000000004E-3</v>
      </c>
      <c r="J8" s="6"/>
      <c r="K8" s="5"/>
    </row>
  </sheetData>
  <mergeCells count="1">
    <mergeCell ref="A1:K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8"/>
  <sheetViews>
    <sheetView workbookViewId="0">
      <pane xSplit="1" ySplit="1" topLeftCell="B2" activePane="bottomRight" state="frozen"/>
      <selection pane="topRight"/>
      <selection pane="bottomLeft"/>
      <selection pane="bottomRight"/>
    </sheetView>
  </sheetViews>
  <sheetFormatPr defaultRowHeight="14.4" x14ac:dyDescent="0.3"/>
  <sheetData>
    <row r="1" spans="1:11" x14ac:dyDescent="0.3">
      <c r="A1" s="25" t="s">
        <v>163</v>
      </c>
      <c r="B1" s="26"/>
      <c r="C1" s="26"/>
      <c r="D1" s="26"/>
      <c r="E1" s="26"/>
      <c r="F1" s="26"/>
      <c r="G1" s="26"/>
      <c r="H1" s="26"/>
      <c r="I1" s="26"/>
      <c r="J1" s="26"/>
      <c r="K1" s="27"/>
    </row>
    <row r="2" spans="1:11" x14ac:dyDescent="0.3">
      <c r="A2" s="7" t="s">
        <v>32</v>
      </c>
      <c r="B2" s="2" t="s">
        <v>22</v>
      </c>
      <c r="C2" s="2" t="s">
        <v>23</v>
      </c>
      <c r="D2" s="2" t="s">
        <v>24</v>
      </c>
      <c r="E2" s="2" t="s">
        <v>25</v>
      </c>
      <c r="F2" s="2" t="s">
        <v>26</v>
      </c>
      <c r="G2" s="2" t="s">
        <v>27</v>
      </c>
      <c r="H2" s="2" t="s">
        <v>28</v>
      </c>
      <c r="I2" s="2" t="s">
        <v>29</v>
      </c>
      <c r="J2" s="2" t="s">
        <v>30</v>
      </c>
      <c r="K2" s="2" t="s">
        <v>33</v>
      </c>
    </row>
    <row r="3" spans="1:11" x14ac:dyDescent="0.3">
      <c r="A3" s="8" t="s">
        <v>155</v>
      </c>
      <c r="B3" s="6">
        <v>2.5499999999999998E-2</v>
      </c>
      <c r="C3" s="6">
        <v>1.26E-2</v>
      </c>
      <c r="D3" s="6">
        <v>1.12E-2</v>
      </c>
      <c r="E3" s="6">
        <v>6.4999999999999997E-3</v>
      </c>
      <c r="F3" s="6">
        <v>2.2000000000000001E-3</v>
      </c>
      <c r="G3" s="6">
        <v>1.4E-3</v>
      </c>
      <c r="H3" s="6">
        <v>5.0000000000000001E-4</v>
      </c>
      <c r="I3" s="6">
        <v>2.9999999999999997E-4</v>
      </c>
      <c r="J3" s="6"/>
      <c r="K3" s="5"/>
    </row>
    <row r="4" spans="1:11" x14ac:dyDescent="0.3">
      <c r="A4" s="8" t="s">
        <v>156</v>
      </c>
      <c r="B4" s="6">
        <v>2.35E-2</v>
      </c>
      <c r="C4" s="6">
        <v>1.47E-2</v>
      </c>
      <c r="D4" s="6">
        <v>8.5000000000000006E-3</v>
      </c>
      <c r="E4" s="6">
        <v>4.7000000000000002E-3</v>
      </c>
      <c r="F4" s="6">
        <v>2.0999999999999999E-3</v>
      </c>
      <c r="G4" s="6">
        <v>1.1999999999999999E-3</v>
      </c>
      <c r="H4" s="6">
        <v>5.0000000000000001E-4</v>
      </c>
      <c r="I4" s="6">
        <v>2.9999999999999997E-4</v>
      </c>
      <c r="J4" s="6"/>
      <c r="K4" s="5"/>
    </row>
    <row r="5" spans="1:11" x14ac:dyDescent="0.3">
      <c r="A5" s="8" t="s">
        <v>157</v>
      </c>
      <c r="B5" s="6">
        <v>2.3E-2</v>
      </c>
      <c r="C5" s="6">
        <v>1.24E-2</v>
      </c>
      <c r="D5" s="6">
        <v>8.8000000000000005E-3</v>
      </c>
      <c r="E5" s="6">
        <v>6.1999999999999998E-3</v>
      </c>
      <c r="F5" s="6">
        <v>2.0999999999999999E-3</v>
      </c>
      <c r="G5" s="6">
        <v>1.1999999999999999E-3</v>
      </c>
      <c r="H5" s="6">
        <v>5.0000000000000001E-4</v>
      </c>
      <c r="I5" s="6">
        <v>2.9999999999999997E-4</v>
      </c>
      <c r="J5" s="6"/>
      <c r="K5" s="5"/>
    </row>
    <row r="6" spans="1:11" x14ac:dyDescent="0.3">
      <c r="A6" s="8" t="s">
        <v>158</v>
      </c>
      <c r="B6" s="6">
        <v>0.01</v>
      </c>
      <c r="C6" s="6">
        <v>5.7999999999999996E-3</v>
      </c>
      <c r="D6" s="6">
        <v>1.3299999999999999E-2</v>
      </c>
      <c r="E6" s="6">
        <v>7.1000000000000004E-3</v>
      </c>
      <c r="F6" s="6">
        <v>-2.0000000000000001E-4</v>
      </c>
      <c r="G6" s="6">
        <v>1E-3</v>
      </c>
      <c r="H6" s="6">
        <v>0</v>
      </c>
      <c r="I6" s="6">
        <v>4.0000000000000002E-4</v>
      </c>
      <c r="J6" s="6"/>
      <c r="K6" s="5"/>
    </row>
    <row r="7" spans="1:11" x14ac:dyDescent="0.3">
      <c r="A7" s="8" t="s">
        <v>159</v>
      </c>
      <c r="B7" s="6">
        <v>-1.23E-2</v>
      </c>
      <c r="C7" s="6">
        <v>-5.4999999999999997E-3</v>
      </c>
      <c r="D7" s="6">
        <v>4.4999999999999997E-3</v>
      </c>
      <c r="E7" s="6">
        <v>2E-3</v>
      </c>
      <c r="F7" s="6">
        <v>-5.9999999999999995E-4</v>
      </c>
      <c r="G7" s="6">
        <v>5.9999999999999995E-4</v>
      </c>
      <c r="H7" s="6">
        <v>0</v>
      </c>
      <c r="I7" s="6">
        <v>4.0000000000000002E-4</v>
      </c>
      <c r="J7" s="6"/>
      <c r="K7" s="5"/>
    </row>
    <row r="8" spans="1:11" x14ac:dyDescent="0.3">
      <c r="A8" s="8" t="s">
        <v>160</v>
      </c>
      <c r="B8" s="6">
        <v>4.3E-3</v>
      </c>
      <c r="C8" s="6">
        <v>-4.0000000000000002E-4</v>
      </c>
      <c r="D8" s="6">
        <v>2.0999999999999999E-3</v>
      </c>
      <c r="E8" s="6">
        <v>-5.9999999999999995E-4</v>
      </c>
      <c r="F8" s="6">
        <v>-5.9999999999999995E-4</v>
      </c>
      <c r="G8" s="6">
        <v>5.9999999999999995E-4</v>
      </c>
      <c r="H8" s="6">
        <v>0</v>
      </c>
      <c r="I8" s="6">
        <v>4.0000000000000002E-4</v>
      </c>
      <c r="J8" s="6"/>
      <c r="K8" s="5"/>
    </row>
  </sheetData>
  <mergeCells count="1">
    <mergeCell ref="A1:K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3"/>
  <sheetViews>
    <sheetView workbookViewId="0">
      <pane ySplit="2" topLeftCell="A3" activePane="bottomLeft" state="frozen"/>
      <selection pane="bottomLeft"/>
    </sheetView>
  </sheetViews>
  <sheetFormatPr defaultRowHeight="14.4" x14ac:dyDescent="0.3"/>
  <sheetData>
    <row r="1" spans="1:5" ht="15.6" x14ac:dyDescent="0.3">
      <c r="A1" s="28" t="s">
        <v>164</v>
      </c>
      <c r="B1" s="24"/>
      <c r="C1" s="24"/>
      <c r="D1" s="24"/>
      <c r="E1" s="24"/>
    </row>
    <row r="2" spans="1:5" x14ac:dyDescent="0.3">
      <c r="A2" s="20" t="s">
        <v>165</v>
      </c>
      <c r="B2" s="20" t="s">
        <v>166</v>
      </c>
      <c r="C2" s="20" t="s">
        <v>167</v>
      </c>
      <c r="D2" s="20" t="s">
        <v>168</v>
      </c>
      <c r="E2" s="20" t="s">
        <v>80</v>
      </c>
    </row>
    <row r="3" spans="1:5" x14ac:dyDescent="0.3">
      <c r="A3" t="str">
        <f>'CL - Incurred Loss'!A56</f>
        <v>2015</v>
      </c>
      <c r="B3" s="18">
        <f>'CL - Incurred Loss'!C56</f>
        <v>45008437.700000003</v>
      </c>
      <c r="C3" s="18">
        <f>'CL - Incurred Loss'!E56</f>
        <v>45571043.171250001</v>
      </c>
      <c r="D3" s="18">
        <f t="shared" ref="D3:D12" si="0">C3</f>
        <v>45571043.171250001</v>
      </c>
      <c r="E3" s="18">
        <f t="shared" ref="E3:E12" si="1">D3-B3</f>
        <v>562605.47124999762</v>
      </c>
    </row>
    <row r="4" spans="1:5" x14ac:dyDescent="0.3">
      <c r="A4" t="str">
        <f>'CL - Incurred Loss'!A57</f>
        <v>2016</v>
      </c>
      <c r="B4" s="18">
        <f>'CL - Incurred Loss'!C57</f>
        <v>59922623.840000004</v>
      </c>
      <c r="C4" s="18">
        <f>'CL - Incurred Loss'!E57</f>
        <v>61897224.102087602</v>
      </c>
      <c r="D4" s="18">
        <f t="shared" si="0"/>
        <v>61897224.102087602</v>
      </c>
      <c r="E4" s="18">
        <f t="shared" si="1"/>
        <v>1974600.2620875984</v>
      </c>
    </row>
    <row r="5" spans="1:5" x14ac:dyDescent="0.3">
      <c r="A5" t="str">
        <f>'CL - Incurred Loss'!A58</f>
        <v>2017</v>
      </c>
      <c r="B5" s="18">
        <f>'CL - Incurred Loss'!C58</f>
        <v>35372411.740000002</v>
      </c>
      <c r="C5" s="18">
        <f>'CL - Incurred Loss'!E58</f>
        <v>37751083.439639382</v>
      </c>
      <c r="D5" s="18">
        <f t="shared" si="0"/>
        <v>37751083.439639382</v>
      </c>
      <c r="E5" s="18">
        <f t="shared" si="1"/>
        <v>2378671.69963938</v>
      </c>
    </row>
    <row r="6" spans="1:5" x14ac:dyDescent="0.3">
      <c r="A6" t="str">
        <f>'CL - Incurred Loss'!A59</f>
        <v>2018</v>
      </c>
      <c r="B6" s="18">
        <f>'CL - Incurred Loss'!C59</f>
        <v>55323529.149999999</v>
      </c>
      <c r="C6" s="18">
        <f>'CL - Incurred Loss'!E59</f>
        <v>61547303.116344728</v>
      </c>
      <c r="D6" s="18">
        <f t="shared" si="0"/>
        <v>61547303.116344728</v>
      </c>
      <c r="E6" s="18">
        <f t="shared" si="1"/>
        <v>6223773.9663447291</v>
      </c>
    </row>
    <row r="7" spans="1:5" x14ac:dyDescent="0.3">
      <c r="A7" t="str">
        <f>'CL - Incurred Loss'!A60</f>
        <v>2019</v>
      </c>
      <c r="B7" s="18">
        <f>'CL - Incurred Loss'!C60</f>
        <v>40379699.289999999</v>
      </c>
      <c r="C7" s="18">
        <f>'CL - Incurred Loss'!E60</f>
        <v>47559266.15350163</v>
      </c>
      <c r="D7" s="18">
        <f t="shared" si="0"/>
        <v>47559266.15350163</v>
      </c>
      <c r="E7" s="18">
        <f t="shared" si="1"/>
        <v>7179566.8635016307</v>
      </c>
    </row>
    <row r="8" spans="1:5" x14ac:dyDescent="0.3">
      <c r="A8" t="str">
        <f>'CL - Incurred Loss'!A61</f>
        <v>2020</v>
      </c>
      <c r="B8" s="18">
        <f>'CL - Incurred Loss'!C61</f>
        <v>34927144.100000001</v>
      </c>
      <c r="C8" s="18">
        <f>'CL - Incurred Loss'!E61</f>
        <v>44152598.66635146</v>
      </c>
      <c r="D8" s="18">
        <f t="shared" si="0"/>
        <v>44152598.66635146</v>
      </c>
      <c r="E8" s="18">
        <f t="shared" si="1"/>
        <v>9225454.5663514584</v>
      </c>
    </row>
    <row r="9" spans="1:5" x14ac:dyDescent="0.3">
      <c r="A9" t="str">
        <f>'CL - Incurred Loss'!A62</f>
        <v>2021</v>
      </c>
      <c r="B9" s="18">
        <f>'CL - Incurred Loss'!C62</f>
        <v>55221806.450000003</v>
      </c>
      <c r="C9" s="18">
        <f>'CL - Incurred Loss'!E62</f>
        <v>77682093.329229146</v>
      </c>
      <c r="D9" s="18">
        <f t="shared" si="0"/>
        <v>77682093.329229146</v>
      </c>
      <c r="E9" s="18">
        <f t="shared" si="1"/>
        <v>22460286.879229143</v>
      </c>
    </row>
    <row r="10" spans="1:5" x14ac:dyDescent="0.3">
      <c r="A10" t="str">
        <f>'CL - Incurred Loss'!A63</f>
        <v>2022</v>
      </c>
      <c r="B10" s="18">
        <f>'CL - Incurred Loss'!C63</f>
        <v>27042042.170000002</v>
      </c>
      <c r="C10" s="18">
        <f>'CL - Incurred Loss'!E63</f>
        <v>45637564.029062465</v>
      </c>
      <c r="D10" s="18">
        <f t="shared" si="0"/>
        <v>45637564.029062465</v>
      </c>
      <c r="E10" s="18">
        <f t="shared" si="1"/>
        <v>18595521.859062463</v>
      </c>
    </row>
    <row r="11" spans="1:5" x14ac:dyDescent="0.3">
      <c r="A11" t="str">
        <f>'CL - Incurred Loss'!A64</f>
        <v>2023</v>
      </c>
      <c r="B11" s="18">
        <f>'CL - Incurred Loss'!C64</f>
        <v>21336027.800000001</v>
      </c>
      <c r="C11" s="18">
        <f>'CL - Incurred Loss'!E64</f>
        <v>48099213.747008033</v>
      </c>
      <c r="D11" s="18">
        <f t="shared" si="0"/>
        <v>48099213.747008033</v>
      </c>
      <c r="E11" s="18">
        <f t="shared" si="1"/>
        <v>26763185.947008032</v>
      </c>
    </row>
    <row r="12" spans="1:5" x14ac:dyDescent="0.3">
      <c r="A12" t="str">
        <f>'CL - Incurred Loss'!A65</f>
        <v>2024</v>
      </c>
      <c r="B12" s="18">
        <f>'CL - Incurred Loss'!C65</f>
        <v>15929923.890000001</v>
      </c>
      <c r="C12" s="18">
        <f>'CL - Incurred Loss'!E65</f>
        <v>64878397.677147321</v>
      </c>
      <c r="D12" s="18">
        <f t="shared" si="0"/>
        <v>64878397.677147321</v>
      </c>
      <c r="E12" s="18">
        <f t="shared" si="1"/>
        <v>48948473.787147321</v>
      </c>
    </row>
    <row r="13" spans="1:5" x14ac:dyDescent="0.3">
      <c r="A13" s="21" t="s">
        <v>169</v>
      </c>
      <c r="B13" s="22">
        <f>SUM(B3:B12)</f>
        <v>390463646.13</v>
      </c>
      <c r="C13" s="22">
        <f>SUM(C3:C12)</f>
        <v>534775787.43162173</v>
      </c>
      <c r="D13" s="22">
        <f>SUM(D3:D12)</f>
        <v>534775787.43162173</v>
      </c>
      <c r="E13" s="22">
        <f>SUM(E3:E12)</f>
        <v>144312141.30162176</v>
      </c>
    </row>
  </sheetData>
  <mergeCells count="1">
    <mergeCell ref="A1:E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3"/>
  <sheetViews>
    <sheetView workbookViewId="0">
      <pane ySplit="2" topLeftCell="A3" activePane="bottomLeft" state="frozen"/>
      <selection pane="bottomLeft"/>
    </sheetView>
  </sheetViews>
  <sheetFormatPr defaultRowHeight="14.4" x14ac:dyDescent="0.3"/>
  <sheetData>
    <row r="1" spans="1:5" ht="15.6" x14ac:dyDescent="0.3">
      <c r="A1" s="28" t="s">
        <v>170</v>
      </c>
      <c r="B1" s="24"/>
      <c r="C1" s="24"/>
      <c r="D1" s="24"/>
      <c r="E1" s="24"/>
    </row>
    <row r="2" spans="1:5" x14ac:dyDescent="0.3">
      <c r="A2" s="20" t="s">
        <v>165</v>
      </c>
      <c r="B2" s="20" t="s">
        <v>166</v>
      </c>
      <c r="C2" s="20" t="s">
        <v>167</v>
      </c>
      <c r="D2" s="20" t="s">
        <v>168</v>
      </c>
      <c r="E2" s="20" t="s">
        <v>80</v>
      </c>
    </row>
    <row r="3" spans="1:5" x14ac:dyDescent="0.3">
      <c r="A3" t="str">
        <f>'CL - Paid Loss'!A56</f>
        <v>2015</v>
      </c>
      <c r="B3" s="18">
        <f>'CL - Paid Loss'!C56</f>
        <v>45008437.670000002</v>
      </c>
      <c r="C3" s="18">
        <f>'CL - Paid Loss'!E56</f>
        <v>45863597.98573</v>
      </c>
      <c r="D3" s="18">
        <f t="shared" ref="D3:D12" si="0">C3</f>
        <v>45863597.98573</v>
      </c>
      <c r="E3" s="18">
        <f t="shared" ref="E3:E12" si="1">D3-B3</f>
        <v>855160.31572999805</v>
      </c>
    </row>
    <row r="4" spans="1:5" x14ac:dyDescent="0.3">
      <c r="A4" t="str">
        <f>'CL - Paid Loss'!A57</f>
        <v>2016</v>
      </c>
      <c r="B4" s="18">
        <f>'CL - Paid Loss'!C57</f>
        <v>59267698.340000004</v>
      </c>
      <c r="C4" s="18">
        <f>'CL - Paid Loss'!E57</f>
        <v>63014874.860467173</v>
      </c>
      <c r="D4" s="18">
        <f t="shared" si="0"/>
        <v>63014874.860467173</v>
      </c>
      <c r="E4" s="18">
        <f t="shared" si="1"/>
        <v>3747176.5204671696</v>
      </c>
    </row>
    <row r="5" spans="1:5" x14ac:dyDescent="0.3">
      <c r="A5" t="str">
        <f>'CL - Paid Loss'!A58</f>
        <v>2017</v>
      </c>
      <c r="B5" s="18">
        <f>'CL - Paid Loss'!C58</f>
        <v>34907742.219999999</v>
      </c>
      <c r="C5" s="18">
        <f>'CL - Paid Loss'!E58</f>
        <v>39271138.410796724</v>
      </c>
      <c r="D5" s="18">
        <f t="shared" si="0"/>
        <v>39271138.410796724</v>
      </c>
      <c r="E5" s="18">
        <f t="shared" si="1"/>
        <v>4363396.1907967255</v>
      </c>
    </row>
    <row r="6" spans="1:5" x14ac:dyDescent="0.3">
      <c r="A6" t="str">
        <f>'CL - Paid Loss'!A59</f>
        <v>2018</v>
      </c>
      <c r="B6" s="18">
        <f>'CL - Paid Loss'!C59</f>
        <v>52422359.539999999</v>
      </c>
      <c r="C6" s="18">
        <f>'CL - Paid Loss'!E59</f>
        <v>62525344.805938207</v>
      </c>
      <c r="D6" s="18">
        <f t="shared" si="0"/>
        <v>62525344.805938207</v>
      </c>
      <c r="E6" s="18">
        <f t="shared" si="1"/>
        <v>10102985.265938208</v>
      </c>
    </row>
    <row r="7" spans="1:5" x14ac:dyDescent="0.3">
      <c r="A7" t="str">
        <f>'CL - Paid Loss'!A60</f>
        <v>2019</v>
      </c>
      <c r="B7" s="18">
        <f>'CL - Paid Loss'!C60</f>
        <v>37924647.520000003</v>
      </c>
      <c r="C7" s="18">
        <f>'CL - Paid Loss'!E60</f>
        <v>49114635.016343392</v>
      </c>
      <c r="D7" s="18">
        <f t="shared" si="0"/>
        <v>49114635.016343392</v>
      </c>
      <c r="E7" s="18">
        <f t="shared" si="1"/>
        <v>11189987.496343389</v>
      </c>
    </row>
    <row r="8" spans="1:5" x14ac:dyDescent="0.3">
      <c r="A8" t="str">
        <f>'CL - Paid Loss'!A61</f>
        <v>2020</v>
      </c>
      <c r="B8" s="18">
        <f>'CL - Paid Loss'!C61</f>
        <v>30760499.66</v>
      </c>
      <c r="C8" s="18">
        <f>'CL - Paid Loss'!E61</f>
        <v>44166888.127817601</v>
      </c>
      <c r="D8" s="18">
        <f t="shared" si="0"/>
        <v>44166888.127817601</v>
      </c>
      <c r="E8" s="18">
        <f t="shared" si="1"/>
        <v>13406388.467817601</v>
      </c>
    </row>
    <row r="9" spans="1:5" x14ac:dyDescent="0.3">
      <c r="A9" t="str">
        <f>'CL - Paid Loss'!A62</f>
        <v>2021</v>
      </c>
      <c r="B9" s="18">
        <f>'CL - Paid Loss'!C62</f>
        <v>46187014.539999999</v>
      </c>
      <c r="C9" s="18">
        <f>'CL - Paid Loss'!E62</f>
        <v>76052061.513057604</v>
      </c>
      <c r="D9" s="18">
        <f t="shared" si="0"/>
        <v>76052061.513057604</v>
      </c>
      <c r="E9" s="18">
        <f t="shared" si="1"/>
        <v>29865046.973057605</v>
      </c>
    </row>
    <row r="10" spans="1:5" x14ac:dyDescent="0.3">
      <c r="A10" t="str">
        <f>'CL - Paid Loss'!A63</f>
        <v>2022</v>
      </c>
      <c r="B10" s="18">
        <f>'CL - Paid Loss'!C63</f>
        <v>23102956.850000001</v>
      </c>
      <c r="C10" s="18">
        <f>'CL - Paid Loss'!E63</f>
        <v>46079778.623567484</v>
      </c>
      <c r="D10" s="18">
        <f t="shared" si="0"/>
        <v>46079778.623567484</v>
      </c>
      <c r="E10" s="18">
        <f t="shared" si="1"/>
        <v>22976821.773567483</v>
      </c>
    </row>
    <row r="11" spans="1:5" x14ac:dyDescent="0.3">
      <c r="A11" t="str">
        <f>'CL - Paid Loss'!A64</f>
        <v>2023</v>
      </c>
      <c r="B11" s="18">
        <f>'CL - Paid Loss'!C64</f>
        <v>17919593.719999999</v>
      </c>
      <c r="C11" s="18">
        <f>'CL - Paid Loss'!E64</f>
        <v>48751204.046832249</v>
      </c>
      <c r="D11" s="18">
        <f t="shared" si="0"/>
        <v>48751204.046832249</v>
      </c>
      <c r="E11" s="18">
        <f t="shared" si="1"/>
        <v>30831610.32683225</v>
      </c>
    </row>
    <row r="12" spans="1:5" x14ac:dyDescent="0.3">
      <c r="A12" t="str">
        <f>'CL - Paid Loss'!A65</f>
        <v>2024</v>
      </c>
      <c r="B12" s="18">
        <f>'CL - Paid Loss'!C65</f>
        <v>13261356.27</v>
      </c>
      <c r="C12" s="18">
        <f>'CL - Paid Loss'!E65</f>
        <v>65485581.266409874</v>
      </c>
      <c r="D12" s="18">
        <f t="shared" si="0"/>
        <v>65485581.266409874</v>
      </c>
      <c r="E12" s="18">
        <f t="shared" si="1"/>
        <v>52224224.996409878</v>
      </c>
    </row>
    <row r="13" spans="1:5" x14ac:dyDescent="0.3">
      <c r="A13" s="21" t="s">
        <v>169</v>
      </c>
      <c r="B13" s="22">
        <f>SUM(B3:B12)</f>
        <v>360762306.33000004</v>
      </c>
      <c r="C13" s="22">
        <f>SUM(C3:C12)</f>
        <v>540325104.65696025</v>
      </c>
      <c r="D13" s="22">
        <f>SUM(D3:D12)</f>
        <v>540325104.65696025</v>
      </c>
      <c r="E13" s="22">
        <f>SUM(E3:E12)</f>
        <v>179562798.32696033</v>
      </c>
    </row>
  </sheetData>
  <mergeCells count="1">
    <mergeCell ref="A1:E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3"/>
  <sheetViews>
    <sheetView workbookViewId="0">
      <pane ySplit="2" topLeftCell="A3" activePane="bottomLeft" state="frozen"/>
      <selection pane="bottomLeft"/>
    </sheetView>
  </sheetViews>
  <sheetFormatPr defaultRowHeight="14.4" x14ac:dyDescent="0.3"/>
  <sheetData>
    <row r="1" spans="1:5" ht="15.6" x14ac:dyDescent="0.3">
      <c r="A1" s="28" t="s">
        <v>171</v>
      </c>
      <c r="B1" s="24"/>
      <c r="C1" s="24"/>
      <c r="D1" s="24"/>
      <c r="E1" s="24"/>
    </row>
    <row r="2" spans="1:5" x14ac:dyDescent="0.3">
      <c r="A2" s="20" t="s">
        <v>165</v>
      </c>
      <c r="B2" s="20" t="s">
        <v>166</v>
      </c>
      <c r="C2" s="20" t="s">
        <v>167</v>
      </c>
      <c r="D2" s="20" t="s">
        <v>168</v>
      </c>
      <c r="E2" s="20" t="s">
        <v>80</v>
      </c>
    </row>
    <row r="3" spans="1:5" x14ac:dyDescent="0.3">
      <c r="A3" t="str">
        <f>'CL - Reported Count'!A56</f>
        <v>2015</v>
      </c>
      <c r="B3" s="18">
        <f>'CL - Reported Count'!C56</f>
        <v>4930</v>
      </c>
      <c r="C3" s="18">
        <f>'CL - Reported Count'!E56</f>
        <v>4930</v>
      </c>
      <c r="D3" s="18">
        <f t="shared" ref="D3:D12" si="0">C3</f>
        <v>4930</v>
      </c>
      <c r="E3" s="18">
        <f t="shared" ref="E3:E12" si="1">D3-B3</f>
        <v>0</v>
      </c>
    </row>
    <row r="4" spans="1:5" x14ac:dyDescent="0.3">
      <c r="A4" t="str">
        <f>'CL - Reported Count'!A57</f>
        <v>2016</v>
      </c>
      <c r="B4" s="18">
        <f>'CL - Reported Count'!C57</f>
        <v>4943</v>
      </c>
      <c r="C4" s="18">
        <f>'CL - Reported Count'!E57</f>
        <v>4943</v>
      </c>
      <c r="D4" s="18">
        <f t="shared" si="0"/>
        <v>4943</v>
      </c>
      <c r="E4" s="18">
        <f t="shared" si="1"/>
        <v>0</v>
      </c>
    </row>
    <row r="5" spans="1:5" x14ac:dyDescent="0.3">
      <c r="A5" t="str">
        <f>'CL - Reported Count'!A58</f>
        <v>2017</v>
      </c>
      <c r="B5" s="18">
        <f>'CL - Reported Count'!C58</f>
        <v>4864</v>
      </c>
      <c r="C5" s="18">
        <f>'CL - Reported Count'!E58</f>
        <v>4911.6671999999999</v>
      </c>
      <c r="D5" s="18">
        <f t="shared" si="0"/>
        <v>4911.6671999999999</v>
      </c>
      <c r="E5" s="18">
        <f t="shared" si="1"/>
        <v>47.667199999999866</v>
      </c>
    </row>
    <row r="6" spans="1:5" x14ac:dyDescent="0.3">
      <c r="A6" t="str">
        <f>'CL - Reported Count'!A59</f>
        <v>2018</v>
      </c>
      <c r="B6" s="18">
        <f>'CL - Reported Count'!C59</f>
        <v>4886</v>
      </c>
      <c r="C6" s="18">
        <f>'CL - Reported Count'!E59</f>
        <v>4985.6885693999993</v>
      </c>
      <c r="D6" s="18">
        <f t="shared" si="0"/>
        <v>4985.6885693999993</v>
      </c>
      <c r="E6" s="18">
        <f t="shared" si="1"/>
        <v>99.688569399999324</v>
      </c>
    </row>
    <row r="7" spans="1:5" x14ac:dyDescent="0.3">
      <c r="A7" t="str">
        <f>'CL - Reported Count'!A60</f>
        <v>2019</v>
      </c>
      <c r="B7" s="18">
        <f>'CL - Reported Count'!C60</f>
        <v>4767</v>
      </c>
      <c r="C7" s="18">
        <f>'CL - Reported Count'!E60</f>
        <v>4971.2743580345996</v>
      </c>
      <c r="D7" s="18">
        <f t="shared" si="0"/>
        <v>4971.2743580345996</v>
      </c>
      <c r="E7" s="18">
        <f t="shared" si="1"/>
        <v>204.27435803459957</v>
      </c>
    </row>
    <row r="8" spans="1:5" x14ac:dyDescent="0.3">
      <c r="A8" t="str">
        <f>'CL - Reported Count'!A61</f>
        <v>2020</v>
      </c>
      <c r="B8" s="18">
        <f>'CL - Reported Count'!C61</f>
        <v>4597</v>
      </c>
      <c r="C8" s="18">
        <f>'CL - Reported Count'!E61</f>
        <v>4997.7341144116153</v>
      </c>
      <c r="D8" s="18">
        <f t="shared" si="0"/>
        <v>4997.7341144116153</v>
      </c>
      <c r="E8" s="18">
        <f t="shared" si="1"/>
        <v>400.73411441161534</v>
      </c>
    </row>
    <row r="9" spans="1:5" x14ac:dyDescent="0.3">
      <c r="A9" t="str">
        <f>'CL - Reported Count'!A62</f>
        <v>2021</v>
      </c>
      <c r="B9" s="18">
        <f>'CL - Reported Count'!C62</f>
        <v>4301</v>
      </c>
      <c r="C9" s="18">
        <f>'CL - Reported Count'!E62</f>
        <v>5133.7045539260425</v>
      </c>
      <c r="D9" s="18">
        <f t="shared" si="0"/>
        <v>5133.7045539260425</v>
      </c>
      <c r="E9" s="18">
        <f t="shared" si="1"/>
        <v>832.70455392604254</v>
      </c>
    </row>
    <row r="10" spans="1:5" x14ac:dyDescent="0.3">
      <c r="A10" t="str">
        <f>'CL - Reported Count'!A63</f>
        <v>2022</v>
      </c>
      <c r="B10" s="18">
        <f>'CL - Reported Count'!C63</f>
        <v>3568</v>
      </c>
      <c r="C10" s="18">
        <f>'CL - Reported Count'!E63</f>
        <v>5050.4996285578209</v>
      </c>
      <c r="D10" s="18">
        <f t="shared" si="0"/>
        <v>5050.4996285578209</v>
      </c>
      <c r="E10" s="18">
        <f t="shared" si="1"/>
        <v>1482.4996285578209</v>
      </c>
    </row>
    <row r="11" spans="1:5" x14ac:dyDescent="0.3">
      <c r="A11" t="str">
        <f>'CL - Reported Count'!A64</f>
        <v>2023</v>
      </c>
      <c r="B11" s="18">
        <f>'CL - Reported Count'!C64</f>
        <v>2665</v>
      </c>
      <c r="C11" s="18">
        <f>'CL - Reported Count'!E64</f>
        <v>4877.5893757196818</v>
      </c>
      <c r="D11" s="18">
        <f t="shared" si="0"/>
        <v>4877.5893757196818</v>
      </c>
      <c r="E11" s="18">
        <f t="shared" si="1"/>
        <v>2212.5893757196818</v>
      </c>
    </row>
    <row r="12" spans="1:5" x14ac:dyDescent="0.3">
      <c r="A12" t="str">
        <f>'CL - Reported Count'!A65</f>
        <v>2024</v>
      </c>
      <c r="B12" s="18">
        <f>'CL - Reported Count'!C65</f>
        <v>1712</v>
      </c>
      <c r="C12" s="18">
        <f>'CL - Reported Count'!E65</f>
        <v>5211.1088709118576</v>
      </c>
      <c r="D12" s="18">
        <f t="shared" si="0"/>
        <v>5211.1088709118576</v>
      </c>
      <c r="E12" s="18">
        <f t="shared" si="1"/>
        <v>3499.1088709118576</v>
      </c>
    </row>
    <row r="13" spans="1:5" x14ac:dyDescent="0.3">
      <c r="A13" s="21" t="s">
        <v>169</v>
      </c>
      <c r="B13" s="22">
        <f>SUM(B3:B12)</f>
        <v>41233</v>
      </c>
      <c r="C13" s="22">
        <f>SUM(C3:C12)</f>
        <v>50012.266670961617</v>
      </c>
      <c r="D13" s="22">
        <f>SUM(D3:D12)</f>
        <v>50012.266670961617</v>
      </c>
      <c r="E13" s="22">
        <f>SUM(E3:E12)</f>
        <v>8779.2666709616169</v>
      </c>
    </row>
  </sheetData>
  <mergeCells count="1">
    <mergeCell ref="A1:E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3"/>
  <sheetViews>
    <sheetView workbookViewId="0">
      <pane ySplit="2" topLeftCell="A3" activePane="bottomLeft" state="frozen"/>
      <selection pane="bottomLeft"/>
    </sheetView>
  </sheetViews>
  <sheetFormatPr defaultRowHeight="14.4" x14ac:dyDescent="0.3"/>
  <sheetData>
    <row r="1" spans="1:5" ht="15.6" x14ac:dyDescent="0.3">
      <c r="A1" s="28" t="s">
        <v>172</v>
      </c>
      <c r="B1" s="24"/>
      <c r="C1" s="24"/>
      <c r="D1" s="24"/>
      <c r="E1" s="24"/>
    </row>
    <row r="2" spans="1:5" x14ac:dyDescent="0.3">
      <c r="A2" s="20" t="s">
        <v>165</v>
      </c>
      <c r="B2" s="20" t="s">
        <v>166</v>
      </c>
      <c r="C2" s="20" t="s">
        <v>167</v>
      </c>
      <c r="D2" s="20" t="s">
        <v>168</v>
      </c>
      <c r="E2" s="20" t="s">
        <v>80</v>
      </c>
    </row>
    <row r="3" spans="1:5" x14ac:dyDescent="0.3">
      <c r="A3" t="str">
        <f>'CL - Closed Count'!A56</f>
        <v>2015</v>
      </c>
      <c r="B3" s="18">
        <f>'CL - Closed Count'!C56</f>
        <v>4931</v>
      </c>
      <c r="C3" s="18">
        <f>'CL - Closed Count'!E56</f>
        <v>4931</v>
      </c>
      <c r="D3" s="18">
        <f t="shared" ref="D3:D12" si="0">C3</f>
        <v>4931</v>
      </c>
      <c r="E3" s="18">
        <f t="shared" ref="E3:E12" si="1">D3-B3</f>
        <v>0</v>
      </c>
    </row>
    <row r="4" spans="1:5" x14ac:dyDescent="0.3">
      <c r="A4" t="str">
        <f>'CL - Closed Count'!A57</f>
        <v>2016</v>
      </c>
      <c r="B4" s="18">
        <f>'CL - Closed Count'!C57</f>
        <v>4888</v>
      </c>
      <c r="C4" s="18">
        <f>'CL - Closed Count'!E57</f>
        <v>4935.9023999999999</v>
      </c>
      <c r="D4" s="18">
        <f t="shared" si="0"/>
        <v>4935.9023999999999</v>
      </c>
      <c r="E4" s="18">
        <f t="shared" si="1"/>
        <v>47.902399999999943</v>
      </c>
    </row>
    <row r="5" spans="1:5" x14ac:dyDescent="0.3">
      <c r="A5" t="str">
        <f>'CL - Closed Count'!A58</f>
        <v>2017</v>
      </c>
      <c r="B5" s="18">
        <f>'CL - Closed Count'!C58</f>
        <v>4704</v>
      </c>
      <c r="C5" s="18">
        <f>'CL - Closed Count'!E58</f>
        <v>4895.9272454400007</v>
      </c>
      <c r="D5" s="18">
        <f t="shared" si="0"/>
        <v>4895.9272454400007</v>
      </c>
      <c r="E5" s="18">
        <f t="shared" si="1"/>
        <v>191.92724544000066</v>
      </c>
    </row>
    <row r="6" spans="1:5" x14ac:dyDescent="0.3">
      <c r="A6" t="str">
        <f>'CL - Closed Count'!A59</f>
        <v>2018</v>
      </c>
      <c r="B6" s="18">
        <f>'CL - Closed Count'!C59</f>
        <v>4672</v>
      </c>
      <c r="C6" s="18">
        <f>'CL - Closed Count'!E59</f>
        <v>5020.6568205024005</v>
      </c>
      <c r="D6" s="18">
        <f t="shared" si="0"/>
        <v>5020.6568205024005</v>
      </c>
      <c r="E6" s="18">
        <f t="shared" si="1"/>
        <v>348.65682050240048</v>
      </c>
    </row>
    <row r="7" spans="1:5" x14ac:dyDescent="0.3">
      <c r="A7" t="str">
        <f>'CL - Closed Count'!A60</f>
        <v>2019</v>
      </c>
      <c r="B7" s="18">
        <f>'CL - Closed Count'!C60</f>
        <v>4355</v>
      </c>
      <c r="C7" s="18">
        <f>'CL - Closed Count'!E60</f>
        <v>4958.4601027950748</v>
      </c>
      <c r="D7" s="18">
        <f t="shared" si="0"/>
        <v>4958.4601027950748</v>
      </c>
      <c r="E7" s="18">
        <f t="shared" si="1"/>
        <v>603.46010279507482</v>
      </c>
    </row>
    <row r="8" spans="1:5" x14ac:dyDescent="0.3">
      <c r="A8" t="str">
        <f>'CL - Closed Count'!A61</f>
        <v>2020</v>
      </c>
      <c r="B8" s="18">
        <f>'CL - Closed Count'!C61</f>
        <v>4018</v>
      </c>
      <c r="C8" s="18">
        <f>'CL - Closed Count'!E61</f>
        <v>4968.1925751162444</v>
      </c>
      <c r="D8" s="18">
        <f t="shared" si="0"/>
        <v>4968.1925751162444</v>
      </c>
      <c r="E8" s="18">
        <f t="shared" si="1"/>
        <v>950.19257511624437</v>
      </c>
    </row>
    <row r="9" spans="1:5" x14ac:dyDescent="0.3">
      <c r="A9" t="str">
        <f>'CL - Closed Count'!A62</f>
        <v>2021</v>
      </c>
      <c r="B9" s="18">
        <f>'CL - Closed Count'!C62</f>
        <v>3810</v>
      </c>
      <c r="C9" s="18">
        <f>'CL - Closed Count'!E62</f>
        <v>5340.8651329963604</v>
      </c>
      <c r="D9" s="18">
        <f t="shared" si="0"/>
        <v>5340.8651329963604</v>
      </c>
      <c r="E9" s="18">
        <f t="shared" si="1"/>
        <v>1530.8651329963604</v>
      </c>
    </row>
    <row r="10" spans="1:5" x14ac:dyDescent="0.3">
      <c r="A10" t="str">
        <f>'CL - Closed Count'!A63</f>
        <v>2022</v>
      </c>
      <c r="B10" s="18">
        <f>'CL - Closed Count'!C63</f>
        <v>3118</v>
      </c>
      <c r="C10" s="18">
        <f>'CL - Closed Count'!E63</f>
        <v>5225.3132028708951</v>
      </c>
      <c r="D10" s="18">
        <f t="shared" si="0"/>
        <v>5225.3132028708951</v>
      </c>
      <c r="E10" s="18">
        <f t="shared" si="1"/>
        <v>2107.3132028708951</v>
      </c>
    </row>
    <row r="11" spans="1:5" x14ac:dyDescent="0.3">
      <c r="A11" t="str">
        <f>'CL - Closed Count'!A64</f>
        <v>2023</v>
      </c>
      <c r="B11" s="18">
        <f>'CL - Closed Count'!C64</f>
        <v>2214</v>
      </c>
      <c r="C11" s="18">
        <f>'CL - Closed Count'!E64</f>
        <v>4803.407538798835</v>
      </c>
      <c r="D11" s="18">
        <f t="shared" si="0"/>
        <v>4803.407538798835</v>
      </c>
      <c r="E11" s="18">
        <f t="shared" si="1"/>
        <v>2589.407538798835</v>
      </c>
    </row>
    <row r="12" spans="1:5" x14ac:dyDescent="0.3">
      <c r="A12" t="str">
        <f>'CL - Closed Count'!A65</f>
        <v>2024</v>
      </c>
      <c r="B12" s="18">
        <f>'CL - Closed Count'!C65</f>
        <v>1306</v>
      </c>
      <c r="C12" s="18">
        <f>'CL - Closed Count'!E65</f>
        <v>4602.3669259457347</v>
      </c>
      <c r="D12" s="18">
        <f t="shared" si="0"/>
        <v>4602.3669259457347</v>
      </c>
      <c r="E12" s="18">
        <f t="shared" si="1"/>
        <v>3296.3669259457347</v>
      </c>
    </row>
    <row r="13" spans="1:5" x14ac:dyDescent="0.3">
      <c r="A13" s="21" t="s">
        <v>169</v>
      </c>
      <c r="B13" s="22">
        <f>SUM(B3:B12)</f>
        <v>38016</v>
      </c>
      <c r="C13" s="22">
        <f>SUM(C3:C12)</f>
        <v>49682.091944465545</v>
      </c>
      <c r="D13" s="22">
        <f>SUM(D3:D12)</f>
        <v>49682.091944465545</v>
      </c>
      <c r="E13" s="22">
        <f>SUM(E3:E12)</f>
        <v>11666.091944465545</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CL - Closed Count</vt:lpstr>
      <vt:lpstr>CL - Incurred Loss</vt:lpstr>
      <vt:lpstr>CL - Paid Loss</vt:lpstr>
      <vt:lpstr>CL - Reported Count</vt:lpstr>
      <vt:lpstr>CL - Diag - Rptd Claims</vt:lpstr>
      <vt:lpstr>CL - Diag - Inc Severity</vt:lpstr>
      <vt:lpstr>CL - Diag - Paid Severity</vt:lpstr>
      <vt:lpstr>CL - Diag - Paid to Incurred</vt:lpstr>
      <vt:lpstr>CL - Diag - Open Counts</vt:lpstr>
      <vt:lpstr>CL - Diag - Avg Case Rsrv</vt:lpstr>
      <vt:lpstr>CL - Diag - Clm Closure Rt</vt:lpstr>
      <vt:lpstr>CL - Diag - Incr Inc Svty</vt:lpstr>
      <vt:lpstr>CL - Diag - Incr Paid Svty</vt:lpstr>
      <vt:lpstr>CL - Diag - Incr Closure Rt</vt:lpstr>
      <vt:lpstr>CL - Closed Count - CV &amp; Slopes</vt:lpstr>
      <vt:lpstr>CL - Incurred Loss - CV &amp; Slope</vt:lpstr>
      <vt:lpstr>CL - Paid Loss - CV &amp; Slopes</vt:lpstr>
      <vt:lpstr>CL - Reported Count - CV &amp; Slop</vt:lpstr>
      <vt:lpstr>CL - Sel Ults - Incurred Loss</vt:lpstr>
      <vt:lpstr>CL - Sel Ults - Paid Loss</vt:lpstr>
      <vt:lpstr>CL - Sel Ults - Reported Count</vt:lpstr>
      <vt:lpstr>CL - Sel Ults - Closed 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Tarantino</cp:lastModifiedBy>
  <dcterms:created xsi:type="dcterms:W3CDTF">2026-04-17T21:19:29Z</dcterms:created>
  <dcterms:modified xsi:type="dcterms:W3CDTF">2026-04-17T21:38:38Z</dcterms:modified>
</cp:coreProperties>
</file>