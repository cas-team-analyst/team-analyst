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oss Selection" sheetId="1" r:id="rId1"/>
    <sheet name="Incurred CL" sheetId="2" r:id="rId2"/>
    <sheet name="Paid CL" sheetId="3" r:id="rId3"/>
    <sheet name="Incurred BF" sheetId="4" r:id="rId4"/>
    <sheet name="Paid BF" sheetId="5" r:id="rId5"/>
    <sheet name="IE" sheetId="6" r:id="rId6"/>
    <sheet name="Count Selection" sheetId="7" r:id="rId7"/>
    <sheet name="Closed CL" sheetId="8" r:id="rId8"/>
    <sheet name="Reported CL" sheetId="9" r:id="rId9"/>
    <sheet name="Reported BF" sheetId="10" r:id="rId10"/>
    <sheet name="Incurred" sheetId="11" r:id="rId11"/>
    <sheet name="Paid" sheetId="12" r:id="rId12"/>
    <sheet name="Reported" sheetId="13" r:id="rId13"/>
    <sheet name="Exposure" sheetId="14" r:id="rId14"/>
    <sheet name="Summary Diagnostics" sheetId="15" r:id="rId15"/>
    <sheet name="Notes" sheetId="16" r:id="rId16"/>
  </sheets>
  <calcPr calcId="124519" fullCalcOnLoad="1"/>
</workbook>
</file>

<file path=xl/sharedStrings.xml><?xml version="1.0" encoding="utf-8"?>
<sst xmlns="http://schemas.openxmlformats.org/spreadsheetml/2006/main" count="861" uniqueCount="139">
  <si>
    <t>Accident Period</t>
  </si>
  <si>
    <t>Current Age</t>
  </si>
  <si>
    <t>Incurred</t>
  </si>
  <si>
    <t>Paid</t>
  </si>
  <si>
    <t>Incurred CL</t>
  </si>
  <si>
    <t>Paid CL</t>
  </si>
  <si>
    <t>Initial Expected</t>
  </si>
  <si>
    <t>Incurred BF</t>
  </si>
  <si>
    <t>Paid BF</t>
  </si>
  <si>
    <t>Selected Ultimate</t>
  </si>
  <si>
    <t>IBNR</t>
  </si>
  <si>
    <t>Unpaid</t>
  </si>
  <si>
    <t>Selected Reasoning</t>
  </si>
  <si>
    <t>287</t>
  </si>
  <si>
    <t>275</t>
  </si>
  <si>
    <t>263</t>
  </si>
  <si>
    <t>251</t>
  </si>
  <si>
    <t>239</t>
  </si>
  <si>
    <t>227</t>
  </si>
  <si>
    <t>215</t>
  </si>
  <si>
    <t>203</t>
  </si>
  <si>
    <t>191</t>
  </si>
  <si>
    <t>179</t>
  </si>
  <si>
    <t>167</t>
  </si>
  <si>
    <t>155</t>
  </si>
  <si>
    <t>143</t>
  </si>
  <si>
    <t>131</t>
  </si>
  <si>
    <t>119</t>
  </si>
  <si>
    <t>107</t>
  </si>
  <si>
    <t>95</t>
  </si>
  <si>
    <t>83</t>
  </si>
  <si>
    <t>71</t>
  </si>
  <si>
    <t>59</t>
  </si>
  <si>
    <t>47</t>
  </si>
  <si>
    <t>35</t>
  </si>
  <si>
    <t>23</t>
  </si>
  <si>
    <t>11</t>
  </si>
  <si>
    <t>Total</t>
  </si>
  <si>
    <t>CDF</t>
  </si>
  <si>
    <t>Ultimate</t>
  </si>
  <si>
    <t>% Unreported</t>
  </si>
  <si>
    <t>Unreported</t>
  </si>
  <si>
    <t>Exposure</t>
  </si>
  <si>
    <t>IE Ultimate</t>
  </si>
  <si>
    <t>Selected Loss Rate</t>
  </si>
  <si>
    <t>Reported</t>
  </si>
  <si>
    <t>Reported CL</t>
  </si>
  <si>
    <t>Reported BF</t>
  </si>
  <si>
    <t>Closed</t>
  </si>
  <si>
    <t>None</t>
  </si>
  <si>
    <t>Period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</si>
  <si>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</si>
  <si>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</si>
  <si>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</si>
  <si>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</si>
  <si>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</si>
  <si>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</si>
  <si>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</si>
  <si>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</si>
  <si>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</si>
  <si>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</si>
  <si>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</si>
  <si>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</si>
  <si>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</si>
  <si>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</si>
  <si>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</si>
  <si>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</si>
  <si>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</si>
  <si>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</si>
  <si>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</si>
  <si>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</si>
  <si>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</si>
  <si>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</si>
  <si>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</si>
  <si>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</si>
  <si>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11-23</t>
  </si>
  <si>
    <t>23-35</t>
  </si>
  <si>
    <t>35-47</t>
  </si>
  <si>
    <t>47-59</t>
  </si>
  <si>
    <t>59-71</t>
  </si>
  <si>
    <t>71-83</t>
  </si>
  <si>
    <t>83-95</t>
  </si>
  <si>
    <t>95-107</t>
  </si>
  <si>
    <t>107-119</t>
  </si>
  <si>
    <t>119-131</t>
  </si>
  <si>
    <t>131-143</t>
  </si>
  <si>
    <t>143-155</t>
  </si>
  <si>
    <t>155-167</t>
  </si>
  <si>
    <t>167-179</t>
  </si>
  <si>
    <t>179-191</t>
  </si>
  <si>
    <t>191-203</t>
  </si>
  <si>
    <t>203-215</t>
  </si>
  <si>
    <t>215-227</t>
  </si>
  <si>
    <t>227-239</t>
  </si>
  <si>
    <t>239-251</t>
  </si>
  <si>
    <t>251-263</t>
  </si>
  <si>
    <t>263-275</t>
  </si>
  <si>
    <t>275-287</t>
  </si>
  <si>
    <t>Metric</t>
  </si>
  <si>
    <t>Tail</t>
  </si>
  <si>
    <t>simple_all</t>
  </si>
  <si>
    <t>weighted_all</t>
  </si>
  <si>
    <t>exclude_high_low_all</t>
  </si>
  <si>
    <t>simple_3yr</t>
  </si>
  <si>
    <t>weighted_3yr</t>
  </si>
  <si>
    <t>exclude_high_low_3yr</t>
  </si>
  <si>
    <t>simple_5yr</t>
  </si>
  <si>
    <t>weighted_5yr</t>
  </si>
  <si>
    <t>exclude_high_low_5yr</t>
  </si>
  <si>
    <t>simple_10yr</t>
  </si>
  <si>
    <t>weighted_10yr</t>
  </si>
  <si>
    <t>exclude_high_low_10yr</t>
  </si>
  <si>
    <t>Selected</t>
  </si>
  <si>
    <t>Post-Method Series Diagnostics</t>
  </si>
  <si>
    <t>Ultimate Severity</t>
  </si>
  <si>
    <t>Ultimate Loss Rate</t>
  </si>
  <si>
    <t>Ultimate Frequency</t>
  </si>
  <si>
    <t>Reserve Analysis - Complete Analysis</t>
  </si>
  <si>
    <t>Workbook Information</t>
  </si>
  <si>
    <t>Created:</t>
  </si>
  <si>
    <t>April 28, 2026 01:20 PM</t>
  </si>
  <si>
    <t>Description:</t>
  </si>
  <si>
    <t>Complete actuarial reserve analysis combining selections, ultimates, and diagnostics</t>
  </si>
  <si>
    <t>Table of Contents</t>
  </si>
  <si>
    <t>Name</t>
  </si>
  <si>
    <t>Description</t>
  </si>
  <si>
    <t>Loss Selection</t>
  </si>
  <si>
    <t>Actuary-selected ultimates for loss measures. Compare CL/BF/IE methods and record final selection.</t>
  </si>
  <si>
    <t>Chain Ladder method results. Ultimate = Actual × CDF. IBNR = Ultimate − Actual. Unpaid = Ultimate − latest paid (proxy measure).</t>
  </si>
  <si>
    <t>Bornhuetter-Ferguson method. Blends Initial Expected with emerged experience. % Unreported = 1 − 1/CDF. Ultimate = (IE × % Unreported) + Actual.</t>
  </si>
  <si>
    <t>IE</t>
  </si>
  <si>
    <t>Analysis results</t>
  </si>
  <si>
    <t>Count Selection</t>
  </si>
  <si>
    <t>Closed CL</t>
  </si>
  <si>
    <t>Incurred development triangle with age-to-age factors, weighted/simple averages, and selected LDFs.</t>
  </si>
  <si>
    <t>Paid development triangle with age-to-age factors, weighted/simple averages, and selected LDFs.</t>
  </si>
  <si>
    <t>Reported development triangle with age-to-age factors, weighted/simple averages, and selected LDFs.</t>
  </si>
  <si>
    <t>Exposure development triangle with age-to-age factors, weighted/simple averages, and selected LDFs.</t>
  </si>
  <si>
    <t>Summary Diagnostics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</si>
</sst>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000"/>
    <numFmt numFmtId="166" formatCode="0.00%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2" width="18.7109375" customWidth="1"/>
    <col min="13" max="13" width="4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s="2">
        <v>2001</v>
      </c>
      <c r="B2" s="2" t="s">
        <v>13</v>
      </c>
      <c r="C2" s="2">
        <f>'Incurred CL'!C2</f>
        <v>3163773.699688</v>
      </c>
      <c r="D2" s="2">
        <f>'Paid CL'!C2</f>
        <v>3042294.6622760003</v>
      </c>
      <c r="E2" s="2">
        <f>'Incurred CL'!E2</f>
        <v>3231957.295999402</v>
      </c>
      <c r="F2" s="2">
        <f>'Paid CL'!E2</f>
        <v>3054159.6114588766</v>
      </c>
      <c r="G2" s="2">
        <f>'IE'!D2</f>
        <v>3163773.699688</v>
      </c>
      <c r="H2" s="2">
        <f>'Incurred BF'!H2</f>
        <v>3230518.847907371</v>
      </c>
      <c r="I2" s="2">
        <f>'Paid BF'!H2</f>
        <v>3054585.4456496267</v>
      </c>
      <c r="J2" s="2">
        <f>IF('C:\Users\super\Documents\actuarial\cas-rfp\spec-only\team-analyst\sample-data\sample-run\selections\[Ultimates.xlsx]Losses'!O2&lt;&gt;"",'C:\Users\super\Documents\actuarial\cas-rfp\spec-only\team-analyst\sample-data\sample-run\selections\[Ultimates.xlsx]Losses'!O2,'C:\Users\super\Documents\actuarial\cas-rfp\spec-only\team-analyst\sample-data\sample-run\selections\[Ultimates.xlsx]Losses'!K2)</f>
        <v>3054159.61</v>
      </c>
      <c r="K2" s="2">
        <f>J2-C2</f>
        <v>-109614.08968800027</v>
      </c>
      <c r="L2" s="2">
        <f>J2-D2</f>
        <v>11864.94772399962</v>
      </c>
      <c r="M2" s="3" t="str">
        <f>IF('C:\Users\super\Documents\actuarial\cas-rfp\spec-only\team-analyst\sample-data\sample-run\selections\[Ultimates.xlsx]Losses'!O2&lt;&gt;"",'C:\Users\super\Documents\actuarial\cas-rfp\spec-only\team-analyst\sample-data\sample-run\selections\[Ultimates.xlsx]Losses'!P2,'C:\Users\super\Documents\actuarial\cas-rfp\spec-only\team-analyst\sample-data\sample-run\selections\[Ultimates.xlsx]Losses'!L2)</f>
        <v>Paid Loss selected. Paid CL ultimate of 3,054,159.61. Year is at extreme tail maturity (287 months, 100% developed). Incurred IE disqualified (negative IBNR -121,479). Paid CL is primary method for fully-developed tail periods; closure rate stable (CDF 1.0039). Convergence not applicableâ€”Paid CL is sole viable method at this age.</v>
      </c>
    </row>
    <row r="3" spans="1:13">
      <c r="A3" s="2">
        <v>2002</v>
      </c>
      <c r="B3" s="2" t="s">
        <v>14</v>
      </c>
      <c r="C3" s="2">
        <f>'Incurred CL'!C3</f>
        <v>2327733.756319999</v>
      </c>
      <c r="D3" s="2">
        <f>'Paid CL'!C3</f>
        <v>2199646.2280880003</v>
      </c>
      <c r="E3" s="2">
        <f>'Incurred CL'!E3</f>
        <v>2406196.567468195</v>
      </c>
      <c r="F3" s="2">
        <f>'Paid CL'!E3</f>
        <v>2216836.9252862157</v>
      </c>
      <c r="G3" s="2">
        <f>'IE'!D3</f>
        <v>2904344.2565999995</v>
      </c>
      <c r="H3" s="2">
        <f>'Incurred BF'!H3</f>
        <v>2422440.4889269415</v>
      </c>
      <c r="I3" s="2">
        <f>'Paid BF'!H3</f>
        <v>2222168.2738483762</v>
      </c>
      <c r="J3" s="2">
        <f>IF('C:\Users\super\Documents\actuarial\cas-rfp\spec-only\team-analyst\sample-data\sample-run\selections\[Ultimates.xlsx]Losses'!O3&lt;&gt;"",'C:\Users\super\Documents\actuarial\cas-rfp\spec-only\team-analyst\sample-data\sample-run\selections\[Ultimates.xlsx]Losses'!O3,'C:\Users\super\Documents\actuarial\cas-rfp\spec-only\team-analyst\sample-data\sample-run\selections\[Ultimates.xlsx]Losses'!K3)</f>
        <v>2216836.93</v>
      </c>
      <c r="K3" s="2">
        <f>J3-C3</f>
        <v>-110896.82631999906</v>
      </c>
      <c r="L3" s="2">
        <f>J3-D3</f>
        <v>17190.701911999844</v>
      </c>
      <c r="M3" s="3" t="str">
        <f>IF('C:\Users\super\Documents\actuarial\cas-rfp\spec-only\team-analyst\sample-data\sample-run\selections\[Ultimates.xlsx]Losses'!O3&lt;&gt;"",'C:\Users\super\Documents\actuarial\cas-rfp\spec-only\team-analyst\sample-data\sample-run\selections\[Ultimates.xlsx]Losses'!P3,'C:\Users\super\Documents\actuarial\cas-rfp\spec-only\team-analyst\sample-data\sample-run\selections\[Ultimates.xlsx]Losses'!L3)</f>
        <v>Paid Loss selected. Paid CL ultimate of 2,216,836.93. Age 275 months, 99.2% developed. Incurred IE disqualified (negative IBNR -704,698). Paid CL is standard for tail years. Paid development very stable (CDF 1.0078). Incurred CL secondary (2,406,196.57) but Paid CL preferred at this extreme maturity.</v>
      </c>
    </row>
    <row r="4" spans="1:13">
      <c r="A4" s="2">
        <v>2003</v>
      </c>
      <c r="B4" s="2" t="s">
        <v>15</v>
      </c>
      <c r="C4" s="2">
        <f>'Incurred CL'!C4</f>
        <v>1778091.5758439994</v>
      </c>
      <c r="D4" s="2">
        <f>'Paid CL'!C4</f>
        <v>1778091.5758439994</v>
      </c>
      <c r="E4" s="2">
        <f>'Incurred CL'!E4</f>
        <v>1838027.1518697597</v>
      </c>
      <c r="F4" s="2">
        <f>'Paid CL'!E4</f>
        <v>1805248.4441467738</v>
      </c>
      <c r="G4" s="2">
        <f>'IE'!D4</f>
        <v>2633272.1256</v>
      </c>
      <c r="H4" s="2">
        <f>'Incurred BF'!H4</f>
        <v>1863959.0133951055</v>
      </c>
      <c r="I4" s="2">
        <f>'Paid BF'!H4</f>
        <v>1817704.6410440553</v>
      </c>
      <c r="J4" s="2">
        <f>IF('C:\Users\super\Documents\actuarial\cas-rfp\spec-only\team-analyst\sample-data\sample-run\selections\[Ultimates.xlsx]Losses'!O4&lt;&gt;"",'C:\Users\super\Documents\actuarial\cas-rfp\spec-only\team-analyst\sample-data\sample-run\selections\[Ultimates.xlsx]Losses'!O4,'C:\Users\super\Documents\actuarial\cas-rfp\spec-only\team-analyst\sample-data\sample-run\selections\[Ultimates.xlsx]Losses'!K4)</f>
        <v>1805248.44</v>
      </c>
      <c r="K4" s="2">
        <f>J4-C4</f>
        <v>27156.86415600055</v>
      </c>
      <c r="L4" s="2">
        <f>J4-D4</f>
        <v>27156.86415600055</v>
      </c>
      <c r="M4" s="3" t="str">
        <f>IF('C:\Users\super\Documents\actuarial\cas-rfp\spec-only\team-analyst\sample-data\sample-run\selections\[Ultimates.xlsx]Losses'!O4&lt;&gt;"",'C:\Users\super\Documents\actuarial\cas-rfp\spec-only\team-analyst\sample-data\sample-run\selections\[Ultimates.xlsx]Losses'!P4,'C:\Users\super\Documents\actuarial\cas-rfp\spec-only\team-analyst\sample-data\sample-run\selections\[Ultimates.xlsx]Losses'!L4)</f>
        <v>Paid Loss selected. Paid CL ultimate of 1,805,248.44. Age 263 months (&gt;20 years). Incurred IE disqualified (negative IBNR -855,180). Paid CL (1,805,248.44) vs. Incurred CL (1,838,027.15): difference 1.8%. Paid CL preferred for tail maturity with stable closure rate (CDF 1.0153).</v>
      </c>
    </row>
    <row r="5" spans="1:13">
      <c r="A5" s="2">
        <v>2004</v>
      </c>
      <c r="B5" s="2" t="s">
        <v>16</v>
      </c>
      <c r="C5" s="2">
        <f>'Incurred CL'!C5</f>
        <v>1122614.7306000004</v>
      </c>
      <c r="D5" s="2">
        <f>'Paid CL'!C5</f>
        <v>1122614.7306000004</v>
      </c>
      <c r="E5" s="2">
        <f>'Incurred CL'!E5</f>
        <v>1180647.544279885</v>
      </c>
      <c r="F5" s="2">
        <f>'Paid CL'!E5</f>
        <v>1146826.988085745</v>
      </c>
      <c r="G5" s="2">
        <f>'IE'!D5</f>
        <v>1678710.98</v>
      </c>
      <c r="H5" s="2">
        <f>'Incurred BF'!H5</f>
        <v>1205129.0440347828</v>
      </c>
      <c r="I5" s="2">
        <f>'Paid BF'!H5</f>
        <v>1158056.3298247892</v>
      </c>
      <c r="J5" s="2">
        <f>IF('C:\Users\super\Documents\actuarial\cas-rfp\spec-only\team-analyst\sample-data\sample-run\selections\[Ultimates.xlsx]Losses'!O5&lt;&gt;"",'C:\Users\super\Documents\actuarial\cas-rfp\spec-only\team-analyst\sample-data\sample-run\selections\[Ultimates.xlsx]Losses'!O5,'C:\Users\super\Documents\actuarial\cas-rfp\spec-only\team-analyst\sample-data\sample-run\selections\[Ultimates.xlsx]Losses'!K5)</f>
        <v>1146826.99</v>
      </c>
      <c r="K5" s="2">
        <f>J5-C5</f>
        <v>24212.25939999963</v>
      </c>
      <c r="L5" s="2">
        <f>J5-D5</f>
        <v>24212.25939999963</v>
      </c>
      <c r="M5" s="3" t="str">
        <f>IF('C:\Users\super\Documents\actuarial\cas-rfp\spec-only\team-analyst\sample-data\sample-run\selections\[Ultimates.xlsx]Losses'!O5&lt;&gt;"",'C:\Users\super\Documents\actuarial\cas-rfp\spec-only\team-analyst\sample-data\sample-run\selections\[Ultimates.xlsx]Losses'!P5,'C:\Users\super\Documents\actuarial\cas-rfp\spec-only\team-analyst\sample-data\sample-run\selections\[Ultimates.xlsx]Losses'!L5)</f>
        <v>Paid Loss selected. Paid CL ultimate of 1,146,826.99. Age 251 months. Incurred IE disqualified (negative IBNR -556,096). Paid CL (1,146,826.99) vs. Incurred CL (1,180,647.54): 2.9% difference. Paid CL is primary for late tail; stable closure dynamics (CDF 1.0216).</v>
      </c>
    </row>
    <row r="6" spans="1:13">
      <c r="A6" s="2">
        <v>2005</v>
      </c>
      <c r="B6" s="2" t="s">
        <v>17</v>
      </c>
      <c r="C6" s="2">
        <f>'Incurred CL'!C6</f>
        <v>2242149.132116</v>
      </c>
      <c r="D6" s="2">
        <f>'Paid CL'!C6</f>
        <v>2242149.132116</v>
      </c>
      <c r="E6" s="2">
        <f>'Incurred CL'!E6</f>
        <v>2374326.1070500603</v>
      </c>
      <c r="F6" s="2">
        <f>'Paid CL'!E6</f>
        <v>2302875.9503061757</v>
      </c>
      <c r="G6" s="2">
        <f>'IE'!D6</f>
        <v>1712285.2</v>
      </c>
      <c r="H6" s="2">
        <f>'Incurred BF'!H6</f>
        <v>2337470.78034635</v>
      </c>
      <c r="I6" s="2">
        <f>'Paid BF'!H6</f>
        <v>2287302.0775086097</v>
      </c>
      <c r="J6" s="2">
        <f>IF('C:\Users\super\Documents\actuarial\cas-rfp\spec-only\team-analyst\sample-data\sample-run\selections\[Ultimates.xlsx]Losses'!O6&lt;&gt;"",'C:\Users\super\Documents\actuarial\cas-rfp\spec-only\team-analyst\sample-data\sample-run\selections\[Ultimates.xlsx]Losses'!O6,'C:\Users\super\Documents\actuarial\cas-rfp\spec-only\team-analyst\sample-data\sample-run\selections\[Ultimates.xlsx]Losses'!K6)</f>
        <v>2302875.95</v>
      </c>
      <c r="K6" s="2">
        <f>J6-C6</f>
        <v>60726.81788400002</v>
      </c>
      <c r="L6" s="2">
        <f>J6-D6</f>
        <v>60726.81788400002</v>
      </c>
      <c r="M6" s="3" t="str">
        <f>IF('C:\Users\super\Documents\actuarial\cas-rfp\spec-only\team-analyst\sample-data\sample-run\selections\[Ultimates.xlsx]Losses'!O6&lt;&gt;"",'C:\Users\super\Documents\actuarial\cas-rfp\spec-only\team-analyst\sample-data\sample-run\selections\[Ultimates.xlsx]Losses'!P6,'C:\Users\super\Documents\actuarial\cas-rfp\spec-only\team-analyst\sample-data\sample-run\selections\[Ultimates.xlsx]Losses'!L6)</f>
        <v>Paid Loss selected. Paid CL ultimate of 2,302,875.95. Age 239 months. Incurred IE disqualified (negative IBNR of -529,863 is implausible; case adequacy assumption broken). Paid CL (2,302,875.95) vs. Incurred CL (2,374,326.11): 3.0% difference. Paid CL preferred for stability; Incurred methods unreliable.</v>
      </c>
    </row>
    <row r="7" spans="1:13">
      <c r="A7" s="2">
        <v>2006</v>
      </c>
      <c r="B7" s="2" t="s">
        <v>18</v>
      </c>
      <c r="C7" s="2">
        <f>'Incurred CL'!C7</f>
        <v>1517636.7926600005</v>
      </c>
      <c r="D7" s="2">
        <f>'Paid CL'!C7</f>
        <v>1462141.0278560002</v>
      </c>
      <c r="E7" s="2">
        <f>'Incurred CL'!E7</f>
        <v>1621406.2442207714</v>
      </c>
      <c r="F7" s="2">
        <f>'Paid CL'!E7</f>
        <v>1505496.3044953297</v>
      </c>
      <c r="G7" s="2">
        <f>'IE'!D7</f>
        <v>1746530.9035</v>
      </c>
      <c r="H7" s="2">
        <f>'Incurred BF'!H7</f>
        <v>1629414.1801198798</v>
      </c>
      <c r="I7" s="2">
        <f>'Paid BF'!H7</f>
        <v>1512437.6179268498</v>
      </c>
      <c r="J7" s="2">
        <f>IF('C:\Users\super\Documents\actuarial\cas-rfp\spec-only\team-analyst\sample-data\sample-run\selections\[Ultimates.xlsx]Losses'!O7&lt;&gt;"",'C:\Users\super\Documents\actuarial\cas-rfp\spec-only\team-analyst\sample-data\sample-run\selections\[Ultimates.xlsx]Losses'!O7,'C:\Users\super\Documents\actuarial\cas-rfp\spec-only\team-analyst\sample-data\sample-run\selections\[Ultimates.xlsx]Losses'!K7)</f>
        <v>1505496.3</v>
      </c>
      <c r="K7" s="2">
        <f>J7-C7</f>
        <v>-12140.492660000455</v>
      </c>
      <c r="L7" s="2">
        <f>J7-D7</f>
        <v>43355.27214399981</v>
      </c>
      <c r="M7" s="3" t="str">
        <f>IF('C:\Users\super\Documents\actuarial\cas-rfp\spec-only\team-analyst\sample-data\sample-run\selections\[Ultimates.xlsx]Losses'!O7&lt;&gt;"",'C:\Users\super\Documents\actuarial\cas-rfp\spec-only\team-analyst\sample-data\sample-run\selections\[Ultimates.xlsx]Losses'!P7,'C:\Users\super\Documents\actuarial\cas-rfp\spec-only\team-analyst\sample-data\sample-run\selections\[Ultimates.xlsx]Losses'!L7)</f>
        <v>Paid Loss selected. Paid CL ultimate of 1,505,496.30. Age 227 months (late tail). Incurred IE disqualified (negative IBNR -284,389). Paid CL (1,505,496.30) vs. Incurred CL (1,621,406.24): 7.1% difference. Paid CL preferred; Incurred CL link ratios show instability (case adequacy shifting). Paid development stable (CDF 1.0297).</v>
      </c>
    </row>
    <row r="8" spans="1:13">
      <c r="A8" s="2">
        <v>2007</v>
      </c>
      <c r="B8" s="2" t="s">
        <v>19</v>
      </c>
      <c r="C8" s="2">
        <f>'Incurred CL'!C8</f>
        <v>4810774.614816</v>
      </c>
      <c r="D8" s="2">
        <f>'Paid CL'!C8</f>
        <v>4790693.153152</v>
      </c>
      <c r="E8" s="2">
        <f>'Incurred CL'!E8</f>
        <v>5139714.612697149</v>
      </c>
      <c r="F8" s="2">
        <f>'Paid CL'!E8</f>
        <v>4955930.2713813605</v>
      </c>
      <c r="G8" s="2">
        <f>'IE'!D8</f>
        <v>2850338.4351999997</v>
      </c>
      <c r="H8" s="2">
        <f>'Incurred BF'!H8</f>
        <v>4993195.311194554</v>
      </c>
      <c r="I8" s="2">
        <f>'Paid BF'!H8</f>
        <v>4885727.119172582</v>
      </c>
      <c r="J8" s="2">
        <f>IF('C:\Users\super\Documents\actuarial\cas-rfp\spec-only\team-analyst\sample-data\sample-run\selections\[Ultimates.xlsx]Losses'!O8&lt;&gt;"",'C:\Users\super\Documents\actuarial\cas-rfp\spec-only\team-analyst\sample-data\sample-run\selections\[Ultimates.xlsx]Losses'!O8,'C:\Users\super\Documents\actuarial\cas-rfp\spec-only\team-analyst\sample-data\sample-run\selections\[Ultimates.xlsx]Losses'!K8)</f>
        <v>4955930.27</v>
      </c>
      <c r="K8" s="2">
        <f>J8-C8</f>
        <v>145155.6551839998</v>
      </c>
      <c r="L8" s="2">
        <f>J8-D8</f>
        <v>165237.1168479994</v>
      </c>
      <c r="M8" s="3" t="str">
        <f>IF('C:\Users\super\Documents\actuarial\cas-rfp\spec-only\team-analyst\sample-data\sample-run\selections\[Ultimates.xlsx]Losses'!O8&lt;&gt;"",'C:\Users\super\Documents\actuarial\cas-rfp\spec-only\team-analyst\sample-data\sample-run\selections\[Ultimates.xlsx]Losses'!P8,'C:\Users\super\Documents\actuarial\cas-rfp\spec-only\team-analyst\sample-data\sample-run\selections\[Ultimates.xlsx]Losses'!L8)</f>
        <v>Paid Loss selected. Paid CL ultimate of 4,955,930.27. Age 215 months. Incurred IE disqualified (negative IBNR of -1,960,436; case adequacy severely degraded). Paid CL (4,955,930.27) vs. Incurred CL (5,139,714.61): 3.6% difference. Paid CL preferred; Incurred methods unreliable due to case reserve instability. Paid CDF 1.0345 is reasonable.</v>
      </c>
    </row>
    <row r="9" spans="1:13">
      <c r="A9" s="2">
        <v>2008</v>
      </c>
      <c r="B9" s="2" t="s">
        <v>20</v>
      </c>
      <c r="C9" s="2">
        <f>'Incurred CL'!C9</f>
        <v>1378427.9395479984</v>
      </c>
      <c r="D9" s="2">
        <f>'Paid CL'!C9</f>
        <v>1378427.9395479984</v>
      </c>
      <c r="E9" s="2">
        <f>'Incurred CL'!E9</f>
        <v>1475624.248541786</v>
      </c>
      <c r="F9" s="2">
        <f>'Paid CL'!E9</f>
        <v>1428966.218134835</v>
      </c>
      <c r="G9" s="2">
        <f>'IE'!D9</f>
        <v>2543927.0535</v>
      </c>
      <c r="H9" s="2">
        <f>'Incurred BF'!H9</f>
        <v>1545991.1387797708</v>
      </c>
      <c r="I9" s="2">
        <f>'Paid BF'!H9</f>
        <v>1468399.0616800417</v>
      </c>
      <c r="J9" s="2">
        <f>IF('C:\Users\super\Documents\actuarial\cas-rfp\spec-only\team-analyst\sample-data\sample-run\selections\[Ultimates.xlsx]Losses'!O9&lt;&gt;"",'C:\Users\super\Documents\actuarial\cas-rfp\spec-only\team-analyst\sample-data\sample-run\selections\[Ultimates.xlsx]Losses'!O9,'C:\Users\super\Documents\actuarial\cas-rfp\spec-only\team-analyst\sample-data\sample-run\selections\[Ultimates.xlsx]Losses'!K9)</f>
        <v>1428966.22</v>
      </c>
      <c r="K9" s="2">
        <f>J9-C9</f>
        <v>50538.28045200161</v>
      </c>
      <c r="L9" s="2">
        <f>J9-D9</f>
        <v>50538.28045200161</v>
      </c>
      <c r="M9" s="3" t="str">
        <f>IF('C:\Users\super\Documents\actuarial\cas-rfp\spec-only\team-analyst\sample-data\sample-run\selections\[Ultimates.xlsx]Losses'!O9&lt;&gt;"",'C:\Users\super\Documents\actuarial\cas-rfp\spec-only\team-analyst\sample-data\sample-run\selections\[Ultimates.xlsx]Losses'!P9,'C:\Users\super\Documents\actuarial\cas-rfp\spec-only\team-analyst\sample-data\sample-run\selections\[Ultimates.xlsx]Losses'!L9)</f>
        <v>Paid Loss selected. Paid CL ultimate of 1,428,966.22. Age 203 months. Incurred IE disqualified (negative IBNR -1,165,499). Paid CL (1,428,966.22) vs. Incurred CL (1,475,624.25): 3.2% difference. Paid CL is stable; Incurred CL shows case adequacy issues (CDF 1.0705). Paid development is more credible (CDF 1.0367).</v>
      </c>
    </row>
    <row r="10" spans="1:13">
      <c r="A10" s="2">
        <v>2009</v>
      </c>
      <c r="B10" s="2" t="s">
        <v>21</v>
      </c>
      <c r="C10" s="2">
        <f>'Incurred CL'!C10</f>
        <v>1169581.0892560005</v>
      </c>
      <c r="D10" s="2">
        <f>'Paid CL'!C10</f>
        <v>1169581.0892560005</v>
      </c>
      <c r="E10" s="2">
        <f>'Incurred CL'!E10</f>
        <v>1261566.686868999</v>
      </c>
      <c r="F10" s="2">
        <f>'Paid CL'!E10</f>
        <v>1226405.5841239996</v>
      </c>
      <c r="G10" s="2">
        <f>'IE'!D10</f>
        <v>2594805.5945</v>
      </c>
      <c r="H10" s="2">
        <f>'Incurred BF'!H10</f>
        <v>1358778.1771182443</v>
      </c>
      <c r="I10" s="2">
        <f>'Paid BF'!H10</f>
        <v>1289809.274039944</v>
      </c>
      <c r="J10" s="2">
        <f>IF('C:\Users\super\Documents\actuarial\cas-rfp\spec-only\team-analyst\sample-data\sample-run\selections\[Ultimates.xlsx]Losses'!O10&lt;&gt;"",'C:\Users\super\Documents\actuarial\cas-rfp\spec-only\team-analyst\sample-data\sample-run\selections\[Ultimates.xlsx]Losses'!O10,'C:\Users\super\Documents\actuarial\cas-rfp\spec-only\team-analyst\sample-data\sample-run\selections\[Ultimates.xlsx]Losses'!K10)</f>
        <v>1226405.58</v>
      </c>
      <c r="K10" s="2">
        <f>J10-C10</f>
        <v>56824.4907439996</v>
      </c>
      <c r="L10" s="2">
        <f>J10-D10</f>
        <v>56824.4907439996</v>
      </c>
      <c r="M10" s="3" t="str">
        <f>IF('C:\Users\super\Documents\actuarial\cas-rfp\spec-only\team-analyst\sample-data\sample-run\selections\[Ultimates.xlsx]Losses'!O10&lt;&gt;"",'C:\Users\super\Documents\actuarial\cas-rfp\spec-only\team-analyst\sample-data\sample-run\selections\[Ultimates.xlsx]Losses'!P10,'C:\Users\super\Documents\actuarial\cas-rfp\spec-only\team-analyst\sample-data\sample-run\selections\[Ultimates.xlsx]Losses'!L10)</f>
        <v>Paid Loss selected. Paid CL ultimate of 1,226,405.58. Age 191 months. Incurred IE disqualified (negative IBNR -1,425,224). Paid CL (1,226,405.58) vs. Incurred CL (1,261,566.69): 2.8% difference. Paid CL preferred; Incurred CL link ratios unstable (CDF 1.0786 vs. Paid CDF 1.0486). Paid method more credible.</v>
      </c>
    </row>
    <row r="11" spans="1:13">
      <c r="A11" s="2">
        <v>2010</v>
      </c>
      <c r="B11" s="2" t="s">
        <v>22</v>
      </c>
      <c r="C11" s="2">
        <f>'Incurred CL'!C11</f>
        <v>1277672.0720840006</v>
      </c>
      <c r="D11" s="2">
        <f>'Paid CL'!C11</f>
        <v>1277672.0720840006</v>
      </c>
      <c r="E11" s="2">
        <f>'Incurred CL'!E11</f>
        <v>1383120.2166542253</v>
      </c>
      <c r="F11" s="2">
        <f>'Paid CL'!E11</f>
        <v>1360648.2760866096</v>
      </c>
      <c r="G11" s="2">
        <f>'IE'!D11</f>
        <v>1134300.7311</v>
      </c>
      <c r="H11" s="2">
        <f>'Incurred BF'!H11</f>
        <v>1364150.3883134325</v>
      </c>
      <c r="I11" s="2">
        <f>'Paid BF'!H11</f>
        <v>1346844.9586544835</v>
      </c>
      <c r="J11" s="2">
        <f>IF('C:\Users\super\Documents\actuarial\cas-rfp\spec-only\team-analyst\sample-data\sample-run\selections\[Ultimates.xlsx]Losses'!O11&lt;&gt;"",'C:\Users\super\Documents\actuarial\cas-rfp\spec-only\team-analyst\sample-data\sample-run\selections\[Ultimates.xlsx]Losses'!O11,'C:\Users\super\Documents\actuarial\cas-rfp\spec-only\team-analyst\sample-data\sample-run\selections\[Ultimates.xlsx]Losses'!K11)</f>
        <v>1360648.28</v>
      </c>
      <c r="K11" s="2">
        <f>J11-C11</f>
        <v>82976.20791599946</v>
      </c>
      <c r="L11" s="2">
        <f>J11-D11</f>
        <v>82976.20791599946</v>
      </c>
      <c r="M11" s="3" t="str">
        <f>IF('C:\Users\super\Documents\actuarial\cas-rfp\spec-only\team-analyst\sample-data\sample-run\selections\[Ultimates.xlsx]Losses'!O11&lt;&gt;"",'C:\Users\super\Documents\actuarial\cas-rfp\spec-only\team-analyst\sample-data\sample-run\selections\[Ultimates.xlsx]Losses'!P11,'C:\Users\super\Documents\actuarial\cas-rfp\spec-only\team-analyst\sample-data\sample-run\selections\[Ultimates.xlsx]Losses'!L11)</f>
        <v>Paid Loss selected. Paid CL ultimate of 1,360,648.28. Age 179 months. Incurred IE disqualified (negative IBNR of -143,371; case adequacy assumption violated). Paid CL (1,360,648.28) vs. Incurred CL (1,383,120.22): 1.6% difference within convergence band. Paid CL selected; closure rate stable (CDF 1.0649) and Paid method more robust.</v>
      </c>
    </row>
    <row r="12" spans="1:13">
      <c r="A12" s="2">
        <v>2011</v>
      </c>
      <c r="B12" s="2" t="s">
        <v>23</v>
      </c>
      <c r="C12" s="2">
        <f>'Incurred CL'!C12</f>
        <v>1916081.5804159997</v>
      </c>
      <c r="D12" s="2">
        <f>'Paid CL'!C12</f>
        <v>1892658.2977319998</v>
      </c>
      <c r="E12" s="2">
        <f>'Incurred CL'!E12</f>
        <v>2117984.607676839</v>
      </c>
      <c r="F12" s="2">
        <f>'Paid CL'!E12</f>
        <v>2044396.4232112933</v>
      </c>
      <c r="G12" s="2">
        <f>'IE'!D12</f>
        <v>1542648.9944000002</v>
      </c>
      <c r="H12" s="2">
        <f>'Incurred BF'!H12</f>
        <v>2063139.0712217935</v>
      </c>
      <c r="I12" s="2">
        <f>'Paid BF'!H12</f>
        <v>2007155.9871356466</v>
      </c>
      <c r="J12" s="2">
        <f>IF('C:\Users\super\Documents\actuarial\cas-rfp\spec-only\team-analyst\sample-data\sample-run\selections\[Ultimates.xlsx]Losses'!O12&lt;&gt;"",'C:\Users\super\Documents\actuarial\cas-rfp\spec-only\team-analyst\sample-data\sample-run\selections\[Ultimates.xlsx]Losses'!O12,'C:\Users\super\Documents\actuarial\cas-rfp\spec-only\team-analyst\sample-data\sample-run\selections\[Ultimates.xlsx]Losses'!K12)</f>
        <v>2044396.42</v>
      </c>
      <c r="K12" s="2">
        <f>J12-C12</f>
        <v>128314.83958400018</v>
      </c>
      <c r="L12" s="2">
        <f>J12-D12</f>
        <v>151738.12226800015</v>
      </c>
      <c r="M12" s="3" t="str">
        <f>IF('C:\Users\super\Documents\actuarial\cas-rfp\spec-only\team-analyst\sample-data\sample-run\selections\[Ultimates.xlsx]Losses'!O12&lt;&gt;"",'C:\Users\super\Documents\actuarial\cas-rfp\spec-only\team-analyst\sample-data\sample-run\selections\[Ultimates.xlsx]Losses'!P12,'C:\Users\super\Documents\actuarial\cas-rfp\spec-only\team-analyst\sample-data\sample-run\selections\[Ultimates.xlsx]Losses'!L12)</f>
        <v>Paid Loss selected. Paid CL ultimate of 2,044,396.42. Age 167 months. Incurred IE disqualified (negative IBNR of -373,432). Paid CL (2,044,396.42) vs. Incurred CL (2,117,984.61): 3.5% difference. Paid CL preferred; Incurred CL shows elevated CDF (1.1054) indicating link ratio volatility and case reserve degradation. Paid development more stable (CDF 1.0802).</v>
      </c>
    </row>
    <row r="13" spans="1:13">
      <c r="A13" s="2">
        <v>2012</v>
      </c>
      <c r="B13" s="2" t="s">
        <v>24</v>
      </c>
      <c r="C13" s="2">
        <f>'Incurred CL'!C13</f>
        <v>1363753.380531999</v>
      </c>
      <c r="D13" s="2">
        <f>'Paid CL'!C13</f>
        <v>1194236.878339999</v>
      </c>
      <c r="E13" s="2">
        <f>'Incurred CL'!E13</f>
        <v>1508058.9791349752</v>
      </c>
      <c r="F13" s="2">
        <f>'Paid CL'!E13</f>
        <v>1307266.93761061</v>
      </c>
      <c r="G13" s="2">
        <f>'IE'!D13</f>
        <v>1573501.9744000002</v>
      </c>
      <c r="H13" s="2">
        <f>'Incurred BF'!H13</f>
        <v>1514321.1948286267</v>
      </c>
      <c r="I13" s="2">
        <f>'Paid BF'!H13</f>
        <v>1330286.3846129342</v>
      </c>
      <c r="J13" s="2">
        <f>IF('C:\Users\super\Documents\actuarial\cas-rfp\spec-only\team-analyst\sample-data\sample-run\selections\[Ultimates.xlsx]Losses'!O13&lt;&gt;"",'C:\Users\super\Documents\actuarial\cas-rfp\spec-only\team-analyst\sample-data\sample-run\selections\[Ultimates.xlsx]Losses'!O13,'C:\Users\super\Documents\actuarial\cas-rfp\spec-only\team-analyst\sample-data\sample-run\selections\[Ultimates.xlsx]Losses'!K13)</f>
        <v>1307266.94</v>
      </c>
      <c r="K13" s="2">
        <f>J13-C13</f>
        <v>-56486.440531999106</v>
      </c>
      <c r="L13" s="2">
        <f>J13-D13</f>
        <v>113030.06166000105</v>
      </c>
      <c r="M13" s="3" t="str">
        <f>IF('C:\Users\super\Documents\actuarial\cas-rfp\spec-only\team-analyst\sample-data\sample-run\selections\[Ultimates.xlsx]Losses'!O13&lt;&gt;"",'C:\Users\super\Documents\actuarial\cas-rfp\spec-only\team-analyst\sample-data\sample-run\selections\[Ultimates.xlsx]Losses'!P13,'C:\Users\super\Documents\actuarial\cas-rfp\spec-only\team-analyst\sample-data\sample-run\selections\[Ultimates.xlsx]Losses'!L13)</f>
        <v>Paid Loss selected. Paid CL ultimate of 1,307,266.94. Age 155 months (late maturity, 60â€“84 months band lower range). Incurred IE disqualified (negative IBNR -209,748). Paid CL (1,307,266.94) vs. Incurred CL (1,508,058.98): 13.3% divergence signals Incurred CL instability. Paid CL is primary; closure rate stable (CDF 1.0946).</v>
      </c>
    </row>
    <row r="14" spans="1:13">
      <c r="A14" s="2">
        <v>2013</v>
      </c>
      <c r="B14" s="2" t="s">
        <v>25</v>
      </c>
      <c r="C14" s="2">
        <f>'Incurred CL'!C14</f>
        <v>708529.9908599999</v>
      </c>
      <c r="D14" s="2">
        <f>'Paid CL'!C14</f>
        <v>708529.9908599999</v>
      </c>
      <c r="E14" s="2">
        <f>'Incurred CL'!E14</f>
        <v>785226.8166825377</v>
      </c>
      <c r="F14" s="2">
        <f>'Paid CL'!E14</f>
        <v>789162.5275511343</v>
      </c>
      <c r="G14" s="2">
        <f>'IE'!D14</f>
        <v>1203729.0102</v>
      </c>
      <c r="H14" s="2">
        <f>'Incurred BF'!H14</f>
        <v>826103.9099766345</v>
      </c>
      <c r="I14" s="2">
        <f>'Paid BF'!H14</f>
        <v>831520.7819741224</v>
      </c>
      <c r="J14" s="2">
        <f>IF('C:\Users\super\Documents\actuarial\cas-rfp\spec-only\team-analyst\sample-data\sample-run\selections\[Ultimates.xlsx]Losses'!O14&lt;&gt;"",'C:\Users\super\Documents\actuarial\cas-rfp\spec-only\team-analyst\sample-data\sample-run\selections\[Ultimates.xlsx]Losses'!O14,'C:\Users\super\Documents\actuarial\cas-rfp\spec-only\team-analyst\sample-data\sample-run\selections\[Ultimates.xlsx]Losses'!K14)</f>
        <v>789162.53</v>
      </c>
      <c r="K14" s="2">
        <f>J14-C14</f>
        <v>80632.53914000012</v>
      </c>
      <c r="L14" s="2">
        <f>J14-D14</f>
        <v>80632.53914000012</v>
      </c>
      <c r="M14" s="3" t="str">
        <f>IF('C:\Users\super\Documents\actuarial\cas-rfp\spec-only\team-analyst\sample-data\sample-run\selections\[Ultimates.xlsx]Losses'!O14&lt;&gt;"",'C:\Users\super\Documents\actuarial\cas-rfp\spec-only\team-analyst\sample-data\sample-run\selections\[Ultimates.xlsx]Losses'!P14,'C:\Users\super\Documents\actuarial\cas-rfp\spec-only\team-analyst\sample-data\sample-run\selections\[Ultimates.xlsx]Losses'!L14)</f>
        <v>Paid Loss selected. Paid CL ultimate of 789,162.53. Age 143 months. Incurred IE disqualified (negative IBNR -495,199). Paid CL (789,162.53) vs. Incurred CL (785,226.82): 0.5% convergence within acceptable band. Paid CL selected; both methods close but Paid shows superior fitness (stable CDF 1.1138 vs. Incurred CDF 1.0823 suggests CDF escalation anomaly in Incurred). Paid preferred.</v>
      </c>
    </row>
    <row r="15" spans="1:13">
      <c r="A15" s="2">
        <v>2014</v>
      </c>
      <c r="B15" s="2" t="s">
        <v>26</v>
      </c>
      <c r="C15" s="2">
        <f>'Incurred CL'!C15</f>
        <v>1389603.684732</v>
      </c>
      <c r="D15" s="2">
        <f>'Paid CL'!C15</f>
        <v>1389603.684732</v>
      </c>
      <c r="E15" s="2">
        <f>'Incurred CL'!E15</f>
        <v>1593926.1359495763</v>
      </c>
      <c r="F15" s="2">
        <f>'Paid CL'!E15</f>
        <v>1576996.525485472</v>
      </c>
      <c r="G15" s="2">
        <f>'IE'!D15</f>
        <v>1227803.5905</v>
      </c>
      <c r="H15" s="2">
        <f>'Incurred BF'!H15</f>
        <v>1546993.5621965837</v>
      </c>
      <c r="I15" s="2">
        <f>'Paid BF'!H15</f>
        <v>1535502.2957896737</v>
      </c>
      <c r="J15" s="2">
        <f>IF('C:\Users\super\Documents\actuarial\cas-rfp\spec-only\team-analyst\sample-data\sample-run\selections\[Ultimates.xlsx]Losses'!O15&lt;&gt;"",'C:\Users\super\Documents\actuarial\cas-rfp\spec-only\team-analyst\sample-data\sample-run\selections\[Ultimates.xlsx]Losses'!O15,'C:\Users\super\Documents\actuarial\cas-rfp\spec-only\team-analyst\sample-data\sample-run\selections\[Ultimates.xlsx]Losses'!K15)</f>
        <v>1576996.53</v>
      </c>
      <c r="K15" s="2">
        <f>J15-C15</f>
        <v>187392.84526799992</v>
      </c>
      <c r="L15" s="2">
        <f>J15-D15</f>
        <v>187392.84526799992</v>
      </c>
      <c r="M15" s="3" t="str">
        <f>IF('C:\Users\super\Documents\actuarial\cas-rfp\spec-only\team-analyst\sample-data\sample-run\selections\[Ultimates.xlsx]Losses'!O15&lt;&gt;"",'C:\Users\super\Documents\actuarial\cas-rfp\spec-only\team-analyst\sample-data\sample-run\selections\[Ultimates.xlsx]Losses'!P15,'C:\Users\super\Documents\actuarial\cas-rfp\spec-only\team-analyst\sample-data\sample-run\selections\[Ultimates.xlsx]Losses'!L15)</f>
        <v>Paid Loss selected. Paid CL ultimate of 1,576,996.53. Age 131 months (late-to-mid transition, 84 months threshold). Incurred IE disqualified (negative IBNR of -161,800). Paid CL (1,576,996.53) vs. Incurred CL (1,593,926.14): 1.1% convergence. Paid CL selected; late maturity band and Paid method's stability preferred. CDF 1.1349 shows development still present.</v>
      </c>
    </row>
    <row r="16" spans="1:13">
      <c r="A16" s="2">
        <v>2015</v>
      </c>
      <c r="B16" s="2" t="s">
        <v>27</v>
      </c>
      <c r="C16" s="2">
        <f>'Incurred CL'!C16</f>
        <v>3382963.2580760014</v>
      </c>
      <c r="D16" s="2">
        <f>'Paid CL'!C16</f>
        <v>3364231.2985480013</v>
      </c>
      <c r="E16" s="2">
        <f>'Incurred CL'!E16</f>
        <v>3912201.443389074</v>
      </c>
      <c r="F16" s="2">
        <f>'Paid CL'!E16</f>
        <v>3849598.1195112523</v>
      </c>
      <c r="G16" s="2">
        <f>'IE'!D16</f>
        <v>1669812.8832</v>
      </c>
      <c r="H16" s="2">
        <f>'Incurred BF'!H16</f>
        <v>3608853.6558239246</v>
      </c>
      <c r="I16" s="2">
        <f>'Paid BF'!H16</f>
        <v>3574765.4232958495</v>
      </c>
      <c r="J16" s="2">
        <f>IF('C:\Users\super\Documents\actuarial\cas-rfp\spec-only\team-analyst\sample-data\sample-run\selections\[Ultimates.xlsx]Losses'!O16&lt;&gt;"",'C:\Users\super\Documents\actuarial\cas-rfp\spec-only\team-analyst\sample-data\sample-run\selections\[Ultimates.xlsx]Losses'!O16,'C:\Users\super\Documents\actuarial\cas-rfp\spec-only\team-analyst\sample-data\sample-run\selections\[Ultimates.xlsx]Losses'!K16)</f>
        <v>3849598.12</v>
      </c>
      <c r="K16" s="2">
        <f>J16-C16</f>
        <v>466634.8619239987</v>
      </c>
      <c r="L16" s="2">
        <f>J16-D16</f>
        <v>485366.8214519988</v>
      </c>
      <c r="M16" s="3" t="str">
        <f>IF('C:\Users\super\Documents\actuarial\cas-rfp\spec-only\team-analyst\sample-data\sample-run\selections\[Ultimates.xlsx]Losses'!O16&lt;&gt;"",'C:\Users\super\Documents\actuarial\cas-rfp\spec-only\team-analyst\sample-data\sample-run\selections\[Ultimates.xlsx]Losses'!P16,'C:\Users\super\Documents\actuarial\cas-rfp\spec-only\team-analyst\sample-data\sample-run\selections\[Ultimates.xlsx]Losses'!L16)</f>
        <v>Paid Loss selected. Paid CL ultimate of 3,849,598.12. Age 119 months (mid-maturity band). Incurred IE disqualified (negative IBNR of -1,713,150; implausible). Paid CL (3,849,598.12) vs. Incurred CL (3,912,201.44): 1.6% convergence. Paid CL selected; Incurred IE severely disqualified, and Paid CL stability preferred at this maturity. CDF 1.1443 indicates meaningful development remains.</v>
      </c>
    </row>
    <row r="17" spans="1:13">
      <c r="A17" s="2">
        <v>2016</v>
      </c>
      <c r="B17" s="2" t="s">
        <v>28</v>
      </c>
      <c r="C17" s="2">
        <f>'Incurred CL'!C17</f>
        <v>2506323.643367999</v>
      </c>
      <c r="D17" s="2">
        <f>'Paid CL'!C17</f>
        <v>2462208.676391999</v>
      </c>
      <c r="E17" s="2">
        <f>'Incurred CL'!E17</f>
        <v>3038991.6990490486</v>
      </c>
      <c r="F17" s="2">
        <f>'Paid CL'!E17</f>
        <v>2999163.000705052</v>
      </c>
      <c r="G17" s="2">
        <f>'IE'!D17</f>
        <v>2554813.7112</v>
      </c>
      <c r="H17" s="2">
        <f>'Incurred BF'!H17</f>
        <v>2954126.0024853433</v>
      </c>
      <c r="I17" s="2">
        <f>'Paid BF'!H17</f>
        <v>2919609.047669128</v>
      </c>
      <c r="J17" s="2">
        <f>IF('C:\Users\super\Documents\actuarial\cas-rfp\spec-only\team-analyst\sample-data\sample-run\selections\[Ultimates.xlsx]Losses'!O17&lt;&gt;"",'C:\Users\super\Documents\actuarial\cas-rfp\spec-only\team-analyst\sample-data\sample-run\selections\[Ultimates.xlsx]Losses'!O17,'C:\Users\super\Documents\actuarial\cas-rfp\spec-only\team-analyst\sample-data\sample-run\selections\[Ultimates.xlsx]Losses'!K17)</f>
        <v>2999163.0</v>
      </c>
      <c r="K17" s="2">
        <f>J17-C17</f>
        <v>492839.35663200123</v>
      </c>
      <c r="L17" s="2">
        <f>J17-D17</f>
        <v>536954.3236080012</v>
      </c>
      <c r="M17" s="3" t="str">
        <f>IF('C:\Users\super\Documents\actuarial\cas-rfp\spec-only\team-analyst\sample-data\sample-run\selections\[Ultimates.xlsx]Losses'!O17&lt;&gt;"",'C:\Users\super\Documents\actuarial\cas-rfp\spec-only\team-analyst\sample-data\sample-run\selections\[Ultimates.xlsx]Losses'!P17,'C:\Users\super\Documents\actuarial\cas-rfp\spec-only\team-analyst\sample-data\sample-run\selections\[Ultimates.xlsx]Losses'!L17)</f>
        <v>Paid Loss selected. Paid CL ultimate of 2,999,163.00. Age 107 months (mid-maturity, 60â€“84 month band). Incurred IE disqualified (negative IBNR -48,490 marginal). Paid CL (2,999,163.00) vs. Incurred CL (3,038,991.70): 1.3% convergence. Paid CL selected; entering mid-maturity phase where Paid CL remains primary. CDF 1.2181 shows substantial development ahead.</v>
      </c>
    </row>
    <row r="18" spans="1:13">
      <c r="A18" s="2">
        <v>2017</v>
      </c>
      <c r="B18" s="2" t="s">
        <v>29</v>
      </c>
      <c r="C18" s="2">
        <f>'Incurred CL'!C18</f>
        <v>1205811.8289160004</v>
      </c>
      <c r="D18" s="2">
        <f>'Paid CL'!C18</f>
        <v>1205811.8289160004</v>
      </c>
      <c r="E18" s="2">
        <f>'Incurred CL'!E18</f>
        <v>1483428.9856195813</v>
      </c>
      <c r="F18" s="2">
        <f>'Paid CL'!E18</f>
        <v>1488161.0500258375</v>
      </c>
      <c r="G18" s="2">
        <f>'IE'!D18</f>
        <v>2605909.9854</v>
      </c>
      <c r="H18" s="2">
        <f>'Incurred BF'!H18</f>
        <v>1693496.3273216032</v>
      </c>
      <c r="I18" s="2">
        <f>'Paid BF'!H18</f>
        <v>1700231.8748157788</v>
      </c>
      <c r="J18" s="2">
        <f>IF('C:\Users\super\Documents\actuarial\cas-rfp\spec-only\team-analyst\sample-data\sample-run\selections\[Ultimates.xlsx]Losses'!O18&lt;&gt;"",'C:\Users\super\Documents\actuarial\cas-rfp\spec-only\team-analyst\sample-data\sample-run\selections\[Ultimates.xlsx]Losses'!O18,'C:\Users\super\Documents\actuarial\cas-rfp\spec-only\team-analyst\sample-data\sample-run\selections\[Ultimates.xlsx]Losses'!K18)</f>
        <v>1488161.05</v>
      </c>
      <c r="K18" s="2">
        <f>J18-C18</f>
        <v>282349.2210839996</v>
      </c>
      <c r="L18" s="2">
        <f>J18-D18</f>
        <v>282349.2210839996</v>
      </c>
      <c r="M18" s="3" t="str">
        <f>IF('C:\Users\super\Documents\actuarial\cas-rfp\spec-only\team-analyst\sample-data\sample-run\selections\[Ultimates.xlsx]Losses'!O18&lt;&gt;"",'C:\Users\super\Documents\actuarial\cas-rfp\spec-only\team-analyst\sample-data\sample-run\selections\[Ultimates.xlsx]Losses'!P18,'C:\Users\super\Documents\actuarial\cas-rfp\spec-only\team-analyst\sample-data\sample-run\selections\[Ultimates.xlsx]Losses'!L18)</f>
        <v>Paid Loss selected. Paid CL ultimate of 1,488,161.05. Age 95 months (mid-maturity lower range). Incurred IE disqualified (negative IBNR -1,400,098; implausible). Paid CL (1,488,161.05) vs. Incurred CL (1,483,428.99): 0.3% convergence. Both very close; Paid CL selected for superior fitness. CDF 1.2342 indicates ~19% development remaining.</v>
      </c>
    </row>
    <row r="19" spans="1:13">
      <c r="A19" s="2">
        <v>2018</v>
      </c>
      <c r="B19" s="2" t="s">
        <v>30</v>
      </c>
      <c r="C19" s="2">
        <f>'Incurred CL'!C19</f>
        <v>2395448.423304001</v>
      </c>
      <c r="D19" s="2">
        <f>'Paid CL'!C19</f>
        <v>2395448.423304001</v>
      </c>
      <c r="E19" s="2">
        <f>'Incurred CL'!E19</f>
        <v>2966113.902250904</v>
      </c>
      <c r="F19" s="2">
        <f>'Paid CL'!E19</f>
        <v>3053327.9076871956</v>
      </c>
      <c r="G19" s="2">
        <f>'IE'!D19</f>
        <v>2215023.4875</v>
      </c>
      <c r="H19" s="2">
        <f>'Incurred BF'!H19</f>
        <v>2821607.8632410793</v>
      </c>
      <c r="I19" s="2">
        <f>'Paid BF'!H19</f>
        <v>2872704.2418436366</v>
      </c>
      <c r="J19" s="2">
        <f>IF('C:\Users\super\Documents\actuarial\cas-rfp\spec-only\team-analyst\sample-data\sample-run\selections\[Ultimates.xlsx]Losses'!O19&lt;&gt;"",'C:\Users\super\Documents\actuarial\cas-rfp\spec-only\team-analyst\sample-data\sample-run\selections\[Ultimates.xlsx]Losses'!O19,'C:\Users\super\Documents\actuarial\cas-rfp\spec-only\team-analyst\sample-data\sample-run\selections\[Ultimates.xlsx]Losses'!K19)</f>
        <v>3053327.91</v>
      </c>
      <c r="K19" s="2">
        <f>J19-C19</f>
        <v>657879.4866959993</v>
      </c>
      <c r="L19" s="2">
        <f>J19-D19</f>
        <v>657879.4866959993</v>
      </c>
      <c r="M19" s="3" t="str">
        <f>IF('C:\Users\super\Documents\actuarial\cas-rfp\spec-only\team-analyst\sample-data\sample-run\selections\[Ultimates.xlsx]Losses'!O19&lt;&gt;"",'C:\Users\super\Documents\actuarial\cas-rfp\spec-only\team-analyst\sample-data\sample-run\selections\[Ultimates.xlsx]Losses'!P19,'C:\Users\super\Documents\actuarial\cas-rfp\spec-only\team-analyst\sample-data\sample-run\selections\[Ultimates.xlsx]Losses'!L19)</f>
        <v>Paid Loss selected. Paid CL ultimate of 3,053,327.91. Age 83 months (mid-maturity band, 36â€“60+ mo). Incurred IE disqualified (negative IBNR of -180,424). Paid CL (3,053,327.91) vs. Incurred CL (2,966,113.90): 2.9% difference. Paid CL selected; Incurred IE failure disqualifies blending. CDF 1.2746 shows significant development. Paid method more robust at this maturity.</v>
      </c>
    </row>
    <row r="20" spans="1:13">
      <c r="A20" s="2">
        <v>2019</v>
      </c>
      <c r="B20" s="2" t="s">
        <v>31</v>
      </c>
      <c r="C20" s="2">
        <f>'Incurred CL'!C20</f>
        <v>2599882.8742919993</v>
      </c>
      <c r="D20" s="2">
        <f>'Paid CL'!C20</f>
        <v>2395189.8344880007</v>
      </c>
      <c r="E20" s="2">
        <f>'Incurred CL'!E20</f>
        <v>3499325.3857147624</v>
      </c>
      <c r="F20" s="2">
        <f>'Paid CL'!E20</f>
        <v>3379669.118916158</v>
      </c>
      <c r="G20" s="2">
        <f>'IE'!D20</f>
        <v>2259323.9575</v>
      </c>
      <c r="H20" s="2">
        <f>'Incurred BF'!H20</f>
        <v>3180603.953488337</v>
      </c>
      <c r="I20" s="2">
        <f>'Paid BF'!H20</f>
        <v>3053318.649679323</v>
      </c>
      <c r="J20" s="2">
        <f>IF('C:\Users\super\Documents\actuarial\cas-rfp\spec-only\team-analyst\sample-data\sample-run\selections\[Ultimates.xlsx]Losses'!O20&lt;&gt;"",'C:\Users\super\Documents\actuarial\cas-rfp\spec-only\team-analyst\sample-data\sample-run\selections\[Ultimates.xlsx]Losses'!O20,'C:\Users\super\Documents\actuarial\cas-rfp\spec-only\team-analyst\sample-data\sample-run\selections\[Ultimates.xlsx]Losses'!K20)</f>
        <v>3379669.12</v>
      </c>
      <c r="K20" s="2">
        <f>J20-C20</f>
        <v>779786.2457080008</v>
      </c>
      <c r="L20" s="2">
        <f>J20-D20</f>
        <v>984479.2855119994</v>
      </c>
      <c r="M20" s="3" t="str">
        <f>IF('C:\Users\super\Documents\actuarial\cas-rfp\spec-only\team-analyst\sample-data\sample-run\selections\[Ultimates.xlsx]Losses'!O20&lt;&gt;"",'C:\Users\super\Documents\actuarial\cas-rfp\spec-only\team-analyst\sample-data\sample-run\selections\[Ultimates.xlsx]Losses'!P20,'C:\Users\super\Documents\actuarial\cas-rfp\spec-only\team-analyst\sample-data\sample-run\selections\[Ultimates.xlsx]Losses'!L20)</f>
        <v>Paid Loss selected. Paid CL ultimate of 3,379,669.12. Age 71 months (early maturity, 36â€“60 boundary). Incurred IE disqualified (negative IBNR of -340,558). Paid CL (3,379,669.12) vs. Incurred CL (3,499,325.39): 3.4% difference. Paid CL selected; ~29% development remains (CDF 1.4110). At early maturity, Paid CL credibility exceeds Incurred CL; Incurred IE disqualified.</v>
      </c>
    </row>
    <row r="21" spans="1:13">
      <c r="A21" s="2">
        <v>2020</v>
      </c>
      <c r="B21" s="2" t="s">
        <v>32</v>
      </c>
      <c r="C21" s="2">
        <f>'Incurred CL'!C21</f>
        <v>978899.5094679999</v>
      </c>
      <c r="D21" s="2">
        <f>'Paid CL'!C21</f>
        <v>976050.8625559999</v>
      </c>
      <c r="E21" s="2">
        <f>'Incurred CL'!E21</f>
        <v>1452867.5689930124</v>
      </c>
      <c r="F21" s="2">
        <f>'Paid CL'!E21</f>
        <v>1541396.5930324213</v>
      </c>
      <c r="G21" s="2">
        <f>'IE'!D21</f>
        <v>1843608.3492</v>
      </c>
      <c r="H21" s="2">
        <f>'Incurred BF'!H21</f>
        <v>1580338.6842718518</v>
      </c>
      <c r="I21" s="2">
        <f>'Paid BF'!H21</f>
        <v>1652240.3089335945</v>
      </c>
      <c r="J21" s="2">
        <f>IF('C:\Users\super\Documents\actuarial\cas-rfp\spec-only\team-analyst\sample-data\sample-run\selections\[Ultimates.xlsx]Losses'!O21&lt;&gt;"",'C:\Users\super\Documents\actuarial\cas-rfp\spec-only\team-analyst\sample-data\sample-run\selections\[Ultimates.xlsx]Losses'!O21,'C:\Users\super\Documents\actuarial\cas-rfp\spec-only\team-analyst\sample-data\sample-run\selections\[Ultimates.xlsx]Losses'!K21)</f>
        <v>1541396.59</v>
      </c>
      <c r="K21" s="2">
        <f>J21-C21</f>
        <v>562497.0805320002</v>
      </c>
      <c r="L21" s="2">
        <f>J21-D21</f>
        <v>565345.7274440002</v>
      </c>
      <c r="M21" s="3" t="str">
        <f>IF('C:\Users\super\Documents\actuarial\cas-rfp\spec-only\team-analyst\sample-data\sample-run\selections\[Ultimates.xlsx]Losses'!O21&lt;&gt;"",'C:\Users\super\Documents\actuarial\cas-rfp\spec-only\team-analyst\sample-data\sample-run\selections\[Ultimates.xlsx]Losses'!P21,'C:\Users\super\Documents\actuarial\cas-rfp\spec-only\team-analyst\sample-data\sample-run\selections\[Ultimates.xlsx]Losses'!L21)</f>
        <v>Paid Loss selected. Paid CL ultimate of 1,541,396.59. Age 59 months (early maturity, high immaturity). Incurred IE disqualified (negative IBNR -864,708). Paid CL (1,541,396.59) vs. Incurred CL (1,452,867.57): 5.8% divergence signals Incurred instability. Paid CL is primary; ~37% development remains (CDF 1.5792). Paid BF secondary (1,652,240.31) is 7.2% higher but Paid CL credible at 59 months.</v>
      </c>
    </row>
    <row r="22" spans="1:13">
      <c r="A22" s="2">
        <v>2021</v>
      </c>
      <c r="B22" s="2" t="s">
        <v>33</v>
      </c>
      <c r="C22" s="2">
        <f>'Incurred CL'!C22</f>
        <v>1011313.279736</v>
      </c>
      <c r="D22" s="2">
        <f>'Paid CL'!C22</f>
        <v>974979.4133360002</v>
      </c>
      <c r="E22" s="2">
        <f>'Incurred CL'!E22</f>
        <v>1586080.9031959614</v>
      </c>
      <c r="F22" s="2">
        <f>'Paid CL'!E22</f>
        <v>1690287.645861596</v>
      </c>
      <c r="G22" s="2">
        <f>'IE'!D22</f>
        <v>1410360.3873</v>
      </c>
      <c r="H22" s="2">
        <f>'Incurred BF'!H22</f>
        <v>1522402.9009508253</v>
      </c>
      <c r="I22" s="2">
        <f>'Paid BF'!H22</f>
        <v>1571825.9905050816</v>
      </c>
      <c r="J22" s="2">
        <f>IF('C:\Users\super\Documents\actuarial\cas-rfp\spec-only\team-analyst\sample-data\sample-run\selections\[Ultimates.xlsx]Losses'!O22&lt;&gt;"",'C:\Users\super\Documents\actuarial\cas-rfp\spec-only\team-analyst\sample-data\sample-run\selections\[Ultimates.xlsx]Losses'!O22,'C:\Users\super\Documents\actuarial\cas-rfp\spec-only\team-analyst\sample-data\sample-run\selections\[Ultimates.xlsx]Losses'!K22)</f>
        <v>1690287.65</v>
      </c>
      <c r="K22" s="2">
        <f>J22-C22</f>
        <v>678974.3702639999</v>
      </c>
      <c r="L22" s="2">
        <f>J22-D22</f>
        <v>715308.2366639997</v>
      </c>
      <c r="M22" s="3" t="str">
        <f>IF('C:\Users\super\Documents\actuarial\cas-rfp\spec-only\team-analyst\sample-data\sample-run\selections\[Ultimates.xlsx]Losses'!O22&lt;&gt;"",'C:\Users\super\Documents\actuarial\cas-rfp\spec-only\team-analyst\sample-data\sample-run\selections\[Ultimates.xlsx]Losses'!P22,'C:\Users\super\Documents\actuarial\cas-rfp\spec-only\team-analyst\sample-data\sample-run\selections\[Ultimates.xlsx]Losses'!L22)</f>
        <v>Paid Loss selected. Paid CL ultimate of 1,690,287.65. Age 47 months (green maturity, 24â€“36 boundary). Incurred IE disqualified (negative IBNR -435,380). Paid CL (1,690,287.65) vs. Incurred CL (1,586,080.90): 6.2% divergence. At green maturity, baseline is BF-heavy, but Paid CL (1,690,287.65) and Paid BF (1,571,825.99) differ 7.0%. Paid CL selected as more data-driven; 42% development remains (CDF 1.7337).</v>
      </c>
    </row>
    <row r="23" spans="1:13">
      <c r="A23" s="2">
        <v>2022</v>
      </c>
      <c r="B23" s="2" t="s">
        <v>34</v>
      </c>
      <c r="C23" s="2">
        <f>'Incurred CL'!C23</f>
        <v>827416.1066440007</v>
      </c>
      <c r="D23" s="2">
        <f>'Paid CL'!C23</f>
        <v>791103.7101360001</v>
      </c>
      <c r="E23" s="2">
        <f>'Incurred CL'!E23</f>
        <v>1557461.1391260303</v>
      </c>
      <c r="F23" s="2">
        <f>'Paid CL'!E23</f>
        <v>1645673.3877416283</v>
      </c>
      <c r="G23" s="2">
        <f>'IE'!D23</f>
        <v>959045.0632000001</v>
      </c>
      <c r="H23" s="2">
        <f>'Incurred BF'!H23</f>
        <v>1276959.3194579405</v>
      </c>
      <c r="I23" s="2">
        <f>'Paid BF'!H23</f>
        <v>1289119.1952091334</v>
      </c>
      <c r="J23" s="2">
        <f>IF('C:\Users\super\Documents\actuarial\cas-rfp\spec-only\team-analyst\sample-data\sample-run\selections\[Ultimates.xlsx]Losses'!O23&lt;&gt;"",'C:\Users\super\Documents\actuarial\cas-rfp\spec-only\team-analyst\sample-data\sample-run\selections\[Ultimates.xlsx]Losses'!O23,'C:\Users\super\Documents\actuarial\cas-rfp\spec-only\team-analyst\sample-data\sample-run\selections\[Ultimates.xlsx]Losses'!K23)</f>
        <v>1645673.39</v>
      </c>
      <c r="K23" s="2">
        <f>J23-C23</f>
        <v>818257.2833559992</v>
      </c>
      <c r="L23" s="2">
        <f>J23-D23</f>
        <v>854569.6798639998</v>
      </c>
      <c r="M23" s="3" t="str">
        <f>IF('C:\Users\super\Documents\actuarial\cas-rfp\spec-only\team-analyst\sample-data\sample-run\selections\[Ultimates.xlsx]Losses'!O23&lt;&gt;"",'C:\Users\super\Documents\actuarial\cas-rfp\spec-only\team-analyst\sample-data\sample-run\selections\[Ultimates.xlsx]Losses'!P23,'C:\Users\super\Documents\actuarial\cas-rfp\spec-only\team-analyst\sample-data\sample-run\selections\[Ultimates.xlsx]Losses'!L23)</f>
        <v>Paid Loss selected. Paid CL ultimate of 1,645,673.39. Age 35 months (green, transitioning toward very green). Paid CL (1,645,673.39) vs. Paid BF (1,289,119.20): 21.6% divergence signals extreme immaturity. Paid BF is typically primary for &lt;24 mo. However, ~52% development has occurred (CDF 2.0802). Paid CL selected with reduced confidence due to potential link ratio volatility; Incurred IE disqualified (negative IBNR -167,941).</v>
      </c>
    </row>
    <row r="24" spans="1:13">
      <c r="A24" s="2">
        <v>2023</v>
      </c>
      <c r="B24" s="2" t="s">
        <v>35</v>
      </c>
      <c r="C24" s="2">
        <f>'Incurred CL'!C24</f>
        <v>1651756.6743519998</v>
      </c>
      <c r="D24" s="2">
        <f>'Paid CL'!C24</f>
        <v>1199242.068356001</v>
      </c>
      <c r="E24" s="2">
        <f>'Incurred CL'!E24</f>
        <v>3909734.9142164313</v>
      </c>
      <c r="F24" s="2">
        <f>'Paid CL'!E24</f>
        <v>3548451.0883880323</v>
      </c>
      <c r="G24" s="2">
        <f>'IE'!D24</f>
        <v>978225.9646000001</v>
      </c>
      <c r="H24" s="2">
        <f>'Incurred BF'!H24</f>
        <v>2216708.7721798066</v>
      </c>
      <c r="I24" s="2">
        <f>'Paid BF'!H24</f>
        <v>1846864.7077628192</v>
      </c>
      <c r="J24" s="2">
        <f>IF('C:\Users\super\Documents\actuarial\cas-rfp\spec-only\team-analyst\sample-data\sample-run\selections\[Ultimates.xlsx]Losses'!O24&lt;&gt;"",'C:\Users\super\Documents\actuarial\cas-rfp\spec-only\team-analyst\sample-data\sample-run\selections\[Ultimates.xlsx]Losses'!O24,'C:\Users\super\Documents\actuarial\cas-rfp\spec-only\team-analyst\sample-data\sample-run\selections\[Ultimates.xlsx]Losses'!K24)</f>
        <v>1846864.71</v>
      </c>
      <c r="K24" s="2">
        <f>J24-C24</f>
        <v>195108.0356480002</v>
      </c>
      <c r="L24" s="2">
        <f>J24-D24</f>
        <v>647622.6416439989</v>
      </c>
      <c r="M24" s="3" t="str">
        <f>IF('C:\Users\super\Documents\actuarial\cas-rfp\spec-only\team-analyst\sample-data\sample-run\selections\[Ultimates.xlsx]Losses'!O24&lt;&gt;"",'C:\Users\super\Documents\actuarial\cas-rfp\spec-only\team-analyst\sample-data\sample-run\selections\[Ultimates.xlsx]Losses'!P24,'C:\Users\super\Documents\actuarial\cas-rfp\spec-only\team-analyst\sample-data\sample-run\selections\[Ultimates.xlsx]Losses'!L24)</f>
        <v>Paid Loss selected. Paid BF ultimate of 1,846,864.71. Age 23 months (very green, 12â€“24 month boundary). Paid CL (3,548,451.09) shows extreme elevation (CDF 2.9589, 66% development) indicating volatile link ratios at extreme immaturity. Paid BF (1,846,864.71) is more stable method for very early years; prior loss ratio credible. Incurred IE disqualified (negative IBNR of -221,016). Paid BF is primary at this age.</v>
      </c>
    </row>
    <row r="25" spans="1:13">
      <c r="A25" s="2">
        <v>2024</v>
      </c>
      <c r="B25" s="2" t="s">
        <v>36</v>
      </c>
      <c r="C25" s="2">
        <f>'Incurred CL'!C25</f>
        <v>890155.221828</v>
      </c>
      <c r="D25" s="2">
        <f>'Paid CL'!C25</f>
        <v>355247.76093199995</v>
      </c>
      <c r="E25" s="2">
        <f>'Incurred CL'!E25</f>
        <v>3586977.0390690966</v>
      </c>
      <c r="F25" s="2">
        <f>'Paid CL'!E25</f>
        <v>2757367.9387292345</v>
      </c>
      <c r="G25" s="2">
        <f>'IE'!D25</f>
        <v>997790.4837999999</v>
      </c>
      <c r="H25" s="2">
        <f>'Incurred BF'!H25</f>
        <v>1640330.959347003</v>
      </c>
      <c r="I25" s="2">
        <f>'Paid BF'!H25</f>
        <v>1224487.0890191481</v>
      </c>
      <c r="J25" s="2">
        <f>IF('C:\Users\super\Documents\actuarial\cas-rfp\spec-only\team-analyst\sample-data\sample-run\selections\[Ultimates.xlsx]Losses'!O25&lt;&gt;"",'C:\Users\super\Documents\actuarial\cas-rfp\spec-only\team-analyst\sample-data\sample-run\selections\[Ultimates.xlsx]Losses'!O25,'C:\Users\super\Documents\actuarial\cas-rfp\spec-only\team-analyst\sample-data\sample-run\selections\[Ultimates.xlsx]Losses'!K25)</f>
        <v>1224487.09</v>
      </c>
      <c r="K25" s="2">
        <f>J25-C25</f>
        <v>334331.86817200005</v>
      </c>
      <c r="L25" s="2">
        <f>J25-D25</f>
        <v>869239.3290680002</v>
      </c>
      <c r="M25" s="3" t="str">
        <f>IF('C:\Users\super\Documents\actuarial\cas-rfp\spec-only\team-analyst\sample-data\sample-run\selections\[Ultimates.xlsx]Losses'!O25&lt;&gt;"",'C:\Users\super\Documents\actuarial\cas-rfp\spec-only\team-analyst\sample-data\sample-run\selections\[Ultimates.xlsx]Losses'!P25,'C:\Users\super\Documents\actuarial\cas-rfp\spec-only\team-analyst\sample-data\sample-run\selections\[Ultimates.xlsx]Losses'!L25)</f>
        <v>Paid Loss selected. Paid BF ultimate of 1,224,487.09. Age 11 months (&lt;12 months, extreme immaturity). Paid CL (2,757,367.94) inflated by extreme CDF (7.7618) indicating unreliable link ratios (&lt;13% developed). Paid BF (1,224,487.09) is primary method for a priori estimation at extreme youth; prior loss ratio informative. Incurred IE disqualified (negative IBNR -642,542). Paid BF selected per maturity-based hierarchy for very green years.</v>
      </c>
    </row>
    <row r="27" spans="1:13">
      <c r="A27" s="3" t="s">
        <v>37</v>
      </c>
      <c r="C27" s="2">
        <f>SUM(C2:C25)</f>
        <v/>
      </c>
      <c r="D27" s="2">
        <f>SUM(D2:D25)</f>
        <v/>
      </c>
      <c r="E27" s="2">
        <f>SUM(E2:E25)</f>
        <v/>
      </c>
      <c r="F27" s="2">
        <f>SUM(F2:F25)</f>
        <v/>
      </c>
      <c r="G27" s="2">
        <f>SUM(G2:G25)</f>
        <v/>
      </c>
      <c r="H27" s="2">
        <f>SUM(H2:H25)</f>
        <v/>
      </c>
      <c r="I27" s="2">
        <f>SUM(I2:I25)</f>
        <v/>
      </c>
      <c r="J27" s="2">
        <f>SUM(J2:J25)</f>
        <v/>
      </c>
      <c r="K27" s="2">
        <f>SUM(K2:K25)</f>
        <v/>
      </c>
      <c r="L27" s="2">
        <f>SUM(L2:L25)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8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38</v>
      </c>
      <c r="E1" s="1" t="s">
        <v>39</v>
      </c>
      <c r="F1" s="1" t="s">
        <v>10</v>
      </c>
      <c r="G1" s="1" t="s">
        <v>11</v>
      </c>
    </row>
    <row r="2" spans="1:7">
      <c r="A2" s="2">
        <v>2001</v>
      </c>
      <c r="B2" s="2" t="s">
        <v>13</v>
      </c>
      <c r="C2" s="2">
        <f>'Incurred'!R3</f>
        <v>3163773.699688</v>
      </c>
      <c r="D2" s="4">
        <v>1.021551350628563</v>
      </c>
      <c r="E2" s="2">
        <f>IF(AND(ISNUMBER(C2),ISNUMBER(D2)),C2*D2,"")</f>
        <v>3231957.295999402</v>
      </c>
      <c r="F2" s="2">
        <f>E2-C2</f>
        <v>68183.59631140204</v>
      </c>
      <c r="G2" s="2">
        <f>E2-'Paid CL'!C2</f>
        <v>68183.59631140204</v>
      </c>
    </row>
    <row r="3" spans="1:7">
      <c r="A3" s="2">
        <v>2002</v>
      </c>
      <c r="B3" s="2" t="s">
        <v>14</v>
      </c>
      <c r="C3" s="2">
        <f>'Incurred'!R4</f>
        <v>2327733.756319999</v>
      </c>
      <c r="D3" s="4">
        <v>1.033707811701043</v>
      </c>
      <c r="E3" s="2">
        <f>IF(AND(ISNUMBER(C3),ISNUMBER(D3)),C3*D3,"")</f>
        <v>2406196.567468195</v>
      </c>
      <c r="F3" s="2">
        <f>E3-C3</f>
        <v>78462.811148196</v>
      </c>
      <c r="G3" s="2">
        <f>E3-'Paid CL'!C3</f>
        <v>78462.811148196</v>
      </c>
    </row>
    <row r="4" spans="1:7">
      <c r="A4" s="2">
        <v>2003</v>
      </c>
      <c r="B4" s="2" t="s">
        <v>15</v>
      </c>
      <c r="C4" s="2">
        <f>'Incurred'!R5</f>
        <v>1778091.5758439994</v>
      </c>
      <c r="D4" s="4">
        <v>1.033707811701043</v>
      </c>
      <c r="E4" s="2">
        <f>IF(AND(ISNUMBER(C4),ISNUMBER(D4)),C4*D4,"")</f>
        <v>1838027.1518697597</v>
      </c>
      <c r="F4" s="2">
        <f>E4-C4</f>
        <v>59935.57602576027</v>
      </c>
      <c r="G4" s="2">
        <f>E4-'Paid CL'!C4</f>
        <v>59935.57602576027</v>
      </c>
    </row>
    <row r="5" spans="1:7">
      <c r="A5" s="2">
        <v>2004</v>
      </c>
      <c r="B5" s="2" t="s">
        <v>16</v>
      </c>
      <c r="C5" s="2">
        <f>'Incurred'!R6</f>
        <v>1122614.7306000004</v>
      </c>
      <c r="D5" s="4">
        <v>1.051694327624641</v>
      </c>
      <c r="E5" s="2">
        <f>IF(AND(ISNUMBER(C5),ISNUMBER(D5)),C5*D5,"")</f>
        <v>1180647.544279885</v>
      </c>
      <c r="F5" s="2">
        <f>E5-C5</f>
        <v>58032.81367988465</v>
      </c>
      <c r="G5" s="2">
        <f>E5-'Paid CL'!C5</f>
        <v>58032.81367988465</v>
      </c>
    </row>
    <row r="6" spans="1:7">
      <c r="A6" s="2">
        <v>2005</v>
      </c>
      <c r="B6" s="2" t="s">
        <v>17</v>
      </c>
      <c r="C6" s="2">
        <f>'Incurred'!R7</f>
        <v>2242149.132116</v>
      </c>
      <c r="D6" s="4">
        <v>1.058951018485251</v>
      </c>
      <c r="E6" s="2">
        <f>IF(AND(ISNUMBER(C6),ISNUMBER(D6)),C6*D6,"")</f>
        <v>2374326.1070500603</v>
      </c>
      <c r="F6" s="2">
        <f>E6-C6</f>
        <v>132176.97493406013</v>
      </c>
      <c r="G6" s="2">
        <f>E6-'Paid CL'!C6</f>
        <v>132176.97493406013</v>
      </c>
    </row>
    <row r="7" spans="1:7">
      <c r="A7" s="2">
        <v>2006</v>
      </c>
      <c r="B7" s="2" t="s">
        <v>18</v>
      </c>
      <c r="C7" s="2">
        <f>'Incurred'!R8</f>
        <v>1517636.7926600005</v>
      </c>
      <c r="D7" s="4">
        <v>1.06837568254977</v>
      </c>
      <c r="E7" s="2">
        <f>IF(AND(ISNUMBER(C7),ISNUMBER(D7)),C7*D7,"")</f>
        <v>1621406.2442207714</v>
      </c>
      <c r="F7" s="2">
        <f>E7-C7</f>
        <v>103769.45156077086</v>
      </c>
      <c r="G7" s="2">
        <f>E7-'Paid CL'!C7</f>
        <v>103769.45156077086</v>
      </c>
    </row>
    <row r="8" spans="1:7">
      <c r="A8" s="2">
        <v>2007</v>
      </c>
      <c r="B8" s="2" t="s">
        <v>19</v>
      </c>
      <c r="C8" s="2">
        <f>'Incurred'!R9</f>
        <v>4810774.614816</v>
      </c>
      <c r="D8" s="4">
        <v>1.06837568254977</v>
      </c>
      <c r="E8" s="2">
        <f>IF(AND(ISNUMBER(C8),ISNUMBER(D8)),C8*D8,"")</f>
        <v>5139714.612697149</v>
      </c>
      <c r="F8" s="2">
        <f>E8-C8</f>
        <v>328939.99788114894</v>
      </c>
      <c r="G8" s="2">
        <f>E8-'Paid CL'!C8</f>
        <v>328939.99788114894</v>
      </c>
    </row>
    <row r="9" spans="1:7">
      <c r="A9" s="2">
        <v>2008</v>
      </c>
      <c r="B9" s="2" t="s">
        <v>20</v>
      </c>
      <c r="C9" s="2">
        <f>'Incurred'!R10</f>
        <v>1378427.9395479984</v>
      </c>
      <c r="D9" s="4">
        <v>1.070512433914869</v>
      </c>
      <c r="E9" s="2">
        <f>IF(AND(ISNUMBER(C9),ISNUMBER(D9)),C9*D9,"")</f>
        <v>1475624.248541786</v>
      </c>
      <c r="F9" s="2">
        <f>E9-C9</f>
        <v>97196.30899378774</v>
      </c>
      <c r="G9" s="2">
        <f>E9-'Paid CL'!C9</f>
        <v>97196.30899378774</v>
      </c>
    </row>
    <row r="10" spans="1:7">
      <c r="A10" s="2">
        <v>2009</v>
      </c>
      <c r="B10" s="2" t="s">
        <v>21</v>
      </c>
      <c r="C10" s="2">
        <f>'Incurred'!Q11</f>
        <v>1169581.0892560005</v>
      </c>
      <c r="D10" s="4">
        <v>1.078648328412622</v>
      </c>
      <c r="E10" s="2">
        <f>IF(AND(ISNUMBER(C10),ISNUMBER(D10)),C10*D10,"")</f>
        <v>1261566.686868999</v>
      </c>
      <c r="F10" s="2">
        <f>E10-C10</f>
        <v>91985.59761299845</v>
      </c>
      <c r="G10" s="2">
        <f>E10-'Paid CL'!C10</f>
        <v>91985.59761299845</v>
      </c>
    </row>
    <row r="11" spans="1:7">
      <c r="A11" s="2">
        <v>2010</v>
      </c>
      <c r="B11" s="2" t="s">
        <v>22</v>
      </c>
      <c r="C11" s="2">
        <f>'Incurred'!P12</f>
        <v>1277672.0720840006</v>
      </c>
      <c r="D11" s="4">
        <v>1.082531462394908</v>
      </c>
      <c r="E11" s="2">
        <f>IF(AND(ISNUMBER(C11),ISNUMBER(D11)),C11*D11,"")</f>
        <v>1383120.2166542253</v>
      </c>
      <c r="F11" s="2">
        <f>E11-C11</f>
        <v>105448.14457022469</v>
      </c>
      <c r="G11" s="2">
        <f>E11-'Paid CL'!C11</f>
        <v>105448.14457022469</v>
      </c>
    </row>
    <row r="12" spans="1:7">
      <c r="A12" s="2">
        <v>2011</v>
      </c>
      <c r="B12" s="2" t="s">
        <v>23</v>
      </c>
      <c r="C12" s="2">
        <f>'Incurred'!O13</f>
        <v>1916081.5804159997</v>
      </c>
      <c r="D12" s="4">
        <v>1.10537287625144</v>
      </c>
      <c r="E12" s="2">
        <f>IF(AND(ISNUMBER(C12),ISNUMBER(D12)),C12*D12,"")</f>
        <v>2117984.607676839</v>
      </c>
      <c r="F12" s="2">
        <f>E12-C12</f>
        <v>201903.02726083924</v>
      </c>
      <c r="G12" s="2">
        <f>E12-'Paid CL'!C12</f>
        <v>201903.02726083924</v>
      </c>
    </row>
    <row r="13" spans="1:7">
      <c r="A13" s="2">
        <v>2012</v>
      </c>
      <c r="B13" s="2" t="s">
        <v>24</v>
      </c>
      <c r="C13" s="2">
        <f>'Incurred'!N14</f>
        <v>1363753.380531999</v>
      </c>
      <c r="D13" s="4">
        <v>1.105815025401941</v>
      </c>
      <c r="E13" s="2">
        <f>IF(AND(ISNUMBER(C13),ISNUMBER(D13)),C13*D13,"")</f>
        <v>1508058.9791349752</v>
      </c>
      <c r="F13" s="2">
        <f>E13-C13</f>
        <v>144305.59860297618</v>
      </c>
      <c r="G13" s="2">
        <f>E13-'Paid CL'!C13</f>
        <v>144305.59860297618</v>
      </c>
    </row>
    <row r="14" spans="1:7">
      <c r="A14" s="2">
        <v>2013</v>
      </c>
      <c r="B14" s="2" t="s">
        <v>25</v>
      </c>
      <c r="C14" s="2">
        <f>'Incurred'!M15</f>
        <v>708529.9908599999</v>
      </c>
      <c r="D14" s="4">
        <v>1.108247818457825</v>
      </c>
      <c r="E14" s="2">
        <f>IF(AND(ISNUMBER(C14),ISNUMBER(D14)),C14*D14,"")</f>
        <v>785226.8166825377</v>
      </c>
      <c r="F14" s="2">
        <f>E14-C14</f>
        <v>76696.82582253776</v>
      </c>
      <c r="G14" s="2">
        <f>E14-'Paid CL'!C14</f>
        <v>76696.82582253776</v>
      </c>
    </row>
    <row r="15" spans="1:7">
      <c r="A15" s="2">
        <v>2014</v>
      </c>
      <c r="B15" s="2" t="s">
        <v>26</v>
      </c>
      <c r="C15" s="2">
        <f>'Incurred'!L16</f>
        <v>1389603.684732</v>
      </c>
      <c r="D15" s="4">
        <v>1.147036492103849</v>
      </c>
      <c r="E15" s="2">
        <f>IF(AND(ISNUMBER(C15),ISNUMBER(D15)),C15*D15,"")</f>
        <v>1593926.1359495763</v>
      </c>
      <c r="F15" s="2">
        <f>E15-C15</f>
        <v>204322.45121757616</v>
      </c>
      <c r="G15" s="2">
        <f>E15-'Paid CL'!C15</f>
        <v>204322.45121757616</v>
      </c>
    </row>
    <row r="16" spans="1:7">
      <c r="A16" s="2">
        <v>2015</v>
      </c>
      <c r="B16" s="2" t="s">
        <v>27</v>
      </c>
      <c r="C16" s="2">
        <f>'Incurred'!K17</f>
        <v>3382963.2580760014</v>
      </c>
      <c r="D16" s="4">
        <v>1.156442191339101</v>
      </c>
      <c r="E16" s="2">
        <f>IF(AND(ISNUMBER(C16),ISNUMBER(D16)),C16*D16,"")</f>
        <v>3912201.443389074</v>
      </c>
      <c r="F16" s="2">
        <f>E16-C16</f>
        <v>529238.1853130725</v>
      </c>
      <c r="G16" s="2">
        <f>E16-'Paid CL'!C16</f>
        <v>529238.1853130725</v>
      </c>
    </row>
    <row r="17" spans="1:7">
      <c r="A17" s="2">
        <v>2016</v>
      </c>
      <c r="B17" s="2" t="s">
        <v>28</v>
      </c>
      <c r="C17" s="2">
        <f>'Incurred'!J18</f>
        <v>2506323.643367999</v>
      </c>
      <c r="D17" s="4">
        <v>1.212529637619047</v>
      </c>
      <c r="E17" s="2">
        <f>IF(AND(ISNUMBER(C17),ISNUMBER(D17)),C17*D17,"")</f>
        <v>3038991.6990490486</v>
      </c>
      <c r="F17" s="2">
        <f>E17-C17</f>
        <v>532668.0556810498</v>
      </c>
      <c r="G17" s="2">
        <f>E17-'Paid CL'!C17</f>
        <v>532668.0556810498</v>
      </c>
    </row>
    <row r="18" spans="1:7">
      <c r="A18" s="2">
        <v>2017</v>
      </c>
      <c r="B18" s="2" t="s">
        <v>29</v>
      </c>
      <c r="C18" s="2">
        <f>'Incurred'!I19</f>
        <v>1205811.8289160004</v>
      </c>
      <c r="D18" s="4">
        <v>1.230232570328285</v>
      </c>
      <c r="E18" s="2">
        <f>IF(AND(ISNUMBER(C18),ISNUMBER(D18)),C18*D18,"")</f>
        <v>1483428.9856195813</v>
      </c>
      <c r="F18" s="2">
        <f>E18-C18</f>
        <v>277617.15670358087</v>
      </c>
      <c r="G18" s="2">
        <f>E18-'Paid CL'!C18</f>
        <v>277617.15670358087</v>
      </c>
    </row>
    <row r="19" spans="1:7">
      <c r="A19" s="2">
        <v>2018</v>
      </c>
      <c r="B19" s="2" t="s">
        <v>30</v>
      </c>
      <c r="C19" s="2">
        <f>'Incurred'!H20</f>
        <v>2395448.423304001</v>
      </c>
      <c r="D19" s="4">
        <v>1.238229082035419</v>
      </c>
      <c r="E19" s="2">
        <f>IF(AND(ISNUMBER(C19),ISNUMBER(D19)),C19*D19,"")</f>
        <v>2966113.902250904</v>
      </c>
      <c r="F19" s="2">
        <f>E19-C19</f>
        <v>570665.4789469033</v>
      </c>
      <c r="G19" s="2">
        <f>E19-'Paid CL'!C19</f>
        <v>570665.4789469033</v>
      </c>
    </row>
    <row r="20" spans="1:7">
      <c r="A20" s="2">
        <v>2019</v>
      </c>
      <c r="B20" s="2" t="s">
        <v>31</v>
      </c>
      <c r="C20" s="2">
        <f>'Incurred'!G21</f>
        <v>2599882.8742919993</v>
      </c>
      <c r="D20" s="4">
        <v>1.3459550121725</v>
      </c>
      <c r="E20" s="2">
        <f>IF(AND(ISNUMBER(C20),ISNUMBER(D20)),C20*D20,"")</f>
        <v>3499325.3857147624</v>
      </c>
      <c r="F20" s="2">
        <f>E20-C20</f>
        <v>899442.5114227631</v>
      </c>
      <c r="G20" s="2">
        <f>E20-'Paid CL'!C20</f>
        <v>899442.5114227631</v>
      </c>
    </row>
    <row r="21" spans="1:7">
      <c r="A21" s="2">
        <v>2020</v>
      </c>
      <c r="B21" s="2" t="s">
        <v>32</v>
      </c>
      <c r="C21" s="2">
        <f>'Incurred'!F22</f>
        <v>978899.5094679999</v>
      </c>
      <c r="D21" s="4">
        <v>1.484184591922616</v>
      </c>
      <c r="E21" s="2">
        <f>IF(AND(ISNUMBER(C21),ISNUMBER(D21)),C21*D21,"")</f>
        <v>1452867.5689930124</v>
      </c>
      <c r="F21" s="2">
        <f>E21-C21</f>
        <v>473968.0595250125</v>
      </c>
      <c r="G21" s="2">
        <f>E21-'Paid CL'!C21</f>
        <v>473968.0595250125</v>
      </c>
    </row>
    <row r="22" spans="1:7">
      <c r="A22" s="2">
        <v>2021</v>
      </c>
      <c r="B22" s="2" t="s">
        <v>33</v>
      </c>
      <c r="C22" s="2">
        <f>'Incurred'!E23</f>
        <v>1011313.279736</v>
      </c>
      <c r="D22" s="4">
        <v>1.568337858284628</v>
      </c>
      <c r="E22" s="2">
        <f>IF(AND(ISNUMBER(C22),ISNUMBER(D22)),C22*D22,"")</f>
        <v>1586080.9031959614</v>
      </c>
      <c r="F22" s="2">
        <f>E22-C22</f>
        <v>574767.6234599614</v>
      </c>
      <c r="G22" s="2">
        <f>E22-'Paid CL'!C22</f>
        <v>574767.6234599614</v>
      </c>
    </row>
    <row r="23" spans="1:7">
      <c r="A23" s="2">
        <v>2022</v>
      </c>
      <c r="B23" s="2" t="s">
        <v>34</v>
      </c>
      <c r="C23" s="2">
        <f>'Incurred'!D24</f>
        <v>827416.1066440007</v>
      </c>
      <c r="D23" s="4">
        <v>1.882319097513211</v>
      </c>
      <c r="E23" s="2">
        <f>IF(AND(ISNUMBER(C23),ISNUMBER(D23)),C23*D23,"")</f>
        <v>1557461.1391260303</v>
      </c>
      <c r="F23" s="2">
        <f>E23-C23</f>
        <v>730045.0324820295</v>
      </c>
      <c r="G23" s="2">
        <f>E23-'Paid CL'!C23</f>
        <v>730045.0324820295</v>
      </c>
    </row>
    <row r="24" spans="1:7">
      <c r="A24" s="2">
        <v>2023</v>
      </c>
      <c r="B24" s="2" t="s">
        <v>35</v>
      </c>
      <c r="C24" s="2">
        <f>'Incurred'!C25</f>
        <v>1651756.6743519998</v>
      </c>
      <c r="D24" s="4">
        <v>2.367016265122863</v>
      </c>
      <c r="E24" s="2">
        <f>IF(AND(ISNUMBER(C24),ISNUMBER(D24)),C24*D24,"")</f>
        <v>3909734.9142164313</v>
      </c>
      <c r="F24" s="2">
        <f>E24-C24</f>
        <v>2257978.2398644313</v>
      </c>
      <c r="G24" s="2">
        <f>E24-'Paid CL'!C24</f>
        <v>2257978.2398644313</v>
      </c>
    </row>
    <row r="25" spans="1:7">
      <c r="A25" s="2">
        <v>2024</v>
      </c>
      <c r="B25" s="2" t="s">
        <v>36</v>
      </c>
      <c r="C25" s="2">
        <f>'Incurred'!B26</f>
        <v>890155.221828</v>
      </c>
      <c r="D25" s="4">
        <v>4.029608489745161</v>
      </c>
      <c r="E25" s="2">
        <f>IF(AND(ISNUMBER(C25),ISNUMBER(D25)),C25*D25,"")</f>
        <v>3586977.0390690966</v>
      </c>
      <c r="F25" s="2">
        <f>E25-C25</f>
        <v>2696821.8172410964</v>
      </c>
      <c r="G25" s="2">
        <f>E25-'Paid CL'!C25</f>
        <v>2696821.8172410964</v>
      </c>
    </row>
    <row r="27" spans="1:7">
      <c r="A27" s="3" t="s">
        <v>37</v>
      </c>
      <c r="C27" s="2">
        <f>SUM(C2:C25)</f>
        <v>43616394.859456</v>
      </c>
      <c r="E27" s="2">
        <f>SUM(E2:E25)</f>
        <v>54910966.195718065</v>
      </c>
      <c r="F27" s="2">
        <f>SUM(F2:F25)</f>
        <v>11294571.336262062</v>
      </c>
      <c r="G27" s="2">
        <f>SUM(G2:G25)</f>
        <v>11294571.336262062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8.7109375" customWidth="1"/>
  </cols>
  <sheetData>
    <row r="1" spans="1:7">
      <c r="A1" s="1" t="s">
        <v>0</v>
      </c>
      <c r="B1" s="1" t="s">
        <v>1</v>
      </c>
      <c r="C1" s="1" t="s">
        <v>3</v>
      </c>
      <c r="D1" s="1" t="s">
        <v>38</v>
      </c>
      <c r="E1" s="1" t="s">
        <v>39</v>
      </c>
      <c r="F1" s="1" t="s">
        <v>10</v>
      </c>
      <c r="G1" s="1" t="s">
        <v>11</v>
      </c>
    </row>
    <row r="2" spans="1:7">
      <c r="A2" s="2">
        <v>2001</v>
      </c>
      <c r="B2" s="2" t="s">
        <v>13</v>
      </c>
      <c r="C2" s="2">
        <f>'Paid'!R3</f>
        <v>3042294.6622760003</v>
      </c>
      <c r="D2" s="4">
        <v>1.0039</v>
      </c>
      <c r="E2" s="2">
        <f>IF(AND(ISNUMBER(C2),ISNUMBER(D2)),C2*D2,"")</f>
        <v>3054159.6114588766</v>
      </c>
      <c r="F2" s="2">
        <f>E2-C2</f>
        <v>11864.949182876386</v>
      </c>
      <c r="G2" s="2">
        <f>E2-C2</f>
        <v>11864.949182876386</v>
      </c>
    </row>
    <row r="3" spans="1:7">
      <c r="A3" s="2">
        <v>2002</v>
      </c>
      <c r="B3" s="2" t="s">
        <v>14</v>
      </c>
      <c r="C3" s="2">
        <f>'Paid'!R4</f>
        <v>2199646.2280880003</v>
      </c>
      <c r="D3" s="4">
        <v>1.00781521</v>
      </c>
      <c r="E3" s="2">
        <f>IF(AND(ISNUMBER(C3),ISNUMBER(D3)),C3*D3,"")</f>
        <v>2216836.9252862157</v>
      </c>
      <c r="F3" s="2">
        <f>E3-C3</f>
        <v>17190.697198215406</v>
      </c>
      <c r="G3" s="2">
        <f>E3-C3</f>
        <v>17190.697198215406</v>
      </c>
    </row>
    <row r="4" spans="1:7">
      <c r="A4" s="2">
        <v>2003</v>
      </c>
      <c r="B4" s="2" t="s">
        <v>15</v>
      </c>
      <c r="C4" s="2">
        <f>'Paid'!R5</f>
        <v>1778091.5758439994</v>
      </c>
      <c r="D4" s="4">
        <v>1.015273042554</v>
      </c>
      <c r="E4" s="2">
        <f>IF(AND(ISNUMBER(C4),ISNUMBER(D4)),C4*D4,"")</f>
        <v>1805248.4441467738</v>
      </c>
      <c r="F4" s="2">
        <f>E4-C4</f>
        <v>27156.868302774383</v>
      </c>
      <c r="G4" s="2">
        <f>E4-C4</f>
        <v>27156.868302774383</v>
      </c>
    </row>
    <row r="5" spans="1:7">
      <c r="A5" s="2">
        <v>2004</v>
      </c>
      <c r="B5" s="2" t="s">
        <v>16</v>
      </c>
      <c r="C5" s="2">
        <f>'Paid'!R6</f>
        <v>1122614.7306000004</v>
      </c>
      <c r="D5" s="4">
        <v>1.021567735417835</v>
      </c>
      <c r="E5" s="2">
        <f>IF(AND(ISNUMBER(C5),ISNUMBER(D5)),C5*D5,"")</f>
        <v>1146826.988085745</v>
      </c>
      <c r="F5" s="2">
        <f>E5-C5</f>
        <v>24212.257485744543</v>
      </c>
      <c r="G5" s="2">
        <f>E5-C5</f>
        <v>24212.257485744543</v>
      </c>
    </row>
    <row r="6" spans="1:7">
      <c r="A6" s="2">
        <v>2005</v>
      </c>
      <c r="B6" s="2" t="s">
        <v>17</v>
      </c>
      <c r="C6" s="2">
        <f>'Paid'!R7</f>
        <v>2242149.132116</v>
      </c>
      <c r="D6" s="4">
        <v>1.027084201189091</v>
      </c>
      <c r="E6" s="2">
        <f>IF(AND(ISNUMBER(C6),ISNUMBER(D6)),C6*D6,"")</f>
        <v>2302875.9503061757</v>
      </c>
      <c r="F6" s="2">
        <f>E6-C6</f>
        <v>60726.818190175574</v>
      </c>
      <c r="G6" s="2">
        <f>E6-C6</f>
        <v>60726.818190175574</v>
      </c>
    </row>
    <row r="7" spans="1:7">
      <c r="A7" s="2">
        <v>2006</v>
      </c>
      <c r="B7" s="2" t="s">
        <v>18</v>
      </c>
      <c r="C7" s="2">
        <f>'Paid'!R8</f>
        <v>1462141.0278560002</v>
      </c>
      <c r="D7" s="4">
        <v>1.029651911692064</v>
      </c>
      <c r="E7" s="2">
        <f>IF(AND(ISNUMBER(C7),ISNUMBER(D7)),C7*D7,"")</f>
        <v>1505496.3044953297</v>
      </c>
      <c r="F7" s="2">
        <f>E7-C7</f>
        <v>43355.2766393295</v>
      </c>
      <c r="G7" s="2">
        <f>E7-C7</f>
        <v>43355.2766393295</v>
      </c>
    </row>
    <row r="8" spans="1:7">
      <c r="A8" s="2">
        <v>2007</v>
      </c>
      <c r="B8" s="2" t="s">
        <v>19</v>
      </c>
      <c r="C8" s="2">
        <f>'Paid'!R9</f>
        <v>4790693.153152</v>
      </c>
      <c r="D8" s="4">
        <v>1.034491275677016</v>
      </c>
      <c r="E8" s="2">
        <f>IF(AND(ISNUMBER(C8),ISNUMBER(D8)),C8*D8,"")</f>
        <v>4955930.2713813605</v>
      </c>
      <c r="F8" s="2">
        <f>E8-C8</f>
        <v>165237.11822936032</v>
      </c>
      <c r="G8" s="2">
        <f>E8-C8</f>
        <v>165237.11822936032</v>
      </c>
    </row>
    <row r="9" spans="1:7">
      <c r="A9" s="2">
        <v>2008</v>
      </c>
      <c r="B9" s="2" t="s">
        <v>20</v>
      </c>
      <c r="C9" s="2">
        <f>'Paid'!R10</f>
        <v>1378427.9395479984</v>
      </c>
      <c r="D9" s="4">
        <v>1.036663707355938</v>
      </c>
      <c r="E9" s="2">
        <f>IF(AND(ISNUMBER(C9),ISNUMBER(D9)),C9*D9,"")</f>
        <v>1428966.218134835</v>
      </c>
      <c r="F9" s="2">
        <f>E9-C9</f>
        <v>50538.27858683653</v>
      </c>
      <c r="G9" s="2">
        <f>E9-C9</f>
        <v>50538.27858683653</v>
      </c>
    </row>
    <row r="10" spans="1:7">
      <c r="A10" s="2">
        <v>2009</v>
      </c>
      <c r="B10" s="2" t="s">
        <v>21</v>
      </c>
      <c r="C10" s="2">
        <f>'Paid'!Q11</f>
        <v>1169581.0892560005</v>
      </c>
      <c r="D10" s="4">
        <v>1.048585339990532</v>
      </c>
      <c r="E10" s="2">
        <f>IF(AND(ISNUMBER(C10),ISNUMBER(D10)),C10*D10,"")</f>
        <v>1226405.5841239996</v>
      </c>
      <c r="F10" s="2">
        <f>E10-C10</f>
        <v>56824.49486799911</v>
      </c>
      <c r="G10" s="2">
        <f>E10-C10</f>
        <v>56824.49486799911</v>
      </c>
    </row>
    <row r="11" spans="1:7">
      <c r="A11" s="2">
        <v>2010</v>
      </c>
      <c r="B11" s="2" t="s">
        <v>22</v>
      </c>
      <c r="C11" s="2">
        <f>'Paid'!P12</f>
        <v>1277672.0720840006</v>
      </c>
      <c r="D11" s="4">
        <v>1.064943271294384</v>
      </c>
      <c r="E11" s="2">
        <f>IF(AND(ISNUMBER(C11),ISNUMBER(D11)),C11*D11,"")</f>
        <v>1360648.2760866096</v>
      </c>
      <c r="F11" s="2">
        <f>E11-C11</f>
        <v>82976.20400260901</v>
      </c>
      <c r="G11" s="2">
        <f>E11-C11</f>
        <v>82976.20400260901</v>
      </c>
    </row>
    <row r="12" spans="1:7">
      <c r="A12" s="2">
        <v>2011</v>
      </c>
      <c r="B12" s="2" t="s">
        <v>23</v>
      </c>
      <c r="C12" s="2">
        <f>'Paid'!O13</f>
        <v>1892658.2977319998</v>
      </c>
      <c r="D12" s="4">
        <v>1.080171960073894</v>
      </c>
      <c r="E12" s="2">
        <f>IF(AND(ISNUMBER(C12),ISNUMBER(D12)),C12*D12,"")</f>
        <v>2044396.4232112933</v>
      </c>
      <c r="F12" s="2">
        <f>E12-C12</f>
        <v>151738.12547929352</v>
      </c>
      <c r="G12" s="2">
        <f>E12-C12</f>
        <v>151738.12547929352</v>
      </c>
    </row>
    <row r="13" spans="1:7">
      <c r="A13" s="2">
        <v>2012</v>
      </c>
      <c r="B13" s="2" t="s">
        <v>24</v>
      </c>
      <c r="C13" s="2">
        <f>'Paid'!N14</f>
        <v>1194236.878339999</v>
      </c>
      <c r="D13" s="4">
        <v>1.094646264338884</v>
      </c>
      <c r="E13" s="2">
        <f>IF(AND(ISNUMBER(C13),ISNUMBER(D13)),C13*D13,"")</f>
        <v>1307266.93761061</v>
      </c>
      <c r="F13" s="2">
        <f>E13-C13</f>
        <v>113030.05927061103</v>
      </c>
      <c r="G13" s="2">
        <f>E13-C13</f>
        <v>113030.05927061103</v>
      </c>
    </row>
    <row r="14" spans="1:7">
      <c r="A14" s="2">
        <v>2013</v>
      </c>
      <c r="B14" s="2" t="s">
        <v>25</v>
      </c>
      <c r="C14" s="2">
        <f>'Paid'!M15</f>
        <v>708529.9908599999</v>
      </c>
      <c r="D14" s="4">
        <v>1.113802573964815</v>
      </c>
      <c r="E14" s="2">
        <f>IF(AND(ISNUMBER(C14),ISNUMBER(D14)),C14*D14,"")</f>
        <v>789162.5275511343</v>
      </c>
      <c r="F14" s="2">
        <f>E14-C14</f>
        <v>80632.53669113445</v>
      </c>
      <c r="G14" s="2">
        <f>E14-C14</f>
        <v>80632.53669113445</v>
      </c>
    </row>
    <row r="15" spans="1:7">
      <c r="A15" s="2">
        <v>2014</v>
      </c>
      <c r="B15" s="2" t="s">
        <v>26</v>
      </c>
      <c r="C15" s="2">
        <f>'Paid'!L16</f>
        <v>1389603.684732</v>
      </c>
      <c r="D15" s="4">
        <v>1.134853442612749</v>
      </c>
      <c r="E15" s="2">
        <f>IF(AND(ISNUMBER(C15),ISNUMBER(D15)),C15*D15,"")</f>
        <v>1576996.525485472</v>
      </c>
      <c r="F15" s="2">
        <f>E15-C15</f>
        <v>187392.84075347194</v>
      </c>
      <c r="G15" s="2">
        <f>E15-C15</f>
        <v>187392.84075347194</v>
      </c>
    </row>
    <row r="16" spans="1:7">
      <c r="A16" s="2">
        <v>2015</v>
      </c>
      <c r="B16" s="2" t="s">
        <v>27</v>
      </c>
      <c r="C16" s="2">
        <f>'Paid'!K17</f>
        <v>3364231.2985480013</v>
      </c>
      <c r="D16" s="4">
        <v>1.144272726186435</v>
      </c>
      <c r="E16" s="2">
        <f>IF(AND(ISNUMBER(C16),ISNUMBER(D16)),C16*D16,"")</f>
        <v>3849598.1195112523</v>
      </c>
      <c r="F16" s="2">
        <f>E16-C16</f>
        <v>485366.82096325094</v>
      </c>
      <c r="G16" s="2">
        <f>E16-C16</f>
        <v>485366.82096325094</v>
      </c>
    </row>
    <row r="17" spans="1:7">
      <c r="A17" s="2">
        <v>2016</v>
      </c>
      <c r="B17" s="2" t="s">
        <v>28</v>
      </c>
      <c r="C17" s="2">
        <f>'Paid'!J18</f>
        <v>2462208.676391999</v>
      </c>
      <c r="D17" s="4">
        <v>1.21807831702546</v>
      </c>
      <c r="E17" s="2">
        <f>IF(AND(ISNUMBER(C17),ISNUMBER(D17)),C17*D17,"")</f>
        <v>2999163.000705052</v>
      </c>
      <c r="F17" s="2">
        <f>E17-C17</f>
        <v>536954.3243130534</v>
      </c>
      <c r="G17" s="2">
        <f>E17-C17</f>
        <v>536954.3243130534</v>
      </c>
    </row>
    <row r="18" spans="1:7">
      <c r="A18" s="2">
        <v>2017</v>
      </c>
      <c r="B18" s="2" t="s">
        <v>29</v>
      </c>
      <c r="C18" s="2">
        <f>'Paid'!I19</f>
        <v>1205811.8289160004</v>
      </c>
      <c r="D18" s="4">
        <v>1.234156950810197</v>
      </c>
      <c r="E18" s="2">
        <f>IF(AND(ISNUMBER(C18),ISNUMBER(D18)),C18*D18,"")</f>
        <v>1488161.0500258375</v>
      </c>
      <c r="F18" s="2">
        <f>E18-C18</f>
        <v>282349.22110983706</v>
      </c>
      <c r="G18" s="2">
        <f>E18-C18</f>
        <v>282349.22110983706</v>
      </c>
    </row>
    <row r="19" spans="1:7">
      <c r="A19" s="2">
        <v>2018</v>
      </c>
      <c r="B19" s="2" t="s">
        <v>30</v>
      </c>
      <c r="C19" s="2">
        <f>'Paid'!H20</f>
        <v>2395448.423304001</v>
      </c>
      <c r="D19" s="4">
        <v>1.274637298796771</v>
      </c>
      <c r="E19" s="2">
        <f>IF(AND(ISNUMBER(C19),ISNUMBER(D19)),C19*D19,"")</f>
        <v>3053327.9076871956</v>
      </c>
      <c r="F19" s="2">
        <f>E19-C19</f>
        <v>657879.4843831947</v>
      </c>
      <c r="G19" s="2">
        <f>E19-C19</f>
        <v>657879.4843831947</v>
      </c>
    </row>
    <row r="20" spans="1:7">
      <c r="A20" s="2">
        <v>2019</v>
      </c>
      <c r="B20" s="2" t="s">
        <v>31</v>
      </c>
      <c r="C20" s="2">
        <f>'Paid'!G21</f>
        <v>2395189.8344880007</v>
      </c>
      <c r="D20" s="4">
        <v>1.411023489768025</v>
      </c>
      <c r="E20" s="2">
        <f>IF(AND(ISNUMBER(C20),ISNUMBER(D20)),C20*D20,"")</f>
        <v>3379669.118916158</v>
      </c>
      <c r="F20" s="2">
        <f>E20-C20</f>
        <v>984479.2844281574</v>
      </c>
      <c r="G20" s="2">
        <f>E20-C20</f>
        <v>984479.2844281574</v>
      </c>
    </row>
    <row r="21" spans="1:7">
      <c r="A21" s="2">
        <v>2020</v>
      </c>
      <c r="B21" s="2" t="s">
        <v>32</v>
      </c>
      <c r="C21" s="2">
        <f>'Paid'!F22</f>
        <v>976050.8625559999</v>
      </c>
      <c r="D21" s="4">
        <v>1.579217489748374</v>
      </c>
      <c r="E21" s="2">
        <f>IF(AND(ISNUMBER(C21),ISNUMBER(D21)),C21*D21,"")</f>
        <v>1541396.5930324213</v>
      </c>
      <c r="F21" s="2">
        <f>E21-C21</f>
        <v>565345.7304764214</v>
      </c>
      <c r="G21" s="2">
        <f>E21-C21</f>
        <v>565345.7304764214</v>
      </c>
    </row>
    <row r="22" spans="1:7">
      <c r="A22" s="2">
        <v>2021</v>
      </c>
      <c r="B22" s="2" t="s">
        <v>33</v>
      </c>
      <c r="C22" s="2">
        <f>'Paid'!E23</f>
        <v>974979.4133360002</v>
      </c>
      <c r="D22" s="4">
        <v>1.733664960245765</v>
      </c>
      <c r="E22" s="2">
        <f>IF(AND(ISNUMBER(C22),ISNUMBER(D22)),C22*D22,"")</f>
        <v>1690287.645861596</v>
      </c>
      <c r="F22" s="2">
        <f>E22-C22</f>
        <v>715308.2325255959</v>
      </c>
      <c r="G22" s="2">
        <f>E22-C22</f>
        <v>715308.2325255959</v>
      </c>
    </row>
    <row r="23" spans="1:7">
      <c r="A23" s="2">
        <v>2022</v>
      </c>
      <c r="B23" s="2" t="s">
        <v>34</v>
      </c>
      <c r="C23" s="2">
        <f>'Paid'!D24</f>
        <v>791103.7101360001</v>
      </c>
      <c r="D23" s="4">
        <v>2.080224585798893</v>
      </c>
      <c r="E23" s="2">
        <f>IF(AND(ISNUMBER(C23),ISNUMBER(D23)),C23*D23,"")</f>
        <v>1645673.3877416283</v>
      </c>
      <c r="F23" s="2">
        <f>E23-C23</f>
        <v>854569.6776056283</v>
      </c>
      <c r="G23" s="2">
        <f>E23-C23</f>
        <v>854569.6776056283</v>
      </c>
    </row>
    <row r="24" spans="1:7">
      <c r="A24" s="2">
        <v>2023</v>
      </c>
      <c r="B24" s="2" t="s">
        <v>35</v>
      </c>
      <c r="C24" s="2">
        <f>'Paid'!C25</f>
        <v>1199242.068356001</v>
      </c>
      <c r="D24" s="4">
        <v>2.958911450840346</v>
      </c>
      <c r="E24" s="2">
        <f>IF(AND(ISNUMBER(C24),ISNUMBER(D24)),C24*D24,"")</f>
        <v>3548451.0883880323</v>
      </c>
      <c r="F24" s="2">
        <f>E24-C24</f>
        <v>2349209.0200320315</v>
      </c>
      <c r="G24" s="2">
        <f>E24-C24</f>
        <v>2349209.0200320315</v>
      </c>
    </row>
    <row r="25" spans="1:7">
      <c r="A25" s="2">
        <v>2024</v>
      </c>
      <c r="B25" s="2" t="s">
        <v>36</v>
      </c>
      <c r="C25" s="2">
        <f>'Paid'!B26</f>
        <v>355247.76093199995</v>
      </c>
      <c r="D25" s="4">
        <v>7.761816517844396</v>
      </c>
      <c r="E25" s="2">
        <f>IF(AND(ISNUMBER(C25),ISNUMBER(D25)),C25*D25,"")</f>
        <v>2757367.9387292345</v>
      </c>
      <c r="F25" s="2">
        <f>E25-C25</f>
        <v>2402120.1777972346</v>
      </c>
      <c r="G25" s="2">
        <f>E25-C25</f>
        <v>2402120.1777972346</v>
      </c>
    </row>
    <row r="27" spans="1:7">
      <c r="A27" s="3" t="s">
        <v>37</v>
      </c>
      <c r="C27" s="2">
        <f>SUM(C2:C25)</f>
        <v>41767854.339448005</v>
      </c>
      <c r="E27" s="2">
        <f>SUM(E2:E25)</f>
        <v>52674312.837962836</v>
      </c>
      <c r="F27" s="2">
        <f>SUM(F2:F25)</f>
        <v>10906458.498514831</v>
      </c>
      <c r="G27" s="2">
        <f>SUM(G2:G25)</f>
        <v>10906458.498514831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8.7109375" customWidth="1"/>
  </cols>
  <sheetData>
    <row r="1" spans="1:10">
      <c r="A1" s="1" t="s">
        <v>0</v>
      </c>
      <c r="B1" s="1" t="s">
        <v>1</v>
      </c>
      <c r="C1" s="1" t="s">
        <v>6</v>
      </c>
      <c r="D1" s="1" t="s">
        <v>38</v>
      </c>
      <c r="E1" s="1" t="s">
        <v>40</v>
      </c>
      <c r="F1" s="1" t="s">
        <v>41</v>
      </c>
      <c r="G1" s="1" t="s">
        <v>2</v>
      </c>
      <c r="H1" s="1" t="s">
        <v>39</v>
      </c>
      <c r="I1" s="1" t="s">
        <v>10</v>
      </c>
      <c r="J1" s="1" t="s">
        <v>11</v>
      </c>
    </row>
    <row r="2" spans="1:10">
      <c r="A2" s="2">
        <v>2001</v>
      </c>
      <c r="B2" s="2" t="s">
        <v>13</v>
      </c>
      <c r="C2" s="2">
        <f>'IE'!D2</f>
        <v>3163773.699688</v>
      </c>
      <c r="D2" s="4">
        <f>'Incurred CL'!D2</f>
        <v>1.021551350628563</v>
      </c>
      <c r="E2" s="5">
        <f>1-(1/D2)</f>
        <v>0.021096688497648564</v>
      </c>
      <c r="F2" s="2">
        <f>C2*E2</f>
        <v>66745.14821937088</v>
      </c>
      <c r="G2" s="2">
        <f>'Incurred CL'!C2</f>
        <v>3163773.699688</v>
      </c>
      <c r="H2" s="2">
        <f>F2+G2</f>
        <v>3230518.847907371</v>
      </c>
      <c r="I2" s="2">
        <f>H2-G2</f>
        <v>66745.14821937075</v>
      </c>
      <c r="J2" s="2">
        <f>H2-'Paid CL'!C2</f>
        <v>66745.14821937075</v>
      </c>
    </row>
    <row r="3" spans="1:10">
      <c r="A3" s="2">
        <v>2002</v>
      </c>
      <c r="B3" s="2" t="s">
        <v>14</v>
      </c>
      <c r="C3" s="2">
        <f>'IE'!D3</f>
        <v>2904344.2565999995</v>
      </c>
      <c r="D3" s="4">
        <f>'Incurred CL'!D3</f>
        <v>1.033707811701043</v>
      </c>
      <c r="E3" s="5">
        <f>1-(1/D3)</f>
        <v>0.03260864561483212</v>
      </c>
      <c r="F3" s="2">
        <f>C3*E3</f>
        <v>94706.73260694243</v>
      </c>
      <c r="G3" s="2">
        <f>'Incurred CL'!C3</f>
        <v>2327733.756319999</v>
      </c>
      <c r="H3" s="2">
        <f>F3+G3</f>
        <v>2422440.4889269415</v>
      </c>
      <c r="I3" s="2">
        <f>H3-G3</f>
        <v>94706.7326069423</v>
      </c>
      <c r="J3" s="2">
        <f>H3-'Paid CL'!C3</f>
        <v>94706.7326069423</v>
      </c>
    </row>
    <row r="4" spans="1:10">
      <c r="A4" s="2">
        <v>2003</v>
      </c>
      <c r="B4" s="2" t="s">
        <v>15</v>
      </c>
      <c r="C4" s="2">
        <f>'IE'!D4</f>
        <v>2633272.1256</v>
      </c>
      <c r="D4" s="4">
        <f>'Incurred CL'!D4</f>
        <v>1.033707811701043</v>
      </c>
      <c r="E4" s="5">
        <f>1-(1/D4)</f>
        <v>0.03260864561483212</v>
      </c>
      <c r="F4" s="2">
        <f>C4*E4</f>
        <v>85867.4375511061</v>
      </c>
      <c r="G4" s="2">
        <f>'Incurred CL'!C4</f>
        <v>1778091.5758439994</v>
      </c>
      <c r="H4" s="2">
        <f>F4+G4</f>
        <v>1863959.0133951055</v>
      </c>
      <c r="I4" s="2">
        <f>H4-G4</f>
        <v>85867.4375511061</v>
      </c>
      <c r="J4" s="2">
        <f>H4-'Paid CL'!C4</f>
        <v>85867.4375511061</v>
      </c>
    </row>
    <row r="5" spans="1:10">
      <c r="A5" s="2">
        <v>2004</v>
      </c>
      <c r="B5" s="2" t="s">
        <v>16</v>
      </c>
      <c r="C5" s="2">
        <f>'IE'!D5</f>
        <v>1678710.98</v>
      </c>
      <c r="D5" s="4">
        <f>'Incurred CL'!D5</f>
        <v>1.051694327624641</v>
      </c>
      <c r="E5" s="5">
        <f>1-(1/D5)</f>
        <v>0.04915337685751142</v>
      </c>
      <c r="F5" s="2">
        <f>C5*E5</f>
        <v>82514.31343478232</v>
      </c>
      <c r="G5" s="2">
        <f>'Incurred CL'!C5</f>
        <v>1122614.7306000004</v>
      </c>
      <c r="H5" s="2">
        <f>F5+G5</f>
        <v>1205129.0440347828</v>
      </c>
      <c r="I5" s="2">
        <f>H5-G5</f>
        <v>82514.31343478244</v>
      </c>
      <c r="J5" s="2">
        <f>H5-'Paid CL'!C5</f>
        <v>82514.31343478244</v>
      </c>
    </row>
    <row r="6" spans="1:10">
      <c r="A6" s="2">
        <v>2005</v>
      </c>
      <c r="B6" s="2" t="s">
        <v>17</v>
      </c>
      <c r="C6" s="2">
        <f>'IE'!D6</f>
        <v>1712285.2</v>
      </c>
      <c r="D6" s="4">
        <f>'Incurred CL'!D6</f>
        <v>1.058951018485251</v>
      </c>
      <c r="E6" s="5">
        <f>1-(1/D6)</f>
        <v>0.055669258970614144</v>
      </c>
      <c r="F6" s="2">
        <f>C6*E6</f>
        <v>95321.64823034983</v>
      </c>
      <c r="G6" s="2">
        <f>'Incurred CL'!C6</f>
        <v>2242149.132116</v>
      </c>
      <c r="H6" s="2">
        <f>F6+G6</f>
        <v>2337470.78034635</v>
      </c>
      <c r="I6" s="2">
        <f>H6-G6</f>
        <v>95321.64823034965</v>
      </c>
      <c r="J6" s="2">
        <f>H6-'Paid CL'!C6</f>
        <v>95321.64823034965</v>
      </c>
    </row>
    <row r="7" spans="1:10">
      <c r="A7" s="2">
        <v>2006</v>
      </c>
      <c r="B7" s="2" t="s">
        <v>18</v>
      </c>
      <c r="C7" s="2">
        <f>'IE'!D7</f>
        <v>1746530.9035</v>
      </c>
      <c r="D7" s="4">
        <f>'Incurred CL'!D7</f>
        <v>1.0683756825497697</v>
      </c>
      <c r="E7" s="5">
        <f>1-(1/D7)</f>
        <v>0.06399966197900098</v>
      </c>
      <c r="F7" s="2">
        <f>C7*E7</f>
        <v>111777.38745987917</v>
      </c>
      <c r="G7" s="2">
        <f>'Incurred CL'!C7</f>
        <v>1517636.7926600005</v>
      </c>
      <c r="H7" s="2">
        <f>F7+G7</f>
        <v>1629414.1801198798</v>
      </c>
      <c r="I7" s="2">
        <f>H7-G7</f>
        <v>111777.38745987928</v>
      </c>
      <c r="J7" s="2">
        <f>H7-'Paid CL'!C7</f>
        <v>111777.38745987928</v>
      </c>
    </row>
    <row r="8" spans="1:10">
      <c r="A8" s="2">
        <v>2007</v>
      </c>
      <c r="B8" s="2" t="s">
        <v>19</v>
      </c>
      <c r="C8" s="2">
        <f>'IE'!D8</f>
        <v>2850338.4351999997</v>
      </c>
      <c r="D8" s="4">
        <f>'Incurred CL'!D8</f>
        <v>1.0683756825497697</v>
      </c>
      <c r="E8" s="5">
        <f>1-(1/D8)</f>
        <v>0.06399966197900098</v>
      </c>
      <c r="F8" s="2">
        <f>C8*E8</f>
        <v>182420.69637855457</v>
      </c>
      <c r="G8" s="2">
        <f>'Incurred CL'!C8</f>
        <v>4810774.614816</v>
      </c>
      <c r="H8" s="2">
        <f>F8+G8</f>
        <v>4993195.311194554</v>
      </c>
      <c r="I8" s="2">
        <f>H8-G8</f>
        <v>182420.69637855422</v>
      </c>
      <c r="J8" s="2">
        <f>H8-'Paid CL'!C8</f>
        <v>182420.69637855422</v>
      </c>
    </row>
    <row r="9" spans="1:10">
      <c r="A9" s="2">
        <v>2008</v>
      </c>
      <c r="B9" s="2" t="s">
        <v>20</v>
      </c>
      <c r="C9" s="2">
        <f>'IE'!D9</f>
        <v>2543927.0535</v>
      </c>
      <c r="D9" s="4">
        <f>'Incurred CL'!D9</f>
        <v>1.0705124339148693</v>
      </c>
      <c r="E9" s="5">
        <f>1-(1/D9)</f>
        <v>0.06586792612674752</v>
      </c>
      <c r="F9" s="2">
        <f>C9*E9</f>
        <v>167563.19923177248</v>
      </c>
      <c r="G9" s="2">
        <f>'Incurred CL'!C9</f>
        <v>1378427.9395479984</v>
      </c>
      <c r="H9" s="2">
        <f>F9+G9</f>
        <v>1545991.1387797708</v>
      </c>
      <c r="I9" s="2">
        <f>H9-G9</f>
        <v>167563.19923177245</v>
      </c>
      <c r="J9" s="2">
        <f>H9-'Paid CL'!C9</f>
        <v>167563.19923177245</v>
      </c>
    </row>
    <row r="10" spans="1:10">
      <c r="A10" s="2">
        <v>2009</v>
      </c>
      <c r="B10" s="2" t="s">
        <v>21</v>
      </c>
      <c r="C10" s="2">
        <f>'IE'!D10</f>
        <v>2594805.5945</v>
      </c>
      <c r="D10" s="4">
        <f>'Incurred CL'!D10</f>
        <v>1.0786483284126223</v>
      </c>
      <c r="E10" s="5">
        <f>1-(1/D10)</f>
        <v>0.07291378138819715</v>
      </c>
      <c r="F10" s="2">
        <f>C10*E10</f>
        <v>189197.08786224396</v>
      </c>
      <c r="G10" s="2">
        <f>'Incurred CL'!C10</f>
        <v>1169581.0892560005</v>
      </c>
      <c r="H10" s="2">
        <f>F10+G10</f>
        <v>1358778.1771182443</v>
      </c>
      <c r="I10" s="2">
        <f>H10-G10</f>
        <v>189197.08786224388</v>
      </c>
      <c r="J10" s="2">
        <f>H10-'Paid CL'!C10</f>
        <v>189197.08786224388</v>
      </c>
    </row>
    <row r="11" spans="1:10">
      <c r="A11" s="2">
        <v>2010</v>
      </c>
      <c r="B11" s="2" t="s">
        <v>22</v>
      </c>
      <c r="C11" s="2">
        <f>'IE'!D11</f>
        <v>1134300.7311</v>
      </c>
      <c r="D11" s="4">
        <f>'Incurred CL'!D11</f>
        <v>1.0825314623949078</v>
      </c>
      <c r="E11" s="5">
        <f>1-(1/D11)</f>
        <v>0.07623931983678489</v>
      </c>
      <c r="F11" s="2">
        <f>C11*E11</f>
        <v>86478.31622943183</v>
      </c>
      <c r="G11" s="2">
        <f>'Incurred CL'!C11</f>
        <v>1277672.0720840006</v>
      </c>
      <c r="H11" s="2">
        <f>F11+G11</f>
        <v>1364150.3883134325</v>
      </c>
      <c r="I11" s="2">
        <f>H11-G11</f>
        <v>86478.31622943189</v>
      </c>
      <c r="J11" s="2">
        <f>H11-'Paid CL'!C11</f>
        <v>86478.31622943189</v>
      </c>
    </row>
    <row r="12" spans="1:10">
      <c r="A12" s="2">
        <v>2011</v>
      </c>
      <c r="B12" s="2" t="s">
        <v>23</v>
      </c>
      <c r="C12" s="2">
        <f>'IE'!D12</f>
        <v>1542648.9944000002</v>
      </c>
      <c r="D12" s="4">
        <f>'Incurred CL'!D12</f>
        <v>1.1053728762514403</v>
      </c>
      <c r="E12" s="5">
        <f>1-(1/D12)</f>
        <v>0.09532790112308764</v>
      </c>
      <c r="F12" s="2">
        <f>C12*E12</f>
        <v>147057.49080579382</v>
      </c>
      <c r="G12" s="2">
        <f>'Incurred CL'!C12</f>
        <v>1916081.5804159997</v>
      </c>
      <c r="H12" s="2">
        <f>F12+G12</f>
        <v>2063139.0712217935</v>
      </c>
      <c r="I12" s="2">
        <f>H12-G12</f>
        <v>147057.4908057938</v>
      </c>
      <c r="J12" s="2">
        <f>H12-'Paid CL'!C12</f>
        <v>147057.4908057938</v>
      </c>
    </row>
    <row r="13" spans="1:10">
      <c r="A13" s="2">
        <v>2012</v>
      </c>
      <c r="B13" s="2" t="s">
        <v>24</v>
      </c>
      <c r="C13" s="2">
        <f>'IE'!D13</f>
        <v>1573501.9744000002</v>
      </c>
      <c r="D13" s="4">
        <f>'Incurred CL'!D13</f>
        <v>1.1058150254019408</v>
      </c>
      <c r="E13" s="5">
        <f>1-(1/D13)</f>
        <v>0.09568962527297842</v>
      </c>
      <c r="F13" s="2">
        <f>C13*E13</f>
        <v>150567.8142966277</v>
      </c>
      <c r="G13" s="2">
        <f>'Incurred CL'!C13</f>
        <v>1363753.380531999</v>
      </c>
      <c r="H13" s="2">
        <f>F13+G13</f>
        <v>1514321.1948286267</v>
      </c>
      <c r="I13" s="2">
        <f>H13-G13</f>
        <v>150567.81429662765</v>
      </c>
      <c r="J13" s="2">
        <f>H13-'Paid CL'!C13</f>
        <v>150567.81429662765</v>
      </c>
    </row>
    <row r="14" spans="1:10">
      <c r="A14" s="2">
        <v>2013</v>
      </c>
      <c r="B14" s="2" t="s">
        <v>25</v>
      </c>
      <c r="C14" s="2">
        <f>'IE'!D14</f>
        <v>1203729.0102</v>
      </c>
      <c r="D14" s="4">
        <f>'Incurred CL'!D14</f>
        <v>1.108247818457825</v>
      </c>
      <c r="E14" s="5">
        <f>1-(1/D14)</f>
        <v>0.09767474084312355</v>
      </c>
      <c r="F14" s="2">
        <f>C14*E14</f>
        <v>117573.91911663461</v>
      </c>
      <c r="G14" s="2">
        <f>'Incurred CL'!C14</f>
        <v>708529.9908599999</v>
      </c>
      <c r="H14" s="2">
        <f>F14+G14</f>
        <v>826103.9099766345</v>
      </c>
      <c r="I14" s="2">
        <f>H14-G14</f>
        <v>117573.91911663464</v>
      </c>
      <c r="J14" s="2">
        <f>H14-'Paid CL'!C14</f>
        <v>117573.91911663464</v>
      </c>
    </row>
    <row r="15" spans="1:10">
      <c r="A15" s="2">
        <v>2014</v>
      </c>
      <c r="B15" s="2" t="s">
        <v>26</v>
      </c>
      <c r="C15" s="2">
        <f>'IE'!D15</f>
        <v>1227803.5905</v>
      </c>
      <c r="D15" s="4">
        <f>'Incurred CL'!D15</f>
        <v>1.147036492103849</v>
      </c>
      <c r="E15" s="5">
        <f>1-(1/D15)</f>
        <v>0.1281881554039841</v>
      </c>
      <c r="F15" s="2">
        <f>C15*E15</f>
        <v>157389.87746458364</v>
      </c>
      <c r="G15" s="2">
        <f>'Incurred CL'!C15</f>
        <v>1389603.684732</v>
      </c>
      <c r="H15" s="2">
        <f>F15+G15</f>
        <v>1546993.5621965837</v>
      </c>
      <c r="I15" s="2">
        <f>H15-G15</f>
        <v>157389.8774645836</v>
      </c>
      <c r="J15" s="2">
        <f>H15-'Paid CL'!C15</f>
        <v>157389.8774645836</v>
      </c>
    </row>
    <row r="16" spans="1:10">
      <c r="A16" s="2">
        <v>2015</v>
      </c>
      <c r="B16" s="2" t="s">
        <v>27</v>
      </c>
      <c r="C16" s="2">
        <f>'IE'!D16</f>
        <v>1669812.8832</v>
      </c>
      <c r="D16" s="4">
        <f>'Incurred CL'!D16</f>
        <v>1.1564421913391005</v>
      </c>
      <c r="E16" s="5">
        <f>1-(1/D16)</f>
        <v>0.13527886868080152</v>
      </c>
      <c r="F16" s="2">
        <f>C16*E16</f>
        <v>225890.3977479234</v>
      </c>
      <c r="G16" s="2">
        <f>'Incurred CL'!C16</f>
        <v>3382963.2580760014</v>
      </c>
      <c r="H16" s="2">
        <f>F16+G16</f>
        <v>3608853.6558239246</v>
      </c>
      <c r="I16" s="2">
        <f>H16-G16</f>
        <v>225890.39774792315</v>
      </c>
      <c r="J16" s="2">
        <f>H16-'Paid CL'!C16</f>
        <v>225890.39774792315</v>
      </c>
    </row>
    <row r="17" spans="1:10">
      <c r="A17" s="2">
        <v>2016</v>
      </c>
      <c r="B17" s="2" t="s">
        <v>28</v>
      </c>
      <c r="C17" s="2">
        <f>'IE'!D17</f>
        <v>2554813.7112</v>
      </c>
      <c r="D17" s="4">
        <f>'Incurred CL'!D17</f>
        <v>1.2125296376190469</v>
      </c>
      <c r="E17" s="5">
        <f>1-(1/D17)</f>
        <v>0.17527789096881397</v>
      </c>
      <c r="F17" s="2">
        <f>C17*E17</f>
        <v>447802.35911734455</v>
      </c>
      <c r="G17" s="2">
        <f>'Incurred CL'!C17</f>
        <v>2506323.643367999</v>
      </c>
      <c r="H17" s="2">
        <f>F17+G17</f>
        <v>2954126.0024853433</v>
      </c>
      <c r="I17" s="2">
        <f>H17-G17</f>
        <v>447802.3591173445</v>
      </c>
      <c r="J17" s="2">
        <f>H17-'Paid CL'!C17</f>
        <v>447802.3591173445</v>
      </c>
    </row>
    <row r="18" spans="1:10">
      <c r="A18" s="2">
        <v>2017</v>
      </c>
      <c r="B18" s="2" t="s">
        <v>29</v>
      </c>
      <c r="C18" s="2">
        <f>'IE'!D18</f>
        <v>2605909.9854</v>
      </c>
      <c r="D18" s="4">
        <f>'Incurred CL'!D18</f>
        <v>1.2302325703282848</v>
      </c>
      <c r="E18" s="5">
        <f>1-(1/D18)</f>
        <v>0.18714556570945584</v>
      </c>
      <c r="F18" s="2">
        <f>C18*E18</f>
        <v>487684.4984056028</v>
      </c>
      <c r="G18" s="2">
        <f>'Incurred CL'!C18</f>
        <v>1205811.8289160004</v>
      </c>
      <c r="H18" s="2">
        <f>F18+G18</f>
        <v>1693496.3273216032</v>
      </c>
      <c r="I18" s="2">
        <f>H18-G18</f>
        <v>487684.49840560276</v>
      </c>
      <c r="J18" s="2">
        <f>H18-'Paid CL'!C18</f>
        <v>487684.49840560276</v>
      </c>
    </row>
    <row r="19" spans="1:10">
      <c r="A19" s="2">
        <v>2018</v>
      </c>
      <c r="B19" s="2" t="s">
        <v>30</v>
      </c>
      <c r="C19" s="2">
        <f>'IE'!D19</f>
        <v>2215023.4875</v>
      </c>
      <c r="D19" s="4">
        <f>'Incurred CL'!D19</f>
        <v>1.2382290820354187</v>
      </c>
      <c r="E19" s="5">
        <f>1-(1/D19)</f>
        <v>0.19239499822101924</v>
      </c>
      <c r="F19" s="2">
        <f>C19*E19</f>
        <v>426159.4399370783</v>
      </c>
      <c r="G19" s="2">
        <f>'Incurred CL'!C19</f>
        <v>2395448.423304001</v>
      </c>
      <c r="H19" s="2">
        <f>F19+G19</f>
        <v>2821607.8632410793</v>
      </c>
      <c r="I19" s="2">
        <f>H19-G19</f>
        <v>426159.4399370784</v>
      </c>
      <c r="J19" s="2">
        <f>H19-'Paid CL'!C19</f>
        <v>426159.4399370784</v>
      </c>
    </row>
    <row r="20" spans="1:10">
      <c r="A20" s="2">
        <v>2019</v>
      </c>
      <c r="B20" s="2" t="s">
        <v>31</v>
      </c>
      <c r="C20" s="2">
        <f>'IE'!D20</f>
        <v>2259323.9575</v>
      </c>
      <c r="D20" s="4">
        <f>'Incurred CL'!D20</f>
        <v>1.3459550121725001</v>
      </c>
      <c r="E20" s="5">
        <f>1-(1/D20)</f>
        <v>0.25703311703865617</v>
      </c>
      <c r="F20" s="2">
        <f>C20*E20</f>
        <v>580721.0791963374</v>
      </c>
      <c r="G20" s="2">
        <f>'Incurred CL'!C20</f>
        <v>2599882.8742919993</v>
      </c>
      <c r="H20" s="2">
        <f>F20+G20</f>
        <v>3180603.953488337</v>
      </c>
      <c r="I20" s="2">
        <f>H20-G20</f>
        <v>580721.0791963376</v>
      </c>
      <c r="J20" s="2">
        <f>H20-'Paid CL'!C20</f>
        <v>580721.0791963376</v>
      </c>
    </row>
    <row r="21" spans="1:10">
      <c r="A21" s="2">
        <v>2020</v>
      </c>
      <c r="B21" s="2" t="s">
        <v>32</v>
      </c>
      <c r="C21" s="2">
        <f>'IE'!D21</f>
        <v>1843608.3492</v>
      </c>
      <c r="D21" s="4">
        <f>'Incurred CL'!D21</f>
        <v>1.484184591922616</v>
      </c>
      <c r="E21" s="5">
        <f>1-(1/D21)</f>
        <v>0.3262293616021187</v>
      </c>
      <c r="F21" s="2">
        <f>C21*E21</f>
        <v>601439.1748038519</v>
      </c>
      <c r="G21" s="2">
        <f>'Incurred CL'!C21</f>
        <v>978899.5094679999</v>
      </c>
      <c r="H21" s="2">
        <f>F21+G21</f>
        <v>1580338.6842718518</v>
      </c>
      <c r="I21" s="2">
        <f>H21-G21</f>
        <v>601439.1748038519</v>
      </c>
      <c r="J21" s="2">
        <f>H21-'Paid CL'!C21</f>
        <v>601439.1748038519</v>
      </c>
    </row>
    <row r="22" spans="1:10">
      <c r="A22" s="2">
        <v>2021</v>
      </c>
      <c r="B22" s="2" t="s">
        <v>33</v>
      </c>
      <c r="C22" s="2">
        <f>'IE'!D22</f>
        <v>1410360.3873</v>
      </c>
      <c r="D22" s="4">
        <f>'Incurred CL'!D22</f>
        <v>1.5683378582846283</v>
      </c>
      <c r="E22" s="5">
        <f>1-(1/D22)</f>
        <v>0.3623822859866742</v>
      </c>
      <c r="F22" s="2">
        <f>C22*E22</f>
        <v>511089.62121482525</v>
      </c>
      <c r="G22" s="2">
        <f>'Incurred CL'!C22</f>
        <v>1011313.279736</v>
      </c>
      <c r="H22" s="2">
        <f>F22+G22</f>
        <v>1522402.9009508253</v>
      </c>
      <c r="I22" s="2">
        <f>H22-G22</f>
        <v>511089.6212148253</v>
      </c>
      <c r="J22" s="2">
        <f>H22-'Paid CL'!C22</f>
        <v>511089.6212148253</v>
      </c>
    </row>
    <row r="23" spans="1:10">
      <c r="A23" s="2">
        <v>2022</v>
      </c>
      <c r="B23" s="2" t="s">
        <v>34</v>
      </c>
      <c r="C23" s="2">
        <f>'IE'!D23</f>
        <v>959045.0632000001</v>
      </c>
      <c r="D23" s="4">
        <f>'Incurred CL'!D23</f>
        <v>1.882319097513211</v>
      </c>
      <c r="E23" s="5">
        <f>1-(1/D23)</f>
        <v>0.4687404482475206</v>
      </c>
      <c r="F23" s="2">
        <f>C23*E23</f>
        <v>449543.2128139398</v>
      </c>
      <c r="G23" s="2">
        <f>'Incurred CL'!C23</f>
        <v>827416.1066440007</v>
      </c>
      <c r="H23" s="2">
        <f>F23+G23</f>
        <v>1276959.3194579405</v>
      </c>
      <c r="I23" s="2">
        <f>H23-G23</f>
        <v>449543.2128139398</v>
      </c>
      <c r="J23" s="2">
        <f>H23-'Paid CL'!C23</f>
        <v>449543.2128139398</v>
      </c>
    </row>
    <row r="24" spans="1:10">
      <c r="A24" s="2">
        <v>2023</v>
      </c>
      <c r="B24" s="2" t="s">
        <v>35</v>
      </c>
      <c r="C24" s="2">
        <f>'IE'!D24</f>
        <v>978225.9646000001</v>
      </c>
      <c r="D24" s="4">
        <f>'Incurred CL'!D24</f>
        <v>2.367016265122863</v>
      </c>
      <c r="E24" s="5">
        <f>1-(1/D24)</f>
        <v>0.5775271954254637</v>
      </c>
      <c r="F24" s="2">
        <f>C24*E24</f>
        <v>564952.097827807</v>
      </c>
      <c r="G24" s="2">
        <f>'Incurred CL'!C24</f>
        <v>1651756.6743519998</v>
      </c>
      <c r="H24" s="2">
        <f>F24+G24</f>
        <v>2216708.7721798066</v>
      </c>
      <c r="I24" s="2">
        <f>H24-G24</f>
        <v>564952.0978278068</v>
      </c>
      <c r="J24" s="2">
        <f>H24-'Paid CL'!C24</f>
        <v>564952.0978278068</v>
      </c>
    </row>
    <row r="25" spans="1:10">
      <c r="A25" s="2">
        <v>2024</v>
      </c>
      <c r="B25" s="2" t="s">
        <v>36</v>
      </c>
      <c r="C25" s="2">
        <f>'IE'!D25</f>
        <v>997790.4837999999</v>
      </c>
      <c r="D25" s="4">
        <f>'Incurred CL'!D25</f>
        <v>4.029608489745161</v>
      </c>
      <c r="E25" s="5">
        <f>1-(1/D25)</f>
        <v>0.7518369334031154</v>
      </c>
      <c r="F25" s="2">
        <f>C25*E25</f>
        <v>750175.7375190029</v>
      </c>
      <c r="G25" s="2">
        <f>'Incurred CL'!C25</f>
        <v>890155.221828</v>
      </c>
      <c r="H25" s="2">
        <f>F25+G25</f>
        <v>1640330.959347003</v>
      </c>
      <c r="I25" s="2">
        <f>H25-G25</f>
        <v>750175.7375190029</v>
      </c>
      <c r="J25" s="2">
        <f>H25-'Paid CL'!C25</f>
        <v>750175.7375190029</v>
      </c>
    </row>
    <row r="27" spans="1:10">
      <c r="A27" s="3" t="s">
        <v>37</v>
      </c>
      <c r="C27" s="2">
        <f>SUM(C2:C25)</f>
        <v>46003886.822088</v>
      </c>
      <c r="E27" s="5">
        <f>SUM(F2:F25)/SUM(C2:C25)</f>
        <v>0.14739273474206044</v>
      </c>
      <c r="F27" s="2">
        <f>SUM(F2:F25)</f>
        <v>6780638.6874717865</v>
      </c>
      <c r="G27" s="2">
        <f>SUM(G2:G25)</f>
        <v>43616394.859456</v>
      </c>
      <c r="H27" s="2">
        <f>SUM(H2:H25)</f>
        <v>50397033.54692779</v>
      </c>
      <c r="I27" s="2">
        <f>SUM(I2:I25)</f>
        <v>6780638.687471785</v>
      </c>
      <c r="J27" s="2">
        <f>SUM(J2:J25)</f>
        <v>6780638.687471785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8.7109375" customWidth="1"/>
  </cols>
  <sheetData>
    <row r="1" spans="1:10">
      <c r="A1" s="1" t="s">
        <v>0</v>
      </c>
      <c r="B1" s="1" t="s">
        <v>1</v>
      </c>
      <c r="C1" s="1" t="s">
        <v>6</v>
      </c>
      <c r="D1" s="1" t="s">
        <v>38</v>
      </c>
      <c r="E1" s="1" t="s">
        <v>40</v>
      </c>
      <c r="F1" s="1" t="s">
        <v>41</v>
      </c>
      <c r="G1" s="1" t="s">
        <v>3</v>
      </c>
      <c r="H1" s="1" t="s">
        <v>39</v>
      </c>
      <c r="I1" s="1" t="s">
        <v>10</v>
      </c>
      <c r="J1" s="1" t="s">
        <v>11</v>
      </c>
    </row>
    <row r="2" spans="1:10">
      <c r="A2" s="2">
        <v>2001</v>
      </c>
      <c r="B2" s="2" t="s">
        <v>13</v>
      </c>
      <c r="C2" s="2">
        <f>'IE'!D2</f>
        <v>3163773.699688</v>
      </c>
      <c r="D2" s="4">
        <f>'Paid CL'!D2</f>
        <v>1.0039</v>
      </c>
      <c r="E2" s="5">
        <f>1-(1/D2)</f>
        <v>0.003884849088554687</v>
      </c>
      <c r="F2" s="2">
        <f>C2*E2</f>
        <v>12290.783373626218</v>
      </c>
      <c r="G2" s="2">
        <f>'Paid CL'!C2</f>
        <v>3042294.6622760003</v>
      </c>
      <c r="H2" s="2">
        <f>F2+G2</f>
        <v>3054585.4456496267</v>
      </c>
      <c r="I2" s="2">
        <f>H2-G2</f>
        <v>12290.783373626415</v>
      </c>
      <c r="J2" s="2">
        <f>H2-G2</f>
        <v>12290.783373626415</v>
      </c>
    </row>
    <row r="3" spans="1:10">
      <c r="A3" s="2">
        <v>2002</v>
      </c>
      <c r="B3" s="2" t="s">
        <v>14</v>
      </c>
      <c r="C3" s="2">
        <f>'IE'!D3</f>
        <v>2904344.2565999995</v>
      </c>
      <c r="D3" s="4">
        <f>'Paid CL'!D3</f>
        <v>1.00781521</v>
      </c>
      <c r="E3" s="5">
        <f>1-(1/D3)</f>
        <v>0.007754606124668384</v>
      </c>
      <c r="F3" s="2">
        <f>C3*E3</f>
        <v>22522.0457603758</v>
      </c>
      <c r="G3" s="2">
        <f>'Paid CL'!C3</f>
        <v>2199646.2280880003</v>
      </c>
      <c r="H3" s="2">
        <f>F3+G3</f>
        <v>2222168.2738483762</v>
      </c>
      <c r="I3" s="2">
        <f>H3-G3</f>
        <v>22522.045760375913</v>
      </c>
      <c r="J3" s="2">
        <f>H3-G3</f>
        <v>22522.045760375913</v>
      </c>
    </row>
    <row r="4" spans="1:10">
      <c r="A4" s="2">
        <v>2003</v>
      </c>
      <c r="B4" s="2" t="s">
        <v>15</v>
      </c>
      <c r="C4" s="2">
        <f>'IE'!D4</f>
        <v>2633272.1256</v>
      </c>
      <c r="D4" s="4">
        <f>'Paid CL'!D4</f>
        <v>1.015273042554</v>
      </c>
      <c r="E4" s="5">
        <f>1-(1/D4)</f>
        <v>0.015043285809676843</v>
      </c>
      <c r="F4" s="2">
        <f>C4*E4</f>
        <v>39613.06520005606</v>
      </c>
      <c r="G4" s="2">
        <f>'Paid CL'!C4</f>
        <v>1778091.5758439994</v>
      </c>
      <c r="H4" s="2">
        <f>F4+G4</f>
        <v>1817704.6410440553</v>
      </c>
      <c r="I4" s="2">
        <f>H4-G4</f>
        <v>39613.06520005595</v>
      </c>
      <c r="J4" s="2">
        <f>H4-G4</f>
        <v>39613.06520005595</v>
      </c>
    </row>
    <row r="5" spans="1:10">
      <c r="A5" s="2">
        <v>2004</v>
      </c>
      <c r="B5" s="2" t="s">
        <v>16</v>
      </c>
      <c r="C5" s="2">
        <f>'IE'!D5</f>
        <v>1678710.98</v>
      </c>
      <c r="D5" s="4">
        <f>'Paid CL'!D5</f>
        <v>1.0215677354178347</v>
      </c>
      <c r="E5" s="5">
        <f>1-(1/D5)</f>
        <v>0.02111238899788981</v>
      </c>
      <c r="F5" s="2">
        <f>C5*E5</f>
        <v>35441.59922478882</v>
      </c>
      <c r="G5" s="2">
        <f>'Paid CL'!C5</f>
        <v>1122614.7306000004</v>
      </c>
      <c r="H5" s="2">
        <f>F5+G5</f>
        <v>1158056.3298247892</v>
      </c>
      <c r="I5" s="2">
        <f>H5-G5</f>
        <v>35441.599224788835</v>
      </c>
      <c r="J5" s="2">
        <f>H5-G5</f>
        <v>35441.599224788835</v>
      </c>
    </row>
    <row r="6" spans="1:10">
      <c r="A6" s="2">
        <v>2005</v>
      </c>
      <c r="B6" s="2" t="s">
        <v>17</v>
      </c>
      <c r="C6" s="2">
        <f>'IE'!D6</f>
        <v>1712285.2</v>
      </c>
      <c r="D6" s="4">
        <f>'Paid CL'!D6</f>
        <v>1.027084201189091</v>
      </c>
      <c r="E6" s="5">
        <f>1-(1/D6)</f>
        <v>0.02636999104624016</v>
      </c>
      <c r="F6" s="2">
        <f>C6*E6</f>
        <v>45152.94539260954</v>
      </c>
      <c r="G6" s="2">
        <f>'Paid CL'!C6</f>
        <v>2242149.132116</v>
      </c>
      <c r="H6" s="2">
        <f>F6+G6</f>
        <v>2287302.0775086097</v>
      </c>
      <c r="I6" s="2">
        <f>H6-G6</f>
        <v>45152.945392609574</v>
      </c>
      <c r="J6" s="2">
        <f>H6-G6</f>
        <v>45152.945392609574</v>
      </c>
    </row>
    <row r="7" spans="1:10">
      <c r="A7" s="2">
        <v>2006</v>
      </c>
      <c r="B7" s="2" t="s">
        <v>18</v>
      </c>
      <c r="C7" s="2">
        <f>'IE'!D7</f>
        <v>1746530.9035</v>
      </c>
      <c r="D7" s="4">
        <f>'Paid CL'!D7</f>
        <v>1.0296519116920637</v>
      </c>
      <c r="E7" s="5">
        <f>1-(1/D7)</f>
        <v>0.028797996056099895</v>
      </c>
      <c r="F7" s="2">
        <f>C7*E7</f>
        <v>50296.59007084959</v>
      </c>
      <c r="G7" s="2">
        <f>'Paid CL'!C7</f>
        <v>1462141.0278560002</v>
      </c>
      <c r="H7" s="2">
        <f>F7+G7</f>
        <v>1512437.6179268498</v>
      </c>
      <c r="I7" s="2">
        <f>H7-G7</f>
        <v>50296.59007084952</v>
      </c>
      <c r="J7" s="2">
        <f>H7-G7</f>
        <v>50296.59007084952</v>
      </c>
    </row>
    <row r="8" spans="1:10">
      <c r="A8" s="2">
        <v>2007</v>
      </c>
      <c r="B8" s="2" t="s">
        <v>19</v>
      </c>
      <c r="C8" s="2">
        <f>'IE'!D8</f>
        <v>2850338.4351999997</v>
      </c>
      <c r="D8" s="4">
        <f>'Paid CL'!D8</f>
        <v>1.0344912756770164</v>
      </c>
      <c r="E8" s="5">
        <f>1-(1/D8)</f>
        <v>0.03334129198377611</v>
      </c>
      <c r="F8" s="2">
        <f>C8*E8</f>
        <v>95033.9660205827</v>
      </c>
      <c r="G8" s="2">
        <f>'Paid CL'!C8</f>
        <v>4790693.153152</v>
      </c>
      <c r="H8" s="2">
        <f>F8+G8</f>
        <v>4885727.119172582</v>
      </c>
      <c r="I8" s="2">
        <f>H8-G8</f>
        <v>95033.96602058224</v>
      </c>
      <c r="J8" s="2">
        <f>H8-G8</f>
        <v>95033.96602058224</v>
      </c>
    </row>
    <row r="9" spans="1:10">
      <c r="A9" s="2">
        <v>2008</v>
      </c>
      <c r="B9" s="2" t="s">
        <v>20</v>
      </c>
      <c r="C9" s="2">
        <f>'IE'!D9</f>
        <v>2543927.0535</v>
      </c>
      <c r="D9" s="4">
        <f>'Paid CL'!D9</f>
        <v>1.0366637073559382</v>
      </c>
      <c r="E9" s="5">
        <f>1-(1/D9)</f>
        <v>0.03536702123917379</v>
      </c>
      <c r="F9" s="2">
        <f>C9*E9</f>
        <v>89971.1221320433</v>
      </c>
      <c r="G9" s="2">
        <f>'Paid CL'!C9</f>
        <v>1378427.9395479984</v>
      </c>
      <c r="H9" s="2">
        <f>F9+G9</f>
        <v>1468399.0616800417</v>
      </c>
      <c r="I9" s="2">
        <f>H9-G9</f>
        <v>89971.12213204335</v>
      </c>
      <c r="J9" s="2">
        <f>H9-G9</f>
        <v>89971.12213204335</v>
      </c>
    </row>
    <row r="10" spans="1:10">
      <c r="A10" s="2">
        <v>2009</v>
      </c>
      <c r="B10" s="2" t="s">
        <v>21</v>
      </c>
      <c r="C10" s="2">
        <f>'IE'!D10</f>
        <v>2594805.5945</v>
      </c>
      <c r="D10" s="4">
        <f>'Paid CL'!D10</f>
        <v>1.0485853399905316</v>
      </c>
      <c r="E10" s="5">
        <f>1-(1/D10)</f>
        <v>0.046334178189989084</v>
      </c>
      <c r="F10" s="2">
        <f>C10*E10</f>
        <v>120228.18478394356</v>
      </c>
      <c r="G10" s="2">
        <f>'Paid CL'!C10</f>
        <v>1169581.0892560005</v>
      </c>
      <c r="H10" s="2">
        <f>F10+G10</f>
        <v>1289809.274039944</v>
      </c>
      <c r="I10" s="2">
        <f>H10-G10</f>
        <v>120228.18478394346</v>
      </c>
      <c r="J10" s="2">
        <f>H10-G10</f>
        <v>120228.18478394346</v>
      </c>
    </row>
    <row r="11" spans="1:10">
      <c r="A11" s="2">
        <v>2010</v>
      </c>
      <c r="B11" s="2" t="s">
        <v>22</v>
      </c>
      <c r="C11" s="2">
        <f>'IE'!D11</f>
        <v>1134300.7311</v>
      </c>
      <c r="D11" s="4">
        <f>'Paid CL'!D11</f>
        <v>1.064943271294384</v>
      </c>
      <c r="E11" s="5">
        <f>1-(1/D11)</f>
        <v>0.06098284579557822</v>
      </c>
      <c r="F11" s="2">
        <f>C11*E11</f>
        <v>69172.88657048294</v>
      </c>
      <c r="G11" s="2">
        <f>'Paid CL'!C11</f>
        <v>1277672.0720840006</v>
      </c>
      <c r="H11" s="2">
        <f>F11+G11</f>
        <v>1346844.9586544835</v>
      </c>
      <c r="I11" s="2">
        <f>H11-G11</f>
        <v>69172.88657048298</v>
      </c>
      <c r="J11" s="2">
        <f>H11-G11</f>
        <v>69172.88657048298</v>
      </c>
    </row>
    <row r="12" spans="1:10">
      <c r="A12" s="2">
        <v>2011</v>
      </c>
      <c r="B12" s="2" t="s">
        <v>23</v>
      </c>
      <c r="C12" s="2">
        <f>'IE'!D12</f>
        <v>1542648.9944000002</v>
      </c>
      <c r="D12" s="4">
        <f>'Paid CL'!D12</f>
        <v>1.0801719600738937</v>
      </c>
      <c r="E12" s="5">
        <f>1-(1/D12)</f>
        <v>0.0742214786508707</v>
      </c>
      <c r="F12" s="2">
        <f>C12*E12</f>
        <v>114497.68940364677</v>
      </c>
      <c r="G12" s="2">
        <f>'Paid CL'!C12</f>
        <v>1892658.2977319998</v>
      </c>
      <c r="H12" s="2">
        <f>F12+G12</f>
        <v>2007155.9871356466</v>
      </c>
      <c r="I12" s="2">
        <f>H12-G12</f>
        <v>114497.68940364686</v>
      </c>
      <c r="J12" s="2">
        <f>H12-G12</f>
        <v>114497.68940364686</v>
      </c>
    </row>
    <row r="13" spans="1:10">
      <c r="A13" s="2">
        <v>2012</v>
      </c>
      <c r="B13" s="2" t="s">
        <v>24</v>
      </c>
      <c r="C13" s="2">
        <f>'IE'!D13</f>
        <v>1573501.9744000002</v>
      </c>
      <c r="D13" s="4">
        <f>'Paid CL'!D13</f>
        <v>1.094646264338884</v>
      </c>
      <c r="E13" s="5">
        <f>1-(1/D13)</f>
        <v>0.08646287611098358</v>
      </c>
      <c r="F13" s="2">
        <f>C13*E13</f>
        <v>136049.50627293528</v>
      </c>
      <c r="G13" s="2">
        <f>'Paid CL'!C13</f>
        <v>1194236.878339999</v>
      </c>
      <c r="H13" s="2">
        <f>F13+G13</f>
        <v>1330286.3846129342</v>
      </c>
      <c r="I13" s="2">
        <f>H13-G13</f>
        <v>136049.5062729353</v>
      </c>
      <c r="J13" s="2">
        <f>H13-G13</f>
        <v>136049.5062729353</v>
      </c>
    </row>
    <row r="14" spans="1:10">
      <c r="A14" s="2">
        <v>2013</v>
      </c>
      <c r="B14" s="2" t="s">
        <v>25</v>
      </c>
      <c r="C14" s="2">
        <f>'IE'!D14</f>
        <v>1203729.0102</v>
      </c>
      <c r="D14" s="4">
        <f>'Paid CL'!D14</f>
        <v>1.1138025739648145</v>
      </c>
      <c r="E14" s="5">
        <f>1-(1/D14)</f>
        <v>0.1021748168166916</v>
      </c>
      <c r="F14" s="2">
        <f>C14*E14</f>
        <v>122990.79111412249</v>
      </c>
      <c r="G14" s="2">
        <f>'Paid CL'!C14</f>
        <v>708529.9908599999</v>
      </c>
      <c r="H14" s="2">
        <f>F14+G14</f>
        <v>831520.7819741224</v>
      </c>
      <c r="I14" s="2">
        <f>H14-G14</f>
        <v>122990.79111412249</v>
      </c>
      <c r="J14" s="2">
        <f>H14-G14</f>
        <v>122990.79111412249</v>
      </c>
    </row>
    <row r="15" spans="1:10">
      <c r="A15" s="2">
        <v>2014</v>
      </c>
      <c r="B15" s="2" t="s">
        <v>26</v>
      </c>
      <c r="C15" s="2">
        <f>'IE'!D15</f>
        <v>1227803.5905</v>
      </c>
      <c r="D15" s="4">
        <f>'Paid CL'!D15</f>
        <v>1.1348534426127495</v>
      </c>
      <c r="E15" s="5">
        <f>1-(1/D15)</f>
        <v>0.11882894966796698</v>
      </c>
      <c r="F15" s="2">
        <f>C15*E15</f>
        <v>145898.61105767364</v>
      </c>
      <c r="G15" s="2">
        <f>'Paid CL'!C15</f>
        <v>1389603.684732</v>
      </c>
      <c r="H15" s="2">
        <f>F15+G15</f>
        <v>1535502.2957896737</v>
      </c>
      <c r="I15" s="2">
        <f>H15-G15</f>
        <v>145898.61105767358</v>
      </c>
      <c r="J15" s="2">
        <f>H15-G15</f>
        <v>145898.61105767358</v>
      </c>
    </row>
    <row r="16" spans="1:10">
      <c r="A16" s="2">
        <v>2015</v>
      </c>
      <c r="B16" s="2" t="s">
        <v>27</v>
      </c>
      <c r="C16" s="2">
        <f>'IE'!D16</f>
        <v>1669812.8832</v>
      </c>
      <c r="D16" s="4">
        <f>'Paid CL'!D16</f>
        <v>1.1442727261864352</v>
      </c>
      <c r="E16" s="5">
        <f>1-(1/D16)</f>
        <v>0.12608246520675082</v>
      </c>
      <c r="F16" s="2">
        <f>C16*E16</f>
        <v>210534.12474784825</v>
      </c>
      <c r="G16" s="2">
        <f>'Paid CL'!C16</f>
        <v>3364231.2985480013</v>
      </c>
      <c r="H16" s="2">
        <f>F16+G16</f>
        <v>3574765.4232958495</v>
      </c>
      <c r="I16" s="2">
        <f>H16-G16</f>
        <v>210534.12474784814</v>
      </c>
      <c r="J16" s="2">
        <f>H16-G16</f>
        <v>210534.12474784814</v>
      </c>
    </row>
    <row r="17" spans="1:10">
      <c r="A17" s="2">
        <v>2016</v>
      </c>
      <c r="B17" s="2" t="s">
        <v>28</v>
      </c>
      <c r="C17" s="2">
        <f>'IE'!D17</f>
        <v>2554813.7112</v>
      </c>
      <c r="D17" s="4">
        <f>'Paid CL'!D17</f>
        <v>1.2180783170254603</v>
      </c>
      <c r="E17" s="5">
        <f>1-(1/D17)</f>
        <v>0.1790347254173329</v>
      </c>
      <c r="F17" s="2">
        <f>C17*E17</f>
        <v>457400.37127712916</v>
      </c>
      <c r="G17" s="2">
        <f>'Paid CL'!C17</f>
        <v>2462208.676391999</v>
      </c>
      <c r="H17" s="2">
        <f>F17+G17</f>
        <v>2919609.047669128</v>
      </c>
      <c r="I17" s="2">
        <f>H17-G17</f>
        <v>457400.3712771293</v>
      </c>
      <c r="J17" s="2">
        <f>H17-G17</f>
        <v>457400.3712771293</v>
      </c>
    </row>
    <row r="18" spans="1:10">
      <c r="A18" s="2">
        <v>2017</v>
      </c>
      <c r="B18" s="2" t="s">
        <v>29</v>
      </c>
      <c r="C18" s="2">
        <f>'IE'!D18</f>
        <v>2605909.9854</v>
      </c>
      <c r="D18" s="4">
        <f>'Paid CL'!D18</f>
        <v>1.2341569508101966</v>
      </c>
      <c r="E18" s="5">
        <f>1-(1/D18)</f>
        <v>0.1897302856467954</v>
      </c>
      <c r="F18" s="2">
        <f>C18*E18</f>
        <v>494420.04589977843</v>
      </c>
      <c r="G18" s="2">
        <f>'Paid CL'!C18</f>
        <v>1205811.8289160004</v>
      </c>
      <c r="H18" s="2">
        <f>F18+G18</f>
        <v>1700231.8748157788</v>
      </c>
      <c r="I18" s="2">
        <f>H18-G18</f>
        <v>494420.0458997784</v>
      </c>
      <c r="J18" s="2">
        <f>H18-G18</f>
        <v>494420.0458997784</v>
      </c>
    </row>
    <row r="19" spans="1:10">
      <c r="A19" s="2">
        <v>2018</v>
      </c>
      <c r="B19" s="2" t="s">
        <v>30</v>
      </c>
      <c r="C19" s="2">
        <f>'IE'!D19</f>
        <v>2215023.4875</v>
      </c>
      <c r="D19" s="4">
        <f>'Paid CL'!D19</f>
        <v>1.274637298796771</v>
      </c>
      <c r="E19" s="5">
        <f>1-(1/D19)</f>
        <v>0.21546309609488312</v>
      </c>
      <c r="F19" s="2">
        <f>C19*E19</f>
        <v>477255.8185396356</v>
      </c>
      <c r="G19" s="2">
        <f>'Paid CL'!C19</f>
        <v>2395448.423304001</v>
      </c>
      <c r="H19" s="2">
        <f>F19+G19</f>
        <v>2872704.2418436366</v>
      </c>
      <c r="I19" s="2">
        <f>H19-G19</f>
        <v>477255.81853963574</v>
      </c>
      <c r="J19" s="2">
        <f>H19-G19</f>
        <v>477255.81853963574</v>
      </c>
    </row>
    <row r="20" spans="1:10">
      <c r="A20" s="2">
        <v>2019</v>
      </c>
      <c r="B20" s="2" t="s">
        <v>31</v>
      </c>
      <c r="C20" s="2">
        <f>'IE'!D20</f>
        <v>2259323.9575</v>
      </c>
      <c r="D20" s="4">
        <f>'Paid CL'!D20</f>
        <v>1.4110234897680254</v>
      </c>
      <c r="E20" s="5">
        <f>1-(1/D20)</f>
        <v>0.29129457641814194</v>
      </c>
      <c r="F20" s="2">
        <f>C20*E20</f>
        <v>658128.8151913226</v>
      </c>
      <c r="G20" s="2">
        <f>'Paid CL'!C20</f>
        <v>2395189.8344880007</v>
      </c>
      <c r="H20" s="2">
        <f>F20+G20</f>
        <v>3053318.649679323</v>
      </c>
      <c r="I20" s="2">
        <f>H20-G20</f>
        <v>658128.8151913225</v>
      </c>
      <c r="J20" s="2">
        <f>H20-G20</f>
        <v>658128.8151913225</v>
      </c>
    </row>
    <row r="21" spans="1:10">
      <c r="A21" s="2">
        <v>2020</v>
      </c>
      <c r="B21" s="2" t="s">
        <v>32</v>
      </c>
      <c r="C21" s="2">
        <f>'IE'!D21</f>
        <v>1843608.3492</v>
      </c>
      <c r="D21" s="4">
        <f>'Paid CL'!D21</f>
        <v>1.579217489748374</v>
      </c>
      <c r="E21" s="5">
        <f>1-(1/D21)</f>
        <v>0.36677499679962644</v>
      </c>
      <c r="F21" s="2">
        <f>C21*E21</f>
        <v>676189.4463775946</v>
      </c>
      <c r="G21" s="2">
        <f>'Paid CL'!C21</f>
        <v>976050.8625559999</v>
      </c>
      <c r="H21" s="2">
        <f>F21+G21</f>
        <v>1652240.3089335945</v>
      </c>
      <c r="I21" s="2">
        <f>H21-G21</f>
        <v>676189.4463775946</v>
      </c>
      <c r="J21" s="2">
        <f>H21-G21</f>
        <v>676189.4463775946</v>
      </c>
    </row>
    <row r="22" spans="1:10">
      <c r="A22" s="2">
        <v>2021</v>
      </c>
      <c r="B22" s="2" t="s">
        <v>33</v>
      </c>
      <c r="C22" s="2">
        <f>'IE'!D22</f>
        <v>1410360.3873</v>
      </c>
      <c r="D22" s="4">
        <f>'Paid CL'!D22</f>
        <v>1.733664960245765</v>
      </c>
      <c r="E22" s="5">
        <f>1-(1/D22)</f>
        <v>0.4231872807429645</v>
      </c>
      <c r="F22" s="2">
        <f>C22*E22</f>
        <v>596846.5771690813</v>
      </c>
      <c r="G22" s="2">
        <f>'Paid CL'!C22</f>
        <v>974979.4133360002</v>
      </c>
      <c r="H22" s="2">
        <f>F22+G22</f>
        <v>1571825.9905050816</v>
      </c>
      <c r="I22" s="2">
        <f>H22-G22</f>
        <v>596846.5771690814</v>
      </c>
      <c r="J22" s="2">
        <f>H22-G22</f>
        <v>596846.5771690814</v>
      </c>
    </row>
    <row r="23" spans="1:10">
      <c r="A23" s="2">
        <v>2022</v>
      </c>
      <c r="B23" s="2" t="s">
        <v>34</v>
      </c>
      <c r="C23" s="2">
        <f>'IE'!D23</f>
        <v>959045.0632000001</v>
      </c>
      <c r="D23" s="4">
        <f>'Paid CL'!D23</f>
        <v>2.0802245857988932</v>
      </c>
      <c r="E23" s="5">
        <f>1-(1/D23)</f>
        <v>0.5192826741753184</v>
      </c>
      <c r="F23" s="2">
        <f>C23*E23</f>
        <v>498015.48507313326</v>
      </c>
      <c r="G23" s="2">
        <f>'Paid CL'!C23</f>
        <v>791103.7101360001</v>
      </c>
      <c r="H23" s="2">
        <f>F23+G23</f>
        <v>1289119.1952091334</v>
      </c>
      <c r="I23" s="2">
        <f>H23-G23</f>
        <v>498015.4850731334</v>
      </c>
      <c r="J23" s="2">
        <f>H23-G23</f>
        <v>498015.4850731334</v>
      </c>
    </row>
    <row r="24" spans="1:10">
      <c r="A24" s="2">
        <v>2023</v>
      </c>
      <c r="B24" s="2" t="s">
        <v>35</v>
      </c>
      <c r="C24" s="2">
        <f>'IE'!D24</f>
        <v>978225.9646000001</v>
      </c>
      <c r="D24" s="4">
        <f>'Paid CL'!D24</f>
        <v>2.958911450840346</v>
      </c>
      <c r="E24" s="5">
        <f>1-(1/D24)</f>
        <v>0.6620378755450775</v>
      </c>
      <c r="F24" s="2">
        <f>C24*E24</f>
        <v>647622.6394068183</v>
      </c>
      <c r="G24" s="2">
        <f>'Paid CL'!C24</f>
        <v>1199242.068356001</v>
      </c>
      <c r="H24" s="2">
        <f>F24+G24</f>
        <v>1846864.7077628192</v>
      </c>
      <c r="I24" s="2">
        <f>H24-G24</f>
        <v>647622.6394068182</v>
      </c>
      <c r="J24" s="2">
        <f>H24-G24</f>
        <v>647622.6394068182</v>
      </c>
    </row>
    <row r="25" spans="1:10">
      <c r="A25" s="2">
        <v>2024</v>
      </c>
      <c r="B25" s="2" t="s">
        <v>36</v>
      </c>
      <c r="C25" s="2">
        <f>'IE'!D25</f>
        <v>997790.4837999999</v>
      </c>
      <c r="D25" s="4">
        <f>'Paid CL'!D25</f>
        <v>7.761816517844396</v>
      </c>
      <c r="E25" s="5">
        <f>1-(1/D25)</f>
        <v>0.8711641794545126</v>
      </c>
      <c r="F25" s="2">
        <f>C25*E25</f>
        <v>869239.3280871481</v>
      </c>
      <c r="G25" s="2">
        <f>'Paid CL'!C25</f>
        <v>355247.76093199995</v>
      </c>
      <c r="H25" s="2">
        <f>F25+G25</f>
        <v>1224487.0890191481</v>
      </c>
      <c r="I25" s="2">
        <f>H25-G25</f>
        <v>869239.3280871483</v>
      </c>
      <c r="J25" s="2">
        <f>H25-G25</f>
        <v>869239.3280871483</v>
      </c>
    </row>
    <row r="27" spans="1:10">
      <c r="A27" s="3" t="s">
        <v>37</v>
      </c>
      <c r="C27" s="2">
        <f>SUM(C2:C25)</f>
        <v>46003886.822088</v>
      </c>
      <c r="E27" s="5">
        <f>SUM(F2:F25)/SUM(C2:C25)</f>
        <v>0.14530973141464265</v>
      </c>
      <c r="F27" s="2">
        <f>SUM(F2:F25)</f>
        <v>6684812.438147226</v>
      </c>
      <c r="G27" s="2">
        <f>SUM(G2:G25)</f>
        <v>41767854.339448005</v>
      </c>
      <c r="H27" s="2">
        <f>SUM(H2:H25)</f>
        <v>48452666.77759523</v>
      </c>
      <c r="I27" s="2">
        <f>SUM(I2:I25)</f>
        <v>6684812.4381472245</v>
      </c>
      <c r="J27" s="2">
        <f>SUM(J2:J25)</f>
        <v>6684812.4381472245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8.7109375" customWidth="1"/>
  </cols>
  <sheetData>
    <row r="1" spans="1:5">
      <c r="A1" s="1" t="s">
        <v>0</v>
      </c>
      <c r="B1" s="1" t="s">
        <v>1</v>
      </c>
      <c r="C1" s="1" t="s">
        <v>42</v>
      </c>
      <c r="D1" s="1" t="s">
        <v>43</v>
      </c>
      <c r="E1" s="1" t="s">
        <v>44</v>
      </c>
    </row>
    <row r="2" spans="1:5">
      <c r="A2" s="2">
        <v>2001</v>
      </c>
      <c r="B2" s="2" t="s">
        <v>13</v>
      </c>
      <c r="C2" s="2">
        <f>""</f>
        <v/>
      </c>
      <c r="D2" s="2">
        <f>'C:\Users\super\Documents\actuarial\cas-rfp\spec-only\team-analyst\sample-data\sample-run\selections\[Ultimates.xlsx]Losses'!G2</f>
        <v>3163773.699688</v>
      </c>
      <c r="E2" s="4">
        <f>D2/C2</f>
        <v/>
      </c>
    </row>
    <row r="3" spans="1:5">
      <c r="A3" s="2">
        <v>2002</v>
      </c>
      <c r="B3" s="2" t="s">
        <v>14</v>
      </c>
      <c r="C3" s="2">
        <f>""</f>
        <v/>
      </c>
      <c r="D3" s="2">
        <f>'C:\Users\super\Documents\actuarial\cas-rfp\spec-only\team-analyst\sample-data\sample-run\selections\[Ultimates.xlsx]Losses'!G3</f>
        <v>2904344.2565999995</v>
      </c>
      <c r="E3" s="4">
        <f>D3/C3</f>
        <v/>
      </c>
    </row>
    <row r="4" spans="1:5">
      <c r="A4" s="2">
        <v>2003</v>
      </c>
      <c r="B4" s="2" t="s">
        <v>15</v>
      </c>
      <c r="C4" s="2">
        <f>""</f>
        <v/>
      </c>
      <c r="D4" s="2">
        <f>'C:\Users\super\Documents\actuarial\cas-rfp\spec-only\team-analyst\sample-data\sample-run\selections\[Ultimates.xlsx]Losses'!G4</f>
        <v>2633272.1256</v>
      </c>
      <c r="E4" s="4">
        <f>D4/C4</f>
        <v/>
      </c>
    </row>
    <row r="5" spans="1:5">
      <c r="A5" s="2">
        <v>2004</v>
      </c>
      <c r="B5" s="2" t="s">
        <v>16</v>
      </c>
      <c r="C5" s="2">
        <f>""</f>
        <v/>
      </c>
      <c r="D5" s="2">
        <f>'C:\Users\super\Documents\actuarial\cas-rfp\spec-only\team-analyst\sample-data\sample-run\selections\[Ultimates.xlsx]Losses'!G5</f>
        <v>1678710.98</v>
      </c>
      <c r="E5" s="4">
        <f>D5/C5</f>
        <v/>
      </c>
    </row>
    <row r="6" spans="1:5">
      <c r="A6" s="2">
        <v>2005</v>
      </c>
      <c r="B6" s="2" t="s">
        <v>17</v>
      </c>
      <c r="C6" s="2">
        <f>""</f>
        <v/>
      </c>
      <c r="D6" s="2">
        <f>'C:\Users\super\Documents\actuarial\cas-rfp\spec-only\team-analyst\sample-data\sample-run\selections\[Ultimates.xlsx]Losses'!G6</f>
        <v>1712285.2</v>
      </c>
      <c r="E6" s="4">
        <f>D6/C6</f>
        <v/>
      </c>
    </row>
    <row r="7" spans="1:5">
      <c r="A7" s="2">
        <v>2006</v>
      </c>
      <c r="B7" s="2" t="s">
        <v>18</v>
      </c>
      <c r="C7" s="2">
        <f>""</f>
        <v/>
      </c>
      <c r="D7" s="2">
        <f>'C:\Users\super\Documents\actuarial\cas-rfp\spec-only\team-analyst\sample-data\sample-run\selections\[Ultimates.xlsx]Losses'!G7</f>
        <v>1746530.9035</v>
      </c>
      <c r="E7" s="4">
        <f>D7/C7</f>
        <v/>
      </c>
    </row>
    <row r="8" spans="1:5">
      <c r="A8" s="2">
        <v>2007</v>
      </c>
      <c r="B8" s="2" t="s">
        <v>19</v>
      </c>
      <c r="C8" s="2">
        <f>""</f>
        <v/>
      </c>
      <c r="D8" s="2">
        <f>'C:\Users\super\Documents\actuarial\cas-rfp\spec-only\team-analyst\sample-data\sample-run\selections\[Ultimates.xlsx]Losses'!G8</f>
        <v>2850338.4351999997</v>
      </c>
      <c r="E8" s="4">
        <f>D8/C8</f>
        <v/>
      </c>
    </row>
    <row r="9" spans="1:5">
      <c r="A9" s="2">
        <v>2008</v>
      </c>
      <c r="B9" s="2" t="s">
        <v>20</v>
      </c>
      <c r="C9" s="2">
        <f>""</f>
        <v/>
      </c>
      <c r="D9" s="2">
        <f>'C:\Users\super\Documents\actuarial\cas-rfp\spec-only\team-analyst\sample-data\sample-run\selections\[Ultimates.xlsx]Losses'!G9</f>
        <v>2543927.0535</v>
      </c>
      <c r="E9" s="4">
        <f>D9/C9</f>
        <v/>
      </c>
    </row>
    <row r="10" spans="1:5">
      <c r="A10" s="2">
        <v>2009</v>
      </c>
      <c r="B10" s="2" t="s">
        <v>21</v>
      </c>
      <c r="C10" s="2">
        <f>""</f>
        <v/>
      </c>
      <c r="D10" s="2">
        <f>'C:\Users\super\Documents\actuarial\cas-rfp\spec-only\team-analyst\sample-data\sample-run\selections\[Ultimates.xlsx]Losses'!G10</f>
        <v>2594805.5945</v>
      </c>
      <c r="E10" s="4">
        <f>D10/C10</f>
        <v/>
      </c>
    </row>
    <row r="11" spans="1:5">
      <c r="A11" s="2">
        <v>2010</v>
      </c>
      <c r="B11" s="2" t="s">
        <v>22</v>
      </c>
      <c r="C11" s="2">
        <f>""</f>
        <v/>
      </c>
      <c r="D11" s="2">
        <f>'C:\Users\super\Documents\actuarial\cas-rfp\spec-only\team-analyst\sample-data\sample-run\selections\[Ultimates.xlsx]Losses'!G11</f>
        <v>1134300.7311</v>
      </c>
      <c r="E11" s="4">
        <f>D11/C11</f>
        <v/>
      </c>
    </row>
    <row r="12" spans="1:5">
      <c r="A12" s="2">
        <v>2011</v>
      </c>
      <c r="B12" s="2" t="s">
        <v>23</v>
      </c>
      <c r="C12" s="2">
        <f>""</f>
        <v/>
      </c>
      <c r="D12" s="2">
        <f>'C:\Users\super\Documents\actuarial\cas-rfp\spec-only\team-analyst\sample-data\sample-run\selections\[Ultimates.xlsx]Losses'!G12</f>
        <v>1542648.9944000002</v>
      </c>
      <c r="E12" s="4">
        <f>D12/C12</f>
        <v/>
      </c>
    </row>
    <row r="13" spans="1:5">
      <c r="A13" s="2">
        <v>2012</v>
      </c>
      <c r="B13" s="2" t="s">
        <v>24</v>
      </c>
      <c r="C13" s="2">
        <f>""</f>
        <v/>
      </c>
      <c r="D13" s="2">
        <f>'C:\Users\super\Documents\actuarial\cas-rfp\spec-only\team-analyst\sample-data\sample-run\selections\[Ultimates.xlsx]Losses'!G13</f>
        <v>1573501.9744000002</v>
      </c>
      <c r="E13" s="4">
        <f>D13/C13</f>
        <v/>
      </c>
    </row>
    <row r="14" spans="1:5">
      <c r="A14" s="2">
        <v>2013</v>
      </c>
      <c r="B14" s="2" t="s">
        <v>25</v>
      </c>
      <c r="C14" s="2">
        <f>""</f>
        <v/>
      </c>
      <c r="D14" s="2">
        <f>'C:\Users\super\Documents\actuarial\cas-rfp\spec-only\team-analyst\sample-data\sample-run\selections\[Ultimates.xlsx]Losses'!G14</f>
        <v>1203729.0102</v>
      </c>
      <c r="E14" s="4">
        <f>D14/C14</f>
        <v/>
      </c>
    </row>
    <row r="15" spans="1:5">
      <c r="A15" s="2">
        <v>2014</v>
      </c>
      <c r="B15" s="2" t="s">
        <v>26</v>
      </c>
      <c r="C15" s="2">
        <f>""</f>
        <v/>
      </c>
      <c r="D15" s="2">
        <f>'C:\Users\super\Documents\actuarial\cas-rfp\spec-only\team-analyst\sample-data\sample-run\selections\[Ultimates.xlsx]Losses'!G15</f>
        <v>1227803.5905</v>
      </c>
      <c r="E15" s="4">
        <f>D15/C15</f>
        <v/>
      </c>
    </row>
    <row r="16" spans="1:5">
      <c r="A16" s="2">
        <v>2015</v>
      </c>
      <c r="B16" s="2" t="s">
        <v>27</v>
      </c>
      <c r="C16" s="2">
        <f>""</f>
        <v/>
      </c>
      <c r="D16" s="2">
        <f>'C:\Users\super\Documents\actuarial\cas-rfp\spec-only\team-analyst\sample-data\sample-run\selections\[Ultimates.xlsx]Losses'!G16</f>
        <v>1669812.8832</v>
      </c>
      <c r="E16" s="4">
        <f>D16/C16</f>
        <v/>
      </c>
    </row>
    <row r="17" spans="1:5">
      <c r="A17" s="2">
        <v>2016</v>
      </c>
      <c r="B17" s="2" t="s">
        <v>28</v>
      </c>
      <c r="C17" s="2">
        <f>""</f>
        <v/>
      </c>
      <c r="D17" s="2">
        <f>'C:\Users\super\Documents\actuarial\cas-rfp\spec-only\team-analyst\sample-data\sample-run\selections\[Ultimates.xlsx]Losses'!G17</f>
        <v>2554813.7112</v>
      </c>
      <c r="E17" s="4">
        <f>D17/C17</f>
        <v/>
      </c>
    </row>
    <row r="18" spans="1:5">
      <c r="A18" s="2">
        <v>2017</v>
      </c>
      <c r="B18" s="2" t="s">
        <v>29</v>
      </c>
      <c r="C18" s="2">
        <f>""</f>
        <v/>
      </c>
      <c r="D18" s="2">
        <f>'C:\Users\super\Documents\actuarial\cas-rfp\spec-only\team-analyst\sample-data\sample-run\selections\[Ultimates.xlsx]Losses'!G18</f>
        <v>2605909.9854</v>
      </c>
      <c r="E18" s="4">
        <f>D18/C18</f>
        <v/>
      </c>
    </row>
    <row r="19" spans="1:5">
      <c r="A19" s="2">
        <v>2018</v>
      </c>
      <c r="B19" s="2" t="s">
        <v>30</v>
      </c>
      <c r="C19" s="2">
        <f>""</f>
        <v/>
      </c>
      <c r="D19" s="2">
        <f>'C:\Users\super\Documents\actuarial\cas-rfp\spec-only\team-analyst\sample-data\sample-run\selections\[Ultimates.xlsx]Losses'!G19</f>
        <v>2215023.4875</v>
      </c>
      <c r="E19" s="4">
        <f>D19/C19</f>
        <v/>
      </c>
    </row>
    <row r="20" spans="1:5">
      <c r="A20" s="2">
        <v>2019</v>
      </c>
      <c r="B20" s="2" t="s">
        <v>31</v>
      </c>
      <c r="C20" s="2">
        <f>""</f>
        <v/>
      </c>
      <c r="D20" s="2">
        <f>'C:\Users\super\Documents\actuarial\cas-rfp\spec-only\team-analyst\sample-data\sample-run\selections\[Ultimates.xlsx]Losses'!G20</f>
        <v>2259323.9575</v>
      </c>
      <c r="E20" s="4">
        <f>D20/C20</f>
        <v/>
      </c>
    </row>
    <row r="21" spans="1:5">
      <c r="A21" s="2">
        <v>2020</v>
      </c>
      <c r="B21" s="2" t="s">
        <v>32</v>
      </c>
      <c r="C21" s="2">
        <f>""</f>
        <v/>
      </c>
      <c r="D21" s="2">
        <f>'C:\Users\super\Documents\actuarial\cas-rfp\spec-only\team-analyst\sample-data\sample-run\selections\[Ultimates.xlsx]Losses'!G21</f>
        <v>1843608.3492</v>
      </c>
      <c r="E21" s="4">
        <f>D21/C21</f>
        <v/>
      </c>
    </row>
    <row r="22" spans="1:5">
      <c r="A22" s="2">
        <v>2021</v>
      </c>
      <c r="B22" s="2" t="s">
        <v>33</v>
      </c>
      <c r="C22" s="2">
        <f>""</f>
        <v/>
      </c>
      <c r="D22" s="2">
        <f>'C:\Users\super\Documents\actuarial\cas-rfp\spec-only\team-analyst\sample-data\sample-run\selections\[Ultimates.xlsx]Losses'!G22</f>
        <v>1410360.3873</v>
      </c>
      <c r="E22" s="4">
        <f>D22/C22</f>
        <v/>
      </c>
    </row>
    <row r="23" spans="1:5">
      <c r="A23" s="2">
        <v>2022</v>
      </c>
      <c r="B23" s="2" t="s">
        <v>34</v>
      </c>
      <c r="C23" s="2">
        <f>""</f>
        <v/>
      </c>
      <c r="D23" s="2">
        <f>'C:\Users\super\Documents\actuarial\cas-rfp\spec-only\team-analyst\sample-data\sample-run\selections\[Ultimates.xlsx]Losses'!G23</f>
        <v>959045.0632000001</v>
      </c>
      <c r="E23" s="4">
        <f>D23/C23</f>
        <v/>
      </c>
    </row>
    <row r="24" spans="1:5">
      <c r="A24" s="2">
        <v>2023</v>
      </c>
      <c r="B24" s="2" t="s">
        <v>35</v>
      </c>
      <c r="C24" s="2">
        <f>""</f>
        <v/>
      </c>
      <c r="D24" s="2">
        <f>'C:\Users\super\Documents\actuarial\cas-rfp\spec-only\team-analyst\sample-data\sample-run\selections\[Ultimates.xlsx]Losses'!G24</f>
        <v>978225.9646000001</v>
      </c>
      <c r="E24" s="4">
        <f>D24/C24</f>
        <v/>
      </c>
    </row>
    <row r="25" spans="1:5">
      <c r="A25" s="2">
        <v>2024</v>
      </c>
      <c r="B25" s="2" t="s">
        <v>36</v>
      </c>
      <c r="C25" s="2">
        <f>""</f>
        <v/>
      </c>
      <c r="D25" s="2">
        <f>'C:\Users\super\Documents\actuarial\cas-rfp\spec-only\team-analyst\sample-data\sample-run\selections\[Ultimates.xlsx]Losses'!G25</f>
        <v>997790.4837999999</v>
      </c>
      <c r="E25" s="4">
        <f>D25/C25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/>
    </sheetView>
  </sheetViews>
  <sheetFormatPr defaultRowHeight="15"/>
  <cols>
    <col min="1" max="9" width="18.7109375" customWidth="1"/>
    <col min="10" max="10" width="40.7109375" customWidth="1"/>
  </cols>
  <sheetData>
    <row r="1" spans="1:10">
      <c r="A1" s="1" t="s">
        <v>0</v>
      </c>
      <c r="B1" s="1" t="s">
        <v>1</v>
      </c>
      <c r="C1" s="1" t="s">
        <v>45</v>
      </c>
      <c r="D1" s="1" t="s">
        <v>46</v>
      </c>
      <c r="E1" s="1" t="s">
        <v>6</v>
      </c>
      <c r="F1" s="1" t="s">
        <v>47</v>
      </c>
      <c r="G1" s="1" t="s">
        <v>9</v>
      </c>
      <c r="H1" s="1" t="s">
        <v>10</v>
      </c>
      <c r="I1" s="1" t="s">
        <v>11</v>
      </c>
      <c r="J1" s="1" t="s">
        <v>12</v>
      </c>
    </row>
    <row r="2" spans="1:10">
      <c r="A2" s="2">
        <v>2001</v>
      </c>
      <c r="B2" s="2" t="s">
        <v>13</v>
      </c>
      <c r="C2" s="2">
        <f>'Reported CL'!C2</f>
        <v>700.7076000000001</v>
      </c>
      <c r="D2" s="2">
        <f>'Reported CL'!E2</f>
        <v>700.7076000000001</v>
      </c>
      <c r="E2" s="2">
        <f>'IE'!D2</f>
        <v>700.775874480892</v>
      </c>
      <c r="F2" s="2">
        <f>'Reported BF'!H2</f>
        <v>700.7076000000001</v>
      </c>
      <c r="G2" s="2">
        <f>IF('C:\Users\super\Documents\actuarial\cas-rfp\spec-only\team-analyst\sample-data\sample-run\selections\[Ultimates.xlsx]Counts'!K2&lt;&gt;"",'C:\Users\super\Documents\actuarial\cas-rfp\spec-only\team-analyst\sample-data\sample-run\selections\[Ultimates.xlsx]Counts'!K2,'C:\Users\super\Documents\actuarial\cas-rfp\spec-only\team-analyst\sample-data\sample-run\selections\[Ultimates.xlsx]Counts'!G2)</f>
        <v>700.71</v>
      </c>
      <c r="H2" s="2">
        <f>G2-C2</f>
        <v>0.002399999999965985</v>
      </c>
      <c r="I2" s="2">
        <f>G2-C2</f>
        <v>0.002399999999965985</v>
      </c>
      <c r="J2" s="3" t="str">
        <f>IF('C:\Users\super\Documents\actuarial\cas-rfp\spec-only\team-analyst\sample-data\sample-run\selections\[Ultimates.xlsx]Counts'!K2&lt;&gt;"",'C:\Users\super\Documents\actuarial\cas-rfp\spec-only\team-analyst\sample-data\sample-run\selections\[Ultimates.xlsx]Counts'!L2,'C:\Users\super\Documents\actuarial\cas-rfp\spec-only\team-analyst\sample-data\sample-run\selections\[Ultimates.xlsx]Counts'!H2)</f>
        <v>Reported Count selected. Reported CL ultimate of 700.71 (CDF 1.0, 100% developed). All methods (CL, IE, BF) converge at 700.7â€“700.8 for fully-developed tail period. Reported IE (700.78) is 0.01% higher but adds minimal IBNR (0.07 counts). Reported CL selected as standard method for fully-developed years. Count data shows no case adequacy issues.</v>
      </c>
    </row>
    <row r="3" spans="1:10">
      <c r="A3" s="2">
        <v>2002</v>
      </c>
      <c r="B3" s="2" t="s">
        <v>14</v>
      </c>
      <c r="C3" s="2">
        <f>'Reported CL'!C3</f>
        <v>651.8824000000001</v>
      </c>
      <c r="D3" s="2">
        <f>'Reported CL'!E3</f>
        <v>651.8824000000001</v>
      </c>
      <c r="E3" s="2">
        <f>'IE'!D3</f>
        <v>683.1663101357999</v>
      </c>
      <c r="F3" s="2">
        <f>'Reported BF'!H3</f>
        <v>651.8824000000001</v>
      </c>
      <c r="G3" s="2">
        <f>IF('C:\Users\super\Documents\actuarial\cas-rfp\spec-only\team-analyst\sample-data\sample-run\selections\[Ultimates.xlsx]Counts'!K3&lt;&gt;"",'C:\Users\super\Documents\actuarial\cas-rfp\spec-only\team-analyst\sample-data\sample-run\selections\[Ultimates.xlsx]Counts'!K3,'C:\Users\super\Documents\actuarial\cas-rfp\spec-only\team-analyst\sample-data\sample-run\selections\[Ultimates.xlsx]Counts'!G3)</f>
        <v>651.88</v>
      </c>
      <c r="H3" s="2">
        <f>G3-C3</f>
        <v>-0.0024000000000796717</v>
      </c>
      <c r="I3" s="2">
        <f>G3-C3</f>
        <v>-0.0024000000000796717</v>
      </c>
      <c r="J3" s="3" t="str">
        <f>IF('C:\Users\super\Documents\actuarial\cas-rfp\spec-only\team-analyst\sample-data\sample-run\selections\[Ultimates.xlsx]Counts'!K3&lt;&gt;"",'C:\Users\super\Documents\actuarial\cas-rfp\spec-only\team-analyst\sample-data\sample-run\selections\[Ultimates.xlsx]Counts'!L3,'C:\Users\super\Documents\actuarial\cas-rfp\spec-only\team-analyst\sample-data\sample-run\selections\[Ultimates.xlsx]Counts'!H3)</f>
        <v>Reported Count selected. Reported CL ultimate of 651.88 (CDF 1.0, 100% developed). Reported IE (683.17) shows elevated IBNR (+31.28 counts), implying late reporting, but at full maturity this is implausible. Reported CL is primary. Reported BF (651.88) identical. Selection based on data-driven CL at extreme tail maturity.</v>
      </c>
    </row>
    <row r="4" spans="1:10">
      <c r="A4" s="2">
        <v>2003</v>
      </c>
      <c r="B4" s="2" t="s">
        <v>15</v>
      </c>
      <c r="C4" s="2">
        <f>'Reported CL'!C4</f>
        <v>551.5928</v>
      </c>
      <c r="D4" s="2">
        <f>'Reported CL'!E4</f>
        <v>551.5928</v>
      </c>
      <c r="E4" s="2">
        <f>'IE'!D4</f>
        <v>648.4432609290001</v>
      </c>
      <c r="F4" s="2">
        <f>'Reported BF'!H4</f>
        <v>551.5928</v>
      </c>
      <c r="G4" s="2">
        <f>IF('C:\Users\super\Documents\actuarial\cas-rfp\spec-only\team-analyst\sample-data\sample-run\selections\[Ultimates.xlsx]Counts'!K4&lt;&gt;"",'C:\Users\super\Documents\actuarial\cas-rfp\spec-only\team-analyst\sample-data\sample-run\selections\[Ultimates.xlsx]Counts'!K4,'C:\Users\super\Documents\actuarial\cas-rfp\spec-only\team-analyst\sample-data\sample-run\selections\[Ultimates.xlsx]Counts'!G4)</f>
        <v>551.59</v>
      </c>
      <c r="H4" s="2">
        <f>G4-C4</f>
        <v>-0.0027999999999792635</v>
      </c>
      <c r="I4" s="2">
        <f>G4-C4</f>
        <v>-0.0027999999999792635</v>
      </c>
      <c r="J4" s="3" t="str">
        <f>IF('C:\Users\super\Documents\actuarial\cas-rfp\spec-only\team-analyst\sample-data\sample-run\selections\[Ultimates.xlsx]Counts'!K4&lt;&gt;"",'C:\Users\super\Documents\actuarial\cas-rfp\spec-only\team-analyst\sample-data\sample-run\selections\[Ultimates.xlsx]Counts'!L4,'C:\Users\super\Documents\actuarial\cas-rfp\spec-only\team-analyst\sample-data\sample-run\selections\[Ultimates.xlsx]Counts'!H4)</f>
        <v>Reported Count selected. Reported CL ultimate of 551.59 (CDF 1.0, 100% developed). Reported IE projects 648.44 (+96.85 IBNR) but this contradicts full development; case adequacy assumption fails. Reported CL is sole credible method at full maturity. IE disqualified due to implausible late reporting assumption at 100% development.</v>
      </c>
    </row>
    <row r="5" spans="1:10">
      <c r="A5" s="2">
        <v>2004</v>
      </c>
      <c r="B5" s="2" t="s">
        <v>16</v>
      </c>
      <c r="C5" s="2">
        <f>'Reported CL'!C5</f>
        <v>642.6452</v>
      </c>
      <c r="D5" s="2">
        <f>'Reported CL'!E5</f>
        <v>642.6452</v>
      </c>
      <c r="E5" s="2">
        <f>'IE'!D5</f>
        <v>627.83790652</v>
      </c>
      <c r="F5" s="2">
        <f>'Reported BF'!H5</f>
        <v>642.6452</v>
      </c>
      <c r="G5" s="2">
        <f>IF('C:\Users\super\Documents\actuarial\cas-rfp\spec-only\team-analyst\sample-data\sample-run\selections\[Ultimates.xlsx]Counts'!K5&lt;&gt;"",'C:\Users\super\Documents\actuarial\cas-rfp\spec-only\team-analyst\sample-data\sample-run\selections\[Ultimates.xlsx]Counts'!K5,'C:\Users\super\Documents\actuarial\cas-rfp\spec-only\team-analyst\sample-data\sample-run\selections\[Ultimates.xlsx]Counts'!G5)</f>
        <v>642.65</v>
      </c>
      <c r="H5" s="2">
        <f>G5-C5</f>
        <v>0.00479999999993197</v>
      </c>
      <c r="I5" s="2">
        <f>G5-C5</f>
        <v>0.00479999999993197</v>
      </c>
      <c r="J5" s="3" t="str">
        <f>IF('C:\Users\super\Documents\actuarial\cas-rfp\spec-only\team-analyst\sample-data\sample-run\selections\[Ultimates.xlsx]Counts'!K5&lt;&gt;"",'C:\Users\super\Documents\actuarial\cas-rfp\spec-only\team-analyst\sample-data\sample-run\selections\[Ultimates.xlsx]Counts'!L5,'C:\Users\super\Documents\actuarial\cas-rfp\spec-only\team-analyst\sample-data\sample-run\selections\[Ultimates.xlsx]Counts'!H5)</f>
        <v>Reported Count selected. Reported CL ultimate of 642.65 (CDF 1.0, 100% developed). Reported IE (627.84) shows negative IBNR (-14.81), disqualifying it. Reported BF (642.65) identical. Reported CL is primary. Count is fully developed; no late-reporting signal.</v>
      </c>
    </row>
    <row r="6" spans="1:10">
      <c r="A6" s="2">
        <v>2005</v>
      </c>
      <c r="B6" s="2" t="s">
        <v>17</v>
      </c>
      <c r="C6" s="2">
        <f>'Reported CL'!C6</f>
        <v>641.3256</v>
      </c>
      <c r="D6" s="2">
        <f>'Reported CL'!E6</f>
        <v>641.3256</v>
      </c>
      <c r="E6" s="2">
        <f>'IE'!D6</f>
        <v>623.61426984</v>
      </c>
      <c r="F6" s="2">
        <f>'Reported BF'!H6</f>
        <v>641.3256</v>
      </c>
      <c r="G6" s="2">
        <f>IF('C:\Users\super\Documents\actuarial\cas-rfp\spec-only\team-analyst\sample-data\sample-run\selections\[Ultimates.xlsx]Counts'!K6&lt;&gt;"",'C:\Users\super\Documents\actuarial\cas-rfp\spec-only\team-analyst\sample-data\sample-run\selections\[Ultimates.xlsx]Counts'!K6,'C:\Users\super\Documents\actuarial\cas-rfp\spec-only\team-analyst\sample-data\sample-run\selections\[Ultimates.xlsx]Counts'!G6)</f>
        <v>641.33</v>
      </c>
      <c r="H6" s="2">
        <f>G6-C6</f>
        <v>0.004400000000032378</v>
      </c>
      <c r="I6" s="2">
        <f>G6-C6</f>
        <v>0.004400000000032378</v>
      </c>
      <c r="J6" s="3" t="str">
        <f>IF('C:\Users\super\Documents\actuarial\cas-rfp\spec-only\team-analyst\sample-data\sample-run\selections\[Ultimates.xlsx]Counts'!K6&lt;&gt;"",'C:\Users\super\Documents\actuarial\cas-rfp\spec-only\team-analyst\sample-data\sample-run\selections\[Ultimates.xlsx]Counts'!L6,'C:\Users\super\Documents\actuarial\cas-rfp\spec-only\team-analyst\sample-data\sample-run\selections\[Ultimates.xlsx]Counts'!H6)</f>
        <v>Reported Count selected. Reported CL ultimate of 641.33 (CDF 1.0, 100% developed). Reported IE (623.61) shows negative IBNR (-17.71), disqualifying case adequacy assumption. Reported BF (641.33) identical. CL is standard at full maturity; IE fitness fails.</v>
      </c>
    </row>
    <row r="7" spans="1:10">
      <c r="A7" s="2">
        <v>2006</v>
      </c>
      <c r="B7" s="2" t="s">
        <v>18</v>
      </c>
      <c r="C7" s="2">
        <f>'Reported CL'!C7</f>
        <v>497.48920000000004</v>
      </c>
      <c r="D7" s="2">
        <f>'Reported CL'!E7</f>
        <v>497.48920000000004</v>
      </c>
      <c r="E7" s="2">
        <f>'IE'!D7</f>
        <v>606.7448358759</v>
      </c>
      <c r="F7" s="2">
        <f>'Reported BF'!H7</f>
        <v>497.48920000000004</v>
      </c>
      <c r="G7" s="2">
        <f>IF('C:\Users\super\Documents\actuarial\cas-rfp\spec-only\team-analyst\sample-data\sample-run\selections\[Ultimates.xlsx]Counts'!K7&lt;&gt;"",'C:\Users\super\Documents\actuarial\cas-rfp\spec-only\team-analyst\sample-data\sample-run\selections\[Ultimates.xlsx]Counts'!K7,'C:\Users\super\Documents\actuarial\cas-rfp\spec-only\team-analyst\sample-data\sample-run\selections\[Ultimates.xlsx]Counts'!G7)</f>
        <v>497.49</v>
      </c>
      <c r="H7" s="2">
        <f>G7-C7</f>
        <v>0.0007999999999697138</v>
      </c>
      <c r="I7" s="2">
        <f>G7-C7</f>
        <v>0.0007999999999697138</v>
      </c>
      <c r="J7" s="3" t="str">
        <f>IF('C:\Users\super\Documents\actuarial\cas-rfp\spec-only\team-analyst\sample-data\sample-run\selections\[Ultimates.xlsx]Counts'!K7&lt;&gt;"",'C:\Users\super\Documents\actuarial\cas-rfp\spec-only\team-analyst\sample-data\sample-run\selections\[Ultimates.xlsx]Counts'!L7,'C:\Users\super\Documents\actuarial\cas-rfp\spec-only\team-analyst\sample-data\sample-run\selections\[Ultimates.xlsx]Counts'!H7)</f>
        <v>Reported Count selected. Reported CL ultimate of 497.49 (CDF 1.0, 100% developed). Reported IE (606.74) projects +109.26 IBNR despite full development; assumption violated. Reported BF (497.49) identical. Reported CL is sole credible method at maturity level.</v>
      </c>
    </row>
    <row r="8" spans="1:10">
      <c r="A8" s="2">
        <v>2007</v>
      </c>
      <c r="B8" s="2" t="s">
        <v>19</v>
      </c>
      <c r="C8" s="2">
        <f>'Reported CL'!C8</f>
        <v>476.3756</v>
      </c>
      <c r="D8" s="2">
        <f>'Reported CL'!E8</f>
        <v>476.3756</v>
      </c>
      <c r="E8" s="2">
        <f>'IE'!D8</f>
        <v>550.471610298</v>
      </c>
      <c r="F8" s="2">
        <f>'Reported BF'!H8</f>
        <v>476.3756</v>
      </c>
      <c r="G8" s="2">
        <f>IF('C:\Users\super\Documents\actuarial\cas-rfp\spec-only\team-analyst\sample-data\sample-run\selections\[Ultimates.xlsx]Counts'!K8&lt;&gt;"",'C:\Users\super\Documents\actuarial\cas-rfp\spec-only\team-analyst\sample-data\sample-run\selections\[Ultimates.xlsx]Counts'!K8,'C:\Users\super\Documents\actuarial\cas-rfp\spec-only\team-analyst\sample-data\sample-run\selections\[Ultimates.xlsx]Counts'!G8)</f>
        <v>476.38</v>
      </c>
      <c r="H8" s="2">
        <f>G8-C8</f>
        <v>0.004399999999975535</v>
      </c>
      <c r="I8" s="2">
        <f>G8-C8</f>
        <v>0.004399999999975535</v>
      </c>
      <c r="J8" s="3" t="str">
        <f>IF('C:\Users\super\Documents\actuarial\cas-rfp\spec-only\team-analyst\sample-data\sample-run\selections\[Ultimates.xlsx]Counts'!K8&lt;&gt;"",'C:\Users\super\Documents\actuarial\cas-rfp\spec-only\team-analyst\sample-data\sample-run\selections\[Ultimates.xlsx]Counts'!L8,'C:\Users\super\Documents\actuarial\cas-rfp\spec-only\team-analyst\sample-data\sample-run\selections\[Ultimates.xlsx]Counts'!H8)</f>
        <v>Reported Count selected. Reported CL ultimate of 476.38 (CDF 1.0, 100% developed). Reported IE (550.47) shows +74.10 IBNR; implausible at full development. Reported CL is primary. IE disqualified. BF matches CL.</v>
      </c>
    </row>
    <row r="9" spans="1:10">
      <c r="A9" s="2">
        <v>2008</v>
      </c>
      <c r="B9" s="2" t="s">
        <v>20</v>
      </c>
      <c r="C9" s="2">
        <f>'Reported CL'!C9</f>
        <v>328.58040000000005</v>
      </c>
      <c r="D9" s="2">
        <f>'Reported CL'!E9</f>
        <v>328.58040000000005</v>
      </c>
      <c r="E9" s="2">
        <f>'IE'!D9</f>
        <v>444.09697991099995</v>
      </c>
      <c r="F9" s="2">
        <f>'Reported BF'!H9</f>
        <v>328.58040000000005</v>
      </c>
      <c r="G9" s="2">
        <f>IF('C:\Users\super\Documents\actuarial\cas-rfp\spec-only\team-analyst\sample-data\sample-run\selections\[Ultimates.xlsx]Counts'!K9&lt;&gt;"",'C:\Users\super\Documents\actuarial\cas-rfp\spec-only\team-analyst\sample-data\sample-run\selections\[Ultimates.xlsx]Counts'!K9,'C:\Users\super\Documents\actuarial\cas-rfp\spec-only\team-analyst\sample-data\sample-run\selections\[Ultimates.xlsx]Counts'!G9)</f>
        <v>328.58</v>
      </c>
      <c r="H9" s="2">
        <f>G9-C9</f>
        <v>-0.00040000000007012204</v>
      </c>
      <c r="I9" s="2">
        <f>G9-C9</f>
        <v>-0.00040000000007012204</v>
      </c>
      <c r="J9" s="3" t="str">
        <f>IF('C:\Users\super\Documents\actuarial\cas-rfp\spec-only\team-analyst\sample-data\sample-run\selections\[Ultimates.xlsx]Counts'!K9&lt;&gt;"",'C:\Users\super\Documents\actuarial\cas-rfp\spec-only\team-analyst\sample-data\sample-run\selections\[Ultimates.xlsx]Counts'!L9,'C:\Users\super\Documents\actuarial\cas-rfp\spec-only\team-analyst\sample-data\sample-run\selections\[Ultimates.xlsx]Counts'!H9)</f>
        <v>Reported Count selected. Reported CL ultimate of 328.58 (CDF 1.0, 100% developed). Reported IE (444.10) projects +115.52 IBNR despite full maturity; case adequacy assumption fails at 100% development. Reported CL is standard. IE disqualified for implausible development assumption.</v>
      </c>
    </row>
    <row r="10" spans="1:10">
      <c r="A10" s="2">
        <v>2009</v>
      </c>
      <c r="B10" s="2" t="s">
        <v>21</v>
      </c>
      <c r="C10" s="2">
        <f>'Reported CL'!C10</f>
        <v>321.98240000000004</v>
      </c>
      <c r="D10" s="2">
        <f>'Reported CL'!E10</f>
        <v>321.98240000000004</v>
      </c>
      <c r="E10" s="2">
        <f>'IE'!D10</f>
        <v>384.4019144995</v>
      </c>
      <c r="F10" s="2">
        <f>'Reported BF'!H10</f>
        <v>321.98240000000004</v>
      </c>
      <c r="G10" s="2">
        <f>IF('C:\Users\super\Documents\actuarial\cas-rfp\spec-only\team-analyst\sample-data\sample-run\selections\[Ultimates.xlsx]Counts'!K10&lt;&gt;"",'C:\Users\super\Documents\actuarial\cas-rfp\spec-only\team-analyst\sample-data\sample-run\selections\[Ultimates.xlsx]Counts'!K10,'C:\Users\super\Documents\actuarial\cas-rfp\spec-only\team-analyst\sample-data\sample-run\selections\[Ultimates.xlsx]Counts'!G10)</f>
        <v>321.98</v>
      </c>
      <c r="H10" s="2">
        <f>G10-C10</f>
        <v>-0.0024000000000228283</v>
      </c>
      <c r="I10" s="2">
        <f>G10-C10</f>
        <v>-0.0024000000000228283</v>
      </c>
      <c r="J10" s="3" t="str">
        <f>IF('C:\Users\super\Documents\actuarial\cas-rfp\spec-only\team-analyst\sample-data\sample-run\selections\[Ultimates.xlsx]Counts'!K10&lt;&gt;"",'C:\Users\super\Documents\actuarial\cas-rfp\spec-only\team-analyst\sample-data\sample-run\selections\[Ultimates.xlsx]Counts'!L10,'C:\Users\super\Documents\actuarial\cas-rfp\spec-only\team-analyst\sample-data\sample-run\selections\[Ultimates.xlsx]Counts'!H10)</f>
        <v>Reported Count selected. Reported CL ultimate of 321.98 (CDF 1.0, 100% developed). Reported IE (384.40) shows +62.42 IBNR; implausible at full development. Reported BF (321.98) matches CL. Reported CL is primary; IE fitness fails.</v>
      </c>
    </row>
    <row r="11" spans="1:10">
      <c r="A11" s="2">
        <v>2010</v>
      </c>
      <c r="B11" s="2" t="s">
        <v>22</v>
      </c>
      <c r="C11" s="2">
        <f>'Reported CL'!C11</f>
        <v>271.8376</v>
      </c>
      <c r="D11" s="2">
        <f>'Reported CL'!E11</f>
        <v>271.8376</v>
      </c>
      <c r="E11" s="2">
        <f>'IE'!D11</f>
        <v>314.2013025147</v>
      </c>
      <c r="F11" s="2">
        <f>'Reported BF'!H11</f>
        <v>271.8376</v>
      </c>
      <c r="G11" s="2">
        <f>IF('C:\Users\super\Documents\actuarial\cas-rfp\spec-only\team-analyst\sample-data\sample-run\selections\[Ultimates.xlsx]Counts'!K11&lt;&gt;"",'C:\Users\super\Documents\actuarial\cas-rfp\spec-only\team-analyst\sample-data\sample-run\selections\[Ultimates.xlsx]Counts'!K11,'C:\Users\super\Documents\actuarial\cas-rfp\spec-only\team-analyst\sample-data\sample-run\selections\[Ultimates.xlsx]Counts'!G11)</f>
        <v>271.84</v>
      </c>
      <c r="H11" s="2">
        <f>G11-C11</f>
        <v>0.002399999999965985</v>
      </c>
      <c r="I11" s="2">
        <f>G11-C11</f>
        <v>0.002399999999965985</v>
      </c>
      <c r="J11" s="3" t="str">
        <f>IF('C:\Users\super\Documents\actuarial\cas-rfp\spec-only\team-analyst\sample-data\sample-run\selections\[Ultimates.xlsx]Counts'!K11&lt;&gt;"",'C:\Users\super\Documents\actuarial\cas-rfp\spec-only\team-analyst\sample-data\sample-run\selections\[Ultimates.xlsx]Counts'!L11,'C:\Users\super\Documents\actuarial\cas-rfp\spec-only\team-analyst\sample-data\sample-run\selections\[Ultimates.xlsx]Counts'!H11)</f>
        <v>Reported Count selected. Reported CL ultimate of 271.84 (CDF 1.0, 100% developed). Reported IE (314.20) projects +42.36 IBNR despite full development; case adequacy assumption violated. Reported CL selected as standard at maturity. IE disqualified.</v>
      </c>
    </row>
    <row r="12" spans="1:10">
      <c r="A12" s="2">
        <v>2011</v>
      </c>
      <c r="B12" s="2" t="s">
        <v>23</v>
      </c>
      <c r="C12" s="2">
        <f>'Reported CL'!C12</f>
        <v>345.7352</v>
      </c>
      <c r="D12" s="2">
        <f>'Reported CL'!E12</f>
        <v>345.7352</v>
      </c>
      <c r="E12" s="2">
        <f>'IE'!D12</f>
        <v>319.3283418408</v>
      </c>
      <c r="F12" s="2">
        <f>'Reported BF'!H12</f>
        <v>345.7352</v>
      </c>
      <c r="G12" s="2">
        <f>IF('C:\Users\super\Documents\actuarial\cas-rfp\spec-only\team-analyst\sample-data\sample-run\selections\[Ultimates.xlsx]Counts'!K12&lt;&gt;"",'C:\Users\super\Documents\actuarial\cas-rfp\spec-only\team-analyst\sample-data\sample-run\selections\[Ultimates.xlsx]Counts'!K12,'C:\Users\super\Documents\actuarial\cas-rfp\spec-only\team-analyst\sample-data\sample-run\selections\[Ultimates.xlsx]Counts'!G12)</f>
        <v>345.74</v>
      </c>
      <c r="H12" s="2">
        <f>G12-C12</f>
        <v>0.004799999999988813</v>
      </c>
      <c r="I12" s="2">
        <f>G12-C12</f>
        <v>0.004799999999988813</v>
      </c>
      <c r="J12" s="3" t="str">
        <f>IF('C:\Users\super\Documents\actuarial\cas-rfp\spec-only\team-analyst\sample-data\sample-run\selections\[Ultimates.xlsx]Counts'!K12&lt;&gt;"",'C:\Users\super\Documents\actuarial\cas-rfp\spec-only\team-analyst\sample-data\sample-run\selections\[Ultimates.xlsx]Counts'!L12,'C:\Users\super\Documents\actuarial\cas-rfp\spec-only\team-analyst\sample-data\sample-run\selections\[Ultimates.xlsx]Counts'!H12)</f>
        <v>Reported Count selected. Reported CL ultimate of 345.74 (CDF 1.0, 100% developed). Reported IE (319.33) shows negative IBNR (-26.41), disqualifying case adequacy model. Reported BF (345.74) matches CL. CL is primary at full maturity; IE fitness fails.</v>
      </c>
    </row>
    <row r="13" spans="1:10">
      <c r="A13" s="2">
        <v>2012</v>
      </c>
      <c r="B13" s="2" t="s">
        <v>24</v>
      </c>
      <c r="C13" s="2">
        <f>'Reported CL'!C13</f>
        <v>261.2808</v>
      </c>
      <c r="D13" s="2">
        <f>'Reported CL'!E13</f>
        <v>261.2808</v>
      </c>
      <c r="E13" s="2">
        <f>'IE'!D13</f>
        <v>298.96537513600003</v>
      </c>
      <c r="F13" s="2">
        <f>'Reported BF'!H13</f>
        <v>261.2808</v>
      </c>
      <c r="G13" s="2">
        <f>IF('C:\Users\super\Documents\actuarial\cas-rfp\spec-only\team-analyst\sample-data\sample-run\selections\[Ultimates.xlsx]Counts'!K13&lt;&gt;"",'C:\Users\super\Documents\actuarial\cas-rfp\spec-only\team-analyst\sample-data\sample-run\selections\[Ultimates.xlsx]Counts'!K13,'C:\Users\super\Documents\actuarial\cas-rfp\spec-only\team-analyst\sample-data\sample-run\selections\[Ultimates.xlsx]Counts'!G13)</f>
        <v>261.28</v>
      </c>
      <c r="H13" s="2">
        <f>G13-C13</f>
        <v>-0.0008000000000265572</v>
      </c>
      <c r="I13" s="2">
        <f>G13-C13</f>
        <v>-0.0008000000000265572</v>
      </c>
      <c r="J13" s="3" t="str">
        <f>IF('C:\Users\super\Documents\actuarial\cas-rfp\spec-only\team-analyst\sample-data\sample-run\selections\[Ultimates.xlsx]Counts'!K13&lt;&gt;"",'C:\Users\super\Documents\actuarial\cas-rfp\spec-only\team-analyst\sample-data\sample-run\selections\[Ultimates.xlsx]Counts'!L13,'C:\Users\super\Documents\actuarial\cas-rfp\spec-only\team-analyst\sample-data\sample-run\selections\[Ultimates.xlsx]Counts'!H13)</f>
        <v>Reported Count selected. Reported CL ultimate of 261.28 (CDF 1.0, 100% developed). Reported IE (298.97) shows +37.68 IBNR despite full development; assumption violated. Reported BF (261.28) identical. Reported CL is primary. IE disqualified.</v>
      </c>
    </row>
    <row r="14" spans="1:10">
      <c r="A14" s="2">
        <v>2013</v>
      </c>
      <c r="B14" s="2" t="s">
        <v>25</v>
      </c>
      <c r="C14" s="2">
        <f>'Reported CL'!C14</f>
        <v>291.63160000000005</v>
      </c>
      <c r="D14" s="2">
        <f>'Reported CL'!E14</f>
        <v>291.63160000000005</v>
      </c>
      <c r="E14" s="2">
        <f>'IE'!D14</f>
        <v>305.74716859079996</v>
      </c>
      <c r="F14" s="2">
        <f>'Reported BF'!H14</f>
        <v>291.63160000000005</v>
      </c>
      <c r="G14" s="2">
        <f>IF('C:\Users\super\Documents\actuarial\cas-rfp\spec-only\team-analyst\sample-data\sample-run\selections\[Ultimates.xlsx]Counts'!K14&lt;&gt;"",'C:\Users\super\Documents\actuarial\cas-rfp\spec-only\team-analyst\sample-data\sample-run\selections\[Ultimates.xlsx]Counts'!K14,'C:\Users\super\Documents\actuarial\cas-rfp\spec-only\team-analyst\sample-data\sample-run\selections\[Ultimates.xlsx]Counts'!G14)</f>
        <v>291.63</v>
      </c>
      <c r="H14" s="2">
        <f>G14-C14</f>
        <v>-0.0016000000000531145</v>
      </c>
      <c r="I14" s="2">
        <f>G14-C14</f>
        <v>-0.0016000000000531145</v>
      </c>
      <c r="J14" s="3" t="str">
        <f>IF('C:\Users\super\Documents\actuarial\cas-rfp\spec-only\team-analyst\sample-data\sample-run\selections\[Ultimates.xlsx]Counts'!K14&lt;&gt;"",'C:\Users\super\Documents\actuarial\cas-rfp\spec-only\team-analyst\sample-data\sample-run\selections\[Ultimates.xlsx]Counts'!L14,'C:\Users\super\Documents\actuarial\cas-rfp\spec-only\team-analyst\sample-data\sample-run\selections\[Ultimates.xlsx]Counts'!H14)</f>
        <v>Reported Count selected. Reported CL ultimate of 291.63 (CDF 1.0, 100% developed). Reported IE (305.75) shows +14.12 IBNR despite full maturity; implausible. Reported BF (291.63) matches CL. Reported CL is standard at full development; IE fitness marginal but fails on plausibility.</v>
      </c>
    </row>
    <row r="15" spans="1:10">
      <c r="A15" s="2">
        <v>2014</v>
      </c>
      <c r="B15" s="2" t="s">
        <v>26</v>
      </c>
      <c r="C15" s="2">
        <f>'Reported CL'!C15</f>
        <v>455.26200000000006</v>
      </c>
      <c r="D15" s="2">
        <f>'Reported CL'!E15</f>
        <v>455.26200000000006</v>
      </c>
      <c r="E15" s="2">
        <f>'IE'!D15</f>
        <v>341.329398159</v>
      </c>
      <c r="F15" s="2">
        <f>'Reported BF'!H15</f>
        <v>455.26200000000006</v>
      </c>
      <c r="G15" s="2">
        <f>IF('C:\Users\super\Documents\actuarial\cas-rfp\spec-only\team-analyst\sample-data\sample-run\selections\[Ultimates.xlsx]Counts'!K15&lt;&gt;"",'C:\Users\super\Documents\actuarial\cas-rfp\spec-only\team-analyst\sample-data\sample-run\selections\[Ultimates.xlsx]Counts'!K15,'C:\Users\super\Documents\actuarial\cas-rfp\spec-only\team-analyst\sample-data\sample-run\selections\[Ultimates.xlsx]Counts'!G15)</f>
        <v>455.26</v>
      </c>
      <c r="H15" s="2">
        <f>G15-C15</f>
        <v>-0.002000000000066393</v>
      </c>
      <c r="I15" s="2">
        <f>G15-C15</f>
        <v>-0.002000000000066393</v>
      </c>
      <c r="J15" s="3" t="str">
        <f>IF('C:\Users\super\Documents\actuarial\cas-rfp\spec-only\team-analyst\sample-data\sample-run\selections\[Ultimates.xlsx]Counts'!K15&lt;&gt;"",'C:\Users\super\Documents\actuarial\cas-rfp\spec-only\team-analyst\sample-data\sample-run\selections\[Ultimates.xlsx]Counts'!L15,'C:\Users\super\Documents\actuarial\cas-rfp\spec-only\team-analyst\sample-data\sample-run\selections\[Ultimates.xlsx]Counts'!H15)</f>
        <v>Reported Count selected. Reported CL ultimate of 455.26 (CDF 1.0, 100% developed). Reported IE (341.33) shows negative IBNR (-113.93), disqualifying case adequacy assumption. Reported BF (455.26) matches CL. Reported CL is primary; IE fitness fails.</v>
      </c>
    </row>
    <row r="16" spans="1:10">
      <c r="A16" s="2">
        <v>2015</v>
      </c>
      <c r="B16" s="2" t="s">
        <v>27</v>
      </c>
      <c r="C16" s="2">
        <f>'Reported CL'!C16</f>
        <v>333.85880000000003</v>
      </c>
      <c r="D16" s="2">
        <f>'Reported CL'!E16</f>
        <v>333.85880000000003</v>
      </c>
      <c r="E16" s="2">
        <f>'IE'!D16</f>
        <v>367.358834304</v>
      </c>
      <c r="F16" s="2">
        <f>'Reported BF'!H16</f>
        <v>333.85880000000003</v>
      </c>
      <c r="G16" s="2">
        <f>IF('C:\Users\super\Documents\actuarial\cas-rfp\spec-only\team-analyst\sample-data\sample-run\selections\[Ultimates.xlsx]Counts'!K16&lt;&gt;"",'C:\Users\super\Documents\actuarial\cas-rfp\spec-only\team-analyst\sample-data\sample-run\selections\[Ultimates.xlsx]Counts'!K16,'C:\Users\super\Documents\actuarial\cas-rfp\spec-only\team-analyst\sample-data\sample-run\selections\[Ultimates.xlsx]Counts'!G16)</f>
        <v>333.86</v>
      </c>
      <c r="H16" s="2">
        <f>G16-C16</f>
        <v>0.0011999999999829924</v>
      </c>
      <c r="I16" s="2">
        <f>G16-C16</f>
        <v>0.0011999999999829924</v>
      </c>
      <c r="J16" s="3" t="str">
        <f>IF('C:\Users\super\Documents\actuarial\cas-rfp\spec-only\team-analyst\sample-data\sample-run\selections\[Ultimates.xlsx]Counts'!K16&lt;&gt;"",'C:\Users\super\Documents\actuarial\cas-rfp\spec-only\team-analyst\sample-data\sample-run\selections\[Ultimates.xlsx]Counts'!L16,'C:\Users\super\Documents\actuarial\cas-rfp\spec-only\team-analyst\sample-data\sample-run\selections\[Ultimates.xlsx]Counts'!H16)</f>
        <v>Reported Count selected. Reported CL ultimate of 333.86 (CDF 1.0, 100% developed). Reported IE (367.36) shows +33.50 IBNR at full development; assumption violated. Reported BF (333.86) identical. Reported CL is standard at maturity. IE disqualified on fitness grounds.</v>
      </c>
    </row>
    <row r="17" spans="1:10">
      <c r="A17" s="2">
        <v>2016</v>
      </c>
      <c r="B17" s="2" t="s">
        <v>28</v>
      </c>
      <c r="C17" s="2">
        <f>'Reported CL'!C17</f>
        <v>390.6016</v>
      </c>
      <c r="D17" s="2">
        <f>'Reported CL'!E17</f>
        <v>389.70321632</v>
      </c>
      <c r="E17" s="2">
        <f>'IE'!D17</f>
        <v>401.5315549436</v>
      </c>
      <c r="F17" s="2">
        <f>'Reported BF'!H17</f>
        <v>389.6759484250073</v>
      </c>
      <c r="G17" s="2">
        <f>IF('C:\Users\super\Documents\actuarial\cas-rfp\spec-only\team-analyst\sample-data\sample-run\selections\[Ultimates.xlsx]Counts'!K17&lt;&gt;"",'C:\Users\super\Documents\actuarial\cas-rfp\spec-only\team-analyst\sample-data\sample-run\selections\[Ultimates.xlsx]Counts'!K17,'C:\Users\super\Documents\actuarial\cas-rfp\spec-only\team-analyst\sample-data\sample-run\selections\[Ultimates.xlsx]Counts'!G17)</f>
        <v>389.7</v>
      </c>
      <c r="H17" s="2">
        <f>G17-C17</f>
        <v>-0.9016000000000304</v>
      </c>
      <c r="I17" s="2">
        <f>G17-C17</f>
        <v>-0.9016000000000304</v>
      </c>
      <c r="J17" s="3" t="str">
        <f>IF('C:\Users\super\Documents\actuarial\cas-rfp\spec-only\team-analyst\sample-data\sample-run\selections\[Ultimates.xlsx]Counts'!K17&lt;&gt;"",'C:\Users\super\Documents\actuarial\cas-rfp\spec-only\team-analyst\sample-data\sample-run\selections\[Ultimates.xlsx]Counts'!L17,'C:\Users\super\Documents\actuarial\cas-rfp\spec-only\team-analyst\sample-data\sample-run\selections\[Ultimates.xlsx]Counts'!H17)</f>
        <v>Reported Count selected. Reported CL ultimate of 389.70 (CDF 0.9977, 100.2% developed). Slight CDF &lt;1.0 indicates potential reopens or count adjustments (marginal). Reported IE (401.53) shows +10.93 IBNR (2.7% adjustment). Reported CL selected as primary; IE is secondary backup. BF shows minimal negative IBNR (-0.93). CL is most credible.</v>
      </c>
    </row>
    <row r="18" spans="1:10">
      <c r="A18" s="2">
        <v>2017</v>
      </c>
      <c r="B18" s="2" t="s">
        <v>29</v>
      </c>
      <c r="C18" s="2">
        <f>'Reported CL'!C18</f>
        <v>310.10600000000005</v>
      </c>
      <c r="D18" s="2">
        <f>'Reported CL'!E18</f>
        <v>309.39275620000006</v>
      </c>
      <c r="E18" s="2">
        <f>'IE'!D18</f>
        <v>351.79784802899997</v>
      </c>
      <c r="F18" s="2">
        <f>'Reported BF'!H18</f>
        <v>309.2949996487254</v>
      </c>
      <c r="G18" s="2">
        <f>IF('C:\Users\super\Documents\actuarial\cas-rfp\spec-only\team-analyst\sample-data\sample-run\selections\[Ultimates.xlsx]Counts'!K18&lt;&gt;"",'C:\Users\super\Documents\actuarial\cas-rfp\spec-only\team-analyst\sample-data\sample-run\selections\[Ultimates.xlsx]Counts'!K18,'C:\Users\super\Documents\actuarial\cas-rfp\spec-only\team-analyst\sample-data\sample-run\selections\[Ultimates.xlsx]Counts'!G18)</f>
        <v>309.39</v>
      </c>
      <c r="H18" s="2">
        <f>G18-C18</f>
        <v>-0.716000000000065</v>
      </c>
      <c r="I18" s="2">
        <f>G18-C18</f>
        <v>-0.716000000000065</v>
      </c>
      <c r="J18" s="3" t="str">
        <f>IF('C:\Users\super\Documents\actuarial\cas-rfp\spec-only\team-analyst\sample-data\sample-run\selections\[Ultimates.xlsx]Counts'!K18&lt;&gt;"",'C:\Users\super\Documents\actuarial\cas-rfp\spec-only\team-analyst\sample-data\sample-run\selections\[Ultimates.xlsx]Counts'!L18,'C:\Users\super\Documents\actuarial\cas-rfp\spec-only\team-analyst\sample-data\sample-run\selections\[Ultimates.xlsx]Counts'!H18)</f>
        <v>Reported Count selected. Reported CL ultimate of 309.39 (CDF 0.9977, 100.2% developed). Similar to 2016, slight CDF &lt;1.0 (reopens marginal). Reported IE (351.80) shows +41.69 IBNR (13.5% inflation) despite near-full development; fitness questionable. Reported CL is primary. BF shows minor negative (-0.81). CL most credible.</v>
      </c>
    </row>
    <row r="19" spans="1:10">
      <c r="A19" s="2">
        <v>2018</v>
      </c>
      <c r="B19" s="2" t="s">
        <v>30</v>
      </c>
      <c r="C19" s="2">
        <f>'Reported CL'!C19</f>
        <v>325.94120000000004</v>
      </c>
      <c r="D19" s="2">
        <f>'Reported CL'!E19</f>
        <v>324.963901165332</v>
      </c>
      <c r="E19" s="2">
        <f>'IE'!D19</f>
        <v>349.5307063275</v>
      </c>
      <c r="F19" s="2">
        <f>'Reported BF'!H19</f>
        <v>324.890018774179</v>
      </c>
      <c r="G19" s="2">
        <f>IF('C:\Users\super\Documents\actuarial\cas-rfp\spec-only\team-analyst\sample-data\sample-run\selections\[Ultimates.xlsx]Counts'!K19&lt;&gt;"",'C:\Users\super\Documents\actuarial\cas-rfp\spec-only\team-analyst\sample-data\sample-run\selections\[Ultimates.xlsx]Counts'!K19,'C:\Users\super\Documents\actuarial\cas-rfp\spec-only\team-analyst\sample-data\sample-run\selections\[Ultimates.xlsx]Counts'!G19)</f>
        <v>324.96</v>
      </c>
      <c r="H19" s="2">
        <f>G19-C19</f>
        <v>-0.981200000000058</v>
      </c>
      <c r="I19" s="2">
        <f>G19-C19</f>
        <v>-0.981200000000058</v>
      </c>
      <c r="J19" s="3" t="str">
        <f>IF('C:\Users\super\Documents\actuarial\cas-rfp\spec-only\team-analyst\sample-data\sample-run\selections\[Ultimates.xlsx]Counts'!K19&lt;&gt;"",'C:\Users\super\Documents\actuarial\cas-rfp\spec-only\team-analyst\sample-data\sample-run\selections\[Ultimates.xlsx]Counts'!L19,'C:\Users\super\Documents\actuarial\cas-rfp\spec-only\team-analyst\sample-data\sample-run\selections\[Ultimates.xlsx]Counts'!H19)</f>
        <v>Reported Count selected. Reported CL ultimate of 324.96 (CDF 0.997, 100.3% developed). CDF &lt;1.0 indicates marginal reopens. Reported IE (349.53) shows +23.59 IBNR (7.3% adjustment); fitness marginal. Reported CL is primary for near-full development. BF shows minor negative (-1.05). CL selected.</v>
      </c>
    </row>
    <row r="20" spans="1:10">
      <c r="A20" s="2">
        <v>2019</v>
      </c>
      <c r="B20" s="2" t="s">
        <v>31</v>
      </c>
      <c r="C20" s="2">
        <f>'Reported CL'!C20</f>
        <v>357.6116</v>
      </c>
      <c r="D20" s="2">
        <f>'Reported CL'!E20</f>
        <v>356.539340954676</v>
      </c>
      <c r="E20" s="2">
        <f>'IE'!D20</f>
        <v>337.5429992505</v>
      </c>
      <c r="F20" s="2">
        <f>'Reported BF'!H20</f>
        <v>356.5964706929142</v>
      </c>
      <c r="G20" s="2">
        <f>IF('C:\Users\super\Documents\actuarial\cas-rfp\spec-only\team-analyst\sample-data\sample-run\selections\[Ultimates.xlsx]Counts'!K20&lt;&gt;"",'C:\Users\super\Documents\actuarial\cas-rfp\spec-only\team-analyst\sample-data\sample-run\selections\[Ultimates.xlsx]Counts'!K20,'C:\Users\super\Documents\actuarial\cas-rfp\spec-only\team-analyst\sample-data\sample-run\selections\[Ultimates.xlsx]Counts'!G20)</f>
        <v>356.54</v>
      </c>
      <c r="H20" s="2">
        <f>G20-C20</f>
        <v>-1.0715999999999894</v>
      </c>
      <c r="I20" s="2">
        <f>G20-C20</f>
        <v>-1.0715999999999894</v>
      </c>
      <c r="J20" s="3" t="str">
        <f>IF('C:\Users\super\Documents\actuarial\cas-rfp\spec-only\team-analyst\sample-data\sample-run\selections\[Ultimates.xlsx]Counts'!K20&lt;&gt;"",'C:\Users\super\Documents\actuarial\cas-rfp\spec-only\team-analyst\sample-data\sample-run\selections\[Ultimates.xlsx]Counts'!L20,'C:\Users\super\Documents\actuarial\cas-rfp\spec-only\team-analyst\sample-data\sample-run\selections\[Ultimates.xlsx]Counts'!H20)</f>
        <v>Reported Count selected. Reported CL ultimate of 356.54 (CDF 0.997, 100.3% developed). CDF &lt;1.0 signals marginal reopens. Reported IE (337.54) shows negative IBNR (-20.07); disqualifies case adequacy assumption. Reported CL is primary. BF shows minor negative (-1.02). Reported CL selected as most credible method.</v>
      </c>
    </row>
    <row r="21" spans="1:10">
      <c r="A21" s="2">
        <v>2020</v>
      </c>
      <c r="B21" s="2" t="s">
        <v>32</v>
      </c>
      <c r="C21" s="2">
        <f>'Reported CL'!C21</f>
        <v>370.80760000000004</v>
      </c>
      <c r="D21" s="2">
        <f>'Reported CL'!E21</f>
        <v>369.40001758087584</v>
      </c>
      <c r="E21" s="2">
        <f>'IE'!D21</f>
        <v>358.1209218321</v>
      </c>
      <c r="F21" s="2">
        <f>'Reported BF'!H21</f>
        <v>369.442996076068</v>
      </c>
      <c r="G21" s="2">
        <f>IF('C:\Users\super\Documents\actuarial\cas-rfp\spec-only\team-analyst\sample-data\sample-run\selections\[Ultimates.xlsx]Counts'!K21&lt;&gt;"",'C:\Users\super\Documents\actuarial\cas-rfp\spec-only\team-analyst\sample-data\sample-run\selections\[Ultimates.xlsx]Counts'!K21,'C:\Users\super\Documents\actuarial\cas-rfp\spec-only\team-analyst\sample-data\sample-run\selections\[Ultimates.xlsx]Counts'!G21)</f>
        <v>369.4</v>
      </c>
      <c r="H21" s="2">
        <f>G21-C21</f>
        <v>-1.407600000000059</v>
      </c>
      <c r="I21" s="2">
        <f>G21-C21</f>
        <v>-1.407600000000059</v>
      </c>
      <c r="J21" s="3" t="str">
        <f>IF('C:\Users\super\Documents\actuarial\cas-rfp\spec-only\team-analyst\sample-data\sample-run\selections\[Ultimates.xlsx]Counts'!K21&lt;&gt;"",'C:\Users\super\Documents\actuarial\cas-rfp\spec-only\team-analyst\sample-data\sample-run\selections\[Ultimates.xlsx]Counts'!L21,'C:\Users\super\Documents\actuarial\cas-rfp\spec-only\team-analyst\sample-data\sample-run\selections\[Ultimates.xlsx]Counts'!H21)</f>
        <v>Reported Count selected. Reported CL ultimate of 369.40 (CDF 0.9962, 100.4% developed). CDF &lt;1.0 indicates reopens. Reported IE (358.12) shows negative IBNR (-12.69); case adequacy fails. Reported CL is primary. BF shows minor negative (-1.36). At near-full maturity, Reported CL is most reliable.</v>
      </c>
    </row>
    <row r="22" spans="1:10">
      <c r="A22" s="2">
        <v>2021</v>
      </c>
      <c r="B22" s="2" t="s">
        <v>33</v>
      </c>
      <c r="C22" s="2">
        <f>'Reported CL'!C22</f>
        <v>329.90000000000003</v>
      </c>
      <c r="D22" s="2">
        <f>'Reported CL'!E22</f>
        <v>328.6477024740888</v>
      </c>
      <c r="E22" s="2">
        <f>'IE'!D22</f>
        <v>360.1120188906</v>
      </c>
      <c r="F22" s="2">
        <f>'Reported BF'!H22</f>
        <v>328.527809088843</v>
      </c>
      <c r="G22" s="2">
        <f>IF('C:\Users\super\Documents\actuarial\cas-rfp\spec-only\team-analyst\sample-data\sample-run\selections\[Ultimates.xlsx]Counts'!K22&lt;&gt;"",'C:\Users\super\Documents\actuarial\cas-rfp\spec-only\team-analyst\sample-data\sample-run\selections\[Ultimates.xlsx]Counts'!K22,'C:\Users\super\Documents\actuarial\cas-rfp\spec-only\team-analyst\sample-data\sample-run\selections\[Ultimates.xlsx]Counts'!G22)</f>
        <v>328.65</v>
      </c>
      <c r="H22" s="2">
        <f>G22-C22</f>
        <v>-1.2500000000000568</v>
      </c>
      <c r="I22" s="2">
        <f>G22-C22</f>
        <v>-1.2500000000000568</v>
      </c>
      <c r="J22" s="3" t="str">
        <f>IF('C:\Users\super\Documents\actuarial\cas-rfp\spec-only\team-analyst\sample-data\sample-run\selections\[Ultimates.xlsx]Counts'!K22&lt;&gt;"",'C:\Users\super\Documents\actuarial\cas-rfp\spec-only\team-analyst\sample-data\sample-run\selections\[Ultimates.xlsx]Counts'!L22,'C:\Users\super\Documents\actuarial\cas-rfp\spec-only\team-analyst\sample-data\sample-run\selections\[Ultimates.xlsx]Counts'!H22)</f>
        <v>Reported Count selected. Reported CL ultimate of 328.65 (CDF 0.9962, 100.4% developed). CDF &lt;1.0 indicates reopens. Reported IE (360.11) shows +30.21 IBNR (9.2% adjustment); plausibility questionable at near-full development. Reported CL is primary. BF shows minor negative (-1.37). CL selected.</v>
      </c>
    </row>
    <row r="23" spans="1:10">
      <c r="A23" s="2">
        <v>2022</v>
      </c>
      <c r="B23" s="2" t="s">
        <v>34</v>
      </c>
      <c r="C23" s="2">
        <f>'Reported CL'!C23</f>
        <v>298.2296</v>
      </c>
      <c r="D23" s="2">
        <f>'Reported CL'!E23</f>
        <v>297.33520105500554</v>
      </c>
      <c r="E23" s="2">
        <f>'IE'!D23</f>
        <v>339.98147490440005</v>
      </c>
      <c r="F23" s="2">
        <f>'Reported BF'!H23</f>
        <v>297.2069189605764</v>
      </c>
      <c r="G23" s="2">
        <f>IF('C:\Users\super\Documents\actuarial\cas-rfp\spec-only\team-analyst\sample-data\sample-run\selections\[Ultimates.xlsx]Counts'!K23&lt;&gt;"",'C:\Users\super\Documents\actuarial\cas-rfp\spec-only\team-analyst\sample-data\sample-run\selections\[Ultimates.xlsx]Counts'!K23,'C:\Users\super\Documents\actuarial\cas-rfp\spec-only\team-analyst\sample-data\sample-run\selections\[Ultimates.xlsx]Counts'!G23)</f>
        <v>297.34</v>
      </c>
      <c r="H23" s="2">
        <f>G23-C23</f>
        <v>-0.8896000000000299</v>
      </c>
      <c r="I23" s="2">
        <f>G23-C23</f>
        <v>-0.8896000000000299</v>
      </c>
      <c r="J23" s="3" t="str">
        <f>IF('C:\Users\super\Documents\actuarial\cas-rfp\spec-only\team-analyst\sample-data\sample-run\selections\[Ultimates.xlsx]Counts'!K23&lt;&gt;"",'C:\Users\super\Documents\actuarial\cas-rfp\spec-only\team-analyst\sample-data\sample-run\selections\[Ultimates.xlsx]Counts'!L23,'C:\Users\super\Documents\actuarial\cas-rfp\spec-only\team-analyst\sample-data\sample-run\selections\[Ultimates.xlsx]Counts'!H23)</f>
        <v>Reported Count selected. Reported CL ultimate of 297.34 (CDF 0.9970, 100.3% developed). CDF &lt;1.0 marginal. Reported IE (339.98) shows +41.75 IBNR (14.0% adjustment); fitness weak at near-full development. Reported CL is primary. BF shows minor negative (-1.02). CL most credible at 48% developed.</v>
      </c>
    </row>
    <row r="24" spans="1:10">
      <c r="A24" s="2">
        <v>2023</v>
      </c>
      <c r="B24" s="2" t="s">
        <v>35</v>
      </c>
      <c r="C24" s="2">
        <f>'Reported CL'!C24</f>
        <v>304.8276</v>
      </c>
      <c r="D24" s="2">
        <f>'Reported CL'!E24</f>
        <v>303.9134134677269</v>
      </c>
      <c r="E24" s="2">
        <f>'IE'!D24</f>
        <v>317.43432551269996</v>
      </c>
      <c r="F24" s="2">
        <f>'Reported BF'!H24</f>
        <v>303.87274189764213</v>
      </c>
      <c r="G24" s="2">
        <f>IF('C:\Users\super\Documents\actuarial\cas-rfp\spec-only\team-analyst\sample-data\sample-run\selections\[Ultimates.xlsx]Counts'!K24&lt;&gt;"",'C:\Users\super\Documents\actuarial\cas-rfp\spec-only\team-analyst\sample-data\sample-run\selections\[Ultimates.xlsx]Counts'!K24,'C:\Users\super\Documents\actuarial\cas-rfp\spec-only\team-analyst\sample-data\sample-run\selections\[Ultimates.xlsx]Counts'!G24)</f>
        <v>303.91</v>
      </c>
      <c r="H24" s="2">
        <f>G24-C24</f>
        <v>-0.9175999999999931</v>
      </c>
      <c r="I24" s="2">
        <f>G24-C24</f>
        <v>-0.9175999999999931</v>
      </c>
      <c r="J24" s="3" t="str">
        <f>IF('C:\Users\super\Documents\actuarial\cas-rfp\spec-only\team-analyst\sample-data\sample-run\selections\[Ultimates.xlsx]Counts'!K24&lt;&gt;"",'C:\Users\super\Documents\actuarial\cas-rfp\spec-only\team-analyst\sample-data\sample-run\selections\[Ultimates.xlsx]Counts'!L24,'C:\Users\super\Documents\actuarial\cas-rfp\spec-only\team-analyst\sample-data\sample-run\selections\[Ultimates.xlsx]Counts'!H24)</f>
        <v>Reported Count selected. Reported CL ultimate of 303.91 (CDF 0.9970, 100.3% developed). CDF &lt;1.0 marginal. Reported IE (317.43) shows +12.61 IBNR (4.1% adjustment); marginal given 53% development. Reported CL is primary. BF shows minor negative (-0.95). CL selected as most data-driven method.</v>
      </c>
    </row>
    <row r="25" spans="1:10">
      <c r="A25" s="2">
        <v>2024</v>
      </c>
      <c r="B25" s="2" t="s">
        <v>36</v>
      </c>
      <c r="C25" s="2">
        <f>'Reported CL'!C25</f>
        <v>256.0024</v>
      </c>
      <c r="D25" s="2">
        <f>'Reported CL'!E25</f>
        <v>285.35232932399236</v>
      </c>
      <c r="E25" s="2">
        <f>'IE'!D25</f>
        <v>292.35261175339997</v>
      </c>
      <c r="F25" s="2">
        <f>'Reported BF'!H25</f>
        <v>286.0723437533045</v>
      </c>
      <c r="G25" s="2">
        <f>IF('C:\Users\super\Documents\actuarial\cas-rfp\spec-only\team-analyst\sample-data\sample-run\selections\[Ultimates.xlsx]Counts'!K25&lt;&gt;"",'C:\Users\super\Documents\actuarial\cas-rfp\spec-only\team-analyst\sample-data\sample-run\selections\[Ultimates.xlsx]Counts'!K25,'C:\Users\super\Documents\actuarial\cas-rfp\spec-only\team-analyst\sample-data\sample-run\selections\[Ultimates.xlsx]Counts'!G25)</f>
        <v>286.07</v>
      </c>
      <c r="H25" s="2">
        <f>G25-C25</f>
        <v>30.06759999999997</v>
      </c>
      <c r="I25" s="2">
        <f>G25-C25</f>
        <v>30.06759999999997</v>
      </c>
      <c r="J25" s="3" t="str">
        <f>IF('C:\Users\super\Documents\actuarial\cas-rfp\spec-only\team-analyst\sample-data\sample-run\selections\[Ultimates.xlsx]Counts'!K25&lt;&gt;"",'C:\Users\super\Documents\actuarial\cas-rfp\spec-only\team-analyst\sample-data\sample-run\selections\[Ultimates.xlsx]Counts'!L25,'C:\Users\super\Documents\actuarial\cas-rfp\spec-only\team-analyst\sample-data\sample-run\selections\[Ultimates.xlsx]Counts'!H25)</f>
        <v>Reported Count selected. Reported CL ultimate of 285.35 (CDF 1.1146, 89.7% developed). High CDF indicates significant development ahead (10.3%). Reported IE (292.35) shows +36.35 IBNR (12.4% adjustment); fitness weak at very early stage. Reported BF (286.07) very close to CL (0.26% difference). At extreme immaturity, Reported BF is typically primary, but CL and BF nearly converge. Selected midpoint/BF (286.07) for very green period; CDF volatility at 11 months. BF slightly preferred for a priori credibility.</v>
      </c>
    </row>
    <row r="27" spans="1:10">
      <c r="A27" s="3" t="s">
        <v>37</v>
      </c>
      <c r="C27" s="2">
        <f>SUM(C2:C25)</f>
        <v/>
      </c>
      <c r="D27" s="2">
        <f>SUM(D2:D25)</f>
        <v/>
      </c>
      <c r="E27" s="2">
        <f>SUM(E2:E25)</f>
        <v/>
      </c>
      <c r="F27" s="2">
        <f>SUM(F2:F25)</f>
        <v/>
      </c>
      <c r="G27" s="2">
        <f>SUM(G2:G25)</f>
        <v/>
      </c>
      <c r="H27" s="2">
        <f>SUM(H2:H25)</f>
        <v/>
      </c>
      <c r="I27" s="2">
        <f>SUM(I2:I25)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8.7109375" customWidth="1"/>
  </cols>
  <sheetData>
    <row r="1" spans="1:7">
      <c r="A1" s="1" t="s">
        <v>0</v>
      </c>
      <c r="B1" s="1" t="s">
        <v>1</v>
      </c>
      <c r="C1" s="1" t="s">
        <v>48</v>
      </c>
      <c r="D1" s="1" t="s">
        <v>38</v>
      </c>
      <c r="E1" s="1" t="s">
        <v>39</v>
      </c>
      <c r="F1" s="1" t="s">
        <v>10</v>
      </c>
      <c r="G1" s="1" t="s">
        <v>11</v>
      </c>
    </row>
    <row r="2" spans="1:7">
      <c r="A2" s="2">
        <v>2001</v>
      </c>
      <c r="B2" s="2" t="s">
        <v>49</v>
      </c>
      <c r="C2" s="2"/>
      <c r="D2" s="4"/>
      <c r="E2" s="2">
        <f>IF(AND(ISNUMBER(C2),ISNUMBER(D2)),C2*D2,"")</f>
        <v>nan</v>
      </c>
      <c r="F2" s="2">
        <f>E2-C2</f>
        <v>nan</v>
      </c>
      <c r="G2" s="2">
        <f>E2-C2</f>
        <v>nan</v>
      </c>
    </row>
    <row r="3" spans="1:7">
      <c r="A3" s="2">
        <v>2002</v>
      </c>
      <c r="B3" s="2" t="s">
        <v>49</v>
      </c>
      <c r="C3" s="2"/>
      <c r="D3" s="4"/>
      <c r="E3" s="2">
        <f>IF(AND(ISNUMBER(C3),ISNUMBER(D3)),C3*D3,"")</f>
        <v>nan</v>
      </c>
      <c r="F3" s="2">
        <f>E3-C3</f>
        <v>nan</v>
      </c>
      <c r="G3" s="2">
        <f>E3-C3</f>
        <v>nan</v>
      </c>
    </row>
    <row r="4" spans="1:7">
      <c r="A4" s="2">
        <v>2003</v>
      </c>
      <c r="B4" s="2" t="s">
        <v>49</v>
      </c>
      <c r="C4" s="2"/>
      <c r="D4" s="4"/>
      <c r="E4" s="2">
        <f>IF(AND(ISNUMBER(C4),ISNUMBER(D4)),C4*D4,"")</f>
        <v>nan</v>
      </c>
      <c r="F4" s="2">
        <f>E4-C4</f>
        <v>nan</v>
      </c>
      <c r="G4" s="2">
        <f>E4-C4</f>
        <v>nan</v>
      </c>
    </row>
    <row r="5" spans="1:7">
      <c r="A5" s="2">
        <v>2004</v>
      </c>
      <c r="B5" s="2" t="s">
        <v>49</v>
      </c>
      <c r="C5" s="2"/>
      <c r="D5" s="4"/>
      <c r="E5" s="2">
        <f>IF(AND(ISNUMBER(C5),ISNUMBER(D5)),C5*D5,"")</f>
        <v>nan</v>
      </c>
      <c r="F5" s="2">
        <f>E5-C5</f>
        <v>nan</v>
      </c>
      <c r="G5" s="2">
        <f>E5-C5</f>
        <v>nan</v>
      </c>
    </row>
    <row r="6" spans="1:7">
      <c r="A6" s="2">
        <v>2005</v>
      </c>
      <c r="B6" s="2" t="s">
        <v>49</v>
      </c>
      <c r="C6" s="2"/>
      <c r="D6" s="4"/>
      <c r="E6" s="2">
        <f>IF(AND(ISNUMBER(C6),ISNUMBER(D6)),C6*D6,"")</f>
        <v>nan</v>
      </c>
      <c r="F6" s="2">
        <f>E6-C6</f>
        <v>nan</v>
      </c>
      <c r="G6" s="2">
        <f>E6-C6</f>
        <v>nan</v>
      </c>
    </row>
    <row r="7" spans="1:7">
      <c r="A7" s="2">
        <v>2006</v>
      </c>
      <c r="B7" s="2" t="s">
        <v>49</v>
      </c>
      <c r="C7" s="2"/>
      <c r="D7" s="4"/>
      <c r="E7" s="2">
        <f>IF(AND(ISNUMBER(C7),ISNUMBER(D7)),C7*D7,"")</f>
        <v>nan</v>
      </c>
      <c r="F7" s="2">
        <f>E7-C7</f>
        <v>nan</v>
      </c>
      <c r="G7" s="2">
        <f>E7-C7</f>
        <v>nan</v>
      </c>
    </row>
    <row r="8" spans="1:7">
      <c r="A8" s="2">
        <v>2007</v>
      </c>
      <c r="B8" s="2" t="s">
        <v>49</v>
      </c>
      <c r="C8" s="2"/>
      <c r="D8" s="4"/>
      <c r="E8" s="2">
        <f>IF(AND(ISNUMBER(C8),ISNUMBER(D8)),C8*D8,"")</f>
        <v>nan</v>
      </c>
      <c r="F8" s="2">
        <f>E8-C8</f>
        <v>nan</v>
      </c>
      <c r="G8" s="2">
        <f>E8-C8</f>
        <v>nan</v>
      </c>
    </row>
    <row r="9" spans="1:7">
      <c r="A9" s="2">
        <v>2008</v>
      </c>
      <c r="B9" s="2" t="s">
        <v>49</v>
      </c>
      <c r="C9" s="2"/>
      <c r="D9" s="4"/>
      <c r="E9" s="2">
        <f>IF(AND(ISNUMBER(C9),ISNUMBER(D9)),C9*D9,"")</f>
        <v>nan</v>
      </c>
      <c r="F9" s="2">
        <f>E9-C9</f>
        <v>nan</v>
      </c>
      <c r="G9" s="2">
        <f>E9-C9</f>
        <v>nan</v>
      </c>
    </row>
    <row r="10" spans="1:7">
      <c r="A10" s="2">
        <v>2009</v>
      </c>
      <c r="B10" s="2" t="s">
        <v>49</v>
      </c>
      <c r="C10" s="2"/>
      <c r="D10" s="4"/>
      <c r="E10" s="2">
        <f>IF(AND(ISNUMBER(C10),ISNUMBER(D10)),C10*D10,"")</f>
        <v>nan</v>
      </c>
      <c r="F10" s="2">
        <f>E10-C10</f>
        <v>nan</v>
      </c>
      <c r="G10" s="2">
        <f>E10-C10</f>
        <v>nan</v>
      </c>
    </row>
    <row r="11" spans="1:7">
      <c r="A11" s="2">
        <v>2010</v>
      </c>
      <c r="B11" s="2" t="s">
        <v>49</v>
      </c>
      <c r="C11" s="2"/>
      <c r="D11" s="4"/>
      <c r="E11" s="2">
        <f>IF(AND(ISNUMBER(C11),ISNUMBER(D11)),C11*D11,"")</f>
        <v>nan</v>
      </c>
      <c r="F11" s="2">
        <f>E11-C11</f>
        <v>nan</v>
      </c>
      <c r="G11" s="2">
        <f>E11-C11</f>
        <v>nan</v>
      </c>
    </row>
    <row r="12" spans="1:7">
      <c r="A12" s="2">
        <v>2011</v>
      </c>
      <c r="B12" s="2" t="s">
        <v>49</v>
      </c>
      <c r="C12" s="2"/>
      <c r="D12" s="4"/>
      <c r="E12" s="2">
        <f>IF(AND(ISNUMBER(C12),ISNUMBER(D12)),C12*D12,"")</f>
        <v>nan</v>
      </c>
      <c r="F12" s="2">
        <f>E12-C12</f>
        <v>nan</v>
      </c>
      <c r="G12" s="2">
        <f>E12-C12</f>
        <v>nan</v>
      </c>
    </row>
    <row r="13" spans="1:7">
      <c r="A13" s="2">
        <v>2012</v>
      </c>
      <c r="B13" s="2" t="s">
        <v>49</v>
      </c>
      <c r="C13" s="2"/>
      <c r="D13" s="4"/>
      <c r="E13" s="2">
        <f>IF(AND(ISNUMBER(C13),ISNUMBER(D13)),C13*D13,"")</f>
        <v>nan</v>
      </c>
      <c r="F13" s="2">
        <f>E13-C13</f>
        <v>nan</v>
      </c>
      <c r="G13" s="2">
        <f>E13-C13</f>
        <v>nan</v>
      </c>
    </row>
    <row r="14" spans="1:7">
      <c r="A14" s="2">
        <v>2013</v>
      </c>
      <c r="B14" s="2" t="s">
        <v>49</v>
      </c>
      <c r="C14" s="2"/>
      <c r="D14" s="4"/>
      <c r="E14" s="2">
        <f>IF(AND(ISNUMBER(C14),ISNUMBER(D14)),C14*D14,"")</f>
        <v>nan</v>
      </c>
      <c r="F14" s="2">
        <f>E14-C14</f>
        <v>nan</v>
      </c>
      <c r="G14" s="2">
        <f>E14-C14</f>
        <v>nan</v>
      </c>
    </row>
    <row r="15" spans="1:7">
      <c r="A15" s="2">
        <v>2014</v>
      </c>
      <c r="B15" s="2" t="s">
        <v>49</v>
      </c>
      <c r="C15" s="2"/>
      <c r="D15" s="4"/>
      <c r="E15" s="2">
        <f>IF(AND(ISNUMBER(C15),ISNUMBER(D15)),C15*D15,"")</f>
        <v>nan</v>
      </c>
      <c r="F15" s="2">
        <f>E15-C15</f>
        <v>nan</v>
      </c>
      <c r="G15" s="2">
        <f>E15-C15</f>
        <v>nan</v>
      </c>
    </row>
    <row r="16" spans="1:7">
      <c r="A16" s="2">
        <v>2015</v>
      </c>
      <c r="B16" s="2" t="s">
        <v>49</v>
      </c>
      <c r="C16" s="2"/>
      <c r="D16" s="4"/>
      <c r="E16" s="2">
        <f>IF(AND(ISNUMBER(C16),ISNUMBER(D16)),C16*D16,"")</f>
        <v>nan</v>
      </c>
      <c r="F16" s="2">
        <f>E16-C16</f>
        <v>nan</v>
      </c>
      <c r="G16" s="2">
        <f>E16-C16</f>
        <v>nan</v>
      </c>
    </row>
    <row r="17" spans="1:7">
      <c r="A17" s="2">
        <v>2016</v>
      </c>
      <c r="B17" s="2" t="s">
        <v>49</v>
      </c>
      <c r="C17" s="2"/>
      <c r="D17" s="4"/>
      <c r="E17" s="2">
        <f>IF(AND(ISNUMBER(C17),ISNUMBER(D17)),C17*D17,"")</f>
        <v>nan</v>
      </c>
      <c r="F17" s="2">
        <f>E17-C17</f>
        <v>nan</v>
      </c>
      <c r="G17" s="2">
        <f>E17-C17</f>
        <v>nan</v>
      </c>
    </row>
    <row r="18" spans="1:7">
      <c r="A18" s="2">
        <v>2017</v>
      </c>
      <c r="B18" s="2" t="s">
        <v>49</v>
      </c>
      <c r="C18" s="2"/>
      <c r="D18" s="4"/>
      <c r="E18" s="2">
        <f>IF(AND(ISNUMBER(C18),ISNUMBER(D18)),C18*D18,"")</f>
        <v>nan</v>
      </c>
      <c r="F18" s="2">
        <f>E18-C18</f>
        <v>nan</v>
      </c>
      <c r="G18" s="2">
        <f>E18-C18</f>
        <v>nan</v>
      </c>
    </row>
    <row r="19" spans="1:7">
      <c r="A19" s="2">
        <v>2018</v>
      </c>
      <c r="B19" s="2" t="s">
        <v>49</v>
      </c>
      <c r="C19" s="2"/>
      <c r="D19" s="4"/>
      <c r="E19" s="2">
        <f>IF(AND(ISNUMBER(C19),ISNUMBER(D19)),C19*D19,"")</f>
        <v>nan</v>
      </c>
      <c r="F19" s="2">
        <f>E19-C19</f>
        <v>nan</v>
      </c>
      <c r="G19" s="2">
        <f>E19-C19</f>
        <v>nan</v>
      </c>
    </row>
    <row r="20" spans="1:7">
      <c r="A20" s="2">
        <v>2019</v>
      </c>
      <c r="B20" s="2" t="s">
        <v>49</v>
      </c>
      <c r="C20" s="2"/>
      <c r="D20" s="4"/>
      <c r="E20" s="2">
        <f>IF(AND(ISNUMBER(C20),ISNUMBER(D20)),C20*D20,"")</f>
        <v>nan</v>
      </c>
      <c r="F20" s="2">
        <f>E20-C20</f>
        <v>nan</v>
      </c>
      <c r="G20" s="2">
        <f>E20-C20</f>
        <v>nan</v>
      </c>
    </row>
    <row r="21" spans="1:7">
      <c r="A21" s="2">
        <v>2020</v>
      </c>
      <c r="B21" s="2" t="s">
        <v>49</v>
      </c>
      <c r="C21" s="2"/>
      <c r="D21" s="4"/>
      <c r="E21" s="2">
        <f>IF(AND(ISNUMBER(C21),ISNUMBER(D21)),C21*D21,"")</f>
        <v>nan</v>
      </c>
      <c r="F21" s="2">
        <f>E21-C21</f>
        <v>nan</v>
      </c>
      <c r="G21" s="2">
        <f>E21-C21</f>
        <v>nan</v>
      </c>
    </row>
    <row r="22" spans="1:7">
      <c r="A22" s="2">
        <v>2021</v>
      </c>
      <c r="B22" s="2" t="s">
        <v>49</v>
      </c>
      <c r="C22" s="2"/>
      <c r="D22" s="4"/>
      <c r="E22" s="2">
        <f>IF(AND(ISNUMBER(C22),ISNUMBER(D22)),C22*D22,"")</f>
        <v>nan</v>
      </c>
      <c r="F22" s="2">
        <f>E22-C22</f>
        <v>nan</v>
      </c>
      <c r="G22" s="2">
        <f>E22-C22</f>
        <v>nan</v>
      </c>
    </row>
    <row r="23" spans="1:7">
      <c r="A23" s="2">
        <v>2022</v>
      </c>
      <c r="B23" s="2" t="s">
        <v>49</v>
      </c>
      <c r="C23" s="2"/>
      <c r="D23" s="4"/>
      <c r="E23" s="2">
        <f>IF(AND(ISNUMBER(C23),ISNUMBER(D23)),C23*D23,"")</f>
        <v>nan</v>
      </c>
      <c r="F23" s="2">
        <f>E23-C23</f>
        <v>nan</v>
      </c>
      <c r="G23" s="2">
        <f>E23-C23</f>
        <v>nan</v>
      </c>
    </row>
    <row r="24" spans="1:7">
      <c r="A24" s="2">
        <v>2023</v>
      </c>
      <c r="B24" s="2" t="s">
        <v>49</v>
      </c>
      <c r="C24" s="2"/>
      <c r="D24" s="4"/>
      <c r="E24" s="2">
        <f>IF(AND(ISNUMBER(C24),ISNUMBER(D24)),C24*D24,"")</f>
        <v>nan</v>
      </c>
      <c r="F24" s="2">
        <f>E24-C24</f>
        <v>nan</v>
      </c>
      <c r="G24" s="2">
        <f>E24-C24</f>
        <v>nan</v>
      </c>
    </row>
    <row r="25" spans="1:7">
      <c r="A25" s="2">
        <v>2024</v>
      </c>
      <c r="B25" s="2" t="s">
        <v>49</v>
      </c>
      <c r="C25" s="2"/>
      <c r="D25" s="4"/>
      <c r="E25" s="2">
        <f>IF(AND(ISNUMBER(C25),ISNUMBER(D25)),C25*D25,"")</f>
        <v>nan</v>
      </c>
      <c r="F25" s="2">
        <f>E25-C25</f>
        <v>nan</v>
      </c>
      <c r="G25" s="2">
        <f>E25-C25</f>
        <v>nan</v>
      </c>
    </row>
    <row r="27" spans="1:7">
      <c r="A27" s="3" t="s">
        <v>37</v>
      </c>
      <c r="C27" s="2">
        <f>SUM(C2:C25)</f>
        <v>0.0</v>
      </c>
      <c r="E27" s="2">
        <f>SUM(E2:E25)</f>
        <v>0.0</v>
      </c>
      <c r="F27" s="2">
        <f>SUM(F2:F25)</f>
        <v>0.0</v>
      </c>
      <c r="G27" s="2">
        <f>SUM(G2:G25)</f>
        <v>0.0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8.7109375" customWidth="1"/>
  </cols>
  <sheetData>
    <row r="1" spans="1:7">
      <c r="A1" s="1" t="s">
        <v>0</v>
      </c>
      <c r="B1" s="1" t="s">
        <v>1</v>
      </c>
      <c r="C1" s="1" t="s">
        <v>45</v>
      </c>
      <c r="D1" s="1" t="s">
        <v>38</v>
      </c>
      <c r="E1" s="1" t="s">
        <v>39</v>
      </c>
      <c r="F1" s="1" t="s">
        <v>10</v>
      </c>
      <c r="G1" s="1" t="s">
        <v>11</v>
      </c>
    </row>
    <row r="2" spans="1:7">
      <c r="A2" s="2">
        <v>2001</v>
      </c>
      <c r="B2" s="2" t="s">
        <v>13</v>
      </c>
      <c r="C2" s="2">
        <f>'Reported'!M3</f>
        <v>700.7076000000001</v>
      </c>
      <c r="D2" s="4">
        <v>1</v>
      </c>
      <c r="E2" s="2">
        <f>IF(AND(ISNUMBER(C2),ISNUMBER(D2)),C2*D2,"")</f>
        <v>700.7076000000001</v>
      </c>
      <c r="F2" s="2">
        <f>E2-C2</f>
        <v>0.0</v>
      </c>
      <c r="G2" s="2">
        <f>E2-'Closed CL'!C2</f>
        <v>0.0</v>
      </c>
    </row>
    <row r="3" spans="1:7">
      <c r="A3" s="2">
        <v>2002</v>
      </c>
      <c r="B3" s="2" t="s">
        <v>14</v>
      </c>
      <c r="C3" s="2">
        <f>'Reported'!M4</f>
        <v>651.8824000000001</v>
      </c>
      <c r="D3" s="4">
        <v>1</v>
      </c>
      <c r="E3" s="2">
        <f>IF(AND(ISNUMBER(C3),ISNUMBER(D3)),C3*D3,"")</f>
        <v>651.8824000000001</v>
      </c>
      <c r="F3" s="2">
        <f>E3-C3</f>
        <v>0.0</v>
      </c>
      <c r="G3" s="2">
        <f>E3-'Closed CL'!C3</f>
        <v>0.0</v>
      </c>
    </row>
    <row r="4" spans="1:7">
      <c r="A4" s="2">
        <v>2003</v>
      </c>
      <c r="B4" s="2" t="s">
        <v>15</v>
      </c>
      <c r="C4" s="2">
        <f>'Reported'!M5</f>
        <v>551.5928</v>
      </c>
      <c r="D4" s="4">
        <v>1</v>
      </c>
      <c r="E4" s="2">
        <f>IF(AND(ISNUMBER(C4),ISNUMBER(D4)),C4*D4,"")</f>
        <v>551.5928</v>
      </c>
      <c r="F4" s="2">
        <f>E4-C4</f>
        <v>0.0</v>
      </c>
      <c r="G4" s="2">
        <f>E4-'Closed CL'!C4</f>
        <v>0.0</v>
      </c>
    </row>
    <row r="5" spans="1:7">
      <c r="A5" s="2">
        <v>2004</v>
      </c>
      <c r="B5" s="2" t="s">
        <v>16</v>
      </c>
      <c r="C5" s="2">
        <f>'Reported'!M6</f>
        <v>642.6452</v>
      </c>
      <c r="D5" s="4">
        <v>1</v>
      </c>
      <c r="E5" s="2">
        <f>IF(AND(ISNUMBER(C5),ISNUMBER(D5)),C5*D5,"")</f>
        <v>642.6452</v>
      </c>
      <c r="F5" s="2">
        <f>E5-C5</f>
        <v>0.0</v>
      </c>
      <c r="G5" s="2">
        <f>E5-'Closed CL'!C5</f>
        <v>0.0</v>
      </c>
    </row>
    <row r="6" spans="1:7">
      <c r="A6" s="2">
        <v>2005</v>
      </c>
      <c r="B6" s="2" t="s">
        <v>17</v>
      </c>
      <c r="C6" s="2">
        <f>'Reported'!M7</f>
        <v>641.3256</v>
      </c>
      <c r="D6" s="4">
        <v>1</v>
      </c>
      <c r="E6" s="2">
        <f>IF(AND(ISNUMBER(C6),ISNUMBER(D6)),C6*D6,"")</f>
        <v>641.3256</v>
      </c>
      <c r="F6" s="2">
        <f>E6-C6</f>
        <v>0.0</v>
      </c>
      <c r="G6" s="2">
        <f>E6-'Closed CL'!C6</f>
        <v>0.0</v>
      </c>
    </row>
    <row r="7" spans="1:7">
      <c r="A7" s="2">
        <v>2006</v>
      </c>
      <c r="B7" s="2" t="s">
        <v>18</v>
      </c>
      <c r="C7" s="2">
        <f>'Reported'!M8</f>
        <v>497.48920000000004</v>
      </c>
      <c r="D7" s="4">
        <v>1</v>
      </c>
      <c r="E7" s="2">
        <f>IF(AND(ISNUMBER(C7),ISNUMBER(D7)),C7*D7,"")</f>
        <v>497.48920000000004</v>
      </c>
      <c r="F7" s="2">
        <f>E7-C7</f>
        <v>0.0</v>
      </c>
      <c r="G7" s="2">
        <f>E7-'Closed CL'!C7</f>
        <v>0.0</v>
      </c>
    </row>
    <row r="8" spans="1:7">
      <c r="A8" s="2">
        <v>2007</v>
      </c>
      <c r="B8" s="2" t="s">
        <v>19</v>
      </c>
      <c r="C8" s="2">
        <f>'Reported'!M9</f>
        <v>476.3756</v>
      </c>
      <c r="D8" s="4">
        <v>1</v>
      </c>
      <c r="E8" s="2">
        <f>IF(AND(ISNUMBER(C8),ISNUMBER(D8)),C8*D8,"")</f>
        <v>476.3756</v>
      </c>
      <c r="F8" s="2">
        <f>E8-C8</f>
        <v>0.0</v>
      </c>
      <c r="G8" s="2">
        <f>E8-'Closed CL'!C8</f>
        <v>0.0</v>
      </c>
    </row>
    <row r="9" spans="1:7">
      <c r="A9" s="2">
        <v>2008</v>
      </c>
      <c r="B9" s="2" t="s">
        <v>20</v>
      </c>
      <c r="C9" s="2">
        <f>'Reported'!M10</f>
        <v>328.58040000000005</v>
      </c>
      <c r="D9" s="4">
        <v>1</v>
      </c>
      <c r="E9" s="2">
        <f>IF(AND(ISNUMBER(C9),ISNUMBER(D9)),C9*D9,"")</f>
        <v>328.58040000000005</v>
      </c>
      <c r="F9" s="2">
        <f>E9-C9</f>
        <v>0.0</v>
      </c>
      <c r="G9" s="2">
        <f>E9-'Closed CL'!C9</f>
        <v>0.0</v>
      </c>
    </row>
    <row r="10" spans="1:7">
      <c r="A10" s="2">
        <v>2009</v>
      </c>
      <c r="B10" s="2" t="s">
        <v>21</v>
      </c>
      <c r="C10" s="2">
        <f>'Reported'!M11</f>
        <v>321.98240000000004</v>
      </c>
      <c r="D10" s="4">
        <v>1</v>
      </c>
      <c r="E10" s="2">
        <f>IF(AND(ISNUMBER(C10),ISNUMBER(D10)),C10*D10,"")</f>
        <v>321.98240000000004</v>
      </c>
      <c r="F10" s="2">
        <f>E10-C10</f>
        <v>0.0</v>
      </c>
      <c r="G10" s="2">
        <f>E10-'Closed CL'!C10</f>
        <v>0.0</v>
      </c>
    </row>
    <row r="11" spans="1:7">
      <c r="A11" s="2">
        <v>2010</v>
      </c>
      <c r="B11" s="2" t="s">
        <v>22</v>
      </c>
      <c r="C11" s="2">
        <f>'Reported'!M12</f>
        <v>271.8376</v>
      </c>
      <c r="D11" s="4">
        <v>1</v>
      </c>
      <c r="E11" s="2">
        <f>IF(AND(ISNUMBER(C11),ISNUMBER(D11)),C11*D11,"")</f>
        <v>271.8376</v>
      </c>
      <c r="F11" s="2">
        <f>E11-C11</f>
        <v>0.0</v>
      </c>
      <c r="G11" s="2">
        <f>E11-'Closed CL'!C11</f>
        <v>0.0</v>
      </c>
    </row>
    <row r="12" spans="1:7">
      <c r="A12" s="2">
        <v>2011</v>
      </c>
      <c r="B12" s="2" t="s">
        <v>23</v>
      </c>
      <c r="C12" s="2">
        <f>'Reported'!M13</f>
        <v>345.7352</v>
      </c>
      <c r="D12" s="4">
        <v>1</v>
      </c>
      <c r="E12" s="2">
        <f>IF(AND(ISNUMBER(C12),ISNUMBER(D12)),C12*D12,"")</f>
        <v>345.7352</v>
      </c>
      <c r="F12" s="2">
        <f>E12-C12</f>
        <v>0.0</v>
      </c>
      <c r="G12" s="2">
        <f>E12-'Closed CL'!C12</f>
        <v>0.0</v>
      </c>
    </row>
    <row r="13" spans="1:7">
      <c r="A13" s="2">
        <v>2012</v>
      </c>
      <c r="B13" s="2" t="s">
        <v>24</v>
      </c>
      <c r="C13" s="2">
        <f>'Reported'!M14</f>
        <v>261.2808</v>
      </c>
      <c r="D13" s="4">
        <v>1</v>
      </c>
      <c r="E13" s="2">
        <f>IF(AND(ISNUMBER(C13),ISNUMBER(D13)),C13*D13,"")</f>
        <v>261.2808</v>
      </c>
      <c r="F13" s="2">
        <f>E13-C13</f>
        <v>0.0</v>
      </c>
      <c r="G13" s="2">
        <f>E13-'Closed CL'!C13</f>
        <v>0.0</v>
      </c>
    </row>
    <row r="14" spans="1:7">
      <c r="A14" s="2">
        <v>2013</v>
      </c>
      <c r="B14" s="2" t="s">
        <v>25</v>
      </c>
      <c r="C14" s="2">
        <f>'Reported'!M15</f>
        <v>291.63160000000005</v>
      </c>
      <c r="D14" s="4">
        <v>1</v>
      </c>
      <c r="E14" s="2">
        <f>IF(AND(ISNUMBER(C14),ISNUMBER(D14)),C14*D14,"")</f>
        <v>291.63160000000005</v>
      </c>
      <c r="F14" s="2">
        <f>E14-C14</f>
        <v>0.0</v>
      </c>
      <c r="G14" s="2">
        <f>E14-'Closed CL'!C14</f>
        <v>0.0</v>
      </c>
    </row>
    <row r="15" spans="1:7">
      <c r="A15" s="2">
        <v>2014</v>
      </c>
      <c r="B15" s="2" t="s">
        <v>26</v>
      </c>
      <c r="C15" s="2">
        <f>'Reported'!L16</f>
        <v>455.26200000000006</v>
      </c>
      <c r="D15" s="4">
        <v>1</v>
      </c>
      <c r="E15" s="2">
        <f>IF(AND(ISNUMBER(C15),ISNUMBER(D15)),C15*D15,"")</f>
        <v>455.26200000000006</v>
      </c>
      <c r="F15" s="2">
        <f>E15-C15</f>
        <v>0.0</v>
      </c>
      <c r="G15" s="2">
        <f>E15-'Closed CL'!C15</f>
        <v>0.0</v>
      </c>
    </row>
    <row r="16" spans="1:7">
      <c r="A16" s="2">
        <v>2015</v>
      </c>
      <c r="B16" s="2" t="s">
        <v>27</v>
      </c>
      <c r="C16" s="2">
        <f>'Reported'!K17</f>
        <v>333.85880000000003</v>
      </c>
      <c r="D16" s="4">
        <v>1</v>
      </c>
      <c r="E16" s="2">
        <f>IF(AND(ISNUMBER(C16),ISNUMBER(D16)),C16*D16,"")</f>
        <v>333.85880000000003</v>
      </c>
      <c r="F16" s="2">
        <f>E16-C16</f>
        <v>0.0</v>
      </c>
      <c r="G16" s="2">
        <f>E16-'Closed CL'!C16</f>
        <v>0.0</v>
      </c>
    </row>
    <row r="17" spans="1:7">
      <c r="A17" s="2">
        <v>2016</v>
      </c>
      <c r="B17" s="2" t="s">
        <v>28</v>
      </c>
      <c r="C17" s="2">
        <f>'Reported'!J18</f>
        <v>390.6016</v>
      </c>
      <c r="D17" s="4">
        <v>0.9977</v>
      </c>
      <c r="E17" s="2">
        <f>IF(AND(ISNUMBER(C17),ISNUMBER(D17)),C17*D17,"")</f>
        <v>389.70321632</v>
      </c>
      <c r="F17" s="2">
        <f>E17-C17</f>
        <v>-0.8983836799999949</v>
      </c>
      <c r="G17" s="2">
        <f>E17-'Closed CL'!C17</f>
        <v>-0.8983836799999949</v>
      </c>
    </row>
    <row r="18" spans="1:7">
      <c r="A18" s="2">
        <v>2017</v>
      </c>
      <c r="B18" s="2" t="s">
        <v>29</v>
      </c>
      <c r="C18" s="2">
        <f>'Reported'!I19</f>
        <v>310.10600000000005</v>
      </c>
      <c r="D18" s="4">
        <v>0.9977</v>
      </c>
      <c r="E18" s="2">
        <f>IF(AND(ISNUMBER(C18),ISNUMBER(D18)),C18*D18,"")</f>
        <v>309.39275620000006</v>
      </c>
      <c r="F18" s="2">
        <f>E18-C18</f>
        <v>-0.7132437999999865</v>
      </c>
      <c r="G18" s="2">
        <f>E18-'Closed CL'!C18</f>
        <v>-0.7132437999999865</v>
      </c>
    </row>
    <row r="19" spans="1:7">
      <c r="A19" s="2">
        <v>2018</v>
      </c>
      <c r="B19" s="2" t="s">
        <v>30</v>
      </c>
      <c r="C19" s="2">
        <f>'Reported'!H20</f>
        <v>325.94120000000004</v>
      </c>
      <c r="D19" s="4">
        <v>0.99700161</v>
      </c>
      <c r="E19" s="2">
        <f>IF(AND(ISNUMBER(C19),ISNUMBER(D19)),C19*D19,"")</f>
        <v>324.963901165332</v>
      </c>
      <c r="F19" s="2">
        <f>E19-C19</f>
        <v>-0.9772988346680336</v>
      </c>
      <c r="G19" s="2">
        <f>E19-'Closed CL'!C19</f>
        <v>-0.9772988346680336</v>
      </c>
    </row>
    <row r="20" spans="1:7">
      <c r="A20" s="2">
        <v>2019</v>
      </c>
      <c r="B20" s="2" t="s">
        <v>31</v>
      </c>
      <c r="C20" s="2">
        <f>'Reported'!G21</f>
        <v>357.6116</v>
      </c>
      <c r="D20" s="4">
        <v>0.99700161</v>
      </c>
      <c r="E20" s="2">
        <f>IF(AND(ISNUMBER(C20),ISNUMBER(D20)),C20*D20,"")</f>
        <v>356.539340954676</v>
      </c>
      <c r="F20" s="2">
        <f>E20-C20</f>
        <v>-1.0722590453240173</v>
      </c>
      <c r="G20" s="2">
        <f>E20-'Closed CL'!C20</f>
        <v>-1.0722590453240173</v>
      </c>
    </row>
    <row r="21" spans="1:7">
      <c r="A21" s="2">
        <v>2020</v>
      </c>
      <c r="B21" s="2" t="s">
        <v>32</v>
      </c>
      <c r="C21" s="2">
        <f>'Reported'!F22</f>
        <v>370.80760000000004</v>
      </c>
      <c r="D21" s="4">
        <v>0.996204008712</v>
      </c>
      <c r="E21" s="2">
        <f>IF(AND(ISNUMBER(C21),ISNUMBER(D21)),C21*D21,"")</f>
        <v>369.40001758087584</v>
      </c>
      <c r="F21" s="2">
        <f>E21-C21</f>
        <v>-1.4075824191241963</v>
      </c>
      <c r="G21" s="2">
        <f>E21-'Closed CL'!C21</f>
        <v>-1.4075824191241963</v>
      </c>
    </row>
    <row r="22" spans="1:7">
      <c r="A22" s="2">
        <v>2021</v>
      </c>
      <c r="B22" s="2" t="s">
        <v>33</v>
      </c>
      <c r="C22" s="2">
        <f>'Reported'!E23</f>
        <v>329.90000000000003</v>
      </c>
      <c r="D22" s="4">
        <v>0.996204008712</v>
      </c>
      <c r="E22" s="2">
        <f>IF(AND(ISNUMBER(C22),ISNUMBER(D22)),C22*D22,"")</f>
        <v>328.6477024740888</v>
      </c>
      <c r="F22" s="2">
        <f>E22-C22</f>
        <v>-1.2522975259112172</v>
      </c>
      <c r="G22" s="2">
        <f>E22-'Closed CL'!C22</f>
        <v>-1.2522975259112172</v>
      </c>
    </row>
    <row r="23" spans="1:7">
      <c r="A23" s="2">
        <v>2022</v>
      </c>
      <c r="B23" s="2" t="s">
        <v>34</v>
      </c>
      <c r="C23" s="2">
        <f>'Reported'!D24</f>
        <v>298.2296</v>
      </c>
      <c r="D23" s="4">
        <v>0.9970009719189695</v>
      </c>
      <c r="E23" s="2">
        <f>IF(AND(ISNUMBER(C23),ISNUMBER(D23)),C23*D23,"")</f>
        <v>297.33520105500554</v>
      </c>
      <c r="F23" s="2">
        <f>E23-C23</f>
        <v>-0.8943989449944638</v>
      </c>
      <c r="G23" s="2">
        <f>E23-'Closed CL'!C23</f>
        <v>-0.8943989449944638</v>
      </c>
    </row>
    <row r="24" spans="1:7">
      <c r="A24" s="2">
        <v>2023</v>
      </c>
      <c r="B24" s="2" t="s">
        <v>35</v>
      </c>
      <c r="C24" s="2">
        <f>'Reported'!C25</f>
        <v>304.8276</v>
      </c>
      <c r="D24" s="4">
        <v>0.9970009719189695</v>
      </c>
      <c r="E24" s="2">
        <f>IF(AND(ISNUMBER(C24),ISNUMBER(D24)),C24*D24,"")</f>
        <v>303.9134134677269</v>
      </c>
      <c r="F24" s="2">
        <f>E24-C24</f>
        <v>-0.9141865322731064</v>
      </c>
      <c r="G24" s="2">
        <f>E24-'Closed CL'!C24</f>
        <v>-0.9141865322731064</v>
      </c>
    </row>
    <row r="25" spans="1:7">
      <c r="A25" s="2">
        <v>2024</v>
      </c>
      <c r="B25" s="2" t="s">
        <v>36</v>
      </c>
      <c r="C25" s="2">
        <f>'Reported'!B26</f>
        <v>256.0024</v>
      </c>
      <c r="D25" s="4">
        <v>1.114647086605408</v>
      </c>
      <c r="E25" s="2">
        <f>IF(AND(ISNUMBER(C25),ISNUMBER(D25)),C25*D25,"")</f>
        <v>285.35232932399236</v>
      </c>
      <c r="F25" s="2">
        <f>E25-C25</f>
        <v>29.349929323992342</v>
      </c>
      <c r="G25" s="2">
        <f>E25-'Closed CL'!C25</f>
        <v>29.349929323992342</v>
      </c>
    </row>
    <row r="27" spans="1:7">
      <c r="A27" s="3" t="s">
        <v>37</v>
      </c>
      <c r="C27" s="2">
        <f>SUM(C2:C25)</f>
        <v>9716.214800000002</v>
      </c>
      <c r="E27" s="2">
        <f>SUM(E2:E25)</f>
        <v>9737.435078541697</v>
      </c>
      <c r="F27" s="2">
        <f>SUM(F2:F25)</f>
        <v>21.220278541695734</v>
      </c>
      <c r="G27" s="2">
        <f>SUM(G2:G25)</f>
        <v>21.220278541695734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8.7109375" customWidth="1"/>
  </cols>
  <sheetData>
    <row r="1" spans="1:10">
      <c r="A1" s="1" t="s">
        <v>0</v>
      </c>
      <c r="B1" s="1" t="s">
        <v>1</v>
      </c>
      <c r="C1" s="1" t="s">
        <v>6</v>
      </c>
      <c r="D1" s="1" t="s">
        <v>38</v>
      </c>
      <c r="E1" s="1" t="s">
        <v>40</v>
      </c>
      <c r="F1" s="1" t="s">
        <v>41</v>
      </c>
      <c r="G1" s="1" t="s">
        <v>45</v>
      </c>
      <c r="H1" s="1" t="s">
        <v>39</v>
      </c>
      <c r="I1" s="1" t="s">
        <v>10</v>
      </c>
      <c r="J1" s="1" t="s">
        <v>11</v>
      </c>
    </row>
    <row r="2" spans="1:10">
      <c r="A2" s="2">
        <v>2001</v>
      </c>
      <c r="B2" s="2" t="s">
        <v>13</v>
      </c>
      <c r="C2" s="2">
        <f>'IE'!D2</f>
        <v>700.775874480892</v>
      </c>
      <c r="D2" s="4">
        <f>'Reported CL'!D2</f>
        <v>1.0</v>
      </c>
      <c r="E2" s="5">
        <f>1-(1/D2)</f>
        <v>0.0</v>
      </c>
      <c r="F2" s="2">
        <f>C2*E2</f>
        <v/>
      </c>
      <c r="G2" s="2">
        <f>'Reported CL'!C2</f>
        <v>700.7076000000001</v>
      </c>
      <c r="H2" s="2">
        <f>F2+G2</f>
        <v/>
      </c>
      <c r="I2" s="2">
        <f>H2-G2</f>
        <v/>
      </c>
      <c r="J2" s="2">
        <f>H2-'Closed CL'!C2</f>
        <v/>
      </c>
    </row>
    <row r="3" spans="1:10">
      <c r="A3" s="2">
        <v>2002</v>
      </c>
      <c r="B3" s="2" t="s">
        <v>14</v>
      </c>
      <c r="C3" s="2">
        <f>'IE'!D3</f>
        <v>683.1663101357999</v>
      </c>
      <c r="D3" s="4">
        <f>'Reported CL'!D3</f>
        <v>1.0</v>
      </c>
      <c r="E3" s="5">
        <f>1-(1/D3)</f>
        <v>0.0</v>
      </c>
      <c r="F3" s="2">
        <f>C3*E3</f>
        <v/>
      </c>
      <c r="G3" s="2">
        <f>'Reported CL'!C3</f>
        <v>651.8824000000001</v>
      </c>
      <c r="H3" s="2">
        <f>F3+G3</f>
        <v/>
      </c>
      <c r="I3" s="2">
        <f>H3-G3</f>
        <v/>
      </c>
      <c r="J3" s="2">
        <f>H3-'Closed CL'!C3</f>
        <v/>
      </c>
    </row>
    <row r="4" spans="1:10">
      <c r="A4" s="2">
        <v>2003</v>
      </c>
      <c r="B4" s="2" t="s">
        <v>15</v>
      </c>
      <c r="C4" s="2">
        <f>'IE'!D4</f>
        <v>648.4432609290001</v>
      </c>
      <c r="D4" s="4">
        <f>'Reported CL'!D4</f>
        <v>1.0</v>
      </c>
      <c r="E4" s="5">
        <f>1-(1/D4)</f>
        <v>0.0</v>
      </c>
      <c r="F4" s="2">
        <f>C4*E4</f>
        <v/>
      </c>
      <c r="G4" s="2">
        <f>'Reported CL'!C4</f>
        <v>551.5928</v>
      </c>
      <c r="H4" s="2">
        <f>F4+G4</f>
        <v/>
      </c>
      <c r="I4" s="2">
        <f>H4-G4</f>
        <v/>
      </c>
      <c r="J4" s="2">
        <f>H4-'Closed CL'!C4</f>
        <v/>
      </c>
    </row>
    <row r="5" spans="1:10">
      <c r="A5" s="2">
        <v>2004</v>
      </c>
      <c r="B5" s="2" t="s">
        <v>16</v>
      </c>
      <c r="C5" s="2">
        <f>'IE'!D5</f>
        <v>627.83790652</v>
      </c>
      <c r="D5" s="4">
        <f>'Reported CL'!D5</f>
        <v>1.0</v>
      </c>
      <c r="E5" s="5">
        <f>1-(1/D5)</f>
        <v>0.0</v>
      </c>
      <c r="F5" s="2">
        <f>C5*E5</f>
        <v/>
      </c>
      <c r="G5" s="2">
        <f>'Reported CL'!C5</f>
        <v>642.6452</v>
      </c>
      <c r="H5" s="2">
        <f>F5+G5</f>
        <v/>
      </c>
      <c r="I5" s="2">
        <f>H5-G5</f>
        <v/>
      </c>
      <c r="J5" s="2">
        <f>H5-'Closed CL'!C5</f>
        <v/>
      </c>
    </row>
    <row r="6" spans="1:10">
      <c r="A6" s="2">
        <v>2005</v>
      </c>
      <c r="B6" s="2" t="s">
        <v>17</v>
      </c>
      <c r="C6" s="2">
        <f>'IE'!D6</f>
        <v>623.61426984</v>
      </c>
      <c r="D6" s="4">
        <f>'Reported CL'!D6</f>
        <v>1.0</v>
      </c>
      <c r="E6" s="5">
        <f>1-(1/D6)</f>
        <v>0.0</v>
      </c>
      <c r="F6" s="2">
        <f>C6*E6</f>
        <v/>
      </c>
      <c r="G6" s="2">
        <f>'Reported CL'!C6</f>
        <v>641.3256</v>
      </c>
      <c r="H6" s="2">
        <f>F6+G6</f>
        <v/>
      </c>
      <c r="I6" s="2">
        <f>H6-G6</f>
        <v/>
      </c>
      <c r="J6" s="2">
        <f>H6-'Closed CL'!C6</f>
        <v/>
      </c>
    </row>
    <row r="7" spans="1:10">
      <c r="A7" s="2">
        <v>2006</v>
      </c>
      <c r="B7" s="2" t="s">
        <v>18</v>
      </c>
      <c r="C7" s="2">
        <f>'IE'!D7</f>
        <v>606.7448358759</v>
      </c>
      <c r="D7" s="4">
        <f>'Reported CL'!D7</f>
        <v>1.0</v>
      </c>
      <c r="E7" s="5">
        <f>1-(1/D7)</f>
        <v>0.0</v>
      </c>
      <c r="F7" s="2">
        <f>C7*E7</f>
        <v/>
      </c>
      <c r="G7" s="2">
        <f>'Reported CL'!C7</f>
        <v>497.48920000000004</v>
      </c>
      <c r="H7" s="2">
        <f>F7+G7</f>
        <v/>
      </c>
      <c r="I7" s="2">
        <f>H7-G7</f>
        <v/>
      </c>
      <c r="J7" s="2">
        <f>H7-'Closed CL'!C7</f>
        <v/>
      </c>
    </row>
    <row r="8" spans="1:10">
      <c r="A8" s="2">
        <v>2007</v>
      </c>
      <c r="B8" s="2" t="s">
        <v>19</v>
      </c>
      <c r="C8" s="2">
        <f>'IE'!D8</f>
        <v>550.471610298</v>
      </c>
      <c r="D8" s="4">
        <f>'Reported CL'!D8</f>
        <v>1.0</v>
      </c>
      <c r="E8" s="5">
        <f>1-(1/D8)</f>
        <v>0.0</v>
      </c>
      <c r="F8" s="2">
        <f>C8*E8</f>
        <v/>
      </c>
      <c r="G8" s="2">
        <f>'Reported CL'!C8</f>
        <v>476.3756</v>
      </c>
      <c r="H8" s="2">
        <f>F8+G8</f>
        <v/>
      </c>
      <c r="I8" s="2">
        <f>H8-G8</f>
        <v/>
      </c>
      <c r="J8" s="2">
        <f>H8-'Closed CL'!C8</f>
        <v/>
      </c>
    </row>
    <row r="9" spans="1:10">
      <c r="A9" s="2">
        <v>2008</v>
      </c>
      <c r="B9" s="2" t="s">
        <v>20</v>
      </c>
      <c r="C9" s="2">
        <f>'IE'!D9</f>
        <v>444.09697991099995</v>
      </c>
      <c r="D9" s="4">
        <f>'Reported CL'!D9</f>
        <v>1.0</v>
      </c>
      <c r="E9" s="5">
        <f>1-(1/D9)</f>
        <v>0.0</v>
      </c>
      <c r="F9" s="2">
        <f>C9*E9</f>
        <v/>
      </c>
      <c r="G9" s="2">
        <f>'Reported CL'!C9</f>
        <v>328.58040000000005</v>
      </c>
      <c r="H9" s="2">
        <f>F9+G9</f>
        <v/>
      </c>
      <c r="I9" s="2">
        <f>H9-G9</f>
        <v/>
      </c>
      <c r="J9" s="2">
        <f>H9-'Closed CL'!C9</f>
        <v/>
      </c>
    </row>
    <row r="10" spans="1:10">
      <c r="A10" s="2">
        <v>2009</v>
      </c>
      <c r="B10" s="2" t="s">
        <v>21</v>
      </c>
      <c r="C10" s="2">
        <f>'IE'!D10</f>
        <v>384.4019144995</v>
      </c>
      <c r="D10" s="4">
        <f>'Reported CL'!D10</f>
        <v>1.0</v>
      </c>
      <c r="E10" s="5">
        <f>1-(1/D10)</f>
        <v>0.0</v>
      </c>
      <c r="F10" s="2">
        <f>C10*E10</f>
        <v/>
      </c>
      <c r="G10" s="2">
        <f>'Reported CL'!C10</f>
        <v>321.98240000000004</v>
      </c>
      <c r="H10" s="2">
        <f>F10+G10</f>
        <v/>
      </c>
      <c r="I10" s="2">
        <f>H10-G10</f>
        <v/>
      </c>
      <c r="J10" s="2">
        <f>H10-'Closed CL'!C10</f>
        <v/>
      </c>
    </row>
    <row r="11" spans="1:10">
      <c r="A11" s="2">
        <v>2010</v>
      </c>
      <c r="B11" s="2" t="s">
        <v>22</v>
      </c>
      <c r="C11" s="2">
        <f>'IE'!D11</f>
        <v>314.2013025147</v>
      </c>
      <c r="D11" s="4">
        <f>'Reported CL'!D11</f>
        <v>1.0</v>
      </c>
      <c r="E11" s="5">
        <f>1-(1/D11)</f>
        <v>0.0</v>
      </c>
      <c r="F11" s="2">
        <f>C11*E11</f>
        <v/>
      </c>
      <c r="G11" s="2">
        <f>'Reported CL'!C11</f>
        <v>271.8376</v>
      </c>
      <c r="H11" s="2">
        <f>F11+G11</f>
        <v/>
      </c>
      <c r="I11" s="2">
        <f>H11-G11</f>
        <v/>
      </c>
      <c r="J11" s="2">
        <f>H11-'Closed CL'!C11</f>
        <v/>
      </c>
    </row>
    <row r="12" spans="1:10">
      <c r="A12" s="2">
        <v>2011</v>
      </c>
      <c r="B12" s="2" t="s">
        <v>23</v>
      </c>
      <c r="C12" s="2">
        <f>'IE'!D12</f>
        <v>319.3283418408</v>
      </c>
      <c r="D12" s="4">
        <f>'Reported CL'!D12</f>
        <v>1.0</v>
      </c>
      <c r="E12" s="5">
        <f>1-(1/D12)</f>
        <v>0.0</v>
      </c>
      <c r="F12" s="2">
        <f>C12*E12</f>
        <v/>
      </c>
      <c r="G12" s="2">
        <f>'Reported CL'!C12</f>
        <v>345.7352</v>
      </c>
      <c r="H12" s="2">
        <f>F12+G12</f>
        <v/>
      </c>
      <c r="I12" s="2">
        <f>H12-G12</f>
        <v/>
      </c>
      <c r="J12" s="2">
        <f>H12-'Closed CL'!C12</f>
        <v/>
      </c>
    </row>
    <row r="13" spans="1:10">
      <c r="A13" s="2">
        <v>2012</v>
      </c>
      <c r="B13" s="2" t="s">
        <v>24</v>
      </c>
      <c r="C13" s="2">
        <f>'IE'!D13</f>
        <v>298.96537513600003</v>
      </c>
      <c r="D13" s="4">
        <f>'Reported CL'!D13</f>
        <v>1.0</v>
      </c>
      <c r="E13" s="5">
        <f>1-(1/D13)</f>
        <v>0.0</v>
      </c>
      <c r="F13" s="2">
        <f>C13*E13</f>
        <v/>
      </c>
      <c r="G13" s="2">
        <f>'Reported CL'!C13</f>
        <v>261.2808</v>
      </c>
      <c r="H13" s="2">
        <f>F13+G13</f>
        <v/>
      </c>
      <c r="I13" s="2">
        <f>H13-G13</f>
        <v/>
      </c>
      <c r="J13" s="2">
        <f>H13-'Closed CL'!C13</f>
        <v/>
      </c>
    </row>
    <row r="14" spans="1:10">
      <c r="A14" s="2">
        <v>2013</v>
      </c>
      <c r="B14" s="2" t="s">
        <v>25</v>
      </c>
      <c r="C14" s="2">
        <f>'IE'!D14</f>
        <v>305.74716859079996</v>
      </c>
      <c r="D14" s="4">
        <f>'Reported CL'!D14</f>
        <v>1.0</v>
      </c>
      <c r="E14" s="5">
        <f>1-(1/D14)</f>
        <v>0.0</v>
      </c>
      <c r="F14" s="2">
        <f>C14*E14</f>
        <v/>
      </c>
      <c r="G14" s="2">
        <f>'Reported CL'!C14</f>
        <v>291.63160000000005</v>
      </c>
      <c r="H14" s="2">
        <f>F14+G14</f>
        <v/>
      </c>
      <c r="I14" s="2">
        <f>H14-G14</f>
        <v/>
      </c>
      <c r="J14" s="2">
        <f>H14-'Closed CL'!C14</f>
        <v/>
      </c>
    </row>
    <row r="15" spans="1:10">
      <c r="A15" s="2">
        <v>2014</v>
      </c>
      <c r="B15" s="2" t="s">
        <v>26</v>
      </c>
      <c r="C15" s="2">
        <f>'IE'!D15</f>
        <v>341.329398159</v>
      </c>
      <c r="D15" s="4">
        <f>'Reported CL'!D15</f>
        <v>1.0</v>
      </c>
      <c r="E15" s="5">
        <f>1-(1/D15)</f>
        <v>0.0</v>
      </c>
      <c r="F15" s="2">
        <f>C15*E15</f>
        <v/>
      </c>
      <c r="G15" s="2">
        <f>'Reported CL'!C15</f>
        <v>455.26200000000006</v>
      </c>
      <c r="H15" s="2">
        <f>F15+G15</f>
        <v/>
      </c>
      <c r="I15" s="2">
        <f>H15-G15</f>
        <v/>
      </c>
      <c r="J15" s="2">
        <f>H15-'Closed CL'!C15</f>
        <v/>
      </c>
    </row>
    <row r="16" spans="1:10">
      <c r="A16" s="2">
        <v>2015</v>
      </c>
      <c r="B16" s="2" t="s">
        <v>27</v>
      </c>
      <c r="C16" s="2">
        <f>'IE'!D16</f>
        <v>367.358834304</v>
      </c>
      <c r="D16" s="4">
        <f>'Reported CL'!D16</f>
        <v>1.0</v>
      </c>
      <c r="E16" s="5">
        <f>1-(1/D16)</f>
        <v>0.0</v>
      </c>
      <c r="F16" s="2">
        <f>C16*E16</f>
        <v/>
      </c>
      <c r="G16" s="2">
        <f>'Reported CL'!C16</f>
        <v>333.85880000000003</v>
      </c>
      <c r="H16" s="2">
        <f>F16+G16</f>
        <v/>
      </c>
      <c r="I16" s="2">
        <f>H16-G16</f>
        <v/>
      </c>
      <c r="J16" s="2">
        <f>H16-'Closed CL'!C16</f>
        <v/>
      </c>
    </row>
    <row r="17" spans="1:10">
      <c r="A17" s="2">
        <v>2016</v>
      </c>
      <c r="B17" s="2" t="s">
        <v>28</v>
      </c>
      <c r="C17" s="2">
        <f>'IE'!D17</f>
        <v>401.5315549436</v>
      </c>
      <c r="D17" s="4">
        <f>'Reported CL'!D17</f>
        <v>0.9977</v>
      </c>
      <c r="E17" s="5">
        <f>1-(1/D17)</f>
        <v>-0.002305302195048542</v>
      </c>
      <c r="F17" s="2">
        <f>C17*E17</f>
        <v>-0.9256515749927353</v>
      </c>
      <c r="G17" s="2">
        <f>'Reported CL'!C17</f>
        <v>390.6016</v>
      </c>
      <c r="H17" s="2">
        <f>F17+G17</f>
        <v>389.6759484250073</v>
      </c>
      <c r="I17" s="2">
        <f>H17-G17</f>
        <v>-0.9256515749927416</v>
      </c>
      <c r="J17" s="2">
        <f>H17-'Closed CL'!C17</f>
        <v>-0.9256515749927416</v>
      </c>
    </row>
    <row r="18" spans="1:10">
      <c r="A18" s="2">
        <v>2017</v>
      </c>
      <c r="B18" s="2" t="s">
        <v>29</v>
      </c>
      <c r="C18" s="2">
        <f>'IE'!D18</f>
        <v>351.79784802899997</v>
      </c>
      <c r="D18" s="4">
        <f>'Reported CL'!D18</f>
        <v>0.9977</v>
      </c>
      <c r="E18" s="5">
        <f>1-(1/D18)</f>
        <v>-0.002305302195048542</v>
      </c>
      <c r="F18" s="2">
        <f>C18*E18</f>
        <v>-0.811000351274607</v>
      </c>
      <c r="G18" s="2">
        <f>'Reported CL'!C18</f>
        <v>310.10600000000005</v>
      </c>
      <c r="H18" s="2">
        <f>F18+G18</f>
        <v>309.2949996487254</v>
      </c>
      <c r="I18" s="2">
        <f>H18-G18</f>
        <v>-0.8110003512746289</v>
      </c>
      <c r="J18" s="2">
        <f>H18-'Closed CL'!C18</f>
        <v>-0.8110003512746289</v>
      </c>
    </row>
    <row r="19" spans="1:10">
      <c r="A19" s="2">
        <v>2018</v>
      </c>
      <c r="B19" s="2" t="s">
        <v>30</v>
      </c>
      <c r="C19" s="2">
        <f>'IE'!D19</f>
        <v>349.5307063275</v>
      </c>
      <c r="D19" s="4">
        <f>'Reported CL'!D19</f>
        <v>0.99700161</v>
      </c>
      <c r="E19" s="5">
        <f>1-(1/D19)</f>
        <v>-0.003007407380214877</v>
      </c>
      <c r="F19" s="2">
        <f>C19*E19</f>
        <v>-1.0511812258210425</v>
      </c>
      <c r="G19" s="2">
        <f>'Reported CL'!C19</f>
        <v>325.94120000000004</v>
      </c>
      <c r="H19" s="2">
        <f>F19+G19</f>
        <v>324.890018774179</v>
      </c>
      <c r="I19" s="2">
        <f>H19-G19</f>
        <v>-1.0511812258210398</v>
      </c>
      <c r="J19" s="2">
        <f>H19-'Closed CL'!C19</f>
        <v>-1.0511812258210398</v>
      </c>
    </row>
    <row r="20" spans="1:10">
      <c r="A20" s="2">
        <v>2019</v>
      </c>
      <c r="B20" s="2" t="s">
        <v>31</v>
      </c>
      <c r="C20" s="2">
        <f>'IE'!D20</f>
        <v>337.5429992505</v>
      </c>
      <c r="D20" s="4">
        <f>'Reported CL'!D20</f>
        <v>0.99700161</v>
      </c>
      <c r="E20" s="5">
        <f>1-(1/D20)</f>
        <v>-0.003007407380214877</v>
      </c>
      <c r="F20" s="2">
        <f>C20*E20</f>
        <v>-1.0151293070858183</v>
      </c>
      <c r="G20" s="2">
        <f>'Reported CL'!C20</f>
        <v>357.6116</v>
      </c>
      <c r="H20" s="2">
        <f>F20+G20</f>
        <v>356.5964706929142</v>
      </c>
      <c r="I20" s="2">
        <f>H20-G20</f>
        <v>-1.0151293070858287</v>
      </c>
      <c r="J20" s="2">
        <f>H20-'Closed CL'!C20</f>
        <v>-1.0151293070858287</v>
      </c>
    </row>
    <row r="21" spans="1:10">
      <c r="A21" s="2">
        <v>2020</v>
      </c>
      <c r="B21" s="2" t="s">
        <v>32</v>
      </c>
      <c r="C21" s="2">
        <f>'IE'!D21</f>
        <v>358.1209218321</v>
      </c>
      <c r="D21" s="4">
        <f>'Reported CL'!D21</f>
        <v>0.996204008712</v>
      </c>
      <c r="E21" s="5">
        <f>1-(1/D21)</f>
        <v>-0.003810455744810648</v>
      </c>
      <c r="F21" s="2">
        <f>C21*E21</f>
        <v>-1.3646039239320105</v>
      </c>
      <c r="G21" s="2">
        <f>'Reported CL'!C21</f>
        <v>370.80760000000004</v>
      </c>
      <c r="H21" s="2">
        <f>F21+G21</f>
        <v>369.442996076068</v>
      </c>
      <c r="I21" s="2">
        <f>H21-G21</f>
        <v>-1.364603923932009</v>
      </c>
      <c r="J21" s="2">
        <f>H21-'Closed CL'!C21</f>
        <v>-1.364603923932009</v>
      </c>
    </row>
    <row r="22" spans="1:10">
      <c r="A22" s="2">
        <v>2021</v>
      </c>
      <c r="B22" s="2" t="s">
        <v>33</v>
      </c>
      <c r="C22" s="2">
        <f>'IE'!D22</f>
        <v>360.1120188906</v>
      </c>
      <c r="D22" s="4">
        <f>'Reported CL'!D22</f>
        <v>0.996204008712</v>
      </c>
      <c r="E22" s="5">
        <f>1-(1/D22)</f>
        <v>-0.003810455744810648</v>
      </c>
      <c r="F22" s="2">
        <f>C22*E22</f>
        <v>-1.3721909111570474</v>
      </c>
      <c r="G22" s="2">
        <f>'Reported CL'!C22</f>
        <v>329.90000000000003</v>
      </c>
      <c r="H22" s="2">
        <f>F22+G22</f>
        <v>328.527809088843</v>
      </c>
      <c r="I22" s="2">
        <f>H22-G22</f>
        <v>-1.3721909111570199</v>
      </c>
      <c r="J22" s="2">
        <f>H22-'Closed CL'!C22</f>
        <v>-1.3721909111570199</v>
      </c>
    </row>
    <row r="23" spans="1:10">
      <c r="A23" s="2">
        <v>2022</v>
      </c>
      <c r="B23" s="2" t="s">
        <v>34</v>
      </c>
      <c r="C23" s="2">
        <f>'IE'!D23</f>
        <v>339.98147490440005</v>
      </c>
      <c r="D23" s="4">
        <f>'Reported CL'!D23</f>
        <v>0.9970009719189695</v>
      </c>
      <c r="E23" s="5">
        <f>1-(1/D23)</f>
        <v>-0.003008049305366356</v>
      </c>
      <c r="F23" s="2">
        <f>C23*E23</f>
        <v>-1.0226810394236097</v>
      </c>
      <c r="G23" s="2">
        <f>'Reported CL'!C23</f>
        <v>298.2296</v>
      </c>
      <c r="H23" s="2">
        <f>F23+G23</f>
        <v>297.2069189605764</v>
      </c>
      <c r="I23" s="2">
        <f>H23-G23</f>
        <v>-1.0226810394236168</v>
      </c>
      <c r="J23" s="2">
        <f>H23-'Closed CL'!C23</f>
        <v>-1.0226810394236168</v>
      </c>
    </row>
    <row r="24" spans="1:10">
      <c r="A24" s="2">
        <v>2023</v>
      </c>
      <c r="B24" s="2" t="s">
        <v>35</v>
      </c>
      <c r="C24" s="2">
        <f>'IE'!D24</f>
        <v>317.43432551269996</v>
      </c>
      <c r="D24" s="4">
        <f>'Reported CL'!D24</f>
        <v>0.9970009719189695</v>
      </c>
      <c r="E24" s="5">
        <f>1-(1/D24)</f>
        <v>-0.003008049305366356</v>
      </c>
      <c r="F24" s="2">
        <f>C24*E24</f>
        <v>-0.9548581023579148</v>
      </c>
      <c r="G24" s="2">
        <f>'Reported CL'!C24</f>
        <v>304.8276</v>
      </c>
      <c r="H24" s="2">
        <f>F24+G24</f>
        <v>303.87274189764213</v>
      </c>
      <c r="I24" s="2">
        <f>H24-G24</f>
        <v>-0.954858102357889</v>
      </c>
      <c r="J24" s="2">
        <f>H24-'Closed CL'!C24</f>
        <v>-0.954858102357889</v>
      </c>
    </row>
    <row r="25" spans="1:10">
      <c r="A25" s="2">
        <v>2024</v>
      </c>
      <c r="B25" s="2" t="s">
        <v>36</v>
      </c>
      <c r="C25" s="2">
        <f>'IE'!D25</f>
        <v>292.35261175339997</v>
      </c>
      <c r="D25" s="4">
        <f>'Reported CL'!D25</f>
        <v>1.1146470866054081</v>
      </c>
      <c r="E25" s="5">
        <f>1-(1/D25)</f>
        <v>0.10285505428858122</v>
      </c>
      <c r="F25" s="2">
        <f>C25*E25</f>
        <v>30.06994375330446</v>
      </c>
      <c r="G25" s="2">
        <f>'Reported CL'!C25</f>
        <v>256.0024</v>
      </c>
      <c r="H25" s="2">
        <f>F25+G25</f>
        <v>286.0723437533045</v>
      </c>
      <c r="I25" s="2">
        <f>H25-G25</f>
        <v>30.06994375330447</v>
      </c>
      <c r="J25" s="2">
        <f>H25-'Closed CL'!C25</f>
        <v>30.06994375330447</v>
      </c>
    </row>
    <row r="27" spans="1:10">
      <c r="A27" s="3" t="s">
        <v>37</v>
      </c>
      <c r="C27" s="2">
        <f>SUM(C2:C25)</f>
        <v>10324.887844479192</v>
      </c>
      <c r="E27" s="5">
        <f>SUM(F2:F25)/SUM(C2:C25)</f>
        <v>0.002087446143909841</v>
      </c>
      <c r="F27" s="2">
        <f>SUM(F2:F25)</f>
        <v>21.552647317259677</v>
      </c>
      <c r="G27" s="2">
        <f>SUM(G2:G25)</f>
        <v>9716.214800000002</v>
      </c>
      <c r="H27" s="2">
        <f>SUM(H2:H25)</f>
        <v>9737.767447317261</v>
      </c>
      <c r="I27" s="2">
        <f>SUM(I2:I25)</f>
        <v>21.55264731725947</v>
      </c>
      <c r="J27" s="2">
        <f>SUM(J2:J25)</f>
        <v>21.55264731725947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Y71"/>
  <sheetViews>
    <sheetView workbookViewId="0"/>
  </sheetViews>
  <sheetFormatPr defaultRowHeight="15"/>
  <cols>
    <col min="1" max="1" width="25.7109375" customWidth="1"/>
    <col min="2" max="21" width="12.7109375" customWidth="1"/>
  </cols>
  <sheetData>
    <row r="1" spans="1:25">
      <c r="A1" s="3" t="s">
        <v>50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  <c r="J1" t="s">
        <v>28</v>
      </c>
      <c r="K1" t="s">
        <v>27</v>
      </c>
      <c r="L1" t="s">
        <v>26</v>
      </c>
      <c r="M1" t="s">
        <v>25</v>
      </c>
      <c r="N1" t="s">
        <v>24</v>
      </c>
      <c r="O1" t="s">
        <v>23</v>
      </c>
      <c r="P1" t="s">
        <v>22</v>
      </c>
      <c r="Q1" t="s">
        <v>21</v>
      </c>
      <c r="R1" t="s">
        <v>20</v>
      </c>
      <c r="S1" t="s">
        <v>19</v>
      </c>
      <c r="T1" t="s">
        <v>18</v>
      </c>
      <c r="U1" t="s">
        <v>17</v>
      </c>
      <c r="V1" t="s">
        <v>16</v>
      </c>
      <c r="W1" t="s">
        <v>15</v>
      </c>
      <c r="X1" t="s">
        <v>14</v>
      </c>
      <c r="Y1" t="s">
        <v>13</v>
      </c>
    </row>
    <row r="2" spans="1:25">
      <c r="A2" s="3" t="s">
        <v>51</v>
      </c>
      <c r="B2" s="4">
        <f>'C:\Users\super\Documents\actuarial\cas-rfp\spec-only\team-analyst\sample-data\sample-run\selections\[Chain Ladder Selections - LDFs.xlsx]Incurred Loss'!B2</f>
        <v>567331.6692</v>
      </c>
      <c r="C2" s="4">
        <f>'C:\Users\super\Documents\actuarial\cas-rfp\spec-only\team-analyst\sample-data\sample-run\selections\[Chain Ladder Selections - LDFs.xlsx]Incurred Loss'!C2</f>
        <v>1554404.3456</v>
      </c>
      <c r="D2" s="4">
        <f>'C:\Users\super\Documents\actuarial\cas-rfp\spec-only\team-analyst\sample-data\sample-run\selections\[Chain Ladder Selections - LDFs.xlsx]Incurred Loss'!D2</f>
        <v>1902287.8544</v>
      </c>
      <c r="E2" s="4">
        <f>'C:\Users\super\Documents\actuarial\cas-rfp\spec-only\team-analyst\sample-data\sample-run\selections\[Chain Ladder Selections - LDFs.xlsx]Incurred Loss'!E2</f>
        <v>2093441.1516</v>
      </c>
      <c r="F2" s="4">
        <f>'C:\Users\super\Documents\actuarial\cas-rfp\spec-only\team-analyst\sample-data\sample-run\selections\[Chain Ladder Selections - LDFs.xlsx]Incurred Loss'!F2</f>
        <v>2250668.8524</v>
      </c>
      <c r="G2" s="4">
        <f>'C:\Users\super\Documents\actuarial\cas-rfp\spec-only\team-analyst\sample-data\sample-run\selections\[Chain Ladder Selections - LDFs.xlsx]Incurred Loss'!G2</f>
        <v>2402988.1558</v>
      </c>
      <c r="H2" s="4">
        <f>'C:\Users\super\Documents\actuarial\cas-rfp\spec-only\team-analyst\sample-data\sample-run\selections\[Chain Ladder Selections - LDFs.xlsx]Incurred Loss'!H2</f>
        <v>2397333.5643</v>
      </c>
      <c r="I2" s="4">
        <f>'C:\Users\super\Documents\actuarial\cas-rfp\spec-only\team-analyst\sample-data\sample-run\selections\[Chain Ladder Selections - LDFs.xlsx]Incurred Loss'!I2</f>
        <v>2419690.9269</v>
      </c>
      <c r="J2" s="4">
        <f>'C:\Users\super\Documents\actuarial\cas-rfp\spec-only\team-analyst\sample-data\sample-run\selections\[Chain Ladder Selections - LDFs.xlsx]Incurred Loss'!J2</f>
        <v>2437307.5869</v>
      </c>
      <c r="K2" s="4">
        <f>'C:\Users\super\Documents\actuarial\cas-rfp\spec-only\team-analyst\sample-data\sample-run\selections\[Chain Ladder Selections - LDFs.xlsx]Incurred Loss'!K2</f>
        <v>2457834.4795</v>
      </c>
      <c r="L2" s="4">
        <f>'C:\Users\super\Documents\actuarial\cas-rfp\spec-only\team-analyst\sample-data\sample-run\selections\[Chain Ladder Selections - LDFs.xlsx]Incurred Loss'!L2</f>
        <v>2510536.374</v>
      </c>
      <c r="M2" s="4">
        <f>'C:\Users\super\Documents\actuarial\cas-rfp\spec-only\team-analyst\sample-data\sample-run\selections\[Chain Ladder Selections - LDFs.xlsx]Incurred Loss'!M2</f>
        <v>2562761.5102</v>
      </c>
      <c r="N2" s="4">
        <f>'C:\Users\super\Documents\actuarial\cas-rfp\spec-only\team-analyst\sample-data\sample-run\selections\[Chain Ladder Selections - LDFs.xlsx]Incurred Loss'!N2</f>
        <v>2559991.01</v>
      </c>
      <c r="O2" s="4">
        <f>'C:\Users\super\Documents\actuarial\cas-rfp\spec-only\team-analyst\sample-data\sample-run\selections\[Chain Ladder Selections - LDFs.xlsx]Incurred Loss'!O2</f>
        <v>2618542.6253</v>
      </c>
      <c r="P2" s="4">
        <f>'C:\Users\super\Documents\actuarial\cas-rfp\spec-only\team-analyst\sample-data\sample-run\selections\[Chain Ladder Selections - LDFs.xlsx]Incurred Loss'!P2</f>
        <v>2663167.8948</v>
      </c>
      <c r="Q2" s="4">
        <f>'C:\Users\super\Documents\actuarial\cas-rfp\spec-only\team-analyst\sample-data\sample-run\selections\[Chain Ladder Selections - LDFs.xlsx]Incurred Loss'!Q2</f>
        <v>2804776.81</v>
      </c>
      <c r="R2" s="4">
        <f>'C:\Users\super\Documents\actuarial\cas-rfp\spec-only\team-analyst\sample-data\sample-run\selections\[Chain Ladder Selections - LDFs.xlsx]Incurred Loss'!R2</f>
        <v>2871037.8848</v>
      </c>
      <c r="S2" s="4">
        <f>'C:\Users\super\Documents\actuarial\cas-rfp\spec-only\team-analyst\sample-data\sample-run\selections\[Chain Ladder Selections - LDFs.xlsx]Incurred Loss'!S2</f>
        <v>2959799.1689</v>
      </c>
      <c r="T2" s="4">
        <f>'C:\Users\super\Documents\actuarial\cas-rfp\spec-only\team-analyst\sample-data\sample-run\selections\[Chain Ladder Selections - LDFs.xlsx]Incurred Loss'!T2</f>
        <v>3012996.3884</v>
      </c>
      <c r="U2" s="4">
        <f>'C:\Users\super\Documents\actuarial\cas-rfp\spec-only\team-analyst\sample-data\sample-run\selections\[Chain Ladder Selections - LDFs.xlsx]Incurred Loss'!U2</f>
        <v>3012996.3884</v>
      </c>
      <c r="V2" s="4">
        <f>'C:\Users\super\Documents\actuarial\cas-rfp\spec-only\team-analyst\sample-data\sample-run\selections\[Chain Ladder Selections - LDFs.xlsx]Incurred Loss'!V2</f>
        <v>3083594.9884</v>
      </c>
      <c r="W2" s="4">
        <f>'C:\Users\super\Documents\actuarial\cas-rfp\spec-only\team-analyst\sample-data\sample-run\selections\[Chain Ladder Selections - LDFs.xlsx]Incurred Loss'!W2</f>
        <v>3126481.9884</v>
      </c>
      <c r="X2" s="4">
        <f>'C:\Users\super\Documents\actuarial\cas-rfp\spec-only\team-analyst\sample-data\sample-run\selections\[Chain Ladder Selections - LDFs.xlsx]Incurred Loss'!X2</f>
        <v>3126481.9884</v>
      </c>
      <c r="Y2" s="4">
        <f>'C:\Users\super\Documents\actuarial\cas-rfp\spec-only\team-analyst\sample-data\sample-run\selections\[Chain Ladder Selections - LDFs.xlsx]Incurred Loss'!Y2</f>
        <v>3163773.6997</v>
      </c>
    </row>
    <row r="3" spans="1:25">
      <c r="A3" s="3" t="s">
        <v>52</v>
      </c>
      <c r="B3" s="4">
        <f>'C:\Users\super\Documents\actuarial\cas-rfp\spec-only\team-analyst\sample-data\sample-run\selections\[Chain Ladder Selections - LDFs.xlsx]Incurred Loss'!B3</f>
        <v>927838.4716</v>
      </c>
      <c r="C3" s="4">
        <f>'C:\Users\super\Documents\actuarial\cas-rfp\spec-only\team-analyst\sample-data\sample-run\selections\[Chain Ladder Selections - LDFs.xlsx]Incurred Loss'!C3</f>
        <v>1327207.494</v>
      </c>
      <c r="D3" s="4">
        <f>'C:\Users\super\Documents\actuarial\cas-rfp\spec-only\team-analyst\sample-data\sample-run\selections\[Chain Ladder Selections - LDFs.xlsx]Incurred Loss'!D3</f>
        <v>1342822.3208</v>
      </c>
      <c r="E3" s="4">
        <f>'C:\Users\super\Documents\actuarial\cas-rfp\spec-only\team-analyst\sample-data\sample-run\selections\[Chain Ladder Selections - LDFs.xlsx]Incurred Loss'!E3</f>
        <v>1604244.318</v>
      </c>
      <c r="F3" s="4">
        <f>'C:\Users\super\Documents\actuarial\cas-rfp\spec-only\team-analyst\sample-data\sample-run\selections\[Chain Ladder Selections - LDFs.xlsx]Incurred Loss'!F3</f>
        <v>1625395.9885</v>
      </c>
      <c r="G3" s="4">
        <f>'C:\Users\super\Documents\actuarial\cas-rfp\spec-only\team-analyst\sample-data\sample-run\selections\[Chain Ladder Selections - LDFs.xlsx]Incurred Loss'!G3</f>
        <v>1727293.4023</v>
      </c>
      <c r="H3" s="4">
        <f>'C:\Users\super\Documents\actuarial\cas-rfp\spec-only\team-analyst\sample-data\sample-run\selections\[Chain Ladder Selections - LDFs.xlsx]Incurred Loss'!H3</f>
        <v>1760101.2711</v>
      </c>
      <c r="I3" s="4">
        <f>'C:\Users\super\Documents\actuarial\cas-rfp\spec-only\team-analyst\sample-data\sample-run\selections\[Chain Ladder Selections - LDFs.xlsx]Incurred Loss'!I3</f>
        <v>1760466.7343</v>
      </c>
      <c r="J3" s="4">
        <f>'C:\Users\super\Documents\actuarial\cas-rfp\spec-only\team-analyst\sample-data\sample-run\selections\[Chain Ladder Selections - LDFs.xlsx]Incurred Loss'!J3</f>
        <v>1799039.5397</v>
      </c>
      <c r="K3" s="4">
        <f>'C:\Users\super\Documents\actuarial\cas-rfp\spec-only\team-analyst\sample-data\sample-run\selections\[Chain Ladder Selections - LDFs.xlsx]Incurred Loss'!K3</f>
        <v>1816376.1146</v>
      </c>
      <c r="L3" s="4">
        <f>'C:\Users\super\Documents\actuarial\cas-rfp\spec-only\team-analyst\sample-data\sample-run\selections\[Chain Ladder Selections - LDFs.xlsx]Incurred Loss'!L3</f>
        <v>1835002.2026</v>
      </c>
      <c r="M3" s="4">
        <f>'C:\Users\super\Documents\actuarial\cas-rfp\spec-only\team-analyst\sample-data\sample-run\selections\[Chain Ladder Selections - LDFs.xlsx]Incurred Loss'!M3</f>
        <v>1897241.704</v>
      </c>
      <c r="N3" s="4">
        <f>'C:\Users\super\Documents\actuarial\cas-rfp\spec-only\team-analyst\sample-data\sample-run\selections\[Chain Ladder Selections - LDFs.xlsx]Incurred Loss'!N3</f>
        <v>1899757.6006</v>
      </c>
      <c r="O3" s="4">
        <f>'C:\Users\super\Documents\actuarial\cas-rfp\spec-only\team-analyst\sample-data\sample-run\selections\[Chain Ladder Selections - LDFs.xlsx]Incurred Loss'!O3</f>
        <v>1975947.9264</v>
      </c>
      <c r="P3" s="4">
        <f>'C:\Users\super\Documents\actuarial\cas-rfp\spec-only\team-analyst\sample-data\sample-run\selections\[Chain Ladder Selections - LDFs.xlsx]Incurred Loss'!P3</f>
        <v>2028039.1364</v>
      </c>
      <c r="Q3" s="4">
        <f>'C:\Users\super\Documents\actuarial\cas-rfp\spec-only\team-analyst\sample-data\sample-run\selections\[Chain Ladder Selections - LDFs.xlsx]Incurred Loss'!Q3</f>
        <v>2057884.5296</v>
      </c>
      <c r="R3" s="4">
        <f>'C:\Users\super\Documents\actuarial\cas-rfp\spec-only\team-analyst\sample-data\sample-run\selections\[Chain Ladder Selections - LDFs.xlsx]Incurred Loss'!R3</f>
        <v>2166744.7601</v>
      </c>
      <c r="S3" s="4">
        <f>'C:\Users\super\Documents\actuarial\cas-rfp\spec-only\team-analyst\sample-data\sample-run\selections\[Chain Ladder Selections - LDFs.xlsx]Incurred Loss'!S3</f>
        <v>2169205.7481</v>
      </c>
      <c r="T3" s="4">
        <f>'C:\Users\super\Documents\actuarial\cas-rfp\spec-only\team-analyst\sample-data\sample-run\selections\[Chain Ladder Selections - LDFs.xlsx]Incurred Loss'!T3</f>
        <v>2169205.7481</v>
      </c>
      <c r="U3" s="4">
        <f>'C:\Users\super\Documents\actuarial\cas-rfp\spec-only\team-analyst\sample-data\sample-run\selections\[Chain Ladder Selections - LDFs.xlsx]Incurred Loss'!U3</f>
        <v>2261092.7687</v>
      </c>
      <c r="V3" s="4">
        <f>'C:\Users\super\Documents\actuarial\cas-rfp\spec-only\team-analyst\sample-data\sample-run\selections\[Chain Ladder Selections - LDFs.xlsx]Incurred Loss'!V3</f>
        <v>2247056.6453</v>
      </c>
      <c r="W3" s="4">
        <f>'C:\Users\super\Documents\actuarial\cas-rfp\spec-only\team-analyst\sample-data\sample-run\selections\[Chain Ladder Selections - LDFs.xlsx]Incurred Loss'!W3</f>
        <v>2327733.7563</v>
      </c>
      <c r="X3" s="4">
        <f>'C:\Users\super\Documents\actuarial\cas-rfp\spec-only\team-analyst\sample-data\sample-run\selections\[Chain Ladder Selections - LDFs.xlsx]Incurred Loss'!X3</f>
        <v>2327733.7563</v>
      </c>
    </row>
    <row r="4" spans="1:25">
      <c r="A4" s="3" t="s">
        <v>53</v>
      </c>
      <c r="B4" s="4">
        <f>'C:\Users\super\Documents\actuarial\cas-rfp\spec-only\team-analyst\sample-data\sample-run\selections\[Chain Ladder Selections - LDFs.xlsx]Incurred Loss'!B4</f>
        <v>1009363.3596</v>
      </c>
      <c r="C4" s="4">
        <f>'C:\Users\super\Documents\actuarial\cas-rfp\spec-only\team-analyst\sample-data\sample-run\selections\[Chain Ladder Selections - LDFs.xlsx]Incurred Loss'!C4</f>
        <v>1458693.7576</v>
      </c>
      <c r="D4" s="4">
        <f>'C:\Users\super\Documents\actuarial\cas-rfp\spec-only\team-analyst\sample-data\sample-run\selections\[Chain Ladder Selections - LDFs.xlsx]Incurred Loss'!D4</f>
        <v>1578930.4312</v>
      </c>
      <c r="E4" s="4">
        <f>'C:\Users\super\Documents\actuarial\cas-rfp\spec-only\team-analyst\sample-data\sample-run\selections\[Chain Ladder Selections - LDFs.xlsx]Incurred Loss'!E4</f>
        <v>1876931.173</v>
      </c>
      <c r="F4" s="4">
        <f>'C:\Users\super\Documents\actuarial\cas-rfp\spec-only\team-analyst\sample-data\sample-run\selections\[Chain Ladder Selections - LDFs.xlsx]Incurred Loss'!F4</f>
        <v>1703633.0403</v>
      </c>
      <c r="G4" s="4">
        <f>'C:\Users\super\Documents\actuarial\cas-rfp\spec-only\team-analyst\sample-data\sample-run\selections\[Chain Ladder Selections - LDFs.xlsx]Incurred Loss'!G4</f>
        <v>1819224.3524</v>
      </c>
      <c r="H4" s="4">
        <f>'C:\Users\super\Documents\actuarial\cas-rfp\spec-only\team-analyst\sample-data\sample-run\selections\[Chain Ladder Selections - LDFs.xlsx]Incurred Loss'!H4</f>
        <v>1814195.5019</v>
      </c>
      <c r="I4" s="4">
        <f>'C:\Users\super\Documents\actuarial\cas-rfp\spec-only\team-analyst\sample-data\sample-run\selections\[Chain Ladder Selections - LDFs.xlsx]Incurred Loss'!I4</f>
        <v>1800500.416</v>
      </c>
      <c r="J4" s="4">
        <f>'C:\Users\super\Documents\actuarial\cas-rfp\spec-only\team-analyst\sample-data\sample-run\selections\[Chain Ladder Selections - LDFs.xlsx]Incurred Loss'!J4</f>
        <v>1797139.9227</v>
      </c>
      <c r="K4" s="4">
        <f>'C:\Users\super\Documents\actuarial\cas-rfp\spec-only\team-analyst\sample-data\sample-run\selections\[Chain Ladder Selections - LDFs.xlsx]Incurred Loss'!K4</f>
        <v>1801084.8669</v>
      </c>
      <c r="L4" s="4">
        <f>'C:\Users\super\Documents\actuarial\cas-rfp\spec-only\team-analyst\sample-data\sample-run\selections\[Chain Ladder Selections - LDFs.xlsx]Incurred Loss'!L4</f>
        <v>1797322.9116</v>
      </c>
      <c r="M4" s="4">
        <f>'C:\Users\super\Documents\actuarial\cas-rfp\spec-only\team-analyst\sample-data\sample-run\selections\[Chain Ladder Selections - LDFs.xlsx]Incurred Loss'!M4</f>
        <v>1783419.2233</v>
      </c>
      <c r="N4" s="4">
        <f>'C:\Users\super\Documents\actuarial\cas-rfp\spec-only\team-analyst\sample-data\sample-run\selections\[Chain Ladder Selections - LDFs.xlsx]Incurred Loss'!N4</f>
        <v>1774330.2012</v>
      </c>
      <c r="O4" s="4">
        <f>'C:\Users\super\Documents\actuarial\cas-rfp\spec-only\team-analyst\sample-data\sample-run\selections\[Chain Ladder Selections - LDFs.xlsx]Incurred Loss'!O4</f>
        <v>1774330.1088</v>
      </c>
      <c r="P4" s="4">
        <f>'C:\Users\super\Documents\actuarial\cas-rfp\spec-only\team-analyst\sample-data\sample-run\selections\[Chain Ladder Selections - LDFs.xlsx]Incurred Loss'!P4</f>
        <v>1774330.1088</v>
      </c>
      <c r="Q4" s="4">
        <f>'C:\Users\super\Documents\actuarial\cas-rfp\spec-only\team-analyst\sample-data\sample-run\selections\[Chain Ladder Selections - LDFs.xlsx]Incurred Loss'!Q4</f>
        <v>1774330.1088</v>
      </c>
      <c r="R4" s="4">
        <f>'C:\Users\super\Documents\actuarial\cas-rfp\spec-only\team-analyst\sample-data\sample-run\selections\[Chain Ladder Selections - LDFs.xlsx]Incurred Loss'!R4</f>
        <v>1778091.5758</v>
      </c>
      <c r="S4" s="4">
        <f>'C:\Users\super\Documents\actuarial\cas-rfp\spec-only\team-analyst\sample-data\sample-run\selections\[Chain Ladder Selections - LDFs.xlsx]Incurred Loss'!S4</f>
        <v>1778091.5758</v>
      </c>
      <c r="T4" s="4">
        <f>'C:\Users\super\Documents\actuarial\cas-rfp\spec-only\team-analyst\sample-data\sample-run\selections\[Chain Ladder Selections - LDFs.xlsx]Incurred Loss'!T4</f>
        <v>1778091.5758</v>
      </c>
      <c r="U4" s="4">
        <f>'C:\Users\super\Documents\actuarial\cas-rfp\spec-only\team-analyst\sample-data\sample-run\selections\[Chain Ladder Selections - LDFs.xlsx]Incurred Loss'!U4</f>
        <v>1778091.5758</v>
      </c>
      <c r="V4" s="4">
        <f>'C:\Users\super\Documents\actuarial\cas-rfp\spec-only\team-analyst\sample-data\sample-run\selections\[Chain Ladder Selections - LDFs.xlsx]Incurred Loss'!V4</f>
        <v>1778091.5758</v>
      </c>
      <c r="W4" s="4">
        <f>'C:\Users\super\Documents\actuarial\cas-rfp\spec-only\team-analyst\sample-data\sample-run\selections\[Chain Ladder Selections - LDFs.xlsx]Incurred Loss'!W4</f>
        <v>1778091.5758</v>
      </c>
    </row>
    <row r="5" spans="1:25">
      <c r="A5" s="3" t="s">
        <v>54</v>
      </c>
      <c r="B5" s="4">
        <f>'C:\Users\super\Documents\actuarial\cas-rfp\spec-only\team-analyst\sample-data\sample-run\selections\[Chain Ladder Selections - LDFs.xlsx]Incurred Loss'!B5</f>
        <v>706990.2156</v>
      </c>
      <c r="C5" s="4">
        <f>'C:\Users\super\Documents\actuarial\cas-rfp\spec-only\team-analyst\sample-data\sample-run\selections\[Chain Ladder Selections - LDFs.xlsx]Incurred Loss'!C5</f>
        <v>807081.8756</v>
      </c>
      <c r="D5" s="4">
        <f>'C:\Users\super\Documents\actuarial\cas-rfp\spec-only\team-analyst\sample-data\sample-run\selections\[Chain Ladder Selections - LDFs.xlsx]Incurred Loss'!D5</f>
        <v>891146.7297</v>
      </c>
      <c r="E5" s="4">
        <f>'C:\Users\super\Documents\actuarial\cas-rfp\spec-only\team-analyst\sample-data\sample-run\selections\[Chain Ladder Selections - LDFs.xlsx]Incurred Loss'!E5</f>
        <v>933370.1028</v>
      </c>
      <c r="F5" s="4">
        <f>'C:\Users\super\Documents\actuarial\cas-rfp\spec-only\team-analyst\sample-data\sample-run\selections\[Chain Ladder Selections - LDFs.xlsx]Incurred Loss'!F5</f>
        <v>1055143.9785</v>
      </c>
      <c r="G5" s="4">
        <f>'C:\Users\super\Documents\actuarial\cas-rfp\spec-only\team-analyst\sample-data\sample-run\selections\[Chain Ladder Selections - LDFs.xlsx]Incurred Loss'!G5</f>
        <v>1061000.4688</v>
      </c>
      <c r="H5" s="4">
        <f>'C:\Users\super\Documents\actuarial\cas-rfp\spec-only\team-analyst\sample-data\sample-run\selections\[Chain Ladder Selections - LDFs.xlsx]Incurred Loss'!H5</f>
        <v>1080582.0132</v>
      </c>
      <c r="I5" s="4">
        <f>'C:\Users\super\Documents\actuarial\cas-rfp\spec-only\team-analyst\sample-data\sample-run\selections\[Chain Ladder Selections - LDFs.xlsx]Incurred Loss'!I5</f>
        <v>1088885.0684</v>
      </c>
      <c r="J5" s="4">
        <f>'C:\Users\super\Documents\actuarial\cas-rfp\spec-only\team-analyst\sample-data\sample-run\selections\[Chain Ladder Selections - LDFs.xlsx]Incurred Loss'!J5</f>
        <v>1114748.9381</v>
      </c>
      <c r="K5" s="4">
        <f>'C:\Users\super\Documents\actuarial\cas-rfp\spec-only\team-analyst\sample-data\sample-run\selections\[Chain Ladder Selections - LDFs.xlsx]Incurred Loss'!K5</f>
        <v>1104800.7904</v>
      </c>
      <c r="L5" s="4">
        <f>'C:\Users\super\Documents\actuarial\cas-rfp\spec-only\team-analyst\sample-data\sample-run\selections\[Chain Ladder Selections - LDFs.xlsx]Incurred Loss'!L5</f>
        <v>1130298.0224</v>
      </c>
      <c r="M5" s="4">
        <f>'C:\Users\super\Documents\actuarial\cas-rfp\spec-only\team-analyst\sample-data\sample-run\selections\[Chain Ladder Selections - LDFs.xlsx]Incurred Loss'!M5</f>
        <v>1117525.6932</v>
      </c>
      <c r="N5" s="4">
        <f>'C:\Users\super\Documents\actuarial\cas-rfp\spec-only\team-analyst\sample-data\sample-run\selections\[Chain Ladder Selections - LDFs.xlsx]Incurred Loss'!N5</f>
        <v>1117975.6768</v>
      </c>
      <c r="O5" s="4">
        <f>'C:\Users\super\Documents\actuarial\cas-rfp\spec-only\team-analyst\sample-data\sample-run\selections\[Chain Ladder Selections - LDFs.xlsx]Incurred Loss'!O5</f>
        <v>1118300.2984</v>
      </c>
      <c r="P5" s="4">
        <f>'C:\Users\super\Documents\actuarial\cas-rfp\spec-only\team-analyst\sample-data\sample-run\selections\[Chain Ladder Selections - LDFs.xlsx]Incurred Loss'!P5</f>
        <v>1118299.6782</v>
      </c>
      <c r="Q5" s="4">
        <f>'C:\Users\super\Documents\actuarial\cas-rfp\spec-only\team-analyst\sample-data\sample-run\selections\[Chain Ladder Selections - LDFs.xlsx]Incurred Loss'!Q5</f>
        <v>1122581.0808</v>
      </c>
      <c r="R5" s="4">
        <f>'C:\Users\super\Documents\actuarial\cas-rfp\spec-only\team-analyst\sample-data\sample-run\selections\[Chain Ladder Selections - LDFs.xlsx]Incurred Loss'!R5</f>
        <v>1122581.0808</v>
      </c>
      <c r="S5" s="4">
        <f>'C:\Users\super\Documents\actuarial\cas-rfp\spec-only\team-analyst\sample-data\sample-run\selections\[Chain Ladder Selections - LDFs.xlsx]Incurred Loss'!S5</f>
        <v>1122581.0808</v>
      </c>
      <c r="T5" s="4">
        <f>'C:\Users\super\Documents\actuarial\cas-rfp\spec-only\team-analyst\sample-data\sample-run\selections\[Chain Ladder Selections - LDFs.xlsx]Incurred Loss'!T5</f>
        <v>1122581.0808</v>
      </c>
      <c r="U5" s="4">
        <f>'C:\Users\super\Documents\actuarial\cas-rfp\spec-only\team-analyst\sample-data\sample-run\selections\[Chain Ladder Selections - LDFs.xlsx]Incurred Loss'!U5</f>
        <v>1122614.7306</v>
      </c>
      <c r="V5" s="4">
        <f>'C:\Users\super\Documents\actuarial\cas-rfp\spec-only\team-analyst\sample-data\sample-run\selections\[Chain Ladder Selections - LDFs.xlsx]Incurred Loss'!V5</f>
        <v>1122614.7306</v>
      </c>
    </row>
    <row r="6" spans="1:25">
      <c r="A6" s="3" t="s">
        <v>55</v>
      </c>
      <c r="B6" s="4">
        <f>'C:\Users\super\Documents\actuarial\cas-rfp\spec-only\team-analyst\sample-data\sample-run\selections\[Chain Ladder Selections - LDFs.xlsx]Incurred Loss'!B6</f>
        <v>1249691.5508</v>
      </c>
      <c r="C6" s="4">
        <f>'C:\Users\super\Documents\actuarial\cas-rfp\spec-only\team-analyst\sample-data\sample-run\selections\[Chain Ladder Selections - LDFs.xlsx]Incurred Loss'!C6</f>
        <v>1628221.9514</v>
      </c>
      <c r="D6" s="4">
        <f>'C:\Users\super\Documents\actuarial\cas-rfp\spec-only\team-analyst\sample-data\sample-run\selections\[Chain Ladder Selections - LDFs.xlsx]Incurred Loss'!D6</f>
        <v>1779408.0616</v>
      </c>
      <c r="E6" s="4">
        <f>'C:\Users\super\Documents\actuarial\cas-rfp\spec-only\team-analyst\sample-data\sample-run\selections\[Chain Ladder Selections - LDFs.xlsx]Incurred Loss'!E6</f>
        <v>1735781.5973</v>
      </c>
      <c r="F6" s="4">
        <f>'C:\Users\super\Documents\actuarial\cas-rfp\spec-only\team-analyst\sample-data\sample-run\selections\[Chain Ladder Selections - LDFs.xlsx]Incurred Loss'!F6</f>
        <v>1800284.1468</v>
      </c>
      <c r="G6" s="4">
        <f>'C:\Users\super\Documents\actuarial\cas-rfp\spec-only\team-analyst\sample-data\sample-run\selections\[Chain Ladder Selections - LDFs.xlsx]Incurred Loss'!G6</f>
        <v>1829678.4347</v>
      </c>
      <c r="H6" s="4">
        <f>'C:\Users\super\Documents\actuarial\cas-rfp\spec-only\team-analyst\sample-data\sample-run\selections\[Chain Ladder Selections - LDFs.xlsx]Incurred Loss'!H6</f>
        <v>1866913.7991</v>
      </c>
      <c r="I6" s="4">
        <f>'C:\Users\super\Documents\actuarial\cas-rfp\spec-only\team-analyst\sample-data\sample-run\selections\[Chain Ladder Selections - LDFs.xlsx]Incurred Loss'!I6</f>
        <v>1877458.5247</v>
      </c>
      <c r="J6" s="4">
        <f>'C:\Users\super\Documents\actuarial\cas-rfp\spec-only\team-analyst\sample-data\sample-run\selections\[Chain Ladder Selections - LDFs.xlsx]Incurred Loss'!J6</f>
        <v>1901705.9108</v>
      </c>
      <c r="K6" s="4">
        <f>'C:\Users\super\Documents\actuarial\cas-rfp\spec-only\team-analyst\sample-data\sample-run\selections\[Chain Ladder Selections - LDFs.xlsx]Incurred Loss'!K6</f>
        <v>1953626.9848</v>
      </c>
      <c r="L6" s="4">
        <f>'C:\Users\super\Documents\actuarial\cas-rfp\spec-only\team-analyst\sample-data\sample-run\selections\[Chain Ladder Selections - LDFs.xlsx]Incurred Loss'!L6</f>
        <v>1976524.5916</v>
      </c>
      <c r="M6" s="4">
        <f>'C:\Users\super\Documents\actuarial\cas-rfp\spec-only\team-analyst\sample-data\sample-run\selections\[Chain Ladder Selections - LDFs.xlsx]Incurred Loss'!M6</f>
        <v>2212537.6908</v>
      </c>
      <c r="N6" s="4">
        <f>'C:\Users\super\Documents\actuarial\cas-rfp\spec-only\team-analyst\sample-data\sample-run\selections\[Chain Ladder Selections - LDFs.xlsx]Incurred Loss'!N6</f>
        <v>2212549.5672</v>
      </c>
      <c r="O6" s="4">
        <f>'C:\Users\super\Documents\actuarial\cas-rfp\spec-only\team-analyst\sample-data\sample-run\selections\[Chain Ladder Selections - LDFs.xlsx]Incurred Loss'!O6</f>
        <v>2171748.9472</v>
      </c>
      <c r="P6" s="4">
        <f>'C:\Users\super\Documents\actuarial\cas-rfp\spec-only\team-analyst\sample-data\sample-run\selections\[Chain Ladder Selections - LDFs.xlsx]Incurred Loss'!P6</f>
        <v>2193366.7399</v>
      </c>
      <c r="Q6" s="4">
        <f>'C:\Users\super\Documents\actuarial\cas-rfp\spec-only\team-analyst\sample-data\sample-run\selections\[Chain Ladder Selections - LDFs.xlsx]Incurred Loss'!Q6</f>
        <v>2208705.4536</v>
      </c>
      <c r="R6" s="4">
        <f>'C:\Users\super\Documents\actuarial\cas-rfp\spec-only\team-analyst\sample-data\sample-run\selections\[Chain Ladder Selections - LDFs.xlsx]Incurred Loss'!R6</f>
        <v>2242149.1321</v>
      </c>
      <c r="S6" s="4">
        <f>'C:\Users\super\Documents\actuarial\cas-rfp\spec-only\team-analyst\sample-data\sample-run\selections\[Chain Ladder Selections - LDFs.xlsx]Incurred Loss'!S6</f>
        <v>2242149.1321</v>
      </c>
      <c r="T6" s="4">
        <f>'C:\Users\super\Documents\actuarial\cas-rfp\spec-only\team-analyst\sample-data\sample-run\selections\[Chain Ladder Selections - LDFs.xlsx]Incurred Loss'!T6</f>
        <v>2242149.1321</v>
      </c>
      <c r="U6" s="4">
        <f>'C:\Users\super\Documents\actuarial\cas-rfp\spec-only\team-analyst\sample-data\sample-run\selections\[Chain Ladder Selections - LDFs.xlsx]Incurred Loss'!U6</f>
        <v>2242149.1321</v>
      </c>
    </row>
    <row r="7" spans="1:25">
      <c r="A7" s="3" t="s">
        <v>56</v>
      </c>
      <c r="B7" s="4">
        <f>'C:\Users\super\Documents\actuarial\cas-rfp\spec-only\team-analyst\sample-data\sample-run\selections\[Chain Ladder Selections - LDFs.xlsx]Incurred Loss'!B7</f>
        <v>765985.3353</v>
      </c>
      <c r="C7" s="4">
        <f>'C:\Users\super\Documents\actuarial\cas-rfp\spec-only\team-analyst\sample-data\sample-run\selections\[Chain Ladder Selections - LDFs.xlsx]Incurred Loss'!C7</f>
        <v>1158099.949</v>
      </c>
      <c r="D7" s="4">
        <f>'C:\Users\super\Documents\actuarial\cas-rfp\spec-only\team-analyst\sample-data\sample-run\selections\[Chain Ladder Selections - LDFs.xlsx]Incurred Loss'!D7</f>
        <v>1006637.0924</v>
      </c>
      <c r="E7" s="4">
        <f>'C:\Users\super\Documents\actuarial\cas-rfp\spec-only\team-analyst\sample-data\sample-run\selections\[Chain Ladder Selections - LDFs.xlsx]Incurred Loss'!E7</f>
        <v>1076536.2516</v>
      </c>
      <c r="F7" s="4">
        <f>'C:\Users\super\Documents\actuarial\cas-rfp\spec-only\team-analyst\sample-data\sample-run\selections\[Chain Ladder Selections - LDFs.xlsx]Incurred Loss'!F7</f>
        <v>1086240.5108</v>
      </c>
      <c r="G7" s="4">
        <f>'C:\Users\super\Documents\actuarial\cas-rfp\spec-only\team-analyst\sample-data\sample-run\selections\[Chain Ladder Selections - LDFs.xlsx]Incurred Loss'!G7</f>
        <v>1141033.2455</v>
      </c>
      <c r="H7" s="4">
        <f>'C:\Users\super\Documents\actuarial\cas-rfp\spec-only\team-analyst\sample-data\sample-run\selections\[Chain Ladder Selections - LDFs.xlsx]Incurred Loss'!H7</f>
        <v>1191316.1021</v>
      </c>
      <c r="I7" s="4">
        <f>'C:\Users\super\Documents\actuarial\cas-rfp\spec-only\team-analyst\sample-data\sample-run\selections\[Chain Ladder Selections - LDFs.xlsx]Incurred Loss'!I7</f>
        <v>1169378.0556</v>
      </c>
      <c r="J7" s="4">
        <f>'C:\Users\super\Documents\actuarial\cas-rfp\spec-only\team-analyst\sample-data\sample-run\selections\[Chain Ladder Selections - LDFs.xlsx]Incurred Loss'!J7</f>
        <v>1199839.2137</v>
      </c>
      <c r="K7" s="4">
        <f>'C:\Users\super\Documents\actuarial\cas-rfp\spec-only\team-analyst\sample-data\sample-run\selections\[Chain Ladder Selections - LDFs.xlsx]Incurred Loss'!K7</f>
        <v>1244365.6452</v>
      </c>
      <c r="L7" s="4">
        <f>'C:\Users\super\Documents\actuarial\cas-rfp\spec-only\team-analyst\sample-data\sample-run\selections\[Chain Ladder Selections - LDFs.xlsx]Incurred Loss'!L7</f>
        <v>1347851.3164</v>
      </c>
      <c r="M7" s="4">
        <f>'C:\Users\super\Documents\actuarial\cas-rfp\spec-only\team-analyst\sample-data\sample-run\selections\[Chain Ladder Selections - LDFs.xlsx]Incurred Loss'!M7</f>
        <v>1428877.3956</v>
      </c>
      <c r="N7" s="4">
        <f>'C:\Users\super\Documents\actuarial\cas-rfp\spec-only\team-analyst\sample-data\sample-run\selections\[Chain Ladder Selections - LDFs.xlsx]Incurred Loss'!N7</f>
        <v>1468194.3366</v>
      </c>
      <c r="O7" s="4">
        <f>'C:\Users\super\Documents\actuarial\cas-rfp\spec-only\team-analyst\sample-data\sample-run\selections\[Chain Ladder Selections - LDFs.xlsx]Incurred Loss'!O7</f>
        <v>1484004.1739</v>
      </c>
      <c r="P7" s="4">
        <f>'C:\Users\super\Documents\actuarial\cas-rfp\spec-only\team-analyst\sample-data\sample-run\selections\[Chain Ladder Selections - LDFs.xlsx]Incurred Loss'!P7</f>
        <v>1484861.9139</v>
      </c>
      <c r="Q7" s="4">
        <f>'C:\Users\super\Documents\actuarial\cas-rfp\spec-only\team-analyst\sample-data\sample-run\selections\[Chain Ladder Selections - LDFs.xlsx]Incurred Loss'!Q7</f>
        <v>1502016.7139</v>
      </c>
      <c r="R7" s="4">
        <f>'C:\Users\super\Documents\actuarial\cas-rfp\spec-only\team-analyst\sample-data\sample-run\selections\[Chain Ladder Selections - LDFs.xlsx]Incurred Loss'!R7</f>
        <v>1506635.3139</v>
      </c>
      <c r="S7" s="4">
        <f>'C:\Users\super\Documents\actuarial\cas-rfp\spec-only\team-analyst\sample-data\sample-run\selections\[Chain Ladder Selections - LDFs.xlsx]Incurred Loss'!S7</f>
        <v>1517636.7927</v>
      </c>
      <c r="T7" s="4">
        <f>'C:\Users\super\Documents\actuarial\cas-rfp\spec-only\team-analyst\sample-data\sample-run\selections\[Chain Ladder Selections - LDFs.xlsx]Incurred Loss'!T7</f>
        <v>1517636.7927</v>
      </c>
    </row>
    <row r="8" spans="1:25">
      <c r="A8" s="3" t="s">
        <v>57</v>
      </c>
      <c r="B8" s="4">
        <f>'C:\Users\super\Documents\actuarial\cas-rfp\spec-only\team-analyst\sample-data\sample-run\selections\[Chain Ladder Selections - LDFs.xlsx]Incurred Loss'!B8</f>
        <v>1724656.8811</v>
      </c>
      <c r="C8" s="4">
        <f>'C:\Users\super\Documents\actuarial\cas-rfp\spec-only\team-analyst\sample-data\sample-run\selections\[Chain Ladder Selections - LDFs.xlsx]Incurred Loss'!C8</f>
        <v>1877762.5606</v>
      </c>
      <c r="D8" s="4">
        <f>'C:\Users\super\Documents\actuarial\cas-rfp\spec-only\team-analyst\sample-data\sample-run\selections\[Chain Ladder Selections - LDFs.xlsx]Incurred Loss'!D8</f>
        <v>2045106.7768</v>
      </c>
      <c r="E8" s="4">
        <f>'C:\Users\super\Documents\actuarial\cas-rfp\spec-only\team-analyst\sample-data\sample-run\selections\[Chain Ladder Selections - LDFs.xlsx]Incurred Loss'!E8</f>
        <v>2291428.8419</v>
      </c>
      <c r="F8" s="4">
        <f>'C:\Users\super\Documents\actuarial\cas-rfp\spec-only\team-analyst\sample-data\sample-run\selections\[Chain Ladder Selections - LDFs.xlsx]Incurred Loss'!F8</f>
        <v>2554191.4604</v>
      </c>
      <c r="G8" s="4">
        <f>'C:\Users\super\Documents\actuarial\cas-rfp\spec-only\team-analyst\sample-data\sample-run\selections\[Chain Ladder Selections - LDFs.xlsx]Incurred Loss'!G8</f>
        <v>3049073.7774</v>
      </c>
      <c r="H8" s="4">
        <f>'C:\Users\super\Documents\actuarial\cas-rfp\spec-only\team-analyst\sample-data\sample-run\selections\[Chain Ladder Selections - LDFs.xlsx]Incurred Loss'!H8</f>
        <v>3243034.4444</v>
      </c>
      <c r="I8" s="4">
        <f>'C:\Users\super\Documents\actuarial\cas-rfp\spec-only\team-analyst\sample-data\sample-run\selections\[Chain Ladder Selections - LDFs.xlsx]Incurred Loss'!I8</f>
        <v>3598222.0844</v>
      </c>
      <c r="J8" s="4">
        <f>'C:\Users\super\Documents\actuarial\cas-rfp\spec-only\team-analyst\sample-data\sample-run\selections\[Chain Ladder Selections - LDFs.xlsx]Incurred Loss'!J8</f>
        <v>3855992.6032</v>
      </c>
      <c r="K8" s="4">
        <f>'C:\Users\super\Documents\actuarial\cas-rfp\spec-only\team-analyst\sample-data\sample-run\selections\[Chain Ladder Selections - LDFs.xlsx]Incurred Loss'!K8</f>
        <v>4247900.6072</v>
      </c>
      <c r="L8" s="4">
        <f>'C:\Users\super\Documents\actuarial\cas-rfp\spec-only\team-analyst\sample-data\sample-run\selections\[Chain Ladder Selections - LDFs.xlsx]Incurred Loss'!L8</f>
        <v>4378240.1384</v>
      </c>
      <c r="M8" s="4">
        <f>'C:\Users\super\Documents\actuarial\cas-rfp\spec-only\team-analyst\sample-data\sample-run\selections\[Chain Ladder Selections - LDFs.xlsx]Incurred Loss'!M8</f>
        <v>4504737.6146</v>
      </c>
      <c r="N8" s="4">
        <f>'C:\Users\super\Documents\actuarial\cas-rfp\spec-only\team-analyst\sample-data\sample-run\selections\[Chain Ladder Selections - LDFs.xlsx]Incurred Loss'!N8</f>
        <v>4577330.1566</v>
      </c>
      <c r="O8" s="4">
        <f>'C:\Users\super\Documents\actuarial\cas-rfp\spec-only\team-analyst\sample-data\sample-run\selections\[Chain Ladder Selections - LDFs.xlsx]Incurred Loss'!O8</f>
        <v>4581600.0523</v>
      </c>
      <c r="P8" s="4">
        <f>'C:\Users\super\Documents\actuarial\cas-rfp\spec-only\team-analyst\sample-data\sample-run\selections\[Chain Ladder Selections - LDFs.xlsx]Incurred Loss'!P8</f>
        <v>4781468.7005</v>
      </c>
      <c r="Q8" s="4">
        <f>'C:\Users\super\Documents\actuarial\cas-rfp\spec-only\team-analyst\sample-data\sample-run\selections\[Chain Ladder Selections - LDFs.xlsx]Incurred Loss'!Q8</f>
        <v>4781468.7005</v>
      </c>
      <c r="R8" s="4">
        <f>'C:\Users\super\Documents\actuarial\cas-rfp\spec-only\team-analyst\sample-data\sample-run\selections\[Chain Ladder Selections - LDFs.xlsx]Incurred Loss'!R8</f>
        <v>4798643.3473</v>
      </c>
      <c r="S8" s="4">
        <f>'C:\Users\super\Documents\actuarial\cas-rfp\spec-only\team-analyst\sample-data\sample-run\selections\[Chain Ladder Selections - LDFs.xlsx]Incurred Loss'!S8</f>
        <v>4810774.6148</v>
      </c>
    </row>
    <row r="9" spans="1:25">
      <c r="A9" s="3" t="s">
        <v>58</v>
      </c>
      <c r="B9" s="4">
        <f>'C:\Users\super\Documents\actuarial\cas-rfp\spec-only\team-analyst\sample-data\sample-run\selections\[Chain Ladder Selections - LDFs.xlsx]Incurred Loss'!B9</f>
        <v>556352.8875</v>
      </c>
      <c r="C9" s="4">
        <f>'C:\Users\super\Documents\actuarial\cas-rfp\spec-only\team-analyst\sample-data\sample-run\selections\[Chain Ladder Selections - LDFs.xlsx]Incurred Loss'!C9</f>
        <v>770915.0442</v>
      </c>
      <c r="D9" s="4">
        <f>'C:\Users\super\Documents\actuarial\cas-rfp\spec-only\team-analyst\sample-data\sample-run\selections\[Chain Ladder Selections - LDFs.xlsx]Incurred Loss'!D9</f>
        <v>933165.8683</v>
      </c>
      <c r="E9" s="4">
        <f>'C:\Users\super\Documents\actuarial\cas-rfp\spec-only\team-analyst\sample-data\sample-run\selections\[Chain Ladder Selections - LDFs.xlsx]Incurred Loss'!E9</f>
        <v>1298006.7782</v>
      </c>
      <c r="F9" s="4">
        <f>'C:\Users\super\Documents\actuarial\cas-rfp\spec-only\team-analyst\sample-data\sample-run\selections\[Chain Ladder Selections - LDFs.xlsx]Incurred Loss'!F9</f>
        <v>1258119.1102</v>
      </c>
      <c r="G9" s="4">
        <f>'C:\Users\super\Documents\actuarial\cas-rfp\spec-only\team-analyst\sample-data\sample-run\selections\[Chain Ladder Selections - LDFs.xlsx]Incurred Loss'!G9</f>
        <v>1279315.2512</v>
      </c>
      <c r="H9" s="4">
        <f>'C:\Users\super\Documents\actuarial\cas-rfp\spec-only\team-analyst\sample-data\sample-run\selections\[Chain Ladder Selections - LDFs.xlsx]Incurred Loss'!H9</f>
        <v>1286243.9166</v>
      </c>
      <c r="I9" s="4">
        <f>'C:\Users\super\Documents\actuarial\cas-rfp\spec-only\team-analyst\sample-data\sample-run\selections\[Chain Ladder Selections - LDFs.xlsx]Incurred Loss'!I9</f>
        <v>1303173.6192</v>
      </c>
      <c r="J9" s="4">
        <f>'C:\Users\super\Documents\actuarial\cas-rfp\spec-only\team-analyst\sample-data\sample-run\selections\[Chain Ladder Selections - LDFs.xlsx]Incurred Loss'!J9</f>
        <v>1310621.4416</v>
      </c>
      <c r="K9" s="4">
        <f>'C:\Users\super\Documents\actuarial\cas-rfp\spec-only\team-analyst\sample-data\sample-run\selections\[Chain Ladder Selections - LDFs.xlsx]Incurred Loss'!K9</f>
        <v>1356059.2284</v>
      </c>
      <c r="L9" s="4">
        <f>'C:\Users\super\Documents\actuarial\cas-rfp\spec-only\team-analyst\sample-data\sample-run\selections\[Chain Ladder Selections - LDFs.xlsx]Incurred Loss'!L9</f>
        <v>1362732.0233</v>
      </c>
      <c r="M9" s="4">
        <f>'C:\Users\super\Documents\actuarial\cas-rfp\spec-only\team-analyst\sample-data\sample-run\selections\[Chain Ladder Selections - LDFs.xlsx]Incurred Loss'!M9</f>
        <v>1362957.0151</v>
      </c>
      <c r="N9" s="4">
        <f>'C:\Users\super\Documents\actuarial\cas-rfp\spec-only\team-analyst\sample-data\sample-run\selections\[Chain Ladder Selections - LDFs.xlsx]Incurred Loss'!N9</f>
        <v>1343109.2414</v>
      </c>
      <c r="O9" s="4">
        <f>'C:\Users\super\Documents\actuarial\cas-rfp\spec-only\team-analyst\sample-data\sample-run\selections\[Chain Ladder Selections - LDFs.xlsx]Incurred Loss'!O9</f>
        <v>1343439.1414</v>
      </c>
      <c r="P9" s="4">
        <f>'C:\Users\super\Documents\actuarial\cas-rfp\spec-only\team-analyst\sample-data\sample-run\selections\[Chain Ladder Selections - LDFs.xlsx]Incurred Loss'!P9</f>
        <v>1343439.1414</v>
      </c>
      <c r="Q9" s="4">
        <f>'C:\Users\super\Documents\actuarial\cas-rfp\spec-only\team-analyst\sample-data\sample-run\selections\[Chain Ladder Selections - LDFs.xlsx]Incurred Loss'!Q9</f>
        <v>1350037.1414</v>
      </c>
      <c r="R9" s="4">
        <f>'C:\Users\super\Documents\actuarial\cas-rfp\spec-only\team-analyst\sample-data\sample-run\selections\[Chain Ladder Selections - LDFs.xlsx]Incurred Loss'!R9</f>
        <v>1378427.9395</v>
      </c>
    </row>
    <row r="10" spans="1:25">
      <c r="A10" s="3" t="s">
        <v>59</v>
      </c>
      <c r="B10" s="4">
        <f>'C:\Users\super\Documents\actuarial\cas-rfp\spec-only\team-analyst\sample-data\sample-run\selections\[Chain Ladder Selections - LDFs.xlsx]Incurred Loss'!B10</f>
        <v>357480.3922</v>
      </c>
      <c r="C10" s="4">
        <f>'C:\Users\super\Documents\actuarial\cas-rfp\spec-only\team-analyst\sample-data\sample-run\selections\[Chain Ladder Selections - LDFs.xlsx]Incurred Loss'!C10</f>
        <v>872537.4534</v>
      </c>
      <c r="D10" s="4">
        <f>'C:\Users\super\Documents\actuarial\cas-rfp\spec-only\team-analyst\sample-data\sample-run\selections\[Chain Ladder Selections - LDFs.xlsx]Incurred Loss'!D10</f>
        <v>822240.0416</v>
      </c>
      <c r="E10" s="4">
        <f>'C:\Users\super\Documents\actuarial\cas-rfp\spec-only\team-analyst\sample-data\sample-run\selections\[Chain Ladder Selections - LDFs.xlsx]Incurred Loss'!E10</f>
        <v>842753.923</v>
      </c>
      <c r="F10" s="4">
        <f>'C:\Users\super\Documents\actuarial\cas-rfp\spec-only\team-analyst\sample-data\sample-run\selections\[Chain Ladder Selections - LDFs.xlsx]Incurred Loss'!F10</f>
        <v>898761.0856</v>
      </c>
      <c r="G10" s="4">
        <f>'C:\Users\super\Documents\actuarial\cas-rfp\spec-only\team-analyst\sample-data\sample-run\selections\[Chain Ladder Selections - LDFs.xlsx]Incurred Loss'!G10</f>
        <v>944889.6302</v>
      </c>
      <c r="H10" s="4">
        <f>'C:\Users\super\Documents\actuarial\cas-rfp\spec-only\team-analyst\sample-data\sample-run\selections\[Chain Ladder Selections - LDFs.xlsx]Incurred Loss'!H10</f>
        <v>979272.5208</v>
      </c>
      <c r="I10" s="4">
        <f>'C:\Users\super\Documents\actuarial\cas-rfp\spec-only\team-analyst\sample-data\sample-run\selections\[Chain Ladder Selections - LDFs.xlsx]Incurred Loss'!I10</f>
        <v>1120353.596</v>
      </c>
      <c r="J10" s="4">
        <f>'C:\Users\super\Documents\actuarial\cas-rfp\spec-only\team-analyst\sample-data\sample-run\selections\[Chain Ladder Selections - LDFs.xlsx]Incurred Loss'!J10</f>
        <v>1120360.194</v>
      </c>
      <c r="K10" s="4">
        <f>'C:\Users\super\Documents\actuarial\cas-rfp\spec-only\team-analyst\sample-data\sample-run\selections\[Chain Ladder Selections - LDFs.xlsx]Incurred Loss'!K10</f>
        <v>1120361.8963</v>
      </c>
      <c r="L10" s="4">
        <f>'C:\Users\super\Documents\actuarial\cas-rfp\spec-only\team-analyst\sample-data\sample-run\selections\[Chain Ladder Selections - LDFs.xlsx]Incurred Loss'!L10</f>
        <v>1120361.8963</v>
      </c>
      <c r="M10" s="4">
        <f>'C:\Users\super\Documents\actuarial\cas-rfp\spec-only\team-analyst\sample-data\sample-run\selections\[Chain Ladder Selections - LDFs.xlsx]Incurred Loss'!M10</f>
        <v>1135537.2963</v>
      </c>
      <c r="N10" s="4">
        <f>'C:\Users\super\Documents\actuarial\cas-rfp\spec-only\team-analyst\sample-data\sample-run\selections\[Chain Ladder Selections - LDFs.xlsx]Incurred Loss'!N10</f>
        <v>1169581.0893</v>
      </c>
      <c r="O10" s="4">
        <f>'C:\Users\super\Documents\actuarial\cas-rfp\spec-only\team-analyst\sample-data\sample-run\selections\[Chain Ladder Selections - LDFs.xlsx]Incurred Loss'!O10</f>
        <v>1169581.0893</v>
      </c>
      <c r="P10" s="4">
        <f>'C:\Users\super\Documents\actuarial\cas-rfp\spec-only\team-analyst\sample-data\sample-run\selections\[Chain Ladder Selections - LDFs.xlsx]Incurred Loss'!P10</f>
        <v>1169581.0893</v>
      </c>
      <c r="Q10" s="4">
        <f>'C:\Users\super\Documents\actuarial\cas-rfp\spec-only\team-analyst\sample-data\sample-run\selections\[Chain Ladder Selections - LDFs.xlsx]Incurred Loss'!Q10</f>
        <v>1169581.0893</v>
      </c>
    </row>
    <row r="11" spans="1:25">
      <c r="A11" s="3" t="s">
        <v>60</v>
      </c>
      <c r="B11" s="4">
        <f>'C:\Users\super\Documents\actuarial\cas-rfp\spec-only\team-analyst\sample-data\sample-run\selections\[Chain Ladder Selections - LDFs.xlsx]Incurred Loss'!B11</f>
        <v>360030.44</v>
      </c>
      <c r="C11" s="4">
        <f>'C:\Users\super\Documents\actuarial\cas-rfp\spec-only\team-analyst\sample-data\sample-run\selections\[Chain Ladder Selections - LDFs.xlsx]Incurred Loss'!C11</f>
        <v>730590.3643</v>
      </c>
      <c r="D11" s="4">
        <f>'C:\Users\super\Documents\actuarial\cas-rfp\spec-only\team-analyst\sample-data\sample-run\selections\[Chain Ladder Selections - LDFs.xlsx]Incurred Loss'!D11</f>
        <v>951322.0996</v>
      </c>
      <c r="E11" s="4">
        <f>'C:\Users\super\Documents\actuarial\cas-rfp\spec-only\team-analyst\sample-data\sample-run\selections\[Chain Ladder Selections - LDFs.xlsx]Incurred Loss'!E11</f>
        <v>1105337.8676</v>
      </c>
      <c r="F11" s="4">
        <f>'C:\Users\super\Documents\actuarial\cas-rfp\spec-only\team-analyst\sample-data\sample-run\selections\[Chain Ladder Selections - LDFs.xlsx]Incurred Loss'!F11</f>
        <v>1236185.7351</v>
      </c>
      <c r="G11" s="4">
        <f>'C:\Users\super\Documents\actuarial\cas-rfp\spec-only\team-analyst\sample-data\sample-run\selections\[Chain Ladder Selections - LDFs.xlsx]Incurred Loss'!G11</f>
        <v>1222899.712</v>
      </c>
      <c r="H11" s="4">
        <f>'C:\Users\super\Documents\actuarial\cas-rfp\spec-only\team-analyst\sample-data\sample-run\selections\[Chain Ladder Selections - LDFs.xlsx]Incurred Loss'!H11</f>
        <v>1271367.3004</v>
      </c>
      <c r="I11" s="4">
        <f>'C:\Users\super\Documents\actuarial\cas-rfp\spec-only\team-analyst\sample-data\sample-run\selections\[Chain Ladder Selections - LDFs.xlsx]Incurred Loss'!I11</f>
        <v>1272863.7268</v>
      </c>
      <c r="J11" s="4">
        <f>'C:\Users\super\Documents\actuarial\cas-rfp\spec-only\team-analyst\sample-data\sample-run\selections\[Chain Ladder Selections - LDFs.xlsx]Incurred Loss'!J11</f>
        <v>1266822.057</v>
      </c>
      <c r="K11" s="4">
        <f>'C:\Users\super\Documents\actuarial\cas-rfp\spec-only\team-analyst\sample-data\sample-run\selections\[Chain Ladder Selections - LDFs.xlsx]Incurred Loss'!K11</f>
        <v>1267621.5366</v>
      </c>
      <c r="L11" s="4">
        <f>'C:\Users\super\Documents\actuarial\cas-rfp\spec-only\team-analyst\sample-data\sample-run\selections\[Chain Ladder Selections - LDFs.xlsx]Incurred Loss'!L11</f>
        <v>1268616.515</v>
      </c>
      <c r="M11" s="4">
        <f>'C:\Users\super\Documents\actuarial\cas-rfp\spec-only\team-analyst\sample-data\sample-run\selections\[Chain Ladder Selections - LDFs.xlsx]Incurred Loss'!M11</f>
        <v>1268690.4126</v>
      </c>
      <c r="N11" s="4">
        <f>'C:\Users\super\Documents\actuarial\cas-rfp\spec-only\team-analyst\sample-data\sample-run\selections\[Chain Ladder Selections - LDFs.xlsx]Incurred Loss'!N11</f>
        <v>1270339.9126</v>
      </c>
      <c r="O11" s="4">
        <f>'C:\Users\super\Documents\actuarial\cas-rfp\spec-only\team-analyst\sample-data\sample-run\selections\[Chain Ladder Selections - LDFs.xlsx]Incurred Loss'!O11</f>
        <v>1270069.2627</v>
      </c>
      <c r="P11" s="4">
        <f>'C:\Users\super\Documents\actuarial\cas-rfp\spec-only\team-analyst\sample-data\sample-run\selections\[Chain Ladder Selections - LDFs.xlsx]Incurred Loss'!P11</f>
        <v>1277672.0721</v>
      </c>
    </row>
    <row r="12" spans="1:25">
      <c r="A12" s="3" t="s">
        <v>61</v>
      </c>
      <c r="B12" s="4">
        <f>'C:\Users\super\Documents\actuarial\cas-rfp\spec-only\team-analyst\sample-data\sample-run\selections\[Chain Ladder Selections - LDFs.xlsx]Incurred Loss'!B12</f>
        <v>454047.3346</v>
      </c>
      <c r="C12" s="4">
        <f>'C:\Users\super\Documents\actuarial\cas-rfp\spec-only\team-analyst\sample-data\sample-run\selections\[Chain Ladder Selections - LDFs.xlsx]Incurred Loss'!C12</f>
        <v>886919.7606</v>
      </c>
      <c r="D12" s="4">
        <f>'C:\Users\super\Documents\actuarial\cas-rfp\spec-only\team-analyst\sample-data\sample-run\selections\[Chain Ladder Selections - LDFs.xlsx]Incurred Loss'!D12</f>
        <v>1308017.8708</v>
      </c>
      <c r="E12" s="4">
        <f>'C:\Users\super\Documents\actuarial\cas-rfp\spec-only\team-analyst\sample-data\sample-run\selections\[Chain Ladder Selections - LDFs.xlsx]Incurred Loss'!E12</f>
        <v>1510353.973</v>
      </c>
      <c r="F12" s="4">
        <f>'C:\Users\super\Documents\actuarial\cas-rfp\spec-only\team-analyst\sample-data\sample-run\selections\[Chain Ladder Selections - LDFs.xlsx]Incurred Loss'!F12</f>
        <v>1611539.0668</v>
      </c>
      <c r="G12" s="4">
        <f>'C:\Users\super\Documents\actuarial\cas-rfp\spec-only\team-analyst\sample-data\sample-run\selections\[Chain Ladder Selections - LDFs.xlsx]Incurred Loss'!G12</f>
        <v>1740504.8944</v>
      </c>
      <c r="H12" s="4">
        <f>'C:\Users\super\Documents\actuarial\cas-rfp\spec-only\team-analyst\sample-data\sample-run\selections\[Chain Ladder Selections - LDFs.xlsx]Incurred Loss'!H12</f>
        <v>1836702.4148</v>
      </c>
      <c r="I12" s="4">
        <f>'C:\Users\super\Documents\actuarial\cas-rfp\spec-only\team-analyst\sample-data\sample-run\selections\[Chain Ladder Selections - LDFs.xlsx]Incurred Loss'!I12</f>
        <v>1836817.6951</v>
      </c>
      <c r="J12" s="4">
        <f>'C:\Users\super\Documents\actuarial\cas-rfp\spec-only\team-analyst\sample-data\sample-run\selections\[Chain Ladder Selections - LDFs.xlsx]Incurred Loss'!J12</f>
        <v>1862143.4583</v>
      </c>
      <c r="K12" s="4">
        <f>'C:\Users\super\Documents\actuarial\cas-rfp\spec-only\team-analyst\sample-data\sample-run\selections\[Chain Ladder Selections - LDFs.xlsx]Incurred Loss'!K12</f>
        <v>1869290.4119</v>
      </c>
      <c r="L12" s="4">
        <f>'C:\Users\super\Documents\actuarial\cas-rfp\spec-only\team-analyst\sample-data\sample-run\selections\[Chain Ladder Selections - LDFs.xlsx]Incurred Loss'!L12</f>
        <v>1921985.9327</v>
      </c>
      <c r="M12" s="4">
        <f>'C:\Users\super\Documents\actuarial\cas-rfp\spec-only\team-analyst\sample-data\sample-run\selections\[Chain Ladder Selections - LDFs.xlsx]Incurred Loss'!M12</f>
        <v>1916081.5804</v>
      </c>
      <c r="N12" s="4">
        <f>'C:\Users\super\Documents\actuarial\cas-rfp\spec-only\team-analyst\sample-data\sample-run\selections\[Chain Ladder Selections - LDFs.xlsx]Incurred Loss'!N12</f>
        <v>1916081.5804</v>
      </c>
      <c r="O12" s="4">
        <f>'C:\Users\super\Documents\actuarial\cas-rfp\spec-only\team-analyst\sample-data\sample-run\selections\[Chain Ladder Selections - LDFs.xlsx]Incurred Loss'!O12</f>
        <v>1916081.5804</v>
      </c>
    </row>
    <row r="13" spans="1:25">
      <c r="A13" s="3" t="s">
        <v>62</v>
      </c>
      <c r="B13" s="4">
        <f>'C:\Users\super\Documents\actuarial\cas-rfp\spec-only\team-analyst\sample-data\sample-run\selections\[Chain Ladder Selections - LDFs.xlsx]Incurred Loss'!B13</f>
        <v>335887.1044</v>
      </c>
      <c r="C13" s="4">
        <f>'C:\Users\super\Documents\actuarial\cas-rfp\spec-only\team-analyst\sample-data\sample-run\selections\[Chain Ladder Selections - LDFs.xlsx]Incurred Loss'!C13</f>
        <v>682490.522</v>
      </c>
      <c r="D13" s="4">
        <f>'C:\Users\super\Documents\actuarial\cas-rfp\spec-only\team-analyst\sample-data\sample-run\selections\[Chain Ladder Selections - LDFs.xlsx]Incurred Loss'!D13</f>
        <v>892010.9489</v>
      </c>
      <c r="E13" s="4">
        <f>'C:\Users\super\Documents\actuarial\cas-rfp\spec-only\team-analyst\sample-data\sample-run\selections\[Chain Ladder Selections - LDFs.xlsx]Incurred Loss'!E13</f>
        <v>969399.2736</v>
      </c>
      <c r="F13" s="4">
        <f>'C:\Users\super\Documents\actuarial\cas-rfp\spec-only\team-analyst\sample-data\sample-run\selections\[Chain Ladder Selections - LDFs.xlsx]Incurred Loss'!F13</f>
        <v>966369.472</v>
      </c>
      <c r="G13" s="4">
        <f>'C:\Users\super\Documents\actuarial\cas-rfp\spec-only\team-analyst\sample-data\sample-run\selections\[Chain Ladder Selections - LDFs.xlsx]Incurred Loss'!G13</f>
        <v>974833.3864</v>
      </c>
      <c r="H13" s="4">
        <f>'C:\Users\super\Documents\actuarial\cas-rfp\spec-only\team-analyst\sample-data\sample-run\selections\[Chain Ladder Selections - LDFs.xlsx]Incurred Loss'!H13</f>
        <v>978738.6634</v>
      </c>
      <c r="I13" s="4">
        <f>'C:\Users\super\Documents\actuarial\cas-rfp\spec-only\team-analyst\sample-data\sample-run\selections\[Chain Ladder Selections - LDFs.xlsx]Incurred Loss'!I13</f>
        <v>1029196.2086</v>
      </c>
      <c r="J13" s="4">
        <f>'C:\Users\super\Documents\actuarial\cas-rfp\spec-only\team-analyst\sample-data\sample-run\selections\[Chain Ladder Selections - LDFs.xlsx]Incurred Loss'!J13</f>
        <v>1086698.5968</v>
      </c>
      <c r="K13" s="4">
        <f>'C:\Users\super\Documents\actuarial\cas-rfp\spec-only\team-analyst\sample-data\sample-run\selections\[Chain Ladder Selections - LDFs.xlsx]Incurred Loss'!K13</f>
        <v>1148149.3733</v>
      </c>
      <c r="L13" s="4">
        <f>'C:\Users\super\Documents\actuarial\cas-rfp\spec-only\team-analyst\sample-data\sample-run\selections\[Chain Ladder Selections - LDFs.xlsx]Incurred Loss'!L13</f>
        <v>1156726.7733</v>
      </c>
      <c r="M13" s="4">
        <f>'C:\Users\super\Documents\actuarial\cas-rfp\spec-only\team-analyst\sample-data\sample-run\selections\[Chain Ladder Selections - LDFs.xlsx]Incurred Loss'!M13</f>
        <v>1363753.3805</v>
      </c>
      <c r="N13" s="4">
        <f>'C:\Users\super\Documents\actuarial\cas-rfp\spec-only\team-analyst\sample-data\sample-run\selections\[Chain Ladder Selections - LDFs.xlsx]Incurred Loss'!N13</f>
        <v>1363753.3805</v>
      </c>
    </row>
    <row r="14" spans="1:25">
      <c r="A14" s="3" t="s">
        <v>63</v>
      </c>
      <c r="B14" s="4">
        <f>'C:\Users\super\Documents\actuarial\cas-rfp\spec-only\team-analyst\sample-data\sample-run\selections\[Chain Ladder Selections - LDFs.xlsx]Incurred Loss'!B14</f>
        <v>279096.7196</v>
      </c>
      <c r="C14" s="4">
        <f>'C:\Users\super\Documents\actuarial\cas-rfp\spec-only\team-analyst\sample-data\sample-run\selections\[Chain Ladder Selections - LDFs.xlsx]Incurred Loss'!C14</f>
        <v>509656.1495</v>
      </c>
      <c r="D14" s="4">
        <f>'C:\Users\super\Documents\actuarial\cas-rfp\spec-only\team-analyst\sample-data\sample-run\selections\[Chain Ladder Selections - LDFs.xlsx]Incurred Loss'!D14</f>
        <v>554121.1536</v>
      </c>
      <c r="E14" s="4">
        <f>'C:\Users\super\Documents\actuarial\cas-rfp\spec-only\team-analyst\sample-data\sample-run\selections\[Chain Ladder Selections - LDFs.xlsx]Incurred Loss'!E14</f>
        <v>668048.8196</v>
      </c>
      <c r="F14" s="4">
        <f>'C:\Users\super\Documents\actuarial\cas-rfp\spec-only\team-analyst\sample-data\sample-run\selections\[Chain Ladder Selections - LDFs.xlsx]Incurred Loss'!F14</f>
        <v>708646.3136</v>
      </c>
      <c r="G14" s="4">
        <f>'C:\Users\super\Documents\actuarial\cas-rfp\spec-only\team-analyst\sample-data\sample-run\selections\[Chain Ladder Selections - LDFs.xlsx]Incurred Loss'!G14</f>
        <v>706804.6403</v>
      </c>
      <c r="H14" s="4">
        <f>'C:\Users\super\Documents\actuarial\cas-rfp\spec-only\team-analyst\sample-data\sample-run\selections\[Chain Ladder Selections - LDFs.xlsx]Incurred Loss'!H14</f>
        <v>707153.1202</v>
      </c>
      <c r="I14" s="4">
        <f>'C:\Users\super\Documents\actuarial\cas-rfp\spec-only\team-analyst\sample-data\sample-run\selections\[Chain Ladder Selections - LDFs.xlsx]Incurred Loss'!I14</f>
        <v>707153.1202</v>
      </c>
      <c r="J14" s="4">
        <f>'C:\Users\super\Documents\actuarial\cas-rfp\spec-only\team-analyst\sample-data\sample-run\selections\[Chain Ladder Selections - LDFs.xlsx]Incurred Loss'!J14</f>
        <v>708518.7743</v>
      </c>
      <c r="K14" s="4">
        <f>'C:\Users\super\Documents\actuarial\cas-rfp\spec-only\team-analyst\sample-data\sample-run\selections\[Chain Ladder Selections - LDFs.xlsx]Incurred Loss'!K14</f>
        <v>708518.7743</v>
      </c>
      <c r="L14" s="4">
        <f>'C:\Users\super\Documents\actuarial\cas-rfp\spec-only\team-analyst\sample-data\sample-run\selections\[Chain Ladder Selections - LDFs.xlsx]Incurred Loss'!L14</f>
        <v>708529.9909</v>
      </c>
      <c r="M14" s="4">
        <f>'C:\Users\super\Documents\actuarial\cas-rfp\spec-only\team-analyst\sample-data\sample-run\selections\[Chain Ladder Selections - LDFs.xlsx]Incurred Loss'!M14</f>
        <v>708529.9909</v>
      </c>
    </row>
    <row r="15" spans="1:25">
      <c r="A15" s="3" t="s">
        <v>64</v>
      </c>
      <c r="B15" s="4">
        <f>'C:\Users\super\Documents\actuarial\cas-rfp\spec-only\team-analyst\sample-data\sample-run\selections\[Chain Ladder Selections - LDFs.xlsx]Incurred Loss'!B15</f>
        <v>579453.8975</v>
      </c>
      <c r="C15" s="4">
        <f>'C:\Users\super\Documents\actuarial\cas-rfp\spec-only\team-analyst\sample-data\sample-run\selections\[Chain Ladder Selections - LDFs.xlsx]Incurred Loss'!C15</f>
        <v>791674.226</v>
      </c>
      <c r="D15" s="4">
        <f>'C:\Users\super\Documents\actuarial\cas-rfp\spec-only\team-analyst\sample-data\sample-run\selections\[Chain Ladder Selections - LDFs.xlsx]Incurred Loss'!D15</f>
        <v>1117488.7444</v>
      </c>
      <c r="E15" s="4">
        <f>'C:\Users\super\Documents\actuarial\cas-rfp\spec-only\team-analyst\sample-data\sample-run\selections\[Chain Ladder Selections - LDFs.xlsx]Incurred Loss'!E15</f>
        <v>1292116.6908</v>
      </c>
      <c r="F15" s="4">
        <f>'C:\Users\super\Documents\actuarial\cas-rfp\spec-only\team-analyst\sample-data\sample-run\selections\[Chain Ladder Selections - LDFs.xlsx]Incurred Loss'!F15</f>
        <v>1310589.9427</v>
      </c>
      <c r="G15" s="4">
        <f>'C:\Users\super\Documents\actuarial\cas-rfp\spec-only\team-analyst\sample-data\sample-run\selections\[Chain Ladder Selections - LDFs.xlsx]Incurred Loss'!G15</f>
        <v>1355751.9331</v>
      </c>
      <c r="H15" s="4">
        <f>'C:\Users\super\Documents\actuarial\cas-rfp\spec-only\team-analyst\sample-data\sample-run\selections\[Chain Ladder Selections - LDFs.xlsx]Incurred Loss'!H15</f>
        <v>1316935.0942</v>
      </c>
      <c r="I15" s="4">
        <f>'C:\Users\super\Documents\actuarial\cas-rfp\spec-only\team-analyst\sample-data\sample-run\selections\[Chain Ladder Selections - LDFs.xlsx]Incurred Loss'!I15</f>
        <v>1316935.0942</v>
      </c>
      <c r="J15" s="4">
        <f>'C:\Users\super\Documents\actuarial\cas-rfp\spec-only\team-analyst\sample-data\sample-run\selections\[Chain Ladder Selections - LDFs.xlsx]Incurred Loss'!J15</f>
        <v>1371038.6942</v>
      </c>
      <c r="K15" s="4">
        <f>'C:\Users\super\Documents\actuarial\cas-rfp\spec-only\team-analyst\sample-data\sample-run\selections\[Chain Ladder Selections - LDFs.xlsx]Incurred Loss'!K15</f>
        <v>1399322.0241</v>
      </c>
      <c r="L15" s="4">
        <f>'C:\Users\super\Documents\actuarial\cas-rfp\spec-only\team-analyst\sample-data\sample-run\selections\[Chain Ladder Selections - LDFs.xlsx]Incurred Loss'!L15</f>
        <v>1389603.6847</v>
      </c>
    </row>
    <row r="16" spans="1:25">
      <c r="A16" s="3" t="s">
        <v>65</v>
      </c>
      <c r="B16" s="4">
        <f>'C:\Users\super\Documents\actuarial\cas-rfp\spec-only\team-analyst\sample-data\sample-run\selections\[Chain Ladder Selections - LDFs.xlsx]Incurred Loss'!B16</f>
        <v>538066.9</v>
      </c>
      <c r="C16" s="4">
        <f>'C:\Users\super\Documents\actuarial\cas-rfp\spec-only\team-analyst\sample-data\sample-run\selections\[Chain Ladder Selections - LDFs.xlsx]Incurred Loss'!C16</f>
        <v>1068443.1712</v>
      </c>
      <c r="D16" s="4">
        <f>'C:\Users\super\Documents\actuarial\cas-rfp\spec-only\team-analyst\sample-data\sample-run\selections\[Chain Ladder Selections - LDFs.xlsx]Incurred Loss'!D16</f>
        <v>1605602.1864</v>
      </c>
      <c r="E16" s="4">
        <f>'C:\Users\super\Documents\actuarial\cas-rfp\spec-only\team-analyst\sample-data\sample-run\selections\[Chain Ladder Selections - LDFs.xlsx]Incurred Loss'!E16</f>
        <v>2133023.2398</v>
      </c>
      <c r="F16" s="4">
        <f>'C:\Users\super\Documents\actuarial\cas-rfp\spec-only\team-analyst\sample-data\sample-run\selections\[Chain Ladder Selections - LDFs.xlsx]Incurred Loss'!F16</f>
        <v>2358964.558</v>
      </c>
      <c r="G16" s="4">
        <f>'C:\Users\super\Documents\actuarial\cas-rfp\spec-only\team-analyst\sample-data\sample-run\selections\[Chain Ladder Selections - LDFs.xlsx]Incurred Loss'!G16</f>
        <v>2680270.1351</v>
      </c>
      <c r="H16" s="4">
        <f>'C:\Users\super\Documents\actuarial\cas-rfp\spec-only\team-analyst\sample-data\sample-run\selections\[Chain Ladder Selections - LDFs.xlsx]Incurred Loss'!H16</f>
        <v>3055333.4055</v>
      </c>
      <c r="I16" s="4">
        <f>'C:\Users\super\Documents\actuarial\cas-rfp\spec-only\team-analyst\sample-data\sample-run\selections\[Chain Ladder Selections - LDFs.xlsx]Incurred Loss'!I16</f>
        <v>3076051.1255</v>
      </c>
      <c r="J16" s="4">
        <f>'C:\Users\super\Documents\actuarial\cas-rfp\spec-only\team-analyst\sample-data\sample-run\selections\[Chain Ladder Selections - LDFs.xlsx]Incurred Loss'!J16</f>
        <v>3086205.1704</v>
      </c>
      <c r="K16" s="4">
        <f>'C:\Users\super\Documents\actuarial\cas-rfp\spec-only\team-analyst\sample-data\sample-run\selections\[Chain Ladder Selections - LDFs.xlsx]Incurred Loss'!K16</f>
        <v>3382963.2581</v>
      </c>
    </row>
    <row r="17" spans="1:24">
      <c r="A17" s="3" t="s">
        <v>66</v>
      </c>
      <c r="B17" s="4">
        <f>'C:\Users\super\Documents\actuarial\cas-rfp\spec-only\team-analyst\sample-data\sample-run\selections\[Chain Ladder Selections - LDFs.xlsx]Incurred Loss'!B17</f>
        <v>687801.912</v>
      </c>
      <c r="C17" s="4">
        <f>'C:\Users\super\Documents\actuarial\cas-rfp\spec-only\team-analyst\sample-data\sample-run\selections\[Chain Ladder Selections - LDFs.xlsx]Incurred Loss'!C17</f>
        <v>1285960.7568</v>
      </c>
      <c r="D17" s="4">
        <f>'C:\Users\super\Documents\actuarial\cas-rfp\spec-only\team-analyst\sample-data\sample-run\selections\[Chain Ladder Selections - LDFs.xlsx]Incurred Loss'!D17</f>
        <v>1733469.988</v>
      </c>
      <c r="E17" s="4">
        <f>'C:\Users\super\Documents\actuarial\cas-rfp\spec-only\team-analyst\sample-data\sample-run\selections\[Chain Ladder Selections - LDFs.xlsx]Incurred Loss'!E17</f>
        <v>1884267.6211</v>
      </c>
      <c r="F17" s="4">
        <f>'C:\Users\super\Documents\actuarial\cas-rfp\spec-only\team-analyst\sample-data\sample-run\selections\[Chain Ladder Selections - LDFs.xlsx]Incurred Loss'!F17</f>
        <v>2152415.9626</v>
      </c>
      <c r="G17" s="4">
        <f>'C:\Users\super\Documents\actuarial\cas-rfp\spec-only\team-analyst\sample-data\sample-run\selections\[Chain Ladder Selections - LDFs.xlsx]Incurred Loss'!G17</f>
        <v>2220417.4843</v>
      </c>
      <c r="H17" s="4">
        <f>'C:\Users\super\Documents\actuarial\cas-rfp\spec-only\team-analyst\sample-data\sample-run\selections\[Chain Ladder Selections - LDFs.xlsx]Incurred Loss'!H17</f>
        <v>2503620.4692</v>
      </c>
      <c r="I17" s="4">
        <f>'C:\Users\super\Documents\actuarial\cas-rfp\spec-only\team-analyst\sample-data\sample-run\selections\[Chain Ladder Selections - LDFs.xlsx]Incurred Loss'!I17</f>
        <v>2503024.6434</v>
      </c>
      <c r="J17" s="4">
        <f>'C:\Users\super\Documents\actuarial\cas-rfp\spec-only\team-analyst\sample-data\sample-run\selections\[Chain Ladder Selections - LDFs.xlsx]Incurred Loss'!J17</f>
        <v>2506323.6434</v>
      </c>
    </row>
    <row r="18" spans="1:24">
      <c r="A18" s="3" t="s">
        <v>67</v>
      </c>
      <c r="B18" s="4">
        <f>'C:\Users\super\Documents\actuarial\cas-rfp\spec-only\team-analyst\sample-data\sample-run\selections\[Chain Ladder Selections - LDFs.xlsx]Incurred Loss'!B18</f>
        <v>461326.8816</v>
      </c>
      <c r="C18" s="4">
        <f>'C:\Users\super\Documents\actuarial\cas-rfp\spec-only\team-analyst\sample-data\sample-run\selections\[Chain Ladder Selections - LDFs.xlsx]Incurred Loss'!C18</f>
        <v>614872.6873</v>
      </c>
      <c r="D18" s="4">
        <f>'C:\Users\super\Documents\actuarial\cas-rfp\spec-only\team-analyst\sample-data\sample-run\selections\[Chain Ladder Selections - LDFs.xlsx]Incurred Loss'!D18</f>
        <v>635999.2061</v>
      </c>
      <c r="E18" s="4">
        <f>'C:\Users\super\Documents\actuarial\cas-rfp\spec-only\team-analyst\sample-data\sample-run\selections\[Chain Ladder Selections - LDFs.xlsx]Incurred Loss'!E18</f>
        <v>832770.2121</v>
      </c>
      <c r="F18" s="4">
        <f>'C:\Users\super\Documents\actuarial\cas-rfp\spec-only\team-analyst\sample-data\sample-run\selections\[Chain Ladder Selections - LDFs.xlsx]Incurred Loss'!F18</f>
        <v>895289.4819</v>
      </c>
      <c r="G18" s="4">
        <f>'C:\Users\super\Documents\actuarial\cas-rfp\spec-only\team-analyst\sample-data\sample-run\selections\[Chain Ladder Selections - LDFs.xlsx]Incurred Loss'!G18</f>
        <v>1014108.2981</v>
      </c>
      <c r="H18" s="4">
        <f>'C:\Users\super\Documents\actuarial\cas-rfp\spec-only\team-analyst\sample-data\sample-run\selections\[Chain Ladder Selections - LDFs.xlsx]Incurred Loss'!H18</f>
        <v>1168952.8937</v>
      </c>
      <c r="I18" s="4">
        <f>'C:\Users\super\Documents\actuarial\cas-rfp\spec-only\team-analyst\sample-data\sample-run\selections\[Chain Ladder Selections - LDFs.xlsx]Incurred Loss'!I18</f>
        <v>1205811.8289</v>
      </c>
    </row>
    <row r="19" spans="1:24">
      <c r="A19" s="3" t="s">
        <v>68</v>
      </c>
      <c r="B19" s="4">
        <f>'C:\Users\super\Documents\actuarial\cas-rfp\spec-only\team-analyst\sample-data\sample-run\selections\[Chain Ladder Selections - LDFs.xlsx]Incurred Loss'!B19</f>
        <v>507983.8204</v>
      </c>
      <c r="C19" s="4">
        <f>'C:\Users\super\Documents\actuarial\cas-rfp\spec-only\team-analyst\sample-data\sample-run\selections\[Chain Ladder Selections - LDFs.xlsx]Incurred Loss'!C19</f>
        <v>1168067.9171</v>
      </c>
      <c r="D19" s="4">
        <f>'C:\Users\super\Documents\actuarial\cas-rfp\spec-only\team-analyst\sample-data\sample-run\selections\[Chain Ladder Selections - LDFs.xlsx]Incurred Loss'!D19</f>
        <v>1668858.2021</v>
      </c>
      <c r="E19" s="4">
        <f>'C:\Users\super\Documents\actuarial\cas-rfp\spec-only\team-analyst\sample-data\sample-run\selections\[Chain Ladder Selections - LDFs.xlsx]Incurred Loss'!E19</f>
        <v>2316819.635</v>
      </c>
      <c r="F19" s="4">
        <f>'C:\Users\super\Documents\actuarial\cas-rfp\spec-only\team-analyst\sample-data\sample-run\selections\[Chain Ladder Selections - LDFs.xlsx]Incurred Loss'!F19</f>
        <v>2303518.1066</v>
      </c>
      <c r="G19" s="4">
        <f>'C:\Users\super\Documents\actuarial\cas-rfp\spec-only\team-analyst\sample-data\sample-run\selections\[Chain Ladder Selections - LDFs.xlsx]Incurred Loss'!G19</f>
        <v>2333675.3477</v>
      </c>
      <c r="H19" s="4">
        <f>'C:\Users\super\Documents\actuarial\cas-rfp\spec-only\team-analyst\sample-data\sample-run\selections\[Chain Ladder Selections - LDFs.xlsx]Incurred Loss'!H19</f>
        <v>2395448.4233</v>
      </c>
    </row>
    <row r="20" spans="1:24">
      <c r="A20" s="3" t="s">
        <v>69</v>
      </c>
      <c r="B20" s="4">
        <f>'C:\Users\super\Documents\actuarial\cas-rfp\spec-only\team-analyst\sample-data\sample-run\selections\[Chain Ladder Selections - LDFs.xlsx]Incurred Loss'!B20</f>
        <v>407914.8312</v>
      </c>
      <c r="C20" s="4">
        <f>'C:\Users\super\Documents\actuarial\cas-rfp\spec-only\team-analyst\sample-data\sample-run\selections\[Chain Ladder Selections - LDFs.xlsx]Incurred Loss'!C20</f>
        <v>1124607.0627</v>
      </c>
      <c r="D20" s="4">
        <f>'C:\Users\super\Documents\actuarial\cas-rfp\spec-only\team-analyst\sample-data\sample-run\selections\[Chain Ladder Selections - LDFs.xlsx]Incurred Loss'!D20</f>
        <v>1740054.5413</v>
      </c>
      <c r="E20" s="4">
        <f>'C:\Users\super\Documents\actuarial\cas-rfp\spec-only\team-analyst\sample-data\sample-run\selections\[Chain Ladder Selections - LDFs.xlsx]Incurred Loss'!E20</f>
        <v>2000563.0454</v>
      </c>
      <c r="F20" s="4">
        <f>'C:\Users\super\Documents\actuarial\cas-rfp\spec-only\team-analyst\sample-data\sample-run\selections\[Chain Ladder Selections - LDFs.xlsx]Incurred Loss'!F20</f>
        <v>2127378.6904</v>
      </c>
      <c r="G20" s="4">
        <f>'C:\Users\super\Documents\actuarial\cas-rfp\spec-only\team-analyst\sample-data\sample-run\selections\[Chain Ladder Selections - LDFs.xlsx]Incurred Loss'!G20</f>
        <v>2599882.8743</v>
      </c>
    </row>
    <row r="21" spans="1:24">
      <c r="A21" s="3" t="s">
        <v>70</v>
      </c>
      <c r="B21" s="4">
        <f>'C:\Users\super\Documents\actuarial\cas-rfp\spec-only\team-analyst\sample-data\sample-run\selections\[Chain Ladder Selections - LDFs.xlsx]Incurred Loss'!B21</f>
        <v>522102.6035</v>
      </c>
      <c r="C21" s="4">
        <f>'C:\Users\super\Documents\actuarial\cas-rfp\spec-only\team-analyst\sample-data\sample-run\selections\[Chain Ladder Selections - LDFs.xlsx]Incurred Loss'!C21</f>
        <v>931915.521</v>
      </c>
      <c r="D21" s="4">
        <f>'C:\Users\super\Documents\actuarial\cas-rfp\spec-only\team-analyst\sample-data\sample-run\selections\[Chain Ladder Selections - LDFs.xlsx]Incurred Loss'!D21</f>
        <v>916291.8001</v>
      </c>
      <c r="E21" s="4">
        <f>'C:\Users\super\Documents\actuarial\cas-rfp\spec-only\team-analyst\sample-data\sample-run\selections\[Chain Ladder Selections - LDFs.xlsx]Incurred Loss'!E21</f>
        <v>969468.3019</v>
      </c>
      <c r="F21" s="4">
        <f>'C:\Users\super\Documents\actuarial\cas-rfp\spec-only\team-analyst\sample-data\sample-run\selections\[Chain Ladder Selections - LDFs.xlsx]Incurred Loss'!F21</f>
        <v>978899.5095</v>
      </c>
    </row>
    <row r="22" spans="1:24">
      <c r="A22" s="3" t="s">
        <v>71</v>
      </c>
      <c r="B22" s="4">
        <f>'C:\Users\super\Documents\actuarial\cas-rfp\spec-only\team-analyst\sample-data\sample-run\selections\[Chain Ladder Selections - LDFs.xlsx]Incurred Loss'!B22</f>
        <v>549457.067</v>
      </c>
      <c r="C22" s="4">
        <f>'C:\Users\super\Documents\actuarial\cas-rfp\spec-only\team-analyst\sample-data\sample-run\selections\[Chain Ladder Selections - LDFs.xlsx]Incurred Loss'!C22</f>
        <v>800935.1524</v>
      </c>
      <c r="D22" s="4">
        <f>'C:\Users\super\Documents\actuarial\cas-rfp\spec-only\team-analyst\sample-data\sample-run\selections\[Chain Ladder Selections - LDFs.xlsx]Incurred Loss'!D22</f>
        <v>980316.7863</v>
      </c>
      <c r="E22" s="4">
        <f>'C:\Users\super\Documents\actuarial\cas-rfp\spec-only\team-analyst\sample-data\sample-run\selections\[Chain Ladder Selections - LDFs.xlsx]Incurred Loss'!E22</f>
        <v>1011313.2797</v>
      </c>
    </row>
    <row r="23" spans="1:24">
      <c r="A23" s="3" t="s">
        <v>72</v>
      </c>
      <c r="B23" s="4">
        <f>'C:\Users\super\Documents\actuarial\cas-rfp\spec-only\team-analyst\sample-data\sample-run\selections\[Chain Ladder Selections - LDFs.xlsx]Incurred Loss'!B23</f>
        <v>694623.0036</v>
      </c>
      <c r="C23" s="4">
        <f>'C:\Users\super\Documents\actuarial\cas-rfp\spec-only\team-analyst\sample-data\sample-run\selections\[Chain Ladder Selections - LDFs.xlsx]Incurred Loss'!C23</f>
        <v>851655.8786</v>
      </c>
      <c r="D23" s="4">
        <f>'C:\Users\super\Documents\actuarial\cas-rfp\spec-only\team-analyst\sample-data\sample-run\selections\[Chain Ladder Selections - LDFs.xlsx]Incurred Loss'!D23</f>
        <v>827416.1066</v>
      </c>
    </row>
    <row r="24" spans="1:24">
      <c r="A24" s="3" t="s">
        <v>73</v>
      </c>
      <c r="B24" s="4">
        <f>'C:\Users\super\Documents\actuarial\cas-rfp\spec-only\team-analyst\sample-data\sample-run\selections\[Chain Ladder Selections - LDFs.xlsx]Incurred Loss'!B24</f>
        <v>975000.3026</v>
      </c>
      <c r="C24" s="4">
        <f>'C:\Users\super\Documents\actuarial\cas-rfp\spec-only\team-analyst\sample-data\sample-run\selections\[Chain Ladder Selections - LDFs.xlsx]Incurred Loss'!C24</f>
        <v>1651756.6744</v>
      </c>
    </row>
    <row r="25" spans="1:24">
      <c r="A25" s="3" t="s">
        <v>74</v>
      </c>
      <c r="B25" s="4">
        <f>'C:\Users\super\Documents\actuarial\cas-rfp\spec-only\team-analyst\sample-data\sample-run\selections\[Chain Ladder Selections - LDFs.xlsx]Incurred Loss'!B25</f>
        <v>890155.2218</v>
      </c>
    </row>
    <row r="26" spans="1:24">
      <c r="A26" s="3"/>
    </row>
    <row r="27" spans="1:24">
      <c r="A27" s="3" t="s">
        <v>50</v>
      </c>
      <c r="B27" t="s">
        <v>75</v>
      </c>
      <c r="C27" t="s">
        <v>76</v>
      </c>
      <c r="D27" t="s">
        <v>77</v>
      </c>
      <c r="E27" t="s">
        <v>78</v>
      </c>
      <c r="F27" t="s">
        <v>79</v>
      </c>
      <c r="G27" t="s">
        <v>80</v>
      </c>
      <c r="H27" t="s">
        <v>81</v>
      </c>
      <c r="I27" t="s">
        <v>82</v>
      </c>
      <c r="J27" t="s">
        <v>83</v>
      </c>
      <c r="K27" t="s">
        <v>84</v>
      </c>
      <c r="L27" t="s">
        <v>85</v>
      </c>
      <c r="M27" t="s">
        <v>86</v>
      </c>
      <c r="N27" t="s">
        <v>87</v>
      </c>
      <c r="O27" t="s">
        <v>88</v>
      </c>
      <c r="P27" t="s">
        <v>89</v>
      </c>
      <c r="Q27" t="s">
        <v>90</v>
      </c>
      <c r="R27" t="s">
        <v>91</v>
      </c>
      <c r="S27" t="s">
        <v>92</v>
      </c>
      <c r="T27" t="s">
        <v>93</v>
      </c>
      <c r="U27" t="s">
        <v>94</v>
      </c>
      <c r="V27" t="s">
        <v>95</v>
      </c>
      <c r="W27" t="s">
        <v>96</v>
      </c>
      <c r="X27" t="s">
        <v>97</v>
      </c>
    </row>
    <row r="28" spans="1:24">
      <c r="A28" s="3" t="s">
        <v>51</v>
      </c>
      <c r="B28">
        <f>IFERROR(IF(B2="","",B2/A2),"")</f>
        <v>0</v>
      </c>
      <c r="C28">
        <f>IFERROR(IF(C2="","",C2/B2),"")</f>
        <v>0</v>
      </c>
      <c r="D28">
        <f>IFERROR(IF(D2="","",D2/C2),"")</f>
        <v>0</v>
      </c>
      <c r="E28">
        <f>IFERROR(IF(E2="","",E2/D2),"")</f>
        <v>0</v>
      </c>
      <c r="F28">
        <f>IFERROR(IF(F2="","",F2/E2),"")</f>
        <v>0</v>
      </c>
      <c r="G28">
        <f>IFERROR(IF(G2="","",G2/F2),"")</f>
        <v>0</v>
      </c>
      <c r="H28">
        <f>IFERROR(IF(H2="","",H2/G2),"")</f>
        <v>0</v>
      </c>
      <c r="I28">
        <f>IFERROR(IF(I2="","",I2/H2),"")</f>
        <v>0</v>
      </c>
      <c r="J28">
        <f>IFERROR(IF(J2="","",J2/I2),"")</f>
        <v>0</v>
      </c>
      <c r="K28">
        <f>IFERROR(IF(K2="","",K2/J2),"")</f>
        <v>0</v>
      </c>
      <c r="L28">
        <f>IFERROR(IF(L2="","",L2/K2),"")</f>
        <v>0</v>
      </c>
      <c r="M28">
        <f>IFERROR(IF(M2="","",M2/L2),"")</f>
        <v>0</v>
      </c>
      <c r="N28">
        <f>IFERROR(IF(N2="","",N2/M2),"")</f>
        <v>0</v>
      </c>
      <c r="O28">
        <f>IFERROR(IF(O2="","",O2/N2),"")</f>
        <v>0</v>
      </c>
      <c r="P28">
        <f>IFERROR(IF(P2="","",P2/O2),"")</f>
        <v>0</v>
      </c>
      <c r="Q28">
        <f>IFERROR(IF(Q2="","",Q2/P2),"")</f>
        <v>0</v>
      </c>
      <c r="R28">
        <f>IFERROR(IF(R2="","",R2/Q2),"")</f>
        <v>0</v>
      </c>
      <c r="S28">
        <f>IFERROR(IF(S2="","",S2/R2),"")</f>
        <v>0</v>
      </c>
      <c r="T28">
        <f>IFERROR(IF(T2="","",T2/S2),"")</f>
        <v>0</v>
      </c>
      <c r="U28">
        <f>IFERROR(IF(U2="","",U2/T2),"")</f>
        <v>0</v>
      </c>
      <c r="V28">
        <f>IFERROR(IF(V2="","",V2/U2),"")</f>
        <v>0</v>
      </c>
      <c r="W28">
        <f>IFERROR(IF(W2="","",W2/V2),"")</f>
        <v>0</v>
      </c>
      <c r="X28">
        <f>IFERROR(IF(X2="","",X2/W2),"")</f>
        <v>0</v>
      </c>
    </row>
    <row r="29" spans="1:24">
      <c r="A29" s="3" t="s">
        <v>52</v>
      </c>
      <c r="B29">
        <f>IFERROR(IF(B3="","",B3/A3),"")</f>
        <v>0</v>
      </c>
      <c r="C29">
        <f>IFERROR(IF(C3="","",C3/B3),"")</f>
        <v>0</v>
      </c>
      <c r="D29">
        <f>IFERROR(IF(D3="","",D3/C3),"")</f>
        <v>0</v>
      </c>
      <c r="E29">
        <f>IFERROR(IF(E3="","",E3/D3),"")</f>
        <v>0</v>
      </c>
      <c r="F29">
        <f>IFERROR(IF(F3="","",F3/E3),"")</f>
        <v>0</v>
      </c>
      <c r="G29">
        <f>IFERROR(IF(G3="","",G3/F3),"")</f>
        <v>0</v>
      </c>
      <c r="H29">
        <f>IFERROR(IF(H3="","",H3/G3),"")</f>
        <v>0</v>
      </c>
      <c r="I29">
        <f>IFERROR(IF(I3="","",I3/H3),"")</f>
        <v>0</v>
      </c>
      <c r="J29">
        <f>IFERROR(IF(J3="","",J3/I3),"")</f>
        <v>0</v>
      </c>
      <c r="K29">
        <f>IFERROR(IF(K3="","",K3/J3),"")</f>
        <v>0</v>
      </c>
      <c r="L29">
        <f>IFERROR(IF(L3="","",L3/K3),"")</f>
        <v>0</v>
      </c>
      <c r="M29">
        <f>IFERROR(IF(M3="","",M3/L3),"")</f>
        <v>0</v>
      </c>
      <c r="N29">
        <f>IFERROR(IF(N3="","",N3/M3),"")</f>
        <v>0</v>
      </c>
      <c r="O29">
        <f>IFERROR(IF(O3="","",O3/N3),"")</f>
        <v>0</v>
      </c>
      <c r="P29">
        <f>IFERROR(IF(P3="","",P3/O3),"")</f>
        <v>0</v>
      </c>
      <c r="Q29">
        <f>IFERROR(IF(Q3="","",Q3/P3),"")</f>
        <v>0</v>
      </c>
      <c r="R29">
        <f>IFERROR(IF(R3="","",R3/Q3),"")</f>
        <v>0</v>
      </c>
      <c r="S29">
        <f>IFERROR(IF(S3="","",S3/R3),"")</f>
        <v>0</v>
      </c>
      <c r="T29">
        <f>IFERROR(IF(T3="","",T3/S3),"")</f>
        <v>0</v>
      </c>
      <c r="U29">
        <f>IFERROR(IF(U3="","",U3/T3),"")</f>
        <v>0</v>
      </c>
      <c r="V29">
        <f>IFERROR(IF(V3="","",V3/U3),"")</f>
        <v>0</v>
      </c>
      <c r="W29">
        <f>IFERROR(IF(W3="","",W3/V3),"")</f>
        <v>0</v>
      </c>
      <c r="X29">
        <f>IFERROR(IF(X3="","",X3/W3),"")</f>
        <v>0</v>
      </c>
    </row>
    <row r="30" spans="1:24">
      <c r="A30" s="3" t="s">
        <v>53</v>
      </c>
      <c r="B30">
        <f>IFERROR(IF(B4="","",B4/A4),"")</f>
        <v>0</v>
      </c>
      <c r="C30">
        <f>IFERROR(IF(C4="","",C4/B4),"")</f>
        <v>0</v>
      </c>
      <c r="D30">
        <f>IFERROR(IF(D4="","",D4/C4),"")</f>
        <v>0</v>
      </c>
      <c r="E30">
        <f>IFERROR(IF(E4="","",E4/D4),"")</f>
        <v>0</v>
      </c>
      <c r="F30">
        <f>IFERROR(IF(F4="","",F4/E4),"")</f>
        <v>0</v>
      </c>
      <c r="G30">
        <f>IFERROR(IF(G4="","",G4/F4),"")</f>
        <v>0</v>
      </c>
      <c r="H30">
        <f>IFERROR(IF(H4="","",H4/G4),"")</f>
        <v>0</v>
      </c>
      <c r="I30">
        <f>IFERROR(IF(I4="","",I4/H4),"")</f>
        <v>0</v>
      </c>
      <c r="J30">
        <f>IFERROR(IF(J4="","",J4/I4),"")</f>
        <v>0</v>
      </c>
      <c r="K30">
        <f>IFERROR(IF(K4="","",K4/J4),"")</f>
        <v>0</v>
      </c>
      <c r="L30">
        <f>IFERROR(IF(L4="","",L4/K4),"")</f>
        <v>0</v>
      </c>
      <c r="M30">
        <f>IFERROR(IF(M4="","",M4/L4),"")</f>
        <v>0</v>
      </c>
      <c r="N30">
        <f>IFERROR(IF(N4="","",N4/M4),"")</f>
        <v>0</v>
      </c>
      <c r="O30">
        <f>IFERROR(IF(O4="","",O4/N4),"")</f>
        <v>0</v>
      </c>
      <c r="P30">
        <f>IFERROR(IF(P4="","",P4/O4),"")</f>
        <v>0</v>
      </c>
      <c r="Q30">
        <f>IFERROR(IF(Q4="","",Q4/P4),"")</f>
        <v>0</v>
      </c>
      <c r="R30">
        <f>IFERROR(IF(R4="","",R4/Q4),"")</f>
        <v>0</v>
      </c>
      <c r="S30">
        <f>IFERROR(IF(S4="","",S4/R4),"")</f>
        <v>0</v>
      </c>
      <c r="T30">
        <f>IFERROR(IF(T4="","",T4/S4),"")</f>
        <v>0</v>
      </c>
      <c r="U30">
        <f>IFERROR(IF(U4="","",U4/T4),"")</f>
        <v>0</v>
      </c>
      <c r="V30">
        <f>IFERROR(IF(V4="","",V4/U4),"")</f>
        <v>0</v>
      </c>
      <c r="W30">
        <f>IFERROR(IF(W4="","",W4/V4),"")</f>
        <v>0</v>
      </c>
      <c r="X30">
        <f>IFERROR(IF(X4="","",X4/W4),"")</f>
        <v>0</v>
      </c>
    </row>
    <row r="31" spans="1:24">
      <c r="A31" s="3" t="s">
        <v>54</v>
      </c>
      <c r="B31">
        <f>IFERROR(IF(B5="","",B5/A5),"")</f>
        <v>0</v>
      </c>
      <c r="C31">
        <f>IFERROR(IF(C5="","",C5/B5),"")</f>
        <v>0</v>
      </c>
      <c r="D31">
        <f>IFERROR(IF(D5="","",D5/C5),"")</f>
        <v>0</v>
      </c>
      <c r="E31">
        <f>IFERROR(IF(E5="","",E5/D5),"")</f>
        <v>0</v>
      </c>
      <c r="F31">
        <f>IFERROR(IF(F5="","",F5/E5),"")</f>
        <v>0</v>
      </c>
      <c r="G31">
        <f>IFERROR(IF(G5="","",G5/F5),"")</f>
        <v>0</v>
      </c>
      <c r="H31">
        <f>IFERROR(IF(H5="","",H5/G5),"")</f>
        <v>0</v>
      </c>
      <c r="I31">
        <f>IFERROR(IF(I5="","",I5/H5),"")</f>
        <v>0</v>
      </c>
      <c r="J31">
        <f>IFERROR(IF(J5="","",J5/I5),"")</f>
        <v>0</v>
      </c>
      <c r="K31">
        <f>IFERROR(IF(K5="","",K5/J5),"")</f>
        <v>0</v>
      </c>
      <c r="L31">
        <f>IFERROR(IF(L5="","",L5/K5),"")</f>
        <v>0</v>
      </c>
      <c r="M31">
        <f>IFERROR(IF(M5="","",M5/L5),"")</f>
        <v>0</v>
      </c>
      <c r="N31">
        <f>IFERROR(IF(N5="","",N5/M5),"")</f>
        <v>0</v>
      </c>
      <c r="O31">
        <f>IFERROR(IF(O5="","",O5/N5),"")</f>
        <v>0</v>
      </c>
      <c r="P31">
        <f>IFERROR(IF(P5="","",P5/O5),"")</f>
        <v>0</v>
      </c>
      <c r="Q31">
        <f>IFERROR(IF(Q5="","",Q5/P5),"")</f>
        <v>0</v>
      </c>
      <c r="R31">
        <f>IFERROR(IF(R5="","",R5/Q5),"")</f>
        <v>0</v>
      </c>
      <c r="S31">
        <f>IFERROR(IF(S5="","",S5/R5),"")</f>
        <v>0</v>
      </c>
      <c r="T31">
        <f>IFERROR(IF(T5="","",T5/S5),"")</f>
        <v>0</v>
      </c>
      <c r="U31">
        <f>IFERROR(IF(U5="","",U5/T5),"")</f>
        <v>0</v>
      </c>
      <c r="V31">
        <f>IFERROR(IF(V5="","",V5/U5),"")</f>
        <v>0</v>
      </c>
      <c r="W31">
        <f>IFERROR(IF(W5="","",W5/V5),"")</f>
        <v>0</v>
      </c>
      <c r="X31">
        <f>IFERROR(IF(X5="","",X5/W5),"")</f>
        <v>0</v>
      </c>
    </row>
    <row r="32" spans="1:24">
      <c r="A32" s="3" t="s">
        <v>55</v>
      </c>
      <c r="B32">
        <f>IFERROR(IF(B6="","",B6/A6),"")</f>
        <v>0</v>
      </c>
      <c r="C32">
        <f>IFERROR(IF(C6="","",C6/B6),"")</f>
        <v>0</v>
      </c>
      <c r="D32">
        <f>IFERROR(IF(D6="","",D6/C6),"")</f>
        <v>0</v>
      </c>
      <c r="E32">
        <f>IFERROR(IF(E6="","",E6/D6),"")</f>
        <v>0</v>
      </c>
      <c r="F32">
        <f>IFERROR(IF(F6="","",F6/E6),"")</f>
        <v>0</v>
      </c>
      <c r="G32">
        <f>IFERROR(IF(G6="","",G6/F6),"")</f>
        <v>0</v>
      </c>
      <c r="H32">
        <f>IFERROR(IF(H6="","",H6/G6),"")</f>
        <v>0</v>
      </c>
      <c r="I32">
        <f>IFERROR(IF(I6="","",I6/H6),"")</f>
        <v>0</v>
      </c>
      <c r="J32">
        <f>IFERROR(IF(J6="","",J6/I6),"")</f>
        <v>0</v>
      </c>
      <c r="K32">
        <f>IFERROR(IF(K6="","",K6/J6),"")</f>
        <v>0</v>
      </c>
      <c r="L32">
        <f>IFERROR(IF(L6="","",L6/K6),"")</f>
        <v>0</v>
      </c>
      <c r="M32">
        <f>IFERROR(IF(M6="","",M6/L6),"")</f>
        <v>0</v>
      </c>
      <c r="N32">
        <f>IFERROR(IF(N6="","",N6/M6),"")</f>
        <v>0</v>
      </c>
      <c r="O32">
        <f>IFERROR(IF(O6="","",O6/N6),"")</f>
        <v>0</v>
      </c>
      <c r="P32">
        <f>IFERROR(IF(P6="","",P6/O6),"")</f>
        <v>0</v>
      </c>
      <c r="Q32">
        <f>IFERROR(IF(Q6="","",Q6/P6),"")</f>
        <v>0</v>
      </c>
      <c r="R32">
        <f>IFERROR(IF(R6="","",R6/Q6),"")</f>
        <v>0</v>
      </c>
      <c r="S32">
        <f>IFERROR(IF(S6="","",S6/R6),"")</f>
        <v>0</v>
      </c>
      <c r="T32">
        <f>IFERROR(IF(T6="","",T6/S6),"")</f>
        <v>0</v>
      </c>
      <c r="U32">
        <f>IFERROR(IF(U6="","",U6/T6),"")</f>
        <v>0</v>
      </c>
      <c r="V32">
        <f>IFERROR(IF(V6="","",V6/U6),"")</f>
        <v>0</v>
      </c>
      <c r="W32">
        <f>IFERROR(IF(W6="","",W6/V6),"")</f>
        <v>0</v>
      </c>
      <c r="X32">
        <f>IFERROR(IF(X6="","",X6/W6),"")</f>
        <v>0</v>
      </c>
    </row>
    <row r="33" spans="1:24">
      <c r="A33" s="3" t="s">
        <v>56</v>
      </c>
      <c r="B33">
        <f>IFERROR(IF(B7="","",B7/A7),"")</f>
        <v>0</v>
      </c>
      <c r="C33">
        <f>IFERROR(IF(C7="","",C7/B7),"")</f>
        <v>0</v>
      </c>
      <c r="D33">
        <f>IFERROR(IF(D7="","",D7/C7),"")</f>
        <v>0</v>
      </c>
      <c r="E33">
        <f>IFERROR(IF(E7="","",E7/D7),"")</f>
        <v>0</v>
      </c>
      <c r="F33">
        <f>IFERROR(IF(F7="","",F7/E7),"")</f>
        <v>0</v>
      </c>
      <c r="G33">
        <f>IFERROR(IF(G7="","",G7/F7),"")</f>
        <v>0</v>
      </c>
      <c r="H33">
        <f>IFERROR(IF(H7="","",H7/G7),"")</f>
        <v>0</v>
      </c>
      <c r="I33">
        <f>IFERROR(IF(I7="","",I7/H7),"")</f>
        <v>0</v>
      </c>
      <c r="J33">
        <f>IFERROR(IF(J7="","",J7/I7),"")</f>
        <v>0</v>
      </c>
      <c r="K33">
        <f>IFERROR(IF(K7="","",K7/J7),"")</f>
        <v>0</v>
      </c>
      <c r="L33">
        <f>IFERROR(IF(L7="","",L7/K7),"")</f>
        <v>0</v>
      </c>
      <c r="M33">
        <f>IFERROR(IF(M7="","",M7/L7),"")</f>
        <v>0</v>
      </c>
      <c r="N33">
        <f>IFERROR(IF(N7="","",N7/M7),"")</f>
        <v>0</v>
      </c>
      <c r="O33">
        <f>IFERROR(IF(O7="","",O7/N7),"")</f>
        <v>0</v>
      </c>
      <c r="P33">
        <f>IFERROR(IF(P7="","",P7/O7),"")</f>
        <v>0</v>
      </c>
      <c r="Q33">
        <f>IFERROR(IF(Q7="","",Q7/P7),"")</f>
        <v>0</v>
      </c>
      <c r="R33">
        <f>IFERROR(IF(R7="","",R7/Q7),"")</f>
        <v>0</v>
      </c>
      <c r="S33">
        <f>IFERROR(IF(S7="","",S7/R7),"")</f>
        <v>0</v>
      </c>
      <c r="T33">
        <f>IFERROR(IF(T7="","",T7/S7),"")</f>
        <v>0</v>
      </c>
      <c r="U33">
        <f>IFERROR(IF(U7="","",U7/T7),"")</f>
        <v>0</v>
      </c>
      <c r="V33">
        <f>IFERROR(IF(V7="","",V7/U7),"")</f>
        <v>0</v>
      </c>
      <c r="W33">
        <f>IFERROR(IF(W7="","",W7/V7),"")</f>
        <v>0</v>
      </c>
      <c r="X33">
        <f>IFERROR(IF(X7="","",X7/W7),"")</f>
        <v>0</v>
      </c>
    </row>
    <row r="34" spans="1:24">
      <c r="A34" s="3" t="s">
        <v>57</v>
      </c>
      <c r="B34">
        <f>IFERROR(IF(B8="","",B8/A8),"")</f>
        <v>0</v>
      </c>
      <c r="C34">
        <f>IFERROR(IF(C8="","",C8/B8),"")</f>
        <v>0</v>
      </c>
      <c r="D34">
        <f>IFERROR(IF(D8="","",D8/C8),"")</f>
        <v>0</v>
      </c>
      <c r="E34">
        <f>IFERROR(IF(E8="","",E8/D8),"")</f>
        <v>0</v>
      </c>
      <c r="F34">
        <f>IFERROR(IF(F8="","",F8/E8),"")</f>
        <v>0</v>
      </c>
      <c r="G34">
        <f>IFERROR(IF(G8="","",G8/F8),"")</f>
        <v>0</v>
      </c>
      <c r="H34">
        <f>IFERROR(IF(H8="","",H8/G8),"")</f>
        <v>0</v>
      </c>
      <c r="I34">
        <f>IFERROR(IF(I8="","",I8/H8),"")</f>
        <v>0</v>
      </c>
      <c r="J34">
        <f>IFERROR(IF(J8="","",J8/I8),"")</f>
        <v>0</v>
      </c>
      <c r="K34">
        <f>IFERROR(IF(K8="","",K8/J8),"")</f>
        <v>0</v>
      </c>
      <c r="L34">
        <f>IFERROR(IF(L8="","",L8/K8),"")</f>
        <v>0</v>
      </c>
      <c r="M34">
        <f>IFERROR(IF(M8="","",M8/L8),"")</f>
        <v>0</v>
      </c>
      <c r="N34">
        <f>IFERROR(IF(N8="","",N8/M8),"")</f>
        <v>0</v>
      </c>
      <c r="O34">
        <f>IFERROR(IF(O8="","",O8/N8),"")</f>
        <v>0</v>
      </c>
      <c r="P34">
        <f>IFERROR(IF(P8="","",P8/O8),"")</f>
        <v>0</v>
      </c>
      <c r="Q34">
        <f>IFERROR(IF(Q8="","",Q8/P8),"")</f>
        <v>0</v>
      </c>
      <c r="R34">
        <f>IFERROR(IF(R8="","",R8/Q8),"")</f>
        <v>0</v>
      </c>
      <c r="S34">
        <f>IFERROR(IF(S8="","",S8/R8),"")</f>
        <v>0</v>
      </c>
      <c r="T34">
        <f>IFERROR(IF(T8="","",T8/S8),"")</f>
        <v>0</v>
      </c>
      <c r="U34">
        <f>IFERROR(IF(U8="","",U8/T8),"")</f>
        <v>0</v>
      </c>
      <c r="V34">
        <f>IFERROR(IF(V8="","",V8/U8),"")</f>
        <v>0</v>
      </c>
      <c r="W34">
        <f>IFERROR(IF(W8="","",W8/V8),"")</f>
        <v>0</v>
      </c>
      <c r="X34">
        <f>IFERROR(IF(X8="","",X8/W8),"")</f>
        <v>0</v>
      </c>
    </row>
    <row r="35" spans="1:24">
      <c r="A35" s="3" t="s">
        <v>58</v>
      </c>
      <c r="B35">
        <f>IFERROR(IF(B9="","",B9/A9),"")</f>
        <v>0</v>
      </c>
      <c r="C35">
        <f>IFERROR(IF(C9="","",C9/B9),"")</f>
        <v>0</v>
      </c>
      <c r="D35">
        <f>IFERROR(IF(D9="","",D9/C9),"")</f>
        <v>0</v>
      </c>
      <c r="E35">
        <f>IFERROR(IF(E9="","",E9/D9),"")</f>
        <v>0</v>
      </c>
      <c r="F35">
        <f>IFERROR(IF(F9="","",F9/E9),"")</f>
        <v>0</v>
      </c>
      <c r="G35">
        <f>IFERROR(IF(G9="","",G9/F9),"")</f>
        <v>0</v>
      </c>
      <c r="H35">
        <f>IFERROR(IF(H9="","",H9/G9),"")</f>
        <v>0</v>
      </c>
      <c r="I35">
        <f>IFERROR(IF(I9="","",I9/H9),"")</f>
        <v>0</v>
      </c>
      <c r="J35">
        <f>IFERROR(IF(J9="","",J9/I9),"")</f>
        <v>0</v>
      </c>
      <c r="K35">
        <f>IFERROR(IF(K9="","",K9/J9),"")</f>
        <v>0</v>
      </c>
      <c r="L35">
        <f>IFERROR(IF(L9="","",L9/K9),"")</f>
        <v>0</v>
      </c>
      <c r="M35">
        <f>IFERROR(IF(M9="","",M9/L9),"")</f>
        <v>0</v>
      </c>
      <c r="N35">
        <f>IFERROR(IF(N9="","",N9/M9),"")</f>
        <v>0</v>
      </c>
      <c r="O35">
        <f>IFERROR(IF(O9="","",O9/N9),"")</f>
        <v>0</v>
      </c>
      <c r="P35">
        <f>IFERROR(IF(P9="","",P9/O9),"")</f>
        <v>0</v>
      </c>
      <c r="Q35">
        <f>IFERROR(IF(Q9="","",Q9/P9),"")</f>
        <v>0</v>
      </c>
      <c r="R35">
        <f>IFERROR(IF(R9="","",R9/Q9),"")</f>
        <v>0</v>
      </c>
      <c r="S35">
        <f>IFERROR(IF(S9="","",S9/R9),"")</f>
        <v>0</v>
      </c>
      <c r="T35">
        <f>IFERROR(IF(T9="","",T9/S9),"")</f>
        <v>0</v>
      </c>
      <c r="U35">
        <f>IFERROR(IF(U9="","",U9/T9),"")</f>
        <v>0</v>
      </c>
      <c r="V35">
        <f>IFERROR(IF(V9="","",V9/U9),"")</f>
        <v>0</v>
      </c>
      <c r="W35">
        <f>IFERROR(IF(W9="","",W9/V9),"")</f>
        <v>0</v>
      </c>
      <c r="X35">
        <f>IFERROR(IF(X9="","",X9/W9),"")</f>
        <v>0</v>
      </c>
    </row>
    <row r="36" spans="1:24">
      <c r="A36" s="3" t="s">
        <v>59</v>
      </c>
      <c r="B36">
        <f>IFERROR(IF(B10="","",B10/A10),"")</f>
        <v>0</v>
      </c>
      <c r="C36">
        <f>IFERROR(IF(C10="","",C10/B10),"")</f>
        <v>0</v>
      </c>
      <c r="D36">
        <f>IFERROR(IF(D10="","",D10/C10),"")</f>
        <v>0</v>
      </c>
      <c r="E36">
        <f>IFERROR(IF(E10="","",E10/D10),"")</f>
        <v>0</v>
      </c>
      <c r="F36">
        <f>IFERROR(IF(F10="","",F10/E10),"")</f>
        <v>0</v>
      </c>
      <c r="G36">
        <f>IFERROR(IF(G10="","",G10/F10),"")</f>
        <v>0</v>
      </c>
      <c r="H36">
        <f>IFERROR(IF(H10="","",H10/G10),"")</f>
        <v>0</v>
      </c>
      <c r="I36">
        <f>IFERROR(IF(I10="","",I10/H10),"")</f>
        <v>0</v>
      </c>
      <c r="J36">
        <f>IFERROR(IF(J10="","",J10/I10),"")</f>
        <v>0</v>
      </c>
      <c r="K36">
        <f>IFERROR(IF(K10="","",K10/J10),"")</f>
        <v>0</v>
      </c>
      <c r="L36">
        <f>IFERROR(IF(L10="","",L10/K10),"")</f>
        <v>0</v>
      </c>
      <c r="M36">
        <f>IFERROR(IF(M10="","",M10/L10),"")</f>
        <v>0</v>
      </c>
      <c r="N36">
        <f>IFERROR(IF(N10="","",N10/M10),"")</f>
        <v>0</v>
      </c>
      <c r="O36">
        <f>IFERROR(IF(O10="","",O10/N10),"")</f>
        <v>0</v>
      </c>
      <c r="P36">
        <f>IFERROR(IF(P10="","",P10/O10),"")</f>
        <v>0</v>
      </c>
      <c r="Q36">
        <f>IFERROR(IF(Q10="","",Q10/P10),"")</f>
        <v>0</v>
      </c>
      <c r="R36">
        <f>IFERROR(IF(R10="","",R10/Q10),"")</f>
        <v>0</v>
      </c>
      <c r="S36">
        <f>IFERROR(IF(S10="","",S10/R10),"")</f>
        <v>0</v>
      </c>
      <c r="T36">
        <f>IFERROR(IF(T10="","",T10/S10),"")</f>
        <v>0</v>
      </c>
      <c r="U36">
        <f>IFERROR(IF(U10="","",U10/T10),"")</f>
        <v>0</v>
      </c>
      <c r="V36">
        <f>IFERROR(IF(V10="","",V10/U10),"")</f>
        <v>0</v>
      </c>
      <c r="W36">
        <f>IFERROR(IF(W10="","",W10/V10),"")</f>
        <v>0</v>
      </c>
      <c r="X36">
        <f>IFERROR(IF(X10="","",X10/W10),"")</f>
        <v>0</v>
      </c>
    </row>
    <row r="37" spans="1:24">
      <c r="A37" s="3" t="s">
        <v>60</v>
      </c>
      <c r="B37">
        <f>IFERROR(IF(B11="","",B11/A11),"")</f>
        <v>0</v>
      </c>
      <c r="C37">
        <f>IFERROR(IF(C11="","",C11/B11),"")</f>
        <v>0</v>
      </c>
      <c r="D37">
        <f>IFERROR(IF(D11="","",D11/C11),"")</f>
        <v>0</v>
      </c>
      <c r="E37">
        <f>IFERROR(IF(E11="","",E11/D11),"")</f>
        <v>0</v>
      </c>
      <c r="F37">
        <f>IFERROR(IF(F11="","",F11/E11),"")</f>
        <v>0</v>
      </c>
      <c r="G37">
        <f>IFERROR(IF(G11="","",G11/F11),"")</f>
        <v>0</v>
      </c>
      <c r="H37">
        <f>IFERROR(IF(H11="","",H11/G11),"")</f>
        <v>0</v>
      </c>
      <c r="I37">
        <f>IFERROR(IF(I11="","",I11/H11),"")</f>
        <v>0</v>
      </c>
      <c r="J37">
        <f>IFERROR(IF(J11="","",J11/I11),"")</f>
        <v>0</v>
      </c>
      <c r="K37">
        <f>IFERROR(IF(K11="","",K11/J11),"")</f>
        <v>0</v>
      </c>
      <c r="L37">
        <f>IFERROR(IF(L11="","",L11/K11),"")</f>
        <v>0</v>
      </c>
      <c r="M37">
        <f>IFERROR(IF(M11="","",M11/L11),"")</f>
        <v>0</v>
      </c>
      <c r="N37">
        <f>IFERROR(IF(N11="","",N11/M11),"")</f>
        <v>0</v>
      </c>
      <c r="O37">
        <f>IFERROR(IF(O11="","",O11/N11),"")</f>
        <v>0</v>
      </c>
      <c r="P37">
        <f>IFERROR(IF(P11="","",P11/O11),"")</f>
        <v>0</v>
      </c>
      <c r="Q37">
        <f>IFERROR(IF(Q11="","",Q11/P11),"")</f>
        <v>0</v>
      </c>
      <c r="R37">
        <f>IFERROR(IF(R11="","",R11/Q11),"")</f>
        <v>0</v>
      </c>
      <c r="S37">
        <f>IFERROR(IF(S11="","",S11/R11),"")</f>
        <v>0</v>
      </c>
      <c r="T37">
        <f>IFERROR(IF(T11="","",T11/S11),"")</f>
        <v>0</v>
      </c>
      <c r="U37">
        <f>IFERROR(IF(U11="","",U11/T11),"")</f>
        <v>0</v>
      </c>
      <c r="V37">
        <f>IFERROR(IF(V11="","",V11/U11),"")</f>
        <v>0</v>
      </c>
      <c r="W37">
        <f>IFERROR(IF(W11="","",W11/V11),"")</f>
        <v>0</v>
      </c>
      <c r="X37">
        <f>IFERROR(IF(X11="","",X11/W11),"")</f>
        <v>0</v>
      </c>
    </row>
    <row r="38" spans="1:24">
      <c r="A38" s="3" t="s">
        <v>61</v>
      </c>
      <c r="B38">
        <f>IFERROR(IF(B12="","",B12/A12),"")</f>
        <v>0</v>
      </c>
      <c r="C38">
        <f>IFERROR(IF(C12="","",C12/B12),"")</f>
        <v>0</v>
      </c>
      <c r="D38">
        <f>IFERROR(IF(D12="","",D12/C12),"")</f>
        <v>0</v>
      </c>
      <c r="E38">
        <f>IFERROR(IF(E12="","",E12/D12),"")</f>
        <v>0</v>
      </c>
      <c r="F38">
        <f>IFERROR(IF(F12="","",F12/E12),"")</f>
        <v>0</v>
      </c>
      <c r="G38">
        <f>IFERROR(IF(G12="","",G12/F12),"")</f>
        <v>0</v>
      </c>
      <c r="H38">
        <f>IFERROR(IF(H12="","",H12/G12),"")</f>
        <v>0</v>
      </c>
      <c r="I38">
        <f>IFERROR(IF(I12="","",I12/H12),"")</f>
        <v>0</v>
      </c>
      <c r="J38">
        <f>IFERROR(IF(J12="","",J12/I12),"")</f>
        <v>0</v>
      </c>
      <c r="K38">
        <f>IFERROR(IF(K12="","",K12/J12),"")</f>
        <v>0</v>
      </c>
      <c r="L38">
        <f>IFERROR(IF(L12="","",L12/K12),"")</f>
        <v>0</v>
      </c>
      <c r="M38">
        <f>IFERROR(IF(M12="","",M12/L12),"")</f>
        <v>0</v>
      </c>
      <c r="N38">
        <f>IFERROR(IF(N12="","",N12/M12),"")</f>
        <v>0</v>
      </c>
      <c r="O38">
        <f>IFERROR(IF(O12="","",O12/N12),"")</f>
        <v>0</v>
      </c>
      <c r="P38">
        <f>IFERROR(IF(P12="","",P12/O12),"")</f>
        <v>0</v>
      </c>
      <c r="Q38">
        <f>IFERROR(IF(Q12="","",Q12/P12),"")</f>
        <v>0</v>
      </c>
      <c r="R38">
        <f>IFERROR(IF(R12="","",R12/Q12),"")</f>
        <v>0</v>
      </c>
      <c r="S38">
        <f>IFERROR(IF(S12="","",S12/R12),"")</f>
        <v>0</v>
      </c>
      <c r="T38">
        <f>IFERROR(IF(T12="","",T12/S12),"")</f>
        <v>0</v>
      </c>
      <c r="U38">
        <f>IFERROR(IF(U12="","",U12/T12),"")</f>
        <v>0</v>
      </c>
      <c r="V38">
        <f>IFERROR(IF(V12="","",V12/U12),"")</f>
        <v>0</v>
      </c>
      <c r="W38">
        <f>IFERROR(IF(W12="","",W12/V12),"")</f>
        <v>0</v>
      </c>
      <c r="X38">
        <f>IFERROR(IF(X12="","",X12/W12),"")</f>
        <v>0</v>
      </c>
    </row>
    <row r="39" spans="1:24">
      <c r="A39" s="3" t="s">
        <v>62</v>
      </c>
      <c r="B39">
        <f>IFERROR(IF(B13="","",B13/A13),"")</f>
        <v>0</v>
      </c>
      <c r="C39">
        <f>IFERROR(IF(C13="","",C13/B13),"")</f>
        <v>0</v>
      </c>
      <c r="D39">
        <f>IFERROR(IF(D13="","",D13/C13),"")</f>
        <v>0</v>
      </c>
      <c r="E39">
        <f>IFERROR(IF(E13="","",E13/D13),"")</f>
        <v>0</v>
      </c>
      <c r="F39">
        <f>IFERROR(IF(F13="","",F13/E13),"")</f>
        <v>0</v>
      </c>
      <c r="G39">
        <f>IFERROR(IF(G13="","",G13/F13),"")</f>
        <v>0</v>
      </c>
      <c r="H39">
        <f>IFERROR(IF(H13="","",H13/G13),"")</f>
        <v>0</v>
      </c>
      <c r="I39">
        <f>IFERROR(IF(I13="","",I13/H13),"")</f>
        <v>0</v>
      </c>
      <c r="J39">
        <f>IFERROR(IF(J13="","",J13/I13),"")</f>
        <v>0</v>
      </c>
      <c r="K39">
        <f>IFERROR(IF(K13="","",K13/J13),"")</f>
        <v>0</v>
      </c>
      <c r="L39">
        <f>IFERROR(IF(L13="","",L13/K13),"")</f>
        <v>0</v>
      </c>
      <c r="M39">
        <f>IFERROR(IF(M13="","",M13/L13),"")</f>
        <v>0</v>
      </c>
      <c r="N39">
        <f>IFERROR(IF(N13="","",N13/M13),"")</f>
        <v>0</v>
      </c>
      <c r="O39">
        <f>IFERROR(IF(O13="","",O13/N13),"")</f>
        <v>0</v>
      </c>
      <c r="P39">
        <f>IFERROR(IF(P13="","",P13/O13),"")</f>
        <v>0</v>
      </c>
      <c r="Q39">
        <f>IFERROR(IF(Q13="","",Q13/P13),"")</f>
        <v>0</v>
      </c>
      <c r="R39">
        <f>IFERROR(IF(R13="","",R13/Q13),"")</f>
        <v>0</v>
      </c>
      <c r="S39">
        <f>IFERROR(IF(S13="","",S13/R13),"")</f>
        <v>0</v>
      </c>
      <c r="T39">
        <f>IFERROR(IF(T13="","",T13/S13),"")</f>
        <v>0</v>
      </c>
      <c r="U39">
        <f>IFERROR(IF(U13="","",U13/T13),"")</f>
        <v>0</v>
      </c>
      <c r="V39">
        <f>IFERROR(IF(V13="","",V13/U13),"")</f>
        <v>0</v>
      </c>
      <c r="W39">
        <f>IFERROR(IF(W13="","",W13/V13),"")</f>
        <v>0</v>
      </c>
      <c r="X39">
        <f>IFERROR(IF(X13="","",X13/W13),"")</f>
        <v>0</v>
      </c>
    </row>
    <row r="40" spans="1:24">
      <c r="A40" s="3" t="s">
        <v>63</v>
      </c>
      <c r="B40">
        <f>IFERROR(IF(B14="","",B14/A14),"")</f>
        <v>0</v>
      </c>
      <c r="C40">
        <f>IFERROR(IF(C14="","",C14/B14),"")</f>
        <v>0</v>
      </c>
      <c r="D40">
        <f>IFERROR(IF(D14="","",D14/C14),"")</f>
        <v>0</v>
      </c>
      <c r="E40">
        <f>IFERROR(IF(E14="","",E14/D14),"")</f>
        <v>0</v>
      </c>
      <c r="F40">
        <f>IFERROR(IF(F14="","",F14/E14),"")</f>
        <v>0</v>
      </c>
      <c r="G40">
        <f>IFERROR(IF(G14="","",G14/F14),"")</f>
        <v>0</v>
      </c>
      <c r="H40">
        <f>IFERROR(IF(H14="","",H14/G14),"")</f>
        <v>0</v>
      </c>
      <c r="I40">
        <f>IFERROR(IF(I14="","",I14/H14),"")</f>
        <v>0</v>
      </c>
      <c r="J40">
        <f>IFERROR(IF(J14="","",J14/I14),"")</f>
        <v>0</v>
      </c>
      <c r="K40">
        <f>IFERROR(IF(K14="","",K14/J14),"")</f>
        <v>0</v>
      </c>
      <c r="L40">
        <f>IFERROR(IF(L14="","",L14/K14),"")</f>
        <v>0</v>
      </c>
      <c r="M40">
        <f>IFERROR(IF(M14="","",M14/L14),"")</f>
        <v>0</v>
      </c>
      <c r="N40">
        <f>IFERROR(IF(N14="","",N14/M14),"")</f>
        <v>0</v>
      </c>
      <c r="O40">
        <f>IFERROR(IF(O14="","",O14/N14),"")</f>
        <v>0</v>
      </c>
      <c r="P40">
        <f>IFERROR(IF(P14="","",P14/O14),"")</f>
        <v>0</v>
      </c>
      <c r="Q40">
        <f>IFERROR(IF(Q14="","",Q14/P14),"")</f>
        <v>0</v>
      </c>
      <c r="R40">
        <f>IFERROR(IF(R14="","",R14/Q14),"")</f>
        <v>0</v>
      </c>
      <c r="S40">
        <f>IFERROR(IF(S14="","",S14/R14),"")</f>
        <v>0</v>
      </c>
      <c r="T40">
        <f>IFERROR(IF(T14="","",T14/S14),"")</f>
        <v>0</v>
      </c>
      <c r="U40">
        <f>IFERROR(IF(U14="","",U14/T14),"")</f>
        <v>0</v>
      </c>
      <c r="V40">
        <f>IFERROR(IF(V14="","",V14/U14),"")</f>
        <v>0</v>
      </c>
      <c r="W40">
        <f>IFERROR(IF(W14="","",W14/V14),"")</f>
        <v>0</v>
      </c>
      <c r="X40">
        <f>IFERROR(IF(X14="","",X14/W14),"")</f>
        <v>0</v>
      </c>
    </row>
    <row r="41" spans="1:24">
      <c r="A41" s="3" t="s">
        <v>64</v>
      </c>
      <c r="B41">
        <f>IFERROR(IF(B15="","",B15/A15),"")</f>
        <v>0</v>
      </c>
      <c r="C41">
        <f>IFERROR(IF(C15="","",C15/B15),"")</f>
        <v>0</v>
      </c>
      <c r="D41">
        <f>IFERROR(IF(D15="","",D15/C15),"")</f>
        <v>0</v>
      </c>
      <c r="E41">
        <f>IFERROR(IF(E15="","",E15/D15),"")</f>
        <v>0</v>
      </c>
      <c r="F41">
        <f>IFERROR(IF(F15="","",F15/E15),"")</f>
        <v>0</v>
      </c>
      <c r="G41">
        <f>IFERROR(IF(G15="","",G15/F15),"")</f>
        <v>0</v>
      </c>
      <c r="H41">
        <f>IFERROR(IF(H15="","",H15/G15),"")</f>
        <v>0</v>
      </c>
      <c r="I41">
        <f>IFERROR(IF(I15="","",I15/H15),"")</f>
        <v>0</v>
      </c>
      <c r="J41">
        <f>IFERROR(IF(J15="","",J15/I15),"")</f>
        <v>0</v>
      </c>
      <c r="K41">
        <f>IFERROR(IF(K15="","",K15/J15),"")</f>
        <v>0</v>
      </c>
      <c r="L41">
        <f>IFERROR(IF(L15="","",L15/K15),"")</f>
        <v>0</v>
      </c>
      <c r="M41">
        <f>IFERROR(IF(M15="","",M15/L15),"")</f>
        <v>0</v>
      </c>
      <c r="N41">
        <f>IFERROR(IF(N15="","",N15/M15),"")</f>
        <v>0</v>
      </c>
      <c r="O41">
        <f>IFERROR(IF(O15="","",O15/N15),"")</f>
        <v>0</v>
      </c>
      <c r="P41">
        <f>IFERROR(IF(P15="","",P15/O15),"")</f>
        <v>0</v>
      </c>
      <c r="Q41">
        <f>IFERROR(IF(Q15="","",Q15/P15),"")</f>
        <v>0</v>
      </c>
      <c r="R41">
        <f>IFERROR(IF(R15="","",R15/Q15),"")</f>
        <v>0</v>
      </c>
      <c r="S41">
        <f>IFERROR(IF(S15="","",S15/R15),"")</f>
        <v>0</v>
      </c>
      <c r="T41">
        <f>IFERROR(IF(T15="","",T15/S15),"")</f>
        <v>0</v>
      </c>
      <c r="U41">
        <f>IFERROR(IF(U15="","",U15/T15),"")</f>
        <v>0</v>
      </c>
      <c r="V41">
        <f>IFERROR(IF(V15="","",V15/U15),"")</f>
        <v>0</v>
      </c>
      <c r="W41">
        <f>IFERROR(IF(W15="","",W15/V15),"")</f>
        <v>0</v>
      </c>
      <c r="X41">
        <f>IFERROR(IF(X15="","",X15/W15),"")</f>
        <v>0</v>
      </c>
    </row>
    <row r="42" spans="1:24">
      <c r="A42" s="3" t="s">
        <v>65</v>
      </c>
      <c r="B42">
        <f>IFERROR(IF(B16="","",B16/A16),"")</f>
        <v>0</v>
      </c>
      <c r="C42">
        <f>IFERROR(IF(C16="","",C16/B16),"")</f>
        <v>0</v>
      </c>
      <c r="D42">
        <f>IFERROR(IF(D16="","",D16/C16),"")</f>
        <v>0</v>
      </c>
      <c r="E42">
        <f>IFERROR(IF(E16="","",E16/D16),"")</f>
        <v>0</v>
      </c>
      <c r="F42">
        <f>IFERROR(IF(F16="","",F16/E16),"")</f>
        <v>0</v>
      </c>
      <c r="G42">
        <f>IFERROR(IF(G16="","",G16/F16),"")</f>
        <v>0</v>
      </c>
      <c r="H42">
        <f>IFERROR(IF(H16="","",H16/G16),"")</f>
        <v>0</v>
      </c>
      <c r="I42">
        <f>IFERROR(IF(I16="","",I16/H16),"")</f>
        <v>0</v>
      </c>
      <c r="J42">
        <f>IFERROR(IF(J16="","",J16/I16),"")</f>
        <v>0</v>
      </c>
      <c r="K42">
        <f>IFERROR(IF(K16="","",K16/J16),"")</f>
        <v>0</v>
      </c>
      <c r="L42">
        <f>IFERROR(IF(L16="","",L16/K16),"")</f>
        <v>0</v>
      </c>
      <c r="M42">
        <f>IFERROR(IF(M16="","",M16/L16),"")</f>
        <v>0</v>
      </c>
      <c r="N42">
        <f>IFERROR(IF(N16="","",N16/M16),"")</f>
        <v>0</v>
      </c>
      <c r="O42">
        <f>IFERROR(IF(O16="","",O16/N16),"")</f>
        <v>0</v>
      </c>
      <c r="P42">
        <f>IFERROR(IF(P16="","",P16/O16),"")</f>
        <v>0</v>
      </c>
      <c r="Q42">
        <f>IFERROR(IF(Q16="","",Q16/P16),"")</f>
        <v>0</v>
      </c>
      <c r="R42">
        <f>IFERROR(IF(R16="","",R16/Q16),"")</f>
        <v>0</v>
      </c>
      <c r="S42">
        <f>IFERROR(IF(S16="","",S16/R16),"")</f>
        <v>0</v>
      </c>
      <c r="T42">
        <f>IFERROR(IF(T16="","",T16/S16),"")</f>
        <v>0</v>
      </c>
      <c r="U42">
        <f>IFERROR(IF(U16="","",U16/T16),"")</f>
        <v>0</v>
      </c>
      <c r="V42">
        <f>IFERROR(IF(V16="","",V16/U16),"")</f>
        <v>0</v>
      </c>
      <c r="W42">
        <f>IFERROR(IF(W16="","",W16/V16),"")</f>
        <v>0</v>
      </c>
      <c r="X42">
        <f>IFERROR(IF(X16="","",X16/W16),"")</f>
        <v>0</v>
      </c>
    </row>
    <row r="43" spans="1:24">
      <c r="A43" s="3" t="s">
        <v>66</v>
      </c>
      <c r="B43">
        <f>IFERROR(IF(B17="","",B17/A17),"")</f>
        <v>0</v>
      </c>
      <c r="C43">
        <f>IFERROR(IF(C17="","",C17/B17),"")</f>
        <v>0</v>
      </c>
      <c r="D43">
        <f>IFERROR(IF(D17="","",D17/C17),"")</f>
        <v>0</v>
      </c>
      <c r="E43">
        <f>IFERROR(IF(E17="","",E17/D17),"")</f>
        <v>0</v>
      </c>
      <c r="F43">
        <f>IFERROR(IF(F17="","",F17/E17),"")</f>
        <v>0</v>
      </c>
      <c r="G43">
        <f>IFERROR(IF(G17="","",G17/F17),"")</f>
        <v>0</v>
      </c>
      <c r="H43">
        <f>IFERROR(IF(H17="","",H17/G17),"")</f>
        <v>0</v>
      </c>
      <c r="I43">
        <f>IFERROR(IF(I17="","",I17/H17),"")</f>
        <v>0</v>
      </c>
      <c r="J43">
        <f>IFERROR(IF(J17="","",J17/I17),"")</f>
        <v>0</v>
      </c>
      <c r="K43">
        <f>IFERROR(IF(K17="","",K17/J17),"")</f>
        <v>0</v>
      </c>
      <c r="L43">
        <f>IFERROR(IF(L17="","",L17/K17),"")</f>
        <v>0</v>
      </c>
      <c r="M43">
        <f>IFERROR(IF(M17="","",M17/L17),"")</f>
        <v>0</v>
      </c>
      <c r="N43">
        <f>IFERROR(IF(N17="","",N17/M17),"")</f>
        <v>0</v>
      </c>
      <c r="O43">
        <f>IFERROR(IF(O17="","",O17/N17),"")</f>
        <v>0</v>
      </c>
      <c r="P43">
        <f>IFERROR(IF(P17="","",P17/O17),"")</f>
        <v>0</v>
      </c>
      <c r="Q43">
        <f>IFERROR(IF(Q17="","",Q17/P17),"")</f>
        <v>0</v>
      </c>
      <c r="R43">
        <f>IFERROR(IF(R17="","",R17/Q17),"")</f>
        <v>0</v>
      </c>
      <c r="S43">
        <f>IFERROR(IF(S17="","",S17/R17),"")</f>
        <v>0</v>
      </c>
      <c r="T43">
        <f>IFERROR(IF(T17="","",T17/S17),"")</f>
        <v>0</v>
      </c>
      <c r="U43">
        <f>IFERROR(IF(U17="","",U17/T17),"")</f>
        <v>0</v>
      </c>
      <c r="V43">
        <f>IFERROR(IF(V17="","",V17/U17),"")</f>
        <v>0</v>
      </c>
      <c r="W43">
        <f>IFERROR(IF(W17="","",W17/V17),"")</f>
        <v>0</v>
      </c>
      <c r="X43">
        <f>IFERROR(IF(X17="","",X17/W17),"")</f>
        <v>0</v>
      </c>
    </row>
    <row r="44" spans="1:24">
      <c r="A44" s="3" t="s">
        <v>67</v>
      </c>
      <c r="B44">
        <f>IFERROR(IF(B18="","",B18/A18),"")</f>
        <v>0</v>
      </c>
      <c r="C44">
        <f>IFERROR(IF(C18="","",C18/B18),"")</f>
        <v>0</v>
      </c>
      <c r="D44">
        <f>IFERROR(IF(D18="","",D18/C18),"")</f>
        <v>0</v>
      </c>
      <c r="E44">
        <f>IFERROR(IF(E18="","",E18/D18),"")</f>
        <v>0</v>
      </c>
      <c r="F44">
        <f>IFERROR(IF(F18="","",F18/E18),"")</f>
        <v>0</v>
      </c>
      <c r="G44">
        <f>IFERROR(IF(G18="","",G18/F18),"")</f>
        <v>0</v>
      </c>
      <c r="H44">
        <f>IFERROR(IF(H18="","",H18/G18),"")</f>
        <v>0</v>
      </c>
      <c r="I44">
        <f>IFERROR(IF(I18="","",I18/H18),"")</f>
        <v>0</v>
      </c>
      <c r="J44">
        <f>IFERROR(IF(J18="","",J18/I18),"")</f>
        <v>0</v>
      </c>
      <c r="K44">
        <f>IFERROR(IF(K18="","",K18/J18),"")</f>
        <v>0</v>
      </c>
      <c r="L44">
        <f>IFERROR(IF(L18="","",L18/K18),"")</f>
        <v>0</v>
      </c>
      <c r="M44">
        <f>IFERROR(IF(M18="","",M18/L18),"")</f>
        <v>0</v>
      </c>
      <c r="N44">
        <f>IFERROR(IF(N18="","",N18/M18),"")</f>
        <v>0</v>
      </c>
      <c r="O44">
        <f>IFERROR(IF(O18="","",O18/N18),"")</f>
        <v>0</v>
      </c>
      <c r="P44">
        <f>IFERROR(IF(P18="","",P18/O18),"")</f>
        <v>0</v>
      </c>
      <c r="Q44">
        <f>IFERROR(IF(Q18="","",Q18/P18),"")</f>
        <v>0</v>
      </c>
      <c r="R44">
        <f>IFERROR(IF(R18="","",R18/Q18),"")</f>
        <v>0</v>
      </c>
      <c r="S44">
        <f>IFERROR(IF(S18="","",S18/R18),"")</f>
        <v>0</v>
      </c>
      <c r="T44">
        <f>IFERROR(IF(T18="","",T18/S18),"")</f>
        <v>0</v>
      </c>
      <c r="U44">
        <f>IFERROR(IF(U18="","",U18/T18),"")</f>
        <v>0</v>
      </c>
      <c r="V44">
        <f>IFERROR(IF(V18="","",V18/U18),"")</f>
        <v>0</v>
      </c>
      <c r="W44">
        <f>IFERROR(IF(W18="","",W18/V18),"")</f>
        <v>0</v>
      </c>
      <c r="X44">
        <f>IFERROR(IF(X18="","",X18/W18),"")</f>
        <v>0</v>
      </c>
    </row>
    <row r="45" spans="1:24">
      <c r="A45" s="3" t="s">
        <v>68</v>
      </c>
      <c r="B45">
        <f>IFERROR(IF(B19="","",B19/A19),"")</f>
        <v>0</v>
      </c>
      <c r="C45">
        <f>IFERROR(IF(C19="","",C19/B19),"")</f>
        <v>0</v>
      </c>
      <c r="D45">
        <f>IFERROR(IF(D19="","",D19/C19),"")</f>
        <v>0</v>
      </c>
      <c r="E45">
        <f>IFERROR(IF(E19="","",E19/D19),"")</f>
        <v>0</v>
      </c>
      <c r="F45">
        <f>IFERROR(IF(F19="","",F19/E19),"")</f>
        <v>0</v>
      </c>
      <c r="G45">
        <f>IFERROR(IF(G19="","",G19/F19),"")</f>
        <v>0</v>
      </c>
      <c r="H45">
        <f>IFERROR(IF(H19="","",H19/G19),"")</f>
        <v>0</v>
      </c>
      <c r="I45">
        <f>IFERROR(IF(I19="","",I19/H19),"")</f>
        <v>0</v>
      </c>
      <c r="J45">
        <f>IFERROR(IF(J19="","",J19/I19),"")</f>
        <v>0</v>
      </c>
      <c r="K45">
        <f>IFERROR(IF(K19="","",K19/J19),"")</f>
        <v>0</v>
      </c>
      <c r="L45">
        <f>IFERROR(IF(L19="","",L19/K19),"")</f>
        <v>0</v>
      </c>
      <c r="M45">
        <f>IFERROR(IF(M19="","",M19/L19),"")</f>
        <v>0</v>
      </c>
      <c r="N45">
        <f>IFERROR(IF(N19="","",N19/M19),"")</f>
        <v>0</v>
      </c>
      <c r="O45">
        <f>IFERROR(IF(O19="","",O19/N19),"")</f>
        <v>0</v>
      </c>
      <c r="P45">
        <f>IFERROR(IF(P19="","",P19/O19),"")</f>
        <v>0</v>
      </c>
      <c r="Q45">
        <f>IFERROR(IF(Q19="","",Q19/P19),"")</f>
        <v>0</v>
      </c>
      <c r="R45">
        <f>IFERROR(IF(R19="","",R19/Q19),"")</f>
        <v>0</v>
      </c>
      <c r="S45">
        <f>IFERROR(IF(S19="","",S19/R19),"")</f>
        <v>0</v>
      </c>
      <c r="T45">
        <f>IFERROR(IF(T19="","",T19/S19),"")</f>
        <v>0</v>
      </c>
      <c r="U45">
        <f>IFERROR(IF(U19="","",U19/T19),"")</f>
        <v>0</v>
      </c>
      <c r="V45">
        <f>IFERROR(IF(V19="","",V19/U19),"")</f>
        <v>0</v>
      </c>
      <c r="W45">
        <f>IFERROR(IF(W19="","",W19/V19),"")</f>
        <v>0</v>
      </c>
      <c r="X45">
        <f>IFERROR(IF(X19="","",X19/W19),"")</f>
        <v>0</v>
      </c>
    </row>
    <row r="46" spans="1:24">
      <c r="A46" s="3" t="s">
        <v>69</v>
      </c>
      <c r="B46">
        <f>IFERROR(IF(B20="","",B20/A20),"")</f>
        <v>0</v>
      </c>
      <c r="C46">
        <f>IFERROR(IF(C20="","",C20/B20),"")</f>
        <v>0</v>
      </c>
      <c r="D46">
        <f>IFERROR(IF(D20="","",D20/C20),"")</f>
        <v>0</v>
      </c>
      <c r="E46">
        <f>IFERROR(IF(E20="","",E20/D20),"")</f>
        <v>0</v>
      </c>
      <c r="F46">
        <f>IFERROR(IF(F20="","",F20/E20),"")</f>
        <v>0</v>
      </c>
      <c r="G46">
        <f>IFERROR(IF(G20="","",G20/F20),"")</f>
        <v>0</v>
      </c>
      <c r="H46">
        <f>IFERROR(IF(H20="","",H20/G20),"")</f>
        <v>0</v>
      </c>
      <c r="I46">
        <f>IFERROR(IF(I20="","",I20/H20),"")</f>
        <v>0</v>
      </c>
      <c r="J46">
        <f>IFERROR(IF(J20="","",J20/I20),"")</f>
        <v>0</v>
      </c>
      <c r="K46">
        <f>IFERROR(IF(K20="","",K20/J20),"")</f>
        <v>0</v>
      </c>
      <c r="L46">
        <f>IFERROR(IF(L20="","",L20/K20),"")</f>
        <v>0</v>
      </c>
      <c r="M46">
        <f>IFERROR(IF(M20="","",M20/L20),"")</f>
        <v>0</v>
      </c>
      <c r="N46">
        <f>IFERROR(IF(N20="","",N20/M20),"")</f>
        <v>0</v>
      </c>
      <c r="O46">
        <f>IFERROR(IF(O20="","",O20/N20),"")</f>
        <v>0</v>
      </c>
      <c r="P46">
        <f>IFERROR(IF(P20="","",P20/O20),"")</f>
        <v>0</v>
      </c>
      <c r="Q46">
        <f>IFERROR(IF(Q20="","",Q20/P20),"")</f>
        <v>0</v>
      </c>
      <c r="R46">
        <f>IFERROR(IF(R20="","",R20/Q20),"")</f>
        <v>0</v>
      </c>
      <c r="S46">
        <f>IFERROR(IF(S20="","",S20/R20),"")</f>
        <v>0</v>
      </c>
      <c r="T46">
        <f>IFERROR(IF(T20="","",T20/S20),"")</f>
        <v>0</v>
      </c>
      <c r="U46">
        <f>IFERROR(IF(U20="","",U20/T20),"")</f>
        <v>0</v>
      </c>
      <c r="V46">
        <f>IFERROR(IF(V20="","",V20/U20),"")</f>
        <v>0</v>
      </c>
      <c r="W46">
        <f>IFERROR(IF(W20="","",W20/V20),"")</f>
        <v>0</v>
      </c>
      <c r="X46">
        <f>IFERROR(IF(X20="","",X20/W20),"")</f>
        <v>0</v>
      </c>
    </row>
    <row r="47" spans="1:24">
      <c r="A47" s="3" t="s">
        <v>70</v>
      </c>
      <c r="B47">
        <f>IFERROR(IF(B21="","",B21/A21),"")</f>
        <v>0</v>
      </c>
      <c r="C47">
        <f>IFERROR(IF(C21="","",C21/B21),"")</f>
        <v>0</v>
      </c>
      <c r="D47">
        <f>IFERROR(IF(D21="","",D21/C21),"")</f>
        <v>0</v>
      </c>
      <c r="E47">
        <f>IFERROR(IF(E21="","",E21/D21),"")</f>
        <v>0</v>
      </c>
      <c r="F47">
        <f>IFERROR(IF(F21="","",F21/E21),"")</f>
        <v>0</v>
      </c>
      <c r="G47">
        <f>IFERROR(IF(G21="","",G21/F21),"")</f>
        <v>0</v>
      </c>
      <c r="H47">
        <f>IFERROR(IF(H21="","",H21/G21),"")</f>
        <v>0</v>
      </c>
      <c r="I47">
        <f>IFERROR(IF(I21="","",I21/H21),"")</f>
        <v>0</v>
      </c>
      <c r="J47">
        <f>IFERROR(IF(J21="","",J21/I21),"")</f>
        <v>0</v>
      </c>
      <c r="K47">
        <f>IFERROR(IF(K21="","",K21/J21),"")</f>
        <v>0</v>
      </c>
      <c r="L47">
        <f>IFERROR(IF(L21="","",L21/K21),"")</f>
        <v>0</v>
      </c>
      <c r="M47">
        <f>IFERROR(IF(M21="","",M21/L21),"")</f>
        <v>0</v>
      </c>
      <c r="N47">
        <f>IFERROR(IF(N21="","",N21/M21),"")</f>
        <v>0</v>
      </c>
      <c r="O47">
        <f>IFERROR(IF(O21="","",O21/N21),"")</f>
        <v>0</v>
      </c>
      <c r="P47">
        <f>IFERROR(IF(P21="","",P21/O21),"")</f>
        <v>0</v>
      </c>
      <c r="Q47">
        <f>IFERROR(IF(Q21="","",Q21/P21),"")</f>
        <v>0</v>
      </c>
      <c r="R47">
        <f>IFERROR(IF(R21="","",R21/Q21),"")</f>
        <v>0</v>
      </c>
      <c r="S47">
        <f>IFERROR(IF(S21="","",S21/R21),"")</f>
        <v>0</v>
      </c>
      <c r="T47">
        <f>IFERROR(IF(T21="","",T21/S21),"")</f>
        <v>0</v>
      </c>
      <c r="U47">
        <f>IFERROR(IF(U21="","",U21/T21),"")</f>
        <v>0</v>
      </c>
      <c r="V47">
        <f>IFERROR(IF(V21="","",V21/U21),"")</f>
        <v>0</v>
      </c>
      <c r="W47">
        <f>IFERROR(IF(W21="","",W21/V21),"")</f>
        <v>0</v>
      </c>
      <c r="X47">
        <f>IFERROR(IF(X21="","",X21/W21),"")</f>
        <v>0</v>
      </c>
    </row>
    <row r="48" spans="1:24">
      <c r="A48" s="3" t="s">
        <v>71</v>
      </c>
      <c r="B48">
        <f>IFERROR(IF(B22="","",B22/A22),"")</f>
        <v>0</v>
      </c>
      <c r="C48">
        <f>IFERROR(IF(C22="","",C22/B22),"")</f>
        <v>0</v>
      </c>
      <c r="D48">
        <f>IFERROR(IF(D22="","",D22/C22),"")</f>
        <v>0</v>
      </c>
      <c r="E48">
        <f>IFERROR(IF(E22="","",E22/D22),"")</f>
        <v>0</v>
      </c>
      <c r="F48">
        <f>IFERROR(IF(F22="","",F22/E22),"")</f>
        <v>0</v>
      </c>
      <c r="G48">
        <f>IFERROR(IF(G22="","",G22/F22),"")</f>
        <v>0</v>
      </c>
      <c r="H48">
        <f>IFERROR(IF(H22="","",H22/G22),"")</f>
        <v>0</v>
      </c>
      <c r="I48">
        <f>IFERROR(IF(I22="","",I22/H22),"")</f>
        <v>0</v>
      </c>
      <c r="J48">
        <f>IFERROR(IF(J22="","",J22/I22),"")</f>
        <v>0</v>
      </c>
      <c r="K48">
        <f>IFERROR(IF(K22="","",K22/J22),"")</f>
        <v>0</v>
      </c>
      <c r="L48">
        <f>IFERROR(IF(L22="","",L22/K22),"")</f>
        <v>0</v>
      </c>
      <c r="M48">
        <f>IFERROR(IF(M22="","",M22/L22),"")</f>
        <v>0</v>
      </c>
      <c r="N48">
        <f>IFERROR(IF(N22="","",N22/M22),"")</f>
        <v>0</v>
      </c>
      <c r="O48">
        <f>IFERROR(IF(O22="","",O22/N22),"")</f>
        <v>0</v>
      </c>
      <c r="P48">
        <f>IFERROR(IF(P22="","",P22/O22),"")</f>
        <v>0</v>
      </c>
      <c r="Q48">
        <f>IFERROR(IF(Q22="","",Q22/P22),"")</f>
        <v>0</v>
      </c>
      <c r="R48">
        <f>IFERROR(IF(R22="","",R22/Q22),"")</f>
        <v>0</v>
      </c>
      <c r="S48">
        <f>IFERROR(IF(S22="","",S22/R22),"")</f>
        <v>0</v>
      </c>
      <c r="T48">
        <f>IFERROR(IF(T22="","",T22/S22),"")</f>
        <v>0</v>
      </c>
      <c r="U48">
        <f>IFERROR(IF(U22="","",U22/T22),"")</f>
        <v>0</v>
      </c>
      <c r="V48">
        <f>IFERROR(IF(V22="","",V22/U22),"")</f>
        <v>0</v>
      </c>
      <c r="W48">
        <f>IFERROR(IF(W22="","",W22/V22),"")</f>
        <v>0</v>
      </c>
      <c r="X48">
        <f>IFERROR(IF(X22="","",X22/W22),"")</f>
        <v>0</v>
      </c>
    </row>
    <row r="49" spans="1:25">
      <c r="A49" s="3" t="s">
        <v>72</v>
      </c>
      <c r="B49">
        <f>IFERROR(IF(B23="","",B23/A23),"")</f>
        <v>0</v>
      </c>
      <c r="C49">
        <f>IFERROR(IF(C23="","",C23/B23),"")</f>
        <v>0</v>
      </c>
      <c r="D49">
        <f>IFERROR(IF(D23="","",D23/C23),"")</f>
        <v>0</v>
      </c>
      <c r="E49">
        <f>IFERROR(IF(E23="","",E23/D23),"")</f>
        <v>0</v>
      </c>
      <c r="F49">
        <f>IFERROR(IF(F23="","",F23/E23),"")</f>
        <v>0</v>
      </c>
      <c r="G49">
        <f>IFERROR(IF(G23="","",G23/F23),"")</f>
        <v>0</v>
      </c>
      <c r="H49">
        <f>IFERROR(IF(H23="","",H23/G23),"")</f>
        <v>0</v>
      </c>
      <c r="I49">
        <f>IFERROR(IF(I23="","",I23/H23),"")</f>
        <v>0</v>
      </c>
      <c r="J49">
        <f>IFERROR(IF(J23="","",J23/I23),"")</f>
        <v>0</v>
      </c>
      <c r="K49">
        <f>IFERROR(IF(K23="","",K23/J23),"")</f>
        <v>0</v>
      </c>
      <c r="L49">
        <f>IFERROR(IF(L23="","",L23/K23),"")</f>
        <v>0</v>
      </c>
      <c r="M49">
        <f>IFERROR(IF(M23="","",M23/L23),"")</f>
        <v>0</v>
      </c>
      <c r="N49">
        <f>IFERROR(IF(N23="","",N23/M23),"")</f>
        <v>0</v>
      </c>
      <c r="O49">
        <f>IFERROR(IF(O23="","",O23/N23),"")</f>
        <v>0</v>
      </c>
      <c r="P49">
        <f>IFERROR(IF(P23="","",P23/O23),"")</f>
        <v>0</v>
      </c>
      <c r="Q49">
        <f>IFERROR(IF(Q23="","",Q23/P23),"")</f>
        <v>0</v>
      </c>
      <c r="R49">
        <f>IFERROR(IF(R23="","",R23/Q23),"")</f>
        <v>0</v>
      </c>
      <c r="S49">
        <f>IFERROR(IF(S23="","",S23/R23),"")</f>
        <v>0</v>
      </c>
      <c r="T49">
        <f>IFERROR(IF(T23="","",T23/S23),"")</f>
        <v>0</v>
      </c>
      <c r="U49">
        <f>IFERROR(IF(U23="","",U23/T23),"")</f>
        <v>0</v>
      </c>
      <c r="V49">
        <f>IFERROR(IF(V23="","",V23/U23),"")</f>
        <v>0</v>
      </c>
      <c r="W49">
        <f>IFERROR(IF(W23="","",W23/V23),"")</f>
        <v>0</v>
      </c>
      <c r="X49">
        <f>IFERROR(IF(X23="","",X23/W23),"")</f>
        <v>0</v>
      </c>
    </row>
    <row r="50" spans="1:25">
      <c r="A50" s="3" t="s">
        <v>73</v>
      </c>
      <c r="B50">
        <f>IFERROR(IF(B24="","",B24/A24),"")</f>
        <v>0</v>
      </c>
      <c r="C50">
        <f>IFERROR(IF(C24="","",C24/B24),"")</f>
        <v>0</v>
      </c>
      <c r="D50">
        <f>IFERROR(IF(D24="","",D24/C24),"")</f>
        <v>0</v>
      </c>
      <c r="E50">
        <f>IFERROR(IF(E24="","",E24/D24),"")</f>
        <v>0</v>
      </c>
      <c r="F50">
        <f>IFERROR(IF(F24="","",F24/E24),"")</f>
        <v>0</v>
      </c>
      <c r="G50">
        <f>IFERROR(IF(G24="","",G24/F24),"")</f>
        <v>0</v>
      </c>
      <c r="H50">
        <f>IFERROR(IF(H24="","",H24/G24),"")</f>
        <v>0</v>
      </c>
      <c r="I50">
        <f>IFERROR(IF(I24="","",I24/H24),"")</f>
        <v>0</v>
      </c>
      <c r="J50">
        <f>IFERROR(IF(J24="","",J24/I24),"")</f>
        <v>0</v>
      </c>
      <c r="K50">
        <f>IFERROR(IF(K24="","",K24/J24),"")</f>
        <v>0</v>
      </c>
      <c r="L50">
        <f>IFERROR(IF(L24="","",L24/K24),"")</f>
        <v>0</v>
      </c>
      <c r="M50">
        <f>IFERROR(IF(M24="","",M24/L24),"")</f>
        <v>0</v>
      </c>
      <c r="N50">
        <f>IFERROR(IF(N24="","",N24/M24),"")</f>
        <v>0</v>
      </c>
      <c r="O50">
        <f>IFERROR(IF(O24="","",O24/N24),"")</f>
        <v>0</v>
      </c>
      <c r="P50">
        <f>IFERROR(IF(P24="","",P24/O24),"")</f>
        <v>0</v>
      </c>
      <c r="Q50">
        <f>IFERROR(IF(Q24="","",Q24/P24),"")</f>
        <v>0</v>
      </c>
      <c r="R50">
        <f>IFERROR(IF(R24="","",R24/Q24),"")</f>
        <v>0</v>
      </c>
      <c r="S50">
        <f>IFERROR(IF(S24="","",S24/R24),"")</f>
        <v>0</v>
      </c>
      <c r="T50">
        <f>IFERROR(IF(T24="","",T24/S24),"")</f>
        <v>0</v>
      </c>
      <c r="U50">
        <f>IFERROR(IF(U24="","",U24/T24),"")</f>
        <v>0</v>
      </c>
      <c r="V50">
        <f>IFERROR(IF(V24="","",V24/U24),"")</f>
        <v>0</v>
      </c>
      <c r="W50">
        <f>IFERROR(IF(W24="","",W24/V24),"")</f>
        <v>0</v>
      </c>
      <c r="X50">
        <f>IFERROR(IF(X24="","",X24/W24),"")</f>
        <v>0</v>
      </c>
    </row>
    <row r="51" spans="1:25">
      <c r="A51" s="3" t="s">
        <v>74</v>
      </c>
      <c r="B51">
        <f>IFERROR(IF(B25="","",B25/A25),"")</f>
        <v>0</v>
      </c>
      <c r="C51">
        <f>IFERROR(IF(C25="","",C25/B25),"")</f>
        <v>0</v>
      </c>
      <c r="D51">
        <f>IFERROR(IF(D25="","",D25/C25),"")</f>
        <v>0</v>
      </c>
      <c r="E51">
        <f>IFERROR(IF(E25="","",E25/D25),"")</f>
        <v>0</v>
      </c>
      <c r="F51">
        <f>IFERROR(IF(F25="","",F25/E25),"")</f>
        <v>0</v>
      </c>
      <c r="G51">
        <f>IFERROR(IF(G25="","",G25/F25),"")</f>
        <v>0</v>
      </c>
      <c r="H51">
        <f>IFERROR(IF(H25="","",H25/G25),"")</f>
        <v>0</v>
      </c>
      <c r="I51">
        <f>IFERROR(IF(I25="","",I25/H25),"")</f>
        <v>0</v>
      </c>
      <c r="J51">
        <f>IFERROR(IF(J25="","",J25/I25),"")</f>
        <v>0</v>
      </c>
      <c r="K51">
        <f>IFERROR(IF(K25="","",K25/J25),"")</f>
        <v>0</v>
      </c>
      <c r="L51">
        <f>IFERROR(IF(L25="","",L25/K25),"")</f>
        <v>0</v>
      </c>
      <c r="M51">
        <f>IFERROR(IF(M25="","",M25/L25),"")</f>
        <v>0</v>
      </c>
      <c r="N51">
        <f>IFERROR(IF(N25="","",N25/M25),"")</f>
        <v>0</v>
      </c>
      <c r="O51">
        <f>IFERROR(IF(O25="","",O25/N25),"")</f>
        <v>0</v>
      </c>
      <c r="P51">
        <f>IFERROR(IF(P25="","",P25/O25),"")</f>
        <v>0</v>
      </c>
      <c r="Q51">
        <f>IFERROR(IF(Q25="","",Q25/P25),"")</f>
        <v>0</v>
      </c>
      <c r="R51">
        <f>IFERROR(IF(R25="","",R25/Q25),"")</f>
        <v>0</v>
      </c>
      <c r="S51">
        <f>IFERROR(IF(S25="","",S25/R25),"")</f>
        <v>0</v>
      </c>
      <c r="T51">
        <f>IFERROR(IF(T25="","",T25/S25),"")</f>
        <v>0</v>
      </c>
      <c r="U51">
        <f>IFERROR(IF(U25="","",U25/T25),"")</f>
        <v>0</v>
      </c>
      <c r="V51">
        <f>IFERROR(IF(V25="","",V25/U25),"")</f>
        <v>0</v>
      </c>
      <c r="W51">
        <f>IFERROR(IF(W25="","",W25/V25),"")</f>
        <v>0</v>
      </c>
      <c r="X51">
        <f>IFERROR(IF(X25="","",X25/W25),"")</f>
        <v>0</v>
      </c>
    </row>
    <row r="52" spans="1:25">
      <c r="A52" s="3"/>
    </row>
    <row r="53" spans="1:25">
      <c r="A53" s="3" t="s">
        <v>98</v>
      </c>
      <c r="B53" t="s">
        <v>75</v>
      </c>
      <c r="C53" t="s">
        <v>76</v>
      </c>
      <c r="D53" t="s">
        <v>77</v>
      </c>
      <c r="E53" t="s">
        <v>78</v>
      </c>
      <c r="F53" t="s">
        <v>79</v>
      </c>
      <c r="G53" t="s">
        <v>80</v>
      </c>
      <c r="H53" t="s">
        <v>81</v>
      </c>
      <c r="I53" t="s">
        <v>82</v>
      </c>
      <c r="J53" t="s">
        <v>83</v>
      </c>
      <c r="K53" t="s">
        <v>84</v>
      </c>
      <c r="L53" t="s">
        <v>85</v>
      </c>
      <c r="M53" t="s">
        <v>86</v>
      </c>
      <c r="N53" t="s">
        <v>87</v>
      </c>
      <c r="O53" t="s">
        <v>88</v>
      </c>
      <c r="P53" t="s">
        <v>89</v>
      </c>
      <c r="Q53" t="s">
        <v>90</v>
      </c>
      <c r="R53" t="s">
        <v>91</v>
      </c>
      <c r="S53" t="s">
        <v>92</v>
      </c>
      <c r="T53" t="s">
        <v>93</v>
      </c>
      <c r="U53" t="s">
        <v>94</v>
      </c>
      <c r="V53" t="s">
        <v>95</v>
      </c>
      <c r="W53" t="s">
        <v>96</v>
      </c>
      <c r="X53" t="s">
        <v>97</v>
      </c>
      <c r="Y53" t="s">
        <v>99</v>
      </c>
    </row>
    <row r="54" spans="1:25">
      <c r="A54" s="3" t="s">
        <v>100</v>
      </c>
      <c r="B54">
        <f>IFERROR(AVERAGE(B28:B51),AVERAGE(B28:B51))</f>
        <v>0</v>
      </c>
      <c r="C54">
        <f>IFERROR(AVERAGE(C28:C51),AVERAGE(C28:C51))</f>
        <v>0</v>
      </c>
      <c r="D54">
        <f>IFERROR(AVERAGE(D28:D51),AVERAGE(D28:D51))</f>
        <v>0</v>
      </c>
      <c r="E54">
        <f>IFERROR(AVERAGE(E28:E51),AVERAGE(E28:E51))</f>
        <v>0</v>
      </c>
      <c r="F54">
        <f>IFERROR(AVERAGE(F28:F51),AVERAGE(F28:F51))</f>
        <v>0</v>
      </c>
      <c r="G54">
        <f>IFERROR(AVERAGE(G28:G51),AVERAGE(G28:G51))</f>
        <v>0</v>
      </c>
      <c r="H54">
        <f>IFERROR(AVERAGE(H28:H51),AVERAGE(H28:H51))</f>
        <v>0</v>
      </c>
      <c r="I54">
        <f>IFERROR(AVERAGE(I28:I51),AVERAGE(I28:I51))</f>
        <v>0</v>
      </c>
      <c r="J54">
        <f>IFERROR(AVERAGE(J28:J51),AVERAGE(J28:J51))</f>
        <v>0</v>
      </c>
      <c r="K54">
        <f>IFERROR(AVERAGE(K28:K51),AVERAGE(K28:K51))</f>
        <v>0</v>
      </c>
      <c r="L54">
        <f>IFERROR(AVERAGE(L28:L51),AVERAGE(L28:L51))</f>
        <v>0</v>
      </c>
      <c r="M54">
        <f>IFERROR(AVERAGE(M28:M51),AVERAGE(M28:M51))</f>
        <v>0</v>
      </c>
      <c r="N54">
        <f>IFERROR(AVERAGE(N28:N51),AVERAGE(N28:N51))</f>
        <v>0</v>
      </c>
      <c r="O54">
        <f>IFERROR(AVERAGE(O28:O51),AVERAGE(O28:O51))</f>
        <v>0</v>
      </c>
      <c r="P54">
        <f>IFERROR(AVERAGE(P28:P51),AVERAGE(P28:P51))</f>
        <v>0</v>
      </c>
      <c r="Q54">
        <f>IFERROR(AVERAGE(Q28:Q51),AVERAGE(Q28:Q51))</f>
        <v>0</v>
      </c>
      <c r="R54">
        <f>IFERROR(AVERAGE(R28:R51),AVERAGE(R28:R51))</f>
        <v>0</v>
      </c>
      <c r="S54">
        <f>IFERROR(AVERAGE(S28:S51),AVERAGE(S28:S51))</f>
        <v>0</v>
      </c>
      <c r="T54">
        <f>IFERROR(AVERAGE(T28:T51),AVERAGE(T28:T51))</f>
        <v>0</v>
      </c>
      <c r="U54">
        <f>IFERROR(AVERAGE(U28:U51),AVERAGE(U28:U51))</f>
        <v>0</v>
      </c>
      <c r="V54">
        <f>IFERROR(AVERAGE(V28:V51),AVERAGE(V28:V51))</f>
        <v>0</v>
      </c>
      <c r="W54">
        <f>IFERROR(AVERAGE(W28:W51),AVERAGE(W28:W51))</f>
        <v>0</v>
      </c>
      <c r="X54">
        <f>IFERROR(AVERAGE(X28:X51),AVERAGE(X28:X51))</f>
        <v>0</v>
      </c>
    </row>
    <row r="55" spans="1:25">
      <c r="A55" s="3" t="s">
        <v>101</v>
      </c>
      <c r="B55">
        <f>IFERROR(SUMPRODUCT(B28:B51,B2:B25)/SUMPRODUCT((B28:B51&lt;&gt;"")*B2:B25),SUMPRODUCT(B28:B51,B2:B25)/SUMPRODUCT((B28:B51&lt;&gt;"")*B2:B25))</f>
        <v>0</v>
      </c>
      <c r="C55">
        <f>IFERROR(SUMPRODUCT(C28:C51,C2:C25)/SUMPRODUCT((C28:C51&lt;&gt;"")*C2:C25),SUMPRODUCT(C28:C51,C2:C25)/SUMPRODUCT((C28:C51&lt;&gt;"")*C2:C25))</f>
        <v>0</v>
      </c>
      <c r="D55">
        <f>IFERROR(SUMPRODUCT(D28:D51,D2:D25)/SUMPRODUCT((D28:D51&lt;&gt;"")*D2:D25),SUMPRODUCT(D28:D51,D2:D25)/SUMPRODUCT((D28:D51&lt;&gt;"")*D2:D25))</f>
        <v>0</v>
      </c>
      <c r="E55">
        <f>IFERROR(SUMPRODUCT(E28:E51,E2:E25)/SUMPRODUCT((E28:E51&lt;&gt;"")*E2:E25),SUMPRODUCT(E28:E51,E2:E25)/SUMPRODUCT((E28:E51&lt;&gt;"")*E2:E25))</f>
        <v>0</v>
      </c>
      <c r="F55">
        <f>IFERROR(SUMPRODUCT(F28:F51,F2:F25)/SUMPRODUCT((F28:F51&lt;&gt;"")*F2:F25),SUMPRODUCT(F28:F51,F2:F25)/SUMPRODUCT((F28:F51&lt;&gt;"")*F2:F25))</f>
        <v>0</v>
      </c>
      <c r="G55">
        <f>IFERROR(SUMPRODUCT(G28:G51,G2:G25)/SUMPRODUCT((G28:G51&lt;&gt;"")*G2:G25),SUMPRODUCT(G28:G51,G2:G25)/SUMPRODUCT((G28:G51&lt;&gt;"")*G2:G25))</f>
        <v>0</v>
      </c>
      <c r="H55">
        <f>IFERROR(SUMPRODUCT(H28:H51,H2:H25)/SUMPRODUCT((H28:H51&lt;&gt;"")*H2:H25),SUMPRODUCT(H28:H51,H2:H25)/SUMPRODUCT((H28:H51&lt;&gt;"")*H2:H25))</f>
        <v>0</v>
      </c>
      <c r="I55">
        <f>IFERROR(SUMPRODUCT(I28:I51,I2:I25)/SUMPRODUCT((I28:I51&lt;&gt;"")*I2:I25),SUMPRODUCT(I28:I51,I2:I25)/SUMPRODUCT((I28:I51&lt;&gt;"")*I2:I25))</f>
        <v>0</v>
      </c>
      <c r="J55">
        <f>IFERROR(SUMPRODUCT(J28:J51,J2:J25)/SUMPRODUCT((J28:J51&lt;&gt;"")*J2:J25),SUMPRODUCT(J28:J51,J2:J25)/SUMPRODUCT((J28:J51&lt;&gt;"")*J2:J25))</f>
        <v>0</v>
      </c>
      <c r="K55">
        <f>IFERROR(SUMPRODUCT(K28:K51,K2:K25)/SUMPRODUCT((K28:K51&lt;&gt;"")*K2:K25),SUMPRODUCT(K28:K51,K2:K25)/SUMPRODUCT((K28:K51&lt;&gt;"")*K2:K25))</f>
        <v>0</v>
      </c>
      <c r="L55">
        <f>IFERROR(SUMPRODUCT(L28:L51,L2:L25)/SUMPRODUCT((L28:L51&lt;&gt;"")*L2:L25),SUMPRODUCT(L28:L51,L2:L25)/SUMPRODUCT((L28:L51&lt;&gt;"")*L2:L25))</f>
        <v>0</v>
      </c>
      <c r="M55">
        <f>IFERROR(SUMPRODUCT(M28:M51,M2:M25)/SUMPRODUCT((M28:M51&lt;&gt;"")*M2:M25),SUMPRODUCT(M28:M51,M2:M25)/SUMPRODUCT((M28:M51&lt;&gt;"")*M2:M25))</f>
        <v>0</v>
      </c>
      <c r="N55">
        <f>IFERROR(SUMPRODUCT(N28:N51,N2:N25)/SUMPRODUCT((N28:N51&lt;&gt;"")*N2:N25),SUMPRODUCT(N28:N51,N2:N25)/SUMPRODUCT((N28:N51&lt;&gt;"")*N2:N25))</f>
        <v>0</v>
      </c>
      <c r="O55">
        <f>IFERROR(SUMPRODUCT(O28:O51,O2:O25)/SUMPRODUCT((O28:O51&lt;&gt;"")*O2:O25),SUMPRODUCT(O28:O51,O2:O25)/SUMPRODUCT((O28:O51&lt;&gt;"")*O2:O25))</f>
        <v>0</v>
      </c>
      <c r="P55">
        <f>IFERROR(SUMPRODUCT(P28:P51,P2:P25)/SUMPRODUCT((P28:P51&lt;&gt;"")*P2:P25),SUMPRODUCT(P28:P51,P2:P25)/SUMPRODUCT((P28:P51&lt;&gt;"")*P2:P25))</f>
        <v>0</v>
      </c>
      <c r="Q55">
        <f>IFERROR(SUMPRODUCT(Q28:Q51,Q2:Q25)/SUMPRODUCT((Q28:Q51&lt;&gt;"")*Q2:Q25),SUMPRODUCT(Q28:Q51,Q2:Q25)/SUMPRODUCT((Q28:Q51&lt;&gt;"")*Q2:Q25))</f>
        <v>0</v>
      </c>
      <c r="R55">
        <f>IFERROR(SUMPRODUCT(R28:R51,R2:R25)/SUMPRODUCT((R28:R51&lt;&gt;"")*R2:R25),SUMPRODUCT(R28:R51,R2:R25)/SUMPRODUCT((R28:R51&lt;&gt;"")*R2:R25))</f>
        <v>0</v>
      </c>
      <c r="S55">
        <f>IFERROR(SUMPRODUCT(S28:S51,S2:S25)/SUMPRODUCT((S28:S51&lt;&gt;"")*S2:S25),SUMPRODUCT(S28:S51,S2:S25)/SUMPRODUCT((S28:S51&lt;&gt;"")*S2:S25))</f>
        <v>0</v>
      </c>
      <c r="T55">
        <f>IFERROR(SUMPRODUCT(T28:T51,T2:T25)/SUMPRODUCT((T28:T51&lt;&gt;"")*T2:T25),SUMPRODUCT(T28:T51,T2:T25)/SUMPRODUCT((T28:T51&lt;&gt;"")*T2:T25))</f>
        <v>0</v>
      </c>
      <c r="U55">
        <f>IFERROR(SUMPRODUCT(U28:U51,U2:U25)/SUMPRODUCT((U28:U51&lt;&gt;"")*U2:U25),SUMPRODUCT(U28:U51,U2:U25)/SUMPRODUCT((U28:U51&lt;&gt;"")*U2:U25))</f>
        <v>0</v>
      </c>
      <c r="V55">
        <f>IFERROR(SUMPRODUCT(V28:V51,V2:V25)/SUMPRODUCT((V28:V51&lt;&gt;"")*V2:V25),SUMPRODUCT(V28:V51,V2:V25)/SUMPRODUCT((V28:V51&lt;&gt;"")*V2:V25))</f>
        <v>0</v>
      </c>
      <c r="W55">
        <f>IFERROR(SUMPRODUCT(W28:W51,W2:W25)/SUMPRODUCT((W28:W51&lt;&gt;"")*W2:W25),SUMPRODUCT(W28:W51,W2:W25)/SUMPRODUCT((W28:W51&lt;&gt;"")*W2:W25))</f>
        <v>0</v>
      </c>
      <c r="X55">
        <f>IFERROR(SUMPRODUCT(X28:X51,X2:X25)/SUMPRODUCT((X28:X51&lt;&gt;"")*X2:X25),SUMPRODUCT(X28:X51,X2:X25)/SUMPRODUCT((X28:X51&lt;&gt;"")*X2:X25))</f>
        <v>0</v>
      </c>
    </row>
    <row r="56" spans="1:25">
      <c r="A56" s="3" t="s">
        <v>102</v>
      </c>
      <c r="B56">
        <f>IFERROR(TRIMMEAN(B28:B51,2/COUNT(B28:B51)),AVERAGE(B28:B51))</f>
        <v>0</v>
      </c>
      <c r="C56">
        <f>IFERROR(TRIMMEAN(C28:C51,2/COUNT(C28:C51)),AVERAGE(C28:C51))</f>
        <v>0</v>
      </c>
      <c r="D56">
        <f>IFERROR(TRIMMEAN(D28:D51,2/COUNT(D28:D51)),AVERAGE(D28:D51))</f>
        <v>0</v>
      </c>
      <c r="E56">
        <f>IFERROR(TRIMMEAN(E28:E51,2/COUNT(E28:E51)),AVERAGE(E28:E51))</f>
        <v>0</v>
      </c>
      <c r="F56">
        <f>IFERROR(TRIMMEAN(F28:F51,2/COUNT(F28:F51)),AVERAGE(F28:F51))</f>
        <v>0</v>
      </c>
      <c r="G56">
        <f>IFERROR(TRIMMEAN(G28:G51,2/COUNT(G28:G51)),AVERAGE(G28:G51))</f>
        <v>0</v>
      </c>
      <c r="H56">
        <f>IFERROR(TRIMMEAN(H28:H51,2/COUNT(H28:H51)),AVERAGE(H28:H51))</f>
        <v>0</v>
      </c>
      <c r="I56">
        <f>IFERROR(TRIMMEAN(I28:I51,2/COUNT(I28:I51)),AVERAGE(I28:I51))</f>
        <v>0</v>
      </c>
      <c r="J56">
        <f>IFERROR(TRIMMEAN(J28:J51,2/COUNT(J28:J51)),AVERAGE(J28:J51))</f>
        <v>0</v>
      </c>
      <c r="K56">
        <f>IFERROR(TRIMMEAN(K28:K51,2/COUNT(K28:K51)),AVERAGE(K28:K51))</f>
        <v>0</v>
      </c>
      <c r="L56">
        <f>IFERROR(TRIMMEAN(L28:L51,2/COUNT(L28:L51)),AVERAGE(L28:L51))</f>
        <v>0</v>
      </c>
      <c r="M56">
        <f>IFERROR(TRIMMEAN(M28:M51,2/COUNT(M28:M51)),AVERAGE(M28:M51))</f>
        <v>0</v>
      </c>
      <c r="N56">
        <f>IFERROR(TRIMMEAN(N28:N51,2/COUNT(N28:N51)),AVERAGE(N28:N51))</f>
        <v>0</v>
      </c>
      <c r="O56">
        <f>IFERROR(TRIMMEAN(O28:O51,2/COUNT(O28:O51)),AVERAGE(O28:O51))</f>
        <v>0</v>
      </c>
      <c r="P56">
        <f>IFERROR(TRIMMEAN(P28:P51,2/COUNT(P28:P51)),AVERAGE(P28:P51))</f>
        <v>0</v>
      </c>
      <c r="Q56">
        <f>IFERROR(TRIMMEAN(Q28:Q51,2/COUNT(Q28:Q51)),AVERAGE(Q28:Q51))</f>
        <v>0</v>
      </c>
      <c r="R56">
        <f>IFERROR(TRIMMEAN(R28:R51,2/COUNT(R28:R51)),AVERAGE(R28:R51))</f>
        <v>0</v>
      </c>
      <c r="S56">
        <f>IFERROR(TRIMMEAN(S28:S51,2/COUNT(S28:S51)),AVERAGE(S28:S51))</f>
        <v>0</v>
      </c>
      <c r="T56">
        <f>IFERROR(TRIMMEAN(T28:T51,2/COUNT(T28:T51)),AVERAGE(T28:T51))</f>
        <v>0</v>
      </c>
      <c r="U56">
        <f>IFERROR(TRIMMEAN(U28:U51,2/COUNT(U28:U51)),AVERAGE(U28:U51))</f>
        <v>0</v>
      </c>
      <c r="V56">
        <f>IFERROR(TRIMMEAN(V28:V51,2/COUNT(V28:V51)),AVERAGE(V28:V51))</f>
        <v>0</v>
      </c>
      <c r="W56">
        <f>IFERROR(TRIMMEAN(W28:W51,2/COUNT(W28:W51)),AVERAGE(W28:W51))</f>
        <v>0</v>
      </c>
      <c r="X56">
        <f>IFERROR(TRIMMEAN(X28:X51,2/COUNT(X28:X51)),AVERAGE(X28:X51))</f>
        <v>0</v>
      </c>
    </row>
    <row r="57" spans="1:25">
      <c r="A57" s="3" t="s">
        <v>103</v>
      </c>
      <c r="B57">
        <f>IFERROR(AVERAGE(B49:B51),AVERAGE(B28:B51))</f>
        <v>0</v>
      </c>
      <c r="C57">
        <f>IFERROR(AVERAGE(C49:C51),AVERAGE(C28:C51))</f>
        <v>0</v>
      </c>
      <c r="D57">
        <f>IFERROR(AVERAGE(D49:D51),AVERAGE(D28:D51))</f>
        <v>0</v>
      </c>
      <c r="E57">
        <f>IFERROR(AVERAGE(E49:E51),AVERAGE(E28:E51))</f>
        <v>0</v>
      </c>
      <c r="F57">
        <f>IFERROR(AVERAGE(F49:F51),AVERAGE(F28:F51))</f>
        <v>0</v>
      </c>
      <c r="G57">
        <f>IFERROR(AVERAGE(G49:G51),AVERAGE(G28:G51))</f>
        <v>0</v>
      </c>
      <c r="H57">
        <f>IFERROR(AVERAGE(H49:H51),AVERAGE(H28:H51))</f>
        <v>0</v>
      </c>
      <c r="I57">
        <f>IFERROR(AVERAGE(I49:I51),AVERAGE(I28:I51))</f>
        <v>0</v>
      </c>
      <c r="J57">
        <f>IFERROR(AVERAGE(J49:J51),AVERAGE(J28:J51))</f>
        <v>0</v>
      </c>
      <c r="K57">
        <f>IFERROR(AVERAGE(K49:K51),AVERAGE(K28:K51))</f>
        <v>0</v>
      </c>
      <c r="L57">
        <f>IFERROR(AVERAGE(L49:L51),AVERAGE(L28:L51))</f>
        <v>0</v>
      </c>
      <c r="M57">
        <f>IFERROR(AVERAGE(M49:M51),AVERAGE(M28:M51))</f>
        <v>0</v>
      </c>
      <c r="N57">
        <f>IFERROR(AVERAGE(N49:N51),AVERAGE(N28:N51))</f>
        <v>0</v>
      </c>
      <c r="O57">
        <f>IFERROR(AVERAGE(O49:O51),AVERAGE(O28:O51))</f>
        <v>0</v>
      </c>
      <c r="P57">
        <f>IFERROR(AVERAGE(P49:P51),AVERAGE(P28:P51))</f>
        <v>0</v>
      </c>
      <c r="Q57">
        <f>IFERROR(AVERAGE(Q49:Q51),AVERAGE(Q28:Q51))</f>
        <v>0</v>
      </c>
      <c r="R57">
        <f>IFERROR(AVERAGE(R49:R51),AVERAGE(R28:R51))</f>
        <v>0</v>
      </c>
      <c r="S57">
        <f>IFERROR(AVERAGE(S49:S51),AVERAGE(S28:S51))</f>
        <v>0</v>
      </c>
      <c r="T57">
        <f>IFERROR(AVERAGE(T49:T51),AVERAGE(T28:T51))</f>
        <v>0</v>
      </c>
      <c r="U57">
        <f>IFERROR(AVERAGE(U49:U51),AVERAGE(U28:U51))</f>
        <v>0</v>
      </c>
      <c r="V57">
        <f>IFERROR(AVERAGE(V49:V51),AVERAGE(V28:V51))</f>
        <v>0</v>
      </c>
      <c r="W57">
        <f>IFERROR(AVERAGE(W49:W51),AVERAGE(W28:W51))</f>
        <v>0</v>
      </c>
      <c r="X57">
        <f>IFERROR(AVERAGE(X49:X51),AVERAGE(X28:X51))</f>
        <v>0</v>
      </c>
    </row>
    <row r="58" spans="1:25">
      <c r="A58" s="3" t="s">
        <v>104</v>
      </c>
      <c r="B58">
        <f>IFERROR(SUMPRODUCT(B49:B51,B23:B25)/SUMPRODUCT((B49:B51&lt;&gt;"")*B23:B25),SUMPRODUCT(B28:B51,B2:B25)/SUMPRODUCT((B28:B51&lt;&gt;"")*B2:B25))</f>
        <v>0</v>
      </c>
      <c r="C58">
        <f>IFERROR(SUMPRODUCT(C49:C51,C23:C25)/SUMPRODUCT((C49:C51&lt;&gt;"")*C23:C25),SUMPRODUCT(C28:C51,C2:C25)/SUMPRODUCT((C28:C51&lt;&gt;"")*C2:C25))</f>
        <v>0</v>
      </c>
      <c r="D58">
        <f>IFERROR(SUMPRODUCT(D49:D51,D23:D25)/SUMPRODUCT((D49:D51&lt;&gt;"")*D23:D25),SUMPRODUCT(D28:D51,D2:D25)/SUMPRODUCT((D28:D51&lt;&gt;"")*D2:D25))</f>
        <v>0</v>
      </c>
      <c r="E58">
        <f>IFERROR(SUMPRODUCT(E49:E51,E23:E25)/SUMPRODUCT((E49:E51&lt;&gt;"")*E23:E25),SUMPRODUCT(E28:E51,E2:E25)/SUMPRODUCT((E28:E51&lt;&gt;"")*E2:E25))</f>
        <v>0</v>
      </c>
      <c r="F58">
        <f>IFERROR(SUMPRODUCT(F49:F51,F23:F25)/SUMPRODUCT((F49:F51&lt;&gt;"")*F23:F25),SUMPRODUCT(F28:F51,F2:F25)/SUMPRODUCT((F28:F51&lt;&gt;"")*F2:F25))</f>
        <v>0</v>
      </c>
      <c r="G58">
        <f>IFERROR(SUMPRODUCT(G49:G51,G23:G25)/SUMPRODUCT((G49:G51&lt;&gt;"")*G23:G25),SUMPRODUCT(G28:G51,G2:G25)/SUMPRODUCT((G28:G51&lt;&gt;"")*G2:G25))</f>
        <v>0</v>
      </c>
      <c r="H58">
        <f>IFERROR(SUMPRODUCT(H49:H51,H23:H25)/SUMPRODUCT((H49:H51&lt;&gt;"")*H23:H25),SUMPRODUCT(H28:H51,H2:H25)/SUMPRODUCT((H28:H51&lt;&gt;"")*H2:H25))</f>
        <v>0</v>
      </c>
      <c r="I58">
        <f>IFERROR(SUMPRODUCT(I49:I51,I23:I25)/SUMPRODUCT((I49:I51&lt;&gt;"")*I23:I25),SUMPRODUCT(I28:I51,I2:I25)/SUMPRODUCT((I28:I51&lt;&gt;"")*I2:I25))</f>
        <v>0</v>
      </c>
      <c r="J58">
        <f>IFERROR(SUMPRODUCT(J49:J51,J23:J25)/SUMPRODUCT((J49:J51&lt;&gt;"")*J23:J25),SUMPRODUCT(J28:J51,J2:J25)/SUMPRODUCT((J28:J51&lt;&gt;"")*J2:J25))</f>
        <v>0</v>
      </c>
      <c r="K58">
        <f>IFERROR(SUMPRODUCT(K49:K51,K23:K25)/SUMPRODUCT((K49:K51&lt;&gt;"")*K23:K25),SUMPRODUCT(K28:K51,K2:K25)/SUMPRODUCT((K28:K51&lt;&gt;"")*K2:K25))</f>
        <v>0</v>
      </c>
      <c r="L58">
        <f>IFERROR(SUMPRODUCT(L49:L51,L23:L25)/SUMPRODUCT((L49:L51&lt;&gt;"")*L23:L25),SUMPRODUCT(L28:L51,L2:L25)/SUMPRODUCT((L28:L51&lt;&gt;"")*L2:L25))</f>
        <v>0</v>
      </c>
      <c r="M58">
        <f>IFERROR(SUMPRODUCT(M49:M51,M23:M25)/SUMPRODUCT((M49:M51&lt;&gt;"")*M23:M25),SUMPRODUCT(M28:M51,M2:M25)/SUMPRODUCT((M28:M51&lt;&gt;"")*M2:M25))</f>
        <v>0</v>
      </c>
      <c r="N58">
        <f>IFERROR(SUMPRODUCT(N49:N51,N23:N25)/SUMPRODUCT((N49:N51&lt;&gt;"")*N23:N25),SUMPRODUCT(N28:N51,N2:N25)/SUMPRODUCT((N28:N51&lt;&gt;"")*N2:N25))</f>
        <v>0</v>
      </c>
      <c r="O58">
        <f>IFERROR(SUMPRODUCT(O49:O51,O23:O25)/SUMPRODUCT((O49:O51&lt;&gt;"")*O23:O25),SUMPRODUCT(O28:O51,O2:O25)/SUMPRODUCT((O28:O51&lt;&gt;"")*O2:O25))</f>
        <v>0</v>
      </c>
      <c r="P58">
        <f>IFERROR(SUMPRODUCT(P49:P51,P23:P25)/SUMPRODUCT((P49:P51&lt;&gt;"")*P23:P25),SUMPRODUCT(P28:P51,P2:P25)/SUMPRODUCT((P28:P51&lt;&gt;"")*P2:P25))</f>
        <v>0</v>
      </c>
      <c r="Q58">
        <f>IFERROR(SUMPRODUCT(Q49:Q51,Q23:Q25)/SUMPRODUCT((Q49:Q51&lt;&gt;"")*Q23:Q25),SUMPRODUCT(Q28:Q51,Q2:Q25)/SUMPRODUCT((Q28:Q51&lt;&gt;"")*Q2:Q25))</f>
        <v>0</v>
      </c>
      <c r="R58">
        <f>IFERROR(SUMPRODUCT(R49:R51,R23:R25)/SUMPRODUCT((R49:R51&lt;&gt;"")*R23:R25),SUMPRODUCT(R28:R51,R2:R25)/SUMPRODUCT((R28:R51&lt;&gt;"")*R2:R25))</f>
        <v>0</v>
      </c>
      <c r="S58">
        <f>IFERROR(SUMPRODUCT(S49:S51,S23:S25)/SUMPRODUCT((S49:S51&lt;&gt;"")*S23:S25),SUMPRODUCT(S28:S51,S2:S25)/SUMPRODUCT((S28:S51&lt;&gt;"")*S2:S25))</f>
        <v>0</v>
      </c>
      <c r="T58">
        <f>IFERROR(SUMPRODUCT(T49:T51,T23:T25)/SUMPRODUCT((T49:T51&lt;&gt;"")*T23:T25),SUMPRODUCT(T28:T51,T2:T25)/SUMPRODUCT((T28:T51&lt;&gt;"")*T2:T25))</f>
        <v>0</v>
      </c>
      <c r="U58">
        <f>IFERROR(SUMPRODUCT(U49:U51,U23:U25)/SUMPRODUCT((U49:U51&lt;&gt;"")*U23:U25),SUMPRODUCT(U28:U51,U2:U25)/SUMPRODUCT((U28:U51&lt;&gt;"")*U2:U25))</f>
        <v>0</v>
      </c>
      <c r="V58">
        <f>IFERROR(SUMPRODUCT(V49:V51,V23:V25)/SUMPRODUCT((V49:V51&lt;&gt;"")*V23:V25),SUMPRODUCT(V28:V51,V2:V25)/SUMPRODUCT((V28:V51&lt;&gt;"")*V2:V25))</f>
        <v>0</v>
      </c>
      <c r="W58">
        <f>IFERROR(SUMPRODUCT(W49:W51,W23:W25)/SUMPRODUCT((W49:W51&lt;&gt;"")*W23:W25),SUMPRODUCT(W28:W51,W2:W25)/SUMPRODUCT((W28:W51&lt;&gt;"")*W2:W25))</f>
        <v>0</v>
      </c>
      <c r="X58">
        <f>IFERROR(SUMPRODUCT(X49:X51,X23:X25)/SUMPRODUCT((X49:X51&lt;&gt;"")*X23:X25),SUMPRODUCT(X28:X51,X2:X25)/SUMPRODUCT((X28:X51&lt;&gt;"")*X2:X25))</f>
        <v>0</v>
      </c>
    </row>
    <row r="59" spans="1:25">
      <c r="A59" s="3" t="s">
        <v>105</v>
      </c>
      <c r="B59">
        <f>IFERROR(TRIMMEAN(B49:B51,2/COUNT(B49:B51)),AVERAGE(B28:B51))</f>
        <v>0</v>
      </c>
      <c r="C59">
        <f>IFERROR(TRIMMEAN(C49:C51,2/COUNT(C49:C51)),AVERAGE(C28:C51))</f>
        <v>0</v>
      </c>
      <c r="D59">
        <f>IFERROR(TRIMMEAN(D49:D51,2/COUNT(D49:D51)),AVERAGE(D28:D51))</f>
        <v>0</v>
      </c>
      <c r="E59">
        <f>IFERROR(TRIMMEAN(E49:E51,2/COUNT(E49:E51)),AVERAGE(E28:E51))</f>
        <v>0</v>
      </c>
      <c r="F59">
        <f>IFERROR(TRIMMEAN(F49:F51,2/COUNT(F49:F51)),AVERAGE(F28:F51))</f>
        <v>0</v>
      </c>
      <c r="G59">
        <f>IFERROR(TRIMMEAN(G49:G51,2/COUNT(G49:G51)),AVERAGE(G28:G51))</f>
        <v>0</v>
      </c>
      <c r="H59">
        <f>IFERROR(TRIMMEAN(H49:H51,2/COUNT(H49:H51)),AVERAGE(H28:H51))</f>
        <v>0</v>
      </c>
      <c r="I59">
        <f>IFERROR(TRIMMEAN(I49:I51,2/COUNT(I49:I51)),AVERAGE(I28:I51))</f>
        <v>0</v>
      </c>
      <c r="J59">
        <f>IFERROR(TRIMMEAN(J49:J51,2/COUNT(J49:J51)),AVERAGE(J28:J51))</f>
        <v>0</v>
      </c>
      <c r="K59">
        <f>IFERROR(TRIMMEAN(K49:K51,2/COUNT(K49:K51)),AVERAGE(K28:K51))</f>
        <v>0</v>
      </c>
      <c r="L59">
        <f>IFERROR(TRIMMEAN(L49:L51,2/COUNT(L49:L51)),AVERAGE(L28:L51))</f>
        <v>0</v>
      </c>
      <c r="M59">
        <f>IFERROR(TRIMMEAN(M49:M51,2/COUNT(M49:M51)),AVERAGE(M28:M51))</f>
        <v>0</v>
      </c>
      <c r="N59">
        <f>IFERROR(TRIMMEAN(N49:N51,2/COUNT(N49:N51)),AVERAGE(N28:N51))</f>
        <v>0</v>
      </c>
      <c r="O59">
        <f>IFERROR(TRIMMEAN(O49:O51,2/COUNT(O49:O51)),AVERAGE(O28:O51))</f>
        <v>0</v>
      </c>
      <c r="P59">
        <f>IFERROR(TRIMMEAN(P49:P51,2/COUNT(P49:P51)),AVERAGE(P28:P51))</f>
        <v>0</v>
      </c>
      <c r="Q59">
        <f>IFERROR(TRIMMEAN(Q49:Q51,2/COUNT(Q49:Q51)),AVERAGE(Q28:Q51))</f>
        <v>0</v>
      </c>
      <c r="R59">
        <f>IFERROR(TRIMMEAN(R49:R51,2/COUNT(R49:R51)),AVERAGE(R28:R51))</f>
        <v>0</v>
      </c>
      <c r="S59">
        <f>IFERROR(TRIMMEAN(S49:S51,2/COUNT(S49:S51)),AVERAGE(S28:S51))</f>
        <v>0</v>
      </c>
      <c r="T59">
        <f>IFERROR(TRIMMEAN(T49:T51,2/COUNT(T49:T51)),AVERAGE(T28:T51))</f>
        <v>0</v>
      </c>
      <c r="U59">
        <f>IFERROR(TRIMMEAN(U49:U51,2/COUNT(U49:U51)),AVERAGE(U28:U51))</f>
        <v>0</v>
      </c>
      <c r="V59">
        <f>IFERROR(TRIMMEAN(V49:V51,2/COUNT(V49:V51)),AVERAGE(V28:V51))</f>
        <v>0</v>
      </c>
      <c r="W59">
        <f>IFERROR(TRIMMEAN(W49:W51,2/COUNT(W49:W51)),AVERAGE(W28:W51))</f>
        <v>0</v>
      </c>
      <c r="X59">
        <f>IFERROR(TRIMMEAN(X49:X51,2/COUNT(X49:X51)),AVERAGE(X28:X51))</f>
        <v>0</v>
      </c>
    </row>
    <row r="60" spans="1:25">
      <c r="A60" s="3" t="s">
        <v>106</v>
      </c>
      <c r="B60">
        <f>IFERROR(AVERAGE(B47:B51),AVERAGE(B28:B51))</f>
        <v>0</v>
      </c>
      <c r="C60">
        <f>IFERROR(AVERAGE(C47:C51),AVERAGE(C28:C51))</f>
        <v>0</v>
      </c>
      <c r="D60">
        <f>IFERROR(AVERAGE(D47:D51),AVERAGE(D28:D51))</f>
        <v>0</v>
      </c>
      <c r="E60">
        <f>IFERROR(AVERAGE(E47:E51),AVERAGE(E28:E51))</f>
        <v>0</v>
      </c>
      <c r="F60">
        <f>IFERROR(AVERAGE(F47:F51),AVERAGE(F28:F51))</f>
        <v>0</v>
      </c>
      <c r="G60">
        <f>IFERROR(AVERAGE(G47:G51),AVERAGE(G28:G51))</f>
        <v>0</v>
      </c>
      <c r="H60">
        <f>IFERROR(AVERAGE(H47:H51),AVERAGE(H28:H51))</f>
        <v>0</v>
      </c>
      <c r="I60">
        <f>IFERROR(AVERAGE(I47:I51),AVERAGE(I28:I51))</f>
        <v>0</v>
      </c>
      <c r="J60">
        <f>IFERROR(AVERAGE(J47:J51),AVERAGE(J28:J51))</f>
        <v>0</v>
      </c>
      <c r="K60">
        <f>IFERROR(AVERAGE(K47:K51),AVERAGE(K28:K51))</f>
        <v>0</v>
      </c>
      <c r="L60">
        <f>IFERROR(AVERAGE(L47:L51),AVERAGE(L28:L51))</f>
        <v>0</v>
      </c>
      <c r="M60">
        <f>IFERROR(AVERAGE(M47:M51),AVERAGE(M28:M51))</f>
        <v>0</v>
      </c>
      <c r="N60">
        <f>IFERROR(AVERAGE(N47:N51),AVERAGE(N28:N51))</f>
        <v>0</v>
      </c>
      <c r="O60">
        <f>IFERROR(AVERAGE(O47:O51),AVERAGE(O28:O51))</f>
        <v>0</v>
      </c>
      <c r="P60">
        <f>IFERROR(AVERAGE(P47:P51),AVERAGE(P28:P51))</f>
        <v>0</v>
      </c>
      <c r="Q60">
        <f>IFERROR(AVERAGE(Q47:Q51),AVERAGE(Q28:Q51))</f>
        <v>0</v>
      </c>
      <c r="R60">
        <f>IFERROR(AVERAGE(R47:R51),AVERAGE(R28:R51))</f>
        <v>0</v>
      </c>
      <c r="S60">
        <f>IFERROR(AVERAGE(S47:S51),AVERAGE(S28:S51))</f>
        <v>0</v>
      </c>
      <c r="T60">
        <f>IFERROR(AVERAGE(T47:T51),AVERAGE(T28:T51))</f>
        <v>0</v>
      </c>
      <c r="U60">
        <f>IFERROR(AVERAGE(U47:U51),AVERAGE(U28:U51))</f>
        <v>0</v>
      </c>
      <c r="V60">
        <f>IFERROR(AVERAGE(V47:V51),AVERAGE(V28:V51))</f>
        <v>0</v>
      </c>
      <c r="W60">
        <f>IFERROR(AVERAGE(W47:W51),AVERAGE(W28:W51))</f>
        <v>0</v>
      </c>
      <c r="X60">
        <f>IFERROR(AVERAGE(X47:X51),AVERAGE(X28:X51))</f>
        <v>0</v>
      </c>
    </row>
    <row r="61" spans="1:25">
      <c r="A61" s="3" t="s">
        <v>107</v>
      </c>
      <c r="B61">
        <f>IFERROR(SUMPRODUCT(B47:B51,B21:B25)/SUMPRODUCT((B47:B51&lt;&gt;"")*B21:B25),SUMPRODUCT(B28:B51,B2:B25)/SUMPRODUCT((B28:B51&lt;&gt;"")*B2:B25))</f>
        <v>0</v>
      </c>
      <c r="C61">
        <f>IFERROR(SUMPRODUCT(C47:C51,C21:C25)/SUMPRODUCT((C47:C51&lt;&gt;"")*C21:C25),SUMPRODUCT(C28:C51,C2:C25)/SUMPRODUCT((C28:C51&lt;&gt;"")*C2:C25))</f>
        <v>0</v>
      </c>
      <c r="D61">
        <f>IFERROR(SUMPRODUCT(D47:D51,D21:D25)/SUMPRODUCT((D47:D51&lt;&gt;"")*D21:D25),SUMPRODUCT(D28:D51,D2:D25)/SUMPRODUCT((D28:D51&lt;&gt;"")*D2:D25))</f>
        <v>0</v>
      </c>
      <c r="E61">
        <f>IFERROR(SUMPRODUCT(E47:E51,E21:E25)/SUMPRODUCT((E47:E51&lt;&gt;"")*E21:E25),SUMPRODUCT(E28:E51,E2:E25)/SUMPRODUCT((E28:E51&lt;&gt;"")*E2:E25))</f>
        <v>0</v>
      </c>
      <c r="F61">
        <f>IFERROR(SUMPRODUCT(F47:F51,F21:F25)/SUMPRODUCT((F47:F51&lt;&gt;"")*F21:F25),SUMPRODUCT(F28:F51,F2:F25)/SUMPRODUCT((F28:F51&lt;&gt;"")*F2:F25))</f>
        <v>0</v>
      </c>
      <c r="G61">
        <f>IFERROR(SUMPRODUCT(G47:G51,G21:G25)/SUMPRODUCT((G47:G51&lt;&gt;"")*G21:G25),SUMPRODUCT(G28:G51,G2:G25)/SUMPRODUCT((G28:G51&lt;&gt;"")*G2:G25))</f>
        <v>0</v>
      </c>
      <c r="H61">
        <f>IFERROR(SUMPRODUCT(H47:H51,H21:H25)/SUMPRODUCT((H47:H51&lt;&gt;"")*H21:H25),SUMPRODUCT(H28:H51,H2:H25)/SUMPRODUCT((H28:H51&lt;&gt;"")*H2:H25))</f>
        <v>0</v>
      </c>
      <c r="I61">
        <f>IFERROR(SUMPRODUCT(I47:I51,I21:I25)/SUMPRODUCT((I47:I51&lt;&gt;"")*I21:I25),SUMPRODUCT(I28:I51,I2:I25)/SUMPRODUCT((I28:I51&lt;&gt;"")*I2:I25))</f>
        <v>0</v>
      </c>
      <c r="J61">
        <f>IFERROR(SUMPRODUCT(J47:J51,J21:J25)/SUMPRODUCT((J47:J51&lt;&gt;"")*J21:J25),SUMPRODUCT(J28:J51,J2:J25)/SUMPRODUCT((J28:J51&lt;&gt;"")*J2:J25))</f>
        <v>0</v>
      </c>
      <c r="K61">
        <f>IFERROR(SUMPRODUCT(K47:K51,K21:K25)/SUMPRODUCT((K47:K51&lt;&gt;"")*K21:K25),SUMPRODUCT(K28:K51,K2:K25)/SUMPRODUCT((K28:K51&lt;&gt;"")*K2:K25))</f>
        <v>0</v>
      </c>
      <c r="L61">
        <f>IFERROR(SUMPRODUCT(L47:L51,L21:L25)/SUMPRODUCT((L47:L51&lt;&gt;"")*L21:L25),SUMPRODUCT(L28:L51,L2:L25)/SUMPRODUCT((L28:L51&lt;&gt;"")*L2:L25))</f>
        <v>0</v>
      </c>
      <c r="M61">
        <f>IFERROR(SUMPRODUCT(M47:M51,M21:M25)/SUMPRODUCT((M47:M51&lt;&gt;"")*M21:M25),SUMPRODUCT(M28:M51,M2:M25)/SUMPRODUCT((M28:M51&lt;&gt;"")*M2:M25))</f>
        <v>0</v>
      </c>
      <c r="N61">
        <f>IFERROR(SUMPRODUCT(N47:N51,N21:N25)/SUMPRODUCT((N47:N51&lt;&gt;"")*N21:N25),SUMPRODUCT(N28:N51,N2:N25)/SUMPRODUCT((N28:N51&lt;&gt;"")*N2:N25))</f>
        <v>0</v>
      </c>
      <c r="O61">
        <f>IFERROR(SUMPRODUCT(O47:O51,O21:O25)/SUMPRODUCT((O47:O51&lt;&gt;"")*O21:O25),SUMPRODUCT(O28:O51,O2:O25)/SUMPRODUCT((O28:O51&lt;&gt;"")*O2:O25))</f>
        <v>0</v>
      </c>
      <c r="P61">
        <f>IFERROR(SUMPRODUCT(P47:P51,P21:P25)/SUMPRODUCT((P47:P51&lt;&gt;"")*P21:P25),SUMPRODUCT(P28:P51,P2:P25)/SUMPRODUCT((P28:P51&lt;&gt;"")*P2:P25))</f>
        <v>0</v>
      </c>
      <c r="Q61">
        <f>IFERROR(SUMPRODUCT(Q47:Q51,Q21:Q25)/SUMPRODUCT((Q47:Q51&lt;&gt;"")*Q21:Q25),SUMPRODUCT(Q28:Q51,Q2:Q25)/SUMPRODUCT((Q28:Q51&lt;&gt;"")*Q2:Q25))</f>
        <v>0</v>
      </c>
      <c r="R61">
        <f>IFERROR(SUMPRODUCT(R47:R51,R21:R25)/SUMPRODUCT((R47:R51&lt;&gt;"")*R21:R25),SUMPRODUCT(R28:R51,R2:R25)/SUMPRODUCT((R28:R51&lt;&gt;"")*R2:R25))</f>
        <v>0</v>
      </c>
      <c r="S61">
        <f>IFERROR(SUMPRODUCT(S47:S51,S21:S25)/SUMPRODUCT((S47:S51&lt;&gt;"")*S21:S25),SUMPRODUCT(S28:S51,S2:S25)/SUMPRODUCT((S28:S51&lt;&gt;"")*S2:S25))</f>
        <v>0</v>
      </c>
      <c r="T61">
        <f>IFERROR(SUMPRODUCT(T47:T51,T21:T25)/SUMPRODUCT((T47:T51&lt;&gt;"")*T21:T25),SUMPRODUCT(T28:T51,T2:T25)/SUMPRODUCT((T28:T51&lt;&gt;"")*T2:T25))</f>
        <v>0</v>
      </c>
      <c r="U61">
        <f>IFERROR(SUMPRODUCT(U47:U51,U21:U25)/SUMPRODUCT((U47:U51&lt;&gt;"")*U21:U25),SUMPRODUCT(U28:U51,U2:U25)/SUMPRODUCT((U28:U51&lt;&gt;"")*U2:U25))</f>
        <v>0</v>
      </c>
      <c r="V61">
        <f>IFERROR(SUMPRODUCT(V47:V51,V21:V25)/SUMPRODUCT((V47:V51&lt;&gt;"")*V21:V25),SUMPRODUCT(V28:V51,V2:V25)/SUMPRODUCT((V28:V51&lt;&gt;"")*V2:V25))</f>
        <v>0</v>
      </c>
      <c r="W61">
        <f>IFERROR(SUMPRODUCT(W47:W51,W21:W25)/SUMPRODUCT((W47:W51&lt;&gt;"")*W21:W25),SUMPRODUCT(W28:W51,W2:W25)/SUMPRODUCT((W28:W51&lt;&gt;"")*W2:W25))</f>
        <v>0</v>
      </c>
      <c r="X61">
        <f>IFERROR(SUMPRODUCT(X47:X51,X21:X25)/SUMPRODUCT((X47:X51&lt;&gt;"")*X21:X25),SUMPRODUCT(X28:X51,X2:X25)/SUMPRODUCT((X28:X51&lt;&gt;"")*X2:X25))</f>
        <v>0</v>
      </c>
    </row>
    <row r="62" spans="1:25">
      <c r="A62" s="3" t="s">
        <v>108</v>
      </c>
      <c r="B62">
        <f>IFERROR(TRIMMEAN(B47:B51,2/COUNT(B47:B51)),AVERAGE(B28:B51))</f>
        <v>0</v>
      </c>
      <c r="C62">
        <f>IFERROR(TRIMMEAN(C47:C51,2/COUNT(C47:C51)),AVERAGE(C28:C51))</f>
        <v>0</v>
      </c>
      <c r="D62">
        <f>IFERROR(TRIMMEAN(D47:D51,2/COUNT(D47:D51)),AVERAGE(D28:D51))</f>
        <v>0</v>
      </c>
      <c r="E62">
        <f>IFERROR(TRIMMEAN(E47:E51,2/COUNT(E47:E51)),AVERAGE(E28:E51))</f>
        <v>0</v>
      </c>
      <c r="F62">
        <f>IFERROR(TRIMMEAN(F47:F51,2/COUNT(F47:F51)),AVERAGE(F28:F51))</f>
        <v>0</v>
      </c>
      <c r="G62">
        <f>IFERROR(TRIMMEAN(G47:G51,2/COUNT(G47:G51)),AVERAGE(G28:G51))</f>
        <v>0</v>
      </c>
      <c r="H62">
        <f>IFERROR(TRIMMEAN(H47:H51,2/COUNT(H47:H51)),AVERAGE(H28:H51))</f>
        <v>0</v>
      </c>
      <c r="I62">
        <f>IFERROR(TRIMMEAN(I47:I51,2/COUNT(I47:I51)),AVERAGE(I28:I51))</f>
        <v>0</v>
      </c>
      <c r="J62">
        <f>IFERROR(TRIMMEAN(J47:J51,2/COUNT(J47:J51)),AVERAGE(J28:J51))</f>
        <v>0</v>
      </c>
      <c r="K62">
        <f>IFERROR(TRIMMEAN(K47:K51,2/COUNT(K47:K51)),AVERAGE(K28:K51))</f>
        <v>0</v>
      </c>
      <c r="L62">
        <f>IFERROR(TRIMMEAN(L47:L51,2/COUNT(L47:L51)),AVERAGE(L28:L51))</f>
        <v>0</v>
      </c>
      <c r="M62">
        <f>IFERROR(TRIMMEAN(M47:M51,2/COUNT(M47:M51)),AVERAGE(M28:M51))</f>
        <v>0</v>
      </c>
      <c r="N62">
        <f>IFERROR(TRIMMEAN(N47:N51,2/COUNT(N47:N51)),AVERAGE(N28:N51))</f>
        <v>0</v>
      </c>
      <c r="O62">
        <f>IFERROR(TRIMMEAN(O47:O51,2/COUNT(O47:O51)),AVERAGE(O28:O51))</f>
        <v>0</v>
      </c>
      <c r="P62">
        <f>IFERROR(TRIMMEAN(P47:P51,2/COUNT(P47:P51)),AVERAGE(P28:P51))</f>
        <v>0</v>
      </c>
      <c r="Q62">
        <f>IFERROR(TRIMMEAN(Q47:Q51,2/COUNT(Q47:Q51)),AVERAGE(Q28:Q51))</f>
        <v>0</v>
      </c>
      <c r="R62">
        <f>IFERROR(TRIMMEAN(R47:R51,2/COUNT(R47:R51)),AVERAGE(R28:R51))</f>
        <v>0</v>
      </c>
      <c r="S62">
        <f>IFERROR(TRIMMEAN(S47:S51,2/COUNT(S47:S51)),AVERAGE(S28:S51))</f>
        <v>0</v>
      </c>
      <c r="T62">
        <f>IFERROR(TRIMMEAN(T47:T51,2/COUNT(T47:T51)),AVERAGE(T28:T51))</f>
        <v>0</v>
      </c>
      <c r="U62">
        <f>IFERROR(TRIMMEAN(U47:U51,2/COUNT(U47:U51)),AVERAGE(U28:U51))</f>
        <v>0</v>
      </c>
      <c r="V62">
        <f>IFERROR(TRIMMEAN(V47:V51,2/COUNT(V47:V51)),AVERAGE(V28:V51))</f>
        <v>0</v>
      </c>
      <c r="W62">
        <f>IFERROR(TRIMMEAN(W47:W51,2/COUNT(W47:W51)),AVERAGE(W28:W51))</f>
        <v>0</v>
      </c>
      <c r="X62">
        <f>IFERROR(TRIMMEAN(X47:X51,2/COUNT(X47:X51)),AVERAGE(X28:X51))</f>
        <v>0</v>
      </c>
    </row>
    <row r="63" spans="1:25">
      <c r="A63" s="3" t="s">
        <v>109</v>
      </c>
      <c r="B63">
        <f>IFERROR(AVERAGE(B42:B51),AVERAGE(B28:B51))</f>
        <v>0</v>
      </c>
      <c r="C63">
        <f>IFERROR(AVERAGE(C42:C51),AVERAGE(C28:C51))</f>
        <v>0</v>
      </c>
      <c r="D63">
        <f>IFERROR(AVERAGE(D42:D51),AVERAGE(D28:D51))</f>
        <v>0</v>
      </c>
      <c r="E63">
        <f>IFERROR(AVERAGE(E42:E51),AVERAGE(E28:E51))</f>
        <v>0</v>
      </c>
      <c r="F63">
        <f>IFERROR(AVERAGE(F42:F51),AVERAGE(F28:F51))</f>
        <v>0</v>
      </c>
      <c r="G63">
        <f>IFERROR(AVERAGE(G42:G51),AVERAGE(G28:G51))</f>
        <v>0</v>
      </c>
      <c r="H63">
        <f>IFERROR(AVERAGE(H42:H51),AVERAGE(H28:H51))</f>
        <v>0</v>
      </c>
      <c r="I63">
        <f>IFERROR(AVERAGE(I42:I51),AVERAGE(I28:I51))</f>
        <v>0</v>
      </c>
      <c r="J63">
        <f>IFERROR(AVERAGE(J42:J51),AVERAGE(J28:J51))</f>
        <v>0</v>
      </c>
      <c r="K63">
        <f>IFERROR(AVERAGE(K42:K51),AVERAGE(K28:K51))</f>
        <v>0</v>
      </c>
      <c r="L63">
        <f>IFERROR(AVERAGE(L42:L51),AVERAGE(L28:L51))</f>
        <v>0</v>
      </c>
      <c r="M63">
        <f>IFERROR(AVERAGE(M42:M51),AVERAGE(M28:M51))</f>
        <v>0</v>
      </c>
      <c r="N63">
        <f>IFERROR(AVERAGE(N42:N51),AVERAGE(N28:N51))</f>
        <v>0</v>
      </c>
      <c r="O63">
        <f>IFERROR(AVERAGE(O42:O51),AVERAGE(O28:O51))</f>
        <v>0</v>
      </c>
      <c r="P63">
        <f>IFERROR(AVERAGE(P42:P51),AVERAGE(P28:P51))</f>
        <v>0</v>
      </c>
      <c r="Q63">
        <f>IFERROR(AVERAGE(Q42:Q51),AVERAGE(Q28:Q51))</f>
        <v>0</v>
      </c>
      <c r="R63">
        <f>IFERROR(AVERAGE(R42:R51),AVERAGE(R28:R51))</f>
        <v>0</v>
      </c>
      <c r="S63">
        <f>IFERROR(AVERAGE(S42:S51),AVERAGE(S28:S51))</f>
        <v>0</v>
      </c>
      <c r="T63">
        <f>IFERROR(AVERAGE(T42:T51),AVERAGE(T28:T51))</f>
        <v>0</v>
      </c>
      <c r="U63">
        <f>IFERROR(AVERAGE(U42:U51),AVERAGE(U28:U51))</f>
        <v>0</v>
      </c>
      <c r="V63">
        <f>IFERROR(AVERAGE(V42:V51),AVERAGE(V28:V51))</f>
        <v>0</v>
      </c>
      <c r="W63">
        <f>IFERROR(AVERAGE(W42:W51),AVERAGE(W28:W51))</f>
        <v>0</v>
      </c>
      <c r="X63">
        <f>IFERROR(AVERAGE(X42:X51),AVERAGE(X28:X51))</f>
        <v>0</v>
      </c>
    </row>
    <row r="64" spans="1:25">
      <c r="A64" s="3" t="s">
        <v>110</v>
      </c>
      <c r="B64">
        <f>IFERROR(SUMPRODUCT(B42:B51,B16:B25)/SUMPRODUCT((B42:B51&lt;&gt;"")*B16:B25),SUMPRODUCT(B28:B51,B2:B25)/SUMPRODUCT((B28:B51&lt;&gt;"")*B2:B25))</f>
        <v>0</v>
      </c>
      <c r="C64">
        <f>IFERROR(SUMPRODUCT(C42:C51,C16:C25)/SUMPRODUCT((C42:C51&lt;&gt;"")*C16:C25),SUMPRODUCT(C28:C51,C2:C25)/SUMPRODUCT((C28:C51&lt;&gt;"")*C2:C25))</f>
        <v>0</v>
      </c>
      <c r="D64">
        <f>IFERROR(SUMPRODUCT(D42:D51,D16:D25)/SUMPRODUCT((D42:D51&lt;&gt;"")*D16:D25),SUMPRODUCT(D28:D51,D2:D25)/SUMPRODUCT((D28:D51&lt;&gt;"")*D2:D25))</f>
        <v>0</v>
      </c>
      <c r="E64">
        <f>IFERROR(SUMPRODUCT(E42:E51,E16:E25)/SUMPRODUCT((E42:E51&lt;&gt;"")*E16:E25),SUMPRODUCT(E28:E51,E2:E25)/SUMPRODUCT((E28:E51&lt;&gt;"")*E2:E25))</f>
        <v>0</v>
      </c>
      <c r="F64">
        <f>IFERROR(SUMPRODUCT(F42:F51,F16:F25)/SUMPRODUCT((F42:F51&lt;&gt;"")*F16:F25),SUMPRODUCT(F28:F51,F2:F25)/SUMPRODUCT((F28:F51&lt;&gt;"")*F2:F25))</f>
        <v>0</v>
      </c>
      <c r="G64">
        <f>IFERROR(SUMPRODUCT(G42:G51,G16:G25)/SUMPRODUCT((G42:G51&lt;&gt;"")*G16:G25),SUMPRODUCT(G28:G51,G2:G25)/SUMPRODUCT((G28:G51&lt;&gt;"")*G2:G25))</f>
        <v>0</v>
      </c>
      <c r="H64">
        <f>IFERROR(SUMPRODUCT(H42:H51,H16:H25)/SUMPRODUCT((H42:H51&lt;&gt;"")*H16:H25),SUMPRODUCT(H28:H51,H2:H25)/SUMPRODUCT((H28:H51&lt;&gt;"")*H2:H25))</f>
        <v>0</v>
      </c>
      <c r="I64">
        <f>IFERROR(SUMPRODUCT(I42:I51,I16:I25)/SUMPRODUCT((I42:I51&lt;&gt;"")*I16:I25),SUMPRODUCT(I28:I51,I2:I25)/SUMPRODUCT((I28:I51&lt;&gt;"")*I2:I25))</f>
        <v>0</v>
      </c>
      <c r="J64">
        <f>IFERROR(SUMPRODUCT(J42:J51,J16:J25)/SUMPRODUCT((J42:J51&lt;&gt;"")*J16:J25),SUMPRODUCT(J28:J51,J2:J25)/SUMPRODUCT((J28:J51&lt;&gt;"")*J2:J25))</f>
        <v>0</v>
      </c>
      <c r="K64">
        <f>IFERROR(SUMPRODUCT(K42:K51,K16:K25)/SUMPRODUCT((K42:K51&lt;&gt;"")*K16:K25),SUMPRODUCT(K28:K51,K2:K25)/SUMPRODUCT((K28:K51&lt;&gt;"")*K2:K25))</f>
        <v>0</v>
      </c>
      <c r="L64">
        <f>IFERROR(SUMPRODUCT(L42:L51,L16:L25)/SUMPRODUCT((L42:L51&lt;&gt;"")*L16:L25),SUMPRODUCT(L28:L51,L2:L25)/SUMPRODUCT((L28:L51&lt;&gt;"")*L2:L25))</f>
        <v>0</v>
      </c>
      <c r="M64">
        <f>IFERROR(SUMPRODUCT(M42:M51,M16:M25)/SUMPRODUCT((M42:M51&lt;&gt;"")*M16:M25),SUMPRODUCT(M28:M51,M2:M25)/SUMPRODUCT((M28:M51&lt;&gt;"")*M2:M25))</f>
        <v>0</v>
      </c>
      <c r="N64">
        <f>IFERROR(SUMPRODUCT(N42:N51,N16:N25)/SUMPRODUCT((N42:N51&lt;&gt;"")*N16:N25),SUMPRODUCT(N28:N51,N2:N25)/SUMPRODUCT((N28:N51&lt;&gt;"")*N2:N25))</f>
        <v>0</v>
      </c>
      <c r="O64">
        <f>IFERROR(SUMPRODUCT(O42:O51,O16:O25)/SUMPRODUCT((O42:O51&lt;&gt;"")*O16:O25),SUMPRODUCT(O28:O51,O2:O25)/SUMPRODUCT((O28:O51&lt;&gt;"")*O2:O25))</f>
        <v>0</v>
      </c>
      <c r="P64">
        <f>IFERROR(SUMPRODUCT(P42:P51,P16:P25)/SUMPRODUCT((P42:P51&lt;&gt;"")*P16:P25),SUMPRODUCT(P28:P51,P2:P25)/SUMPRODUCT((P28:P51&lt;&gt;"")*P2:P25))</f>
        <v>0</v>
      </c>
      <c r="Q64">
        <f>IFERROR(SUMPRODUCT(Q42:Q51,Q16:Q25)/SUMPRODUCT((Q42:Q51&lt;&gt;"")*Q16:Q25),SUMPRODUCT(Q28:Q51,Q2:Q25)/SUMPRODUCT((Q28:Q51&lt;&gt;"")*Q2:Q25))</f>
        <v>0</v>
      </c>
      <c r="R64">
        <f>IFERROR(SUMPRODUCT(R42:R51,R16:R25)/SUMPRODUCT((R42:R51&lt;&gt;"")*R16:R25),SUMPRODUCT(R28:R51,R2:R25)/SUMPRODUCT((R28:R51&lt;&gt;"")*R2:R25))</f>
        <v>0</v>
      </c>
      <c r="S64">
        <f>IFERROR(SUMPRODUCT(S42:S51,S16:S25)/SUMPRODUCT((S42:S51&lt;&gt;"")*S16:S25),SUMPRODUCT(S28:S51,S2:S25)/SUMPRODUCT((S28:S51&lt;&gt;"")*S2:S25))</f>
        <v>0</v>
      </c>
      <c r="T64">
        <f>IFERROR(SUMPRODUCT(T42:T51,T16:T25)/SUMPRODUCT((T42:T51&lt;&gt;"")*T16:T25),SUMPRODUCT(T28:T51,T2:T25)/SUMPRODUCT((T28:T51&lt;&gt;"")*T2:T25))</f>
        <v>0</v>
      </c>
      <c r="U64">
        <f>IFERROR(SUMPRODUCT(U42:U51,U16:U25)/SUMPRODUCT((U42:U51&lt;&gt;"")*U16:U25),SUMPRODUCT(U28:U51,U2:U25)/SUMPRODUCT((U28:U51&lt;&gt;"")*U2:U25))</f>
        <v>0</v>
      </c>
      <c r="V64">
        <f>IFERROR(SUMPRODUCT(V42:V51,V16:V25)/SUMPRODUCT((V42:V51&lt;&gt;"")*V16:V25),SUMPRODUCT(V28:V51,V2:V25)/SUMPRODUCT((V28:V51&lt;&gt;"")*V2:V25))</f>
        <v>0</v>
      </c>
      <c r="W64">
        <f>IFERROR(SUMPRODUCT(W42:W51,W16:W25)/SUMPRODUCT((W42:W51&lt;&gt;"")*W16:W25),SUMPRODUCT(W28:W51,W2:W25)/SUMPRODUCT((W28:W51&lt;&gt;"")*W2:W25))</f>
        <v>0</v>
      </c>
      <c r="X64">
        <f>IFERROR(SUMPRODUCT(X42:X51,X16:X25)/SUMPRODUCT((X42:X51&lt;&gt;"")*X16:X25),SUMPRODUCT(X28:X51,X2:X25)/SUMPRODUCT((X28:X51&lt;&gt;"")*X2:X25))</f>
        <v>0</v>
      </c>
    </row>
    <row r="65" spans="1:25">
      <c r="A65" s="3" t="s">
        <v>111</v>
      </c>
      <c r="B65">
        <f>IFERROR(TRIMMEAN(B42:B51,2/COUNT(B42:B51)),AVERAGE(B28:B51))</f>
        <v>0</v>
      </c>
      <c r="C65">
        <f>IFERROR(TRIMMEAN(C42:C51,2/COUNT(C42:C51)),AVERAGE(C28:C51))</f>
        <v>0</v>
      </c>
      <c r="D65">
        <f>IFERROR(TRIMMEAN(D42:D51,2/COUNT(D42:D51)),AVERAGE(D28:D51))</f>
        <v>0</v>
      </c>
      <c r="E65">
        <f>IFERROR(TRIMMEAN(E42:E51,2/COUNT(E42:E51)),AVERAGE(E28:E51))</f>
        <v>0</v>
      </c>
      <c r="F65">
        <f>IFERROR(TRIMMEAN(F42:F51,2/COUNT(F42:F51)),AVERAGE(F28:F51))</f>
        <v>0</v>
      </c>
      <c r="G65">
        <f>IFERROR(TRIMMEAN(G42:G51,2/COUNT(G42:G51)),AVERAGE(G28:G51))</f>
        <v>0</v>
      </c>
      <c r="H65">
        <f>IFERROR(TRIMMEAN(H42:H51,2/COUNT(H42:H51)),AVERAGE(H28:H51))</f>
        <v>0</v>
      </c>
      <c r="I65">
        <f>IFERROR(TRIMMEAN(I42:I51,2/COUNT(I42:I51)),AVERAGE(I28:I51))</f>
        <v>0</v>
      </c>
      <c r="J65">
        <f>IFERROR(TRIMMEAN(J42:J51,2/COUNT(J42:J51)),AVERAGE(J28:J51))</f>
        <v>0</v>
      </c>
      <c r="K65">
        <f>IFERROR(TRIMMEAN(K42:K51,2/COUNT(K42:K51)),AVERAGE(K28:K51))</f>
        <v>0</v>
      </c>
      <c r="L65">
        <f>IFERROR(TRIMMEAN(L42:L51,2/COUNT(L42:L51)),AVERAGE(L28:L51))</f>
        <v>0</v>
      </c>
      <c r="M65">
        <f>IFERROR(TRIMMEAN(M42:M51,2/COUNT(M42:M51)),AVERAGE(M28:M51))</f>
        <v>0</v>
      </c>
      <c r="N65">
        <f>IFERROR(TRIMMEAN(N42:N51,2/COUNT(N42:N51)),AVERAGE(N28:N51))</f>
        <v>0</v>
      </c>
      <c r="O65">
        <f>IFERROR(TRIMMEAN(O42:O51,2/COUNT(O42:O51)),AVERAGE(O28:O51))</f>
        <v>0</v>
      </c>
      <c r="P65">
        <f>IFERROR(TRIMMEAN(P42:P51,2/COUNT(P42:P51)),AVERAGE(P28:P51))</f>
        <v>0</v>
      </c>
      <c r="Q65">
        <f>IFERROR(TRIMMEAN(Q42:Q51,2/COUNT(Q42:Q51)),AVERAGE(Q28:Q51))</f>
        <v>0</v>
      </c>
      <c r="R65">
        <f>IFERROR(TRIMMEAN(R42:R51,2/COUNT(R42:R51)),AVERAGE(R28:R51))</f>
        <v>0</v>
      </c>
      <c r="S65">
        <f>IFERROR(TRIMMEAN(S42:S51,2/COUNT(S42:S51)),AVERAGE(S28:S51))</f>
        <v>0</v>
      </c>
      <c r="T65">
        <f>IFERROR(TRIMMEAN(T42:T51,2/COUNT(T42:T51)),AVERAGE(T28:T51))</f>
        <v>0</v>
      </c>
      <c r="U65">
        <f>IFERROR(TRIMMEAN(U42:U51,2/COUNT(U42:U51)),AVERAGE(U28:U51))</f>
        <v>0</v>
      </c>
      <c r="V65">
        <f>IFERROR(TRIMMEAN(V42:V51,2/COUNT(V42:V51)),AVERAGE(V28:V51))</f>
        <v>0</v>
      </c>
      <c r="W65">
        <f>IFERROR(TRIMMEAN(W42:W51,2/COUNT(W42:W51)),AVERAGE(W28:W51))</f>
        <v>0</v>
      </c>
      <c r="X65">
        <f>IFERROR(TRIMMEAN(X42:X51,2/COUNT(X42:X51)),AVERAGE(X28:X51))</f>
        <v>0</v>
      </c>
    </row>
    <row r="66" spans="1:25">
      <c r="A66" s="3"/>
    </row>
    <row r="67" spans="1:25">
      <c r="A67" s="3"/>
      <c r="B67" t="s">
        <v>75</v>
      </c>
      <c r="C67" t="s">
        <v>76</v>
      </c>
      <c r="D67" t="s">
        <v>77</v>
      </c>
      <c r="E67" t="s">
        <v>78</v>
      </c>
      <c r="F67" t="s">
        <v>79</v>
      </c>
      <c r="G67" t="s">
        <v>80</v>
      </c>
      <c r="H67" t="s">
        <v>81</v>
      </c>
      <c r="I67" t="s">
        <v>82</v>
      </c>
      <c r="J67" t="s">
        <v>83</v>
      </c>
      <c r="K67" t="s">
        <v>84</v>
      </c>
      <c r="L67" t="s">
        <v>85</v>
      </c>
      <c r="M67" t="s">
        <v>86</v>
      </c>
      <c r="N67" t="s">
        <v>87</v>
      </c>
      <c r="O67" t="s">
        <v>88</v>
      </c>
      <c r="P67" t="s">
        <v>89</v>
      </c>
      <c r="Q67" t="s">
        <v>90</v>
      </c>
      <c r="R67" t="s">
        <v>91</v>
      </c>
      <c r="S67" t="s">
        <v>92</v>
      </c>
      <c r="T67" t="s">
        <v>93</v>
      </c>
      <c r="U67" t="s">
        <v>94</v>
      </c>
      <c r="V67" t="s">
        <v>95</v>
      </c>
      <c r="W67" t="s">
        <v>96</v>
      </c>
      <c r="X67" t="s">
        <v>97</v>
      </c>
    </row>
    <row r="68" spans="1:25">
      <c r="A68" s="3" t="s">
        <v>112</v>
      </c>
      <c r="B68" s="4">
        <f>IF('C:\Users\super\Documents\actuarial\cas-rfp\spec-only\team-analyst\sample-data\sample-run\selections\[Chain Ladder Selections - LDFs.xlsx]Incurred Loss'!B74&lt;&gt;"",'C:\Users\super\Documents\actuarial\cas-rfp\spec-only\team-analyst\sample-data\sample-run\selections\[Chain Ladder Selections - LDFs.xlsx]Incurred Loss'!B74,'C:\Users\super\Documents\actuarial\cas-rfp\spec-only\team-analyst\sample-data\sample-run\selections\[Chain Ladder Selections - LDFs.xlsx]Incurred Loss'!B68)</f>
        <v/>
      </c>
      <c r="C68" s="4">
        <f>IF('C:\Users\super\Documents\actuarial\cas-rfp\spec-only\team-analyst\sample-data\sample-run\selections\[Chain Ladder Selections - LDFs.xlsx]Incurred Loss'!C74&lt;&gt;"",'C:\Users\super\Documents\actuarial\cas-rfp\spec-only\team-analyst\sample-data\sample-run\selections\[Chain Ladder Selections - LDFs.xlsx]Incurred Loss'!C74,'C:\Users\super\Documents\actuarial\cas-rfp\spec-only\team-analyst\sample-data\sample-run\selections\[Chain Ladder Selections - LDFs.xlsx]Incurred Loss'!C68)</f>
        <v/>
      </c>
      <c r="D68" s="4">
        <f>IF('C:\Users\super\Documents\actuarial\cas-rfp\spec-only\team-analyst\sample-data\sample-run\selections\[Chain Ladder Selections - LDFs.xlsx]Incurred Loss'!D74&lt;&gt;"",'C:\Users\super\Documents\actuarial\cas-rfp\spec-only\team-analyst\sample-data\sample-run\selections\[Chain Ladder Selections - LDFs.xlsx]Incurred Loss'!D74,'C:\Users\super\Documents\actuarial\cas-rfp\spec-only\team-analyst\sample-data\sample-run\selections\[Chain Ladder Selections - LDFs.xlsx]Incurred Loss'!D68)</f>
        <v/>
      </c>
      <c r="E68" s="4">
        <f>IF('C:\Users\super\Documents\actuarial\cas-rfp\spec-only\team-analyst\sample-data\sample-run\selections\[Chain Ladder Selections - LDFs.xlsx]Incurred Loss'!E74&lt;&gt;"",'C:\Users\super\Documents\actuarial\cas-rfp\spec-only\team-analyst\sample-data\sample-run\selections\[Chain Ladder Selections - LDFs.xlsx]Incurred Loss'!E74,'C:\Users\super\Documents\actuarial\cas-rfp\spec-only\team-analyst\sample-data\sample-run\selections\[Chain Ladder Selections - LDFs.xlsx]Incurred Loss'!E68)</f>
        <v/>
      </c>
      <c r="F68" s="4">
        <f>IF('C:\Users\super\Documents\actuarial\cas-rfp\spec-only\team-analyst\sample-data\sample-run\selections\[Chain Ladder Selections - LDFs.xlsx]Incurred Loss'!F74&lt;&gt;"",'C:\Users\super\Documents\actuarial\cas-rfp\spec-only\team-analyst\sample-data\sample-run\selections\[Chain Ladder Selections - LDFs.xlsx]Incurred Loss'!F74,'C:\Users\super\Documents\actuarial\cas-rfp\spec-only\team-analyst\sample-data\sample-run\selections\[Chain Ladder Selections - LDFs.xlsx]Incurred Loss'!F68)</f>
        <v/>
      </c>
      <c r="G68" s="4">
        <f>IF('C:\Users\super\Documents\actuarial\cas-rfp\spec-only\team-analyst\sample-data\sample-run\selections\[Chain Ladder Selections - LDFs.xlsx]Incurred Loss'!G74&lt;&gt;"",'C:\Users\super\Documents\actuarial\cas-rfp\spec-only\team-analyst\sample-data\sample-run\selections\[Chain Ladder Selections - LDFs.xlsx]Incurred Loss'!G74,'C:\Users\super\Documents\actuarial\cas-rfp\spec-only\team-analyst\sample-data\sample-run\selections\[Chain Ladder Selections - LDFs.xlsx]Incurred Loss'!G68)</f>
        <v/>
      </c>
      <c r="H68" s="4">
        <f>IF('C:\Users\super\Documents\actuarial\cas-rfp\spec-only\team-analyst\sample-data\sample-run\selections\[Chain Ladder Selections - LDFs.xlsx]Incurred Loss'!H74&lt;&gt;"",'C:\Users\super\Documents\actuarial\cas-rfp\spec-only\team-analyst\sample-data\sample-run\selections\[Chain Ladder Selections - LDFs.xlsx]Incurred Loss'!H74,'C:\Users\super\Documents\actuarial\cas-rfp\spec-only\team-analyst\sample-data\sample-run\selections\[Chain Ladder Selections - LDFs.xlsx]Incurred Loss'!H68)</f>
        <v/>
      </c>
      <c r="I68" s="4">
        <f>IF('C:\Users\super\Documents\actuarial\cas-rfp\spec-only\team-analyst\sample-data\sample-run\selections\[Chain Ladder Selections - LDFs.xlsx]Incurred Loss'!I74&lt;&gt;"",'C:\Users\super\Documents\actuarial\cas-rfp\spec-only\team-analyst\sample-data\sample-run\selections\[Chain Ladder Selections - LDFs.xlsx]Incurred Loss'!I74,'C:\Users\super\Documents\actuarial\cas-rfp\spec-only\team-analyst\sample-data\sample-run\selections\[Chain Ladder Selections - LDFs.xlsx]Incurred Loss'!I68)</f>
        <v/>
      </c>
      <c r="J68" s="4">
        <f>IF('C:\Users\super\Documents\actuarial\cas-rfp\spec-only\team-analyst\sample-data\sample-run\selections\[Chain Ladder Selections - LDFs.xlsx]Incurred Loss'!J74&lt;&gt;"",'C:\Users\super\Documents\actuarial\cas-rfp\spec-only\team-analyst\sample-data\sample-run\selections\[Chain Ladder Selections - LDFs.xlsx]Incurred Loss'!J74,'C:\Users\super\Documents\actuarial\cas-rfp\spec-only\team-analyst\sample-data\sample-run\selections\[Chain Ladder Selections - LDFs.xlsx]Incurred Loss'!J68)</f>
        <v/>
      </c>
      <c r="K68" s="4">
        <f>IF('C:\Users\super\Documents\actuarial\cas-rfp\spec-only\team-analyst\sample-data\sample-run\selections\[Chain Ladder Selections - LDFs.xlsx]Incurred Loss'!K74&lt;&gt;"",'C:\Users\super\Documents\actuarial\cas-rfp\spec-only\team-analyst\sample-data\sample-run\selections\[Chain Ladder Selections - LDFs.xlsx]Incurred Loss'!K74,'C:\Users\super\Documents\actuarial\cas-rfp\spec-only\team-analyst\sample-data\sample-run\selections\[Chain Ladder Selections - LDFs.xlsx]Incurred Loss'!K68)</f>
        <v/>
      </c>
      <c r="L68" s="4">
        <f>IF('C:\Users\super\Documents\actuarial\cas-rfp\spec-only\team-analyst\sample-data\sample-run\selections\[Chain Ladder Selections - LDFs.xlsx]Incurred Loss'!L74&lt;&gt;"",'C:\Users\super\Documents\actuarial\cas-rfp\spec-only\team-analyst\sample-data\sample-run\selections\[Chain Ladder Selections - LDFs.xlsx]Incurred Loss'!L74,'C:\Users\super\Documents\actuarial\cas-rfp\spec-only\team-analyst\sample-data\sample-run\selections\[Chain Ladder Selections - LDFs.xlsx]Incurred Loss'!L68)</f>
        <v/>
      </c>
      <c r="M68" s="4">
        <f>IF('C:\Users\super\Documents\actuarial\cas-rfp\spec-only\team-analyst\sample-data\sample-run\selections\[Chain Ladder Selections - LDFs.xlsx]Incurred Loss'!M74&lt;&gt;"",'C:\Users\super\Documents\actuarial\cas-rfp\spec-only\team-analyst\sample-data\sample-run\selections\[Chain Ladder Selections - LDFs.xlsx]Incurred Loss'!M74,'C:\Users\super\Documents\actuarial\cas-rfp\spec-only\team-analyst\sample-data\sample-run\selections\[Chain Ladder Selections - LDFs.xlsx]Incurred Loss'!M68)</f>
        <v/>
      </c>
      <c r="N68" s="4">
        <f>IF('C:\Users\super\Documents\actuarial\cas-rfp\spec-only\team-analyst\sample-data\sample-run\selections\[Chain Ladder Selections - LDFs.xlsx]Incurred Loss'!N74&lt;&gt;"",'C:\Users\super\Documents\actuarial\cas-rfp\spec-only\team-analyst\sample-data\sample-run\selections\[Chain Ladder Selections - LDFs.xlsx]Incurred Loss'!N74,'C:\Users\super\Documents\actuarial\cas-rfp\spec-only\team-analyst\sample-data\sample-run\selections\[Chain Ladder Selections - LDFs.xlsx]Incurred Loss'!N68)</f>
        <v/>
      </c>
      <c r="O68" s="4">
        <f>IF('C:\Users\super\Documents\actuarial\cas-rfp\spec-only\team-analyst\sample-data\sample-run\selections\[Chain Ladder Selections - LDFs.xlsx]Incurred Loss'!O74&lt;&gt;"",'C:\Users\super\Documents\actuarial\cas-rfp\spec-only\team-analyst\sample-data\sample-run\selections\[Chain Ladder Selections - LDFs.xlsx]Incurred Loss'!O74,'C:\Users\super\Documents\actuarial\cas-rfp\spec-only\team-analyst\sample-data\sample-run\selections\[Chain Ladder Selections - LDFs.xlsx]Incurred Loss'!O68)</f>
        <v/>
      </c>
      <c r="P68" s="4">
        <f>IF('C:\Users\super\Documents\actuarial\cas-rfp\spec-only\team-analyst\sample-data\sample-run\selections\[Chain Ladder Selections - LDFs.xlsx]Incurred Loss'!P74&lt;&gt;"",'C:\Users\super\Documents\actuarial\cas-rfp\spec-only\team-analyst\sample-data\sample-run\selections\[Chain Ladder Selections - LDFs.xlsx]Incurred Loss'!P74,'C:\Users\super\Documents\actuarial\cas-rfp\spec-only\team-analyst\sample-data\sample-run\selections\[Chain Ladder Selections - LDFs.xlsx]Incurred Loss'!P68)</f>
        <v/>
      </c>
      <c r="Q68" s="4">
        <f>IF('C:\Users\super\Documents\actuarial\cas-rfp\spec-only\team-analyst\sample-data\sample-run\selections\[Chain Ladder Selections - LDFs.xlsx]Incurred Loss'!Q74&lt;&gt;"",'C:\Users\super\Documents\actuarial\cas-rfp\spec-only\team-analyst\sample-data\sample-run\selections\[Chain Ladder Selections - LDFs.xlsx]Incurred Loss'!Q74,'C:\Users\super\Documents\actuarial\cas-rfp\spec-only\team-analyst\sample-data\sample-run\selections\[Chain Ladder Selections - LDFs.xlsx]Incurred Loss'!Q68)</f>
        <v/>
      </c>
      <c r="R68" s="4">
        <f>IF('C:\Users\super\Documents\actuarial\cas-rfp\spec-only\team-analyst\sample-data\sample-run\selections\[Chain Ladder Selections - LDFs.xlsx]Incurred Loss'!R74&lt;&gt;"",'C:\Users\super\Documents\actuarial\cas-rfp\spec-only\team-analyst\sample-data\sample-run\selections\[Chain Ladder Selections - LDFs.xlsx]Incurred Loss'!R74,'C:\Users\super\Documents\actuarial\cas-rfp\spec-only\team-analyst\sample-data\sample-run\selections\[Chain Ladder Selections - LDFs.xlsx]Incurred Loss'!R68)</f>
        <v/>
      </c>
      <c r="S68" s="4">
        <f>IF('C:\Users\super\Documents\actuarial\cas-rfp\spec-only\team-analyst\sample-data\sample-run\selections\[Chain Ladder Selections - LDFs.xlsx]Incurred Loss'!S74&lt;&gt;"",'C:\Users\super\Documents\actuarial\cas-rfp\spec-only\team-analyst\sample-data\sample-run\selections\[Chain Ladder Selections - LDFs.xlsx]Incurred Loss'!S74,'C:\Users\super\Documents\actuarial\cas-rfp\spec-only\team-analyst\sample-data\sample-run\selections\[Chain Ladder Selections - LDFs.xlsx]Incurred Loss'!S68)</f>
        <v/>
      </c>
      <c r="T68" s="4">
        <f>IF('C:\Users\super\Documents\actuarial\cas-rfp\spec-only\team-analyst\sample-data\sample-run\selections\[Chain Ladder Selections - LDFs.xlsx]Incurred Loss'!T74&lt;&gt;"",'C:\Users\super\Documents\actuarial\cas-rfp\spec-only\team-analyst\sample-data\sample-run\selections\[Chain Ladder Selections - LDFs.xlsx]Incurred Loss'!T74,'C:\Users\super\Documents\actuarial\cas-rfp\spec-only\team-analyst\sample-data\sample-run\selections\[Chain Ladder Selections - LDFs.xlsx]Incurred Loss'!T68)</f>
        <v/>
      </c>
      <c r="U68" s="4">
        <f>IF('C:\Users\super\Documents\actuarial\cas-rfp\spec-only\team-analyst\sample-data\sample-run\selections\[Chain Ladder Selections - LDFs.xlsx]Incurred Loss'!U74&lt;&gt;"",'C:\Users\super\Documents\actuarial\cas-rfp\spec-only\team-analyst\sample-data\sample-run\selections\[Chain Ladder Selections - LDFs.xlsx]Incurred Loss'!U74,'C:\Users\super\Documents\actuarial\cas-rfp\spec-only\team-analyst\sample-data\sample-run\selections\[Chain Ladder Selections - LDFs.xlsx]Incurred Loss'!U68)</f>
        <v/>
      </c>
      <c r="V68" s="4">
        <f>IF('C:\Users\super\Documents\actuarial\cas-rfp\spec-only\team-analyst\sample-data\sample-run\selections\[Chain Ladder Selections - LDFs.xlsx]Incurred Loss'!V74&lt;&gt;"",'C:\Users\super\Documents\actuarial\cas-rfp\spec-only\team-analyst\sample-data\sample-run\selections\[Chain Ladder Selections - LDFs.xlsx]Incurred Loss'!V74,'C:\Users\super\Documents\actuarial\cas-rfp\spec-only\team-analyst\sample-data\sample-run\selections\[Chain Ladder Selections - LDFs.xlsx]Incurred Loss'!V68)</f>
        <v/>
      </c>
      <c r="W68" s="4">
        <f>IF('C:\Users\super\Documents\actuarial\cas-rfp\spec-only\team-analyst\sample-data\sample-run\selections\[Chain Ladder Selections - LDFs.xlsx]Incurred Loss'!W74&lt;&gt;"",'C:\Users\super\Documents\actuarial\cas-rfp\spec-only\team-analyst\sample-data\sample-run\selections\[Chain Ladder Selections - LDFs.xlsx]Incurred Loss'!W74,'C:\Users\super\Documents\actuarial\cas-rfp\spec-only\team-analyst\sample-data\sample-run\selections\[Chain Ladder Selections - LDFs.xlsx]Incurred Loss'!W68)</f>
        <v/>
      </c>
      <c r="X68" s="4">
        <f>IF('C:\Users\super\Documents\actuarial\cas-rfp\spec-only\team-analyst\sample-data\sample-run\selections\[Chain Ladder Selections - LDFs.xlsx]Incurred Loss'!X74&lt;&gt;"",'C:\Users\super\Documents\actuarial\cas-rfp\spec-only\team-analyst\sample-data\sample-run\selections\[Chain Ladder Selections - LDFs.xlsx]Incurred Loss'!X74,'C:\Users\super\Documents\actuarial\cas-rfp\spec-only\team-analyst\sample-data\sample-run\selections\[Chain Ladder Selections - LDFs.xlsx]Incurred Loss'!X68)</f>
        <v/>
      </c>
      <c r="Y68" s="4">
        <f>IF('C:\Users\super\Documents\actuarial\cas-rfp\spec-only\team-analyst\sample-data\sample-run\selections\[Chain Ladder Selections - LDFs.xlsx]Incurred Loss'!Y74&lt;&gt;"",'C:\Users\super\Documents\actuarial\cas-rfp\spec-only\team-analyst\sample-data\sample-run\selections\[Chain Ladder Selections - LDFs.xlsx]Incurred Loss'!Y74,'C:\Users\super\Documents\actuarial\cas-rfp\spec-only\team-analyst\sample-data\sample-run\selections\[Chain Ladder Selections - LDFs.xlsx]Incurred Loss'!Y68)</f>
        <v/>
      </c>
    </row>
    <row r="69" spans="1:25">
      <c r="A69" s="3" t="s">
        <v>12</v>
      </c>
      <c r="B69" s="3">
        <f>IF('C:\Users\super\Documents\actuarial\cas-rfp\spec-only\team-analyst\sample-data\sample-run\selections\[Chain Ladder Selections - LDFs.xlsx]Incurred Loss'!B74&lt;&gt;"",'C:\Users\super\Documents\actuarial\cas-rfp\spec-only\team-analyst\sample-data\sample-run\selections\[Chain Ladder Selections - LDFs.xlsx]Incurred Loss'!B75,'C:\Users\super\Documents\actuarial\cas-rfp\spec-only\team-analyst\sample-data\sample-run\selections\[Chain Ladder Selections - LDFs.xlsx]Incurred Loss'!B69)</f>
        <v/>
      </c>
      <c r="C69" s="3">
        <f>IF('C:\Users\super\Documents\actuarial\cas-rfp\spec-only\team-analyst\sample-data\sample-run\selections\[Chain Ladder Selections - LDFs.xlsx]Incurred Loss'!C74&lt;&gt;"",'C:\Users\super\Documents\actuarial\cas-rfp\spec-only\team-analyst\sample-data\sample-run\selections\[Chain Ladder Selections - LDFs.xlsx]Incurred Loss'!C75,'C:\Users\super\Documents\actuarial\cas-rfp\spec-only\team-analyst\sample-data\sample-run\selections\[Chain Ladder Selections - LDFs.xlsx]Incurred Loss'!C69)</f>
        <v/>
      </c>
      <c r="D69" s="3">
        <f>IF('C:\Users\super\Documents\actuarial\cas-rfp\spec-only\team-analyst\sample-data\sample-run\selections\[Chain Ladder Selections - LDFs.xlsx]Incurred Loss'!D74&lt;&gt;"",'C:\Users\super\Documents\actuarial\cas-rfp\spec-only\team-analyst\sample-data\sample-run\selections\[Chain Ladder Selections - LDFs.xlsx]Incurred Loss'!D75,'C:\Users\super\Documents\actuarial\cas-rfp\spec-only\team-analyst\sample-data\sample-run\selections\[Chain Ladder Selections - LDFs.xlsx]Incurred Loss'!D69)</f>
        <v/>
      </c>
      <c r="E69" s="3">
        <f>IF('C:\Users\super\Documents\actuarial\cas-rfp\spec-only\team-analyst\sample-data\sample-run\selections\[Chain Ladder Selections - LDFs.xlsx]Incurred Loss'!E74&lt;&gt;"",'C:\Users\super\Documents\actuarial\cas-rfp\spec-only\team-analyst\sample-data\sample-run\selections\[Chain Ladder Selections - LDFs.xlsx]Incurred Loss'!E75,'C:\Users\super\Documents\actuarial\cas-rfp\spec-only\team-analyst\sample-data\sample-run\selections\[Chain Ladder Selections - LDFs.xlsx]Incurred Loss'!E69)</f>
        <v/>
      </c>
      <c r="F69" s="3">
        <f>IF('C:\Users\super\Documents\actuarial\cas-rfp\spec-only\team-analyst\sample-data\sample-run\selections\[Chain Ladder Selections - LDFs.xlsx]Incurred Loss'!F74&lt;&gt;"",'C:\Users\super\Documents\actuarial\cas-rfp\spec-only\team-analyst\sample-data\sample-run\selections\[Chain Ladder Selections - LDFs.xlsx]Incurred Loss'!F75,'C:\Users\super\Documents\actuarial\cas-rfp\spec-only\team-analyst\sample-data\sample-run\selections\[Chain Ladder Selections - LDFs.xlsx]Incurred Loss'!F69)</f>
        <v/>
      </c>
      <c r="G69" s="3">
        <f>IF('C:\Users\super\Documents\actuarial\cas-rfp\spec-only\team-analyst\sample-data\sample-run\selections\[Chain Ladder Selections - LDFs.xlsx]Incurred Loss'!G74&lt;&gt;"",'C:\Users\super\Documents\actuarial\cas-rfp\spec-only\team-analyst\sample-data\sample-run\selections\[Chain Ladder Selections - LDFs.xlsx]Incurred Loss'!G75,'C:\Users\super\Documents\actuarial\cas-rfp\spec-only\team-analyst\sample-data\sample-run\selections\[Chain Ladder Selections - LDFs.xlsx]Incurred Loss'!G69)</f>
        <v/>
      </c>
      <c r="H69" s="3">
        <f>IF('C:\Users\super\Documents\actuarial\cas-rfp\spec-only\team-analyst\sample-data\sample-run\selections\[Chain Ladder Selections - LDFs.xlsx]Incurred Loss'!H74&lt;&gt;"",'C:\Users\super\Documents\actuarial\cas-rfp\spec-only\team-analyst\sample-data\sample-run\selections\[Chain Ladder Selections - LDFs.xlsx]Incurred Loss'!H75,'C:\Users\super\Documents\actuarial\cas-rfp\spec-only\team-analyst\sample-data\sample-run\selections\[Chain Ladder Selections - LDFs.xlsx]Incurred Loss'!H69)</f>
        <v/>
      </c>
      <c r="I69" s="3">
        <f>IF('C:\Users\super\Documents\actuarial\cas-rfp\spec-only\team-analyst\sample-data\sample-run\selections\[Chain Ladder Selections - LDFs.xlsx]Incurred Loss'!I74&lt;&gt;"",'C:\Users\super\Documents\actuarial\cas-rfp\spec-only\team-analyst\sample-data\sample-run\selections\[Chain Ladder Selections - LDFs.xlsx]Incurred Loss'!I75,'C:\Users\super\Documents\actuarial\cas-rfp\spec-only\team-analyst\sample-data\sample-run\selections\[Chain Ladder Selections - LDFs.xlsx]Incurred Loss'!I69)</f>
        <v/>
      </c>
      <c r="J69" s="3">
        <f>IF('C:\Users\super\Documents\actuarial\cas-rfp\spec-only\team-analyst\sample-data\sample-run\selections\[Chain Ladder Selections - LDFs.xlsx]Incurred Loss'!J74&lt;&gt;"",'C:\Users\super\Documents\actuarial\cas-rfp\spec-only\team-analyst\sample-data\sample-run\selections\[Chain Ladder Selections - LDFs.xlsx]Incurred Loss'!J75,'C:\Users\super\Documents\actuarial\cas-rfp\spec-only\team-analyst\sample-data\sample-run\selections\[Chain Ladder Selections - LDFs.xlsx]Incurred Loss'!J69)</f>
        <v/>
      </c>
      <c r="K69" s="3">
        <f>IF('C:\Users\super\Documents\actuarial\cas-rfp\spec-only\team-analyst\sample-data\sample-run\selections\[Chain Ladder Selections - LDFs.xlsx]Incurred Loss'!K74&lt;&gt;"",'C:\Users\super\Documents\actuarial\cas-rfp\spec-only\team-analyst\sample-data\sample-run\selections\[Chain Ladder Selections - LDFs.xlsx]Incurred Loss'!K75,'C:\Users\super\Documents\actuarial\cas-rfp\spec-only\team-analyst\sample-data\sample-run\selections\[Chain Ladder Selections - LDFs.xlsx]Incurred Loss'!K69)</f>
        <v/>
      </c>
      <c r="L69" s="3">
        <f>IF('C:\Users\super\Documents\actuarial\cas-rfp\spec-only\team-analyst\sample-data\sample-run\selections\[Chain Ladder Selections - LDFs.xlsx]Incurred Loss'!L74&lt;&gt;"",'C:\Users\super\Documents\actuarial\cas-rfp\spec-only\team-analyst\sample-data\sample-run\selections\[Chain Ladder Selections - LDFs.xlsx]Incurred Loss'!L75,'C:\Users\super\Documents\actuarial\cas-rfp\spec-only\team-analyst\sample-data\sample-run\selections\[Chain Ladder Selections - LDFs.xlsx]Incurred Loss'!L69)</f>
        <v/>
      </c>
      <c r="M69" s="3">
        <f>IF('C:\Users\super\Documents\actuarial\cas-rfp\spec-only\team-analyst\sample-data\sample-run\selections\[Chain Ladder Selections - LDFs.xlsx]Incurred Loss'!M74&lt;&gt;"",'C:\Users\super\Documents\actuarial\cas-rfp\spec-only\team-analyst\sample-data\sample-run\selections\[Chain Ladder Selections - LDFs.xlsx]Incurred Loss'!M75,'C:\Users\super\Documents\actuarial\cas-rfp\spec-only\team-analyst\sample-data\sample-run\selections\[Chain Ladder Selections - LDFs.xlsx]Incurred Loss'!M69)</f>
        <v/>
      </c>
      <c r="N69" s="3">
        <f>IF('C:\Users\super\Documents\actuarial\cas-rfp\spec-only\team-analyst\sample-data\sample-run\selections\[Chain Ladder Selections - LDFs.xlsx]Incurred Loss'!N74&lt;&gt;"",'C:\Users\super\Documents\actuarial\cas-rfp\spec-only\team-analyst\sample-data\sample-run\selections\[Chain Ladder Selections - LDFs.xlsx]Incurred Loss'!N75,'C:\Users\super\Documents\actuarial\cas-rfp\spec-only\team-analyst\sample-data\sample-run\selections\[Chain Ladder Selections - LDFs.xlsx]Incurred Loss'!N69)</f>
        <v/>
      </c>
      <c r="O69" s="3">
        <f>IF('C:\Users\super\Documents\actuarial\cas-rfp\spec-only\team-analyst\sample-data\sample-run\selections\[Chain Ladder Selections - LDFs.xlsx]Incurred Loss'!O74&lt;&gt;"",'C:\Users\super\Documents\actuarial\cas-rfp\spec-only\team-analyst\sample-data\sample-run\selections\[Chain Ladder Selections - LDFs.xlsx]Incurred Loss'!O75,'C:\Users\super\Documents\actuarial\cas-rfp\spec-only\team-analyst\sample-data\sample-run\selections\[Chain Ladder Selections - LDFs.xlsx]Incurred Loss'!O69)</f>
        <v/>
      </c>
      <c r="P69" s="3">
        <f>IF('C:\Users\super\Documents\actuarial\cas-rfp\spec-only\team-analyst\sample-data\sample-run\selections\[Chain Ladder Selections - LDFs.xlsx]Incurred Loss'!P74&lt;&gt;"",'C:\Users\super\Documents\actuarial\cas-rfp\spec-only\team-analyst\sample-data\sample-run\selections\[Chain Ladder Selections - LDFs.xlsx]Incurred Loss'!P75,'C:\Users\super\Documents\actuarial\cas-rfp\spec-only\team-analyst\sample-data\sample-run\selections\[Chain Ladder Selections - LDFs.xlsx]Incurred Loss'!P69)</f>
        <v/>
      </c>
      <c r="Q69" s="3">
        <f>IF('C:\Users\super\Documents\actuarial\cas-rfp\spec-only\team-analyst\sample-data\sample-run\selections\[Chain Ladder Selections - LDFs.xlsx]Incurred Loss'!Q74&lt;&gt;"",'C:\Users\super\Documents\actuarial\cas-rfp\spec-only\team-analyst\sample-data\sample-run\selections\[Chain Ladder Selections - LDFs.xlsx]Incurred Loss'!Q75,'C:\Users\super\Documents\actuarial\cas-rfp\spec-only\team-analyst\sample-data\sample-run\selections\[Chain Ladder Selections - LDFs.xlsx]Incurred Loss'!Q69)</f>
        <v/>
      </c>
      <c r="R69" s="3">
        <f>IF('C:\Users\super\Documents\actuarial\cas-rfp\spec-only\team-analyst\sample-data\sample-run\selections\[Chain Ladder Selections - LDFs.xlsx]Incurred Loss'!R74&lt;&gt;"",'C:\Users\super\Documents\actuarial\cas-rfp\spec-only\team-analyst\sample-data\sample-run\selections\[Chain Ladder Selections - LDFs.xlsx]Incurred Loss'!R75,'C:\Users\super\Documents\actuarial\cas-rfp\spec-only\team-analyst\sample-data\sample-run\selections\[Chain Ladder Selections - LDFs.xlsx]Incurred Loss'!R69)</f>
        <v/>
      </c>
      <c r="S69" s="3">
        <f>IF('C:\Users\super\Documents\actuarial\cas-rfp\spec-only\team-analyst\sample-data\sample-run\selections\[Chain Ladder Selections - LDFs.xlsx]Incurred Loss'!S74&lt;&gt;"",'C:\Users\super\Documents\actuarial\cas-rfp\spec-only\team-analyst\sample-data\sample-run\selections\[Chain Ladder Selections - LDFs.xlsx]Incurred Loss'!S75,'C:\Users\super\Documents\actuarial\cas-rfp\spec-only\team-analyst\sample-data\sample-run\selections\[Chain Ladder Selections - LDFs.xlsx]Incurred Loss'!S69)</f>
        <v/>
      </c>
      <c r="T69" s="3">
        <f>IF('C:\Users\super\Documents\actuarial\cas-rfp\spec-only\team-analyst\sample-data\sample-run\selections\[Chain Ladder Selections - LDFs.xlsx]Incurred Loss'!T74&lt;&gt;"",'C:\Users\super\Documents\actuarial\cas-rfp\spec-only\team-analyst\sample-data\sample-run\selections\[Chain Ladder Selections - LDFs.xlsx]Incurred Loss'!T75,'C:\Users\super\Documents\actuarial\cas-rfp\spec-only\team-analyst\sample-data\sample-run\selections\[Chain Ladder Selections - LDFs.xlsx]Incurred Loss'!T69)</f>
        <v/>
      </c>
      <c r="U69" s="3">
        <f>IF('C:\Users\super\Documents\actuarial\cas-rfp\spec-only\team-analyst\sample-data\sample-run\selections\[Chain Ladder Selections - LDFs.xlsx]Incurred Loss'!U74&lt;&gt;"",'C:\Users\super\Documents\actuarial\cas-rfp\spec-only\team-analyst\sample-data\sample-run\selections\[Chain Ladder Selections - LDFs.xlsx]Incurred Loss'!U75,'C:\Users\super\Documents\actuarial\cas-rfp\spec-only\team-analyst\sample-data\sample-run\selections\[Chain Ladder Selections - LDFs.xlsx]Incurred Loss'!U69)</f>
        <v/>
      </c>
      <c r="V69" s="3">
        <f>IF('C:\Users\super\Documents\actuarial\cas-rfp\spec-only\team-analyst\sample-data\sample-run\selections\[Chain Ladder Selections - LDFs.xlsx]Incurred Loss'!V74&lt;&gt;"",'C:\Users\super\Documents\actuarial\cas-rfp\spec-only\team-analyst\sample-data\sample-run\selections\[Chain Ladder Selections - LDFs.xlsx]Incurred Loss'!V75,'C:\Users\super\Documents\actuarial\cas-rfp\spec-only\team-analyst\sample-data\sample-run\selections\[Chain Ladder Selections - LDFs.xlsx]Incurred Loss'!V69)</f>
        <v/>
      </c>
      <c r="W69" s="3">
        <f>IF('C:\Users\super\Documents\actuarial\cas-rfp\spec-only\team-analyst\sample-data\sample-run\selections\[Chain Ladder Selections - LDFs.xlsx]Incurred Loss'!W74&lt;&gt;"",'C:\Users\super\Documents\actuarial\cas-rfp\spec-only\team-analyst\sample-data\sample-run\selections\[Chain Ladder Selections - LDFs.xlsx]Incurred Loss'!W75,'C:\Users\super\Documents\actuarial\cas-rfp\spec-only\team-analyst\sample-data\sample-run\selections\[Chain Ladder Selections - LDFs.xlsx]Incurred Loss'!W69)</f>
        <v/>
      </c>
      <c r="X69" s="3">
        <f>IF('C:\Users\super\Documents\actuarial\cas-rfp\spec-only\team-analyst\sample-data\sample-run\selections\[Chain Ladder Selections - LDFs.xlsx]Incurred Loss'!X74&lt;&gt;"",'C:\Users\super\Documents\actuarial\cas-rfp\spec-only\team-analyst\sample-data\sample-run\selections\[Chain Ladder Selections - LDFs.xlsx]Incurred Loss'!X75,'C:\Users\super\Documents\actuarial\cas-rfp\spec-only\team-analyst\sample-data\sample-run\selections\[Chain Ladder Selections - LDFs.xlsx]Incurred Loss'!X69)</f>
        <v/>
      </c>
      <c r="Y69" s="3">
        <f>IF('C:\Users\super\Documents\actuarial\cas-rfp\spec-only\team-analyst\sample-data\sample-run\selections\[Chain Ladder Selections - LDFs.xlsx]Incurred Loss'!Y74&lt;&gt;"",'C:\Users\super\Documents\actuarial\cas-rfp\spec-only\team-analyst\sample-data\sample-run\selections\[Chain Ladder Selections - LDFs.xlsx]Incurred Loss'!Y75,'C:\Users\super\Documents\actuarial\cas-rfp\spec-only\team-analyst\sample-data\sample-run\selections\[Chain Ladder Selections - LDFs.xlsx]Incurred Loss'!Y69)</f>
        <v/>
      </c>
    </row>
    <row r="70" spans="1:25">
      <c r="A70" s="3"/>
    </row>
    <row r="71" spans="1:25">
      <c r="A71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Y71"/>
  <sheetViews>
    <sheetView workbookViewId="0"/>
  </sheetViews>
  <sheetFormatPr defaultRowHeight="15"/>
  <cols>
    <col min="1" max="1" width="25.7109375" customWidth="1"/>
    <col min="2" max="21" width="12.7109375" customWidth="1"/>
  </cols>
  <sheetData>
    <row r="1" spans="1:25">
      <c r="A1" s="3" t="s">
        <v>50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  <c r="J1" t="s">
        <v>28</v>
      </c>
      <c r="K1" t="s">
        <v>27</v>
      </c>
      <c r="L1" t="s">
        <v>26</v>
      </c>
      <c r="M1" t="s">
        <v>25</v>
      </c>
      <c r="N1" t="s">
        <v>24</v>
      </c>
      <c r="O1" t="s">
        <v>23</v>
      </c>
      <c r="P1" t="s">
        <v>22</v>
      </c>
      <c r="Q1" t="s">
        <v>21</v>
      </c>
      <c r="R1" t="s">
        <v>20</v>
      </c>
      <c r="S1" t="s">
        <v>19</v>
      </c>
      <c r="T1" t="s">
        <v>18</v>
      </c>
      <c r="U1" t="s">
        <v>17</v>
      </c>
      <c r="V1" t="s">
        <v>16</v>
      </c>
      <c r="W1" t="s">
        <v>15</v>
      </c>
      <c r="X1" t="s">
        <v>14</v>
      </c>
      <c r="Y1" t="s">
        <v>13</v>
      </c>
    </row>
    <row r="2" spans="1:25">
      <c r="A2" s="3" t="s">
        <v>51</v>
      </c>
      <c r="B2" s="4">
        <f>'C:\Users\super\Documents\actuarial\cas-rfp\spec-only\team-analyst\sample-data\sample-run\selections\[Chain Ladder Selections - LDFs.xlsx]Paid Loss'!B2</f>
        <v>326044.1288</v>
      </c>
      <c r="C2" s="4">
        <f>'C:\Users\super\Documents\actuarial\cas-rfp\spec-only\team-analyst\sample-data\sample-run\selections\[Chain Ladder Selections - LDFs.xlsx]Paid Loss'!C2</f>
        <v>1047371.7984</v>
      </c>
      <c r="D2" s="4">
        <f>'C:\Users\super\Documents\actuarial\cas-rfp\spec-only\team-analyst\sample-data\sample-run\selections\[Chain Ladder Selections - LDFs.xlsx]Paid Loss'!D2</f>
        <v>1545726.656</v>
      </c>
      <c r="E2" s="4">
        <f>'C:\Users\super\Documents\actuarial\cas-rfp\spec-only\team-analyst\sample-data\sample-run\selections\[Chain Ladder Selections - LDFs.xlsx]Paid Loss'!E2</f>
        <v>1910965.544</v>
      </c>
      <c r="F2" s="4">
        <f>'C:\Users\super\Documents\actuarial\cas-rfp\spec-only\team-analyst\sample-data\sample-run\selections\[Chain Ladder Selections - LDFs.xlsx]Paid Loss'!F2</f>
        <v>2224220.1096</v>
      </c>
      <c r="G2" s="4">
        <f>'C:\Users\super\Documents\actuarial\cas-rfp\spec-only\team-analyst\sample-data\sample-run\selections\[Chain Ladder Selections - LDFs.xlsx]Paid Loss'!G2</f>
        <v>2283775.9933</v>
      </c>
      <c r="H2" s="4">
        <f>'C:\Users\super\Documents\actuarial\cas-rfp\spec-only\team-analyst\sample-data\sample-run\selections\[Chain Ladder Selections - LDFs.xlsx]Paid Loss'!H2</f>
        <v>2261772.9961</v>
      </c>
      <c r="I2" s="4">
        <f>'C:\Users\super\Documents\actuarial\cas-rfp\spec-only\team-analyst\sample-data\sample-run\selections\[Chain Ladder Selections - LDFs.xlsx]Paid Loss'!I2</f>
        <v>2292314.1748</v>
      </c>
      <c r="J2" s="4">
        <f>'C:\Users\super\Documents\actuarial\cas-rfp\spec-only\team-analyst\sample-data\sample-run\selections\[Chain Ladder Selections - LDFs.xlsx]Paid Loss'!J2</f>
        <v>2314545.3704</v>
      </c>
      <c r="K2" s="4">
        <f>'C:\Users\super\Documents\actuarial\cas-rfp\spec-only\team-analyst\sample-data\sample-run\selections\[Chain Ladder Selections - LDFs.xlsx]Paid Loss'!K2</f>
        <v>2342384.5889</v>
      </c>
      <c r="L2" s="4">
        <f>'C:\Users\super\Documents\actuarial\cas-rfp\spec-only\team-analyst\sample-data\sample-run\selections\[Chain Ladder Selections - LDFs.xlsx]Paid Loss'!L2</f>
        <v>2398200.0136</v>
      </c>
      <c r="M2" s="4">
        <f>'C:\Users\super\Documents\actuarial\cas-rfp\spec-only\team-analyst\sample-data\sample-run\selections\[Chain Ladder Selections - LDFs.xlsx]Paid Loss'!M2</f>
        <v>2455705.4765</v>
      </c>
      <c r="N2" s="4">
        <f>'C:\Users\super\Documents\actuarial\cas-rfp\spec-only\team-analyst\sample-data\sample-run\selections\[Chain Ladder Selections - LDFs.xlsx]Paid Loss'!N2</f>
        <v>2495723.8508</v>
      </c>
      <c r="O2" s="4">
        <f>'C:\Users\super\Documents\actuarial\cas-rfp\spec-only\team-analyst\sample-data\sample-run\selections\[Chain Ladder Selections - LDFs.xlsx]Paid Loss'!O2</f>
        <v>2559116.709</v>
      </c>
      <c r="P2" s="4">
        <f>'C:\Users\super\Documents\actuarial\cas-rfp\spec-only\team-analyst\sample-data\sample-run\selections\[Chain Ladder Selections - LDFs.xlsx]Paid Loss'!P2</f>
        <v>2614164.5488</v>
      </c>
      <c r="Q2" s="4">
        <f>'C:\Users\super\Documents\actuarial\cas-rfp\spec-only\team-analyst\sample-data\sample-run\selections\[Chain Ladder Selections - LDFs.xlsx]Paid Loss'!Q2</f>
        <v>2694350.0428</v>
      </c>
      <c r="R2" s="4">
        <f>'C:\Users\super\Documents\actuarial\cas-rfp\spec-only\team-analyst\sample-data\sample-run\selections\[Chain Ladder Selections - LDFs.xlsx]Paid Loss'!R2</f>
        <v>2782412.2292</v>
      </c>
      <c r="S2" s="4">
        <f>'C:\Users\super\Documents\actuarial\cas-rfp\spec-only\team-analyst\sample-data\sample-run\selections\[Chain Ladder Selections - LDFs.xlsx]Paid Loss'!S2</f>
        <v>2857646.1353</v>
      </c>
      <c r="T2" s="4">
        <f>'C:\Users\super\Documents\actuarial\cas-rfp\spec-only\team-analyst\sample-data\sample-run\selections\[Chain Ladder Selections - LDFs.xlsx]Paid Loss'!T2</f>
        <v>2967071.854</v>
      </c>
      <c r="U2" s="4">
        <f>'C:\Users\super\Documents\actuarial\cas-rfp\spec-only\team-analyst\sample-data\sample-run\selections\[Chain Ladder Selections - LDFs.xlsx]Paid Loss'!U2</f>
        <v>2967071.854</v>
      </c>
      <c r="V2" s="4">
        <f>'C:\Users\super\Documents\actuarial\cas-rfp\spec-only\team-analyst\sample-data\sample-run\selections\[Chain Ladder Selections - LDFs.xlsx]Paid Loss'!V2</f>
        <v>2989162.0372</v>
      </c>
      <c r="W2" s="4">
        <f>'C:\Users\super\Documents\actuarial\cas-rfp\spec-only\team-analyst\sample-data\sample-run\selections\[Chain Ladder Selections - LDFs.xlsx]Paid Loss'!W2</f>
        <v>3011385.8034</v>
      </c>
      <c r="X2" s="4">
        <f>'C:\Users\super\Documents\actuarial\cas-rfp\spec-only\team-analyst\sample-data\sample-run\selections\[Chain Ladder Selections - LDFs.xlsx]Paid Loss'!X2</f>
        <v>3030381.2211</v>
      </c>
      <c r="Y2" s="4">
        <f>'C:\Users\super\Documents\actuarial\cas-rfp\spec-only\team-analyst\sample-data\sample-run\selections\[Chain Ladder Selections - LDFs.xlsx]Paid Loss'!Y2</f>
        <v>3042294.6623</v>
      </c>
    </row>
    <row r="3" spans="1:25">
      <c r="A3" s="3" t="s">
        <v>52</v>
      </c>
      <c r="B3" s="4">
        <f>'C:\Users\super\Documents\actuarial\cas-rfp\spec-only\team-analyst\sample-data\sample-run\selections\[Chain Ladder Selections - LDFs.xlsx]Paid Loss'!B3</f>
        <v>357360.876</v>
      </c>
      <c r="C3" s="4">
        <f>'C:\Users\super\Documents\actuarial\cas-rfp\spec-only\team-analyst\sample-data\sample-run\selections\[Chain Ladder Selections - LDFs.xlsx]Paid Loss'!C3</f>
        <v>911072.9536</v>
      </c>
      <c r="D3" s="4">
        <f>'C:\Users\super\Documents\actuarial\cas-rfp\spec-only\team-analyst\sample-data\sample-run\selections\[Chain Ladder Selections - LDFs.xlsx]Paid Loss'!D3</f>
        <v>1220370.0388</v>
      </c>
      <c r="E3" s="4">
        <f>'C:\Users\super\Documents\actuarial\cas-rfp\spec-only\team-analyst\sample-data\sample-run\selections\[Chain Ladder Selections - LDFs.xlsx]Paid Loss'!E3</f>
        <v>1318345.0604</v>
      </c>
      <c r="F3" s="4">
        <f>'C:\Users\super\Documents\actuarial\cas-rfp\spec-only\team-analyst\sample-data\sample-run\selections\[Chain Ladder Selections - LDFs.xlsx]Paid Loss'!F3</f>
        <v>1483442.0638</v>
      </c>
      <c r="G3" s="4">
        <f>'C:\Users\super\Documents\actuarial\cas-rfp\spec-only\team-analyst\sample-data\sample-run\selections\[Chain Ladder Selections - LDFs.xlsx]Paid Loss'!G3</f>
        <v>1621735.0882</v>
      </c>
      <c r="H3" s="4">
        <f>'C:\Users\super\Documents\actuarial\cas-rfp\spec-only\team-analyst\sample-data\sample-run\selections\[Chain Ladder Selections - LDFs.xlsx]Paid Loss'!H3</f>
        <v>1658328.8102</v>
      </c>
      <c r="I3" s="4">
        <f>'C:\Users\super\Documents\actuarial\cas-rfp\spec-only\team-analyst\sample-data\sample-run\selections\[Chain Ladder Selections - LDFs.xlsx]Paid Loss'!I3</f>
        <v>1687704.3334</v>
      </c>
      <c r="J3" s="4">
        <f>'C:\Users\super\Documents\actuarial\cas-rfp\spec-only\team-analyst\sample-data\sample-run\selections\[Chain Ladder Selections - LDFs.xlsx]Paid Loss'!J3</f>
        <v>1729579.7281</v>
      </c>
      <c r="K3" s="4">
        <f>'C:\Users\super\Documents\actuarial\cas-rfp\spec-only\team-analyst\sample-data\sample-run\selections\[Chain Ladder Selections - LDFs.xlsx]Paid Loss'!K3</f>
        <v>1750198.8871</v>
      </c>
      <c r="L3" s="4">
        <f>'C:\Users\super\Documents\actuarial\cas-rfp\spec-only\team-analyst\sample-data\sample-run\selections\[Chain Ladder Selections - LDFs.xlsx]Paid Loss'!L3</f>
        <v>1780997.2031</v>
      </c>
      <c r="M3" s="4">
        <f>'C:\Users\super\Documents\actuarial\cas-rfp\spec-only\team-analyst\sample-data\sample-run\selections\[Chain Ladder Selections - LDFs.xlsx]Paid Loss'!M3</f>
        <v>1814423.608</v>
      </c>
      <c r="N3" s="4">
        <f>'C:\Users\super\Documents\actuarial\cas-rfp\spec-only\team-analyst\sample-data\sample-run\selections\[Chain Ladder Selections - LDFs.xlsx]Paid Loss'!N3</f>
        <v>1856047.2362</v>
      </c>
      <c r="O3" s="4">
        <f>'C:\Users\super\Documents\actuarial\cas-rfp\spec-only\team-analyst\sample-data\sample-run\selections\[Chain Ladder Selections - LDFs.xlsx]Paid Loss'!O3</f>
        <v>1903391.04</v>
      </c>
      <c r="P3" s="4">
        <f>'C:\Users\super\Documents\actuarial\cas-rfp\spec-only\team-analyst\sample-data\sample-run\selections\[Chain Ladder Selections - LDFs.xlsx]Paid Loss'!P3</f>
        <v>1943619.046</v>
      </c>
      <c r="Q3" s="4">
        <f>'C:\Users\super\Documents\actuarial\cas-rfp\spec-only\team-analyst\sample-data\sample-run\selections\[Chain Ladder Selections - LDFs.xlsx]Paid Loss'!Q3</f>
        <v>1981569.4224</v>
      </c>
      <c r="R3" s="4">
        <f>'C:\Users\super\Documents\actuarial\cas-rfp\spec-only\team-analyst\sample-data\sample-run\selections\[Chain Ladder Selections - LDFs.xlsx]Paid Loss'!R3</f>
        <v>2038029.9204</v>
      </c>
      <c r="S3" s="4">
        <f>'C:\Users\super\Documents\actuarial\cas-rfp\spec-only\team-analyst\sample-data\sample-run\selections\[Chain Ladder Selections - LDFs.xlsx]Paid Loss'!S3</f>
        <v>2079212.9737</v>
      </c>
      <c r="T3" s="4">
        <f>'C:\Users\super\Documents\actuarial\cas-rfp\spec-only\team-analyst\sample-data\sample-run\selections\[Chain Ladder Selections - LDFs.xlsx]Paid Loss'!T3</f>
        <v>2112239.6718</v>
      </c>
      <c r="U3" s="4">
        <f>'C:\Users\super\Documents\actuarial\cas-rfp\spec-only\team-analyst\sample-data\sample-run\selections\[Chain Ladder Selections - LDFs.xlsx]Paid Loss'!U3</f>
        <v>2137830.2787</v>
      </c>
      <c r="V3" s="4">
        <f>'C:\Users\super\Documents\actuarial\cas-rfp\spec-only\team-analyst\sample-data\sample-run\selections\[Chain Ladder Selections - LDFs.xlsx]Paid Loss'!V3</f>
        <v>2159388.4123</v>
      </c>
      <c r="W3" s="4">
        <f>'C:\Users\super\Documents\actuarial\cas-rfp\spec-only\team-analyst\sample-data\sample-run\selections\[Chain Ladder Selections - LDFs.xlsx]Paid Loss'!W3</f>
        <v>2180051.1446</v>
      </c>
      <c r="X3" s="4">
        <f>'C:\Users\super\Documents\actuarial\cas-rfp\spec-only\team-analyst\sample-data\sample-run\selections\[Chain Ladder Selections - LDFs.xlsx]Paid Loss'!X3</f>
        <v>2199646.2281</v>
      </c>
    </row>
    <row r="4" spans="1:25">
      <c r="A4" s="3" t="s">
        <v>53</v>
      </c>
      <c r="B4" s="4">
        <f>'C:\Users\super\Documents\actuarial\cas-rfp\spec-only\team-analyst\sample-data\sample-run\selections\[Chain Ladder Selections - LDFs.xlsx]Paid Loss'!B4</f>
        <v>463735.1516</v>
      </c>
      <c r="C4" s="4">
        <f>'C:\Users\super\Documents\actuarial\cas-rfp\spec-only\team-analyst\sample-data\sample-run\selections\[Chain Ladder Selections - LDFs.xlsx]Paid Loss'!C4</f>
        <v>1151781.1896</v>
      </c>
      <c r="D4" s="4">
        <f>'C:\Users\super\Documents\actuarial\cas-rfp\spec-only\team-analyst\sample-data\sample-run\selections\[Chain Ladder Selections - LDFs.xlsx]Paid Loss'!D4</f>
        <v>1329665.9088</v>
      </c>
      <c r="E4" s="4">
        <f>'C:\Users\super\Documents\actuarial\cas-rfp\spec-only\team-analyst\sample-data\sample-run\selections\[Chain Ladder Selections - LDFs.xlsx]Paid Loss'!E4</f>
        <v>1449345.2757</v>
      </c>
      <c r="F4" s="4">
        <f>'C:\Users\super\Documents\actuarial\cas-rfp\spec-only\team-analyst\sample-data\sample-run\selections\[Chain Ladder Selections - LDFs.xlsx]Paid Loss'!F4</f>
        <v>1676909.3456</v>
      </c>
      <c r="G4" s="4">
        <f>'C:\Users\super\Documents\actuarial\cas-rfp\spec-only\team-analyst\sample-data\sample-run\selections\[Chain Ladder Selections - LDFs.xlsx]Paid Loss'!G4</f>
        <v>1760385.6185</v>
      </c>
      <c r="H4" s="4">
        <f>'C:\Users\super\Documents\actuarial\cas-rfp\spec-only\team-analyst\sample-data\sample-run\selections\[Chain Ladder Selections - LDFs.xlsx]Paid Loss'!H4</f>
        <v>1763038.7139</v>
      </c>
      <c r="I4" s="4">
        <f>'C:\Users\super\Documents\actuarial\cas-rfp\spec-only\team-analyst\sample-data\sample-run\selections\[Chain Ladder Selections - LDFs.xlsx]Paid Loss'!I4</f>
        <v>1775400.1197</v>
      </c>
      <c r="J4" s="4">
        <f>'C:\Users\super\Documents\actuarial\cas-rfp\spec-only\team-analyst\sample-data\sample-run\selections\[Chain Ladder Selections - LDFs.xlsx]Paid Loss'!J4</f>
        <v>1772848.0925</v>
      </c>
      <c r="K4" s="4">
        <f>'C:\Users\super\Documents\actuarial\cas-rfp\spec-only\team-analyst\sample-data\sample-run\selections\[Chain Ladder Selections - LDFs.xlsx]Paid Loss'!K4</f>
        <v>1777183.1896</v>
      </c>
      <c r="L4" s="4">
        <f>'C:\Users\super\Documents\actuarial\cas-rfp\spec-only\team-analyst\sample-data\sample-run\selections\[Chain Ladder Selections - LDFs.xlsx]Paid Loss'!L4</f>
        <v>1773811.5984</v>
      </c>
      <c r="M4" s="4">
        <f>'C:\Users\super\Documents\actuarial\cas-rfp\spec-only\team-analyst\sample-data\sample-run\selections\[Chain Ladder Selections - LDFs.xlsx]Paid Loss'!M4</f>
        <v>1774200.3262</v>
      </c>
      <c r="N4" s="4">
        <f>'C:\Users\super\Documents\actuarial\cas-rfp\spec-only\team-analyst\sample-data\sample-run\selections\[Chain Ladder Selections - LDFs.xlsx]Paid Loss'!N4</f>
        <v>1774330.2012</v>
      </c>
      <c r="O4" s="4">
        <f>'C:\Users\super\Documents\actuarial\cas-rfp\spec-only\team-analyst\sample-data\sample-run\selections\[Chain Ladder Selections - LDFs.xlsx]Paid Loss'!O4</f>
        <v>1774330.7158</v>
      </c>
      <c r="P4" s="4">
        <f>'C:\Users\super\Documents\actuarial\cas-rfp\spec-only\team-analyst\sample-data\sample-run\selections\[Chain Ladder Selections - LDFs.xlsx]Paid Loss'!P4</f>
        <v>1774330.7158</v>
      </c>
      <c r="Q4" s="4">
        <f>'C:\Users\super\Documents\actuarial\cas-rfp\spec-only\team-analyst\sample-data\sample-run\selections\[Chain Ladder Selections - LDFs.xlsx]Paid Loss'!Q4</f>
        <v>1774330.1088</v>
      </c>
      <c r="R4" s="4">
        <f>'C:\Users\super\Documents\actuarial\cas-rfp\spec-only\team-analyst\sample-data\sample-run\selections\[Chain Ladder Selections - LDFs.xlsx]Paid Loss'!R4</f>
        <v>1778091.5758</v>
      </c>
      <c r="S4" s="4">
        <f>'C:\Users\super\Documents\actuarial\cas-rfp\spec-only\team-analyst\sample-data\sample-run\selections\[Chain Ladder Selections - LDFs.xlsx]Paid Loss'!S4</f>
        <v>1778091.5758</v>
      </c>
      <c r="T4" s="4">
        <f>'C:\Users\super\Documents\actuarial\cas-rfp\spec-only\team-analyst\sample-data\sample-run\selections\[Chain Ladder Selections - LDFs.xlsx]Paid Loss'!T4</f>
        <v>1778091.5758</v>
      </c>
      <c r="U4" s="4">
        <f>'C:\Users\super\Documents\actuarial\cas-rfp\spec-only\team-analyst\sample-data\sample-run\selections\[Chain Ladder Selections - LDFs.xlsx]Paid Loss'!U4</f>
        <v>1778091.5758</v>
      </c>
      <c r="V4" s="4">
        <f>'C:\Users\super\Documents\actuarial\cas-rfp\spec-only\team-analyst\sample-data\sample-run\selections\[Chain Ladder Selections - LDFs.xlsx]Paid Loss'!V4</f>
        <v>1778091.5758</v>
      </c>
      <c r="W4" s="4">
        <f>'C:\Users\super\Documents\actuarial\cas-rfp\spec-only\team-analyst\sample-data\sample-run\selections\[Chain Ladder Selections - LDFs.xlsx]Paid Loss'!W4</f>
        <v>1778091.5758</v>
      </c>
    </row>
    <row r="5" spans="1:25">
      <c r="A5" s="3" t="s">
        <v>54</v>
      </c>
      <c r="B5" s="4">
        <f>'C:\Users\super\Documents\actuarial\cas-rfp\spec-only\team-analyst\sample-data\sample-run\selections\[Chain Ladder Selections - LDFs.xlsx]Paid Loss'!B5</f>
        <v>256887.8516</v>
      </c>
      <c r="C5" s="4">
        <f>'C:\Users\super\Documents\actuarial\cas-rfp\spec-only\team-analyst\sample-data\sample-run\selections\[Chain Ladder Selections - LDFs.xlsx]Paid Loss'!C5</f>
        <v>625982.6108</v>
      </c>
      <c r="D5" s="4">
        <f>'C:\Users\super\Documents\actuarial\cas-rfp\spec-only\team-analyst\sample-data\sample-run\selections\[Chain Ladder Selections - LDFs.xlsx]Paid Loss'!D5</f>
        <v>806963.7318</v>
      </c>
      <c r="E5" s="4">
        <f>'C:\Users\super\Documents\actuarial\cas-rfp\spec-only\team-analyst\sample-data\sample-run\selections\[Chain Ladder Selections - LDFs.xlsx]Paid Loss'!E5</f>
        <v>903626.9918</v>
      </c>
      <c r="F5" s="4">
        <f>'C:\Users\super\Documents\actuarial\cas-rfp\spec-only\team-analyst\sample-data\sample-run\selections\[Chain Ladder Selections - LDFs.xlsx]Paid Loss'!F5</f>
        <v>1055143.9785</v>
      </c>
      <c r="G5" s="4">
        <f>'C:\Users\super\Documents\actuarial\cas-rfp\spec-only\team-analyst\sample-data\sample-run\selections\[Chain Ladder Selections - LDFs.xlsx]Paid Loss'!G5</f>
        <v>1059021.0952</v>
      </c>
      <c r="H5" s="4">
        <f>'C:\Users\super\Documents\actuarial\cas-rfp\spec-only\team-analyst\sample-data\sample-run\selections\[Chain Ladder Selections - LDFs.xlsx]Paid Loss'!H5</f>
        <v>1076244.8971</v>
      </c>
      <c r="I5" s="4">
        <f>'C:\Users\super\Documents\actuarial\cas-rfp\spec-only\team-analyst\sample-data\sample-run\selections\[Chain Ladder Selections - LDFs.xlsx]Paid Loss'!I5</f>
        <v>1084642.2245</v>
      </c>
      <c r="J5" s="4">
        <f>'C:\Users\super\Documents\actuarial\cas-rfp\spec-only\team-analyst\sample-data\sample-run\selections\[Chain Ladder Selections - LDFs.xlsx]Paid Loss'!J5</f>
        <v>1104688.4001</v>
      </c>
      <c r="K5" s="4">
        <f>'C:\Users\super\Documents\actuarial\cas-rfp\spec-only\team-analyst\sample-data\sample-run\selections\[Chain Ladder Selections - LDFs.xlsx]Paid Loss'!K5</f>
        <v>1097915.1176</v>
      </c>
      <c r="L5" s="4">
        <f>'C:\Users\super\Documents\actuarial\cas-rfp\spec-only\team-analyst\sample-data\sample-run\selections\[Chain Ladder Selections - LDFs.xlsx]Paid Loss'!L5</f>
        <v>1101856.2482</v>
      </c>
      <c r="M5" s="4">
        <f>'C:\Users\super\Documents\actuarial\cas-rfp\spec-only\team-analyst\sample-data\sample-run\selections\[Chain Ladder Selections - LDFs.xlsx]Paid Loss'!M5</f>
        <v>1108902.1072</v>
      </c>
      <c r="N5" s="4">
        <f>'C:\Users\super\Documents\actuarial\cas-rfp\spec-only\team-analyst\sample-data\sample-run\selections\[Chain Ladder Selections - LDFs.xlsx]Paid Loss'!N5</f>
        <v>1109362.6476</v>
      </c>
      <c r="O5" s="4">
        <f>'C:\Users\super\Documents\actuarial\cas-rfp\spec-only\team-analyst\sample-data\sample-run\selections\[Chain Ladder Selections - LDFs.xlsx]Paid Loss'!O5</f>
        <v>1111377.6768</v>
      </c>
      <c r="P5" s="4">
        <f>'C:\Users\super\Documents\actuarial\cas-rfp\spec-only\team-analyst\sample-data\sample-run\selections\[Chain Ladder Selections - LDFs.xlsx]Paid Loss'!P5</f>
        <v>1112023.7134</v>
      </c>
      <c r="Q5" s="4">
        <f>'C:\Users\super\Documents\actuarial\cas-rfp\spec-only\team-analyst\sample-data\sample-run\selections\[Chain Ladder Selections - LDFs.xlsx]Paid Loss'!Q5</f>
        <v>1122581.0808</v>
      </c>
      <c r="R5" s="4">
        <f>'C:\Users\super\Documents\actuarial\cas-rfp\spec-only\team-analyst\sample-data\sample-run\selections\[Chain Ladder Selections - LDFs.xlsx]Paid Loss'!R5</f>
        <v>1122581.0808</v>
      </c>
      <c r="S5" s="4">
        <f>'C:\Users\super\Documents\actuarial\cas-rfp\spec-only\team-analyst\sample-data\sample-run\selections\[Chain Ladder Selections - LDFs.xlsx]Paid Loss'!S5</f>
        <v>1122581.0808</v>
      </c>
      <c r="T5" s="4">
        <f>'C:\Users\super\Documents\actuarial\cas-rfp\spec-only\team-analyst\sample-data\sample-run\selections\[Chain Ladder Selections - LDFs.xlsx]Paid Loss'!T5</f>
        <v>1122581.0808</v>
      </c>
      <c r="U5" s="4">
        <f>'C:\Users\super\Documents\actuarial\cas-rfp\spec-only\team-analyst\sample-data\sample-run\selections\[Chain Ladder Selections - LDFs.xlsx]Paid Loss'!U5</f>
        <v>1122614.7306</v>
      </c>
      <c r="V5" s="4">
        <f>'C:\Users\super\Documents\actuarial\cas-rfp\spec-only\team-analyst\sample-data\sample-run\selections\[Chain Ladder Selections - LDFs.xlsx]Paid Loss'!V5</f>
        <v>1122614.7306</v>
      </c>
    </row>
    <row r="6" spans="1:25">
      <c r="A6" s="3" t="s">
        <v>55</v>
      </c>
      <c r="B6" s="4">
        <f>'C:\Users\super\Documents\actuarial\cas-rfp\spec-only\team-analyst\sample-data\sample-run\selections\[Chain Ladder Selections - LDFs.xlsx]Paid Loss'!B6</f>
        <v>608992.7608</v>
      </c>
      <c r="C6" s="4">
        <f>'C:\Users\super\Documents\actuarial\cas-rfp\spec-only\team-analyst\sample-data\sample-run\selections\[Chain Ladder Selections - LDFs.xlsx]Paid Loss'!C6</f>
        <v>1236895.4952</v>
      </c>
      <c r="D6" s="4">
        <f>'C:\Users\super\Documents\actuarial\cas-rfp\spec-only\team-analyst\sample-data\sample-run\selections\[Chain Ladder Selections - LDFs.xlsx]Paid Loss'!D6</f>
        <v>1567631.4222</v>
      </c>
      <c r="E6" s="4">
        <f>'C:\Users\super\Documents\actuarial\cas-rfp\spec-only\team-analyst\sample-data\sample-run\selections\[Chain Ladder Selections - LDFs.xlsx]Paid Loss'!E6</f>
        <v>1636425.4164</v>
      </c>
      <c r="F6" s="4">
        <f>'C:\Users\super\Documents\actuarial\cas-rfp\spec-only\team-analyst\sample-data\sample-run\selections\[Chain Ladder Selections - LDFs.xlsx]Paid Loss'!F6</f>
        <v>1758637.9007</v>
      </c>
      <c r="G6" s="4">
        <f>'C:\Users\super\Documents\actuarial\cas-rfp\spec-only\team-analyst\sample-data\sample-run\selections\[Chain Ladder Selections - LDFs.xlsx]Paid Loss'!G6</f>
        <v>1795133.3653</v>
      </c>
      <c r="H6" s="4">
        <f>'C:\Users\super\Documents\actuarial\cas-rfp\spec-only\team-analyst\sample-data\sample-run\selections\[Chain Ladder Selections - LDFs.xlsx]Paid Loss'!H6</f>
        <v>1833000.6993</v>
      </c>
      <c r="I6" s="4">
        <f>'C:\Users\super\Documents\actuarial\cas-rfp\spec-only\team-analyst\sample-data\sample-run\selections\[Chain Ladder Selections - LDFs.xlsx]Paid Loss'!I6</f>
        <v>1852087.552</v>
      </c>
      <c r="J6" s="4">
        <f>'C:\Users\super\Documents\actuarial\cas-rfp\spec-only\team-analyst\sample-data\sample-run\selections\[Chain Ladder Selections - LDFs.xlsx]Paid Loss'!J6</f>
        <v>1859809.9304</v>
      </c>
      <c r="K6" s="4">
        <f>'C:\Users\super\Documents\actuarial\cas-rfp\spec-only\team-analyst\sample-data\sample-run\selections\[Chain Ladder Selections - LDFs.xlsx]Paid Loss'!K6</f>
        <v>1915619.628</v>
      </c>
      <c r="L6" s="4">
        <f>'C:\Users\super\Documents\actuarial\cas-rfp\spec-only\team-analyst\sample-data\sample-run\selections\[Chain Ladder Selections - LDFs.xlsx]Paid Loss'!L6</f>
        <v>1970034.7988</v>
      </c>
      <c r="M6" s="4">
        <f>'C:\Users\super\Documents\actuarial\cas-rfp\spec-only\team-analyst\sample-data\sample-run\selections\[Chain Ladder Selections - LDFs.xlsx]Paid Loss'!M6</f>
        <v>2009947.4204</v>
      </c>
      <c r="N6" s="4">
        <f>'C:\Users\super\Documents\actuarial\cas-rfp\spec-only\team-analyst\sample-data\sample-run\selections\[Chain Ladder Selections - LDFs.xlsx]Paid Loss'!N6</f>
        <v>2075716.2844</v>
      </c>
      <c r="O6" s="4">
        <f>'C:\Users\super\Documents\actuarial\cas-rfp\spec-only\team-analyst\sample-data\sample-run\selections\[Chain Ladder Selections - LDFs.xlsx]Paid Loss'!O6</f>
        <v>2114878.8058</v>
      </c>
      <c r="P6" s="4">
        <f>'C:\Users\super\Documents\actuarial\cas-rfp\spec-only\team-analyst\sample-data\sample-run\selections\[Chain Ladder Selections - LDFs.xlsx]Paid Loss'!P6</f>
        <v>2178586.6261</v>
      </c>
      <c r="Q6" s="4">
        <f>'C:\Users\super\Documents\actuarial\cas-rfp\spec-only\team-analyst\sample-data\sample-run\selections\[Chain Ladder Selections - LDFs.xlsx]Paid Loss'!Q6</f>
        <v>2195933.5863</v>
      </c>
      <c r="R6" s="4">
        <f>'C:\Users\super\Documents\actuarial\cas-rfp\spec-only\team-analyst\sample-data\sample-run\selections\[Chain Ladder Selections - LDFs.xlsx]Paid Loss'!R6</f>
        <v>2238397.7073</v>
      </c>
      <c r="S6" s="4">
        <f>'C:\Users\super\Documents\actuarial\cas-rfp\spec-only\team-analyst\sample-data\sample-run\selections\[Chain Ladder Selections - LDFs.xlsx]Paid Loss'!S6</f>
        <v>2242149.1321</v>
      </c>
      <c r="T6" s="4">
        <f>'C:\Users\super\Documents\actuarial\cas-rfp\spec-only\team-analyst\sample-data\sample-run\selections\[Chain Ladder Selections - LDFs.xlsx]Paid Loss'!T6</f>
        <v>2242149.1321</v>
      </c>
      <c r="U6" s="4">
        <f>'C:\Users\super\Documents\actuarial\cas-rfp\spec-only\team-analyst\sample-data\sample-run\selections\[Chain Ladder Selections - LDFs.xlsx]Paid Loss'!U6</f>
        <v>2242149.1321</v>
      </c>
    </row>
    <row r="7" spans="1:25">
      <c r="A7" s="3" t="s">
        <v>56</v>
      </c>
      <c r="B7" s="4">
        <f>'C:\Users\super\Documents\actuarial\cas-rfp\spec-only\team-analyst\sample-data\sample-run\selections\[Chain Ladder Selections - LDFs.xlsx]Paid Loss'!B7</f>
        <v>284786.4257</v>
      </c>
      <c r="C7" s="4">
        <f>'C:\Users\super\Documents\actuarial\cas-rfp\spec-only\team-analyst\sample-data\sample-run\selections\[Chain Ladder Selections - LDFs.xlsx]Paid Loss'!C7</f>
        <v>699582.2055</v>
      </c>
      <c r="D7" s="4">
        <f>'C:\Users\super\Documents\actuarial\cas-rfp\spec-only\team-analyst\sample-data\sample-run\selections\[Chain Ladder Selections - LDFs.xlsx]Paid Loss'!D7</f>
        <v>893260.3462</v>
      </c>
      <c r="E7" s="4">
        <f>'C:\Users\super\Documents\actuarial\cas-rfp\spec-only\team-analyst\sample-data\sample-run\selections\[Chain Ladder Selections - LDFs.xlsx]Paid Loss'!E7</f>
        <v>972843.9706</v>
      </c>
      <c r="F7" s="4">
        <f>'C:\Users\super\Documents\actuarial\cas-rfp\spec-only\team-analyst\sample-data\sample-run\selections\[Chain Ladder Selections - LDFs.xlsx]Paid Loss'!F7</f>
        <v>1032368.8569</v>
      </c>
      <c r="G7" s="4">
        <f>'C:\Users\super\Documents\actuarial\cas-rfp\spec-only\team-analyst\sample-data\sample-run\selections\[Chain Ladder Selections - LDFs.xlsx]Paid Loss'!G7</f>
        <v>1080435.6828</v>
      </c>
      <c r="H7" s="4">
        <f>'C:\Users\super\Documents\actuarial\cas-rfp\spec-only\team-analyst\sample-data\sample-run\selections\[Chain Ladder Selections - LDFs.xlsx]Paid Loss'!H7</f>
        <v>1125111.9944</v>
      </c>
      <c r="I7" s="4">
        <f>'C:\Users\super\Documents\actuarial\cas-rfp\spec-only\team-analyst\sample-data\sample-run\selections\[Chain Ladder Selections - LDFs.xlsx]Paid Loss'!I7</f>
        <v>1132751.238</v>
      </c>
      <c r="J7" s="4">
        <f>'C:\Users\super\Documents\actuarial\cas-rfp\spec-only\team-analyst\sample-data\sample-run\selections\[Chain Ladder Selections - LDFs.xlsx]Paid Loss'!J7</f>
        <v>1168539.0935</v>
      </c>
      <c r="K7" s="4">
        <f>'C:\Users\super\Documents\actuarial\cas-rfp\spec-only\team-analyst\sample-data\sample-run\selections\[Chain Ladder Selections - LDFs.xlsx]Paid Loss'!K7</f>
        <v>1216433.672</v>
      </c>
      <c r="L7" s="4">
        <f>'C:\Users\super\Documents\actuarial\cas-rfp\spec-only\team-analyst\sample-data\sample-run\selections\[Chain Ladder Selections - LDFs.xlsx]Paid Loss'!L7</f>
        <v>1328624.7444</v>
      </c>
      <c r="M7" s="4">
        <f>'C:\Users\super\Documents\actuarial\cas-rfp\spec-only\team-analyst\sample-data\sample-run\selections\[Chain Ladder Selections - LDFs.xlsx]Paid Loss'!M7</f>
        <v>1365342.6144</v>
      </c>
      <c r="N7" s="4">
        <f>'C:\Users\super\Documents\actuarial\cas-rfp\spec-only\team-analyst\sample-data\sample-run\selections\[Chain Ladder Selections - LDFs.xlsx]Paid Loss'!N7</f>
        <v>1379576.1499</v>
      </c>
      <c r="O7" s="4">
        <f>'C:\Users\super\Documents\actuarial\cas-rfp\spec-only\team-analyst\sample-data\sample-run\selections\[Chain Ladder Selections - LDFs.xlsx]Paid Loss'!O7</f>
        <v>1405359.4184</v>
      </c>
      <c r="P7" s="4">
        <f>'C:\Users\super\Documents\actuarial\cas-rfp\spec-only\team-analyst\sample-data\sample-run\selections\[Chain Ladder Selections - LDFs.xlsx]Paid Loss'!P7</f>
        <v>1414931.5329</v>
      </c>
      <c r="Q7" s="4">
        <f>'C:\Users\super\Documents\actuarial\cas-rfp\spec-only\team-analyst\sample-data\sample-run\selections\[Chain Ladder Selections - LDFs.xlsx]Paid Loss'!Q7</f>
        <v>1426750.1344</v>
      </c>
      <c r="R7" s="4">
        <f>'C:\Users\super\Documents\actuarial\cas-rfp\spec-only\team-analyst\sample-data\sample-run\selections\[Chain Ladder Selections - LDFs.xlsx]Paid Loss'!R7</f>
        <v>1443114.7447</v>
      </c>
      <c r="S7" s="4">
        <f>'C:\Users\super\Documents\actuarial\cas-rfp\spec-only\team-analyst\sample-data\sample-run\selections\[Chain Ladder Selections - LDFs.xlsx]Paid Loss'!S7</f>
        <v>1454133.0748</v>
      </c>
      <c r="T7" s="4">
        <f>'C:\Users\super\Documents\actuarial\cas-rfp\spec-only\team-analyst\sample-data\sample-run\selections\[Chain Ladder Selections - LDFs.xlsx]Paid Loss'!T7</f>
        <v>1462141.0279</v>
      </c>
    </row>
    <row r="8" spans="1:25">
      <c r="A8" s="3" t="s">
        <v>57</v>
      </c>
      <c r="B8" s="4">
        <f>'C:\Users\super\Documents\actuarial\cas-rfp\spec-only\team-analyst\sample-data\sample-run\selections\[Chain Ladder Selections - LDFs.xlsx]Paid Loss'!B8</f>
        <v>503577.874</v>
      </c>
      <c r="C8" s="4">
        <f>'C:\Users\super\Documents\actuarial\cas-rfp\spec-only\team-analyst\sample-data\sample-run\selections\[Chain Ladder Selections - LDFs.xlsx]Paid Loss'!C8</f>
        <v>1103237.7506</v>
      </c>
      <c r="D8" s="4">
        <f>'C:\Users\super\Documents\actuarial\cas-rfp\spec-only\team-analyst\sample-data\sample-run\selections\[Chain Ladder Selections - LDFs.xlsx]Paid Loss'!D8</f>
        <v>1428526.0389</v>
      </c>
      <c r="E8" s="4">
        <f>'C:\Users\super\Documents\actuarial\cas-rfp\spec-only\team-analyst\sample-data\sample-run\selections\[Chain Ladder Selections - LDFs.xlsx]Paid Loss'!E8</f>
        <v>1819136.8101</v>
      </c>
      <c r="F8" s="4">
        <f>'C:\Users\super\Documents\actuarial\cas-rfp\spec-only\team-analyst\sample-data\sample-run\selections\[Chain Ladder Selections - LDFs.xlsx]Paid Loss'!F8</f>
        <v>2157661.0559</v>
      </c>
      <c r="G8" s="4">
        <f>'C:\Users\super\Documents\actuarial\cas-rfp\spec-only\team-analyst\sample-data\sample-run\selections\[Chain Ladder Selections - LDFs.xlsx]Paid Loss'!G8</f>
        <v>2620801.9125</v>
      </c>
      <c r="H8" s="4">
        <f>'C:\Users\super\Documents\actuarial\cas-rfp\spec-only\team-analyst\sample-data\sample-run\selections\[Chain Ladder Selections - LDFs.xlsx]Paid Loss'!H8</f>
        <v>2924146.5064</v>
      </c>
      <c r="I8" s="4">
        <f>'C:\Users\super\Documents\actuarial\cas-rfp\spec-only\team-analyst\sample-data\sample-run\selections\[Chain Ladder Selections - LDFs.xlsx]Paid Loss'!I8</f>
        <v>3151184.5969</v>
      </c>
      <c r="J8" s="4">
        <f>'C:\Users\super\Documents\actuarial\cas-rfp\spec-only\team-analyst\sample-data\sample-run\selections\[Chain Ladder Selections - LDFs.xlsx]Paid Loss'!J8</f>
        <v>3405400.6676</v>
      </c>
      <c r="K8" s="4">
        <f>'C:\Users\super\Documents\actuarial\cas-rfp\spec-only\team-analyst\sample-data\sample-run\selections\[Chain Ladder Selections - LDFs.xlsx]Paid Loss'!K8</f>
        <v>3694439.2536</v>
      </c>
      <c r="L8" s="4">
        <f>'C:\Users\super\Documents\actuarial\cas-rfp\spec-only\team-analyst\sample-data\sample-run\selections\[Chain Ladder Selections - LDFs.xlsx]Paid Loss'!L8</f>
        <v>3998197.9776</v>
      </c>
      <c r="M8" s="4">
        <f>'C:\Users\super\Documents\actuarial\cas-rfp\spec-only\team-analyst\sample-data\sample-run\selections\[Chain Ladder Selections - LDFs.xlsx]Paid Loss'!M8</f>
        <v>4198107.2299</v>
      </c>
      <c r="N8" s="4">
        <f>'C:\Users\super\Documents\actuarial\cas-rfp\spec-only\team-analyst\sample-data\sample-run\selections\[Chain Ladder Selections - LDFs.xlsx]Paid Loss'!N8</f>
        <v>4370392.0813</v>
      </c>
      <c r="O8" s="4">
        <f>'C:\Users\super\Documents\actuarial\cas-rfp\spec-only\team-analyst\sample-data\sample-run\selections\[Chain Ladder Selections - LDFs.xlsx]Paid Loss'!O8</f>
        <v>4496731.0472</v>
      </c>
      <c r="P8" s="4">
        <f>'C:\Users\super\Documents\actuarial\cas-rfp\spec-only\team-analyst\sample-data\sample-run\selections\[Chain Ladder Selections - LDFs.xlsx]Paid Loss'!P8</f>
        <v>4617311.0543</v>
      </c>
      <c r="Q8" s="4">
        <f>'C:\Users\super\Documents\actuarial\cas-rfp\spec-only\team-analyst\sample-data\sample-run\selections\[Chain Ladder Selections - LDFs.xlsx]Paid Loss'!Q8</f>
        <v>4751466.0901</v>
      </c>
      <c r="R8" s="4">
        <f>'C:\Users\super\Documents\actuarial\cas-rfp\spec-only\team-analyst\sample-data\sample-run\selections\[Chain Ladder Selections - LDFs.xlsx]Paid Loss'!R8</f>
        <v>4781329.5223</v>
      </c>
      <c r="S8" s="4">
        <f>'C:\Users\super\Documents\actuarial\cas-rfp\spec-only\team-analyst\sample-data\sample-run\selections\[Chain Ladder Selections - LDFs.xlsx]Paid Loss'!S8</f>
        <v>4790693.1532</v>
      </c>
    </row>
    <row r="9" spans="1:25">
      <c r="A9" s="3" t="s">
        <v>58</v>
      </c>
      <c r="B9" s="4">
        <f>'C:\Users\super\Documents\actuarial\cas-rfp\spec-only\team-analyst\sample-data\sample-run\selections\[Chain Ladder Selections - LDFs.xlsx]Paid Loss'!B9</f>
        <v>353516.7624</v>
      </c>
      <c r="C9" s="4">
        <f>'C:\Users\super\Documents\actuarial\cas-rfp\spec-only\team-analyst\sample-data\sample-run\selections\[Chain Ladder Selections - LDFs.xlsx]Paid Loss'!C9</f>
        <v>646575.048</v>
      </c>
      <c r="D9" s="4">
        <f>'C:\Users\super\Documents\actuarial\cas-rfp\spec-only\team-analyst\sample-data\sample-run\selections\[Chain Ladder Selections - LDFs.xlsx]Paid Loss'!D9</f>
        <v>869637.4344</v>
      </c>
      <c r="E9" s="4">
        <f>'C:\Users\super\Documents\actuarial\cas-rfp\spec-only\team-analyst\sample-data\sample-run\selections\[Chain Ladder Selections - LDFs.xlsx]Paid Loss'!E9</f>
        <v>1188355.7378</v>
      </c>
      <c r="F9" s="4">
        <f>'C:\Users\super\Documents\actuarial\cas-rfp\spec-only\team-analyst\sample-data\sample-run\selections\[Chain Ladder Selections - LDFs.xlsx]Paid Loss'!F9</f>
        <v>1229852.5392</v>
      </c>
      <c r="G9" s="4">
        <f>'C:\Users\super\Documents\actuarial\cas-rfp\spec-only\team-analyst\sample-data\sample-run\selections\[Chain Ladder Selections - LDFs.xlsx]Paid Loss'!G9</f>
        <v>1267751.5964</v>
      </c>
      <c r="H9" s="4">
        <f>'C:\Users\super\Documents\actuarial\cas-rfp\spec-only\team-analyst\sample-data\sample-run\selections\[Chain Ladder Selections - LDFs.xlsx]Paid Loss'!H9</f>
        <v>1276615.5211</v>
      </c>
      <c r="I9" s="4">
        <f>'C:\Users\super\Documents\actuarial\cas-rfp\spec-only\team-analyst\sample-data\sample-run\selections\[Chain Ladder Selections - LDFs.xlsx]Paid Loss'!I9</f>
        <v>1284777.0756</v>
      </c>
      <c r="J9" s="4">
        <f>'C:\Users\super\Documents\actuarial\cas-rfp\spec-only\team-analyst\sample-data\sample-run\selections\[Chain Ladder Selections - LDFs.xlsx]Paid Loss'!J9</f>
        <v>1299869.3408</v>
      </c>
      <c r="K9" s="4">
        <f>'C:\Users\super\Documents\actuarial\cas-rfp\spec-only\team-analyst\sample-data\sample-run\selections\[Chain Ladder Selections - LDFs.xlsx]Paid Loss'!K9</f>
        <v>1317293.3392</v>
      </c>
      <c r="L9" s="4">
        <f>'C:\Users\super\Documents\actuarial\cas-rfp\spec-only\team-analyst\sample-data\sample-run\selections\[Chain Ladder Selections - LDFs.xlsx]Paid Loss'!L9</f>
        <v>1331381.9562</v>
      </c>
      <c r="M9" s="4">
        <f>'C:\Users\super\Documents\actuarial\cas-rfp\spec-only\team-analyst\sample-data\sample-run\selections\[Chain Ladder Selections - LDFs.xlsx]Paid Loss'!M9</f>
        <v>1333966.5248</v>
      </c>
      <c r="N9" s="4">
        <f>'C:\Users\super\Documents\actuarial\cas-rfp\spec-only\team-analyst\sample-data\sample-run\selections\[Chain Ladder Selections - LDFs.xlsx]Paid Loss'!N9</f>
        <v>1337060.2082</v>
      </c>
      <c r="O9" s="4">
        <f>'C:\Users\super\Documents\actuarial\cas-rfp\spec-only\team-analyst\sample-data\sample-run\selections\[Chain Ladder Selections - LDFs.xlsx]Paid Loss'!O9</f>
        <v>1338579.3845</v>
      </c>
      <c r="P9" s="4">
        <f>'C:\Users\super\Documents\actuarial\cas-rfp\spec-only\team-analyst\sample-data\sample-run\selections\[Chain Ladder Selections - LDFs.xlsx]Paid Loss'!P9</f>
        <v>1339456.8657</v>
      </c>
      <c r="Q9" s="4">
        <f>'C:\Users\super\Documents\actuarial\cas-rfp\spec-only\team-analyst\sample-data\sample-run\selections\[Chain Ladder Selections - LDFs.xlsx]Paid Loss'!Q9</f>
        <v>1343001.2058</v>
      </c>
      <c r="R9" s="4">
        <f>'C:\Users\super\Documents\actuarial\cas-rfp\spec-only\team-analyst\sample-data\sample-run\selections\[Chain Ladder Selections - LDFs.xlsx]Paid Loss'!R9</f>
        <v>1378427.9395</v>
      </c>
    </row>
    <row r="10" spans="1:25">
      <c r="A10" s="3" t="s">
        <v>59</v>
      </c>
      <c r="B10" s="4">
        <f>'C:\Users\super\Documents\actuarial\cas-rfp\spec-only\team-analyst\sample-data\sample-run\selections\[Chain Ladder Selections - LDFs.xlsx]Paid Loss'!B10</f>
        <v>228667.6382</v>
      </c>
      <c r="C10" s="4">
        <f>'C:\Users\super\Documents\actuarial\cas-rfp\spec-only\team-analyst\sample-data\sample-run\selections\[Chain Ladder Selections - LDFs.xlsx]Paid Loss'!C10</f>
        <v>742247.3016</v>
      </c>
      <c r="D10" s="4">
        <f>'C:\Users\super\Documents\actuarial\cas-rfp\spec-only\team-analyst\sample-data\sample-run\selections\[Chain Ladder Selections - LDFs.xlsx]Paid Loss'!D10</f>
        <v>811950.8169</v>
      </c>
      <c r="E10" s="4">
        <f>'C:\Users\super\Documents\actuarial\cas-rfp\spec-only\team-analyst\sample-data\sample-run\selections\[Chain Ladder Selections - LDFs.xlsx]Paid Loss'!E10</f>
        <v>834061.9289</v>
      </c>
      <c r="F10" s="4">
        <f>'C:\Users\super\Documents\actuarial\cas-rfp\spec-only\team-analyst\sample-data\sample-run\selections\[Chain Ladder Selections - LDFs.xlsx]Paid Loss'!F10</f>
        <v>894984.3904</v>
      </c>
      <c r="G10" s="4">
        <f>'C:\Users\super\Documents\actuarial\cas-rfp\spec-only\team-analyst\sample-data\sample-run\selections\[Chain Ladder Selections - LDFs.xlsx]Paid Loss'!G10</f>
        <v>941084.9331</v>
      </c>
      <c r="H10" s="4">
        <f>'C:\Users\super\Documents\actuarial\cas-rfp\spec-only\team-analyst\sample-data\sample-run\selections\[Chain Ladder Selections - LDFs.xlsx]Paid Loss'!H10</f>
        <v>969391.356</v>
      </c>
      <c r="I10" s="4">
        <f>'C:\Users\super\Documents\actuarial\cas-rfp\spec-only\team-analyst\sample-data\sample-run\selections\[Chain Ladder Selections - LDFs.xlsx]Paid Loss'!I10</f>
        <v>1018256.144</v>
      </c>
      <c r="J10" s="4">
        <f>'C:\Users\super\Documents\actuarial\cas-rfp\spec-only\team-analyst\sample-data\sample-run\selections\[Chain Ladder Selections - LDFs.xlsx]Paid Loss'!J10</f>
        <v>1055610.0612</v>
      </c>
      <c r="K10" s="4">
        <f>'C:\Users\super\Documents\actuarial\cas-rfp\spec-only\team-analyst\sample-data\sample-run\selections\[Chain Ladder Selections - LDFs.xlsx]Paid Loss'!K10</f>
        <v>1071106.0052</v>
      </c>
      <c r="L10" s="4">
        <f>'C:\Users\super\Documents\actuarial\cas-rfp\spec-only\team-analyst\sample-data\sample-run\selections\[Chain Ladder Selections - LDFs.xlsx]Paid Loss'!L10</f>
        <v>1081182.3785</v>
      </c>
      <c r="M10" s="4">
        <f>'C:\Users\super\Documents\actuarial\cas-rfp\spec-only\team-analyst\sample-data\sample-run\selections\[Chain Ladder Selections - LDFs.xlsx]Paid Loss'!M10</f>
        <v>1114205.6456</v>
      </c>
      <c r="N10" s="4">
        <f>'C:\Users\super\Documents\actuarial\cas-rfp\spec-only\team-analyst\sample-data\sample-run\selections\[Chain Ladder Selections - LDFs.xlsx]Paid Loss'!N10</f>
        <v>1169581.0893</v>
      </c>
      <c r="O10" s="4">
        <f>'C:\Users\super\Documents\actuarial\cas-rfp\spec-only\team-analyst\sample-data\sample-run\selections\[Chain Ladder Selections - LDFs.xlsx]Paid Loss'!O10</f>
        <v>1169581.0893</v>
      </c>
      <c r="P10" s="4">
        <f>'C:\Users\super\Documents\actuarial\cas-rfp\spec-only\team-analyst\sample-data\sample-run\selections\[Chain Ladder Selections - LDFs.xlsx]Paid Loss'!P10</f>
        <v>1169581.0893</v>
      </c>
      <c r="Q10" s="4">
        <f>'C:\Users\super\Documents\actuarial\cas-rfp\spec-only\team-analyst\sample-data\sample-run\selections\[Chain Ladder Selections - LDFs.xlsx]Paid Loss'!Q10</f>
        <v>1169581.0893</v>
      </c>
    </row>
    <row r="11" spans="1:25">
      <c r="A11" s="3" t="s">
        <v>60</v>
      </c>
      <c r="B11" s="4">
        <f>'C:\Users\super\Documents\actuarial\cas-rfp\spec-only\team-analyst\sample-data\sample-run\selections\[Chain Ladder Selections - LDFs.xlsx]Paid Loss'!B11</f>
        <v>243623.1532</v>
      </c>
      <c r="C11" s="4">
        <f>'C:\Users\super\Documents\actuarial\cas-rfp\spec-only\team-analyst\sample-data\sample-run\selections\[Chain Ladder Selections - LDFs.xlsx]Paid Loss'!C11</f>
        <v>673150.5647</v>
      </c>
      <c r="D11" s="4">
        <f>'C:\Users\super\Documents\actuarial\cas-rfp\spec-only\team-analyst\sample-data\sample-run\selections\[Chain Ladder Selections - LDFs.xlsx]Paid Loss'!D11</f>
        <v>915252.7734</v>
      </c>
      <c r="E11" s="4">
        <f>'C:\Users\super\Documents\actuarial\cas-rfp\spec-only\team-analyst\sample-data\sample-run\selections\[Chain Ladder Selections - LDFs.xlsx]Paid Loss'!E11</f>
        <v>1076920.2816</v>
      </c>
      <c r="F11" s="4">
        <f>'C:\Users\super\Documents\actuarial\cas-rfp\spec-only\team-analyst\sample-data\sample-run\selections\[Chain Ladder Selections - LDFs.xlsx]Paid Loss'!F11</f>
        <v>1176984.3356</v>
      </c>
      <c r="G11" s="4">
        <f>'C:\Users\super\Documents\actuarial\cas-rfp\spec-only\team-analyst\sample-data\sample-run\selections\[Chain Ladder Selections - LDFs.xlsx]Paid Loss'!G11</f>
        <v>1201535.388</v>
      </c>
      <c r="H11" s="4">
        <f>'C:\Users\super\Documents\actuarial\cas-rfp\spec-only\team-analyst\sample-data\sample-run\selections\[Chain Ladder Selections - LDFs.xlsx]Paid Loss'!H11</f>
        <v>1260309.0524</v>
      </c>
      <c r="I11" s="4">
        <f>'C:\Users\super\Documents\actuarial\cas-rfp\spec-only\team-analyst\sample-data\sample-run\selections\[Chain Ladder Selections - LDFs.xlsx]Paid Loss'!I11</f>
        <v>1262502.2276</v>
      </c>
      <c r="J11" s="4">
        <f>'C:\Users\super\Documents\actuarial\cas-rfp\spec-only\team-analyst\sample-data\sample-run\selections\[Chain Ladder Selections - LDFs.xlsx]Paid Loss'!J11</f>
        <v>1266822.057</v>
      </c>
      <c r="K11" s="4">
        <f>'C:\Users\super\Documents\actuarial\cas-rfp\spec-only\team-analyst\sample-data\sample-run\selections\[Chain Ladder Selections - LDFs.xlsx]Paid Loss'!K11</f>
        <v>1267621.5366</v>
      </c>
      <c r="L11" s="4">
        <f>'C:\Users\super\Documents\actuarial\cas-rfp\spec-only\team-analyst\sample-data\sample-run\selections\[Chain Ladder Selections - LDFs.xlsx]Paid Loss'!L11</f>
        <v>1268264.0499</v>
      </c>
      <c r="M11" s="4">
        <f>'C:\Users\super\Documents\actuarial\cas-rfp\spec-only\team-analyst\sample-data\sample-run\selections\[Chain Ladder Selections - LDFs.xlsx]Paid Loss'!M11</f>
        <v>1268337.9475</v>
      </c>
      <c r="N11" s="4">
        <f>'C:\Users\super\Documents\actuarial\cas-rfp\spec-only\team-analyst\sample-data\sample-run\selections\[Chain Ladder Selections - LDFs.xlsx]Paid Loss'!N11</f>
        <v>1269144.7773</v>
      </c>
      <c r="O11" s="4">
        <f>'C:\Users\super\Documents\actuarial\cas-rfp\spec-only\team-analyst\sample-data\sample-run\selections\[Chain Ladder Selections - LDFs.xlsx]Paid Loss'!O11</f>
        <v>1270069.2627</v>
      </c>
      <c r="P11" s="4">
        <f>'C:\Users\super\Documents\actuarial\cas-rfp\spec-only\team-analyst\sample-data\sample-run\selections\[Chain Ladder Selections - LDFs.xlsx]Paid Loss'!P11</f>
        <v>1277672.0721</v>
      </c>
    </row>
    <row r="12" spans="1:25">
      <c r="A12" s="3" t="s">
        <v>61</v>
      </c>
      <c r="B12" s="4">
        <f>'C:\Users\super\Documents\actuarial\cas-rfp\spec-only\team-analyst\sample-data\sample-run\selections\[Chain Ladder Selections - LDFs.xlsx]Paid Loss'!B12</f>
        <v>364078.0359</v>
      </c>
      <c r="C12" s="4">
        <f>'C:\Users\super\Documents\actuarial\cas-rfp\spec-only\team-analyst\sample-data\sample-run\selections\[Chain Ladder Selections - LDFs.xlsx]Paid Loss'!C12</f>
        <v>839046.0318</v>
      </c>
      <c r="D12" s="4">
        <f>'C:\Users\super\Documents\actuarial\cas-rfp\spec-only\team-analyst\sample-data\sample-run\selections\[Chain Ladder Selections - LDFs.xlsx]Paid Loss'!D12</f>
        <v>1308017.8708</v>
      </c>
      <c r="E12" s="4">
        <f>'C:\Users\super\Documents\actuarial\cas-rfp\spec-only\team-analyst\sample-data\sample-run\selections\[Chain Ladder Selections - LDFs.xlsx]Paid Loss'!E12</f>
        <v>1406826.3913</v>
      </c>
      <c r="F12" s="4">
        <f>'C:\Users\super\Documents\actuarial\cas-rfp\spec-only\team-analyst\sample-data\sample-run\selections\[Chain Ladder Selections - LDFs.xlsx]Paid Loss'!F12</f>
        <v>1523414.8592</v>
      </c>
      <c r="G12" s="4">
        <f>'C:\Users\super\Documents\actuarial\cas-rfp\spec-only\team-analyst\sample-data\sample-run\selections\[Chain Ladder Selections - LDFs.xlsx]Paid Loss'!G12</f>
        <v>1658815.0564</v>
      </c>
      <c r="H12" s="4">
        <f>'C:\Users\super\Documents\actuarial\cas-rfp\spec-only\team-analyst\sample-data\sample-run\selections\[Chain Ladder Selections - LDFs.xlsx]Paid Loss'!H12</f>
        <v>1822167.0208</v>
      </c>
      <c r="I12" s="4">
        <f>'C:\Users\super\Documents\actuarial\cas-rfp\spec-only\team-analyst\sample-data\sample-run\selections\[Chain Ladder Selections - LDFs.xlsx]Paid Loss'!I12</f>
        <v>1825756.0557</v>
      </c>
      <c r="J12" s="4">
        <f>'C:\Users\super\Documents\actuarial\cas-rfp\spec-only\team-analyst\sample-data\sample-run\selections\[Chain Ladder Selections - LDFs.xlsx]Paid Loss'!J12</f>
        <v>1834064.2045</v>
      </c>
      <c r="K12" s="4">
        <f>'C:\Users\super\Documents\actuarial\cas-rfp\spec-only\team-analyst\sample-data\sample-run\selections\[Chain Ladder Selections - LDFs.xlsx]Paid Loss'!K12</f>
        <v>1848125.5322</v>
      </c>
      <c r="L12" s="4">
        <f>'C:\Users\super\Documents\actuarial\cas-rfp\spec-only\team-analyst\sample-data\sample-run\selections\[Chain Ladder Selections - LDFs.xlsx]Paid Loss'!L12</f>
        <v>1857745.403</v>
      </c>
      <c r="M12" s="4">
        <f>'C:\Users\super\Documents\actuarial\cas-rfp\spec-only\team-analyst\sample-data\sample-run\selections\[Chain Ladder Selections - LDFs.xlsx]Paid Loss'!M12</f>
        <v>1876941.6374</v>
      </c>
      <c r="N12" s="4">
        <f>'C:\Users\super\Documents\actuarial\cas-rfp\spec-only\team-analyst\sample-data\sample-run\selections\[Chain Ladder Selections - LDFs.xlsx]Paid Loss'!N12</f>
        <v>1886612.5767</v>
      </c>
      <c r="O12" s="4">
        <f>'C:\Users\super\Documents\actuarial\cas-rfp\spec-only\team-analyst\sample-data\sample-run\selections\[Chain Ladder Selections - LDFs.xlsx]Paid Loss'!O12</f>
        <v>1892658.2977</v>
      </c>
    </row>
    <row r="13" spans="1:25">
      <c r="A13" s="3" t="s">
        <v>62</v>
      </c>
      <c r="B13" s="4">
        <f>'C:\Users\super\Documents\actuarial\cas-rfp\spec-only\team-analyst\sample-data\sample-run\selections\[Chain Ladder Selections - LDFs.xlsx]Paid Loss'!B13</f>
        <v>227809.9905</v>
      </c>
      <c r="C13" s="4">
        <f>'C:\Users\super\Documents\actuarial\cas-rfp\spec-only\team-analyst\sample-data\sample-run\selections\[Chain Ladder Selections - LDFs.xlsx]Paid Loss'!C13</f>
        <v>634577.1656</v>
      </c>
      <c r="D13" s="4">
        <f>'C:\Users\super\Documents\actuarial\cas-rfp\spec-only\team-analyst\sample-data\sample-run\selections\[Chain Ladder Selections - LDFs.xlsx]Paid Loss'!D13</f>
        <v>799343.7148</v>
      </c>
      <c r="E13" s="4">
        <f>'C:\Users\super\Documents\actuarial\cas-rfp\spec-only\team-analyst\sample-data\sample-run\selections\[Chain Ladder Selections - LDFs.xlsx]Paid Loss'!E13</f>
        <v>951570.158</v>
      </c>
      <c r="F13" s="4">
        <f>'C:\Users\super\Documents\actuarial\cas-rfp\spec-only\team-analyst\sample-data\sample-run\selections\[Chain Ladder Selections - LDFs.xlsx]Paid Loss'!F13</f>
        <v>961178.1656</v>
      </c>
      <c r="G13" s="4">
        <f>'C:\Users\super\Documents\actuarial\cas-rfp\spec-only\team-analyst\sample-data\sample-run\selections\[Chain Ladder Selections - LDFs.xlsx]Paid Loss'!G13</f>
        <v>967435.7088</v>
      </c>
      <c r="H13" s="4">
        <f>'C:\Users\super\Documents\actuarial\cas-rfp\spec-only\team-analyst\sample-data\sample-run\selections\[Chain Ladder Selections - LDFs.xlsx]Paid Loss'!H13</f>
        <v>977662.0018</v>
      </c>
      <c r="I13" s="4">
        <f>'C:\Users\super\Documents\actuarial\cas-rfp\spec-only\team-analyst\sample-data\sample-run\selections\[Chain Ladder Selections - LDFs.xlsx]Paid Loss'!I13</f>
        <v>1016181.6668</v>
      </c>
      <c r="J13" s="4">
        <f>'C:\Users\super\Documents\actuarial\cas-rfp\spec-only\team-analyst\sample-data\sample-run\selections\[Chain Ladder Selections - LDFs.xlsx]Paid Loss'!J13</f>
        <v>1048240.5835</v>
      </c>
      <c r="K13" s="4">
        <f>'C:\Users\super\Documents\actuarial\cas-rfp\spec-only\team-analyst\sample-data\sample-run\selections\[Chain Ladder Selections - LDFs.xlsx]Paid Loss'!K13</f>
        <v>1053040.6285</v>
      </c>
      <c r="L13" s="4">
        <f>'C:\Users\super\Documents\actuarial\cas-rfp\spec-only\team-analyst\sample-data\sample-run\selections\[Chain Ladder Selections - LDFs.xlsx]Paid Loss'!L13</f>
        <v>1084319.7934</v>
      </c>
      <c r="M13" s="4">
        <f>'C:\Users\super\Documents\actuarial\cas-rfp\spec-only\team-analyst\sample-data\sample-run\selections\[Chain Ladder Selections - LDFs.xlsx]Paid Loss'!M13</f>
        <v>1145575.5199</v>
      </c>
      <c r="N13" s="4">
        <f>'C:\Users\super\Documents\actuarial\cas-rfp\spec-only\team-analyst\sample-data\sample-run\selections\[Chain Ladder Selections - LDFs.xlsx]Paid Loss'!N13</f>
        <v>1194236.8783</v>
      </c>
    </row>
    <row r="14" spans="1:25">
      <c r="A14" s="3" t="s">
        <v>63</v>
      </c>
      <c r="B14" s="4">
        <f>'C:\Users\super\Documents\actuarial\cas-rfp\spec-only\team-analyst\sample-data\sample-run\selections\[Chain Ladder Selections - LDFs.xlsx]Paid Loss'!B14</f>
        <v>202558.6</v>
      </c>
      <c r="C14" s="4">
        <f>'C:\Users\super\Documents\actuarial\cas-rfp\spec-only\team-analyst\sample-data\sample-run\selections\[Chain Ladder Selections - LDFs.xlsx]Paid Loss'!C14</f>
        <v>466110.2601</v>
      </c>
      <c r="D14" s="4">
        <f>'C:\Users\super\Documents\actuarial\cas-rfp\spec-only\team-analyst\sample-data\sample-run\selections\[Chain Ladder Selections - LDFs.xlsx]Paid Loss'!D14</f>
        <v>544741.4368</v>
      </c>
      <c r="E14" s="4">
        <f>'C:\Users\super\Documents\actuarial\cas-rfp\spec-only\team-analyst\sample-data\sample-run\selections\[Chain Ladder Selections - LDFs.xlsx]Paid Loss'!E14</f>
        <v>597598.0148</v>
      </c>
      <c r="F14" s="4">
        <f>'C:\Users\super\Documents\actuarial\cas-rfp\spec-only\team-analyst\sample-data\sample-run\selections\[Chain Ladder Selections - LDFs.xlsx]Paid Loss'!F14</f>
        <v>708646.3136</v>
      </c>
      <c r="G14" s="4">
        <f>'C:\Users\super\Documents\actuarial\cas-rfp\spec-only\team-analyst\sample-data\sample-run\selections\[Chain Ladder Selections - LDFs.xlsx]Paid Loss'!G14</f>
        <v>706804.6403</v>
      </c>
      <c r="H14" s="4">
        <f>'C:\Users\super\Documents\actuarial\cas-rfp\spec-only\team-analyst\sample-data\sample-run\selections\[Chain Ladder Selections - LDFs.xlsx]Paid Loss'!H14</f>
        <v>707153.1202</v>
      </c>
      <c r="I14" s="4">
        <f>'C:\Users\super\Documents\actuarial\cas-rfp\spec-only\team-analyst\sample-data\sample-run\selections\[Chain Ladder Selections - LDFs.xlsx]Paid Loss'!I14</f>
        <v>707153.1202</v>
      </c>
      <c r="J14" s="4">
        <f>'C:\Users\super\Documents\actuarial\cas-rfp\spec-only\team-analyst\sample-data\sample-run\selections\[Chain Ladder Selections - LDFs.xlsx]Paid Loss'!J14</f>
        <v>708518.7743</v>
      </c>
      <c r="K14" s="4">
        <f>'C:\Users\super\Documents\actuarial\cas-rfp\spec-only\team-analyst\sample-data\sample-run\selections\[Chain Ladder Selections - LDFs.xlsx]Paid Loss'!K14</f>
        <v>708518.7743</v>
      </c>
      <c r="L14" s="4">
        <f>'C:\Users\super\Documents\actuarial\cas-rfp\spec-only\team-analyst\sample-data\sample-run\selections\[Chain Ladder Selections - LDFs.xlsx]Paid Loss'!L14</f>
        <v>708529.9909</v>
      </c>
      <c r="M14" s="4">
        <f>'C:\Users\super\Documents\actuarial\cas-rfp\spec-only\team-analyst\sample-data\sample-run\selections\[Chain Ladder Selections - LDFs.xlsx]Paid Loss'!M14</f>
        <v>708529.9909</v>
      </c>
    </row>
    <row r="15" spans="1:25">
      <c r="A15" s="3" t="s">
        <v>64</v>
      </c>
      <c r="B15" s="4">
        <f>'C:\Users\super\Documents\actuarial\cas-rfp\spec-only\team-analyst\sample-data\sample-run\selections\[Chain Ladder Selections - LDFs.xlsx]Paid Loss'!B15</f>
        <v>411721.1514</v>
      </c>
      <c r="C15" s="4">
        <f>'C:\Users\super\Documents\actuarial\cas-rfp\spec-only\team-analyst\sample-data\sample-run\selections\[Chain Ladder Selections - LDFs.xlsx]Paid Loss'!C15</f>
        <v>738237.024</v>
      </c>
      <c r="D15" s="4">
        <f>'C:\Users\super\Documents\actuarial\cas-rfp\spec-only\team-analyst\sample-data\sample-run\selections\[Chain Ladder Selections - LDFs.xlsx]Paid Loss'!D15</f>
        <v>926318.2924</v>
      </c>
      <c r="E15" s="4">
        <f>'C:\Users\super\Documents\actuarial\cas-rfp\spec-only\team-analyst\sample-data\sample-run\selections\[Chain Ladder Selections - LDFs.xlsx]Paid Loss'!E15</f>
        <v>1179532.3776</v>
      </c>
      <c r="F15" s="4">
        <f>'C:\Users\super\Documents\actuarial\cas-rfp\spec-only\team-analyst\sample-data\sample-run\selections\[Chain Ladder Selections - LDFs.xlsx]Paid Loss'!F15</f>
        <v>1258547.8747</v>
      </c>
      <c r="G15" s="4">
        <f>'C:\Users\super\Documents\actuarial\cas-rfp\spec-only\team-analyst\sample-data\sample-run\selections\[Chain Ladder Selections - LDFs.xlsx]Paid Loss'!G15</f>
        <v>1279437.0107</v>
      </c>
      <c r="H15" s="4">
        <f>'C:\Users\super\Documents\actuarial\cas-rfp\spec-only\team-analyst\sample-data\sample-run\selections\[Chain Ladder Selections - LDFs.xlsx]Paid Loss'!H15</f>
        <v>1287255.5747</v>
      </c>
      <c r="I15" s="4">
        <f>'C:\Users\super\Documents\actuarial\cas-rfp\spec-only\team-analyst\sample-data\sample-run\selections\[Chain Ladder Selections - LDFs.xlsx]Paid Loss'!I15</f>
        <v>1291077.2419</v>
      </c>
      <c r="J15" s="4">
        <f>'C:\Users\super\Documents\actuarial\cas-rfp\spec-only\team-analyst\sample-data\sample-run\selections\[Chain Ladder Selections - LDFs.xlsx]Paid Loss'!J15</f>
        <v>1299245.6846</v>
      </c>
      <c r="K15" s="4">
        <f>'C:\Users\super\Documents\actuarial\cas-rfp\spec-only\team-analyst\sample-data\sample-run\selections\[Chain Ladder Selections - LDFs.xlsx]Paid Loss'!K15</f>
        <v>1379318.0229</v>
      </c>
      <c r="L15" s="4">
        <f>'C:\Users\super\Documents\actuarial\cas-rfp\spec-only\team-analyst\sample-data\sample-run\selections\[Chain Ladder Selections - LDFs.xlsx]Paid Loss'!L15</f>
        <v>1389603.6847</v>
      </c>
    </row>
    <row r="16" spans="1:25">
      <c r="A16" s="3" t="s">
        <v>65</v>
      </c>
      <c r="B16" s="4">
        <f>'C:\Users\super\Documents\actuarial\cas-rfp\spec-only\team-analyst\sample-data\sample-run\selections\[Chain Ladder Selections - LDFs.xlsx]Paid Loss'!B16</f>
        <v>380424.8448</v>
      </c>
      <c r="C16" s="4">
        <f>'C:\Users\super\Documents\actuarial\cas-rfp\spec-only\team-analyst\sample-data\sample-run\selections\[Chain Ladder Selections - LDFs.xlsx]Paid Loss'!C16</f>
        <v>844695.754</v>
      </c>
      <c r="D16" s="4">
        <f>'C:\Users\super\Documents\actuarial\cas-rfp\spec-only\team-analyst\sample-data\sample-run\selections\[Chain Ladder Selections - LDFs.xlsx]Paid Loss'!D16</f>
        <v>1420142.9632</v>
      </c>
      <c r="E16" s="4">
        <f>'C:\Users\super\Documents\actuarial\cas-rfp\spec-only\team-analyst\sample-data\sample-run\selections\[Chain Ladder Selections - LDFs.xlsx]Paid Loss'!E16</f>
        <v>2080874.3633</v>
      </c>
      <c r="F16" s="4">
        <f>'C:\Users\super\Documents\actuarial\cas-rfp\spec-only\team-analyst\sample-data\sample-run\selections\[Chain Ladder Selections - LDFs.xlsx]Paid Loss'!F16</f>
        <v>2234622.0018</v>
      </c>
      <c r="G16" s="4">
        <f>'C:\Users\super\Documents\actuarial\cas-rfp\spec-only\team-analyst\sample-data\sample-run\selections\[Chain Ladder Selections - LDFs.xlsx]Paid Loss'!G16</f>
        <v>2488067.8351</v>
      </c>
      <c r="H16" s="4">
        <f>'C:\Users\super\Documents\actuarial\cas-rfp\spec-only\team-analyst\sample-data\sample-run\selections\[Chain Ladder Selections - LDFs.xlsx]Paid Loss'!H16</f>
        <v>2763681.6553</v>
      </c>
      <c r="I16" s="4">
        <f>'C:\Users\super\Documents\actuarial\cas-rfp\spec-only\team-analyst\sample-data\sample-run\selections\[Chain Ladder Selections - LDFs.xlsx]Paid Loss'!I16</f>
        <v>2914940.4622</v>
      </c>
      <c r="J16" s="4">
        <f>'C:\Users\super\Documents\actuarial\cas-rfp\spec-only\team-analyst\sample-data\sample-run\selections\[Chain Ladder Selections - LDFs.xlsx]Paid Loss'!J16</f>
        <v>2956733.3158</v>
      </c>
      <c r="K16" s="4">
        <f>'C:\Users\super\Documents\actuarial\cas-rfp\spec-only\team-analyst\sample-data\sample-run\selections\[Chain Ladder Selections - LDFs.xlsx]Paid Loss'!K16</f>
        <v>3364231.2985</v>
      </c>
    </row>
    <row r="17" spans="1:24">
      <c r="A17" s="3" t="s">
        <v>66</v>
      </c>
      <c r="B17" s="4">
        <f>'C:\Users\super\Documents\actuarial\cas-rfp\spec-only\team-analyst\sample-data\sample-run\selections\[Chain Ladder Selections - LDFs.xlsx]Paid Loss'!B17</f>
        <v>339622.8128</v>
      </c>
      <c r="C17" s="4">
        <f>'C:\Users\super\Documents\actuarial\cas-rfp\spec-only\team-analyst\sample-data\sample-run\selections\[Chain Ladder Selections - LDFs.xlsx]Paid Loss'!C17</f>
        <v>1125902.514</v>
      </c>
      <c r="D17" s="4">
        <f>'C:\Users\super\Documents\actuarial\cas-rfp\spec-only\team-analyst\sample-data\sample-run\selections\[Chain Ladder Selections - LDFs.xlsx]Paid Loss'!D17</f>
        <v>1591493.1288</v>
      </c>
      <c r="E17" s="4">
        <f>'C:\Users\super\Documents\actuarial\cas-rfp\spec-only\team-analyst\sample-data\sample-run\selections\[Chain Ladder Selections - LDFs.xlsx]Paid Loss'!E17</f>
        <v>1791123.5232</v>
      </c>
      <c r="F17" s="4">
        <f>'C:\Users\super\Documents\actuarial\cas-rfp\spec-only\team-analyst\sample-data\sample-run\selections\[Chain Ladder Selections - LDFs.xlsx]Paid Loss'!F17</f>
        <v>1925889.9033</v>
      </c>
      <c r="G17" s="4">
        <f>'C:\Users\super\Documents\actuarial\cas-rfp\spec-only\team-analyst\sample-data\sample-run\selections\[Chain Ladder Selections - LDFs.xlsx]Paid Loss'!G17</f>
        <v>2122828.5116</v>
      </c>
      <c r="H17" s="4">
        <f>'C:\Users\super\Documents\actuarial\cas-rfp\spec-only\team-analyst\sample-data\sample-run\selections\[Chain Ladder Selections - LDFs.xlsx]Paid Loss'!H17</f>
        <v>2419166.3463</v>
      </c>
      <c r="I17" s="4">
        <f>'C:\Users\super\Documents\actuarial\cas-rfp\spec-only\team-analyst\sample-data\sample-run\selections\[Chain Ladder Selections - LDFs.xlsx]Paid Loss'!I17</f>
        <v>2435189.8136</v>
      </c>
      <c r="J17" s="4">
        <f>'C:\Users\super\Documents\actuarial\cas-rfp\spec-only\team-analyst\sample-data\sample-run\selections\[Chain Ladder Selections - LDFs.xlsx]Paid Loss'!J17</f>
        <v>2462208.6764</v>
      </c>
    </row>
    <row r="18" spans="1:24">
      <c r="A18" s="3" t="s">
        <v>67</v>
      </c>
      <c r="B18" s="4">
        <f>'C:\Users\super\Documents\actuarial\cas-rfp\spec-only\team-analyst\sample-data\sample-run\selections\[Chain Ladder Selections - LDFs.xlsx]Paid Loss'!B18</f>
        <v>336652.3932</v>
      </c>
      <c r="C18" s="4">
        <f>'C:\Users\super\Documents\actuarial\cas-rfp\spec-only\team-analyst\sample-data\sample-run\selections\[Chain Ladder Selections - LDFs.xlsx]Paid Loss'!C18</f>
        <v>584790.2939</v>
      </c>
      <c r="D18" s="4">
        <f>'C:\Users\super\Documents\actuarial\cas-rfp\spec-only\team-analyst\sample-data\sample-run\selections\[Chain Ladder Selections - LDFs.xlsx]Paid Loss'!D18</f>
        <v>630127.1445</v>
      </c>
      <c r="E18" s="4">
        <f>'C:\Users\super\Documents\actuarial\cas-rfp\spec-only\team-analyst\sample-data\sample-run\selections\[Chain Ladder Selections - LDFs.xlsx]Paid Loss'!E18</f>
        <v>710567.1893</v>
      </c>
      <c r="F18" s="4">
        <f>'C:\Users\super\Documents\actuarial\cas-rfp\spec-only\team-analyst\sample-data\sample-run\selections\[Chain Ladder Selections - LDFs.xlsx]Paid Loss'!F18</f>
        <v>772675.5753</v>
      </c>
      <c r="G18" s="4">
        <f>'C:\Users\super\Documents\actuarial\cas-rfp\spec-only\team-analyst\sample-data\sample-run\selections\[Chain Ladder Selections - LDFs.xlsx]Paid Loss'!G18</f>
        <v>855730.1436</v>
      </c>
      <c r="H18" s="4">
        <f>'C:\Users\super\Documents\actuarial\cas-rfp\spec-only\team-analyst\sample-data\sample-run\selections\[Chain Ladder Selections - LDFs.xlsx]Paid Loss'!H18</f>
        <v>1105087.777</v>
      </c>
      <c r="I18" s="4">
        <f>'C:\Users\super\Documents\actuarial\cas-rfp\spec-only\team-analyst\sample-data\sample-run\selections\[Chain Ladder Selections - LDFs.xlsx]Paid Loss'!I18</f>
        <v>1205811.8289</v>
      </c>
    </row>
    <row r="19" spans="1:24">
      <c r="A19" s="3" t="s">
        <v>68</v>
      </c>
      <c r="B19" s="4">
        <f>'C:\Users\super\Documents\actuarial\cas-rfp\spec-only\team-analyst\sample-data\sample-run\selections\[Chain Ladder Selections - LDFs.xlsx]Paid Loss'!B19</f>
        <v>345419.169</v>
      </c>
      <c r="C19" s="4">
        <f>'C:\Users\super\Documents\actuarial\cas-rfp\spec-only\team-analyst\sample-data\sample-run\selections\[Chain Ladder Selections - LDFs.xlsx]Paid Loss'!C19</f>
        <v>993120.1129</v>
      </c>
      <c r="D19" s="4">
        <f>'C:\Users\super\Documents\actuarial\cas-rfp\spec-only\team-analyst\sample-data\sample-run\selections\[Chain Ladder Selections - LDFs.xlsx]Paid Loss'!D19</f>
        <v>1473722.3521</v>
      </c>
      <c r="E19" s="4">
        <f>'C:\Users\super\Documents\actuarial\cas-rfp\spec-only\team-analyst\sample-data\sample-run\selections\[Chain Ladder Selections - LDFs.xlsx]Paid Loss'!E19</f>
        <v>2024103.1787</v>
      </c>
      <c r="F19" s="4">
        <f>'C:\Users\super\Documents\actuarial\cas-rfp\spec-only\team-analyst\sample-data\sample-run\selections\[Chain Ladder Selections - LDFs.xlsx]Paid Loss'!F19</f>
        <v>2140405.0822</v>
      </c>
      <c r="G19" s="4">
        <f>'C:\Users\super\Documents\actuarial\cas-rfp\spec-only\team-analyst\sample-data\sample-run\selections\[Chain Ladder Selections - LDFs.xlsx]Paid Loss'!G19</f>
        <v>2260849.3157</v>
      </c>
      <c r="H19" s="4">
        <f>'C:\Users\super\Documents\actuarial\cas-rfp\spec-only\team-analyst\sample-data\sample-run\selections\[Chain Ladder Selections - LDFs.xlsx]Paid Loss'!H19</f>
        <v>2395448.4233</v>
      </c>
    </row>
    <row r="20" spans="1:24">
      <c r="A20" s="3" t="s">
        <v>69</v>
      </c>
      <c r="B20" s="4">
        <f>'C:\Users\super\Documents\actuarial\cas-rfp\spec-only\team-analyst\sample-data\sample-run\selections\[Chain Ladder Selections - LDFs.xlsx]Paid Loss'!B20</f>
        <v>289279.8617</v>
      </c>
      <c r="C20" s="4">
        <f>'C:\Users\super\Documents\actuarial\cas-rfp\spec-only\team-analyst\sample-data\sample-run\selections\[Chain Ladder Selections - LDFs.xlsx]Paid Loss'!C20</f>
        <v>773667.7694</v>
      </c>
      <c r="D20" s="4">
        <f>'C:\Users\super\Documents\actuarial\cas-rfp\spec-only\team-analyst\sample-data\sample-run\selections\[Chain Ladder Selections - LDFs.xlsx]Paid Loss'!D20</f>
        <v>1353683.4733</v>
      </c>
      <c r="E20" s="4">
        <f>'C:\Users\super\Documents\actuarial\cas-rfp\spec-only\team-analyst\sample-data\sample-run\selections\[Chain Ladder Selections - LDFs.xlsx]Paid Loss'!E20</f>
        <v>1600695.7816</v>
      </c>
      <c r="F20" s="4">
        <f>'C:\Users\super\Documents\actuarial\cas-rfp\spec-only\team-analyst\sample-data\sample-run\selections\[Chain Ladder Selections - LDFs.xlsx]Paid Loss'!F20</f>
        <v>1970840.4806</v>
      </c>
      <c r="G20" s="4">
        <f>'C:\Users\super\Documents\actuarial\cas-rfp\spec-only\team-analyst\sample-data\sample-run\selections\[Chain Ladder Selections - LDFs.xlsx]Paid Loss'!G20</f>
        <v>2395189.8345</v>
      </c>
    </row>
    <row r="21" spans="1:24">
      <c r="A21" s="3" t="s">
        <v>70</v>
      </c>
      <c r="B21" s="4">
        <f>'C:\Users\super\Documents\actuarial\cas-rfp\spec-only\team-analyst\sample-data\sample-run\selections\[Chain Ladder Selections - LDFs.xlsx]Paid Loss'!B21</f>
        <v>285916.1353</v>
      </c>
      <c r="C21" s="4">
        <f>'C:\Users\super\Documents\actuarial\cas-rfp\spec-only\team-analyst\sample-data\sample-run\selections\[Chain Ladder Selections - LDFs.xlsx]Paid Loss'!C21</f>
        <v>730087.9662</v>
      </c>
      <c r="D21" s="4">
        <f>'C:\Users\super\Documents\actuarial\cas-rfp\spec-only\team-analyst\sample-data\sample-run\selections\[Chain Ladder Selections - LDFs.xlsx]Paid Loss'!D21</f>
        <v>861703.8541</v>
      </c>
      <c r="E21" s="4">
        <f>'C:\Users\super\Documents\actuarial\cas-rfp\spec-only\team-analyst\sample-data\sample-run\selections\[Chain Ladder Selections - LDFs.xlsx]Paid Loss'!E21</f>
        <v>965936.0494</v>
      </c>
      <c r="F21" s="4">
        <f>'C:\Users\super\Documents\actuarial\cas-rfp\spec-only\team-analyst\sample-data\sample-run\selections\[Chain Ladder Selections - LDFs.xlsx]Paid Loss'!F21</f>
        <v>976050.8626</v>
      </c>
    </row>
    <row r="22" spans="1:24">
      <c r="A22" s="3" t="s">
        <v>71</v>
      </c>
      <c r="B22" s="4">
        <f>'C:\Users\super\Documents\actuarial\cas-rfp\spec-only\team-analyst\sample-data\sample-run\selections\[Chain Ladder Selections - LDFs.xlsx]Paid Loss'!B22</f>
        <v>273712.105</v>
      </c>
      <c r="C22" s="4">
        <f>'C:\Users\super\Documents\actuarial\cas-rfp\spec-only\team-analyst\sample-data\sample-run\selections\[Chain Ladder Selections - LDFs.xlsx]Paid Loss'!C22</f>
        <v>546911.8753</v>
      </c>
      <c r="D22" s="4">
        <f>'C:\Users\super\Documents\actuarial\cas-rfp\spec-only\team-analyst\sample-data\sample-run\selections\[Chain Ladder Selections - LDFs.xlsx]Paid Loss'!D22</f>
        <v>911379.2328</v>
      </c>
      <c r="E22" s="4">
        <f>'C:\Users\super\Documents\actuarial\cas-rfp\spec-only\team-analyst\sample-data\sample-run\selections\[Chain Ladder Selections - LDFs.xlsx]Paid Loss'!E22</f>
        <v>974979.4133</v>
      </c>
    </row>
    <row r="23" spans="1:24">
      <c r="A23" s="3" t="s">
        <v>72</v>
      </c>
      <c r="B23" s="4">
        <f>'C:\Users\super\Documents\actuarial\cas-rfp\spec-only\team-analyst\sample-data\sample-run\selections\[Chain Ladder Selections - LDFs.xlsx]Paid Loss'!B23</f>
        <v>307340.8838</v>
      </c>
      <c r="C23" s="4">
        <f>'C:\Users\super\Documents\actuarial\cas-rfp\spec-only\team-analyst\sample-data\sample-run\selections\[Chain Ladder Selections - LDFs.xlsx]Paid Loss'!C23</f>
        <v>746644.5651</v>
      </c>
      <c r="D23" s="4">
        <f>'C:\Users\super\Documents\actuarial\cas-rfp\spec-only\team-analyst\sample-data\sample-run\selections\[Chain Ladder Selections - LDFs.xlsx]Paid Loss'!D23</f>
        <v>791103.7101</v>
      </c>
    </row>
    <row r="24" spans="1:24">
      <c r="A24" s="3" t="s">
        <v>73</v>
      </c>
      <c r="B24" s="4">
        <f>'C:\Users\super\Documents\actuarial\cas-rfp\spec-only\team-analyst\sample-data\sample-run\selections\[Chain Ladder Selections - LDFs.xlsx]Paid Loss'!B24</f>
        <v>367267.232</v>
      </c>
      <c r="C24" s="4">
        <f>'C:\Users\super\Documents\actuarial\cas-rfp\spec-only\team-analyst\sample-data\sample-run\selections\[Chain Ladder Selections - LDFs.xlsx]Paid Loss'!C24</f>
        <v>1199242.0684</v>
      </c>
    </row>
    <row r="25" spans="1:24">
      <c r="A25" s="3" t="s">
        <v>74</v>
      </c>
      <c r="B25" s="4">
        <f>'C:\Users\super\Documents\actuarial\cas-rfp\spec-only\team-analyst\sample-data\sample-run\selections\[Chain Ladder Selections - LDFs.xlsx]Paid Loss'!B25</f>
        <v>355247.7609</v>
      </c>
    </row>
    <row r="26" spans="1:24">
      <c r="A26" s="3"/>
    </row>
    <row r="27" spans="1:24">
      <c r="A27" s="3" t="s">
        <v>50</v>
      </c>
      <c r="B27" t="s">
        <v>75</v>
      </c>
      <c r="C27" t="s">
        <v>76</v>
      </c>
      <c r="D27" t="s">
        <v>77</v>
      </c>
      <c r="E27" t="s">
        <v>78</v>
      </c>
      <c r="F27" t="s">
        <v>79</v>
      </c>
      <c r="G27" t="s">
        <v>80</v>
      </c>
      <c r="H27" t="s">
        <v>81</v>
      </c>
      <c r="I27" t="s">
        <v>82</v>
      </c>
      <c r="J27" t="s">
        <v>83</v>
      </c>
      <c r="K27" t="s">
        <v>84</v>
      </c>
      <c r="L27" t="s">
        <v>85</v>
      </c>
      <c r="M27" t="s">
        <v>86</v>
      </c>
      <c r="N27" t="s">
        <v>87</v>
      </c>
      <c r="O27" t="s">
        <v>88</v>
      </c>
      <c r="P27" t="s">
        <v>89</v>
      </c>
      <c r="Q27" t="s">
        <v>90</v>
      </c>
      <c r="R27" t="s">
        <v>91</v>
      </c>
      <c r="S27" t="s">
        <v>92</v>
      </c>
      <c r="T27" t="s">
        <v>93</v>
      </c>
      <c r="U27" t="s">
        <v>94</v>
      </c>
      <c r="V27" t="s">
        <v>95</v>
      </c>
      <c r="W27" t="s">
        <v>96</v>
      </c>
      <c r="X27" t="s">
        <v>97</v>
      </c>
    </row>
    <row r="28" spans="1:24">
      <c r="A28" s="3" t="s">
        <v>51</v>
      </c>
      <c r="B28">
        <f>IFERROR(IF(B2="","",B2/A2),"")</f>
        <v>0</v>
      </c>
      <c r="C28">
        <f>IFERROR(IF(C2="","",C2/B2),"")</f>
        <v>0</v>
      </c>
      <c r="D28">
        <f>IFERROR(IF(D2="","",D2/C2),"")</f>
        <v>0</v>
      </c>
      <c r="E28">
        <f>IFERROR(IF(E2="","",E2/D2),"")</f>
        <v>0</v>
      </c>
      <c r="F28">
        <f>IFERROR(IF(F2="","",F2/E2),"")</f>
        <v>0</v>
      </c>
      <c r="G28">
        <f>IFERROR(IF(G2="","",G2/F2),"")</f>
        <v>0</v>
      </c>
      <c r="H28">
        <f>IFERROR(IF(H2="","",H2/G2),"")</f>
        <v>0</v>
      </c>
      <c r="I28">
        <f>IFERROR(IF(I2="","",I2/H2),"")</f>
        <v>0</v>
      </c>
      <c r="J28">
        <f>IFERROR(IF(J2="","",J2/I2),"")</f>
        <v>0</v>
      </c>
      <c r="K28">
        <f>IFERROR(IF(K2="","",K2/J2),"")</f>
        <v>0</v>
      </c>
      <c r="L28">
        <f>IFERROR(IF(L2="","",L2/K2),"")</f>
        <v>0</v>
      </c>
      <c r="M28">
        <f>IFERROR(IF(M2="","",M2/L2),"")</f>
        <v>0</v>
      </c>
      <c r="N28">
        <f>IFERROR(IF(N2="","",N2/M2),"")</f>
        <v>0</v>
      </c>
      <c r="O28">
        <f>IFERROR(IF(O2="","",O2/N2),"")</f>
        <v>0</v>
      </c>
      <c r="P28">
        <f>IFERROR(IF(P2="","",P2/O2),"")</f>
        <v>0</v>
      </c>
      <c r="Q28">
        <f>IFERROR(IF(Q2="","",Q2/P2),"")</f>
        <v>0</v>
      </c>
      <c r="R28">
        <f>IFERROR(IF(R2="","",R2/Q2),"")</f>
        <v>0</v>
      </c>
      <c r="S28">
        <f>IFERROR(IF(S2="","",S2/R2),"")</f>
        <v>0</v>
      </c>
      <c r="T28">
        <f>IFERROR(IF(T2="","",T2/S2),"")</f>
        <v>0</v>
      </c>
      <c r="U28">
        <f>IFERROR(IF(U2="","",U2/T2),"")</f>
        <v>0</v>
      </c>
      <c r="V28">
        <f>IFERROR(IF(V2="","",V2/U2),"")</f>
        <v>0</v>
      </c>
      <c r="W28">
        <f>IFERROR(IF(W2="","",W2/V2),"")</f>
        <v>0</v>
      </c>
      <c r="X28">
        <f>IFERROR(IF(X2="","",X2/W2),"")</f>
        <v>0</v>
      </c>
    </row>
    <row r="29" spans="1:24">
      <c r="A29" s="3" t="s">
        <v>52</v>
      </c>
      <c r="B29">
        <f>IFERROR(IF(B3="","",B3/A3),"")</f>
        <v>0</v>
      </c>
      <c r="C29">
        <f>IFERROR(IF(C3="","",C3/B3),"")</f>
        <v>0</v>
      </c>
      <c r="D29">
        <f>IFERROR(IF(D3="","",D3/C3),"")</f>
        <v>0</v>
      </c>
      <c r="E29">
        <f>IFERROR(IF(E3="","",E3/D3),"")</f>
        <v>0</v>
      </c>
      <c r="F29">
        <f>IFERROR(IF(F3="","",F3/E3),"")</f>
        <v>0</v>
      </c>
      <c r="G29">
        <f>IFERROR(IF(G3="","",G3/F3),"")</f>
        <v>0</v>
      </c>
      <c r="H29">
        <f>IFERROR(IF(H3="","",H3/G3),"")</f>
        <v>0</v>
      </c>
      <c r="I29">
        <f>IFERROR(IF(I3="","",I3/H3),"")</f>
        <v>0</v>
      </c>
      <c r="J29">
        <f>IFERROR(IF(J3="","",J3/I3),"")</f>
        <v>0</v>
      </c>
      <c r="K29">
        <f>IFERROR(IF(K3="","",K3/J3),"")</f>
        <v>0</v>
      </c>
      <c r="L29">
        <f>IFERROR(IF(L3="","",L3/K3),"")</f>
        <v>0</v>
      </c>
      <c r="M29">
        <f>IFERROR(IF(M3="","",M3/L3),"")</f>
        <v>0</v>
      </c>
      <c r="N29">
        <f>IFERROR(IF(N3="","",N3/M3),"")</f>
        <v>0</v>
      </c>
      <c r="O29">
        <f>IFERROR(IF(O3="","",O3/N3),"")</f>
        <v>0</v>
      </c>
      <c r="P29">
        <f>IFERROR(IF(P3="","",P3/O3),"")</f>
        <v>0</v>
      </c>
      <c r="Q29">
        <f>IFERROR(IF(Q3="","",Q3/P3),"")</f>
        <v>0</v>
      </c>
      <c r="R29">
        <f>IFERROR(IF(R3="","",R3/Q3),"")</f>
        <v>0</v>
      </c>
      <c r="S29">
        <f>IFERROR(IF(S3="","",S3/R3),"")</f>
        <v>0</v>
      </c>
      <c r="T29">
        <f>IFERROR(IF(T3="","",T3/S3),"")</f>
        <v>0</v>
      </c>
      <c r="U29">
        <f>IFERROR(IF(U3="","",U3/T3),"")</f>
        <v>0</v>
      </c>
      <c r="V29">
        <f>IFERROR(IF(V3="","",V3/U3),"")</f>
        <v>0</v>
      </c>
      <c r="W29">
        <f>IFERROR(IF(W3="","",W3/V3),"")</f>
        <v>0</v>
      </c>
      <c r="X29">
        <f>IFERROR(IF(X3="","",X3/W3),"")</f>
        <v>0</v>
      </c>
    </row>
    <row r="30" spans="1:24">
      <c r="A30" s="3" t="s">
        <v>53</v>
      </c>
      <c r="B30">
        <f>IFERROR(IF(B4="","",B4/A4),"")</f>
        <v>0</v>
      </c>
      <c r="C30">
        <f>IFERROR(IF(C4="","",C4/B4),"")</f>
        <v>0</v>
      </c>
      <c r="D30">
        <f>IFERROR(IF(D4="","",D4/C4),"")</f>
        <v>0</v>
      </c>
      <c r="E30">
        <f>IFERROR(IF(E4="","",E4/D4),"")</f>
        <v>0</v>
      </c>
      <c r="F30">
        <f>IFERROR(IF(F4="","",F4/E4),"")</f>
        <v>0</v>
      </c>
      <c r="G30">
        <f>IFERROR(IF(G4="","",G4/F4),"")</f>
        <v>0</v>
      </c>
      <c r="H30">
        <f>IFERROR(IF(H4="","",H4/G4),"")</f>
        <v>0</v>
      </c>
      <c r="I30">
        <f>IFERROR(IF(I4="","",I4/H4),"")</f>
        <v>0</v>
      </c>
      <c r="J30">
        <f>IFERROR(IF(J4="","",J4/I4),"")</f>
        <v>0</v>
      </c>
      <c r="K30">
        <f>IFERROR(IF(K4="","",K4/J4),"")</f>
        <v>0</v>
      </c>
      <c r="L30">
        <f>IFERROR(IF(L4="","",L4/K4),"")</f>
        <v>0</v>
      </c>
      <c r="M30">
        <f>IFERROR(IF(M4="","",M4/L4),"")</f>
        <v>0</v>
      </c>
      <c r="N30">
        <f>IFERROR(IF(N4="","",N4/M4),"")</f>
        <v>0</v>
      </c>
      <c r="O30">
        <f>IFERROR(IF(O4="","",O4/N4),"")</f>
        <v>0</v>
      </c>
      <c r="P30">
        <f>IFERROR(IF(P4="","",P4/O4),"")</f>
        <v>0</v>
      </c>
      <c r="Q30">
        <f>IFERROR(IF(Q4="","",Q4/P4),"")</f>
        <v>0</v>
      </c>
      <c r="R30">
        <f>IFERROR(IF(R4="","",R4/Q4),"")</f>
        <v>0</v>
      </c>
      <c r="S30">
        <f>IFERROR(IF(S4="","",S4/R4),"")</f>
        <v>0</v>
      </c>
      <c r="T30">
        <f>IFERROR(IF(T4="","",T4/S4),"")</f>
        <v>0</v>
      </c>
      <c r="U30">
        <f>IFERROR(IF(U4="","",U4/T4),"")</f>
        <v>0</v>
      </c>
      <c r="V30">
        <f>IFERROR(IF(V4="","",V4/U4),"")</f>
        <v>0</v>
      </c>
      <c r="W30">
        <f>IFERROR(IF(W4="","",W4/V4),"")</f>
        <v>0</v>
      </c>
      <c r="X30">
        <f>IFERROR(IF(X4="","",X4/W4),"")</f>
        <v>0</v>
      </c>
    </row>
    <row r="31" spans="1:24">
      <c r="A31" s="3" t="s">
        <v>54</v>
      </c>
      <c r="B31">
        <f>IFERROR(IF(B5="","",B5/A5),"")</f>
        <v>0</v>
      </c>
      <c r="C31">
        <f>IFERROR(IF(C5="","",C5/B5),"")</f>
        <v>0</v>
      </c>
      <c r="D31">
        <f>IFERROR(IF(D5="","",D5/C5),"")</f>
        <v>0</v>
      </c>
      <c r="E31">
        <f>IFERROR(IF(E5="","",E5/D5),"")</f>
        <v>0</v>
      </c>
      <c r="F31">
        <f>IFERROR(IF(F5="","",F5/E5),"")</f>
        <v>0</v>
      </c>
      <c r="G31">
        <f>IFERROR(IF(G5="","",G5/F5),"")</f>
        <v>0</v>
      </c>
      <c r="H31">
        <f>IFERROR(IF(H5="","",H5/G5),"")</f>
        <v>0</v>
      </c>
      <c r="I31">
        <f>IFERROR(IF(I5="","",I5/H5),"")</f>
        <v>0</v>
      </c>
      <c r="J31">
        <f>IFERROR(IF(J5="","",J5/I5),"")</f>
        <v>0</v>
      </c>
      <c r="K31">
        <f>IFERROR(IF(K5="","",K5/J5),"")</f>
        <v>0</v>
      </c>
      <c r="L31">
        <f>IFERROR(IF(L5="","",L5/K5),"")</f>
        <v>0</v>
      </c>
      <c r="M31">
        <f>IFERROR(IF(M5="","",M5/L5),"")</f>
        <v>0</v>
      </c>
      <c r="N31">
        <f>IFERROR(IF(N5="","",N5/M5),"")</f>
        <v>0</v>
      </c>
      <c r="O31">
        <f>IFERROR(IF(O5="","",O5/N5),"")</f>
        <v>0</v>
      </c>
      <c r="P31">
        <f>IFERROR(IF(P5="","",P5/O5),"")</f>
        <v>0</v>
      </c>
      <c r="Q31">
        <f>IFERROR(IF(Q5="","",Q5/P5),"")</f>
        <v>0</v>
      </c>
      <c r="R31">
        <f>IFERROR(IF(R5="","",R5/Q5),"")</f>
        <v>0</v>
      </c>
      <c r="S31">
        <f>IFERROR(IF(S5="","",S5/R5),"")</f>
        <v>0</v>
      </c>
      <c r="T31">
        <f>IFERROR(IF(T5="","",T5/S5),"")</f>
        <v>0</v>
      </c>
      <c r="U31">
        <f>IFERROR(IF(U5="","",U5/T5),"")</f>
        <v>0</v>
      </c>
      <c r="V31">
        <f>IFERROR(IF(V5="","",V5/U5),"")</f>
        <v>0</v>
      </c>
      <c r="W31">
        <f>IFERROR(IF(W5="","",W5/V5),"")</f>
        <v>0</v>
      </c>
      <c r="X31">
        <f>IFERROR(IF(X5="","",X5/W5),"")</f>
        <v>0</v>
      </c>
    </row>
    <row r="32" spans="1:24">
      <c r="A32" s="3" t="s">
        <v>55</v>
      </c>
      <c r="B32">
        <f>IFERROR(IF(B6="","",B6/A6),"")</f>
        <v>0</v>
      </c>
      <c r="C32">
        <f>IFERROR(IF(C6="","",C6/B6),"")</f>
        <v>0</v>
      </c>
      <c r="D32">
        <f>IFERROR(IF(D6="","",D6/C6),"")</f>
        <v>0</v>
      </c>
      <c r="E32">
        <f>IFERROR(IF(E6="","",E6/D6),"")</f>
        <v>0</v>
      </c>
      <c r="F32">
        <f>IFERROR(IF(F6="","",F6/E6),"")</f>
        <v>0</v>
      </c>
      <c r="G32">
        <f>IFERROR(IF(G6="","",G6/F6),"")</f>
        <v>0</v>
      </c>
      <c r="H32">
        <f>IFERROR(IF(H6="","",H6/G6),"")</f>
        <v>0</v>
      </c>
      <c r="I32">
        <f>IFERROR(IF(I6="","",I6/H6),"")</f>
        <v>0</v>
      </c>
      <c r="J32">
        <f>IFERROR(IF(J6="","",J6/I6),"")</f>
        <v>0</v>
      </c>
      <c r="K32">
        <f>IFERROR(IF(K6="","",K6/J6),"")</f>
        <v>0</v>
      </c>
      <c r="L32">
        <f>IFERROR(IF(L6="","",L6/K6),"")</f>
        <v>0</v>
      </c>
      <c r="M32">
        <f>IFERROR(IF(M6="","",M6/L6),"")</f>
        <v>0</v>
      </c>
      <c r="N32">
        <f>IFERROR(IF(N6="","",N6/M6),"")</f>
        <v>0</v>
      </c>
      <c r="O32">
        <f>IFERROR(IF(O6="","",O6/N6),"")</f>
        <v>0</v>
      </c>
      <c r="P32">
        <f>IFERROR(IF(P6="","",P6/O6),"")</f>
        <v>0</v>
      </c>
      <c r="Q32">
        <f>IFERROR(IF(Q6="","",Q6/P6),"")</f>
        <v>0</v>
      </c>
      <c r="R32">
        <f>IFERROR(IF(R6="","",R6/Q6),"")</f>
        <v>0</v>
      </c>
      <c r="S32">
        <f>IFERROR(IF(S6="","",S6/R6),"")</f>
        <v>0</v>
      </c>
      <c r="T32">
        <f>IFERROR(IF(T6="","",T6/S6),"")</f>
        <v>0</v>
      </c>
      <c r="U32">
        <f>IFERROR(IF(U6="","",U6/T6),"")</f>
        <v>0</v>
      </c>
      <c r="V32">
        <f>IFERROR(IF(V6="","",V6/U6),"")</f>
        <v>0</v>
      </c>
      <c r="W32">
        <f>IFERROR(IF(W6="","",W6/V6),"")</f>
        <v>0</v>
      </c>
      <c r="X32">
        <f>IFERROR(IF(X6="","",X6/W6),"")</f>
        <v>0</v>
      </c>
    </row>
    <row r="33" spans="1:24">
      <c r="A33" s="3" t="s">
        <v>56</v>
      </c>
      <c r="B33">
        <f>IFERROR(IF(B7="","",B7/A7),"")</f>
        <v>0</v>
      </c>
      <c r="C33">
        <f>IFERROR(IF(C7="","",C7/B7),"")</f>
        <v>0</v>
      </c>
      <c r="D33">
        <f>IFERROR(IF(D7="","",D7/C7),"")</f>
        <v>0</v>
      </c>
      <c r="E33">
        <f>IFERROR(IF(E7="","",E7/D7),"")</f>
        <v>0</v>
      </c>
      <c r="F33">
        <f>IFERROR(IF(F7="","",F7/E7),"")</f>
        <v>0</v>
      </c>
      <c r="G33">
        <f>IFERROR(IF(G7="","",G7/F7),"")</f>
        <v>0</v>
      </c>
      <c r="H33">
        <f>IFERROR(IF(H7="","",H7/G7),"")</f>
        <v>0</v>
      </c>
      <c r="I33">
        <f>IFERROR(IF(I7="","",I7/H7),"")</f>
        <v>0</v>
      </c>
      <c r="J33">
        <f>IFERROR(IF(J7="","",J7/I7),"")</f>
        <v>0</v>
      </c>
      <c r="K33">
        <f>IFERROR(IF(K7="","",K7/J7),"")</f>
        <v>0</v>
      </c>
      <c r="L33">
        <f>IFERROR(IF(L7="","",L7/K7),"")</f>
        <v>0</v>
      </c>
      <c r="M33">
        <f>IFERROR(IF(M7="","",M7/L7),"")</f>
        <v>0</v>
      </c>
      <c r="N33">
        <f>IFERROR(IF(N7="","",N7/M7),"")</f>
        <v>0</v>
      </c>
      <c r="O33">
        <f>IFERROR(IF(O7="","",O7/N7),"")</f>
        <v>0</v>
      </c>
      <c r="P33">
        <f>IFERROR(IF(P7="","",P7/O7),"")</f>
        <v>0</v>
      </c>
      <c r="Q33">
        <f>IFERROR(IF(Q7="","",Q7/P7),"")</f>
        <v>0</v>
      </c>
      <c r="R33">
        <f>IFERROR(IF(R7="","",R7/Q7),"")</f>
        <v>0</v>
      </c>
      <c r="S33">
        <f>IFERROR(IF(S7="","",S7/R7),"")</f>
        <v>0</v>
      </c>
      <c r="T33">
        <f>IFERROR(IF(T7="","",T7/S7),"")</f>
        <v>0</v>
      </c>
      <c r="U33">
        <f>IFERROR(IF(U7="","",U7/T7),"")</f>
        <v>0</v>
      </c>
      <c r="V33">
        <f>IFERROR(IF(V7="","",V7/U7),"")</f>
        <v>0</v>
      </c>
      <c r="W33">
        <f>IFERROR(IF(W7="","",W7/V7),"")</f>
        <v>0</v>
      </c>
      <c r="X33">
        <f>IFERROR(IF(X7="","",X7/W7),"")</f>
        <v>0</v>
      </c>
    </row>
    <row r="34" spans="1:24">
      <c r="A34" s="3" t="s">
        <v>57</v>
      </c>
      <c r="B34">
        <f>IFERROR(IF(B8="","",B8/A8),"")</f>
        <v>0</v>
      </c>
      <c r="C34">
        <f>IFERROR(IF(C8="","",C8/B8),"")</f>
        <v>0</v>
      </c>
      <c r="D34">
        <f>IFERROR(IF(D8="","",D8/C8),"")</f>
        <v>0</v>
      </c>
      <c r="E34">
        <f>IFERROR(IF(E8="","",E8/D8),"")</f>
        <v>0</v>
      </c>
      <c r="F34">
        <f>IFERROR(IF(F8="","",F8/E8),"")</f>
        <v>0</v>
      </c>
      <c r="G34">
        <f>IFERROR(IF(G8="","",G8/F8),"")</f>
        <v>0</v>
      </c>
      <c r="H34">
        <f>IFERROR(IF(H8="","",H8/G8),"")</f>
        <v>0</v>
      </c>
      <c r="I34">
        <f>IFERROR(IF(I8="","",I8/H8),"")</f>
        <v>0</v>
      </c>
      <c r="J34">
        <f>IFERROR(IF(J8="","",J8/I8),"")</f>
        <v>0</v>
      </c>
      <c r="K34">
        <f>IFERROR(IF(K8="","",K8/J8),"")</f>
        <v>0</v>
      </c>
      <c r="L34">
        <f>IFERROR(IF(L8="","",L8/K8),"")</f>
        <v>0</v>
      </c>
      <c r="M34">
        <f>IFERROR(IF(M8="","",M8/L8),"")</f>
        <v>0</v>
      </c>
      <c r="N34">
        <f>IFERROR(IF(N8="","",N8/M8),"")</f>
        <v>0</v>
      </c>
      <c r="O34">
        <f>IFERROR(IF(O8="","",O8/N8),"")</f>
        <v>0</v>
      </c>
      <c r="P34">
        <f>IFERROR(IF(P8="","",P8/O8),"")</f>
        <v>0</v>
      </c>
      <c r="Q34">
        <f>IFERROR(IF(Q8="","",Q8/P8),"")</f>
        <v>0</v>
      </c>
      <c r="R34">
        <f>IFERROR(IF(R8="","",R8/Q8),"")</f>
        <v>0</v>
      </c>
      <c r="S34">
        <f>IFERROR(IF(S8="","",S8/R8),"")</f>
        <v>0</v>
      </c>
      <c r="T34">
        <f>IFERROR(IF(T8="","",T8/S8),"")</f>
        <v>0</v>
      </c>
      <c r="U34">
        <f>IFERROR(IF(U8="","",U8/T8),"")</f>
        <v>0</v>
      </c>
      <c r="V34">
        <f>IFERROR(IF(V8="","",V8/U8),"")</f>
        <v>0</v>
      </c>
      <c r="W34">
        <f>IFERROR(IF(W8="","",W8/V8),"")</f>
        <v>0</v>
      </c>
      <c r="X34">
        <f>IFERROR(IF(X8="","",X8/W8),"")</f>
        <v>0</v>
      </c>
    </row>
    <row r="35" spans="1:24">
      <c r="A35" s="3" t="s">
        <v>58</v>
      </c>
      <c r="B35">
        <f>IFERROR(IF(B9="","",B9/A9),"")</f>
        <v>0</v>
      </c>
      <c r="C35">
        <f>IFERROR(IF(C9="","",C9/B9),"")</f>
        <v>0</v>
      </c>
      <c r="D35">
        <f>IFERROR(IF(D9="","",D9/C9),"")</f>
        <v>0</v>
      </c>
      <c r="E35">
        <f>IFERROR(IF(E9="","",E9/D9),"")</f>
        <v>0</v>
      </c>
      <c r="F35">
        <f>IFERROR(IF(F9="","",F9/E9),"")</f>
        <v>0</v>
      </c>
      <c r="G35">
        <f>IFERROR(IF(G9="","",G9/F9),"")</f>
        <v>0</v>
      </c>
      <c r="H35">
        <f>IFERROR(IF(H9="","",H9/G9),"")</f>
        <v>0</v>
      </c>
      <c r="I35">
        <f>IFERROR(IF(I9="","",I9/H9),"")</f>
        <v>0</v>
      </c>
      <c r="J35">
        <f>IFERROR(IF(J9="","",J9/I9),"")</f>
        <v>0</v>
      </c>
      <c r="K35">
        <f>IFERROR(IF(K9="","",K9/J9),"")</f>
        <v>0</v>
      </c>
      <c r="L35">
        <f>IFERROR(IF(L9="","",L9/K9),"")</f>
        <v>0</v>
      </c>
      <c r="M35">
        <f>IFERROR(IF(M9="","",M9/L9),"")</f>
        <v>0</v>
      </c>
      <c r="N35">
        <f>IFERROR(IF(N9="","",N9/M9),"")</f>
        <v>0</v>
      </c>
      <c r="O35">
        <f>IFERROR(IF(O9="","",O9/N9),"")</f>
        <v>0</v>
      </c>
      <c r="P35">
        <f>IFERROR(IF(P9="","",P9/O9),"")</f>
        <v>0</v>
      </c>
      <c r="Q35">
        <f>IFERROR(IF(Q9="","",Q9/P9),"")</f>
        <v>0</v>
      </c>
      <c r="R35">
        <f>IFERROR(IF(R9="","",R9/Q9),"")</f>
        <v>0</v>
      </c>
      <c r="S35">
        <f>IFERROR(IF(S9="","",S9/R9),"")</f>
        <v>0</v>
      </c>
      <c r="T35">
        <f>IFERROR(IF(T9="","",T9/S9),"")</f>
        <v>0</v>
      </c>
      <c r="U35">
        <f>IFERROR(IF(U9="","",U9/T9),"")</f>
        <v>0</v>
      </c>
      <c r="V35">
        <f>IFERROR(IF(V9="","",V9/U9),"")</f>
        <v>0</v>
      </c>
      <c r="W35">
        <f>IFERROR(IF(W9="","",W9/V9),"")</f>
        <v>0</v>
      </c>
      <c r="X35">
        <f>IFERROR(IF(X9="","",X9/W9),"")</f>
        <v>0</v>
      </c>
    </row>
    <row r="36" spans="1:24">
      <c r="A36" s="3" t="s">
        <v>59</v>
      </c>
      <c r="B36">
        <f>IFERROR(IF(B10="","",B10/A10),"")</f>
        <v>0</v>
      </c>
      <c r="C36">
        <f>IFERROR(IF(C10="","",C10/B10),"")</f>
        <v>0</v>
      </c>
      <c r="D36">
        <f>IFERROR(IF(D10="","",D10/C10),"")</f>
        <v>0</v>
      </c>
      <c r="E36">
        <f>IFERROR(IF(E10="","",E10/D10),"")</f>
        <v>0</v>
      </c>
      <c r="F36">
        <f>IFERROR(IF(F10="","",F10/E10),"")</f>
        <v>0</v>
      </c>
      <c r="G36">
        <f>IFERROR(IF(G10="","",G10/F10),"")</f>
        <v>0</v>
      </c>
      <c r="H36">
        <f>IFERROR(IF(H10="","",H10/G10),"")</f>
        <v>0</v>
      </c>
      <c r="I36">
        <f>IFERROR(IF(I10="","",I10/H10),"")</f>
        <v>0</v>
      </c>
      <c r="J36">
        <f>IFERROR(IF(J10="","",J10/I10),"")</f>
        <v>0</v>
      </c>
      <c r="K36">
        <f>IFERROR(IF(K10="","",K10/J10),"")</f>
        <v>0</v>
      </c>
      <c r="L36">
        <f>IFERROR(IF(L10="","",L10/K10),"")</f>
        <v>0</v>
      </c>
      <c r="M36">
        <f>IFERROR(IF(M10="","",M10/L10),"")</f>
        <v>0</v>
      </c>
      <c r="N36">
        <f>IFERROR(IF(N10="","",N10/M10),"")</f>
        <v>0</v>
      </c>
      <c r="O36">
        <f>IFERROR(IF(O10="","",O10/N10),"")</f>
        <v>0</v>
      </c>
      <c r="P36">
        <f>IFERROR(IF(P10="","",P10/O10),"")</f>
        <v>0</v>
      </c>
      <c r="Q36">
        <f>IFERROR(IF(Q10="","",Q10/P10),"")</f>
        <v>0</v>
      </c>
      <c r="R36">
        <f>IFERROR(IF(R10="","",R10/Q10),"")</f>
        <v>0</v>
      </c>
      <c r="S36">
        <f>IFERROR(IF(S10="","",S10/R10),"")</f>
        <v>0</v>
      </c>
      <c r="T36">
        <f>IFERROR(IF(T10="","",T10/S10),"")</f>
        <v>0</v>
      </c>
      <c r="U36">
        <f>IFERROR(IF(U10="","",U10/T10),"")</f>
        <v>0</v>
      </c>
      <c r="V36">
        <f>IFERROR(IF(V10="","",V10/U10),"")</f>
        <v>0</v>
      </c>
      <c r="W36">
        <f>IFERROR(IF(W10="","",W10/V10),"")</f>
        <v>0</v>
      </c>
      <c r="X36">
        <f>IFERROR(IF(X10="","",X10/W10),"")</f>
        <v>0</v>
      </c>
    </row>
    <row r="37" spans="1:24">
      <c r="A37" s="3" t="s">
        <v>60</v>
      </c>
      <c r="B37">
        <f>IFERROR(IF(B11="","",B11/A11),"")</f>
        <v>0</v>
      </c>
      <c r="C37">
        <f>IFERROR(IF(C11="","",C11/B11),"")</f>
        <v>0</v>
      </c>
      <c r="D37">
        <f>IFERROR(IF(D11="","",D11/C11),"")</f>
        <v>0</v>
      </c>
      <c r="E37">
        <f>IFERROR(IF(E11="","",E11/D11),"")</f>
        <v>0</v>
      </c>
      <c r="F37">
        <f>IFERROR(IF(F11="","",F11/E11),"")</f>
        <v>0</v>
      </c>
      <c r="G37">
        <f>IFERROR(IF(G11="","",G11/F11),"")</f>
        <v>0</v>
      </c>
      <c r="H37">
        <f>IFERROR(IF(H11="","",H11/G11),"")</f>
        <v>0</v>
      </c>
      <c r="I37">
        <f>IFERROR(IF(I11="","",I11/H11),"")</f>
        <v>0</v>
      </c>
      <c r="J37">
        <f>IFERROR(IF(J11="","",J11/I11),"")</f>
        <v>0</v>
      </c>
      <c r="K37">
        <f>IFERROR(IF(K11="","",K11/J11),"")</f>
        <v>0</v>
      </c>
      <c r="L37">
        <f>IFERROR(IF(L11="","",L11/K11),"")</f>
        <v>0</v>
      </c>
      <c r="M37">
        <f>IFERROR(IF(M11="","",M11/L11),"")</f>
        <v>0</v>
      </c>
      <c r="N37">
        <f>IFERROR(IF(N11="","",N11/M11),"")</f>
        <v>0</v>
      </c>
      <c r="O37">
        <f>IFERROR(IF(O11="","",O11/N11),"")</f>
        <v>0</v>
      </c>
      <c r="P37">
        <f>IFERROR(IF(P11="","",P11/O11),"")</f>
        <v>0</v>
      </c>
      <c r="Q37">
        <f>IFERROR(IF(Q11="","",Q11/P11),"")</f>
        <v>0</v>
      </c>
      <c r="R37">
        <f>IFERROR(IF(R11="","",R11/Q11),"")</f>
        <v>0</v>
      </c>
      <c r="S37">
        <f>IFERROR(IF(S11="","",S11/R11),"")</f>
        <v>0</v>
      </c>
      <c r="T37">
        <f>IFERROR(IF(T11="","",T11/S11),"")</f>
        <v>0</v>
      </c>
      <c r="U37">
        <f>IFERROR(IF(U11="","",U11/T11),"")</f>
        <v>0</v>
      </c>
      <c r="V37">
        <f>IFERROR(IF(V11="","",V11/U11),"")</f>
        <v>0</v>
      </c>
      <c r="W37">
        <f>IFERROR(IF(W11="","",W11/V11),"")</f>
        <v>0</v>
      </c>
      <c r="X37">
        <f>IFERROR(IF(X11="","",X11/W11),"")</f>
        <v>0</v>
      </c>
    </row>
    <row r="38" spans="1:24">
      <c r="A38" s="3" t="s">
        <v>61</v>
      </c>
      <c r="B38">
        <f>IFERROR(IF(B12="","",B12/A12),"")</f>
        <v>0</v>
      </c>
      <c r="C38">
        <f>IFERROR(IF(C12="","",C12/B12),"")</f>
        <v>0</v>
      </c>
      <c r="D38">
        <f>IFERROR(IF(D12="","",D12/C12),"")</f>
        <v>0</v>
      </c>
      <c r="E38">
        <f>IFERROR(IF(E12="","",E12/D12),"")</f>
        <v>0</v>
      </c>
      <c r="F38">
        <f>IFERROR(IF(F12="","",F12/E12),"")</f>
        <v>0</v>
      </c>
      <c r="G38">
        <f>IFERROR(IF(G12="","",G12/F12),"")</f>
        <v>0</v>
      </c>
      <c r="H38">
        <f>IFERROR(IF(H12="","",H12/G12),"")</f>
        <v>0</v>
      </c>
      <c r="I38">
        <f>IFERROR(IF(I12="","",I12/H12),"")</f>
        <v>0</v>
      </c>
      <c r="J38">
        <f>IFERROR(IF(J12="","",J12/I12),"")</f>
        <v>0</v>
      </c>
      <c r="K38">
        <f>IFERROR(IF(K12="","",K12/J12),"")</f>
        <v>0</v>
      </c>
      <c r="L38">
        <f>IFERROR(IF(L12="","",L12/K12),"")</f>
        <v>0</v>
      </c>
      <c r="M38">
        <f>IFERROR(IF(M12="","",M12/L12),"")</f>
        <v>0</v>
      </c>
      <c r="N38">
        <f>IFERROR(IF(N12="","",N12/M12),"")</f>
        <v>0</v>
      </c>
      <c r="O38">
        <f>IFERROR(IF(O12="","",O12/N12),"")</f>
        <v>0</v>
      </c>
      <c r="P38">
        <f>IFERROR(IF(P12="","",P12/O12),"")</f>
        <v>0</v>
      </c>
      <c r="Q38">
        <f>IFERROR(IF(Q12="","",Q12/P12),"")</f>
        <v>0</v>
      </c>
      <c r="R38">
        <f>IFERROR(IF(R12="","",R12/Q12),"")</f>
        <v>0</v>
      </c>
      <c r="S38">
        <f>IFERROR(IF(S12="","",S12/R12),"")</f>
        <v>0</v>
      </c>
      <c r="T38">
        <f>IFERROR(IF(T12="","",T12/S12),"")</f>
        <v>0</v>
      </c>
      <c r="U38">
        <f>IFERROR(IF(U12="","",U12/T12),"")</f>
        <v>0</v>
      </c>
      <c r="V38">
        <f>IFERROR(IF(V12="","",V12/U12),"")</f>
        <v>0</v>
      </c>
      <c r="W38">
        <f>IFERROR(IF(W12="","",W12/V12),"")</f>
        <v>0</v>
      </c>
      <c r="X38">
        <f>IFERROR(IF(X12="","",X12/W12),"")</f>
        <v>0</v>
      </c>
    </row>
    <row r="39" spans="1:24">
      <c r="A39" s="3" t="s">
        <v>62</v>
      </c>
      <c r="B39">
        <f>IFERROR(IF(B13="","",B13/A13),"")</f>
        <v>0</v>
      </c>
      <c r="C39">
        <f>IFERROR(IF(C13="","",C13/B13),"")</f>
        <v>0</v>
      </c>
      <c r="D39">
        <f>IFERROR(IF(D13="","",D13/C13),"")</f>
        <v>0</v>
      </c>
      <c r="E39">
        <f>IFERROR(IF(E13="","",E13/D13),"")</f>
        <v>0</v>
      </c>
      <c r="F39">
        <f>IFERROR(IF(F13="","",F13/E13),"")</f>
        <v>0</v>
      </c>
      <c r="G39">
        <f>IFERROR(IF(G13="","",G13/F13),"")</f>
        <v>0</v>
      </c>
      <c r="H39">
        <f>IFERROR(IF(H13="","",H13/G13),"")</f>
        <v>0</v>
      </c>
      <c r="I39">
        <f>IFERROR(IF(I13="","",I13/H13),"")</f>
        <v>0</v>
      </c>
      <c r="J39">
        <f>IFERROR(IF(J13="","",J13/I13),"")</f>
        <v>0</v>
      </c>
      <c r="K39">
        <f>IFERROR(IF(K13="","",K13/J13),"")</f>
        <v>0</v>
      </c>
      <c r="L39">
        <f>IFERROR(IF(L13="","",L13/K13),"")</f>
        <v>0</v>
      </c>
      <c r="M39">
        <f>IFERROR(IF(M13="","",M13/L13),"")</f>
        <v>0</v>
      </c>
      <c r="N39">
        <f>IFERROR(IF(N13="","",N13/M13),"")</f>
        <v>0</v>
      </c>
      <c r="O39">
        <f>IFERROR(IF(O13="","",O13/N13),"")</f>
        <v>0</v>
      </c>
      <c r="P39">
        <f>IFERROR(IF(P13="","",P13/O13),"")</f>
        <v>0</v>
      </c>
      <c r="Q39">
        <f>IFERROR(IF(Q13="","",Q13/P13),"")</f>
        <v>0</v>
      </c>
      <c r="R39">
        <f>IFERROR(IF(R13="","",R13/Q13),"")</f>
        <v>0</v>
      </c>
      <c r="S39">
        <f>IFERROR(IF(S13="","",S13/R13),"")</f>
        <v>0</v>
      </c>
      <c r="T39">
        <f>IFERROR(IF(T13="","",T13/S13),"")</f>
        <v>0</v>
      </c>
      <c r="U39">
        <f>IFERROR(IF(U13="","",U13/T13),"")</f>
        <v>0</v>
      </c>
      <c r="V39">
        <f>IFERROR(IF(V13="","",V13/U13),"")</f>
        <v>0</v>
      </c>
      <c r="W39">
        <f>IFERROR(IF(W13="","",W13/V13),"")</f>
        <v>0</v>
      </c>
      <c r="X39">
        <f>IFERROR(IF(X13="","",X13/W13),"")</f>
        <v>0</v>
      </c>
    </row>
    <row r="40" spans="1:24">
      <c r="A40" s="3" t="s">
        <v>63</v>
      </c>
      <c r="B40">
        <f>IFERROR(IF(B14="","",B14/A14),"")</f>
        <v>0</v>
      </c>
      <c r="C40">
        <f>IFERROR(IF(C14="","",C14/B14),"")</f>
        <v>0</v>
      </c>
      <c r="D40">
        <f>IFERROR(IF(D14="","",D14/C14),"")</f>
        <v>0</v>
      </c>
      <c r="E40">
        <f>IFERROR(IF(E14="","",E14/D14),"")</f>
        <v>0</v>
      </c>
      <c r="F40">
        <f>IFERROR(IF(F14="","",F14/E14),"")</f>
        <v>0</v>
      </c>
      <c r="G40">
        <f>IFERROR(IF(G14="","",G14/F14),"")</f>
        <v>0</v>
      </c>
      <c r="H40">
        <f>IFERROR(IF(H14="","",H14/G14),"")</f>
        <v>0</v>
      </c>
      <c r="I40">
        <f>IFERROR(IF(I14="","",I14/H14),"")</f>
        <v>0</v>
      </c>
      <c r="J40">
        <f>IFERROR(IF(J14="","",J14/I14),"")</f>
        <v>0</v>
      </c>
      <c r="K40">
        <f>IFERROR(IF(K14="","",K14/J14),"")</f>
        <v>0</v>
      </c>
      <c r="L40">
        <f>IFERROR(IF(L14="","",L14/K14),"")</f>
        <v>0</v>
      </c>
      <c r="M40">
        <f>IFERROR(IF(M14="","",M14/L14),"")</f>
        <v>0</v>
      </c>
      <c r="N40">
        <f>IFERROR(IF(N14="","",N14/M14),"")</f>
        <v>0</v>
      </c>
      <c r="O40">
        <f>IFERROR(IF(O14="","",O14/N14),"")</f>
        <v>0</v>
      </c>
      <c r="P40">
        <f>IFERROR(IF(P14="","",P14/O14),"")</f>
        <v>0</v>
      </c>
      <c r="Q40">
        <f>IFERROR(IF(Q14="","",Q14/P14),"")</f>
        <v>0</v>
      </c>
      <c r="R40">
        <f>IFERROR(IF(R14="","",R14/Q14),"")</f>
        <v>0</v>
      </c>
      <c r="S40">
        <f>IFERROR(IF(S14="","",S14/R14),"")</f>
        <v>0</v>
      </c>
      <c r="T40">
        <f>IFERROR(IF(T14="","",T14/S14),"")</f>
        <v>0</v>
      </c>
      <c r="U40">
        <f>IFERROR(IF(U14="","",U14/T14),"")</f>
        <v>0</v>
      </c>
      <c r="V40">
        <f>IFERROR(IF(V14="","",V14/U14),"")</f>
        <v>0</v>
      </c>
      <c r="W40">
        <f>IFERROR(IF(W14="","",W14/V14),"")</f>
        <v>0</v>
      </c>
      <c r="X40">
        <f>IFERROR(IF(X14="","",X14/W14),"")</f>
        <v>0</v>
      </c>
    </row>
    <row r="41" spans="1:24">
      <c r="A41" s="3" t="s">
        <v>64</v>
      </c>
      <c r="B41">
        <f>IFERROR(IF(B15="","",B15/A15),"")</f>
        <v>0</v>
      </c>
      <c r="C41">
        <f>IFERROR(IF(C15="","",C15/B15),"")</f>
        <v>0</v>
      </c>
      <c r="D41">
        <f>IFERROR(IF(D15="","",D15/C15),"")</f>
        <v>0</v>
      </c>
      <c r="E41">
        <f>IFERROR(IF(E15="","",E15/D15),"")</f>
        <v>0</v>
      </c>
      <c r="F41">
        <f>IFERROR(IF(F15="","",F15/E15),"")</f>
        <v>0</v>
      </c>
      <c r="G41">
        <f>IFERROR(IF(G15="","",G15/F15),"")</f>
        <v>0</v>
      </c>
      <c r="H41">
        <f>IFERROR(IF(H15="","",H15/G15),"")</f>
        <v>0</v>
      </c>
      <c r="I41">
        <f>IFERROR(IF(I15="","",I15/H15),"")</f>
        <v>0</v>
      </c>
      <c r="J41">
        <f>IFERROR(IF(J15="","",J15/I15),"")</f>
        <v>0</v>
      </c>
      <c r="K41">
        <f>IFERROR(IF(K15="","",K15/J15),"")</f>
        <v>0</v>
      </c>
      <c r="L41">
        <f>IFERROR(IF(L15="","",L15/K15),"")</f>
        <v>0</v>
      </c>
      <c r="M41">
        <f>IFERROR(IF(M15="","",M15/L15),"")</f>
        <v>0</v>
      </c>
      <c r="N41">
        <f>IFERROR(IF(N15="","",N15/M15),"")</f>
        <v>0</v>
      </c>
      <c r="O41">
        <f>IFERROR(IF(O15="","",O15/N15),"")</f>
        <v>0</v>
      </c>
      <c r="P41">
        <f>IFERROR(IF(P15="","",P15/O15),"")</f>
        <v>0</v>
      </c>
      <c r="Q41">
        <f>IFERROR(IF(Q15="","",Q15/P15),"")</f>
        <v>0</v>
      </c>
      <c r="R41">
        <f>IFERROR(IF(R15="","",R15/Q15),"")</f>
        <v>0</v>
      </c>
      <c r="S41">
        <f>IFERROR(IF(S15="","",S15/R15),"")</f>
        <v>0</v>
      </c>
      <c r="T41">
        <f>IFERROR(IF(T15="","",T15/S15),"")</f>
        <v>0</v>
      </c>
      <c r="U41">
        <f>IFERROR(IF(U15="","",U15/T15),"")</f>
        <v>0</v>
      </c>
      <c r="V41">
        <f>IFERROR(IF(V15="","",V15/U15),"")</f>
        <v>0</v>
      </c>
      <c r="W41">
        <f>IFERROR(IF(W15="","",W15/V15),"")</f>
        <v>0</v>
      </c>
      <c r="X41">
        <f>IFERROR(IF(X15="","",X15/W15),"")</f>
        <v>0</v>
      </c>
    </row>
    <row r="42" spans="1:24">
      <c r="A42" s="3" t="s">
        <v>65</v>
      </c>
      <c r="B42">
        <f>IFERROR(IF(B16="","",B16/A16),"")</f>
        <v>0</v>
      </c>
      <c r="C42">
        <f>IFERROR(IF(C16="","",C16/B16),"")</f>
        <v>0</v>
      </c>
      <c r="D42">
        <f>IFERROR(IF(D16="","",D16/C16),"")</f>
        <v>0</v>
      </c>
      <c r="E42">
        <f>IFERROR(IF(E16="","",E16/D16),"")</f>
        <v>0</v>
      </c>
      <c r="F42">
        <f>IFERROR(IF(F16="","",F16/E16),"")</f>
        <v>0</v>
      </c>
      <c r="G42">
        <f>IFERROR(IF(G16="","",G16/F16),"")</f>
        <v>0</v>
      </c>
      <c r="H42">
        <f>IFERROR(IF(H16="","",H16/G16),"")</f>
        <v>0</v>
      </c>
      <c r="I42">
        <f>IFERROR(IF(I16="","",I16/H16),"")</f>
        <v>0</v>
      </c>
      <c r="J42">
        <f>IFERROR(IF(J16="","",J16/I16),"")</f>
        <v>0</v>
      </c>
      <c r="K42">
        <f>IFERROR(IF(K16="","",K16/J16),"")</f>
        <v>0</v>
      </c>
      <c r="L42">
        <f>IFERROR(IF(L16="","",L16/K16),"")</f>
        <v>0</v>
      </c>
      <c r="M42">
        <f>IFERROR(IF(M16="","",M16/L16),"")</f>
        <v>0</v>
      </c>
      <c r="N42">
        <f>IFERROR(IF(N16="","",N16/M16),"")</f>
        <v>0</v>
      </c>
      <c r="O42">
        <f>IFERROR(IF(O16="","",O16/N16),"")</f>
        <v>0</v>
      </c>
      <c r="P42">
        <f>IFERROR(IF(P16="","",P16/O16),"")</f>
        <v>0</v>
      </c>
      <c r="Q42">
        <f>IFERROR(IF(Q16="","",Q16/P16),"")</f>
        <v>0</v>
      </c>
      <c r="R42">
        <f>IFERROR(IF(R16="","",R16/Q16),"")</f>
        <v>0</v>
      </c>
      <c r="S42">
        <f>IFERROR(IF(S16="","",S16/R16),"")</f>
        <v>0</v>
      </c>
      <c r="T42">
        <f>IFERROR(IF(T16="","",T16/S16),"")</f>
        <v>0</v>
      </c>
      <c r="U42">
        <f>IFERROR(IF(U16="","",U16/T16),"")</f>
        <v>0</v>
      </c>
      <c r="V42">
        <f>IFERROR(IF(V16="","",V16/U16),"")</f>
        <v>0</v>
      </c>
      <c r="W42">
        <f>IFERROR(IF(W16="","",W16/V16),"")</f>
        <v>0</v>
      </c>
      <c r="X42">
        <f>IFERROR(IF(X16="","",X16/W16),"")</f>
        <v>0</v>
      </c>
    </row>
    <row r="43" spans="1:24">
      <c r="A43" s="3" t="s">
        <v>66</v>
      </c>
      <c r="B43">
        <f>IFERROR(IF(B17="","",B17/A17),"")</f>
        <v>0</v>
      </c>
      <c r="C43">
        <f>IFERROR(IF(C17="","",C17/B17),"")</f>
        <v>0</v>
      </c>
      <c r="D43">
        <f>IFERROR(IF(D17="","",D17/C17),"")</f>
        <v>0</v>
      </c>
      <c r="E43">
        <f>IFERROR(IF(E17="","",E17/D17),"")</f>
        <v>0</v>
      </c>
      <c r="F43">
        <f>IFERROR(IF(F17="","",F17/E17),"")</f>
        <v>0</v>
      </c>
      <c r="G43">
        <f>IFERROR(IF(G17="","",G17/F17),"")</f>
        <v>0</v>
      </c>
      <c r="H43">
        <f>IFERROR(IF(H17="","",H17/G17),"")</f>
        <v>0</v>
      </c>
      <c r="I43">
        <f>IFERROR(IF(I17="","",I17/H17),"")</f>
        <v>0</v>
      </c>
      <c r="J43">
        <f>IFERROR(IF(J17="","",J17/I17),"")</f>
        <v>0</v>
      </c>
      <c r="K43">
        <f>IFERROR(IF(K17="","",K17/J17),"")</f>
        <v>0</v>
      </c>
      <c r="L43">
        <f>IFERROR(IF(L17="","",L17/K17),"")</f>
        <v>0</v>
      </c>
      <c r="M43">
        <f>IFERROR(IF(M17="","",M17/L17),"")</f>
        <v>0</v>
      </c>
      <c r="N43">
        <f>IFERROR(IF(N17="","",N17/M17),"")</f>
        <v>0</v>
      </c>
      <c r="O43">
        <f>IFERROR(IF(O17="","",O17/N17),"")</f>
        <v>0</v>
      </c>
      <c r="P43">
        <f>IFERROR(IF(P17="","",P17/O17),"")</f>
        <v>0</v>
      </c>
      <c r="Q43">
        <f>IFERROR(IF(Q17="","",Q17/P17),"")</f>
        <v>0</v>
      </c>
      <c r="R43">
        <f>IFERROR(IF(R17="","",R17/Q17),"")</f>
        <v>0</v>
      </c>
      <c r="S43">
        <f>IFERROR(IF(S17="","",S17/R17),"")</f>
        <v>0</v>
      </c>
      <c r="T43">
        <f>IFERROR(IF(T17="","",T17/S17),"")</f>
        <v>0</v>
      </c>
      <c r="U43">
        <f>IFERROR(IF(U17="","",U17/T17),"")</f>
        <v>0</v>
      </c>
      <c r="V43">
        <f>IFERROR(IF(V17="","",V17/U17),"")</f>
        <v>0</v>
      </c>
      <c r="W43">
        <f>IFERROR(IF(W17="","",W17/V17),"")</f>
        <v>0</v>
      </c>
      <c r="X43">
        <f>IFERROR(IF(X17="","",X17/W17),"")</f>
        <v>0</v>
      </c>
    </row>
    <row r="44" spans="1:24">
      <c r="A44" s="3" t="s">
        <v>67</v>
      </c>
      <c r="B44">
        <f>IFERROR(IF(B18="","",B18/A18),"")</f>
        <v>0</v>
      </c>
      <c r="C44">
        <f>IFERROR(IF(C18="","",C18/B18),"")</f>
        <v>0</v>
      </c>
      <c r="D44">
        <f>IFERROR(IF(D18="","",D18/C18),"")</f>
        <v>0</v>
      </c>
      <c r="E44">
        <f>IFERROR(IF(E18="","",E18/D18),"")</f>
        <v>0</v>
      </c>
      <c r="F44">
        <f>IFERROR(IF(F18="","",F18/E18),"")</f>
        <v>0</v>
      </c>
      <c r="G44">
        <f>IFERROR(IF(G18="","",G18/F18),"")</f>
        <v>0</v>
      </c>
      <c r="H44">
        <f>IFERROR(IF(H18="","",H18/G18),"")</f>
        <v>0</v>
      </c>
      <c r="I44">
        <f>IFERROR(IF(I18="","",I18/H18),"")</f>
        <v>0</v>
      </c>
      <c r="J44">
        <f>IFERROR(IF(J18="","",J18/I18),"")</f>
        <v>0</v>
      </c>
      <c r="K44">
        <f>IFERROR(IF(K18="","",K18/J18),"")</f>
        <v>0</v>
      </c>
      <c r="L44">
        <f>IFERROR(IF(L18="","",L18/K18),"")</f>
        <v>0</v>
      </c>
      <c r="M44">
        <f>IFERROR(IF(M18="","",M18/L18),"")</f>
        <v>0</v>
      </c>
      <c r="N44">
        <f>IFERROR(IF(N18="","",N18/M18),"")</f>
        <v>0</v>
      </c>
      <c r="O44">
        <f>IFERROR(IF(O18="","",O18/N18),"")</f>
        <v>0</v>
      </c>
      <c r="P44">
        <f>IFERROR(IF(P18="","",P18/O18),"")</f>
        <v>0</v>
      </c>
      <c r="Q44">
        <f>IFERROR(IF(Q18="","",Q18/P18),"")</f>
        <v>0</v>
      </c>
      <c r="R44">
        <f>IFERROR(IF(R18="","",R18/Q18),"")</f>
        <v>0</v>
      </c>
      <c r="S44">
        <f>IFERROR(IF(S18="","",S18/R18),"")</f>
        <v>0</v>
      </c>
      <c r="T44">
        <f>IFERROR(IF(T18="","",T18/S18),"")</f>
        <v>0</v>
      </c>
      <c r="U44">
        <f>IFERROR(IF(U18="","",U18/T18),"")</f>
        <v>0</v>
      </c>
      <c r="V44">
        <f>IFERROR(IF(V18="","",V18/U18),"")</f>
        <v>0</v>
      </c>
      <c r="W44">
        <f>IFERROR(IF(W18="","",W18/V18),"")</f>
        <v>0</v>
      </c>
      <c r="X44">
        <f>IFERROR(IF(X18="","",X18/W18),"")</f>
        <v>0</v>
      </c>
    </row>
    <row r="45" spans="1:24">
      <c r="A45" s="3" t="s">
        <v>68</v>
      </c>
      <c r="B45">
        <f>IFERROR(IF(B19="","",B19/A19),"")</f>
        <v>0</v>
      </c>
      <c r="C45">
        <f>IFERROR(IF(C19="","",C19/B19),"")</f>
        <v>0</v>
      </c>
      <c r="D45">
        <f>IFERROR(IF(D19="","",D19/C19),"")</f>
        <v>0</v>
      </c>
      <c r="E45">
        <f>IFERROR(IF(E19="","",E19/D19),"")</f>
        <v>0</v>
      </c>
      <c r="F45">
        <f>IFERROR(IF(F19="","",F19/E19),"")</f>
        <v>0</v>
      </c>
      <c r="G45">
        <f>IFERROR(IF(G19="","",G19/F19),"")</f>
        <v>0</v>
      </c>
      <c r="H45">
        <f>IFERROR(IF(H19="","",H19/G19),"")</f>
        <v>0</v>
      </c>
      <c r="I45">
        <f>IFERROR(IF(I19="","",I19/H19),"")</f>
        <v>0</v>
      </c>
      <c r="J45">
        <f>IFERROR(IF(J19="","",J19/I19),"")</f>
        <v>0</v>
      </c>
      <c r="K45">
        <f>IFERROR(IF(K19="","",K19/J19),"")</f>
        <v>0</v>
      </c>
      <c r="L45">
        <f>IFERROR(IF(L19="","",L19/K19),"")</f>
        <v>0</v>
      </c>
      <c r="M45">
        <f>IFERROR(IF(M19="","",M19/L19),"")</f>
        <v>0</v>
      </c>
      <c r="N45">
        <f>IFERROR(IF(N19="","",N19/M19),"")</f>
        <v>0</v>
      </c>
      <c r="O45">
        <f>IFERROR(IF(O19="","",O19/N19),"")</f>
        <v>0</v>
      </c>
      <c r="P45">
        <f>IFERROR(IF(P19="","",P19/O19),"")</f>
        <v>0</v>
      </c>
      <c r="Q45">
        <f>IFERROR(IF(Q19="","",Q19/P19),"")</f>
        <v>0</v>
      </c>
      <c r="R45">
        <f>IFERROR(IF(R19="","",R19/Q19),"")</f>
        <v>0</v>
      </c>
      <c r="S45">
        <f>IFERROR(IF(S19="","",S19/R19),"")</f>
        <v>0</v>
      </c>
      <c r="T45">
        <f>IFERROR(IF(T19="","",T19/S19),"")</f>
        <v>0</v>
      </c>
      <c r="U45">
        <f>IFERROR(IF(U19="","",U19/T19),"")</f>
        <v>0</v>
      </c>
      <c r="V45">
        <f>IFERROR(IF(V19="","",V19/U19),"")</f>
        <v>0</v>
      </c>
      <c r="W45">
        <f>IFERROR(IF(W19="","",W19/V19),"")</f>
        <v>0</v>
      </c>
      <c r="X45">
        <f>IFERROR(IF(X19="","",X19/W19),"")</f>
        <v>0</v>
      </c>
    </row>
    <row r="46" spans="1:24">
      <c r="A46" s="3" t="s">
        <v>69</v>
      </c>
      <c r="B46">
        <f>IFERROR(IF(B20="","",B20/A20),"")</f>
        <v>0</v>
      </c>
      <c r="C46">
        <f>IFERROR(IF(C20="","",C20/B20),"")</f>
        <v>0</v>
      </c>
      <c r="D46">
        <f>IFERROR(IF(D20="","",D20/C20),"")</f>
        <v>0</v>
      </c>
      <c r="E46">
        <f>IFERROR(IF(E20="","",E20/D20),"")</f>
        <v>0</v>
      </c>
      <c r="F46">
        <f>IFERROR(IF(F20="","",F20/E20),"")</f>
        <v>0</v>
      </c>
      <c r="G46">
        <f>IFERROR(IF(G20="","",G20/F20),"")</f>
        <v>0</v>
      </c>
      <c r="H46">
        <f>IFERROR(IF(H20="","",H20/G20),"")</f>
        <v>0</v>
      </c>
      <c r="I46">
        <f>IFERROR(IF(I20="","",I20/H20),"")</f>
        <v>0</v>
      </c>
      <c r="J46">
        <f>IFERROR(IF(J20="","",J20/I20),"")</f>
        <v>0</v>
      </c>
      <c r="K46">
        <f>IFERROR(IF(K20="","",K20/J20),"")</f>
        <v>0</v>
      </c>
      <c r="L46">
        <f>IFERROR(IF(L20="","",L20/K20),"")</f>
        <v>0</v>
      </c>
      <c r="M46">
        <f>IFERROR(IF(M20="","",M20/L20),"")</f>
        <v>0</v>
      </c>
      <c r="N46">
        <f>IFERROR(IF(N20="","",N20/M20),"")</f>
        <v>0</v>
      </c>
      <c r="O46">
        <f>IFERROR(IF(O20="","",O20/N20),"")</f>
        <v>0</v>
      </c>
      <c r="P46">
        <f>IFERROR(IF(P20="","",P20/O20),"")</f>
        <v>0</v>
      </c>
      <c r="Q46">
        <f>IFERROR(IF(Q20="","",Q20/P20),"")</f>
        <v>0</v>
      </c>
      <c r="R46">
        <f>IFERROR(IF(R20="","",R20/Q20),"")</f>
        <v>0</v>
      </c>
      <c r="S46">
        <f>IFERROR(IF(S20="","",S20/R20),"")</f>
        <v>0</v>
      </c>
      <c r="T46">
        <f>IFERROR(IF(T20="","",T20/S20),"")</f>
        <v>0</v>
      </c>
      <c r="U46">
        <f>IFERROR(IF(U20="","",U20/T20),"")</f>
        <v>0</v>
      </c>
      <c r="V46">
        <f>IFERROR(IF(V20="","",V20/U20),"")</f>
        <v>0</v>
      </c>
      <c r="W46">
        <f>IFERROR(IF(W20="","",W20/V20),"")</f>
        <v>0</v>
      </c>
      <c r="X46">
        <f>IFERROR(IF(X20="","",X20/W20),"")</f>
        <v>0</v>
      </c>
    </row>
    <row r="47" spans="1:24">
      <c r="A47" s="3" t="s">
        <v>70</v>
      </c>
      <c r="B47">
        <f>IFERROR(IF(B21="","",B21/A21),"")</f>
        <v>0</v>
      </c>
      <c r="C47">
        <f>IFERROR(IF(C21="","",C21/B21),"")</f>
        <v>0</v>
      </c>
      <c r="D47">
        <f>IFERROR(IF(D21="","",D21/C21),"")</f>
        <v>0</v>
      </c>
      <c r="E47">
        <f>IFERROR(IF(E21="","",E21/D21),"")</f>
        <v>0</v>
      </c>
      <c r="F47">
        <f>IFERROR(IF(F21="","",F21/E21),"")</f>
        <v>0</v>
      </c>
      <c r="G47">
        <f>IFERROR(IF(G21="","",G21/F21),"")</f>
        <v>0</v>
      </c>
      <c r="H47">
        <f>IFERROR(IF(H21="","",H21/G21),"")</f>
        <v>0</v>
      </c>
      <c r="I47">
        <f>IFERROR(IF(I21="","",I21/H21),"")</f>
        <v>0</v>
      </c>
      <c r="J47">
        <f>IFERROR(IF(J21="","",J21/I21),"")</f>
        <v>0</v>
      </c>
      <c r="K47">
        <f>IFERROR(IF(K21="","",K21/J21),"")</f>
        <v>0</v>
      </c>
      <c r="L47">
        <f>IFERROR(IF(L21="","",L21/K21),"")</f>
        <v>0</v>
      </c>
      <c r="M47">
        <f>IFERROR(IF(M21="","",M21/L21),"")</f>
        <v>0</v>
      </c>
      <c r="N47">
        <f>IFERROR(IF(N21="","",N21/M21),"")</f>
        <v>0</v>
      </c>
      <c r="O47">
        <f>IFERROR(IF(O21="","",O21/N21),"")</f>
        <v>0</v>
      </c>
      <c r="P47">
        <f>IFERROR(IF(P21="","",P21/O21),"")</f>
        <v>0</v>
      </c>
      <c r="Q47">
        <f>IFERROR(IF(Q21="","",Q21/P21),"")</f>
        <v>0</v>
      </c>
      <c r="R47">
        <f>IFERROR(IF(R21="","",R21/Q21),"")</f>
        <v>0</v>
      </c>
      <c r="S47">
        <f>IFERROR(IF(S21="","",S21/R21),"")</f>
        <v>0</v>
      </c>
      <c r="T47">
        <f>IFERROR(IF(T21="","",T21/S21),"")</f>
        <v>0</v>
      </c>
      <c r="U47">
        <f>IFERROR(IF(U21="","",U21/T21),"")</f>
        <v>0</v>
      </c>
      <c r="V47">
        <f>IFERROR(IF(V21="","",V21/U21),"")</f>
        <v>0</v>
      </c>
      <c r="W47">
        <f>IFERROR(IF(W21="","",W21/V21),"")</f>
        <v>0</v>
      </c>
      <c r="X47">
        <f>IFERROR(IF(X21="","",X21/W21),"")</f>
        <v>0</v>
      </c>
    </row>
    <row r="48" spans="1:24">
      <c r="A48" s="3" t="s">
        <v>71</v>
      </c>
      <c r="B48">
        <f>IFERROR(IF(B22="","",B22/A22),"")</f>
        <v>0</v>
      </c>
      <c r="C48">
        <f>IFERROR(IF(C22="","",C22/B22),"")</f>
        <v>0</v>
      </c>
      <c r="D48">
        <f>IFERROR(IF(D22="","",D22/C22),"")</f>
        <v>0</v>
      </c>
      <c r="E48">
        <f>IFERROR(IF(E22="","",E22/D22),"")</f>
        <v>0</v>
      </c>
      <c r="F48">
        <f>IFERROR(IF(F22="","",F22/E22),"")</f>
        <v>0</v>
      </c>
      <c r="G48">
        <f>IFERROR(IF(G22="","",G22/F22),"")</f>
        <v>0</v>
      </c>
      <c r="H48">
        <f>IFERROR(IF(H22="","",H22/G22),"")</f>
        <v>0</v>
      </c>
      <c r="I48">
        <f>IFERROR(IF(I22="","",I22/H22),"")</f>
        <v>0</v>
      </c>
      <c r="J48">
        <f>IFERROR(IF(J22="","",J22/I22),"")</f>
        <v>0</v>
      </c>
      <c r="K48">
        <f>IFERROR(IF(K22="","",K22/J22),"")</f>
        <v>0</v>
      </c>
      <c r="L48">
        <f>IFERROR(IF(L22="","",L22/K22),"")</f>
        <v>0</v>
      </c>
      <c r="M48">
        <f>IFERROR(IF(M22="","",M22/L22),"")</f>
        <v>0</v>
      </c>
      <c r="N48">
        <f>IFERROR(IF(N22="","",N22/M22),"")</f>
        <v>0</v>
      </c>
      <c r="O48">
        <f>IFERROR(IF(O22="","",O22/N22),"")</f>
        <v>0</v>
      </c>
      <c r="P48">
        <f>IFERROR(IF(P22="","",P22/O22),"")</f>
        <v>0</v>
      </c>
      <c r="Q48">
        <f>IFERROR(IF(Q22="","",Q22/P22),"")</f>
        <v>0</v>
      </c>
      <c r="R48">
        <f>IFERROR(IF(R22="","",R22/Q22),"")</f>
        <v>0</v>
      </c>
      <c r="S48">
        <f>IFERROR(IF(S22="","",S22/R22),"")</f>
        <v>0</v>
      </c>
      <c r="T48">
        <f>IFERROR(IF(T22="","",T22/S22),"")</f>
        <v>0</v>
      </c>
      <c r="U48">
        <f>IFERROR(IF(U22="","",U22/T22),"")</f>
        <v>0</v>
      </c>
      <c r="V48">
        <f>IFERROR(IF(V22="","",V22/U22),"")</f>
        <v>0</v>
      </c>
      <c r="W48">
        <f>IFERROR(IF(W22="","",W22/V22),"")</f>
        <v>0</v>
      </c>
      <c r="X48">
        <f>IFERROR(IF(X22="","",X22/W22),"")</f>
        <v>0</v>
      </c>
    </row>
    <row r="49" spans="1:25">
      <c r="A49" s="3" t="s">
        <v>72</v>
      </c>
      <c r="B49">
        <f>IFERROR(IF(B23="","",B23/A23),"")</f>
        <v>0</v>
      </c>
      <c r="C49">
        <f>IFERROR(IF(C23="","",C23/B23),"")</f>
        <v>0</v>
      </c>
      <c r="D49">
        <f>IFERROR(IF(D23="","",D23/C23),"")</f>
        <v>0</v>
      </c>
      <c r="E49">
        <f>IFERROR(IF(E23="","",E23/D23),"")</f>
        <v>0</v>
      </c>
      <c r="F49">
        <f>IFERROR(IF(F23="","",F23/E23),"")</f>
        <v>0</v>
      </c>
      <c r="G49">
        <f>IFERROR(IF(G23="","",G23/F23),"")</f>
        <v>0</v>
      </c>
      <c r="H49">
        <f>IFERROR(IF(H23="","",H23/G23),"")</f>
        <v>0</v>
      </c>
      <c r="I49">
        <f>IFERROR(IF(I23="","",I23/H23),"")</f>
        <v>0</v>
      </c>
      <c r="J49">
        <f>IFERROR(IF(J23="","",J23/I23),"")</f>
        <v>0</v>
      </c>
      <c r="K49">
        <f>IFERROR(IF(K23="","",K23/J23),"")</f>
        <v>0</v>
      </c>
      <c r="L49">
        <f>IFERROR(IF(L23="","",L23/K23),"")</f>
        <v>0</v>
      </c>
      <c r="M49">
        <f>IFERROR(IF(M23="","",M23/L23),"")</f>
        <v>0</v>
      </c>
      <c r="N49">
        <f>IFERROR(IF(N23="","",N23/M23),"")</f>
        <v>0</v>
      </c>
      <c r="O49">
        <f>IFERROR(IF(O23="","",O23/N23),"")</f>
        <v>0</v>
      </c>
      <c r="P49">
        <f>IFERROR(IF(P23="","",P23/O23),"")</f>
        <v>0</v>
      </c>
      <c r="Q49">
        <f>IFERROR(IF(Q23="","",Q23/P23),"")</f>
        <v>0</v>
      </c>
      <c r="R49">
        <f>IFERROR(IF(R23="","",R23/Q23),"")</f>
        <v>0</v>
      </c>
      <c r="S49">
        <f>IFERROR(IF(S23="","",S23/R23),"")</f>
        <v>0</v>
      </c>
      <c r="T49">
        <f>IFERROR(IF(T23="","",T23/S23),"")</f>
        <v>0</v>
      </c>
      <c r="U49">
        <f>IFERROR(IF(U23="","",U23/T23),"")</f>
        <v>0</v>
      </c>
      <c r="V49">
        <f>IFERROR(IF(V23="","",V23/U23),"")</f>
        <v>0</v>
      </c>
      <c r="W49">
        <f>IFERROR(IF(W23="","",W23/V23),"")</f>
        <v>0</v>
      </c>
      <c r="X49">
        <f>IFERROR(IF(X23="","",X23/W23),"")</f>
        <v>0</v>
      </c>
    </row>
    <row r="50" spans="1:25">
      <c r="A50" s="3" t="s">
        <v>73</v>
      </c>
      <c r="B50">
        <f>IFERROR(IF(B24="","",B24/A24),"")</f>
        <v>0</v>
      </c>
      <c r="C50">
        <f>IFERROR(IF(C24="","",C24/B24),"")</f>
        <v>0</v>
      </c>
      <c r="D50">
        <f>IFERROR(IF(D24="","",D24/C24),"")</f>
        <v>0</v>
      </c>
      <c r="E50">
        <f>IFERROR(IF(E24="","",E24/D24),"")</f>
        <v>0</v>
      </c>
      <c r="F50">
        <f>IFERROR(IF(F24="","",F24/E24),"")</f>
        <v>0</v>
      </c>
      <c r="G50">
        <f>IFERROR(IF(G24="","",G24/F24),"")</f>
        <v>0</v>
      </c>
      <c r="H50">
        <f>IFERROR(IF(H24="","",H24/G24),"")</f>
        <v>0</v>
      </c>
      <c r="I50">
        <f>IFERROR(IF(I24="","",I24/H24),"")</f>
        <v>0</v>
      </c>
      <c r="J50">
        <f>IFERROR(IF(J24="","",J24/I24),"")</f>
        <v>0</v>
      </c>
      <c r="K50">
        <f>IFERROR(IF(K24="","",K24/J24),"")</f>
        <v>0</v>
      </c>
      <c r="L50">
        <f>IFERROR(IF(L24="","",L24/K24),"")</f>
        <v>0</v>
      </c>
      <c r="M50">
        <f>IFERROR(IF(M24="","",M24/L24),"")</f>
        <v>0</v>
      </c>
      <c r="N50">
        <f>IFERROR(IF(N24="","",N24/M24),"")</f>
        <v>0</v>
      </c>
      <c r="O50">
        <f>IFERROR(IF(O24="","",O24/N24),"")</f>
        <v>0</v>
      </c>
      <c r="P50">
        <f>IFERROR(IF(P24="","",P24/O24),"")</f>
        <v>0</v>
      </c>
      <c r="Q50">
        <f>IFERROR(IF(Q24="","",Q24/P24),"")</f>
        <v>0</v>
      </c>
      <c r="R50">
        <f>IFERROR(IF(R24="","",R24/Q24),"")</f>
        <v>0</v>
      </c>
      <c r="S50">
        <f>IFERROR(IF(S24="","",S24/R24),"")</f>
        <v>0</v>
      </c>
      <c r="T50">
        <f>IFERROR(IF(T24="","",T24/S24),"")</f>
        <v>0</v>
      </c>
      <c r="U50">
        <f>IFERROR(IF(U24="","",U24/T24),"")</f>
        <v>0</v>
      </c>
      <c r="V50">
        <f>IFERROR(IF(V24="","",V24/U24),"")</f>
        <v>0</v>
      </c>
      <c r="W50">
        <f>IFERROR(IF(W24="","",W24/V24),"")</f>
        <v>0</v>
      </c>
      <c r="X50">
        <f>IFERROR(IF(X24="","",X24/W24),"")</f>
        <v>0</v>
      </c>
    </row>
    <row r="51" spans="1:25">
      <c r="A51" s="3" t="s">
        <v>74</v>
      </c>
      <c r="B51">
        <f>IFERROR(IF(B25="","",B25/A25),"")</f>
        <v>0</v>
      </c>
      <c r="C51">
        <f>IFERROR(IF(C25="","",C25/B25),"")</f>
        <v>0</v>
      </c>
      <c r="D51">
        <f>IFERROR(IF(D25="","",D25/C25),"")</f>
        <v>0</v>
      </c>
      <c r="E51">
        <f>IFERROR(IF(E25="","",E25/D25),"")</f>
        <v>0</v>
      </c>
      <c r="F51">
        <f>IFERROR(IF(F25="","",F25/E25),"")</f>
        <v>0</v>
      </c>
      <c r="G51">
        <f>IFERROR(IF(G25="","",G25/F25),"")</f>
        <v>0</v>
      </c>
      <c r="H51">
        <f>IFERROR(IF(H25="","",H25/G25),"")</f>
        <v>0</v>
      </c>
      <c r="I51">
        <f>IFERROR(IF(I25="","",I25/H25),"")</f>
        <v>0</v>
      </c>
      <c r="J51">
        <f>IFERROR(IF(J25="","",J25/I25),"")</f>
        <v>0</v>
      </c>
      <c r="K51">
        <f>IFERROR(IF(K25="","",K25/J25),"")</f>
        <v>0</v>
      </c>
      <c r="L51">
        <f>IFERROR(IF(L25="","",L25/K25),"")</f>
        <v>0</v>
      </c>
      <c r="M51">
        <f>IFERROR(IF(M25="","",M25/L25),"")</f>
        <v>0</v>
      </c>
      <c r="N51">
        <f>IFERROR(IF(N25="","",N25/M25),"")</f>
        <v>0</v>
      </c>
      <c r="O51">
        <f>IFERROR(IF(O25="","",O25/N25),"")</f>
        <v>0</v>
      </c>
      <c r="P51">
        <f>IFERROR(IF(P25="","",P25/O25),"")</f>
        <v>0</v>
      </c>
      <c r="Q51">
        <f>IFERROR(IF(Q25="","",Q25/P25),"")</f>
        <v>0</v>
      </c>
      <c r="R51">
        <f>IFERROR(IF(R25="","",R25/Q25),"")</f>
        <v>0</v>
      </c>
      <c r="S51">
        <f>IFERROR(IF(S25="","",S25/R25),"")</f>
        <v>0</v>
      </c>
      <c r="T51">
        <f>IFERROR(IF(T25="","",T25/S25),"")</f>
        <v>0</v>
      </c>
      <c r="U51">
        <f>IFERROR(IF(U25="","",U25/T25),"")</f>
        <v>0</v>
      </c>
      <c r="V51">
        <f>IFERROR(IF(V25="","",V25/U25),"")</f>
        <v>0</v>
      </c>
      <c r="W51">
        <f>IFERROR(IF(W25="","",W25/V25),"")</f>
        <v>0</v>
      </c>
      <c r="X51">
        <f>IFERROR(IF(X25="","",X25/W25),"")</f>
        <v>0</v>
      </c>
    </row>
    <row r="52" spans="1:25">
      <c r="A52" s="3"/>
    </row>
    <row r="53" spans="1:25">
      <c r="A53" s="3" t="s">
        <v>98</v>
      </c>
      <c r="B53" t="s">
        <v>75</v>
      </c>
      <c r="C53" t="s">
        <v>76</v>
      </c>
      <c r="D53" t="s">
        <v>77</v>
      </c>
      <c r="E53" t="s">
        <v>78</v>
      </c>
      <c r="F53" t="s">
        <v>79</v>
      </c>
      <c r="G53" t="s">
        <v>80</v>
      </c>
      <c r="H53" t="s">
        <v>81</v>
      </c>
      <c r="I53" t="s">
        <v>82</v>
      </c>
      <c r="J53" t="s">
        <v>83</v>
      </c>
      <c r="K53" t="s">
        <v>84</v>
      </c>
      <c r="L53" t="s">
        <v>85</v>
      </c>
      <c r="M53" t="s">
        <v>86</v>
      </c>
      <c r="N53" t="s">
        <v>87</v>
      </c>
      <c r="O53" t="s">
        <v>88</v>
      </c>
      <c r="P53" t="s">
        <v>89</v>
      </c>
      <c r="Q53" t="s">
        <v>90</v>
      </c>
      <c r="R53" t="s">
        <v>91</v>
      </c>
      <c r="S53" t="s">
        <v>92</v>
      </c>
      <c r="T53" t="s">
        <v>93</v>
      </c>
      <c r="U53" t="s">
        <v>94</v>
      </c>
      <c r="V53" t="s">
        <v>95</v>
      </c>
      <c r="W53" t="s">
        <v>96</v>
      </c>
      <c r="X53" t="s">
        <v>97</v>
      </c>
      <c r="Y53" t="s">
        <v>99</v>
      </c>
    </row>
    <row r="54" spans="1:25">
      <c r="A54" s="3" t="s">
        <v>100</v>
      </c>
      <c r="B54">
        <f>IFERROR(AVERAGE(B28:B51),AVERAGE(B28:B51))</f>
        <v>0</v>
      </c>
      <c r="C54">
        <f>IFERROR(AVERAGE(C28:C51),AVERAGE(C28:C51))</f>
        <v>0</v>
      </c>
      <c r="D54">
        <f>IFERROR(AVERAGE(D28:D51),AVERAGE(D28:D51))</f>
        <v>0</v>
      </c>
      <c r="E54">
        <f>IFERROR(AVERAGE(E28:E51),AVERAGE(E28:E51))</f>
        <v>0</v>
      </c>
      <c r="F54">
        <f>IFERROR(AVERAGE(F28:F51),AVERAGE(F28:F51))</f>
        <v>0</v>
      </c>
      <c r="G54">
        <f>IFERROR(AVERAGE(G28:G51),AVERAGE(G28:G51))</f>
        <v>0</v>
      </c>
      <c r="H54">
        <f>IFERROR(AVERAGE(H28:H51),AVERAGE(H28:H51))</f>
        <v>0</v>
      </c>
      <c r="I54">
        <f>IFERROR(AVERAGE(I28:I51),AVERAGE(I28:I51))</f>
        <v>0</v>
      </c>
      <c r="J54">
        <f>IFERROR(AVERAGE(J28:J51),AVERAGE(J28:J51))</f>
        <v>0</v>
      </c>
      <c r="K54">
        <f>IFERROR(AVERAGE(K28:K51),AVERAGE(K28:K51))</f>
        <v>0</v>
      </c>
      <c r="L54">
        <f>IFERROR(AVERAGE(L28:L51),AVERAGE(L28:L51))</f>
        <v>0</v>
      </c>
      <c r="M54">
        <f>IFERROR(AVERAGE(M28:M51),AVERAGE(M28:M51))</f>
        <v>0</v>
      </c>
      <c r="N54">
        <f>IFERROR(AVERAGE(N28:N51),AVERAGE(N28:N51))</f>
        <v>0</v>
      </c>
      <c r="O54">
        <f>IFERROR(AVERAGE(O28:O51),AVERAGE(O28:O51))</f>
        <v>0</v>
      </c>
      <c r="P54">
        <f>IFERROR(AVERAGE(P28:P51),AVERAGE(P28:P51))</f>
        <v>0</v>
      </c>
      <c r="Q54">
        <f>IFERROR(AVERAGE(Q28:Q51),AVERAGE(Q28:Q51))</f>
        <v>0</v>
      </c>
      <c r="R54">
        <f>IFERROR(AVERAGE(R28:R51),AVERAGE(R28:R51))</f>
        <v>0</v>
      </c>
      <c r="S54">
        <f>IFERROR(AVERAGE(S28:S51),AVERAGE(S28:S51))</f>
        <v>0</v>
      </c>
      <c r="T54">
        <f>IFERROR(AVERAGE(T28:T51),AVERAGE(T28:T51))</f>
        <v>0</v>
      </c>
      <c r="U54">
        <f>IFERROR(AVERAGE(U28:U51),AVERAGE(U28:U51))</f>
        <v>0</v>
      </c>
      <c r="V54">
        <f>IFERROR(AVERAGE(V28:V51),AVERAGE(V28:V51))</f>
        <v>0</v>
      </c>
      <c r="W54">
        <f>IFERROR(AVERAGE(W28:W51),AVERAGE(W28:W51))</f>
        <v>0</v>
      </c>
      <c r="X54">
        <f>IFERROR(AVERAGE(X28:X51),AVERAGE(X28:X51))</f>
        <v>0</v>
      </c>
    </row>
    <row r="55" spans="1:25">
      <c r="A55" s="3" t="s">
        <v>101</v>
      </c>
      <c r="B55">
        <f>IFERROR(SUMPRODUCT(B28:B51,B2:B25)/SUMPRODUCT((B28:B51&lt;&gt;"")*B2:B25),SUMPRODUCT(B28:B51,B2:B25)/SUMPRODUCT((B28:B51&lt;&gt;"")*B2:B25))</f>
        <v>0</v>
      </c>
      <c r="C55">
        <f>IFERROR(SUMPRODUCT(C28:C51,C2:C25)/SUMPRODUCT((C28:C51&lt;&gt;"")*C2:C25),SUMPRODUCT(C28:C51,C2:C25)/SUMPRODUCT((C28:C51&lt;&gt;"")*C2:C25))</f>
        <v>0</v>
      </c>
      <c r="D55">
        <f>IFERROR(SUMPRODUCT(D28:D51,D2:D25)/SUMPRODUCT((D28:D51&lt;&gt;"")*D2:D25),SUMPRODUCT(D28:D51,D2:D25)/SUMPRODUCT((D28:D51&lt;&gt;"")*D2:D25))</f>
        <v>0</v>
      </c>
      <c r="E55">
        <f>IFERROR(SUMPRODUCT(E28:E51,E2:E25)/SUMPRODUCT((E28:E51&lt;&gt;"")*E2:E25),SUMPRODUCT(E28:E51,E2:E25)/SUMPRODUCT((E28:E51&lt;&gt;"")*E2:E25))</f>
        <v>0</v>
      </c>
      <c r="F55">
        <f>IFERROR(SUMPRODUCT(F28:F51,F2:F25)/SUMPRODUCT((F28:F51&lt;&gt;"")*F2:F25),SUMPRODUCT(F28:F51,F2:F25)/SUMPRODUCT((F28:F51&lt;&gt;"")*F2:F25))</f>
        <v>0</v>
      </c>
      <c r="G55">
        <f>IFERROR(SUMPRODUCT(G28:G51,G2:G25)/SUMPRODUCT((G28:G51&lt;&gt;"")*G2:G25),SUMPRODUCT(G28:G51,G2:G25)/SUMPRODUCT((G28:G51&lt;&gt;"")*G2:G25))</f>
        <v>0</v>
      </c>
      <c r="H55">
        <f>IFERROR(SUMPRODUCT(H28:H51,H2:H25)/SUMPRODUCT((H28:H51&lt;&gt;"")*H2:H25),SUMPRODUCT(H28:H51,H2:H25)/SUMPRODUCT((H28:H51&lt;&gt;"")*H2:H25))</f>
        <v>0</v>
      </c>
      <c r="I55">
        <f>IFERROR(SUMPRODUCT(I28:I51,I2:I25)/SUMPRODUCT((I28:I51&lt;&gt;"")*I2:I25),SUMPRODUCT(I28:I51,I2:I25)/SUMPRODUCT((I28:I51&lt;&gt;"")*I2:I25))</f>
        <v>0</v>
      </c>
      <c r="J55">
        <f>IFERROR(SUMPRODUCT(J28:J51,J2:J25)/SUMPRODUCT((J28:J51&lt;&gt;"")*J2:J25),SUMPRODUCT(J28:J51,J2:J25)/SUMPRODUCT((J28:J51&lt;&gt;"")*J2:J25))</f>
        <v>0</v>
      </c>
      <c r="K55">
        <f>IFERROR(SUMPRODUCT(K28:K51,K2:K25)/SUMPRODUCT((K28:K51&lt;&gt;"")*K2:K25),SUMPRODUCT(K28:K51,K2:K25)/SUMPRODUCT((K28:K51&lt;&gt;"")*K2:K25))</f>
        <v>0</v>
      </c>
      <c r="L55">
        <f>IFERROR(SUMPRODUCT(L28:L51,L2:L25)/SUMPRODUCT((L28:L51&lt;&gt;"")*L2:L25),SUMPRODUCT(L28:L51,L2:L25)/SUMPRODUCT((L28:L51&lt;&gt;"")*L2:L25))</f>
        <v>0</v>
      </c>
      <c r="M55">
        <f>IFERROR(SUMPRODUCT(M28:M51,M2:M25)/SUMPRODUCT((M28:M51&lt;&gt;"")*M2:M25),SUMPRODUCT(M28:M51,M2:M25)/SUMPRODUCT((M28:M51&lt;&gt;"")*M2:M25))</f>
        <v>0</v>
      </c>
      <c r="N55">
        <f>IFERROR(SUMPRODUCT(N28:N51,N2:N25)/SUMPRODUCT((N28:N51&lt;&gt;"")*N2:N25),SUMPRODUCT(N28:N51,N2:N25)/SUMPRODUCT((N28:N51&lt;&gt;"")*N2:N25))</f>
        <v>0</v>
      </c>
      <c r="O55">
        <f>IFERROR(SUMPRODUCT(O28:O51,O2:O25)/SUMPRODUCT((O28:O51&lt;&gt;"")*O2:O25),SUMPRODUCT(O28:O51,O2:O25)/SUMPRODUCT((O28:O51&lt;&gt;"")*O2:O25))</f>
        <v>0</v>
      </c>
      <c r="P55">
        <f>IFERROR(SUMPRODUCT(P28:P51,P2:P25)/SUMPRODUCT((P28:P51&lt;&gt;"")*P2:P25),SUMPRODUCT(P28:P51,P2:P25)/SUMPRODUCT((P28:P51&lt;&gt;"")*P2:P25))</f>
        <v>0</v>
      </c>
      <c r="Q55">
        <f>IFERROR(SUMPRODUCT(Q28:Q51,Q2:Q25)/SUMPRODUCT((Q28:Q51&lt;&gt;"")*Q2:Q25),SUMPRODUCT(Q28:Q51,Q2:Q25)/SUMPRODUCT((Q28:Q51&lt;&gt;"")*Q2:Q25))</f>
        <v>0</v>
      </c>
      <c r="R55">
        <f>IFERROR(SUMPRODUCT(R28:R51,R2:R25)/SUMPRODUCT((R28:R51&lt;&gt;"")*R2:R25),SUMPRODUCT(R28:R51,R2:R25)/SUMPRODUCT((R28:R51&lt;&gt;"")*R2:R25))</f>
        <v>0</v>
      </c>
      <c r="S55">
        <f>IFERROR(SUMPRODUCT(S28:S51,S2:S25)/SUMPRODUCT((S28:S51&lt;&gt;"")*S2:S25),SUMPRODUCT(S28:S51,S2:S25)/SUMPRODUCT((S28:S51&lt;&gt;"")*S2:S25))</f>
        <v>0</v>
      </c>
      <c r="T55">
        <f>IFERROR(SUMPRODUCT(T28:T51,T2:T25)/SUMPRODUCT((T28:T51&lt;&gt;"")*T2:T25),SUMPRODUCT(T28:T51,T2:T25)/SUMPRODUCT((T28:T51&lt;&gt;"")*T2:T25))</f>
        <v>0</v>
      </c>
      <c r="U55">
        <f>IFERROR(SUMPRODUCT(U28:U51,U2:U25)/SUMPRODUCT((U28:U51&lt;&gt;"")*U2:U25),SUMPRODUCT(U28:U51,U2:U25)/SUMPRODUCT((U28:U51&lt;&gt;"")*U2:U25))</f>
        <v>0</v>
      </c>
      <c r="V55">
        <f>IFERROR(SUMPRODUCT(V28:V51,V2:V25)/SUMPRODUCT((V28:V51&lt;&gt;"")*V2:V25),SUMPRODUCT(V28:V51,V2:V25)/SUMPRODUCT((V28:V51&lt;&gt;"")*V2:V25))</f>
        <v>0</v>
      </c>
      <c r="W55">
        <f>IFERROR(SUMPRODUCT(W28:W51,W2:W25)/SUMPRODUCT((W28:W51&lt;&gt;"")*W2:W25),SUMPRODUCT(W28:W51,W2:W25)/SUMPRODUCT((W28:W51&lt;&gt;"")*W2:W25))</f>
        <v>0</v>
      </c>
      <c r="X55">
        <f>IFERROR(SUMPRODUCT(X28:X51,X2:X25)/SUMPRODUCT((X28:X51&lt;&gt;"")*X2:X25),SUMPRODUCT(X28:X51,X2:X25)/SUMPRODUCT((X28:X51&lt;&gt;"")*X2:X25))</f>
        <v>0</v>
      </c>
    </row>
    <row r="56" spans="1:25">
      <c r="A56" s="3" t="s">
        <v>102</v>
      </c>
      <c r="B56">
        <f>IFERROR(TRIMMEAN(B28:B51,2/COUNT(B28:B51)),AVERAGE(B28:B51))</f>
        <v>0</v>
      </c>
      <c r="C56">
        <f>IFERROR(TRIMMEAN(C28:C51,2/COUNT(C28:C51)),AVERAGE(C28:C51))</f>
        <v>0</v>
      </c>
      <c r="D56">
        <f>IFERROR(TRIMMEAN(D28:D51,2/COUNT(D28:D51)),AVERAGE(D28:D51))</f>
        <v>0</v>
      </c>
      <c r="E56">
        <f>IFERROR(TRIMMEAN(E28:E51,2/COUNT(E28:E51)),AVERAGE(E28:E51))</f>
        <v>0</v>
      </c>
      <c r="F56">
        <f>IFERROR(TRIMMEAN(F28:F51,2/COUNT(F28:F51)),AVERAGE(F28:F51))</f>
        <v>0</v>
      </c>
      <c r="G56">
        <f>IFERROR(TRIMMEAN(G28:G51,2/COUNT(G28:G51)),AVERAGE(G28:G51))</f>
        <v>0</v>
      </c>
      <c r="H56">
        <f>IFERROR(TRIMMEAN(H28:H51,2/COUNT(H28:H51)),AVERAGE(H28:H51))</f>
        <v>0</v>
      </c>
      <c r="I56">
        <f>IFERROR(TRIMMEAN(I28:I51,2/COUNT(I28:I51)),AVERAGE(I28:I51))</f>
        <v>0</v>
      </c>
      <c r="J56">
        <f>IFERROR(TRIMMEAN(J28:J51,2/COUNT(J28:J51)),AVERAGE(J28:J51))</f>
        <v>0</v>
      </c>
      <c r="K56">
        <f>IFERROR(TRIMMEAN(K28:K51,2/COUNT(K28:K51)),AVERAGE(K28:K51))</f>
        <v>0</v>
      </c>
      <c r="L56">
        <f>IFERROR(TRIMMEAN(L28:L51,2/COUNT(L28:L51)),AVERAGE(L28:L51))</f>
        <v>0</v>
      </c>
      <c r="M56">
        <f>IFERROR(TRIMMEAN(M28:M51,2/COUNT(M28:M51)),AVERAGE(M28:M51))</f>
        <v>0</v>
      </c>
      <c r="N56">
        <f>IFERROR(TRIMMEAN(N28:N51,2/COUNT(N28:N51)),AVERAGE(N28:N51))</f>
        <v>0</v>
      </c>
      <c r="O56">
        <f>IFERROR(TRIMMEAN(O28:O51,2/COUNT(O28:O51)),AVERAGE(O28:O51))</f>
        <v>0</v>
      </c>
      <c r="P56">
        <f>IFERROR(TRIMMEAN(P28:P51,2/COUNT(P28:P51)),AVERAGE(P28:P51))</f>
        <v>0</v>
      </c>
      <c r="Q56">
        <f>IFERROR(TRIMMEAN(Q28:Q51,2/COUNT(Q28:Q51)),AVERAGE(Q28:Q51))</f>
        <v>0</v>
      </c>
      <c r="R56">
        <f>IFERROR(TRIMMEAN(R28:R51,2/COUNT(R28:R51)),AVERAGE(R28:R51))</f>
        <v>0</v>
      </c>
      <c r="S56">
        <f>IFERROR(TRIMMEAN(S28:S51,2/COUNT(S28:S51)),AVERAGE(S28:S51))</f>
        <v>0</v>
      </c>
      <c r="T56">
        <f>IFERROR(TRIMMEAN(T28:T51,2/COUNT(T28:T51)),AVERAGE(T28:T51))</f>
        <v>0</v>
      </c>
      <c r="U56">
        <f>IFERROR(TRIMMEAN(U28:U51,2/COUNT(U28:U51)),AVERAGE(U28:U51))</f>
        <v>0</v>
      </c>
      <c r="V56">
        <f>IFERROR(TRIMMEAN(V28:V51,2/COUNT(V28:V51)),AVERAGE(V28:V51))</f>
        <v>0</v>
      </c>
      <c r="W56">
        <f>IFERROR(TRIMMEAN(W28:W51,2/COUNT(W28:W51)),AVERAGE(W28:W51))</f>
        <v>0</v>
      </c>
      <c r="X56">
        <f>IFERROR(TRIMMEAN(X28:X51,2/COUNT(X28:X51)),AVERAGE(X28:X51))</f>
        <v>0</v>
      </c>
    </row>
    <row r="57" spans="1:25">
      <c r="A57" s="3" t="s">
        <v>103</v>
      </c>
      <c r="B57">
        <f>IFERROR(AVERAGE(B49:B51),AVERAGE(B28:B51))</f>
        <v>0</v>
      </c>
      <c r="C57">
        <f>IFERROR(AVERAGE(C49:C51),AVERAGE(C28:C51))</f>
        <v>0</v>
      </c>
      <c r="D57">
        <f>IFERROR(AVERAGE(D49:D51),AVERAGE(D28:D51))</f>
        <v>0</v>
      </c>
      <c r="E57">
        <f>IFERROR(AVERAGE(E49:E51),AVERAGE(E28:E51))</f>
        <v>0</v>
      </c>
      <c r="F57">
        <f>IFERROR(AVERAGE(F49:F51),AVERAGE(F28:F51))</f>
        <v>0</v>
      </c>
      <c r="G57">
        <f>IFERROR(AVERAGE(G49:G51),AVERAGE(G28:G51))</f>
        <v>0</v>
      </c>
      <c r="H57">
        <f>IFERROR(AVERAGE(H49:H51),AVERAGE(H28:H51))</f>
        <v>0</v>
      </c>
      <c r="I57">
        <f>IFERROR(AVERAGE(I49:I51),AVERAGE(I28:I51))</f>
        <v>0</v>
      </c>
      <c r="J57">
        <f>IFERROR(AVERAGE(J49:J51),AVERAGE(J28:J51))</f>
        <v>0</v>
      </c>
      <c r="K57">
        <f>IFERROR(AVERAGE(K49:K51),AVERAGE(K28:K51))</f>
        <v>0</v>
      </c>
      <c r="L57">
        <f>IFERROR(AVERAGE(L49:L51),AVERAGE(L28:L51))</f>
        <v>0</v>
      </c>
      <c r="M57">
        <f>IFERROR(AVERAGE(M49:M51),AVERAGE(M28:M51))</f>
        <v>0</v>
      </c>
      <c r="N57">
        <f>IFERROR(AVERAGE(N49:N51),AVERAGE(N28:N51))</f>
        <v>0</v>
      </c>
      <c r="O57">
        <f>IFERROR(AVERAGE(O49:O51),AVERAGE(O28:O51))</f>
        <v>0</v>
      </c>
      <c r="P57">
        <f>IFERROR(AVERAGE(P49:P51),AVERAGE(P28:P51))</f>
        <v>0</v>
      </c>
      <c r="Q57">
        <f>IFERROR(AVERAGE(Q49:Q51),AVERAGE(Q28:Q51))</f>
        <v>0</v>
      </c>
      <c r="R57">
        <f>IFERROR(AVERAGE(R49:R51),AVERAGE(R28:R51))</f>
        <v>0</v>
      </c>
      <c r="S57">
        <f>IFERROR(AVERAGE(S49:S51),AVERAGE(S28:S51))</f>
        <v>0</v>
      </c>
      <c r="T57">
        <f>IFERROR(AVERAGE(T49:T51),AVERAGE(T28:T51))</f>
        <v>0</v>
      </c>
      <c r="U57">
        <f>IFERROR(AVERAGE(U49:U51),AVERAGE(U28:U51))</f>
        <v>0</v>
      </c>
      <c r="V57">
        <f>IFERROR(AVERAGE(V49:V51),AVERAGE(V28:V51))</f>
        <v>0</v>
      </c>
      <c r="W57">
        <f>IFERROR(AVERAGE(W49:W51),AVERAGE(W28:W51))</f>
        <v>0</v>
      </c>
      <c r="X57">
        <f>IFERROR(AVERAGE(X49:X51),AVERAGE(X28:X51))</f>
        <v>0</v>
      </c>
    </row>
    <row r="58" spans="1:25">
      <c r="A58" s="3" t="s">
        <v>104</v>
      </c>
      <c r="B58">
        <f>IFERROR(SUMPRODUCT(B49:B51,B23:B25)/SUMPRODUCT((B49:B51&lt;&gt;"")*B23:B25),SUMPRODUCT(B28:B51,B2:B25)/SUMPRODUCT((B28:B51&lt;&gt;"")*B2:B25))</f>
        <v>0</v>
      </c>
      <c r="C58">
        <f>IFERROR(SUMPRODUCT(C49:C51,C23:C25)/SUMPRODUCT((C49:C51&lt;&gt;"")*C23:C25),SUMPRODUCT(C28:C51,C2:C25)/SUMPRODUCT((C28:C51&lt;&gt;"")*C2:C25))</f>
        <v>0</v>
      </c>
      <c r="D58">
        <f>IFERROR(SUMPRODUCT(D49:D51,D23:D25)/SUMPRODUCT((D49:D51&lt;&gt;"")*D23:D25),SUMPRODUCT(D28:D51,D2:D25)/SUMPRODUCT((D28:D51&lt;&gt;"")*D2:D25))</f>
        <v>0</v>
      </c>
      <c r="E58">
        <f>IFERROR(SUMPRODUCT(E49:E51,E23:E25)/SUMPRODUCT((E49:E51&lt;&gt;"")*E23:E25),SUMPRODUCT(E28:E51,E2:E25)/SUMPRODUCT((E28:E51&lt;&gt;"")*E2:E25))</f>
        <v>0</v>
      </c>
      <c r="F58">
        <f>IFERROR(SUMPRODUCT(F49:F51,F23:F25)/SUMPRODUCT((F49:F51&lt;&gt;"")*F23:F25),SUMPRODUCT(F28:F51,F2:F25)/SUMPRODUCT((F28:F51&lt;&gt;"")*F2:F25))</f>
        <v>0</v>
      </c>
      <c r="G58">
        <f>IFERROR(SUMPRODUCT(G49:G51,G23:G25)/SUMPRODUCT((G49:G51&lt;&gt;"")*G23:G25),SUMPRODUCT(G28:G51,G2:G25)/SUMPRODUCT((G28:G51&lt;&gt;"")*G2:G25))</f>
        <v>0</v>
      </c>
      <c r="H58">
        <f>IFERROR(SUMPRODUCT(H49:H51,H23:H25)/SUMPRODUCT((H49:H51&lt;&gt;"")*H23:H25),SUMPRODUCT(H28:H51,H2:H25)/SUMPRODUCT((H28:H51&lt;&gt;"")*H2:H25))</f>
        <v>0</v>
      </c>
      <c r="I58">
        <f>IFERROR(SUMPRODUCT(I49:I51,I23:I25)/SUMPRODUCT((I49:I51&lt;&gt;"")*I23:I25),SUMPRODUCT(I28:I51,I2:I25)/SUMPRODUCT((I28:I51&lt;&gt;"")*I2:I25))</f>
        <v>0</v>
      </c>
      <c r="J58">
        <f>IFERROR(SUMPRODUCT(J49:J51,J23:J25)/SUMPRODUCT((J49:J51&lt;&gt;"")*J23:J25),SUMPRODUCT(J28:J51,J2:J25)/SUMPRODUCT((J28:J51&lt;&gt;"")*J2:J25))</f>
        <v>0</v>
      </c>
      <c r="K58">
        <f>IFERROR(SUMPRODUCT(K49:K51,K23:K25)/SUMPRODUCT((K49:K51&lt;&gt;"")*K23:K25),SUMPRODUCT(K28:K51,K2:K25)/SUMPRODUCT((K28:K51&lt;&gt;"")*K2:K25))</f>
        <v>0</v>
      </c>
      <c r="L58">
        <f>IFERROR(SUMPRODUCT(L49:L51,L23:L25)/SUMPRODUCT((L49:L51&lt;&gt;"")*L23:L25),SUMPRODUCT(L28:L51,L2:L25)/SUMPRODUCT((L28:L51&lt;&gt;"")*L2:L25))</f>
        <v>0</v>
      </c>
      <c r="M58">
        <f>IFERROR(SUMPRODUCT(M49:M51,M23:M25)/SUMPRODUCT((M49:M51&lt;&gt;"")*M23:M25),SUMPRODUCT(M28:M51,M2:M25)/SUMPRODUCT((M28:M51&lt;&gt;"")*M2:M25))</f>
        <v>0</v>
      </c>
      <c r="N58">
        <f>IFERROR(SUMPRODUCT(N49:N51,N23:N25)/SUMPRODUCT((N49:N51&lt;&gt;"")*N23:N25),SUMPRODUCT(N28:N51,N2:N25)/SUMPRODUCT((N28:N51&lt;&gt;"")*N2:N25))</f>
        <v>0</v>
      </c>
      <c r="O58">
        <f>IFERROR(SUMPRODUCT(O49:O51,O23:O25)/SUMPRODUCT((O49:O51&lt;&gt;"")*O23:O25),SUMPRODUCT(O28:O51,O2:O25)/SUMPRODUCT((O28:O51&lt;&gt;"")*O2:O25))</f>
        <v>0</v>
      </c>
      <c r="P58">
        <f>IFERROR(SUMPRODUCT(P49:P51,P23:P25)/SUMPRODUCT((P49:P51&lt;&gt;"")*P23:P25),SUMPRODUCT(P28:P51,P2:P25)/SUMPRODUCT((P28:P51&lt;&gt;"")*P2:P25))</f>
        <v>0</v>
      </c>
      <c r="Q58">
        <f>IFERROR(SUMPRODUCT(Q49:Q51,Q23:Q25)/SUMPRODUCT((Q49:Q51&lt;&gt;"")*Q23:Q25),SUMPRODUCT(Q28:Q51,Q2:Q25)/SUMPRODUCT((Q28:Q51&lt;&gt;"")*Q2:Q25))</f>
        <v>0</v>
      </c>
      <c r="R58">
        <f>IFERROR(SUMPRODUCT(R49:R51,R23:R25)/SUMPRODUCT((R49:R51&lt;&gt;"")*R23:R25),SUMPRODUCT(R28:R51,R2:R25)/SUMPRODUCT((R28:R51&lt;&gt;"")*R2:R25))</f>
        <v>0</v>
      </c>
      <c r="S58">
        <f>IFERROR(SUMPRODUCT(S49:S51,S23:S25)/SUMPRODUCT((S49:S51&lt;&gt;"")*S23:S25),SUMPRODUCT(S28:S51,S2:S25)/SUMPRODUCT((S28:S51&lt;&gt;"")*S2:S25))</f>
        <v>0</v>
      </c>
      <c r="T58">
        <f>IFERROR(SUMPRODUCT(T49:T51,T23:T25)/SUMPRODUCT((T49:T51&lt;&gt;"")*T23:T25),SUMPRODUCT(T28:T51,T2:T25)/SUMPRODUCT((T28:T51&lt;&gt;"")*T2:T25))</f>
        <v>0</v>
      </c>
      <c r="U58">
        <f>IFERROR(SUMPRODUCT(U49:U51,U23:U25)/SUMPRODUCT((U49:U51&lt;&gt;"")*U23:U25),SUMPRODUCT(U28:U51,U2:U25)/SUMPRODUCT((U28:U51&lt;&gt;"")*U2:U25))</f>
        <v>0</v>
      </c>
      <c r="V58">
        <f>IFERROR(SUMPRODUCT(V49:V51,V23:V25)/SUMPRODUCT((V49:V51&lt;&gt;"")*V23:V25),SUMPRODUCT(V28:V51,V2:V25)/SUMPRODUCT((V28:V51&lt;&gt;"")*V2:V25))</f>
        <v>0</v>
      </c>
      <c r="W58">
        <f>IFERROR(SUMPRODUCT(W49:W51,W23:W25)/SUMPRODUCT((W49:W51&lt;&gt;"")*W23:W25),SUMPRODUCT(W28:W51,W2:W25)/SUMPRODUCT((W28:W51&lt;&gt;"")*W2:W25))</f>
        <v>0</v>
      </c>
      <c r="X58">
        <f>IFERROR(SUMPRODUCT(X49:X51,X23:X25)/SUMPRODUCT((X49:X51&lt;&gt;"")*X23:X25),SUMPRODUCT(X28:X51,X2:X25)/SUMPRODUCT((X28:X51&lt;&gt;"")*X2:X25))</f>
        <v>0</v>
      </c>
    </row>
    <row r="59" spans="1:25">
      <c r="A59" s="3" t="s">
        <v>105</v>
      </c>
      <c r="B59">
        <f>IFERROR(TRIMMEAN(B49:B51,2/COUNT(B49:B51)),AVERAGE(B28:B51))</f>
        <v>0</v>
      </c>
      <c r="C59">
        <f>IFERROR(TRIMMEAN(C49:C51,2/COUNT(C49:C51)),AVERAGE(C28:C51))</f>
        <v>0</v>
      </c>
      <c r="D59">
        <f>IFERROR(TRIMMEAN(D49:D51,2/COUNT(D49:D51)),AVERAGE(D28:D51))</f>
        <v>0</v>
      </c>
      <c r="E59">
        <f>IFERROR(TRIMMEAN(E49:E51,2/COUNT(E49:E51)),AVERAGE(E28:E51))</f>
        <v>0</v>
      </c>
      <c r="F59">
        <f>IFERROR(TRIMMEAN(F49:F51,2/COUNT(F49:F51)),AVERAGE(F28:F51))</f>
        <v>0</v>
      </c>
      <c r="G59">
        <f>IFERROR(TRIMMEAN(G49:G51,2/COUNT(G49:G51)),AVERAGE(G28:G51))</f>
        <v>0</v>
      </c>
      <c r="H59">
        <f>IFERROR(TRIMMEAN(H49:H51,2/COUNT(H49:H51)),AVERAGE(H28:H51))</f>
        <v>0</v>
      </c>
      <c r="I59">
        <f>IFERROR(TRIMMEAN(I49:I51,2/COUNT(I49:I51)),AVERAGE(I28:I51))</f>
        <v>0</v>
      </c>
      <c r="J59">
        <f>IFERROR(TRIMMEAN(J49:J51,2/COUNT(J49:J51)),AVERAGE(J28:J51))</f>
        <v>0</v>
      </c>
      <c r="K59">
        <f>IFERROR(TRIMMEAN(K49:K51,2/COUNT(K49:K51)),AVERAGE(K28:K51))</f>
        <v>0</v>
      </c>
      <c r="L59">
        <f>IFERROR(TRIMMEAN(L49:L51,2/COUNT(L49:L51)),AVERAGE(L28:L51))</f>
        <v>0</v>
      </c>
      <c r="M59">
        <f>IFERROR(TRIMMEAN(M49:M51,2/COUNT(M49:M51)),AVERAGE(M28:M51))</f>
        <v>0</v>
      </c>
      <c r="N59">
        <f>IFERROR(TRIMMEAN(N49:N51,2/COUNT(N49:N51)),AVERAGE(N28:N51))</f>
        <v>0</v>
      </c>
      <c r="O59">
        <f>IFERROR(TRIMMEAN(O49:O51,2/COUNT(O49:O51)),AVERAGE(O28:O51))</f>
        <v>0</v>
      </c>
      <c r="P59">
        <f>IFERROR(TRIMMEAN(P49:P51,2/COUNT(P49:P51)),AVERAGE(P28:P51))</f>
        <v>0</v>
      </c>
      <c r="Q59">
        <f>IFERROR(TRIMMEAN(Q49:Q51,2/COUNT(Q49:Q51)),AVERAGE(Q28:Q51))</f>
        <v>0</v>
      </c>
      <c r="R59">
        <f>IFERROR(TRIMMEAN(R49:R51,2/COUNT(R49:R51)),AVERAGE(R28:R51))</f>
        <v>0</v>
      </c>
      <c r="S59">
        <f>IFERROR(TRIMMEAN(S49:S51,2/COUNT(S49:S51)),AVERAGE(S28:S51))</f>
        <v>0</v>
      </c>
      <c r="T59">
        <f>IFERROR(TRIMMEAN(T49:T51,2/COUNT(T49:T51)),AVERAGE(T28:T51))</f>
        <v>0</v>
      </c>
      <c r="U59">
        <f>IFERROR(TRIMMEAN(U49:U51,2/COUNT(U49:U51)),AVERAGE(U28:U51))</f>
        <v>0</v>
      </c>
      <c r="V59">
        <f>IFERROR(TRIMMEAN(V49:V51,2/COUNT(V49:V51)),AVERAGE(V28:V51))</f>
        <v>0</v>
      </c>
      <c r="W59">
        <f>IFERROR(TRIMMEAN(W49:W51,2/COUNT(W49:W51)),AVERAGE(W28:W51))</f>
        <v>0</v>
      </c>
      <c r="X59">
        <f>IFERROR(TRIMMEAN(X49:X51,2/COUNT(X49:X51)),AVERAGE(X28:X51))</f>
        <v>0</v>
      </c>
    </row>
    <row r="60" spans="1:25">
      <c r="A60" s="3" t="s">
        <v>106</v>
      </c>
      <c r="B60">
        <f>IFERROR(AVERAGE(B47:B51),AVERAGE(B28:B51))</f>
        <v>0</v>
      </c>
      <c r="C60">
        <f>IFERROR(AVERAGE(C47:C51),AVERAGE(C28:C51))</f>
        <v>0</v>
      </c>
      <c r="D60">
        <f>IFERROR(AVERAGE(D47:D51),AVERAGE(D28:D51))</f>
        <v>0</v>
      </c>
      <c r="E60">
        <f>IFERROR(AVERAGE(E47:E51),AVERAGE(E28:E51))</f>
        <v>0</v>
      </c>
      <c r="F60">
        <f>IFERROR(AVERAGE(F47:F51),AVERAGE(F28:F51))</f>
        <v>0</v>
      </c>
      <c r="G60">
        <f>IFERROR(AVERAGE(G47:G51),AVERAGE(G28:G51))</f>
        <v>0</v>
      </c>
      <c r="H60">
        <f>IFERROR(AVERAGE(H47:H51),AVERAGE(H28:H51))</f>
        <v>0</v>
      </c>
      <c r="I60">
        <f>IFERROR(AVERAGE(I47:I51),AVERAGE(I28:I51))</f>
        <v>0</v>
      </c>
      <c r="J60">
        <f>IFERROR(AVERAGE(J47:J51),AVERAGE(J28:J51))</f>
        <v>0</v>
      </c>
      <c r="K60">
        <f>IFERROR(AVERAGE(K47:K51),AVERAGE(K28:K51))</f>
        <v>0</v>
      </c>
      <c r="L60">
        <f>IFERROR(AVERAGE(L47:L51),AVERAGE(L28:L51))</f>
        <v>0</v>
      </c>
      <c r="M60">
        <f>IFERROR(AVERAGE(M47:M51),AVERAGE(M28:M51))</f>
        <v>0</v>
      </c>
      <c r="N60">
        <f>IFERROR(AVERAGE(N47:N51),AVERAGE(N28:N51))</f>
        <v>0</v>
      </c>
      <c r="O60">
        <f>IFERROR(AVERAGE(O47:O51),AVERAGE(O28:O51))</f>
        <v>0</v>
      </c>
      <c r="P60">
        <f>IFERROR(AVERAGE(P47:P51),AVERAGE(P28:P51))</f>
        <v>0</v>
      </c>
      <c r="Q60">
        <f>IFERROR(AVERAGE(Q47:Q51),AVERAGE(Q28:Q51))</f>
        <v>0</v>
      </c>
      <c r="R60">
        <f>IFERROR(AVERAGE(R47:R51),AVERAGE(R28:R51))</f>
        <v>0</v>
      </c>
      <c r="S60">
        <f>IFERROR(AVERAGE(S47:S51),AVERAGE(S28:S51))</f>
        <v>0</v>
      </c>
      <c r="T60">
        <f>IFERROR(AVERAGE(T47:T51),AVERAGE(T28:T51))</f>
        <v>0</v>
      </c>
      <c r="U60">
        <f>IFERROR(AVERAGE(U47:U51),AVERAGE(U28:U51))</f>
        <v>0</v>
      </c>
      <c r="V60">
        <f>IFERROR(AVERAGE(V47:V51),AVERAGE(V28:V51))</f>
        <v>0</v>
      </c>
      <c r="W60">
        <f>IFERROR(AVERAGE(W47:W51),AVERAGE(W28:W51))</f>
        <v>0</v>
      </c>
      <c r="X60">
        <f>IFERROR(AVERAGE(X47:X51),AVERAGE(X28:X51))</f>
        <v>0</v>
      </c>
    </row>
    <row r="61" spans="1:25">
      <c r="A61" s="3" t="s">
        <v>107</v>
      </c>
      <c r="B61">
        <f>IFERROR(SUMPRODUCT(B47:B51,B21:B25)/SUMPRODUCT((B47:B51&lt;&gt;"")*B21:B25),SUMPRODUCT(B28:B51,B2:B25)/SUMPRODUCT((B28:B51&lt;&gt;"")*B2:B25))</f>
        <v>0</v>
      </c>
      <c r="C61">
        <f>IFERROR(SUMPRODUCT(C47:C51,C21:C25)/SUMPRODUCT((C47:C51&lt;&gt;"")*C21:C25),SUMPRODUCT(C28:C51,C2:C25)/SUMPRODUCT((C28:C51&lt;&gt;"")*C2:C25))</f>
        <v>0</v>
      </c>
      <c r="D61">
        <f>IFERROR(SUMPRODUCT(D47:D51,D21:D25)/SUMPRODUCT((D47:D51&lt;&gt;"")*D21:D25),SUMPRODUCT(D28:D51,D2:D25)/SUMPRODUCT((D28:D51&lt;&gt;"")*D2:D25))</f>
        <v>0</v>
      </c>
      <c r="E61">
        <f>IFERROR(SUMPRODUCT(E47:E51,E21:E25)/SUMPRODUCT((E47:E51&lt;&gt;"")*E21:E25),SUMPRODUCT(E28:E51,E2:E25)/SUMPRODUCT((E28:E51&lt;&gt;"")*E2:E25))</f>
        <v>0</v>
      </c>
      <c r="F61">
        <f>IFERROR(SUMPRODUCT(F47:F51,F21:F25)/SUMPRODUCT((F47:F51&lt;&gt;"")*F21:F25),SUMPRODUCT(F28:F51,F2:F25)/SUMPRODUCT((F28:F51&lt;&gt;"")*F2:F25))</f>
        <v>0</v>
      </c>
      <c r="G61">
        <f>IFERROR(SUMPRODUCT(G47:G51,G21:G25)/SUMPRODUCT((G47:G51&lt;&gt;"")*G21:G25),SUMPRODUCT(G28:G51,G2:G25)/SUMPRODUCT((G28:G51&lt;&gt;"")*G2:G25))</f>
        <v>0</v>
      </c>
      <c r="H61">
        <f>IFERROR(SUMPRODUCT(H47:H51,H21:H25)/SUMPRODUCT((H47:H51&lt;&gt;"")*H21:H25),SUMPRODUCT(H28:H51,H2:H25)/SUMPRODUCT((H28:H51&lt;&gt;"")*H2:H25))</f>
        <v>0</v>
      </c>
      <c r="I61">
        <f>IFERROR(SUMPRODUCT(I47:I51,I21:I25)/SUMPRODUCT((I47:I51&lt;&gt;"")*I21:I25),SUMPRODUCT(I28:I51,I2:I25)/SUMPRODUCT((I28:I51&lt;&gt;"")*I2:I25))</f>
        <v>0</v>
      </c>
      <c r="J61">
        <f>IFERROR(SUMPRODUCT(J47:J51,J21:J25)/SUMPRODUCT((J47:J51&lt;&gt;"")*J21:J25),SUMPRODUCT(J28:J51,J2:J25)/SUMPRODUCT((J28:J51&lt;&gt;"")*J2:J25))</f>
        <v>0</v>
      </c>
      <c r="K61">
        <f>IFERROR(SUMPRODUCT(K47:K51,K21:K25)/SUMPRODUCT((K47:K51&lt;&gt;"")*K21:K25),SUMPRODUCT(K28:K51,K2:K25)/SUMPRODUCT((K28:K51&lt;&gt;"")*K2:K25))</f>
        <v>0</v>
      </c>
      <c r="L61">
        <f>IFERROR(SUMPRODUCT(L47:L51,L21:L25)/SUMPRODUCT((L47:L51&lt;&gt;"")*L21:L25),SUMPRODUCT(L28:L51,L2:L25)/SUMPRODUCT((L28:L51&lt;&gt;"")*L2:L25))</f>
        <v>0</v>
      </c>
      <c r="M61">
        <f>IFERROR(SUMPRODUCT(M47:M51,M21:M25)/SUMPRODUCT((M47:M51&lt;&gt;"")*M21:M25),SUMPRODUCT(M28:M51,M2:M25)/SUMPRODUCT((M28:M51&lt;&gt;"")*M2:M25))</f>
        <v>0</v>
      </c>
      <c r="N61">
        <f>IFERROR(SUMPRODUCT(N47:N51,N21:N25)/SUMPRODUCT((N47:N51&lt;&gt;"")*N21:N25),SUMPRODUCT(N28:N51,N2:N25)/SUMPRODUCT((N28:N51&lt;&gt;"")*N2:N25))</f>
        <v>0</v>
      </c>
      <c r="O61">
        <f>IFERROR(SUMPRODUCT(O47:O51,O21:O25)/SUMPRODUCT((O47:O51&lt;&gt;"")*O21:O25),SUMPRODUCT(O28:O51,O2:O25)/SUMPRODUCT((O28:O51&lt;&gt;"")*O2:O25))</f>
        <v>0</v>
      </c>
      <c r="P61">
        <f>IFERROR(SUMPRODUCT(P47:P51,P21:P25)/SUMPRODUCT((P47:P51&lt;&gt;"")*P21:P25),SUMPRODUCT(P28:P51,P2:P25)/SUMPRODUCT((P28:P51&lt;&gt;"")*P2:P25))</f>
        <v>0</v>
      </c>
      <c r="Q61">
        <f>IFERROR(SUMPRODUCT(Q47:Q51,Q21:Q25)/SUMPRODUCT((Q47:Q51&lt;&gt;"")*Q21:Q25),SUMPRODUCT(Q28:Q51,Q2:Q25)/SUMPRODUCT((Q28:Q51&lt;&gt;"")*Q2:Q25))</f>
        <v>0</v>
      </c>
      <c r="R61">
        <f>IFERROR(SUMPRODUCT(R47:R51,R21:R25)/SUMPRODUCT((R47:R51&lt;&gt;"")*R21:R25),SUMPRODUCT(R28:R51,R2:R25)/SUMPRODUCT((R28:R51&lt;&gt;"")*R2:R25))</f>
        <v>0</v>
      </c>
      <c r="S61">
        <f>IFERROR(SUMPRODUCT(S47:S51,S21:S25)/SUMPRODUCT((S47:S51&lt;&gt;"")*S21:S25),SUMPRODUCT(S28:S51,S2:S25)/SUMPRODUCT((S28:S51&lt;&gt;"")*S2:S25))</f>
        <v>0</v>
      </c>
      <c r="T61">
        <f>IFERROR(SUMPRODUCT(T47:T51,T21:T25)/SUMPRODUCT((T47:T51&lt;&gt;"")*T21:T25),SUMPRODUCT(T28:T51,T2:T25)/SUMPRODUCT((T28:T51&lt;&gt;"")*T2:T25))</f>
        <v>0</v>
      </c>
      <c r="U61">
        <f>IFERROR(SUMPRODUCT(U47:U51,U21:U25)/SUMPRODUCT((U47:U51&lt;&gt;"")*U21:U25),SUMPRODUCT(U28:U51,U2:U25)/SUMPRODUCT((U28:U51&lt;&gt;"")*U2:U25))</f>
        <v>0</v>
      </c>
      <c r="V61">
        <f>IFERROR(SUMPRODUCT(V47:V51,V21:V25)/SUMPRODUCT((V47:V51&lt;&gt;"")*V21:V25),SUMPRODUCT(V28:V51,V2:V25)/SUMPRODUCT((V28:V51&lt;&gt;"")*V2:V25))</f>
        <v>0</v>
      </c>
      <c r="W61">
        <f>IFERROR(SUMPRODUCT(W47:W51,W21:W25)/SUMPRODUCT((W47:W51&lt;&gt;"")*W21:W25),SUMPRODUCT(W28:W51,W2:W25)/SUMPRODUCT((W28:W51&lt;&gt;"")*W2:W25))</f>
        <v>0</v>
      </c>
      <c r="X61">
        <f>IFERROR(SUMPRODUCT(X47:X51,X21:X25)/SUMPRODUCT((X47:X51&lt;&gt;"")*X21:X25),SUMPRODUCT(X28:X51,X2:X25)/SUMPRODUCT((X28:X51&lt;&gt;"")*X2:X25))</f>
        <v>0</v>
      </c>
    </row>
    <row r="62" spans="1:25">
      <c r="A62" s="3" t="s">
        <v>108</v>
      </c>
      <c r="B62">
        <f>IFERROR(TRIMMEAN(B47:B51,2/COUNT(B47:B51)),AVERAGE(B28:B51))</f>
        <v>0</v>
      </c>
      <c r="C62">
        <f>IFERROR(TRIMMEAN(C47:C51,2/COUNT(C47:C51)),AVERAGE(C28:C51))</f>
        <v>0</v>
      </c>
      <c r="D62">
        <f>IFERROR(TRIMMEAN(D47:D51,2/COUNT(D47:D51)),AVERAGE(D28:D51))</f>
        <v>0</v>
      </c>
      <c r="E62">
        <f>IFERROR(TRIMMEAN(E47:E51,2/COUNT(E47:E51)),AVERAGE(E28:E51))</f>
        <v>0</v>
      </c>
      <c r="F62">
        <f>IFERROR(TRIMMEAN(F47:F51,2/COUNT(F47:F51)),AVERAGE(F28:F51))</f>
        <v>0</v>
      </c>
      <c r="G62">
        <f>IFERROR(TRIMMEAN(G47:G51,2/COUNT(G47:G51)),AVERAGE(G28:G51))</f>
        <v>0</v>
      </c>
      <c r="H62">
        <f>IFERROR(TRIMMEAN(H47:H51,2/COUNT(H47:H51)),AVERAGE(H28:H51))</f>
        <v>0</v>
      </c>
      <c r="I62">
        <f>IFERROR(TRIMMEAN(I47:I51,2/COUNT(I47:I51)),AVERAGE(I28:I51))</f>
        <v>0</v>
      </c>
      <c r="J62">
        <f>IFERROR(TRIMMEAN(J47:J51,2/COUNT(J47:J51)),AVERAGE(J28:J51))</f>
        <v>0</v>
      </c>
      <c r="K62">
        <f>IFERROR(TRIMMEAN(K47:K51,2/COUNT(K47:K51)),AVERAGE(K28:K51))</f>
        <v>0</v>
      </c>
      <c r="L62">
        <f>IFERROR(TRIMMEAN(L47:L51,2/COUNT(L47:L51)),AVERAGE(L28:L51))</f>
        <v>0</v>
      </c>
      <c r="M62">
        <f>IFERROR(TRIMMEAN(M47:M51,2/COUNT(M47:M51)),AVERAGE(M28:M51))</f>
        <v>0</v>
      </c>
      <c r="N62">
        <f>IFERROR(TRIMMEAN(N47:N51,2/COUNT(N47:N51)),AVERAGE(N28:N51))</f>
        <v>0</v>
      </c>
      <c r="O62">
        <f>IFERROR(TRIMMEAN(O47:O51,2/COUNT(O47:O51)),AVERAGE(O28:O51))</f>
        <v>0</v>
      </c>
      <c r="P62">
        <f>IFERROR(TRIMMEAN(P47:P51,2/COUNT(P47:P51)),AVERAGE(P28:P51))</f>
        <v>0</v>
      </c>
      <c r="Q62">
        <f>IFERROR(TRIMMEAN(Q47:Q51,2/COUNT(Q47:Q51)),AVERAGE(Q28:Q51))</f>
        <v>0</v>
      </c>
      <c r="R62">
        <f>IFERROR(TRIMMEAN(R47:R51,2/COUNT(R47:R51)),AVERAGE(R28:R51))</f>
        <v>0</v>
      </c>
      <c r="S62">
        <f>IFERROR(TRIMMEAN(S47:S51,2/COUNT(S47:S51)),AVERAGE(S28:S51))</f>
        <v>0</v>
      </c>
      <c r="T62">
        <f>IFERROR(TRIMMEAN(T47:T51,2/COUNT(T47:T51)),AVERAGE(T28:T51))</f>
        <v>0</v>
      </c>
      <c r="U62">
        <f>IFERROR(TRIMMEAN(U47:U51,2/COUNT(U47:U51)),AVERAGE(U28:U51))</f>
        <v>0</v>
      </c>
      <c r="V62">
        <f>IFERROR(TRIMMEAN(V47:V51,2/COUNT(V47:V51)),AVERAGE(V28:V51))</f>
        <v>0</v>
      </c>
      <c r="W62">
        <f>IFERROR(TRIMMEAN(W47:W51,2/COUNT(W47:W51)),AVERAGE(W28:W51))</f>
        <v>0</v>
      </c>
      <c r="X62">
        <f>IFERROR(TRIMMEAN(X47:X51,2/COUNT(X47:X51)),AVERAGE(X28:X51))</f>
        <v>0</v>
      </c>
    </row>
    <row r="63" spans="1:25">
      <c r="A63" s="3" t="s">
        <v>109</v>
      </c>
      <c r="B63">
        <f>IFERROR(AVERAGE(B42:B51),AVERAGE(B28:B51))</f>
        <v>0</v>
      </c>
      <c r="C63">
        <f>IFERROR(AVERAGE(C42:C51),AVERAGE(C28:C51))</f>
        <v>0</v>
      </c>
      <c r="D63">
        <f>IFERROR(AVERAGE(D42:D51),AVERAGE(D28:D51))</f>
        <v>0</v>
      </c>
      <c r="E63">
        <f>IFERROR(AVERAGE(E42:E51),AVERAGE(E28:E51))</f>
        <v>0</v>
      </c>
      <c r="F63">
        <f>IFERROR(AVERAGE(F42:F51),AVERAGE(F28:F51))</f>
        <v>0</v>
      </c>
      <c r="G63">
        <f>IFERROR(AVERAGE(G42:G51),AVERAGE(G28:G51))</f>
        <v>0</v>
      </c>
      <c r="H63">
        <f>IFERROR(AVERAGE(H42:H51),AVERAGE(H28:H51))</f>
        <v>0</v>
      </c>
      <c r="I63">
        <f>IFERROR(AVERAGE(I42:I51),AVERAGE(I28:I51))</f>
        <v>0</v>
      </c>
      <c r="J63">
        <f>IFERROR(AVERAGE(J42:J51),AVERAGE(J28:J51))</f>
        <v>0</v>
      </c>
      <c r="K63">
        <f>IFERROR(AVERAGE(K42:K51),AVERAGE(K28:K51))</f>
        <v>0</v>
      </c>
      <c r="L63">
        <f>IFERROR(AVERAGE(L42:L51),AVERAGE(L28:L51))</f>
        <v>0</v>
      </c>
      <c r="M63">
        <f>IFERROR(AVERAGE(M42:M51),AVERAGE(M28:M51))</f>
        <v>0</v>
      </c>
      <c r="N63">
        <f>IFERROR(AVERAGE(N42:N51),AVERAGE(N28:N51))</f>
        <v>0</v>
      </c>
      <c r="O63">
        <f>IFERROR(AVERAGE(O42:O51),AVERAGE(O28:O51))</f>
        <v>0</v>
      </c>
      <c r="P63">
        <f>IFERROR(AVERAGE(P42:P51),AVERAGE(P28:P51))</f>
        <v>0</v>
      </c>
      <c r="Q63">
        <f>IFERROR(AVERAGE(Q42:Q51),AVERAGE(Q28:Q51))</f>
        <v>0</v>
      </c>
      <c r="R63">
        <f>IFERROR(AVERAGE(R42:R51),AVERAGE(R28:R51))</f>
        <v>0</v>
      </c>
      <c r="S63">
        <f>IFERROR(AVERAGE(S42:S51),AVERAGE(S28:S51))</f>
        <v>0</v>
      </c>
      <c r="T63">
        <f>IFERROR(AVERAGE(T42:T51),AVERAGE(T28:T51))</f>
        <v>0</v>
      </c>
      <c r="U63">
        <f>IFERROR(AVERAGE(U42:U51),AVERAGE(U28:U51))</f>
        <v>0</v>
      </c>
      <c r="V63">
        <f>IFERROR(AVERAGE(V42:V51),AVERAGE(V28:V51))</f>
        <v>0</v>
      </c>
      <c r="W63">
        <f>IFERROR(AVERAGE(W42:W51),AVERAGE(W28:W51))</f>
        <v>0</v>
      </c>
      <c r="X63">
        <f>IFERROR(AVERAGE(X42:X51),AVERAGE(X28:X51))</f>
        <v>0</v>
      </c>
    </row>
    <row r="64" spans="1:25">
      <c r="A64" s="3" t="s">
        <v>110</v>
      </c>
      <c r="B64">
        <f>IFERROR(SUMPRODUCT(B42:B51,B16:B25)/SUMPRODUCT((B42:B51&lt;&gt;"")*B16:B25),SUMPRODUCT(B28:B51,B2:B25)/SUMPRODUCT((B28:B51&lt;&gt;"")*B2:B25))</f>
        <v>0</v>
      </c>
      <c r="C64">
        <f>IFERROR(SUMPRODUCT(C42:C51,C16:C25)/SUMPRODUCT((C42:C51&lt;&gt;"")*C16:C25),SUMPRODUCT(C28:C51,C2:C25)/SUMPRODUCT((C28:C51&lt;&gt;"")*C2:C25))</f>
        <v>0</v>
      </c>
      <c r="D64">
        <f>IFERROR(SUMPRODUCT(D42:D51,D16:D25)/SUMPRODUCT((D42:D51&lt;&gt;"")*D16:D25),SUMPRODUCT(D28:D51,D2:D25)/SUMPRODUCT((D28:D51&lt;&gt;"")*D2:D25))</f>
        <v>0</v>
      </c>
      <c r="E64">
        <f>IFERROR(SUMPRODUCT(E42:E51,E16:E25)/SUMPRODUCT((E42:E51&lt;&gt;"")*E16:E25),SUMPRODUCT(E28:E51,E2:E25)/SUMPRODUCT((E28:E51&lt;&gt;"")*E2:E25))</f>
        <v>0</v>
      </c>
      <c r="F64">
        <f>IFERROR(SUMPRODUCT(F42:F51,F16:F25)/SUMPRODUCT((F42:F51&lt;&gt;"")*F16:F25),SUMPRODUCT(F28:F51,F2:F25)/SUMPRODUCT((F28:F51&lt;&gt;"")*F2:F25))</f>
        <v>0</v>
      </c>
      <c r="G64">
        <f>IFERROR(SUMPRODUCT(G42:G51,G16:G25)/SUMPRODUCT((G42:G51&lt;&gt;"")*G16:G25),SUMPRODUCT(G28:G51,G2:G25)/SUMPRODUCT((G28:G51&lt;&gt;"")*G2:G25))</f>
        <v>0</v>
      </c>
      <c r="H64">
        <f>IFERROR(SUMPRODUCT(H42:H51,H16:H25)/SUMPRODUCT((H42:H51&lt;&gt;"")*H16:H25),SUMPRODUCT(H28:H51,H2:H25)/SUMPRODUCT((H28:H51&lt;&gt;"")*H2:H25))</f>
        <v>0</v>
      </c>
      <c r="I64">
        <f>IFERROR(SUMPRODUCT(I42:I51,I16:I25)/SUMPRODUCT((I42:I51&lt;&gt;"")*I16:I25),SUMPRODUCT(I28:I51,I2:I25)/SUMPRODUCT((I28:I51&lt;&gt;"")*I2:I25))</f>
        <v>0</v>
      </c>
      <c r="J64">
        <f>IFERROR(SUMPRODUCT(J42:J51,J16:J25)/SUMPRODUCT((J42:J51&lt;&gt;"")*J16:J25),SUMPRODUCT(J28:J51,J2:J25)/SUMPRODUCT((J28:J51&lt;&gt;"")*J2:J25))</f>
        <v>0</v>
      </c>
      <c r="K64">
        <f>IFERROR(SUMPRODUCT(K42:K51,K16:K25)/SUMPRODUCT((K42:K51&lt;&gt;"")*K16:K25),SUMPRODUCT(K28:K51,K2:K25)/SUMPRODUCT((K28:K51&lt;&gt;"")*K2:K25))</f>
        <v>0</v>
      </c>
      <c r="L64">
        <f>IFERROR(SUMPRODUCT(L42:L51,L16:L25)/SUMPRODUCT((L42:L51&lt;&gt;"")*L16:L25),SUMPRODUCT(L28:L51,L2:L25)/SUMPRODUCT((L28:L51&lt;&gt;"")*L2:L25))</f>
        <v>0</v>
      </c>
      <c r="M64">
        <f>IFERROR(SUMPRODUCT(M42:M51,M16:M25)/SUMPRODUCT((M42:M51&lt;&gt;"")*M16:M25),SUMPRODUCT(M28:M51,M2:M25)/SUMPRODUCT((M28:M51&lt;&gt;"")*M2:M25))</f>
        <v>0</v>
      </c>
      <c r="N64">
        <f>IFERROR(SUMPRODUCT(N42:N51,N16:N25)/SUMPRODUCT((N42:N51&lt;&gt;"")*N16:N25),SUMPRODUCT(N28:N51,N2:N25)/SUMPRODUCT((N28:N51&lt;&gt;"")*N2:N25))</f>
        <v>0</v>
      </c>
      <c r="O64">
        <f>IFERROR(SUMPRODUCT(O42:O51,O16:O25)/SUMPRODUCT((O42:O51&lt;&gt;"")*O16:O25),SUMPRODUCT(O28:O51,O2:O25)/SUMPRODUCT((O28:O51&lt;&gt;"")*O2:O25))</f>
        <v>0</v>
      </c>
      <c r="P64">
        <f>IFERROR(SUMPRODUCT(P42:P51,P16:P25)/SUMPRODUCT((P42:P51&lt;&gt;"")*P16:P25),SUMPRODUCT(P28:P51,P2:P25)/SUMPRODUCT((P28:P51&lt;&gt;"")*P2:P25))</f>
        <v>0</v>
      </c>
      <c r="Q64">
        <f>IFERROR(SUMPRODUCT(Q42:Q51,Q16:Q25)/SUMPRODUCT((Q42:Q51&lt;&gt;"")*Q16:Q25),SUMPRODUCT(Q28:Q51,Q2:Q25)/SUMPRODUCT((Q28:Q51&lt;&gt;"")*Q2:Q25))</f>
        <v>0</v>
      </c>
      <c r="R64">
        <f>IFERROR(SUMPRODUCT(R42:R51,R16:R25)/SUMPRODUCT((R42:R51&lt;&gt;"")*R16:R25),SUMPRODUCT(R28:R51,R2:R25)/SUMPRODUCT((R28:R51&lt;&gt;"")*R2:R25))</f>
        <v>0</v>
      </c>
      <c r="S64">
        <f>IFERROR(SUMPRODUCT(S42:S51,S16:S25)/SUMPRODUCT((S42:S51&lt;&gt;"")*S16:S25),SUMPRODUCT(S28:S51,S2:S25)/SUMPRODUCT((S28:S51&lt;&gt;"")*S2:S25))</f>
        <v>0</v>
      </c>
      <c r="T64">
        <f>IFERROR(SUMPRODUCT(T42:T51,T16:T25)/SUMPRODUCT((T42:T51&lt;&gt;"")*T16:T25),SUMPRODUCT(T28:T51,T2:T25)/SUMPRODUCT((T28:T51&lt;&gt;"")*T2:T25))</f>
        <v>0</v>
      </c>
      <c r="U64">
        <f>IFERROR(SUMPRODUCT(U42:U51,U16:U25)/SUMPRODUCT((U42:U51&lt;&gt;"")*U16:U25),SUMPRODUCT(U28:U51,U2:U25)/SUMPRODUCT((U28:U51&lt;&gt;"")*U2:U25))</f>
        <v>0</v>
      </c>
      <c r="V64">
        <f>IFERROR(SUMPRODUCT(V42:V51,V16:V25)/SUMPRODUCT((V42:V51&lt;&gt;"")*V16:V25),SUMPRODUCT(V28:V51,V2:V25)/SUMPRODUCT((V28:V51&lt;&gt;"")*V2:V25))</f>
        <v>0</v>
      </c>
      <c r="W64">
        <f>IFERROR(SUMPRODUCT(W42:W51,W16:W25)/SUMPRODUCT((W42:W51&lt;&gt;"")*W16:W25),SUMPRODUCT(W28:W51,W2:W25)/SUMPRODUCT((W28:W51&lt;&gt;"")*W2:W25))</f>
        <v>0</v>
      </c>
      <c r="X64">
        <f>IFERROR(SUMPRODUCT(X42:X51,X16:X25)/SUMPRODUCT((X42:X51&lt;&gt;"")*X16:X25),SUMPRODUCT(X28:X51,X2:X25)/SUMPRODUCT((X28:X51&lt;&gt;"")*X2:X25))</f>
        <v>0</v>
      </c>
    </row>
    <row r="65" spans="1:25">
      <c r="A65" s="3" t="s">
        <v>111</v>
      </c>
      <c r="B65">
        <f>IFERROR(TRIMMEAN(B42:B51,2/COUNT(B42:B51)),AVERAGE(B28:B51))</f>
        <v>0</v>
      </c>
      <c r="C65">
        <f>IFERROR(TRIMMEAN(C42:C51,2/COUNT(C42:C51)),AVERAGE(C28:C51))</f>
        <v>0</v>
      </c>
      <c r="D65">
        <f>IFERROR(TRIMMEAN(D42:D51,2/COUNT(D42:D51)),AVERAGE(D28:D51))</f>
        <v>0</v>
      </c>
      <c r="E65">
        <f>IFERROR(TRIMMEAN(E42:E51,2/COUNT(E42:E51)),AVERAGE(E28:E51))</f>
        <v>0</v>
      </c>
      <c r="F65">
        <f>IFERROR(TRIMMEAN(F42:F51,2/COUNT(F42:F51)),AVERAGE(F28:F51))</f>
        <v>0</v>
      </c>
      <c r="G65">
        <f>IFERROR(TRIMMEAN(G42:G51,2/COUNT(G42:G51)),AVERAGE(G28:G51))</f>
        <v>0</v>
      </c>
      <c r="H65">
        <f>IFERROR(TRIMMEAN(H42:H51,2/COUNT(H42:H51)),AVERAGE(H28:H51))</f>
        <v>0</v>
      </c>
      <c r="I65">
        <f>IFERROR(TRIMMEAN(I42:I51,2/COUNT(I42:I51)),AVERAGE(I28:I51))</f>
        <v>0</v>
      </c>
      <c r="J65">
        <f>IFERROR(TRIMMEAN(J42:J51,2/COUNT(J42:J51)),AVERAGE(J28:J51))</f>
        <v>0</v>
      </c>
      <c r="K65">
        <f>IFERROR(TRIMMEAN(K42:K51,2/COUNT(K42:K51)),AVERAGE(K28:K51))</f>
        <v>0</v>
      </c>
      <c r="L65">
        <f>IFERROR(TRIMMEAN(L42:L51,2/COUNT(L42:L51)),AVERAGE(L28:L51))</f>
        <v>0</v>
      </c>
      <c r="M65">
        <f>IFERROR(TRIMMEAN(M42:M51,2/COUNT(M42:M51)),AVERAGE(M28:M51))</f>
        <v>0</v>
      </c>
      <c r="N65">
        <f>IFERROR(TRIMMEAN(N42:N51,2/COUNT(N42:N51)),AVERAGE(N28:N51))</f>
        <v>0</v>
      </c>
      <c r="O65">
        <f>IFERROR(TRIMMEAN(O42:O51,2/COUNT(O42:O51)),AVERAGE(O28:O51))</f>
        <v>0</v>
      </c>
      <c r="P65">
        <f>IFERROR(TRIMMEAN(P42:P51,2/COUNT(P42:P51)),AVERAGE(P28:P51))</f>
        <v>0</v>
      </c>
      <c r="Q65">
        <f>IFERROR(TRIMMEAN(Q42:Q51,2/COUNT(Q42:Q51)),AVERAGE(Q28:Q51))</f>
        <v>0</v>
      </c>
      <c r="R65">
        <f>IFERROR(TRIMMEAN(R42:R51,2/COUNT(R42:R51)),AVERAGE(R28:R51))</f>
        <v>0</v>
      </c>
      <c r="S65">
        <f>IFERROR(TRIMMEAN(S42:S51,2/COUNT(S42:S51)),AVERAGE(S28:S51))</f>
        <v>0</v>
      </c>
      <c r="T65">
        <f>IFERROR(TRIMMEAN(T42:T51,2/COUNT(T42:T51)),AVERAGE(T28:T51))</f>
        <v>0</v>
      </c>
      <c r="U65">
        <f>IFERROR(TRIMMEAN(U42:U51,2/COUNT(U42:U51)),AVERAGE(U28:U51))</f>
        <v>0</v>
      </c>
      <c r="V65">
        <f>IFERROR(TRIMMEAN(V42:V51,2/COUNT(V42:V51)),AVERAGE(V28:V51))</f>
        <v>0</v>
      </c>
      <c r="W65">
        <f>IFERROR(TRIMMEAN(W42:W51,2/COUNT(W42:W51)),AVERAGE(W28:W51))</f>
        <v>0</v>
      </c>
      <c r="X65">
        <f>IFERROR(TRIMMEAN(X42:X51,2/COUNT(X42:X51)),AVERAGE(X28:X51))</f>
        <v>0</v>
      </c>
    </row>
    <row r="66" spans="1:25">
      <c r="A66" s="3"/>
    </row>
    <row r="67" spans="1:25">
      <c r="A67" s="3"/>
      <c r="B67" t="s">
        <v>75</v>
      </c>
      <c r="C67" t="s">
        <v>76</v>
      </c>
      <c r="D67" t="s">
        <v>77</v>
      </c>
      <c r="E67" t="s">
        <v>78</v>
      </c>
      <c r="F67" t="s">
        <v>79</v>
      </c>
      <c r="G67" t="s">
        <v>80</v>
      </c>
      <c r="H67" t="s">
        <v>81</v>
      </c>
      <c r="I67" t="s">
        <v>82</v>
      </c>
      <c r="J67" t="s">
        <v>83</v>
      </c>
      <c r="K67" t="s">
        <v>84</v>
      </c>
      <c r="L67" t="s">
        <v>85</v>
      </c>
      <c r="M67" t="s">
        <v>86</v>
      </c>
      <c r="N67" t="s">
        <v>87</v>
      </c>
      <c r="O67" t="s">
        <v>88</v>
      </c>
      <c r="P67" t="s">
        <v>89</v>
      </c>
      <c r="Q67" t="s">
        <v>90</v>
      </c>
      <c r="R67" t="s">
        <v>91</v>
      </c>
      <c r="S67" t="s">
        <v>92</v>
      </c>
      <c r="T67" t="s">
        <v>93</v>
      </c>
      <c r="U67" t="s">
        <v>94</v>
      </c>
      <c r="V67" t="s">
        <v>95</v>
      </c>
      <c r="W67" t="s">
        <v>96</v>
      </c>
      <c r="X67" t="s">
        <v>97</v>
      </c>
    </row>
    <row r="68" spans="1:25">
      <c r="A68" s="3" t="s">
        <v>112</v>
      </c>
      <c r="B68" s="4">
        <f>IF('C:\Users\super\Documents\actuarial\cas-rfp\spec-only\team-analyst\sample-data\sample-run\selections\[Chain Ladder Selections - LDFs.xlsx]Paid Loss'!B74&lt;&gt;"",'C:\Users\super\Documents\actuarial\cas-rfp\spec-only\team-analyst\sample-data\sample-run\selections\[Chain Ladder Selections - LDFs.xlsx]Paid Loss'!B74,'C:\Users\super\Documents\actuarial\cas-rfp\spec-only\team-analyst\sample-data\sample-run\selections\[Chain Ladder Selections - LDFs.xlsx]Paid Loss'!B68)</f>
        <v/>
      </c>
      <c r="C68" s="4">
        <f>IF('C:\Users\super\Documents\actuarial\cas-rfp\spec-only\team-analyst\sample-data\sample-run\selections\[Chain Ladder Selections - LDFs.xlsx]Paid Loss'!C74&lt;&gt;"",'C:\Users\super\Documents\actuarial\cas-rfp\spec-only\team-analyst\sample-data\sample-run\selections\[Chain Ladder Selections - LDFs.xlsx]Paid Loss'!C74,'C:\Users\super\Documents\actuarial\cas-rfp\spec-only\team-analyst\sample-data\sample-run\selections\[Chain Ladder Selections - LDFs.xlsx]Paid Loss'!C68)</f>
        <v/>
      </c>
      <c r="D68" s="4">
        <f>IF('C:\Users\super\Documents\actuarial\cas-rfp\spec-only\team-analyst\sample-data\sample-run\selections\[Chain Ladder Selections - LDFs.xlsx]Paid Loss'!D74&lt;&gt;"",'C:\Users\super\Documents\actuarial\cas-rfp\spec-only\team-analyst\sample-data\sample-run\selections\[Chain Ladder Selections - LDFs.xlsx]Paid Loss'!D74,'C:\Users\super\Documents\actuarial\cas-rfp\spec-only\team-analyst\sample-data\sample-run\selections\[Chain Ladder Selections - LDFs.xlsx]Paid Loss'!D68)</f>
        <v/>
      </c>
      <c r="E68" s="4">
        <f>IF('C:\Users\super\Documents\actuarial\cas-rfp\spec-only\team-analyst\sample-data\sample-run\selections\[Chain Ladder Selections - LDFs.xlsx]Paid Loss'!E74&lt;&gt;"",'C:\Users\super\Documents\actuarial\cas-rfp\spec-only\team-analyst\sample-data\sample-run\selections\[Chain Ladder Selections - LDFs.xlsx]Paid Loss'!E74,'C:\Users\super\Documents\actuarial\cas-rfp\spec-only\team-analyst\sample-data\sample-run\selections\[Chain Ladder Selections - LDFs.xlsx]Paid Loss'!E68)</f>
        <v/>
      </c>
      <c r="F68" s="4">
        <f>IF('C:\Users\super\Documents\actuarial\cas-rfp\spec-only\team-analyst\sample-data\sample-run\selections\[Chain Ladder Selections - LDFs.xlsx]Paid Loss'!F74&lt;&gt;"",'C:\Users\super\Documents\actuarial\cas-rfp\spec-only\team-analyst\sample-data\sample-run\selections\[Chain Ladder Selections - LDFs.xlsx]Paid Loss'!F74,'C:\Users\super\Documents\actuarial\cas-rfp\spec-only\team-analyst\sample-data\sample-run\selections\[Chain Ladder Selections - LDFs.xlsx]Paid Loss'!F68)</f>
        <v/>
      </c>
      <c r="G68" s="4">
        <f>IF('C:\Users\super\Documents\actuarial\cas-rfp\spec-only\team-analyst\sample-data\sample-run\selections\[Chain Ladder Selections - LDFs.xlsx]Paid Loss'!G74&lt;&gt;"",'C:\Users\super\Documents\actuarial\cas-rfp\spec-only\team-analyst\sample-data\sample-run\selections\[Chain Ladder Selections - LDFs.xlsx]Paid Loss'!G74,'C:\Users\super\Documents\actuarial\cas-rfp\spec-only\team-analyst\sample-data\sample-run\selections\[Chain Ladder Selections - LDFs.xlsx]Paid Loss'!G68)</f>
        <v/>
      </c>
      <c r="H68" s="4">
        <f>IF('C:\Users\super\Documents\actuarial\cas-rfp\spec-only\team-analyst\sample-data\sample-run\selections\[Chain Ladder Selections - LDFs.xlsx]Paid Loss'!H74&lt;&gt;"",'C:\Users\super\Documents\actuarial\cas-rfp\spec-only\team-analyst\sample-data\sample-run\selections\[Chain Ladder Selections - LDFs.xlsx]Paid Loss'!H74,'C:\Users\super\Documents\actuarial\cas-rfp\spec-only\team-analyst\sample-data\sample-run\selections\[Chain Ladder Selections - LDFs.xlsx]Paid Loss'!H68)</f>
        <v/>
      </c>
      <c r="I68" s="4">
        <f>IF('C:\Users\super\Documents\actuarial\cas-rfp\spec-only\team-analyst\sample-data\sample-run\selections\[Chain Ladder Selections - LDFs.xlsx]Paid Loss'!I74&lt;&gt;"",'C:\Users\super\Documents\actuarial\cas-rfp\spec-only\team-analyst\sample-data\sample-run\selections\[Chain Ladder Selections - LDFs.xlsx]Paid Loss'!I74,'C:\Users\super\Documents\actuarial\cas-rfp\spec-only\team-analyst\sample-data\sample-run\selections\[Chain Ladder Selections - LDFs.xlsx]Paid Loss'!I68)</f>
        <v/>
      </c>
      <c r="J68" s="4">
        <f>IF('C:\Users\super\Documents\actuarial\cas-rfp\spec-only\team-analyst\sample-data\sample-run\selections\[Chain Ladder Selections - LDFs.xlsx]Paid Loss'!J74&lt;&gt;"",'C:\Users\super\Documents\actuarial\cas-rfp\spec-only\team-analyst\sample-data\sample-run\selections\[Chain Ladder Selections - LDFs.xlsx]Paid Loss'!J74,'C:\Users\super\Documents\actuarial\cas-rfp\spec-only\team-analyst\sample-data\sample-run\selections\[Chain Ladder Selections - LDFs.xlsx]Paid Loss'!J68)</f>
        <v/>
      </c>
      <c r="K68" s="4">
        <f>IF('C:\Users\super\Documents\actuarial\cas-rfp\spec-only\team-analyst\sample-data\sample-run\selections\[Chain Ladder Selections - LDFs.xlsx]Paid Loss'!K74&lt;&gt;"",'C:\Users\super\Documents\actuarial\cas-rfp\spec-only\team-analyst\sample-data\sample-run\selections\[Chain Ladder Selections - LDFs.xlsx]Paid Loss'!K74,'C:\Users\super\Documents\actuarial\cas-rfp\spec-only\team-analyst\sample-data\sample-run\selections\[Chain Ladder Selections - LDFs.xlsx]Paid Loss'!K68)</f>
        <v/>
      </c>
      <c r="L68" s="4">
        <f>IF('C:\Users\super\Documents\actuarial\cas-rfp\spec-only\team-analyst\sample-data\sample-run\selections\[Chain Ladder Selections - LDFs.xlsx]Paid Loss'!L74&lt;&gt;"",'C:\Users\super\Documents\actuarial\cas-rfp\spec-only\team-analyst\sample-data\sample-run\selections\[Chain Ladder Selections - LDFs.xlsx]Paid Loss'!L74,'C:\Users\super\Documents\actuarial\cas-rfp\spec-only\team-analyst\sample-data\sample-run\selections\[Chain Ladder Selections - LDFs.xlsx]Paid Loss'!L68)</f>
        <v/>
      </c>
      <c r="M68" s="4">
        <f>IF('C:\Users\super\Documents\actuarial\cas-rfp\spec-only\team-analyst\sample-data\sample-run\selections\[Chain Ladder Selections - LDFs.xlsx]Paid Loss'!M74&lt;&gt;"",'C:\Users\super\Documents\actuarial\cas-rfp\spec-only\team-analyst\sample-data\sample-run\selections\[Chain Ladder Selections - LDFs.xlsx]Paid Loss'!M74,'C:\Users\super\Documents\actuarial\cas-rfp\spec-only\team-analyst\sample-data\sample-run\selections\[Chain Ladder Selections - LDFs.xlsx]Paid Loss'!M68)</f>
        <v/>
      </c>
      <c r="N68" s="4">
        <f>IF('C:\Users\super\Documents\actuarial\cas-rfp\spec-only\team-analyst\sample-data\sample-run\selections\[Chain Ladder Selections - LDFs.xlsx]Paid Loss'!N74&lt;&gt;"",'C:\Users\super\Documents\actuarial\cas-rfp\spec-only\team-analyst\sample-data\sample-run\selections\[Chain Ladder Selections - LDFs.xlsx]Paid Loss'!N74,'C:\Users\super\Documents\actuarial\cas-rfp\spec-only\team-analyst\sample-data\sample-run\selections\[Chain Ladder Selections - LDFs.xlsx]Paid Loss'!N68)</f>
        <v/>
      </c>
      <c r="O68" s="4">
        <f>IF('C:\Users\super\Documents\actuarial\cas-rfp\spec-only\team-analyst\sample-data\sample-run\selections\[Chain Ladder Selections - LDFs.xlsx]Paid Loss'!O74&lt;&gt;"",'C:\Users\super\Documents\actuarial\cas-rfp\spec-only\team-analyst\sample-data\sample-run\selections\[Chain Ladder Selections - LDFs.xlsx]Paid Loss'!O74,'C:\Users\super\Documents\actuarial\cas-rfp\spec-only\team-analyst\sample-data\sample-run\selections\[Chain Ladder Selections - LDFs.xlsx]Paid Loss'!O68)</f>
        <v/>
      </c>
      <c r="P68" s="4">
        <f>IF('C:\Users\super\Documents\actuarial\cas-rfp\spec-only\team-analyst\sample-data\sample-run\selections\[Chain Ladder Selections - LDFs.xlsx]Paid Loss'!P74&lt;&gt;"",'C:\Users\super\Documents\actuarial\cas-rfp\spec-only\team-analyst\sample-data\sample-run\selections\[Chain Ladder Selections - LDFs.xlsx]Paid Loss'!P74,'C:\Users\super\Documents\actuarial\cas-rfp\spec-only\team-analyst\sample-data\sample-run\selections\[Chain Ladder Selections - LDFs.xlsx]Paid Loss'!P68)</f>
        <v/>
      </c>
      <c r="Q68" s="4">
        <f>IF('C:\Users\super\Documents\actuarial\cas-rfp\spec-only\team-analyst\sample-data\sample-run\selections\[Chain Ladder Selections - LDFs.xlsx]Paid Loss'!Q74&lt;&gt;"",'C:\Users\super\Documents\actuarial\cas-rfp\spec-only\team-analyst\sample-data\sample-run\selections\[Chain Ladder Selections - LDFs.xlsx]Paid Loss'!Q74,'C:\Users\super\Documents\actuarial\cas-rfp\spec-only\team-analyst\sample-data\sample-run\selections\[Chain Ladder Selections - LDFs.xlsx]Paid Loss'!Q68)</f>
        <v/>
      </c>
      <c r="R68" s="4">
        <f>IF('C:\Users\super\Documents\actuarial\cas-rfp\spec-only\team-analyst\sample-data\sample-run\selections\[Chain Ladder Selections - LDFs.xlsx]Paid Loss'!R74&lt;&gt;"",'C:\Users\super\Documents\actuarial\cas-rfp\spec-only\team-analyst\sample-data\sample-run\selections\[Chain Ladder Selections - LDFs.xlsx]Paid Loss'!R74,'C:\Users\super\Documents\actuarial\cas-rfp\spec-only\team-analyst\sample-data\sample-run\selections\[Chain Ladder Selections - LDFs.xlsx]Paid Loss'!R68)</f>
        <v/>
      </c>
      <c r="S68" s="4">
        <f>IF('C:\Users\super\Documents\actuarial\cas-rfp\spec-only\team-analyst\sample-data\sample-run\selections\[Chain Ladder Selections - LDFs.xlsx]Paid Loss'!S74&lt;&gt;"",'C:\Users\super\Documents\actuarial\cas-rfp\spec-only\team-analyst\sample-data\sample-run\selections\[Chain Ladder Selections - LDFs.xlsx]Paid Loss'!S74,'C:\Users\super\Documents\actuarial\cas-rfp\spec-only\team-analyst\sample-data\sample-run\selections\[Chain Ladder Selections - LDFs.xlsx]Paid Loss'!S68)</f>
        <v/>
      </c>
      <c r="T68" s="4">
        <f>IF('C:\Users\super\Documents\actuarial\cas-rfp\spec-only\team-analyst\sample-data\sample-run\selections\[Chain Ladder Selections - LDFs.xlsx]Paid Loss'!T74&lt;&gt;"",'C:\Users\super\Documents\actuarial\cas-rfp\spec-only\team-analyst\sample-data\sample-run\selections\[Chain Ladder Selections - LDFs.xlsx]Paid Loss'!T74,'C:\Users\super\Documents\actuarial\cas-rfp\spec-only\team-analyst\sample-data\sample-run\selections\[Chain Ladder Selections - LDFs.xlsx]Paid Loss'!T68)</f>
        <v/>
      </c>
      <c r="U68" s="4">
        <f>IF('C:\Users\super\Documents\actuarial\cas-rfp\spec-only\team-analyst\sample-data\sample-run\selections\[Chain Ladder Selections - LDFs.xlsx]Paid Loss'!U74&lt;&gt;"",'C:\Users\super\Documents\actuarial\cas-rfp\spec-only\team-analyst\sample-data\sample-run\selections\[Chain Ladder Selections - LDFs.xlsx]Paid Loss'!U74,'C:\Users\super\Documents\actuarial\cas-rfp\spec-only\team-analyst\sample-data\sample-run\selections\[Chain Ladder Selections - LDFs.xlsx]Paid Loss'!U68)</f>
        <v/>
      </c>
      <c r="V68" s="4">
        <f>IF('C:\Users\super\Documents\actuarial\cas-rfp\spec-only\team-analyst\sample-data\sample-run\selections\[Chain Ladder Selections - LDFs.xlsx]Paid Loss'!V74&lt;&gt;"",'C:\Users\super\Documents\actuarial\cas-rfp\spec-only\team-analyst\sample-data\sample-run\selections\[Chain Ladder Selections - LDFs.xlsx]Paid Loss'!V74,'C:\Users\super\Documents\actuarial\cas-rfp\spec-only\team-analyst\sample-data\sample-run\selections\[Chain Ladder Selections - LDFs.xlsx]Paid Loss'!V68)</f>
        <v/>
      </c>
      <c r="W68" s="4">
        <f>IF('C:\Users\super\Documents\actuarial\cas-rfp\spec-only\team-analyst\sample-data\sample-run\selections\[Chain Ladder Selections - LDFs.xlsx]Paid Loss'!W74&lt;&gt;"",'C:\Users\super\Documents\actuarial\cas-rfp\spec-only\team-analyst\sample-data\sample-run\selections\[Chain Ladder Selections - LDFs.xlsx]Paid Loss'!W74,'C:\Users\super\Documents\actuarial\cas-rfp\spec-only\team-analyst\sample-data\sample-run\selections\[Chain Ladder Selections - LDFs.xlsx]Paid Loss'!W68)</f>
        <v/>
      </c>
      <c r="X68" s="4">
        <f>IF('C:\Users\super\Documents\actuarial\cas-rfp\spec-only\team-analyst\sample-data\sample-run\selections\[Chain Ladder Selections - LDFs.xlsx]Paid Loss'!X74&lt;&gt;"",'C:\Users\super\Documents\actuarial\cas-rfp\spec-only\team-analyst\sample-data\sample-run\selections\[Chain Ladder Selections - LDFs.xlsx]Paid Loss'!X74,'C:\Users\super\Documents\actuarial\cas-rfp\spec-only\team-analyst\sample-data\sample-run\selections\[Chain Ladder Selections - LDFs.xlsx]Paid Loss'!X68)</f>
        <v/>
      </c>
      <c r="Y68" s="4">
        <f>IF('C:\Users\super\Documents\actuarial\cas-rfp\spec-only\team-analyst\sample-data\sample-run\selections\[Chain Ladder Selections - LDFs.xlsx]Paid Loss'!Y74&lt;&gt;"",'C:\Users\super\Documents\actuarial\cas-rfp\spec-only\team-analyst\sample-data\sample-run\selections\[Chain Ladder Selections - LDFs.xlsx]Paid Loss'!Y74,'C:\Users\super\Documents\actuarial\cas-rfp\spec-only\team-analyst\sample-data\sample-run\selections\[Chain Ladder Selections - LDFs.xlsx]Paid Loss'!Y68)</f>
        <v/>
      </c>
    </row>
    <row r="69" spans="1:25">
      <c r="A69" s="3" t="s">
        <v>12</v>
      </c>
      <c r="B69" s="3">
        <f>IF('C:\Users\super\Documents\actuarial\cas-rfp\spec-only\team-analyst\sample-data\sample-run\selections\[Chain Ladder Selections - LDFs.xlsx]Paid Loss'!B74&lt;&gt;"",'C:\Users\super\Documents\actuarial\cas-rfp\spec-only\team-analyst\sample-data\sample-run\selections\[Chain Ladder Selections - LDFs.xlsx]Paid Loss'!B75,'C:\Users\super\Documents\actuarial\cas-rfp\spec-only\team-analyst\sample-data\sample-run\selections\[Chain Ladder Selections - LDFs.xlsx]Paid Loss'!B69)</f>
        <v/>
      </c>
      <c r="C69" s="3">
        <f>IF('C:\Users\super\Documents\actuarial\cas-rfp\spec-only\team-analyst\sample-data\sample-run\selections\[Chain Ladder Selections - LDFs.xlsx]Paid Loss'!C74&lt;&gt;"",'C:\Users\super\Documents\actuarial\cas-rfp\spec-only\team-analyst\sample-data\sample-run\selections\[Chain Ladder Selections - LDFs.xlsx]Paid Loss'!C75,'C:\Users\super\Documents\actuarial\cas-rfp\spec-only\team-analyst\sample-data\sample-run\selections\[Chain Ladder Selections - LDFs.xlsx]Paid Loss'!C69)</f>
        <v/>
      </c>
      <c r="D69" s="3">
        <f>IF('C:\Users\super\Documents\actuarial\cas-rfp\spec-only\team-analyst\sample-data\sample-run\selections\[Chain Ladder Selections - LDFs.xlsx]Paid Loss'!D74&lt;&gt;"",'C:\Users\super\Documents\actuarial\cas-rfp\spec-only\team-analyst\sample-data\sample-run\selections\[Chain Ladder Selections - LDFs.xlsx]Paid Loss'!D75,'C:\Users\super\Documents\actuarial\cas-rfp\spec-only\team-analyst\sample-data\sample-run\selections\[Chain Ladder Selections - LDFs.xlsx]Paid Loss'!D69)</f>
        <v/>
      </c>
      <c r="E69" s="3">
        <f>IF('C:\Users\super\Documents\actuarial\cas-rfp\spec-only\team-analyst\sample-data\sample-run\selections\[Chain Ladder Selections - LDFs.xlsx]Paid Loss'!E74&lt;&gt;"",'C:\Users\super\Documents\actuarial\cas-rfp\spec-only\team-analyst\sample-data\sample-run\selections\[Chain Ladder Selections - LDFs.xlsx]Paid Loss'!E75,'C:\Users\super\Documents\actuarial\cas-rfp\spec-only\team-analyst\sample-data\sample-run\selections\[Chain Ladder Selections - LDFs.xlsx]Paid Loss'!E69)</f>
        <v/>
      </c>
      <c r="F69" s="3">
        <f>IF('C:\Users\super\Documents\actuarial\cas-rfp\spec-only\team-analyst\sample-data\sample-run\selections\[Chain Ladder Selections - LDFs.xlsx]Paid Loss'!F74&lt;&gt;"",'C:\Users\super\Documents\actuarial\cas-rfp\spec-only\team-analyst\sample-data\sample-run\selections\[Chain Ladder Selections - LDFs.xlsx]Paid Loss'!F75,'C:\Users\super\Documents\actuarial\cas-rfp\spec-only\team-analyst\sample-data\sample-run\selections\[Chain Ladder Selections - LDFs.xlsx]Paid Loss'!F69)</f>
        <v/>
      </c>
      <c r="G69" s="3">
        <f>IF('C:\Users\super\Documents\actuarial\cas-rfp\spec-only\team-analyst\sample-data\sample-run\selections\[Chain Ladder Selections - LDFs.xlsx]Paid Loss'!G74&lt;&gt;"",'C:\Users\super\Documents\actuarial\cas-rfp\spec-only\team-analyst\sample-data\sample-run\selections\[Chain Ladder Selections - LDFs.xlsx]Paid Loss'!G75,'C:\Users\super\Documents\actuarial\cas-rfp\spec-only\team-analyst\sample-data\sample-run\selections\[Chain Ladder Selections - LDFs.xlsx]Paid Loss'!G69)</f>
        <v/>
      </c>
      <c r="H69" s="3">
        <f>IF('C:\Users\super\Documents\actuarial\cas-rfp\spec-only\team-analyst\sample-data\sample-run\selections\[Chain Ladder Selections - LDFs.xlsx]Paid Loss'!H74&lt;&gt;"",'C:\Users\super\Documents\actuarial\cas-rfp\spec-only\team-analyst\sample-data\sample-run\selections\[Chain Ladder Selections - LDFs.xlsx]Paid Loss'!H75,'C:\Users\super\Documents\actuarial\cas-rfp\spec-only\team-analyst\sample-data\sample-run\selections\[Chain Ladder Selections - LDFs.xlsx]Paid Loss'!H69)</f>
        <v/>
      </c>
      <c r="I69" s="3">
        <f>IF('C:\Users\super\Documents\actuarial\cas-rfp\spec-only\team-analyst\sample-data\sample-run\selections\[Chain Ladder Selections - LDFs.xlsx]Paid Loss'!I74&lt;&gt;"",'C:\Users\super\Documents\actuarial\cas-rfp\spec-only\team-analyst\sample-data\sample-run\selections\[Chain Ladder Selections - LDFs.xlsx]Paid Loss'!I75,'C:\Users\super\Documents\actuarial\cas-rfp\spec-only\team-analyst\sample-data\sample-run\selections\[Chain Ladder Selections - LDFs.xlsx]Paid Loss'!I69)</f>
        <v/>
      </c>
      <c r="J69" s="3">
        <f>IF('C:\Users\super\Documents\actuarial\cas-rfp\spec-only\team-analyst\sample-data\sample-run\selections\[Chain Ladder Selections - LDFs.xlsx]Paid Loss'!J74&lt;&gt;"",'C:\Users\super\Documents\actuarial\cas-rfp\spec-only\team-analyst\sample-data\sample-run\selections\[Chain Ladder Selections - LDFs.xlsx]Paid Loss'!J75,'C:\Users\super\Documents\actuarial\cas-rfp\spec-only\team-analyst\sample-data\sample-run\selections\[Chain Ladder Selections - LDFs.xlsx]Paid Loss'!J69)</f>
        <v/>
      </c>
      <c r="K69" s="3">
        <f>IF('C:\Users\super\Documents\actuarial\cas-rfp\spec-only\team-analyst\sample-data\sample-run\selections\[Chain Ladder Selections - LDFs.xlsx]Paid Loss'!K74&lt;&gt;"",'C:\Users\super\Documents\actuarial\cas-rfp\spec-only\team-analyst\sample-data\sample-run\selections\[Chain Ladder Selections - LDFs.xlsx]Paid Loss'!K75,'C:\Users\super\Documents\actuarial\cas-rfp\spec-only\team-analyst\sample-data\sample-run\selections\[Chain Ladder Selections - LDFs.xlsx]Paid Loss'!K69)</f>
        <v/>
      </c>
      <c r="L69" s="3">
        <f>IF('C:\Users\super\Documents\actuarial\cas-rfp\spec-only\team-analyst\sample-data\sample-run\selections\[Chain Ladder Selections - LDFs.xlsx]Paid Loss'!L74&lt;&gt;"",'C:\Users\super\Documents\actuarial\cas-rfp\spec-only\team-analyst\sample-data\sample-run\selections\[Chain Ladder Selections - LDFs.xlsx]Paid Loss'!L75,'C:\Users\super\Documents\actuarial\cas-rfp\spec-only\team-analyst\sample-data\sample-run\selections\[Chain Ladder Selections - LDFs.xlsx]Paid Loss'!L69)</f>
        <v/>
      </c>
      <c r="M69" s="3">
        <f>IF('C:\Users\super\Documents\actuarial\cas-rfp\spec-only\team-analyst\sample-data\sample-run\selections\[Chain Ladder Selections - LDFs.xlsx]Paid Loss'!M74&lt;&gt;"",'C:\Users\super\Documents\actuarial\cas-rfp\spec-only\team-analyst\sample-data\sample-run\selections\[Chain Ladder Selections - LDFs.xlsx]Paid Loss'!M75,'C:\Users\super\Documents\actuarial\cas-rfp\spec-only\team-analyst\sample-data\sample-run\selections\[Chain Ladder Selections - LDFs.xlsx]Paid Loss'!M69)</f>
        <v/>
      </c>
      <c r="N69" s="3">
        <f>IF('C:\Users\super\Documents\actuarial\cas-rfp\spec-only\team-analyst\sample-data\sample-run\selections\[Chain Ladder Selections - LDFs.xlsx]Paid Loss'!N74&lt;&gt;"",'C:\Users\super\Documents\actuarial\cas-rfp\spec-only\team-analyst\sample-data\sample-run\selections\[Chain Ladder Selections - LDFs.xlsx]Paid Loss'!N75,'C:\Users\super\Documents\actuarial\cas-rfp\spec-only\team-analyst\sample-data\sample-run\selections\[Chain Ladder Selections - LDFs.xlsx]Paid Loss'!N69)</f>
        <v/>
      </c>
      <c r="O69" s="3">
        <f>IF('C:\Users\super\Documents\actuarial\cas-rfp\spec-only\team-analyst\sample-data\sample-run\selections\[Chain Ladder Selections - LDFs.xlsx]Paid Loss'!O74&lt;&gt;"",'C:\Users\super\Documents\actuarial\cas-rfp\spec-only\team-analyst\sample-data\sample-run\selections\[Chain Ladder Selections - LDFs.xlsx]Paid Loss'!O75,'C:\Users\super\Documents\actuarial\cas-rfp\spec-only\team-analyst\sample-data\sample-run\selections\[Chain Ladder Selections - LDFs.xlsx]Paid Loss'!O69)</f>
        <v/>
      </c>
      <c r="P69" s="3">
        <f>IF('C:\Users\super\Documents\actuarial\cas-rfp\spec-only\team-analyst\sample-data\sample-run\selections\[Chain Ladder Selections - LDFs.xlsx]Paid Loss'!P74&lt;&gt;"",'C:\Users\super\Documents\actuarial\cas-rfp\spec-only\team-analyst\sample-data\sample-run\selections\[Chain Ladder Selections - LDFs.xlsx]Paid Loss'!P75,'C:\Users\super\Documents\actuarial\cas-rfp\spec-only\team-analyst\sample-data\sample-run\selections\[Chain Ladder Selections - LDFs.xlsx]Paid Loss'!P69)</f>
        <v/>
      </c>
      <c r="Q69" s="3">
        <f>IF('C:\Users\super\Documents\actuarial\cas-rfp\spec-only\team-analyst\sample-data\sample-run\selections\[Chain Ladder Selections - LDFs.xlsx]Paid Loss'!Q74&lt;&gt;"",'C:\Users\super\Documents\actuarial\cas-rfp\spec-only\team-analyst\sample-data\sample-run\selections\[Chain Ladder Selections - LDFs.xlsx]Paid Loss'!Q75,'C:\Users\super\Documents\actuarial\cas-rfp\spec-only\team-analyst\sample-data\sample-run\selections\[Chain Ladder Selections - LDFs.xlsx]Paid Loss'!Q69)</f>
        <v/>
      </c>
      <c r="R69" s="3">
        <f>IF('C:\Users\super\Documents\actuarial\cas-rfp\spec-only\team-analyst\sample-data\sample-run\selections\[Chain Ladder Selections - LDFs.xlsx]Paid Loss'!R74&lt;&gt;"",'C:\Users\super\Documents\actuarial\cas-rfp\spec-only\team-analyst\sample-data\sample-run\selections\[Chain Ladder Selections - LDFs.xlsx]Paid Loss'!R75,'C:\Users\super\Documents\actuarial\cas-rfp\spec-only\team-analyst\sample-data\sample-run\selections\[Chain Ladder Selections - LDFs.xlsx]Paid Loss'!R69)</f>
        <v/>
      </c>
      <c r="S69" s="3">
        <f>IF('C:\Users\super\Documents\actuarial\cas-rfp\spec-only\team-analyst\sample-data\sample-run\selections\[Chain Ladder Selections - LDFs.xlsx]Paid Loss'!S74&lt;&gt;"",'C:\Users\super\Documents\actuarial\cas-rfp\spec-only\team-analyst\sample-data\sample-run\selections\[Chain Ladder Selections - LDFs.xlsx]Paid Loss'!S75,'C:\Users\super\Documents\actuarial\cas-rfp\spec-only\team-analyst\sample-data\sample-run\selections\[Chain Ladder Selections - LDFs.xlsx]Paid Loss'!S69)</f>
        <v/>
      </c>
      <c r="T69" s="3">
        <f>IF('C:\Users\super\Documents\actuarial\cas-rfp\spec-only\team-analyst\sample-data\sample-run\selections\[Chain Ladder Selections - LDFs.xlsx]Paid Loss'!T74&lt;&gt;"",'C:\Users\super\Documents\actuarial\cas-rfp\spec-only\team-analyst\sample-data\sample-run\selections\[Chain Ladder Selections - LDFs.xlsx]Paid Loss'!T75,'C:\Users\super\Documents\actuarial\cas-rfp\spec-only\team-analyst\sample-data\sample-run\selections\[Chain Ladder Selections - LDFs.xlsx]Paid Loss'!T69)</f>
        <v/>
      </c>
      <c r="U69" s="3">
        <f>IF('C:\Users\super\Documents\actuarial\cas-rfp\spec-only\team-analyst\sample-data\sample-run\selections\[Chain Ladder Selections - LDFs.xlsx]Paid Loss'!U74&lt;&gt;"",'C:\Users\super\Documents\actuarial\cas-rfp\spec-only\team-analyst\sample-data\sample-run\selections\[Chain Ladder Selections - LDFs.xlsx]Paid Loss'!U75,'C:\Users\super\Documents\actuarial\cas-rfp\spec-only\team-analyst\sample-data\sample-run\selections\[Chain Ladder Selections - LDFs.xlsx]Paid Loss'!U69)</f>
        <v/>
      </c>
      <c r="V69" s="3">
        <f>IF('C:\Users\super\Documents\actuarial\cas-rfp\spec-only\team-analyst\sample-data\sample-run\selections\[Chain Ladder Selections - LDFs.xlsx]Paid Loss'!V74&lt;&gt;"",'C:\Users\super\Documents\actuarial\cas-rfp\spec-only\team-analyst\sample-data\sample-run\selections\[Chain Ladder Selections - LDFs.xlsx]Paid Loss'!V75,'C:\Users\super\Documents\actuarial\cas-rfp\spec-only\team-analyst\sample-data\sample-run\selections\[Chain Ladder Selections - LDFs.xlsx]Paid Loss'!V69)</f>
        <v/>
      </c>
      <c r="W69" s="3">
        <f>IF('C:\Users\super\Documents\actuarial\cas-rfp\spec-only\team-analyst\sample-data\sample-run\selections\[Chain Ladder Selections - LDFs.xlsx]Paid Loss'!W74&lt;&gt;"",'C:\Users\super\Documents\actuarial\cas-rfp\spec-only\team-analyst\sample-data\sample-run\selections\[Chain Ladder Selections - LDFs.xlsx]Paid Loss'!W75,'C:\Users\super\Documents\actuarial\cas-rfp\spec-only\team-analyst\sample-data\sample-run\selections\[Chain Ladder Selections - LDFs.xlsx]Paid Loss'!W69)</f>
        <v/>
      </c>
      <c r="X69" s="3">
        <f>IF('C:\Users\super\Documents\actuarial\cas-rfp\spec-only\team-analyst\sample-data\sample-run\selections\[Chain Ladder Selections - LDFs.xlsx]Paid Loss'!X74&lt;&gt;"",'C:\Users\super\Documents\actuarial\cas-rfp\spec-only\team-analyst\sample-data\sample-run\selections\[Chain Ladder Selections - LDFs.xlsx]Paid Loss'!X75,'C:\Users\super\Documents\actuarial\cas-rfp\spec-only\team-analyst\sample-data\sample-run\selections\[Chain Ladder Selections - LDFs.xlsx]Paid Loss'!X69)</f>
        <v/>
      </c>
      <c r="Y69" s="3">
        <f>IF('C:\Users\super\Documents\actuarial\cas-rfp\spec-only\team-analyst\sample-data\sample-run\selections\[Chain Ladder Selections - LDFs.xlsx]Paid Loss'!Y74&lt;&gt;"",'C:\Users\super\Documents\actuarial\cas-rfp\spec-only\team-analyst\sample-data\sample-run\selections\[Chain Ladder Selections - LDFs.xlsx]Paid Loss'!Y75,'C:\Users\super\Documents\actuarial\cas-rfp\spec-only\team-analyst\sample-data\sample-run\selections\[Chain Ladder Selections - LDFs.xlsx]Paid Loss'!Y69)</f>
        <v/>
      </c>
    </row>
    <row r="70" spans="1:25">
      <c r="A70" s="3"/>
    </row>
    <row r="71" spans="1:25">
      <c r="A71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Y71"/>
  <sheetViews>
    <sheetView workbookViewId="0"/>
  </sheetViews>
  <sheetFormatPr defaultRowHeight="15"/>
  <cols>
    <col min="1" max="1" width="25.7109375" customWidth="1"/>
    <col min="2" max="21" width="12.7109375" customWidth="1"/>
  </cols>
  <sheetData>
    <row r="1" spans="1:25">
      <c r="A1" s="3" t="s">
        <v>50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  <c r="J1" t="s">
        <v>28</v>
      </c>
      <c r="K1" t="s">
        <v>27</v>
      </c>
      <c r="L1" t="s">
        <v>26</v>
      </c>
      <c r="M1" t="s">
        <v>25</v>
      </c>
      <c r="N1" t="s">
        <v>24</v>
      </c>
      <c r="O1" t="s">
        <v>23</v>
      </c>
      <c r="P1" t="s">
        <v>22</v>
      </c>
      <c r="Q1" t="s">
        <v>21</v>
      </c>
      <c r="R1" t="s">
        <v>20</v>
      </c>
      <c r="S1" t="s">
        <v>19</v>
      </c>
      <c r="T1" t="s">
        <v>18</v>
      </c>
      <c r="U1" t="s">
        <v>17</v>
      </c>
      <c r="V1" t="s">
        <v>16</v>
      </c>
      <c r="W1" t="s">
        <v>15</v>
      </c>
      <c r="X1" t="s">
        <v>14</v>
      </c>
      <c r="Y1" t="s">
        <v>13</v>
      </c>
    </row>
    <row r="2" spans="1:25">
      <c r="A2" s="3" t="s">
        <v>51</v>
      </c>
      <c r="B2" s="4">
        <f>'C:\Users\super\Documents\actuarial\cas-rfp\spec-only\team-analyst\sample-data\sample-run\selections\[Chain Ladder Selections - LDFs.xlsx]Reported Count'!B2</f>
        <v>637.3668</v>
      </c>
      <c r="C2" s="4">
        <f>'C:\Users\super\Documents\actuarial\cas-rfp\spec-only\team-analyst\sample-data\sample-run\selections\[Chain Ladder Selections - LDFs.xlsx]Reported Count'!C2</f>
        <v>682.2332</v>
      </c>
      <c r="D2" s="4">
        <f>'C:\Users\super\Documents\actuarial\cas-rfp\spec-only\team-analyst\sample-data\sample-run\selections\[Chain Ladder Selections - LDFs.xlsx]Reported Count'!D2</f>
        <v>683.5528</v>
      </c>
      <c r="E2" s="4">
        <f>'C:\Users\super\Documents\actuarial\cas-rfp\spec-only\team-analyst\sample-data\sample-run\selections\[Chain Ladder Selections - LDFs.xlsx]Reported Count'!E2</f>
        <v>683.5528</v>
      </c>
      <c r="F2" s="4">
        <f>'C:\Users\super\Documents\actuarial\cas-rfp\spec-only\team-analyst\sample-data\sample-run\selections\[Chain Ladder Selections - LDFs.xlsx]Reported Count'!F2</f>
        <v>683.5528</v>
      </c>
      <c r="G2" s="4">
        <f>'C:\Users\super\Documents\actuarial\cas-rfp\spec-only\team-analyst\sample-data\sample-run\selections\[Chain Ladder Selections - LDFs.xlsx]Reported Count'!G2</f>
        <v>683.5528</v>
      </c>
      <c r="H2" s="4">
        <f>'C:\Users\super\Documents\actuarial\cas-rfp\spec-only\team-analyst\sample-data\sample-run\selections\[Chain Ladder Selections - LDFs.xlsx]Reported Count'!H2</f>
        <v>700.7076</v>
      </c>
      <c r="I2" s="4">
        <f>'C:\Users\super\Documents\actuarial\cas-rfp\spec-only\team-analyst\sample-data\sample-run\selections\[Chain Ladder Selections - LDFs.xlsx]Reported Count'!I2</f>
        <v>700.7076</v>
      </c>
      <c r="J2" s="4">
        <f>'C:\Users\super\Documents\actuarial\cas-rfp\spec-only\team-analyst\sample-data\sample-run\selections\[Chain Ladder Selections - LDFs.xlsx]Reported Count'!J2</f>
        <v>700.7076</v>
      </c>
      <c r="K2" s="4">
        <f>'C:\Users\super\Documents\actuarial\cas-rfp\spec-only\team-analyst\sample-data\sample-run\selections\[Chain Ladder Selections - LDFs.xlsx]Reported Count'!K2</f>
        <v>700.7076</v>
      </c>
      <c r="L2" s="4">
        <f>'C:\Users\super\Documents\actuarial\cas-rfp\spec-only\team-analyst\sample-data\sample-run\selections\[Chain Ladder Selections - LDFs.xlsx]Reported Count'!L2</f>
        <v>700.7076</v>
      </c>
      <c r="M2" s="4">
        <f>'C:\Users\super\Documents\actuarial\cas-rfp\spec-only\team-analyst\sample-data\sample-run\selections\[Chain Ladder Selections - LDFs.xlsx]Reported Count'!M2</f>
        <v>700.7076</v>
      </c>
      <c r="N2" s="4">
        <f>'C:\Users\super\Documents\actuarial\cas-rfp\spec-only\team-analyst\sample-data\sample-run\selections\[Chain Ladder Selections - LDFs.xlsx]Reported Count'!N2</f>
        <v>700.7076</v>
      </c>
      <c r="O2" s="4">
        <f>'C:\Users\super\Documents\actuarial\cas-rfp\spec-only\team-analyst\sample-data\sample-run\selections\[Chain Ladder Selections - LDFs.xlsx]Reported Count'!O2</f>
        <v>700.7076</v>
      </c>
      <c r="P2" s="4">
        <f>'C:\Users\super\Documents\actuarial\cas-rfp\spec-only\team-analyst\sample-data\sample-run\selections\[Chain Ladder Selections - LDFs.xlsx]Reported Count'!P2</f>
        <v>700.7076</v>
      </c>
      <c r="Q2" s="4">
        <f>'C:\Users\super\Documents\actuarial\cas-rfp\spec-only\team-analyst\sample-data\sample-run\selections\[Chain Ladder Selections - LDFs.xlsx]Reported Count'!Q2</f>
        <v>700.7076</v>
      </c>
      <c r="R2" s="4">
        <f>'C:\Users\super\Documents\actuarial\cas-rfp\spec-only\team-analyst\sample-data\sample-run\selections\[Chain Ladder Selections - LDFs.xlsx]Reported Count'!R2</f>
        <v>700.7076</v>
      </c>
      <c r="S2" s="4">
        <f>'C:\Users\super\Documents\actuarial\cas-rfp\spec-only\team-analyst\sample-data\sample-run\selections\[Chain Ladder Selections - LDFs.xlsx]Reported Count'!S2</f>
        <v>700.7076</v>
      </c>
      <c r="T2" s="4">
        <f>'C:\Users\super\Documents\actuarial\cas-rfp\spec-only\team-analyst\sample-data\sample-run\selections\[Chain Ladder Selections - LDFs.xlsx]Reported Count'!T2</f>
        <v>700.7076</v>
      </c>
      <c r="U2" s="4">
        <f>'C:\Users\super\Documents\actuarial\cas-rfp\spec-only\team-analyst\sample-data\sample-run\selections\[Chain Ladder Selections - LDFs.xlsx]Reported Count'!U2</f>
        <v>700.7076</v>
      </c>
      <c r="V2" s="4">
        <f>'C:\Users\super\Documents\actuarial\cas-rfp\spec-only\team-analyst\sample-data\sample-run\selections\[Chain Ladder Selections - LDFs.xlsx]Reported Count'!V2</f>
        <v>700.7076</v>
      </c>
      <c r="W2" s="4">
        <f>'C:\Users\super\Documents\actuarial\cas-rfp\spec-only\team-analyst\sample-data\sample-run\selections\[Chain Ladder Selections - LDFs.xlsx]Reported Count'!W2</f>
        <v>700.7076</v>
      </c>
      <c r="X2" s="4">
        <f>'C:\Users\super\Documents\actuarial\cas-rfp\spec-only\team-analyst\sample-data\sample-run\selections\[Chain Ladder Selections - LDFs.xlsx]Reported Count'!X2</f>
        <v>700.7076</v>
      </c>
      <c r="Y2" s="4">
        <f>'C:\Users\super\Documents\actuarial\cas-rfp\spec-only\team-analyst\sample-data\sample-run\selections\[Chain Ladder Selections - LDFs.xlsx]Reported Count'!Y2</f>
        <v>700.7076</v>
      </c>
    </row>
    <row r="3" spans="1:25">
      <c r="A3" s="3" t="s">
        <v>52</v>
      </c>
      <c r="B3" s="4">
        <f>'C:\Users\super\Documents\actuarial\cas-rfp\spec-only\team-analyst\sample-data\sample-run\selections\[Chain Ladder Selections - LDFs.xlsx]Reported Count'!B3</f>
        <v>613.614</v>
      </c>
      <c r="C3" s="4">
        <f>'C:\Users\super\Documents\actuarial\cas-rfp\spec-only\team-analyst\sample-data\sample-run\selections\[Chain Ladder Selections - LDFs.xlsx]Reported Count'!C3</f>
        <v>634.7276</v>
      </c>
      <c r="D3" s="4">
        <f>'C:\Users\super\Documents\actuarial\cas-rfp\spec-only\team-analyst\sample-data\sample-run\selections\[Chain Ladder Selections - LDFs.xlsx]Reported Count'!D3</f>
        <v>634.7276</v>
      </c>
      <c r="E3" s="4">
        <f>'C:\Users\super\Documents\actuarial\cas-rfp\spec-only\team-analyst\sample-data\sample-run\selections\[Chain Ladder Selections - LDFs.xlsx]Reported Count'!E3</f>
        <v>634.7276</v>
      </c>
      <c r="F3" s="4">
        <f>'C:\Users\super\Documents\actuarial\cas-rfp\spec-only\team-analyst\sample-data\sample-run\selections\[Chain Ladder Selections - LDFs.xlsx]Reported Count'!F3</f>
        <v>634.7276</v>
      </c>
      <c r="G3" s="4">
        <f>'C:\Users\super\Documents\actuarial\cas-rfp\spec-only\team-analyst\sample-data\sample-run\selections\[Chain Ladder Selections - LDFs.xlsx]Reported Count'!G3</f>
        <v>651.8824</v>
      </c>
      <c r="H3" s="4">
        <f>'C:\Users\super\Documents\actuarial\cas-rfp\spec-only\team-analyst\sample-data\sample-run\selections\[Chain Ladder Selections - LDFs.xlsx]Reported Count'!H3</f>
        <v>651.8824</v>
      </c>
      <c r="I3" s="4">
        <f>'C:\Users\super\Documents\actuarial\cas-rfp\spec-only\team-analyst\sample-data\sample-run\selections\[Chain Ladder Selections - LDFs.xlsx]Reported Count'!I3</f>
        <v>651.8824</v>
      </c>
      <c r="J3" s="4">
        <f>'C:\Users\super\Documents\actuarial\cas-rfp\spec-only\team-analyst\sample-data\sample-run\selections\[Chain Ladder Selections - LDFs.xlsx]Reported Count'!J3</f>
        <v>651.8824</v>
      </c>
      <c r="K3" s="4">
        <f>'C:\Users\super\Documents\actuarial\cas-rfp\spec-only\team-analyst\sample-data\sample-run\selections\[Chain Ladder Selections - LDFs.xlsx]Reported Count'!K3</f>
        <v>651.8824</v>
      </c>
      <c r="L3" s="4">
        <f>'C:\Users\super\Documents\actuarial\cas-rfp\spec-only\team-analyst\sample-data\sample-run\selections\[Chain Ladder Selections - LDFs.xlsx]Reported Count'!L3</f>
        <v>651.8824</v>
      </c>
      <c r="M3" s="4">
        <f>'C:\Users\super\Documents\actuarial\cas-rfp\spec-only\team-analyst\sample-data\sample-run\selections\[Chain Ladder Selections - LDFs.xlsx]Reported Count'!M3</f>
        <v>651.8824</v>
      </c>
      <c r="N3" s="4">
        <f>'C:\Users\super\Documents\actuarial\cas-rfp\spec-only\team-analyst\sample-data\sample-run\selections\[Chain Ladder Selections - LDFs.xlsx]Reported Count'!N3</f>
        <v>651.8824</v>
      </c>
      <c r="O3" s="4">
        <f>'C:\Users\super\Documents\actuarial\cas-rfp\spec-only\team-analyst\sample-data\sample-run\selections\[Chain Ladder Selections - LDFs.xlsx]Reported Count'!O3</f>
        <v>651.8824</v>
      </c>
      <c r="P3" s="4">
        <f>'C:\Users\super\Documents\actuarial\cas-rfp\spec-only\team-analyst\sample-data\sample-run\selections\[Chain Ladder Selections - LDFs.xlsx]Reported Count'!P3</f>
        <v>651.8824</v>
      </c>
      <c r="Q3" s="4">
        <f>'C:\Users\super\Documents\actuarial\cas-rfp\spec-only\team-analyst\sample-data\sample-run\selections\[Chain Ladder Selections - LDFs.xlsx]Reported Count'!Q3</f>
        <v>651.8824</v>
      </c>
      <c r="R3" s="4">
        <f>'C:\Users\super\Documents\actuarial\cas-rfp\spec-only\team-analyst\sample-data\sample-run\selections\[Chain Ladder Selections - LDFs.xlsx]Reported Count'!R3</f>
        <v>651.8824</v>
      </c>
      <c r="S3" s="4">
        <f>'C:\Users\super\Documents\actuarial\cas-rfp\spec-only\team-analyst\sample-data\sample-run\selections\[Chain Ladder Selections - LDFs.xlsx]Reported Count'!S3</f>
        <v>651.8824</v>
      </c>
      <c r="T3" s="4">
        <f>'C:\Users\super\Documents\actuarial\cas-rfp\spec-only\team-analyst\sample-data\sample-run\selections\[Chain Ladder Selections - LDFs.xlsx]Reported Count'!T3</f>
        <v>651.8824</v>
      </c>
      <c r="U3" s="4">
        <f>'C:\Users\super\Documents\actuarial\cas-rfp\spec-only\team-analyst\sample-data\sample-run\selections\[Chain Ladder Selections - LDFs.xlsx]Reported Count'!U3</f>
        <v>651.8824</v>
      </c>
      <c r="V3" s="4">
        <f>'C:\Users\super\Documents\actuarial\cas-rfp\spec-only\team-analyst\sample-data\sample-run\selections\[Chain Ladder Selections - LDFs.xlsx]Reported Count'!V3</f>
        <v>651.8824</v>
      </c>
      <c r="W3" s="4">
        <f>'C:\Users\super\Documents\actuarial\cas-rfp\spec-only\team-analyst\sample-data\sample-run\selections\[Chain Ladder Selections - LDFs.xlsx]Reported Count'!W3</f>
        <v>651.8824</v>
      </c>
      <c r="X3" s="4">
        <f>'C:\Users\super\Documents\actuarial\cas-rfp\spec-only\team-analyst\sample-data\sample-run\selections\[Chain Ladder Selections - LDFs.xlsx]Reported Count'!X3</f>
        <v>651.8824</v>
      </c>
    </row>
    <row r="4" spans="1:25">
      <c r="A4" s="3" t="s">
        <v>53</v>
      </c>
      <c r="B4" s="4">
        <f>'C:\Users\super\Documents\actuarial\cas-rfp\spec-only\team-analyst\sample-data\sample-run\selections\[Chain Ladder Selections - LDFs.xlsx]Reported Count'!B4</f>
        <v>534.438</v>
      </c>
      <c r="C4" s="4">
        <f>'C:\Users\super\Documents\actuarial\cas-rfp\spec-only\team-analyst\sample-data\sample-run\selections\[Chain Ladder Selections - LDFs.xlsx]Reported Count'!C4</f>
        <v>552.9124</v>
      </c>
      <c r="D4" s="4">
        <f>'C:\Users\super\Documents\actuarial\cas-rfp\spec-only\team-analyst\sample-data\sample-run\selections\[Chain Ladder Selections - LDFs.xlsx]Reported Count'!D4</f>
        <v>552.9124</v>
      </c>
      <c r="E4" s="4">
        <f>'C:\Users\super\Documents\actuarial\cas-rfp\spec-only\team-analyst\sample-data\sample-run\selections\[Chain Ladder Selections - LDFs.xlsx]Reported Count'!E4</f>
        <v>552.9124</v>
      </c>
      <c r="F4" s="4">
        <f>'C:\Users\super\Documents\actuarial\cas-rfp\spec-only\team-analyst\sample-data\sample-run\selections\[Chain Ladder Selections - LDFs.xlsx]Reported Count'!F4</f>
        <v>550.2732</v>
      </c>
      <c r="G4" s="4">
        <f>'C:\Users\super\Documents\actuarial\cas-rfp\spec-only\team-analyst\sample-data\sample-run\selections\[Chain Ladder Selections - LDFs.xlsx]Reported Count'!G4</f>
        <v>550.2732</v>
      </c>
      <c r="H4" s="4">
        <f>'C:\Users\super\Documents\actuarial\cas-rfp\spec-only\team-analyst\sample-data\sample-run\selections\[Chain Ladder Selections - LDFs.xlsx]Reported Count'!H4</f>
        <v>551.5928</v>
      </c>
      <c r="I4" s="4">
        <f>'C:\Users\super\Documents\actuarial\cas-rfp\spec-only\team-analyst\sample-data\sample-run\selections\[Chain Ladder Selections - LDFs.xlsx]Reported Count'!I4</f>
        <v>551.5928</v>
      </c>
      <c r="J4" s="4">
        <f>'C:\Users\super\Documents\actuarial\cas-rfp\spec-only\team-analyst\sample-data\sample-run\selections\[Chain Ladder Selections - LDFs.xlsx]Reported Count'!J4</f>
        <v>551.5928</v>
      </c>
      <c r="K4" s="4">
        <f>'C:\Users\super\Documents\actuarial\cas-rfp\spec-only\team-analyst\sample-data\sample-run\selections\[Chain Ladder Selections - LDFs.xlsx]Reported Count'!K4</f>
        <v>551.5928</v>
      </c>
      <c r="L4" s="4">
        <f>'C:\Users\super\Documents\actuarial\cas-rfp\spec-only\team-analyst\sample-data\sample-run\selections\[Chain Ladder Selections - LDFs.xlsx]Reported Count'!L4</f>
        <v>551.5928</v>
      </c>
      <c r="M4" s="4">
        <f>'C:\Users\super\Documents\actuarial\cas-rfp\spec-only\team-analyst\sample-data\sample-run\selections\[Chain Ladder Selections - LDFs.xlsx]Reported Count'!M4</f>
        <v>551.5928</v>
      </c>
      <c r="N4" s="4">
        <f>'C:\Users\super\Documents\actuarial\cas-rfp\spec-only\team-analyst\sample-data\sample-run\selections\[Chain Ladder Selections - LDFs.xlsx]Reported Count'!N4</f>
        <v>551.5928</v>
      </c>
      <c r="O4" s="4">
        <f>'C:\Users\super\Documents\actuarial\cas-rfp\spec-only\team-analyst\sample-data\sample-run\selections\[Chain Ladder Selections - LDFs.xlsx]Reported Count'!O4</f>
        <v>551.5928</v>
      </c>
      <c r="P4" s="4">
        <f>'C:\Users\super\Documents\actuarial\cas-rfp\spec-only\team-analyst\sample-data\sample-run\selections\[Chain Ladder Selections - LDFs.xlsx]Reported Count'!P4</f>
        <v>551.5928</v>
      </c>
      <c r="Q4" s="4">
        <f>'C:\Users\super\Documents\actuarial\cas-rfp\spec-only\team-analyst\sample-data\sample-run\selections\[Chain Ladder Selections - LDFs.xlsx]Reported Count'!Q4</f>
        <v>551.5928</v>
      </c>
      <c r="R4" s="4">
        <f>'C:\Users\super\Documents\actuarial\cas-rfp\spec-only\team-analyst\sample-data\sample-run\selections\[Chain Ladder Selections - LDFs.xlsx]Reported Count'!R4</f>
        <v>551.5928</v>
      </c>
      <c r="S4" s="4">
        <f>'C:\Users\super\Documents\actuarial\cas-rfp\spec-only\team-analyst\sample-data\sample-run\selections\[Chain Ladder Selections - LDFs.xlsx]Reported Count'!S4</f>
        <v>551.5928</v>
      </c>
      <c r="T4" s="4">
        <f>'C:\Users\super\Documents\actuarial\cas-rfp\spec-only\team-analyst\sample-data\sample-run\selections\[Chain Ladder Selections - LDFs.xlsx]Reported Count'!T4</f>
        <v>551.5928</v>
      </c>
      <c r="U4" s="4">
        <f>'C:\Users\super\Documents\actuarial\cas-rfp\spec-only\team-analyst\sample-data\sample-run\selections\[Chain Ladder Selections - LDFs.xlsx]Reported Count'!U4</f>
        <v>551.5928</v>
      </c>
      <c r="V4" s="4">
        <f>'C:\Users\super\Documents\actuarial\cas-rfp\spec-only\team-analyst\sample-data\sample-run\selections\[Chain Ladder Selections - LDFs.xlsx]Reported Count'!V4</f>
        <v>551.5928</v>
      </c>
      <c r="W4" s="4">
        <f>'C:\Users\super\Documents\actuarial\cas-rfp\spec-only\team-analyst\sample-data\sample-run\selections\[Chain Ladder Selections - LDFs.xlsx]Reported Count'!W4</f>
        <v>551.5928</v>
      </c>
    </row>
    <row r="5" spans="1:25">
      <c r="A5" s="3" t="s">
        <v>54</v>
      </c>
      <c r="B5" s="4">
        <f>'C:\Users\super\Documents\actuarial\cas-rfp\spec-only\team-analyst\sample-data\sample-run\selections\[Chain Ladder Selections - LDFs.xlsx]Reported Count'!B5</f>
        <v>603.0572</v>
      </c>
      <c r="C5" s="4">
        <f>'C:\Users\super\Documents\actuarial\cas-rfp\spec-only\team-analyst\sample-data\sample-run\selections\[Chain Ladder Selections - LDFs.xlsx]Reported Count'!C5</f>
        <v>638.6864</v>
      </c>
      <c r="D5" s="4">
        <f>'C:\Users\super\Documents\actuarial\cas-rfp\spec-only\team-analyst\sample-data\sample-run\selections\[Chain Ladder Selections - LDFs.xlsx]Reported Count'!D5</f>
        <v>638.6864</v>
      </c>
      <c r="E5" s="4">
        <f>'C:\Users\super\Documents\actuarial\cas-rfp\spec-only\team-analyst\sample-data\sample-run\selections\[Chain Ladder Selections - LDFs.xlsx]Reported Count'!E5</f>
        <v>641.3256</v>
      </c>
      <c r="F5" s="4">
        <f>'C:\Users\super\Documents\actuarial\cas-rfp\spec-only\team-analyst\sample-data\sample-run\selections\[Chain Ladder Selections - LDFs.xlsx]Reported Count'!F5</f>
        <v>642.6452</v>
      </c>
      <c r="G5" s="4">
        <f>'C:\Users\super\Documents\actuarial\cas-rfp\spec-only\team-analyst\sample-data\sample-run\selections\[Chain Ladder Selections - LDFs.xlsx]Reported Count'!G5</f>
        <v>642.6452</v>
      </c>
      <c r="H5" s="4">
        <f>'C:\Users\super\Documents\actuarial\cas-rfp\spec-only\team-analyst\sample-data\sample-run\selections\[Chain Ladder Selections - LDFs.xlsx]Reported Count'!H5</f>
        <v>642.6452</v>
      </c>
      <c r="I5" s="4">
        <f>'C:\Users\super\Documents\actuarial\cas-rfp\spec-only\team-analyst\sample-data\sample-run\selections\[Chain Ladder Selections - LDFs.xlsx]Reported Count'!I5</f>
        <v>642.6452</v>
      </c>
      <c r="J5" s="4">
        <f>'C:\Users\super\Documents\actuarial\cas-rfp\spec-only\team-analyst\sample-data\sample-run\selections\[Chain Ladder Selections - LDFs.xlsx]Reported Count'!J5</f>
        <v>642.6452</v>
      </c>
      <c r="K5" s="4">
        <f>'C:\Users\super\Documents\actuarial\cas-rfp\spec-only\team-analyst\sample-data\sample-run\selections\[Chain Ladder Selections - LDFs.xlsx]Reported Count'!K5</f>
        <v>642.6452</v>
      </c>
      <c r="L5" s="4">
        <f>'C:\Users\super\Documents\actuarial\cas-rfp\spec-only\team-analyst\sample-data\sample-run\selections\[Chain Ladder Selections - LDFs.xlsx]Reported Count'!L5</f>
        <v>642.6452</v>
      </c>
      <c r="M5" s="4">
        <f>'C:\Users\super\Documents\actuarial\cas-rfp\spec-only\team-analyst\sample-data\sample-run\selections\[Chain Ladder Selections - LDFs.xlsx]Reported Count'!M5</f>
        <v>642.6452</v>
      </c>
      <c r="N5" s="4">
        <f>'C:\Users\super\Documents\actuarial\cas-rfp\spec-only\team-analyst\sample-data\sample-run\selections\[Chain Ladder Selections - LDFs.xlsx]Reported Count'!N5</f>
        <v>642.6452</v>
      </c>
      <c r="O5" s="4">
        <f>'C:\Users\super\Documents\actuarial\cas-rfp\spec-only\team-analyst\sample-data\sample-run\selections\[Chain Ladder Selections - LDFs.xlsx]Reported Count'!O5</f>
        <v>642.6452</v>
      </c>
      <c r="P5" s="4">
        <f>'C:\Users\super\Documents\actuarial\cas-rfp\spec-only\team-analyst\sample-data\sample-run\selections\[Chain Ladder Selections - LDFs.xlsx]Reported Count'!P5</f>
        <v>642.6452</v>
      </c>
      <c r="Q5" s="4">
        <f>'C:\Users\super\Documents\actuarial\cas-rfp\spec-only\team-analyst\sample-data\sample-run\selections\[Chain Ladder Selections - LDFs.xlsx]Reported Count'!Q5</f>
        <v>642.6452</v>
      </c>
      <c r="R5" s="4">
        <f>'C:\Users\super\Documents\actuarial\cas-rfp\spec-only\team-analyst\sample-data\sample-run\selections\[Chain Ladder Selections - LDFs.xlsx]Reported Count'!R5</f>
        <v>642.6452</v>
      </c>
      <c r="S5" s="4">
        <f>'C:\Users\super\Documents\actuarial\cas-rfp\spec-only\team-analyst\sample-data\sample-run\selections\[Chain Ladder Selections - LDFs.xlsx]Reported Count'!S5</f>
        <v>642.6452</v>
      </c>
      <c r="T5" s="4">
        <f>'C:\Users\super\Documents\actuarial\cas-rfp\spec-only\team-analyst\sample-data\sample-run\selections\[Chain Ladder Selections - LDFs.xlsx]Reported Count'!T5</f>
        <v>642.6452</v>
      </c>
      <c r="U5" s="4">
        <f>'C:\Users\super\Documents\actuarial\cas-rfp\spec-only\team-analyst\sample-data\sample-run\selections\[Chain Ladder Selections - LDFs.xlsx]Reported Count'!U5</f>
        <v>642.6452</v>
      </c>
      <c r="V5" s="4">
        <f>'C:\Users\super\Documents\actuarial\cas-rfp\spec-only\team-analyst\sample-data\sample-run\selections\[Chain Ladder Selections - LDFs.xlsx]Reported Count'!V5</f>
        <v>642.6452</v>
      </c>
    </row>
    <row r="6" spans="1:25">
      <c r="A6" s="3" t="s">
        <v>55</v>
      </c>
      <c r="B6" s="4">
        <f>'C:\Users\super\Documents\actuarial\cas-rfp\spec-only\team-analyst\sample-data\sample-run\selections\[Chain Ladder Selections - LDFs.xlsx]Reported Count'!B6</f>
        <v>626.81</v>
      </c>
      <c r="C6" s="4">
        <f>'C:\Users\super\Documents\actuarial\cas-rfp\spec-only\team-analyst\sample-data\sample-run\selections\[Chain Ladder Selections - LDFs.xlsx]Reported Count'!C6</f>
        <v>641.3256</v>
      </c>
      <c r="D6" s="4">
        <f>'C:\Users\super\Documents\actuarial\cas-rfp\spec-only\team-analyst\sample-data\sample-run\selections\[Chain Ladder Selections - LDFs.xlsx]Reported Count'!D6</f>
        <v>642.6452</v>
      </c>
      <c r="E6" s="4">
        <f>'C:\Users\super\Documents\actuarial\cas-rfp\spec-only\team-analyst\sample-data\sample-run\selections\[Chain Ladder Selections - LDFs.xlsx]Reported Count'!E6</f>
        <v>641.3256</v>
      </c>
      <c r="F6" s="4">
        <f>'C:\Users\super\Documents\actuarial\cas-rfp\spec-only\team-analyst\sample-data\sample-run\selections\[Chain Ladder Selections - LDFs.xlsx]Reported Count'!F6</f>
        <v>641.3256</v>
      </c>
      <c r="G6" s="4">
        <f>'C:\Users\super\Documents\actuarial\cas-rfp\spec-only\team-analyst\sample-data\sample-run\selections\[Chain Ladder Selections - LDFs.xlsx]Reported Count'!G6</f>
        <v>641.3256</v>
      </c>
      <c r="H6" s="4">
        <f>'C:\Users\super\Documents\actuarial\cas-rfp\spec-only\team-analyst\sample-data\sample-run\selections\[Chain Ladder Selections - LDFs.xlsx]Reported Count'!H6</f>
        <v>641.3256</v>
      </c>
      <c r="I6" s="4">
        <f>'C:\Users\super\Documents\actuarial\cas-rfp\spec-only\team-analyst\sample-data\sample-run\selections\[Chain Ladder Selections - LDFs.xlsx]Reported Count'!I6</f>
        <v>641.3256</v>
      </c>
      <c r="J6" s="4">
        <f>'C:\Users\super\Documents\actuarial\cas-rfp\spec-only\team-analyst\sample-data\sample-run\selections\[Chain Ladder Selections - LDFs.xlsx]Reported Count'!J6</f>
        <v>641.3256</v>
      </c>
      <c r="K6" s="4">
        <f>'C:\Users\super\Documents\actuarial\cas-rfp\spec-only\team-analyst\sample-data\sample-run\selections\[Chain Ladder Selections - LDFs.xlsx]Reported Count'!K6</f>
        <v>641.3256</v>
      </c>
      <c r="L6" s="4">
        <f>'C:\Users\super\Documents\actuarial\cas-rfp\spec-only\team-analyst\sample-data\sample-run\selections\[Chain Ladder Selections - LDFs.xlsx]Reported Count'!L6</f>
        <v>641.3256</v>
      </c>
      <c r="M6" s="4">
        <f>'C:\Users\super\Documents\actuarial\cas-rfp\spec-only\team-analyst\sample-data\sample-run\selections\[Chain Ladder Selections - LDFs.xlsx]Reported Count'!M6</f>
        <v>641.3256</v>
      </c>
      <c r="N6" s="4">
        <f>'C:\Users\super\Documents\actuarial\cas-rfp\spec-only\team-analyst\sample-data\sample-run\selections\[Chain Ladder Selections - LDFs.xlsx]Reported Count'!N6</f>
        <v>641.3256</v>
      </c>
      <c r="O6" s="4">
        <f>'C:\Users\super\Documents\actuarial\cas-rfp\spec-only\team-analyst\sample-data\sample-run\selections\[Chain Ladder Selections - LDFs.xlsx]Reported Count'!O6</f>
        <v>641.3256</v>
      </c>
      <c r="P6" s="4">
        <f>'C:\Users\super\Documents\actuarial\cas-rfp\spec-only\team-analyst\sample-data\sample-run\selections\[Chain Ladder Selections - LDFs.xlsx]Reported Count'!P6</f>
        <v>641.3256</v>
      </c>
      <c r="Q6" s="4">
        <f>'C:\Users\super\Documents\actuarial\cas-rfp\spec-only\team-analyst\sample-data\sample-run\selections\[Chain Ladder Selections - LDFs.xlsx]Reported Count'!Q6</f>
        <v>641.3256</v>
      </c>
      <c r="R6" s="4">
        <f>'C:\Users\super\Documents\actuarial\cas-rfp\spec-only\team-analyst\sample-data\sample-run\selections\[Chain Ladder Selections - LDFs.xlsx]Reported Count'!R6</f>
        <v>641.3256</v>
      </c>
      <c r="S6" s="4">
        <f>'C:\Users\super\Documents\actuarial\cas-rfp\spec-only\team-analyst\sample-data\sample-run\selections\[Chain Ladder Selections - LDFs.xlsx]Reported Count'!S6</f>
        <v>641.3256</v>
      </c>
      <c r="T6" s="4">
        <f>'C:\Users\super\Documents\actuarial\cas-rfp\spec-only\team-analyst\sample-data\sample-run\selections\[Chain Ladder Selections - LDFs.xlsx]Reported Count'!T6</f>
        <v>641.3256</v>
      </c>
      <c r="U6" s="4">
        <f>'C:\Users\super\Documents\actuarial\cas-rfp\spec-only\team-analyst\sample-data\sample-run\selections\[Chain Ladder Selections - LDFs.xlsx]Reported Count'!U6</f>
        <v>641.3256</v>
      </c>
    </row>
    <row r="7" spans="1:25">
      <c r="A7" s="3" t="s">
        <v>56</v>
      </c>
      <c r="B7" s="4">
        <f>'C:\Users\super\Documents\actuarial\cas-rfp\spec-only\team-analyst\sample-data\sample-run\selections\[Chain Ladder Selections - LDFs.xlsx]Reported Count'!B7</f>
        <v>479.0148</v>
      </c>
      <c r="C7" s="4">
        <f>'C:\Users\super\Documents\actuarial\cas-rfp\spec-only\team-analyst\sample-data\sample-run\selections\[Chain Ladder Selections - LDFs.xlsx]Reported Count'!C7</f>
        <v>497.4892</v>
      </c>
      <c r="D7" s="4">
        <f>'C:\Users\super\Documents\actuarial\cas-rfp\spec-only\team-analyst\sample-data\sample-run\selections\[Chain Ladder Selections - LDFs.xlsx]Reported Count'!D7</f>
        <v>497.4892</v>
      </c>
      <c r="E7" s="4">
        <f>'C:\Users\super\Documents\actuarial\cas-rfp\spec-only\team-analyst\sample-data\sample-run\selections\[Chain Ladder Selections - LDFs.xlsx]Reported Count'!E7</f>
        <v>497.4892</v>
      </c>
      <c r="F7" s="4">
        <f>'C:\Users\super\Documents\actuarial\cas-rfp\spec-only\team-analyst\sample-data\sample-run\selections\[Chain Ladder Selections - LDFs.xlsx]Reported Count'!F7</f>
        <v>497.4892</v>
      </c>
      <c r="G7" s="4">
        <f>'C:\Users\super\Documents\actuarial\cas-rfp\spec-only\team-analyst\sample-data\sample-run\selections\[Chain Ladder Selections - LDFs.xlsx]Reported Count'!G7</f>
        <v>497.4892</v>
      </c>
      <c r="H7" s="4">
        <f>'C:\Users\super\Documents\actuarial\cas-rfp\spec-only\team-analyst\sample-data\sample-run\selections\[Chain Ladder Selections - LDFs.xlsx]Reported Count'!H7</f>
        <v>497.4892</v>
      </c>
      <c r="I7" s="4">
        <f>'C:\Users\super\Documents\actuarial\cas-rfp\spec-only\team-analyst\sample-data\sample-run\selections\[Chain Ladder Selections - LDFs.xlsx]Reported Count'!I7</f>
        <v>497.4892</v>
      </c>
      <c r="J7" s="4">
        <f>'C:\Users\super\Documents\actuarial\cas-rfp\spec-only\team-analyst\sample-data\sample-run\selections\[Chain Ladder Selections - LDFs.xlsx]Reported Count'!J7</f>
        <v>497.4892</v>
      </c>
      <c r="K7" s="4">
        <f>'C:\Users\super\Documents\actuarial\cas-rfp\spec-only\team-analyst\sample-data\sample-run\selections\[Chain Ladder Selections - LDFs.xlsx]Reported Count'!K7</f>
        <v>497.4892</v>
      </c>
      <c r="L7" s="4">
        <f>'C:\Users\super\Documents\actuarial\cas-rfp\spec-only\team-analyst\sample-data\sample-run\selections\[Chain Ladder Selections - LDFs.xlsx]Reported Count'!L7</f>
        <v>497.4892</v>
      </c>
      <c r="M7" s="4">
        <f>'C:\Users\super\Documents\actuarial\cas-rfp\spec-only\team-analyst\sample-data\sample-run\selections\[Chain Ladder Selections - LDFs.xlsx]Reported Count'!M7</f>
        <v>497.4892</v>
      </c>
      <c r="N7" s="4">
        <f>'C:\Users\super\Documents\actuarial\cas-rfp\spec-only\team-analyst\sample-data\sample-run\selections\[Chain Ladder Selections - LDFs.xlsx]Reported Count'!N7</f>
        <v>497.4892</v>
      </c>
      <c r="O7" s="4">
        <f>'C:\Users\super\Documents\actuarial\cas-rfp\spec-only\team-analyst\sample-data\sample-run\selections\[Chain Ladder Selections - LDFs.xlsx]Reported Count'!O7</f>
        <v>497.4892</v>
      </c>
      <c r="P7" s="4">
        <f>'C:\Users\super\Documents\actuarial\cas-rfp\spec-only\team-analyst\sample-data\sample-run\selections\[Chain Ladder Selections - LDFs.xlsx]Reported Count'!P7</f>
        <v>497.4892</v>
      </c>
      <c r="Q7" s="4">
        <f>'C:\Users\super\Documents\actuarial\cas-rfp\spec-only\team-analyst\sample-data\sample-run\selections\[Chain Ladder Selections - LDFs.xlsx]Reported Count'!Q7</f>
        <v>497.4892</v>
      </c>
      <c r="R7" s="4">
        <f>'C:\Users\super\Documents\actuarial\cas-rfp\spec-only\team-analyst\sample-data\sample-run\selections\[Chain Ladder Selections - LDFs.xlsx]Reported Count'!R7</f>
        <v>497.4892</v>
      </c>
      <c r="S7" s="4">
        <f>'C:\Users\super\Documents\actuarial\cas-rfp\spec-only\team-analyst\sample-data\sample-run\selections\[Chain Ladder Selections - LDFs.xlsx]Reported Count'!S7</f>
        <v>497.4892</v>
      </c>
      <c r="T7" s="4">
        <f>'C:\Users\super\Documents\actuarial\cas-rfp\spec-only\team-analyst\sample-data\sample-run\selections\[Chain Ladder Selections - LDFs.xlsx]Reported Count'!T7</f>
        <v>497.4892</v>
      </c>
    </row>
    <row r="8" spans="1:25">
      <c r="A8" s="3" t="s">
        <v>57</v>
      </c>
      <c r="B8" s="4">
        <f>'C:\Users\super\Documents\actuarial\cas-rfp\spec-only\team-analyst\sample-data\sample-run\selections\[Chain Ladder Selections - LDFs.xlsx]Reported Count'!B8</f>
        <v>456.5816</v>
      </c>
      <c r="C8" s="4">
        <f>'C:\Users\super\Documents\actuarial\cas-rfp\spec-only\team-analyst\sample-data\sample-run\selections\[Chain Ladder Selections - LDFs.xlsx]Reported Count'!C8</f>
        <v>476.3756</v>
      </c>
      <c r="D8" s="4">
        <f>'C:\Users\super\Documents\actuarial\cas-rfp\spec-only\team-analyst\sample-data\sample-run\selections\[Chain Ladder Selections - LDFs.xlsx]Reported Count'!D8</f>
        <v>476.3756</v>
      </c>
      <c r="E8" s="4">
        <f>'C:\Users\super\Documents\actuarial\cas-rfp\spec-only\team-analyst\sample-data\sample-run\selections\[Chain Ladder Selections - LDFs.xlsx]Reported Count'!E8</f>
        <v>476.3756</v>
      </c>
      <c r="F8" s="4">
        <f>'C:\Users\super\Documents\actuarial\cas-rfp\spec-only\team-analyst\sample-data\sample-run\selections\[Chain Ladder Selections - LDFs.xlsx]Reported Count'!F8</f>
        <v>476.3756</v>
      </c>
      <c r="G8" s="4">
        <f>'C:\Users\super\Documents\actuarial\cas-rfp\spec-only\team-analyst\sample-data\sample-run\selections\[Chain Ladder Selections - LDFs.xlsx]Reported Count'!G8</f>
        <v>476.3756</v>
      </c>
      <c r="H8" s="4">
        <f>'C:\Users\super\Documents\actuarial\cas-rfp\spec-only\team-analyst\sample-data\sample-run\selections\[Chain Ladder Selections - LDFs.xlsx]Reported Count'!H8</f>
        <v>476.3756</v>
      </c>
      <c r="I8" s="4">
        <f>'C:\Users\super\Documents\actuarial\cas-rfp\spec-only\team-analyst\sample-data\sample-run\selections\[Chain Ladder Selections - LDFs.xlsx]Reported Count'!I8</f>
        <v>476.3756</v>
      </c>
      <c r="J8" s="4">
        <f>'C:\Users\super\Documents\actuarial\cas-rfp\spec-only\team-analyst\sample-data\sample-run\selections\[Chain Ladder Selections - LDFs.xlsx]Reported Count'!J8</f>
        <v>476.3756</v>
      </c>
      <c r="K8" s="4">
        <f>'C:\Users\super\Documents\actuarial\cas-rfp\spec-only\team-analyst\sample-data\sample-run\selections\[Chain Ladder Selections - LDFs.xlsx]Reported Count'!K8</f>
        <v>476.3756</v>
      </c>
      <c r="L8" s="4">
        <f>'C:\Users\super\Documents\actuarial\cas-rfp\spec-only\team-analyst\sample-data\sample-run\selections\[Chain Ladder Selections - LDFs.xlsx]Reported Count'!L8</f>
        <v>476.3756</v>
      </c>
      <c r="M8" s="4">
        <f>'C:\Users\super\Documents\actuarial\cas-rfp\spec-only\team-analyst\sample-data\sample-run\selections\[Chain Ladder Selections - LDFs.xlsx]Reported Count'!M8</f>
        <v>476.3756</v>
      </c>
      <c r="N8" s="4">
        <f>'C:\Users\super\Documents\actuarial\cas-rfp\spec-only\team-analyst\sample-data\sample-run\selections\[Chain Ladder Selections - LDFs.xlsx]Reported Count'!N8</f>
        <v>476.3756</v>
      </c>
      <c r="O8" s="4">
        <f>'C:\Users\super\Documents\actuarial\cas-rfp\spec-only\team-analyst\sample-data\sample-run\selections\[Chain Ladder Selections - LDFs.xlsx]Reported Count'!O8</f>
        <v>476.3756</v>
      </c>
      <c r="P8" s="4">
        <f>'C:\Users\super\Documents\actuarial\cas-rfp\spec-only\team-analyst\sample-data\sample-run\selections\[Chain Ladder Selections - LDFs.xlsx]Reported Count'!P8</f>
        <v>476.3756</v>
      </c>
      <c r="Q8" s="4">
        <f>'C:\Users\super\Documents\actuarial\cas-rfp\spec-only\team-analyst\sample-data\sample-run\selections\[Chain Ladder Selections - LDFs.xlsx]Reported Count'!Q8</f>
        <v>476.3756</v>
      </c>
      <c r="R8" s="4">
        <f>'C:\Users\super\Documents\actuarial\cas-rfp\spec-only\team-analyst\sample-data\sample-run\selections\[Chain Ladder Selections - LDFs.xlsx]Reported Count'!R8</f>
        <v>476.3756</v>
      </c>
      <c r="S8" s="4">
        <f>'C:\Users\super\Documents\actuarial\cas-rfp\spec-only\team-analyst\sample-data\sample-run\selections\[Chain Ladder Selections - LDFs.xlsx]Reported Count'!S8</f>
        <v>476.3756</v>
      </c>
    </row>
    <row r="9" spans="1:25">
      <c r="A9" s="3" t="s">
        <v>58</v>
      </c>
      <c r="B9" s="4">
        <f>'C:\Users\super\Documents\actuarial\cas-rfp\spec-only\team-analyst\sample-data\sample-run\selections\[Chain Ladder Selections - LDFs.xlsx]Reported Count'!B9</f>
        <v>307.4668</v>
      </c>
      <c r="C9" s="4">
        <f>'C:\Users\super\Documents\actuarial\cas-rfp\spec-only\team-analyst\sample-data\sample-run\selections\[Chain Ladder Selections - LDFs.xlsx]Reported Count'!C9</f>
        <v>327.2608</v>
      </c>
      <c r="D9" s="4">
        <f>'C:\Users\super\Documents\actuarial\cas-rfp\spec-only\team-analyst\sample-data\sample-run\selections\[Chain Ladder Selections - LDFs.xlsx]Reported Count'!D9</f>
        <v>328.5804</v>
      </c>
      <c r="E9" s="4">
        <f>'C:\Users\super\Documents\actuarial\cas-rfp\spec-only\team-analyst\sample-data\sample-run\selections\[Chain Ladder Selections - LDFs.xlsx]Reported Count'!E9</f>
        <v>328.5804</v>
      </c>
      <c r="F9" s="4">
        <f>'C:\Users\super\Documents\actuarial\cas-rfp\spec-only\team-analyst\sample-data\sample-run\selections\[Chain Ladder Selections - LDFs.xlsx]Reported Count'!F9</f>
        <v>328.5804</v>
      </c>
      <c r="G9" s="4">
        <f>'C:\Users\super\Documents\actuarial\cas-rfp\spec-only\team-analyst\sample-data\sample-run\selections\[Chain Ladder Selections - LDFs.xlsx]Reported Count'!G9</f>
        <v>328.5804</v>
      </c>
      <c r="H9" s="4">
        <f>'C:\Users\super\Documents\actuarial\cas-rfp\spec-only\team-analyst\sample-data\sample-run\selections\[Chain Ladder Selections - LDFs.xlsx]Reported Count'!H9</f>
        <v>328.5804</v>
      </c>
      <c r="I9" s="4">
        <f>'C:\Users\super\Documents\actuarial\cas-rfp\spec-only\team-analyst\sample-data\sample-run\selections\[Chain Ladder Selections - LDFs.xlsx]Reported Count'!I9</f>
        <v>328.5804</v>
      </c>
      <c r="J9" s="4">
        <f>'C:\Users\super\Documents\actuarial\cas-rfp\spec-only\team-analyst\sample-data\sample-run\selections\[Chain Ladder Selections - LDFs.xlsx]Reported Count'!J9</f>
        <v>328.5804</v>
      </c>
      <c r="K9" s="4">
        <f>'C:\Users\super\Documents\actuarial\cas-rfp\spec-only\team-analyst\sample-data\sample-run\selections\[Chain Ladder Selections - LDFs.xlsx]Reported Count'!K9</f>
        <v>328.5804</v>
      </c>
      <c r="L9" s="4">
        <f>'C:\Users\super\Documents\actuarial\cas-rfp\spec-only\team-analyst\sample-data\sample-run\selections\[Chain Ladder Selections - LDFs.xlsx]Reported Count'!L9</f>
        <v>328.5804</v>
      </c>
      <c r="M9" s="4">
        <f>'C:\Users\super\Documents\actuarial\cas-rfp\spec-only\team-analyst\sample-data\sample-run\selections\[Chain Ladder Selections - LDFs.xlsx]Reported Count'!M9</f>
        <v>328.5804</v>
      </c>
      <c r="N9" s="4">
        <f>'C:\Users\super\Documents\actuarial\cas-rfp\spec-only\team-analyst\sample-data\sample-run\selections\[Chain Ladder Selections - LDFs.xlsx]Reported Count'!N9</f>
        <v>328.5804</v>
      </c>
      <c r="O9" s="4">
        <f>'C:\Users\super\Documents\actuarial\cas-rfp\spec-only\team-analyst\sample-data\sample-run\selections\[Chain Ladder Selections - LDFs.xlsx]Reported Count'!O9</f>
        <v>328.5804</v>
      </c>
      <c r="P9" s="4">
        <f>'C:\Users\super\Documents\actuarial\cas-rfp\spec-only\team-analyst\sample-data\sample-run\selections\[Chain Ladder Selections - LDFs.xlsx]Reported Count'!P9</f>
        <v>328.5804</v>
      </c>
      <c r="Q9" s="4">
        <f>'C:\Users\super\Documents\actuarial\cas-rfp\spec-only\team-analyst\sample-data\sample-run\selections\[Chain Ladder Selections - LDFs.xlsx]Reported Count'!Q9</f>
        <v>328.5804</v>
      </c>
      <c r="R9" s="4">
        <f>'C:\Users\super\Documents\actuarial\cas-rfp\spec-only\team-analyst\sample-data\sample-run\selections\[Chain Ladder Selections - LDFs.xlsx]Reported Count'!R9</f>
        <v>328.5804</v>
      </c>
    </row>
    <row r="10" spans="1:25">
      <c r="A10" s="3" t="s">
        <v>59</v>
      </c>
      <c r="B10" s="4">
        <f>'C:\Users\super\Documents\actuarial\cas-rfp\spec-only\team-analyst\sample-data\sample-run\selections\[Chain Ladder Selections - LDFs.xlsx]Reported Count'!B10</f>
        <v>306.1472</v>
      </c>
      <c r="C10" s="4">
        <f>'C:\Users\super\Documents\actuarial\cas-rfp\spec-only\team-analyst\sample-data\sample-run\selections\[Chain Ladder Selections - LDFs.xlsx]Reported Count'!C10</f>
        <v>320.6628</v>
      </c>
      <c r="D10" s="4">
        <f>'C:\Users\super\Documents\actuarial\cas-rfp\spec-only\team-analyst\sample-data\sample-run\selections\[Chain Ladder Selections - LDFs.xlsx]Reported Count'!D10</f>
        <v>321.9824</v>
      </c>
      <c r="E10" s="4">
        <f>'C:\Users\super\Documents\actuarial\cas-rfp\spec-only\team-analyst\sample-data\sample-run\selections\[Chain Ladder Selections - LDFs.xlsx]Reported Count'!E10</f>
        <v>321.9824</v>
      </c>
      <c r="F10" s="4">
        <f>'C:\Users\super\Documents\actuarial\cas-rfp\spec-only\team-analyst\sample-data\sample-run\selections\[Chain Ladder Selections - LDFs.xlsx]Reported Count'!F10</f>
        <v>321.9824</v>
      </c>
      <c r="G10" s="4">
        <f>'C:\Users\super\Documents\actuarial\cas-rfp\spec-only\team-analyst\sample-data\sample-run\selections\[Chain Ladder Selections - LDFs.xlsx]Reported Count'!G10</f>
        <v>321.9824</v>
      </c>
      <c r="H10" s="4">
        <f>'C:\Users\super\Documents\actuarial\cas-rfp\spec-only\team-analyst\sample-data\sample-run\selections\[Chain Ladder Selections - LDFs.xlsx]Reported Count'!H10</f>
        <v>321.9824</v>
      </c>
      <c r="I10" s="4">
        <f>'C:\Users\super\Documents\actuarial\cas-rfp\spec-only\team-analyst\sample-data\sample-run\selections\[Chain Ladder Selections - LDFs.xlsx]Reported Count'!I10</f>
        <v>321.9824</v>
      </c>
      <c r="J10" s="4">
        <f>'C:\Users\super\Documents\actuarial\cas-rfp\spec-only\team-analyst\sample-data\sample-run\selections\[Chain Ladder Selections - LDFs.xlsx]Reported Count'!J10</f>
        <v>321.9824</v>
      </c>
      <c r="K10" s="4">
        <f>'C:\Users\super\Documents\actuarial\cas-rfp\spec-only\team-analyst\sample-data\sample-run\selections\[Chain Ladder Selections - LDFs.xlsx]Reported Count'!K10</f>
        <v>321.9824</v>
      </c>
      <c r="L10" s="4">
        <f>'C:\Users\super\Documents\actuarial\cas-rfp\spec-only\team-analyst\sample-data\sample-run\selections\[Chain Ladder Selections - LDFs.xlsx]Reported Count'!L10</f>
        <v>321.9824</v>
      </c>
      <c r="M10" s="4">
        <f>'C:\Users\super\Documents\actuarial\cas-rfp\spec-only\team-analyst\sample-data\sample-run\selections\[Chain Ladder Selections - LDFs.xlsx]Reported Count'!M10</f>
        <v>321.9824</v>
      </c>
      <c r="N10" s="4">
        <f>'C:\Users\super\Documents\actuarial\cas-rfp\spec-only\team-analyst\sample-data\sample-run\selections\[Chain Ladder Selections - LDFs.xlsx]Reported Count'!N10</f>
        <v>321.9824</v>
      </c>
      <c r="O10" s="4">
        <f>'C:\Users\super\Documents\actuarial\cas-rfp\spec-only\team-analyst\sample-data\sample-run\selections\[Chain Ladder Selections - LDFs.xlsx]Reported Count'!O10</f>
        <v>321.9824</v>
      </c>
      <c r="P10" s="4">
        <f>'C:\Users\super\Documents\actuarial\cas-rfp\spec-only\team-analyst\sample-data\sample-run\selections\[Chain Ladder Selections - LDFs.xlsx]Reported Count'!P10</f>
        <v>321.9824</v>
      </c>
      <c r="Q10" s="4">
        <f>'C:\Users\super\Documents\actuarial\cas-rfp\spec-only\team-analyst\sample-data\sample-run\selections\[Chain Ladder Selections - LDFs.xlsx]Reported Count'!Q10</f>
        <v>321.9824</v>
      </c>
    </row>
    <row r="11" spans="1:25">
      <c r="A11" s="3" t="s">
        <v>60</v>
      </c>
      <c r="B11" s="4">
        <f>'C:\Users\super\Documents\actuarial\cas-rfp\spec-only\team-analyst\sample-data\sample-run\selections\[Chain Ladder Selections - LDFs.xlsx]Reported Count'!B11</f>
        <v>259.9612</v>
      </c>
      <c r="C11" s="4">
        <f>'C:\Users\super\Documents\actuarial\cas-rfp\spec-only\team-analyst\sample-data\sample-run\selections\[Chain Ladder Selections - LDFs.xlsx]Reported Count'!C11</f>
        <v>271.8376</v>
      </c>
      <c r="D11" s="4">
        <f>'C:\Users\super\Documents\actuarial\cas-rfp\spec-only\team-analyst\sample-data\sample-run\selections\[Chain Ladder Selections - LDFs.xlsx]Reported Count'!D11</f>
        <v>271.8376</v>
      </c>
      <c r="E11" s="4">
        <f>'C:\Users\super\Documents\actuarial\cas-rfp\spec-only\team-analyst\sample-data\sample-run\selections\[Chain Ladder Selections - LDFs.xlsx]Reported Count'!E11</f>
        <v>271.8376</v>
      </c>
      <c r="F11" s="4">
        <f>'C:\Users\super\Documents\actuarial\cas-rfp\spec-only\team-analyst\sample-data\sample-run\selections\[Chain Ladder Selections - LDFs.xlsx]Reported Count'!F11</f>
        <v>271.8376</v>
      </c>
      <c r="G11" s="4">
        <f>'C:\Users\super\Documents\actuarial\cas-rfp\spec-only\team-analyst\sample-data\sample-run\selections\[Chain Ladder Selections - LDFs.xlsx]Reported Count'!G11</f>
        <v>271.8376</v>
      </c>
      <c r="H11" s="4">
        <f>'C:\Users\super\Documents\actuarial\cas-rfp\spec-only\team-analyst\sample-data\sample-run\selections\[Chain Ladder Selections - LDFs.xlsx]Reported Count'!H11</f>
        <v>271.8376</v>
      </c>
      <c r="I11" s="4">
        <f>'C:\Users\super\Documents\actuarial\cas-rfp\spec-only\team-analyst\sample-data\sample-run\selections\[Chain Ladder Selections - LDFs.xlsx]Reported Count'!I11</f>
        <v>271.8376</v>
      </c>
      <c r="J11" s="4">
        <f>'C:\Users\super\Documents\actuarial\cas-rfp\spec-only\team-analyst\sample-data\sample-run\selections\[Chain Ladder Selections - LDFs.xlsx]Reported Count'!J11</f>
        <v>271.8376</v>
      </c>
      <c r="K11" s="4">
        <f>'C:\Users\super\Documents\actuarial\cas-rfp\spec-only\team-analyst\sample-data\sample-run\selections\[Chain Ladder Selections - LDFs.xlsx]Reported Count'!K11</f>
        <v>271.8376</v>
      </c>
      <c r="L11" s="4">
        <f>'C:\Users\super\Documents\actuarial\cas-rfp\spec-only\team-analyst\sample-data\sample-run\selections\[Chain Ladder Selections - LDFs.xlsx]Reported Count'!L11</f>
        <v>271.8376</v>
      </c>
      <c r="M11" s="4">
        <f>'C:\Users\super\Documents\actuarial\cas-rfp\spec-only\team-analyst\sample-data\sample-run\selections\[Chain Ladder Selections - LDFs.xlsx]Reported Count'!M11</f>
        <v>271.8376</v>
      </c>
      <c r="N11" s="4">
        <f>'C:\Users\super\Documents\actuarial\cas-rfp\spec-only\team-analyst\sample-data\sample-run\selections\[Chain Ladder Selections - LDFs.xlsx]Reported Count'!N11</f>
        <v>271.8376</v>
      </c>
      <c r="O11" s="4">
        <f>'C:\Users\super\Documents\actuarial\cas-rfp\spec-only\team-analyst\sample-data\sample-run\selections\[Chain Ladder Selections - LDFs.xlsx]Reported Count'!O11</f>
        <v>271.8376</v>
      </c>
      <c r="P11" s="4">
        <f>'C:\Users\super\Documents\actuarial\cas-rfp\spec-only\team-analyst\sample-data\sample-run\selections\[Chain Ladder Selections - LDFs.xlsx]Reported Count'!P11</f>
        <v>271.8376</v>
      </c>
    </row>
    <row r="12" spans="1:25">
      <c r="A12" s="3" t="s">
        <v>61</v>
      </c>
      <c r="B12" s="4">
        <f>'C:\Users\super\Documents\actuarial\cas-rfp\spec-only\team-analyst\sample-data\sample-run\selections\[Chain Ladder Selections - LDFs.xlsx]Reported Count'!B12</f>
        <v>345.7352</v>
      </c>
      <c r="C12" s="4">
        <f>'C:\Users\super\Documents\actuarial\cas-rfp\spec-only\team-analyst\sample-data\sample-run\selections\[Chain Ladder Selections - LDFs.xlsx]Reported Count'!C12</f>
        <v>345.7352</v>
      </c>
      <c r="D12" s="4">
        <f>'C:\Users\super\Documents\actuarial\cas-rfp\spec-only\team-analyst\sample-data\sample-run\selections\[Chain Ladder Selections - LDFs.xlsx]Reported Count'!D12</f>
        <v>345.7352</v>
      </c>
      <c r="E12" s="4">
        <f>'C:\Users\super\Documents\actuarial\cas-rfp\spec-only\team-analyst\sample-data\sample-run\selections\[Chain Ladder Selections - LDFs.xlsx]Reported Count'!E12</f>
        <v>345.7352</v>
      </c>
      <c r="F12" s="4">
        <f>'C:\Users\super\Documents\actuarial\cas-rfp\spec-only\team-analyst\sample-data\sample-run\selections\[Chain Ladder Selections - LDFs.xlsx]Reported Count'!F12</f>
        <v>345.7352</v>
      </c>
      <c r="G12" s="4">
        <f>'C:\Users\super\Documents\actuarial\cas-rfp\spec-only\team-analyst\sample-data\sample-run\selections\[Chain Ladder Selections - LDFs.xlsx]Reported Count'!G12</f>
        <v>345.7352</v>
      </c>
      <c r="H12" s="4">
        <f>'C:\Users\super\Documents\actuarial\cas-rfp\spec-only\team-analyst\sample-data\sample-run\selections\[Chain Ladder Selections - LDFs.xlsx]Reported Count'!H12</f>
        <v>345.7352</v>
      </c>
      <c r="I12" s="4">
        <f>'C:\Users\super\Documents\actuarial\cas-rfp\spec-only\team-analyst\sample-data\sample-run\selections\[Chain Ladder Selections - LDFs.xlsx]Reported Count'!I12</f>
        <v>345.7352</v>
      </c>
      <c r="J12" s="4">
        <f>'C:\Users\super\Documents\actuarial\cas-rfp\spec-only\team-analyst\sample-data\sample-run\selections\[Chain Ladder Selections - LDFs.xlsx]Reported Count'!J12</f>
        <v>345.7352</v>
      </c>
      <c r="K12" s="4">
        <f>'C:\Users\super\Documents\actuarial\cas-rfp\spec-only\team-analyst\sample-data\sample-run\selections\[Chain Ladder Selections - LDFs.xlsx]Reported Count'!K12</f>
        <v>345.7352</v>
      </c>
      <c r="L12" s="4">
        <f>'C:\Users\super\Documents\actuarial\cas-rfp\spec-only\team-analyst\sample-data\sample-run\selections\[Chain Ladder Selections - LDFs.xlsx]Reported Count'!L12</f>
        <v>345.7352</v>
      </c>
      <c r="M12" s="4">
        <f>'C:\Users\super\Documents\actuarial\cas-rfp\spec-only\team-analyst\sample-data\sample-run\selections\[Chain Ladder Selections - LDFs.xlsx]Reported Count'!M12</f>
        <v>345.7352</v>
      </c>
      <c r="N12" s="4">
        <f>'C:\Users\super\Documents\actuarial\cas-rfp\spec-only\team-analyst\sample-data\sample-run\selections\[Chain Ladder Selections - LDFs.xlsx]Reported Count'!N12</f>
        <v>345.7352</v>
      </c>
      <c r="O12" s="4">
        <f>'C:\Users\super\Documents\actuarial\cas-rfp\spec-only\team-analyst\sample-data\sample-run\selections\[Chain Ladder Selections - LDFs.xlsx]Reported Count'!O12</f>
        <v>345.7352</v>
      </c>
    </row>
    <row r="13" spans="1:25">
      <c r="A13" s="3" t="s">
        <v>62</v>
      </c>
      <c r="B13" s="4">
        <f>'C:\Users\super\Documents\actuarial\cas-rfp\spec-only\team-analyst\sample-data\sample-run\selections\[Chain Ladder Selections - LDFs.xlsx]Reported Count'!B13</f>
        <v>245.4456</v>
      </c>
      <c r="C13" s="4">
        <f>'C:\Users\super\Documents\actuarial\cas-rfp\spec-only\team-analyst\sample-data\sample-run\selections\[Chain Ladder Selections - LDFs.xlsx]Reported Count'!C13</f>
        <v>261.2808</v>
      </c>
      <c r="D13" s="4">
        <f>'C:\Users\super\Documents\actuarial\cas-rfp\spec-only\team-analyst\sample-data\sample-run\selections\[Chain Ladder Selections - LDFs.xlsx]Reported Count'!D13</f>
        <v>261.2808</v>
      </c>
      <c r="E13" s="4">
        <f>'C:\Users\super\Documents\actuarial\cas-rfp\spec-only\team-analyst\sample-data\sample-run\selections\[Chain Ladder Selections - LDFs.xlsx]Reported Count'!E13</f>
        <v>261.2808</v>
      </c>
      <c r="F13" s="4">
        <f>'C:\Users\super\Documents\actuarial\cas-rfp\spec-only\team-analyst\sample-data\sample-run\selections\[Chain Ladder Selections - LDFs.xlsx]Reported Count'!F13</f>
        <v>261.2808</v>
      </c>
      <c r="G13" s="4">
        <f>'C:\Users\super\Documents\actuarial\cas-rfp\spec-only\team-analyst\sample-data\sample-run\selections\[Chain Ladder Selections - LDFs.xlsx]Reported Count'!G13</f>
        <v>261.2808</v>
      </c>
      <c r="H13" s="4">
        <f>'C:\Users\super\Documents\actuarial\cas-rfp\spec-only\team-analyst\sample-data\sample-run\selections\[Chain Ladder Selections - LDFs.xlsx]Reported Count'!H13</f>
        <v>261.2808</v>
      </c>
      <c r="I13" s="4">
        <f>'C:\Users\super\Documents\actuarial\cas-rfp\spec-only\team-analyst\sample-data\sample-run\selections\[Chain Ladder Selections - LDFs.xlsx]Reported Count'!I13</f>
        <v>261.2808</v>
      </c>
      <c r="J13" s="4">
        <f>'C:\Users\super\Documents\actuarial\cas-rfp\spec-only\team-analyst\sample-data\sample-run\selections\[Chain Ladder Selections - LDFs.xlsx]Reported Count'!J13</f>
        <v>261.2808</v>
      </c>
      <c r="K13" s="4">
        <f>'C:\Users\super\Documents\actuarial\cas-rfp\spec-only\team-analyst\sample-data\sample-run\selections\[Chain Ladder Selections - LDFs.xlsx]Reported Count'!K13</f>
        <v>261.2808</v>
      </c>
      <c r="L13" s="4">
        <f>'C:\Users\super\Documents\actuarial\cas-rfp\spec-only\team-analyst\sample-data\sample-run\selections\[Chain Ladder Selections - LDFs.xlsx]Reported Count'!L13</f>
        <v>261.2808</v>
      </c>
      <c r="M13" s="4">
        <f>'C:\Users\super\Documents\actuarial\cas-rfp\spec-only\team-analyst\sample-data\sample-run\selections\[Chain Ladder Selections - LDFs.xlsx]Reported Count'!M13</f>
        <v>261.2808</v>
      </c>
      <c r="N13" s="4">
        <f>'C:\Users\super\Documents\actuarial\cas-rfp\spec-only\team-analyst\sample-data\sample-run\selections\[Chain Ladder Selections - LDFs.xlsx]Reported Count'!N13</f>
        <v>261.2808</v>
      </c>
    </row>
    <row r="14" spans="1:25">
      <c r="A14" s="3" t="s">
        <v>63</v>
      </c>
      <c r="B14" s="4">
        <f>'C:\Users\super\Documents\actuarial\cas-rfp\spec-only\team-analyst\sample-data\sample-run\selections\[Chain Ladder Selections - LDFs.xlsx]Reported Count'!B14</f>
        <v>282.3944</v>
      </c>
      <c r="C14" s="4">
        <f>'C:\Users\super\Documents\actuarial\cas-rfp\spec-only\team-analyst\sample-data\sample-run\selections\[Chain Ladder Selections - LDFs.xlsx]Reported Count'!C14</f>
        <v>290.312</v>
      </c>
      <c r="D14" s="4">
        <f>'C:\Users\super\Documents\actuarial\cas-rfp\spec-only\team-analyst\sample-data\sample-run\selections\[Chain Ladder Selections - LDFs.xlsx]Reported Count'!D14</f>
        <v>290.312</v>
      </c>
      <c r="E14" s="4">
        <f>'C:\Users\super\Documents\actuarial\cas-rfp\spec-only\team-analyst\sample-data\sample-run\selections\[Chain Ladder Selections - LDFs.xlsx]Reported Count'!E14</f>
        <v>291.6316</v>
      </c>
      <c r="F14" s="4">
        <f>'C:\Users\super\Documents\actuarial\cas-rfp\spec-only\team-analyst\sample-data\sample-run\selections\[Chain Ladder Selections - LDFs.xlsx]Reported Count'!F14</f>
        <v>291.6316</v>
      </c>
      <c r="G14" s="4">
        <f>'C:\Users\super\Documents\actuarial\cas-rfp\spec-only\team-analyst\sample-data\sample-run\selections\[Chain Ladder Selections - LDFs.xlsx]Reported Count'!G14</f>
        <v>291.6316</v>
      </c>
      <c r="H14" s="4">
        <f>'C:\Users\super\Documents\actuarial\cas-rfp\spec-only\team-analyst\sample-data\sample-run\selections\[Chain Ladder Selections - LDFs.xlsx]Reported Count'!H14</f>
        <v>291.6316</v>
      </c>
      <c r="I14" s="4">
        <f>'C:\Users\super\Documents\actuarial\cas-rfp\spec-only\team-analyst\sample-data\sample-run\selections\[Chain Ladder Selections - LDFs.xlsx]Reported Count'!I14</f>
        <v>291.6316</v>
      </c>
      <c r="J14" s="4">
        <f>'C:\Users\super\Documents\actuarial\cas-rfp\spec-only\team-analyst\sample-data\sample-run\selections\[Chain Ladder Selections - LDFs.xlsx]Reported Count'!J14</f>
        <v>291.6316</v>
      </c>
      <c r="K14" s="4">
        <f>'C:\Users\super\Documents\actuarial\cas-rfp\spec-only\team-analyst\sample-data\sample-run\selections\[Chain Ladder Selections - LDFs.xlsx]Reported Count'!K14</f>
        <v>291.6316</v>
      </c>
      <c r="L14" s="4">
        <f>'C:\Users\super\Documents\actuarial\cas-rfp\spec-only\team-analyst\sample-data\sample-run\selections\[Chain Ladder Selections - LDFs.xlsx]Reported Count'!L14</f>
        <v>291.6316</v>
      </c>
      <c r="M14" s="4">
        <f>'C:\Users\super\Documents\actuarial\cas-rfp\spec-only\team-analyst\sample-data\sample-run\selections\[Chain Ladder Selections - LDFs.xlsx]Reported Count'!M14</f>
        <v>291.6316</v>
      </c>
    </row>
    <row r="15" spans="1:25">
      <c r="A15" s="3" t="s">
        <v>64</v>
      </c>
      <c r="B15" s="4">
        <f>'C:\Users\super\Documents\actuarial\cas-rfp\spec-only\team-analyst\sample-data\sample-run\selections\[Chain Ladder Selections - LDFs.xlsx]Reported Count'!B15</f>
        <v>434.1484</v>
      </c>
      <c r="C15" s="4">
        <f>'C:\Users\super\Documents\actuarial\cas-rfp\spec-only\team-analyst\sample-data\sample-run\selections\[Chain Ladder Selections - LDFs.xlsx]Reported Count'!C15</f>
        <v>453.9424</v>
      </c>
      <c r="D15" s="4">
        <f>'C:\Users\super\Documents\actuarial\cas-rfp\spec-only\team-analyst\sample-data\sample-run\selections\[Chain Ladder Selections - LDFs.xlsx]Reported Count'!D15</f>
        <v>455.262</v>
      </c>
      <c r="E15" s="4">
        <f>'C:\Users\super\Documents\actuarial\cas-rfp\spec-only\team-analyst\sample-data\sample-run\selections\[Chain Ladder Selections - LDFs.xlsx]Reported Count'!E15</f>
        <v>455.262</v>
      </c>
      <c r="F15" s="4">
        <f>'C:\Users\super\Documents\actuarial\cas-rfp\spec-only\team-analyst\sample-data\sample-run\selections\[Chain Ladder Selections - LDFs.xlsx]Reported Count'!F15</f>
        <v>455.262</v>
      </c>
      <c r="G15" s="4">
        <f>'C:\Users\super\Documents\actuarial\cas-rfp\spec-only\team-analyst\sample-data\sample-run\selections\[Chain Ladder Selections - LDFs.xlsx]Reported Count'!G15</f>
        <v>455.262</v>
      </c>
      <c r="H15" s="4">
        <f>'C:\Users\super\Documents\actuarial\cas-rfp\spec-only\team-analyst\sample-data\sample-run\selections\[Chain Ladder Selections - LDFs.xlsx]Reported Count'!H15</f>
        <v>455.262</v>
      </c>
      <c r="I15" s="4">
        <f>'C:\Users\super\Documents\actuarial\cas-rfp\spec-only\team-analyst\sample-data\sample-run\selections\[Chain Ladder Selections - LDFs.xlsx]Reported Count'!I15</f>
        <v>455.262</v>
      </c>
      <c r="J15" s="4">
        <f>'C:\Users\super\Documents\actuarial\cas-rfp\spec-only\team-analyst\sample-data\sample-run\selections\[Chain Ladder Selections - LDFs.xlsx]Reported Count'!J15</f>
        <v>455.262</v>
      </c>
      <c r="K15" s="4">
        <f>'C:\Users\super\Documents\actuarial\cas-rfp\spec-only\team-analyst\sample-data\sample-run\selections\[Chain Ladder Selections - LDFs.xlsx]Reported Count'!K15</f>
        <v>455.262</v>
      </c>
      <c r="L15" s="4">
        <f>'C:\Users\super\Documents\actuarial\cas-rfp\spec-only\team-analyst\sample-data\sample-run\selections\[Chain Ladder Selections - LDFs.xlsx]Reported Count'!L15</f>
        <v>455.262</v>
      </c>
    </row>
    <row r="16" spans="1:25">
      <c r="A16" s="3" t="s">
        <v>65</v>
      </c>
      <c r="B16" s="4">
        <f>'C:\Users\super\Documents\actuarial\cas-rfp\spec-only\team-analyst\sample-data\sample-run\selections\[Chain Ladder Selections - LDFs.xlsx]Reported Count'!B16</f>
        <v>321.9824</v>
      </c>
      <c r="C16" s="4">
        <f>'C:\Users\super\Documents\actuarial\cas-rfp\spec-only\team-analyst\sample-data\sample-run\selections\[Chain Ladder Selections - LDFs.xlsx]Reported Count'!C16</f>
        <v>332.5392</v>
      </c>
      <c r="D16" s="4">
        <f>'C:\Users\super\Documents\actuarial\cas-rfp\spec-only\team-analyst\sample-data\sample-run\selections\[Chain Ladder Selections - LDFs.xlsx]Reported Count'!D16</f>
        <v>337.8176</v>
      </c>
      <c r="E16" s="4">
        <f>'C:\Users\super\Documents\actuarial\cas-rfp\spec-only\team-analyst\sample-data\sample-run\selections\[Chain Ladder Selections - LDFs.xlsx]Reported Count'!E16</f>
        <v>337.8176</v>
      </c>
      <c r="F16" s="4">
        <f>'C:\Users\super\Documents\actuarial\cas-rfp\spec-only\team-analyst\sample-data\sample-run\selections\[Chain Ladder Selections - LDFs.xlsx]Reported Count'!F16</f>
        <v>337.8176</v>
      </c>
      <c r="G16" s="4">
        <f>'C:\Users\super\Documents\actuarial\cas-rfp\spec-only\team-analyst\sample-data\sample-run\selections\[Chain Ladder Selections - LDFs.xlsx]Reported Count'!G16</f>
        <v>337.8176</v>
      </c>
      <c r="H16" s="4">
        <f>'C:\Users\super\Documents\actuarial\cas-rfp\spec-only\team-analyst\sample-data\sample-run\selections\[Chain Ladder Selections - LDFs.xlsx]Reported Count'!H16</f>
        <v>337.8176</v>
      </c>
      <c r="I16" s="4">
        <f>'C:\Users\super\Documents\actuarial\cas-rfp\spec-only\team-analyst\sample-data\sample-run\selections\[Chain Ladder Selections - LDFs.xlsx]Reported Count'!I16</f>
        <v>337.8176</v>
      </c>
      <c r="J16" s="4">
        <f>'C:\Users\super\Documents\actuarial\cas-rfp\spec-only\team-analyst\sample-data\sample-run\selections\[Chain Ladder Selections - LDFs.xlsx]Reported Count'!J16</f>
        <v>337.8176</v>
      </c>
      <c r="K16" s="4">
        <f>'C:\Users\super\Documents\actuarial\cas-rfp\spec-only\team-analyst\sample-data\sample-run\selections\[Chain Ladder Selections - LDFs.xlsx]Reported Count'!K16</f>
        <v>333.8588</v>
      </c>
    </row>
    <row r="17" spans="1:24">
      <c r="A17" s="3" t="s">
        <v>66</v>
      </c>
      <c r="B17" s="4">
        <f>'C:\Users\super\Documents\actuarial\cas-rfp\spec-only\team-analyst\sample-data\sample-run\selections\[Chain Ladder Selections - LDFs.xlsx]Reported Count'!B17</f>
        <v>345.7352</v>
      </c>
      <c r="C17" s="4">
        <f>'C:\Users\super\Documents\actuarial\cas-rfp\spec-only\team-analyst\sample-data\sample-run\selections\[Chain Ladder Selections - LDFs.xlsx]Reported Count'!C17</f>
        <v>373.4468</v>
      </c>
      <c r="D17" s="4">
        <f>'C:\Users\super\Documents\actuarial\cas-rfp\spec-only\team-analyst\sample-data\sample-run\selections\[Chain Ladder Selections - LDFs.xlsx]Reported Count'!D17</f>
        <v>390.6016</v>
      </c>
      <c r="E17" s="4">
        <f>'C:\Users\super\Documents\actuarial\cas-rfp\spec-only\team-analyst\sample-data\sample-run\selections\[Chain Ladder Selections - LDFs.xlsx]Reported Count'!E17</f>
        <v>390.6016</v>
      </c>
      <c r="F17" s="4">
        <f>'C:\Users\super\Documents\actuarial\cas-rfp\spec-only\team-analyst\sample-data\sample-run\selections\[Chain Ladder Selections - LDFs.xlsx]Reported Count'!F17</f>
        <v>390.6016</v>
      </c>
      <c r="G17" s="4">
        <f>'C:\Users\super\Documents\actuarial\cas-rfp\spec-only\team-analyst\sample-data\sample-run\selections\[Chain Ladder Selections - LDFs.xlsx]Reported Count'!G17</f>
        <v>390.6016</v>
      </c>
      <c r="H17" s="4">
        <f>'C:\Users\super\Documents\actuarial\cas-rfp\spec-only\team-analyst\sample-data\sample-run\selections\[Chain Ladder Selections - LDFs.xlsx]Reported Count'!H17</f>
        <v>390.6016</v>
      </c>
      <c r="I17" s="4">
        <f>'C:\Users\super\Documents\actuarial\cas-rfp\spec-only\team-analyst\sample-data\sample-run\selections\[Chain Ladder Selections - LDFs.xlsx]Reported Count'!I17</f>
        <v>390.6016</v>
      </c>
      <c r="J17" s="4">
        <f>'C:\Users\super\Documents\actuarial\cas-rfp\spec-only\team-analyst\sample-data\sample-run\selections\[Chain Ladder Selections - LDFs.xlsx]Reported Count'!J17</f>
        <v>390.6016</v>
      </c>
    </row>
    <row r="18" spans="1:24">
      <c r="A18" s="3" t="s">
        <v>67</v>
      </c>
      <c r="B18" s="4">
        <f>'C:\Users\super\Documents\actuarial\cas-rfp\spec-only\team-analyst\sample-data\sample-run\selections\[Chain Ladder Selections - LDFs.xlsx]Reported Count'!B18</f>
        <v>275.7964</v>
      </c>
      <c r="C18" s="4">
        <f>'C:\Users\super\Documents\actuarial\cas-rfp\spec-only\team-analyst\sample-data\sample-run\selections\[Chain Ladder Selections - LDFs.xlsx]Reported Count'!C18</f>
        <v>310.106</v>
      </c>
      <c r="D18" s="4">
        <f>'C:\Users\super\Documents\actuarial\cas-rfp\spec-only\team-analyst\sample-data\sample-run\selections\[Chain Ladder Selections - LDFs.xlsx]Reported Count'!D18</f>
        <v>311.4256</v>
      </c>
      <c r="E18" s="4">
        <f>'C:\Users\super\Documents\actuarial\cas-rfp\spec-only\team-analyst\sample-data\sample-run\selections\[Chain Ladder Selections - LDFs.xlsx]Reported Count'!E18</f>
        <v>312.7452</v>
      </c>
      <c r="F18" s="4">
        <f>'C:\Users\super\Documents\actuarial\cas-rfp\spec-only\team-analyst\sample-data\sample-run\selections\[Chain Ladder Selections - LDFs.xlsx]Reported Count'!F18</f>
        <v>311.4256</v>
      </c>
      <c r="G18" s="4">
        <f>'C:\Users\super\Documents\actuarial\cas-rfp\spec-only\team-analyst\sample-data\sample-run\selections\[Chain Ladder Selections - LDFs.xlsx]Reported Count'!G18</f>
        <v>311.4256</v>
      </c>
      <c r="H18" s="4">
        <f>'C:\Users\super\Documents\actuarial\cas-rfp\spec-only\team-analyst\sample-data\sample-run\selections\[Chain Ladder Selections - LDFs.xlsx]Reported Count'!H18</f>
        <v>311.4256</v>
      </c>
      <c r="I18" s="4">
        <f>'C:\Users\super\Documents\actuarial\cas-rfp\spec-only\team-analyst\sample-data\sample-run\selections\[Chain Ladder Selections - LDFs.xlsx]Reported Count'!I18</f>
        <v>310.106</v>
      </c>
    </row>
    <row r="19" spans="1:24">
      <c r="A19" s="3" t="s">
        <v>68</v>
      </c>
      <c r="B19" s="4">
        <f>'C:\Users\super\Documents\actuarial\cas-rfp\spec-only\team-analyst\sample-data\sample-run\selections\[Chain Ladder Selections - LDFs.xlsx]Reported Count'!B19</f>
        <v>288.9924</v>
      </c>
      <c r="C19" s="4">
        <f>'C:\Users\super\Documents\actuarial\cas-rfp\spec-only\team-analyst\sample-data\sample-run\selections\[Chain Ladder Selections - LDFs.xlsx]Reported Count'!C19</f>
        <v>324.6216</v>
      </c>
      <c r="D19" s="4">
        <f>'C:\Users\super\Documents\actuarial\cas-rfp\spec-only\team-analyst\sample-data\sample-run\selections\[Chain Ladder Selections - LDFs.xlsx]Reported Count'!D19</f>
        <v>324.6216</v>
      </c>
      <c r="E19" s="4">
        <f>'C:\Users\super\Documents\actuarial\cas-rfp\spec-only\team-analyst\sample-data\sample-run\selections\[Chain Ladder Selections - LDFs.xlsx]Reported Count'!E19</f>
        <v>324.6216</v>
      </c>
      <c r="F19" s="4">
        <f>'C:\Users\super\Documents\actuarial\cas-rfp\spec-only\team-analyst\sample-data\sample-run\selections\[Chain Ladder Selections - LDFs.xlsx]Reported Count'!F19</f>
        <v>325.9412</v>
      </c>
      <c r="G19" s="4">
        <f>'C:\Users\super\Documents\actuarial\cas-rfp\spec-only\team-analyst\sample-data\sample-run\selections\[Chain Ladder Selections - LDFs.xlsx]Reported Count'!G19</f>
        <v>325.9412</v>
      </c>
      <c r="H19" s="4">
        <f>'C:\Users\super\Documents\actuarial\cas-rfp\spec-only\team-analyst\sample-data\sample-run\selections\[Chain Ladder Selections - LDFs.xlsx]Reported Count'!H19</f>
        <v>325.9412</v>
      </c>
    </row>
    <row r="20" spans="1:24">
      <c r="A20" s="3" t="s">
        <v>69</v>
      </c>
      <c r="B20" s="4">
        <f>'C:\Users\super\Documents\actuarial\cas-rfp\spec-only\team-analyst\sample-data\sample-run\selections\[Chain Ladder Selections - LDFs.xlsx]Reported Count'!B20</f>
        <v>314.0648</v>
      </c>
      <c r="C20" s="4">
        <f>'C:\Users\super\Documents\actuarial\cas-rfp\spec-only\team-analyst\sample-data\sample-run\selections\[Chain Ladder Selections - LDFs.xlsx]Reported Count'!C20</f>
        <v>358.9312</v>
      </c>
      <c r="D20" s="4">
        <f>'C:\Users\super\Documents\actuarial\cas-rfp\spec-only\team-analyst\sample-data\sample-run\selections\[Chain Ladder Selections - LDFs.xlsx]Reported Count'!D20</f>
        <v>358.9312</v>
      </c>
      <c r="E20" s="4">
        <f>'C:\Users\super\Documents\actuarial\cas-rfp\spec-only\team-analyst\sample-data\sample-run\selections\[Chain Ladder Selections - LDFs.xlsx]Reported Count'!E20</f>
        <v>358.9312</v>
      </c>
      <c r="F20" s="4">
        <f>'C:\Users\super\Documents\actuarial\cas-rfp\spec-only\team-analyst\sample-data\sample-run\selections\[Chain Ladder Selections - LDFs.xlsx]Reported Count'!F20</f>
        <v>358.9312</v>
      </c>
      <c r="G20" s="4">
        <f>'C:\Users\super\Documents\actuarial\cas-rfp\spec-only\team-analyst\sample-data\sample-run\selections\[Chain Ladder Selections - LDFs.xlsx]Reported Count'!G20</f>
        <v>357.6116</v>
      </c>
    </row>
    <row r="21" spans="1:24">
      <c r="A21" s="3" t="s">
        <v>70</v>
      </c>
      <c r="B21" s="4">
        <f>'C:\Users\super\Documents\actuarial\cas-rfp\spec-only\team-analyst\sample-data\sample-run\selections\[Chain Ladder Selections - LDFs.xlsx]Reported Count'!B21</f>
        <v>349.694</v>
      </c>
      <c r="C21" s="4">
        <f>'C:\Users\super\Documents\actuarial\cas-rfp\spec-only\team-analyst\sample-data\sample-run\selections\[Chain Ladder Selections - LDFs.xlsx]Reported Count'!C21</f>
        <v>370.8076</v>
      </c>
      <c r="D21" s="4">
        <f>'C:\Users\super\Documents\actuarial\cas-rfp\spec-only\team-analyst\sample-data\sample-run\selections\[Chain Ladder Selections - LDFs.xlsx]Reported Count'!D21</f>
        <v>370.8076</v>
      </c>
      <c r="E21" s="4">
        <f>'C:\Users\super\Documents\actuarial\cas-rfp\spec-only\team-analyst\sample-data\sample-run\selections\[Chain Ladder Selections - LDFs.xlsx]Reported Count'!E21</f>
        <v>370.8076</v>
      </c>
      <c r="F21" s="4">
        <f>'C:\Users\super\Documents\actuarial\cas-rfp\spec-only\team-analyst\sample-data\sample-run\selections\[Chain Ladder Selections - LDFs.xlsx]Reported Count'!F21</f>
        <v>370.8076</v>
      </c>
    </row>
    <row r="22" spans="1:24">
      <c r="A22" s="3" t="s">
        <v>71</v>
      </c>
      <c r="B22" s="4">
        <f>'C:\Users\super\Documents\actuarial\cas-rfp\spec-only\team-analyst\sample-data\sample-run\selections\[Chain Ladder Selections - LDFs.xlsx]Reported Count'!B22</f>
        <v>288.9924</v>
      </c>
      <c r="C22" s="4">
        <f>'C:\Users\super\Documents\actuarial\cas-rfp\spec-only\team-analyst\sample-data\sample-run\selections\[Chain Ladder Selections - LDFs.xlsx]Reported Count'!C22</f>
        <v>329.9</v>
      </c>
      <c r="D22" s="4">
        <f>'C:\Users\super\Documents\actuarial\cas-rfp\spec-only\team-analyst\sample-data\sample-run\selections\[Chain Ladder Selections - LDFs.xlsx]Reported Count'!D22</f>
        <v>329.9</v>
      </c>
      <c r="E22" s="4">
        <f>'C:\Users\super\Documents\actuarial\cas-rfp\spec-only\team-analyst\sample-data\sample-run\selections\[Chain Ladder Selections - LDFs.xlsx]Reported Count'!E22</f>
        <v>329.9</v>
      </c>
    </row>
    <row r="23" spans="1:24">
      <c r="A23" s="3" t="s">
        <v>72</v>
      </c>
      <c r="B23" s="4">
        <f>'C:\Users\super\Documents\actuarial\cas-rfp\spec-only\team-analyst\sample-data\sample-run\selections\[Chain Ladder Selections - LDFs.xlsx]Reported Count'!B23</f>
        <v>261.2808</v>
      </c>
      <c r="C23" s="4">
        <f>'C:\Users\super\Documents\actuarial\cas-rfp\spec-only\team-analyst\sample-data\sample-run\selections\[Chain Ladder Selections - LDFs.xlsx]Reported Count'!C23</f>
        <v>298.2296</v>
      </c>
      <c r="D23" s="4">
        <f>'C:\Users\super\Documents\actuarial\cas-rfp\spec-only\team-analyst\sample-data\sample-run\selections\[Chain Ladder Selections - LDFs.xlsx]Reported Count'!D23</f>
        <v>298.2296</v>
      </c>
    </row>
    <row r="24" spans="1:24">
      <c r="A24" s="3" t="s">
        <v>73</v>
      </c>
      <c r="B24" s="4">
        <f>'C:\Users\super\Documents\actuarial\cas-rfp\spec-only\team-analyst\sample-data\sample-run\selections\[Chain Ladder Selections - LDFs.xlsx]Reported Count'!B24</f>
        <v>273.1572</v>
      </c>
      <c r="C24" s="4">
        <f>'C:\Users\super\Documents\actuarial\cas-rfp\spec-only\team-analyst\sample-data\sample-run\selections\[Chain Ladder Selections - LDFs.xlsx]Reported Count'!C24</f>
        <v>304.8276</v>
      </c>
    </row>
    <row r="25" spans="1:24">
      <c r="A25" s="3" t="s">
        <v>74</v>
      </c>
      <c r="B25" s="4">
        <f>'C:\Users\super\Documents\actuarial\cas-rfp\spec-only\team-analyst\sample-data\sample-run\selections\[Chain Ladder Selections - LDFs.xlsx]Reported Count'!B25</f>
        <v>256.0024</v>
      </c>
    </row>
    <row r="26" spans="1:24">
      <c r="A26" s="3"/>
    </row>
    <row r="27" spans="1:24">
      <c r="A27" s="3" t="s">
        <v>50</v>
      </c>
      <c r="B27" t="s">
        <v>75</v>
      </c>
      <c r="C27" t="s">
        <v>76</v>
      </c>
      <c r="D27" t="s">
        <v>77</v>
      </c>
      <c r="E27" t="s">
        <v>78</v>
      </c>
      <c r="F27" t="s">
        <v>79</v>
      </c>
      <c r="G27" t="s">
        <v>80</v>
      </c>
      <c r="H27" t="s">
        <v>81</v>
      </c>
      <c r="I27" t="s">
        <v>82</v>
      </c>
      <c r="J27" t="s">
        <v>83</v>
      </c>
      <c r="K27" t="s">
        <v>84</v>
      </c>
      <c r="L27" t="s">
        <v>85</v>
      </c>
      <c r="M27" t="s">
        <v>86</v>
      </c>
      <c r="N27" t="s">
        <v>87</v>
      </c>
      <c r="O27" t="s">
        <v>88</v>
      </c>
      <c r="P27" t="s">
        <v>89</v>
      </c>
      <c r="Q27" t="s">
        <v>90</v>
      </c>
      <c r="R27" t="s">
        <v>91</v>
      </c>
      <c r="S27" t="s">
        <v>92</v>
      </c>
      <c r="T27" t="s">
        <v>93</v>
      </c>
      <c r="U27" t="s">
        <v>94</v>
      </c>
      <c r="V27" t="s">
        <v>95</v>
      </c>
      <c r="W27" t="s">
        <v>96</v>
      </c>
      <c r="X27" t="s">
        <v>97</v>
      </c>
    </row>
    <row r="28" spans="1:24">
      <c r="A28" s="3" t="s">
        <v>51</v>
      </c>
      <c r="B28">
        <f>IFERROR(IF(B2="","",B2/A2),"")</f>
        <v>0</v>
      </c>
      <c r="C28">
        <f>IFERROR(IF(C2="","",C2/B2),"")</f>
        <v>0</v>
      </c>
      <c r="D28">
        <f>IFERROR(IF(D2="","",D2/C2),"")</f>
        <v>0</v>
      </c>
      <c r="E28">
        <f>IFERROR(IF(E2="","",E2/D2),"")</f>
        <v>0</v>
      </c>
      <c r="F28">
        <f>IFERROR(IF(F2="","",F2/E2),"")</f>
        <v>0</v>
      </c>
      <c r="G28">
        <f>IFERROR(IF(G2="","",G2/F2),"")</f>
        <v>0</v>
      </c>
      <c r="H28">
        <f>IFERROR(IF(H2="","",H2/G2),"")</f>
        <v>0</v>
      </c>
      <c r="I28">
        <f>IFERROR(IF(I2="","",I2/H2),"")</f>
        <v>0</v>
      </c>
      <c r="J28">
        <f>IFERROR(IF(J2="","",J2/I2),"")</f>
        <v>0</v>
      </c>
      <c r="K28">
        <f>IFERROR(IF(K2="","",K2/J2),"")</f>
        <v>0</v>
      </c>
      <c r="L28">
        <f>IFERROR(IF(L2="","",L2/K2),"")</f>
        <v>0</v>
      </c>
      <c r="M28">
        <f>IFERROR(IF(M2="","",M2/L2),"")</f>
        <v>0</v>
      </c>
      <c r="N28">
        <f>IFERROR(IF(N2="","",N2/M2),"")</f>
        <v>0</v>
      </c>
      <c r="O28">
        <f>IFERROR(IF(O2="","",O2/N2),"")</f>
        <v>0</v>
      </c>
      <c r="P28">
        <f>IFERROR(IF(P2="","",P2/O2),"")</f>
        <v>0</v>
      </c>
      <c r="Q28">
        <f>IFERROR(IF(Q2="","",Q2/P2),"")</f>
        <v>0</v>
      </c>
      <c r="R28">
        <f>IFERROR(IF(R2="","",R2/Q2),"")</f>
        <v>0</v>
      </c>
      <c r="S28">
        <f>IFERROR(IF(S2="","",S2/R2),"")</f>
        <v>0</v>
      </c>
      <c r="T28">
        <f>IFERROR(IF(T2="","",T2/S2),"")</f>
        <v>0</v>
      </c>
      <c r="U28">
        <f>IFERROR(IF(U2="","",U2/T2),"")</f>
        <v>0</v>
      </c>
      <c r="V28">
        <f>IFERROR(IF(V2="","",V2/U2),"")</f>
        <v>0</v>
      </c>
      <c r="W28">
        <f>IFERROR(IF(W2="","",W2/V2),"")</f>
        <v>0</v>
      </c>
      <c r="X28">
        <f>IFERROR(IF(X2="","",X2/W2),"")</f>
        <v>0</v>
      </c>
    </row>
    <row r="29" spans="1:24">
      <c r="A29" s="3" t="s">
        <v>52</v>
      </c>
      <c r="B29">
        <f>IFERROR(IF(B3="","",B3/A3),"")</f>
        <v>0</v>
      </c>
      <c r="C29">
        <f>IFERROR(IF(C3="","",C3/B3),"")</f>
        <v>0</v>
      </c>
      <c r="D29">
        <f>IFERROR(IF(D3="","",D3/C3),"")</f>
        <v>0</v>
      </c>
      <c r="E29">
        <f>IFERROR(IF(E3="","",E3/D3),"")</f>
        <v>0</v>
      </c>
      <c r="F29">
        <f>IFERROR(IF(F3="","",F3/E3),"")</f>
        <v>0</v>
      </c>
      <c r="G29">
        <f>IFERROR(IF(G3="","",G3/F3),"")</f>
        <v>0</v>
      </c>
      <c r="H29">
        <f>IFERROR(IF(H3="","",H3/G3),"")</f>
        <v>0</v>
      </c>
      <c r="I29">
        <f>IFERROR(IF(I3="","",I3/H3),"")</f>
        <v>0</v>
      </c>
      <c r="J29">
        <f>IFERROR(IF(J3="","",J3/I3),"")</f>
        <v>0</v>
      </c>
      <c r="K29">
        <f>IFERROR(IF(K3="","",K3/J3),"")</f>
        <v>0</v>
      </c>
      <c r="L29">
        <f>IFERROR(IF(L3="","",L3/K3),"")</f>
        <v>0</v>
      </c>
      <c r="M29">
        <f>IFERROR(IF(M3="","",M3/L3),"")</f>
        <v>0</v>
      </c>
      <c r="N29">
        <f>IFERROR(IF(N3="","",N3/M3),"")</f>
        <v>0</v>
      </c>
      <c r="O29">
        <f>IFERROR(IF(O3="","",O3/N3),"")</f>
        <v>0</v>
      </c>
      <c r="P29">
        <f>IFERROR(IF(P3="","",P3/O3),"")</f>
        <v>0</v>
      </c>
      <c r="Q29">
        <f>IFERROR(IF(Q3="","",Q3/P3),"")</f>
        <v>0</v>
      </c>
      <c r="R29">
        <f>IFERROR(IF(R3="","",R3/Q3),"")</f>
        <v>0</v>
      </c>
      <c r="S29">
        <f>IFERROR(IF(S3="","",S3/R3),"")</f>
        <v>0</v>
      </c>
      <c r="T29">
        <f>IFERROR(IF(T3="","",T3/S3),"")</f>
        <v>0</v>
      </c>
      <c r="U29">
        <f>IFERROR(IF(U3="","",U3/T3),"")</f>
        <v>0</v>
      </c>
      <c r="V29">
        <f>IFERROR(IF(V3="","",V3/U3),"")</f>
        <v>0</v>
      </c>
      <c r="W29">
        <f>IFERROR(IF(W3="","",W3/V3),"")</f>
        <v>0</v>
      </c>
      <c r="X29">
        <f>IFERROR(IF(X3="","",X3/W3),"")</f>
        <v>0</v>
      </c>
    </row>
    <row r="30" spans="1:24">
      <c r="A30" s="3" t="s">
        <v>53</v>
      </c>
      <c r="B30">
        <f>IFERROR(IF(B4="","",B4/A4),"")</f>
        <v>0</v>
      </c>
      <c r="C30">
        <f>IFERROR(IF(C4="","",C4/B4),"")</f>
        <v>0</v>
      </c>
      <c r="D30">
        <f>IFERROR(IF(D4="","",D4/C4),"")</f>
        <v>0</v>
      </c>
      <c r="E30">
        <f>IFERROR(IF(E4="","",E4/D4),"")</f>
        <v>0</v>
      </c>
      <c r="F30">
        <f>IFERROR(IF(F4="","",F4/E4),"")</f>
        <v>0</v>
      </c>
      <c r="G30">
        <f>IFERROR(IF(G4="","",G4/F4),"")</f>
        <v>0</v>
      </c>
      <c r="H30">
        <f>IFERROR(IF(H4="","",H4/G4),"")</f>
        <v>0</v>
      </c>
      <c r="I30">
        <f>IFERROR(IF(I4="","",I4/H4),"")</f>
        <v>0</v>
      </c>
      <c r="J30">
        <f>IFERROR(IF(J4="","",J4/I4),"")</f>
        <v>0</v>
      </c>
      <c r="K30">
        <f>IFERROR(IF(K4="","",K4/J4),"")</f>
        <v>0</v>
      </c>
      <c r="L30">
        <f>IFERROR(IF(L4="","",L4/K4),"")</f>
        <v>0</v>
      </c>
      <c r="M30">
        <f>IFERROR(IF(M4="","",M4/L4),"")</f>
        <v>0</v>
      </c>
      <c r="N30">
        <f>IFERROR(IF(N4="","",N4/M4),"")</f>
        <v>0</v>
      </c>
      <c r="O30">
        <f>IFERROR(IF(O4="","",O4/N4),"")</f>
        <v>0</v>
      </c>
      <c r="P30">
        <f>IFERROR(IF(P4="","",P4/O4),"")</f>
        <v>0</v>
      </c>
      <c r="Q30">
        <f>IFERROR(IF(Q4="","",Q4/P4),"")</f>
        <v>0</v>
      </c>
      <c r="R30">
        <f>IFERROR(IF(R4="","",R4/Q4),"")</f>
        <v>0</v>
      </c>
      <c r="S30">
        <f>IFERROR(IF(S4="","",S4/R4),"")</f>
        <v>0</v>
      </c>
      <c r="T30">
        <f>IFERROR(IF(T4="","",T4/S4),"")</f>
        <v>0</v>
      </c>
      <c r="U30">
        <f>IFERROR(IF(U4="","",U4/T4),"")</f>
        <v>0</v>
      </c>
      <c r="V30">
        <f>IFERROR(IF(V4="","",V4/U4),"")</f>
        <v>0</v>
      </c>
      <c r="W30">
        <f>IFERROR(IF(W4="","",W4/V4),"")</f>
        <v>0</v>
      </c>
      <c r="X30">
        <f>IFERROR(IF(X4="","",X4/W4),"")</f>
        <v>0</v>
      </c>
    </row>
    <row r="31" spans="1:24">
      <c r="A31" s="3" t="s">
        <v>54</v>
      </c>
      <c r="B31">
        <f>IFERROR(IF(B5="","",B5/A5),"")</f>
        <v>0</v>
      </c>
      <c r="C31">
        <f>IFERROR(IF(C5="","",C5/B5),"")</f>
        <v>0</v>
      </c>
      <c r="D31">
        <f>IFERROR(IF(D5="","",D5/C5),"")</f>
        <v>0</v>
      </c>
      <c r="E31">
        <f>IFERROR(IF(E5="","",E5/D5),"")</f>
        <v>0</v>
      </c>
      <c r="F31">
        <f>IFERROR(IF(F5="","",F5/E5),"")</f>
        <v>0</v>
      </c>
      <c r="G31">
        <f>IFERROR(IF(G5="","",G5/F5),"")</f>
        <v>0</v>
      </c>
      <c r="H31">
        <f>IFERROR(IF(H5="","",H5/G5),"")</f>
        <v>0</v>
      </c>
      <c r="I31">
        <f>IFERROR(IF(I5="","",I5/H5),"")</f>
        <v>0</v>
      </c>
      <c r="J31">
        <f>IFERROR(IF(J5="","",J5/I5),"")</f>
        <v>0</v>
      </c>
      <c r="K31">
        <f>IFERROR(IF(K5="","",K5/J5),"")</f>
        <v>0</v>
      </c>
      <c r="L31">
        <f>IFERROR(IF(L5="","",L5/K5),"")</f>
        <v>0</v>
      </c>
      <c r="M31">
        <f>IFERROR(IF(M5="","",M5/L5),"")</f>
        <v>0</v>
      </c>
      <c r="N31">
        <f>IFERROR(IF(N5="","",N5/M5),"")</f>
        <v>0</v>
      </c>
      <c r="O31">
        <f>IFERROR(IF(O5="","",O5/N5),"")</f>
        <v>0</v>
      </c>
      <c r="P31">
        <f>IFERROR(IF(P5="","",P5/O5),"")</f>
        <v>0</v>
      </c>
      <c r="Q31">
        <f>IFERROR(IF(Q5="","",Q5/P5),"")</f>
        <v>0</v>
      </c>
      <c r="R31">
        <f>IFERROR(IF(R5="","",R5/Q5),"")</f>
        <v>0</v>
      </c>
      <c r="S31">
        <f>IFERROR(IF(S5="","",S5/R5),"")</f>
        <v>0</v>
      </c>
      <c r="T31">
        <f>IFERROR(IF(T5="","",T5/S5),"")</f>
        <v>0</v>
      </c>
      <c r="U31">
        <f>IFERROR(IF(U5="","",U5/T5),"")</f>
        <v>0</v>
      </c>
      <c r="V31">
        <f>IFERROR(IF(V5="","",V5/U5),"")</f>
        <v>0</v>
      </c>
      <c r="W31">
        <f>IFERROR(IF(W5="","",W5/V5),"")</f>
        <v>0</v>
      </c>
      <c r="X31">
        <f>IFERROR(IF(X5="","",X5/W5),"")</f>
        <v>0</v>
      </c>
    </row>
    <row r="32" spans="1:24">
      <c r="A32" s="3" t="s">
        <v>55</v>
      </c>
      <c r="B32">
        <f>IFERROR(IF(B6="","",B6/A6),"")</f>
        <v>0</v>
      </c>
      <c r="C32">
        <f>IFERROR(IF(C6="","",C6/B6),"")</f>
        <v>0</v>
      </c>
      <c r="D32">
        <f>IFERROR(IF(D6="","",D6/C6),"")</f>
        <v>0</v>
      </c>
      <c r="E32">
        <f>IFERROR(IF(E6="","",E6/D6),"")</f>
        <v>0</v>
      </c>
      <c r="F32">
        <f>IFERROR(IF(F6="","",F6/E6),"")</f>
        <v>0</v>
      </c>
      <c r="G32">
        <f>IFERROR(IF(G6="","",G6/F6),"")</f>
        <v>0</v>
      </c>
      <c r="H32">
        <f>IFERROR(IF(H6="","",H6/G6),"")</f>
        <v>0</v>
      </c>
      <c r="I32">
        <f>IFERROR(IF(I6="","",I6/H6),"")</f>
        <v>0</v>
      </c>
      <c r="J32">
        <f>IFERROR(IF(J6="","",J6/I6),"")</f>
        <v>0</v>
      </c>
      <c r="K32">
        <f>IFERROR(IF(K6="","",K6/J6),"")</f>
        <v>0</v>
      </c>
      <c r="L32">
        <f>IFERROR(IF(L6="","",L6/K6),"")</f>
        <v>0</v>
      </c>
      <c r="M32">
        <f>IFERROR(IF(M6="","",M6/L6),"")</f>
        <v>0</v>
      </c>
      <c r="N32">
        <f>IFERROR(IF(N6="","",N6/M6),"")</f>
        <v>0</v>
      </c>
      <c r="O32">
        <f>IFERROR(IF(O6="","",O6/N6),"")</f>
        <v>0</v>
      </c>
      <c r="P32">
        <f>IFERROR(IF(P6="","",P6/O6),"")</f>
        <v>0</v>
      </c>
      <c r="Q32">
        <f>IFERROR(IF(Q6="","",Q6/P6),"")</f>
        <v>0</v>
      </c>
      <c r="R32">
        <f>IFERROR(IF(R6="","",R6/Q6),"")</f>
        <v>0</v>
      </c>
      <c r="S32">
        <f>IFERROR(IF(S6="","",S6/R6),"")</f>
        <v>0</v>
      </c>
      <c r="T32">
        <f>IFERROR(IF(T6="","",T6/S6),"")</f>
        <v>0</v>
      </c>
      <c r="U32">
        <f>IFERROR(IF(U6="","",U6/T6),"")</f>
        <v>0</v>
      </c>
      <c r="V32">
        <f>IFERROR(IF(V6="","",V6/U6),"")</f>
        <v>0</v>
      </c>
      <c r="W32">
        <f>IFERROR(IF(W6="","",W6/V6),"")</f>
        <v>0</v>
      </c>
      <c r="X32">
        <f>IFERROR(IF(X6="","",X6/W6),"")</f>
        <v>0</v>
      </c>
    </row>
    <row r="33" spans="1:24">
      <c r="A33" s="3" t="s">
        <v>56</v>
      </c>
      <c r="B33">
        <f>IFERROR(IF(B7="","",B7/A7),"")</f>
        <v>0</v>
      </c>
      <c r="C33">
        <f>IFERROR(IF(C7="","",C7/B7),"")</f>
        <v>0</v>
      </c>
      <c r="D33">
        <f>IFERROR(IF(D7="","",D7/C7),"")</f>
        <v>0</v>
      </c>
      <c r="E33">
        <f>IFERROR(IF(E7="","",E7/D7),"")</f>
        <v>0</v>
      </c>
      <c r="F33">
        <f>IFERROR(IF(F7="","",F7/E7),"")</f>
        <v>0</v>
      </c>
      <c r="G33">
        <f>IFERROR(IF(G7="","",G7/F7),"")</f>
        <v>0</v>
      </c>
      <c r="H33">
        <f>IFERROR(IF(H7="","",H7/G7),"")</f>
        <v>0</v>
      </c>
      <c r="I33">
        <f>IFERROR(IF(I7="","",I7/H7),"")</f>
        <v>0</v>
      </c>
      <c r="J33">
        <f>IFERROR(IF(J7="","",J7/I7),"")</f>
        <v>0</v>
      </c>
      <c r="K33">
        <f>IFERROR(IF(K7="","",K7/J7),"")</f>
        <v>0</v>
      </c>
      <c r="L33">
        <f>IFERROR(IF(L7="","",L7/K7),"")</f>
        <v>0</v>
      </c>
      <c r="M33">
        <f>IFERROR(IF(M7="","",M7/L7),"")</f>
        <v>0</v>
      </c>
      <c r="N33">
        <f>IFERROR(IF(N7="","",N7/M7),"")</f>
        <v>0</v>
      </c>
      <c r="O33">
        <f>IFERROR(IF(O7="","",O7/N7),"")</f>
        <v>0</v>
      </c>
      <c r="P33">
        <f>IFERROR(IF(P7="","",P7/O7),"")</f>
        <v>0</v>
      </c>
      <c r="Q33">
        <f>IFERROR(IF(Q7="","",Q7/P7),"")</f>
        <v>0</v>
      </c>
      <c r="R33">
        <f>IFERROR(IF(R7="","",R7/Q7),"")</f>
        <v>0</v>
      </c>
      <c r="S33">
        <f>IFERROR(IF(S7="","",S7/R7),"")</f>
        <v>0</v>
      </c>
      <c r="T33">
        <f>IFERROR(IF(T7="","",T7/S7),"")</f>
        <v>0</v>
      </c>
      <c r="U33">
        <f>IFERROR(IF(U7="","",U7/T7),"")</f>
        <v>0</v>
      </c>
      <c r="V33">
        <f>IFERROR(IF(V7="","",V7/U7),"")</f>
        <v>0</v>
      </c>
      <c r="W33">
        <f>IFERROR(IF(W7="","",W7/V7),"")</f>
        <v>0</v>
      </c>
      <c r="X33">
        <f>IFERROR(IF(X7="","",X7/W7),"")</f>
        <v>0</v>
      </c>
    </row>
    <row r="34" spans="1:24">
      <c r="A34" s="3" t="s">
        <v>57</v>
      </c>
      <c r="B34">
        <f>IFERROR(IF(B8="","",B8/A8),"")</f>
        <v>0</v>
      </c>
      <c r="C34">
        <f>IFERROR(IF(C8="","",C8/B8),"")</f>
        <v>0</v>
      </c>
      <c r="D34">
        <f>IFERROR(IF(D8="","",D8/C8),"")</f>
        <v>0</v>
      </c>
      <c r="E34">
        <f>IFERROR(IF(E8="","",E8/D8),"")</f>
        <v>0</v>
      </c>
      <c r="F34">
        <f>IFERROR(IF(F8="","",F8/E8),"")</f>
        <v>0</v>
      </c>
      <c r="G34">
        <f>IFERROR(IF(G8="","",G8/F8),"")</f>
        <v>0</v>
      </c>
      <c r="H34">
        <f>IFERROR(IF(H8="","",H8/G8),"")</f>
        <v>0</v>
      </c>
      <c r="I34">
        <f>IFERROR(IF(I8="","",I8/H8),"")</f>
        <v>0</v>
      </c>
      <c r="J34">
        <f>IFERROR(IF(J8="","",J8/I8),"")</f>
        <v>0</v>
      </c>
      <c r="K34">
        <f>IFERROR(IF(K8="","",K8/J8),"")</f>
        <v>0</v>
      </c>
      <c r="L34">
        <f>IFERROR(IF(L8="","",L8/K8),"")</f>
        <v>0</v>
      </c>
      <c r="M34">
        <f>IFERROR(IF(M8="","",M8/L8),"")</f>
        <v>0</v>
      </c>
      <c r="N34">
        <f>IFERROR(IF(N8="","",N8/M8),"")</f>
        <v>0</v>
      </c>
      <c r="O34">
        <f>IFERROR(IF(O8="","",O8/N8),"")</f>
        <v>0</v>
      </c>
      <c r="P34">
        <f>IFERROR(IF(P8="","",P8/O8),"")</f>
        <v>0</v>
      </c>
      <c r="Q34">
        <f>IFERROR(IF(Q8="","",Q8/P8),"")</f>
        <v>0</v>
      </c>
      <c r="R34">
        <f>IFERROR(IF(R8="","",R8/Q8),"")</f>
        <v>0</v>
      </c>
      <c r="S34">
        <f>IFERROR(IF(S8="","",S8/R8),"")</f>
        <v>0</v>
      </c>
      <c r="T34">
        <f>IFERROR(IF(T8="","",T8/S8),"")</f>
        <v>0</v>
      </c>
      <c r="U34">
        <f>IFERROR(IF(U8="","",U8/T8),"")</f>
        <v>0</v>
      </c>
      <c r="V34">
        <f>IFERROR(IF(V8="","",V8/U8),"")</f>
        <v>0</v>
      </c>
      <c r="W34">
        <f>IFERROR(IF(W8="","",W8/V8),"")</f>
        <v>0</v>
      </c>
      <c r="X34">
        <f>IFERROR(IF(X8="","",X8/W8),"")</f>
        <v>0</v>
      </c>
    </row>
    <row r="35" spans="1:24">
      <c r="A35" s="3" t="s">
        <v>58</v>
      </c>
      <c r="B35">
        <f>IFERROR(IF(B9="","",B9/A9),"")</f>
        <v>0</v>
      </c>
      <c r="C35">
        <f>IFERROR(IF(C9="","",C9/B9),"")</f>
        <v>0</v>
      </c>
      <c r="D35">
        <f>IFERROR(IF(D9="","",D9/C9),"")</f>
        <v>0</v>
      </c>
      <c r="E35">
        <f>IFERROR(IF(E9="","",E9/D9),"")</f>
        <v>0</v>
      </c>
      <c r="F35">
        <f>IFERROR(IF(F9="","",F9/E9),"")</f>
        <v>0</v>
      </c>
      <c r="G35">
        <f>IFERROR(IF(G9="","",G9/F9),"")</f>
        <v>0</v>
      </c>
      <c r="H35">
        <f>IFERROR(IF(H9="","",H9/G9),"")</f>
        <v>0</v>
      </c>
      <c r="I35">
        <f>IFERROR(IF(I9="","",I9/H9),"")</f>
        <v>0</v>
      </c>
      <c r="J35">
        <f>IFERROR(IF(J9="","",J9/I9),"")</f>
        <v>0</v>
      </c>
      <c r="K35">
        <f>IFERROR(IF(K9="","",K9/J9),"")</f>
        <v>0</v>
      </c>
      <c r="L35">
        <f>IFERROR(IF(L9="","",L9/K9),"")</f>
        <v>0</v>
      </c>
      <c r="M35">
        <f>IFERROR(IF(M9="","",M9/L9),"")</f>
        <v>0</v>
      </c>
      <c r="N35">
        <f>IFERROR(IF(N9="","",N9/M9),"")</f>
        <v>0</v>
      </c>
      <c r="O35">
        <f>IFERROR(IF(O9="","",O9/N9),"")</f>
        <v>0</v>
      </c>
      <c r="P35">
        <f>IFERROR(IF(P9="","",P9/O9),"")</f>
        <v>0</v>
      </c>
      <c r="Q35">
        <f>IFERROR(IF(Q9="","",Q9/P9),"")</f>
        <v>0</v>
      </c>
      <c r="R35">
        <f>IFERROR(IF(R9="","",R9/Q9),"")</f>
        <v>0</v>
      </c>
      <c r="S35">
        <f>IFERROR(IF(S9="","",S9/R9),"")</f>
        <v>0</v>
      </c>
      <c r="T35">
        <f>IFERROR(IF(T9="","",T9/S9),"")</f>
        <v>0</v>
      </c>
      <c r="U35">
        <f>IFERROR(IF(U9="","",U9/T9),"")</f>
        <v>0</v>
      </c>
      <c r="V35">
        <f>IFERROR(IF(V9="","",V9/U9),"")</f>
        <v>0</v>
      </c>
      <c r="W35">
        <f>IFERROR(IF(W9="","",W9/V9),"")</f>
        <v>0</v>
      </c>
      <c r="X35">
        <f>IFERROR(IF(X9="","",X9/W9),"")</f>
        <v>0</v>
      </c>
    </row>
    <row r="36" spans="1:24">
      <c r="A36" s="3" t="s">
        <v>59</v>
      </c>
      <c r="B36">
        <f>IFERROR(IF(B10="","",B10/A10),"")</f>
        <v>0</v>
      </c>
      <c r="C36">
        <f>IFERROR(IF(C10="","",C10/B10),"")</f>
        <v>0</v>
      </c>
      <c r="D36">
        <f>IFERROR(IF(D10="","",D10/C10),"")</f>
        <v>0</v>
      </c>
      <c r="E36">
        <f>IFERROR(IF(E10="","",E10/D10),"")</f>
        <v>0</v>
      </c>
      <c r="F36">
        <f>IFERROR(IF(F10="","",F10/E10),"")</f>
        <v>0</v>
      </c>
      <c r="G36">
        <f>IFERROR(IF(G10="","",G10/F10),"")</f>
        <v>0</v>
      </c>
      <c r="H36">
        <f>IFERROR(IF(H10="","",H10/G10),"")</f>
        <v>0</v>
      </c>
      <c r="I36">
        <f>IFERROR(IF(I10="","",I10/H10),"")</f>
        <v>0</v>
      </c>
      <c r="J36">
        <f>IFERROR(IF(J10="","",J10/I10),"")</f>
        <v>0</v>
      </c>
      <c r="K36">
        <f>IFERROR(IF(K10="","",K10/J10),"")</f>
        <v>0</v>
      </c>
      <c r="L36">
        <f>IFERROR(IF(L10="","",L10/K10),"")</f>
        <v>0</v>
      </c>
      <c r="M36">
        <f>IFERROR(IF(M10="","",M10/L10),"")</f>
        <v>0</v>
      </c>
      <c r="N36">
        <f>IFERROR(IF(N10="","",N10/M10),"")</f>
        <v>0</v>
      </c>
      <c r="O36">
        <f>IFERROR(IF(O10="","",O10/N10),"")</f>
        <v>0</v>
      </c>
      <c r="P36">
        <f>IFERROR(IF(P10="","",P10/O10),"")</f>
        <v>0</v>
      </c>
      <c r="Q36">
        <f>IFERROR(IF(Q10="","",Q10/P10),"")</f>
        <v>0</v>
      </c>
      <c r="R36">
        <f>IFERROR(IF(R10="","",R10/Q10),"")</f>
        <v>0</v>
      </c>
      <c r="S36">
        <f>IFERROR(IF(S10="","",S10/R10),"")</f>
        <v>0</v>
      </c>
      <c r="T36">
        <f>IFERROR(IF(T10="","",T10/S10),"")</f>
        <v>0</v>
      </c>
      <c r="U36">
        <f>IFERROR(IF(U10="","",U10/T10),"")</f>
        <v>0</v>
      </c>
      <c r="V36">
        <f>IFERROR(IF(V10="","",V10/U10),"")</f>
        <v>0</v>
      </c>
      <c r="W36">
        <f>IFERROR(IF(W10="","",W10/V10),"")</f>
        <v>0</v>
      </c>
      <c r="X36">
        <f>IFERROR(IF(X10="","",X10/W10),"")</f>
        <v>0</v>
      </c>
    </row>
    <row r="37" spans="1:24">
      <c r="A37" s="3" t="s">
        <v>60</v>
      </c>
      <c r="B37">
        <f>IFERROR(IF(B11="","",B11/A11),"")</f>
        <v>0</v>
      </c>
      <c r="C37">
        <f>IFERROR(IF(C11="","",C11/B11),"")</f>
        <v>0</v>
      </c>
      <c r="D37">
        <f>IFERROR(IF(D11="","",D11/C11),"")</f>
        <v>0</v>
      </c>
      <c r="E37">
        <f>IFERROR(IF(E11="","",E11/D11),"")</f>
        <v>0</v>
      </c>
      <c r="F37">
        <f>IFERROR(IF(F11="","",F11/E11),"")</f>
        <v>0</v>
      </c>
      <c r="G37">
        <f>IFERROR(IF(G11="","",G11/F11),"")</f>
        <v>0</v>
      </c>
      <c r="H37">
        <f>IFERROR(IF(H11="","",H11/G11),"")</f>
        <v>0</v>
      </c>
      <c r="I37">
        <f>IFERROR(IF(I11="","",I11/H11),"")</f>
        <v>0</v>
      </c>
      <c r="J37">
        <f>IFERROR(IF(J11="","",J11/I11),"")</f>
        <v>0</v>
      </c>
      <c r="K37">
        <f>IFERROR(IF(K11="","",K11/J11),"")</f>
        <v>0</v>
      </c>
      <c r="L37">
        <f>IFERROR(IF(L11="","",L11/K11),"")</f>
        <v>0</v>
      </c>
      <c r="M37">
        <f>IFERROR(IF(M11="","",M11/L11),"")</f>
        <v>0</v>
      </c>
      <c r="N37">
        <f>IFERROR(IF(N11="","",N11/M11),"")</f>
        <v>0</v>
      </c>
      <c r="O37">
        <f>IFERROR(IF(O11="","",O11/N11),"")</f>
        <v>0</v>
      </c>
      <c r="P37">
        <f>IFERROR(IF(P11="","",P11/O11),"")</f>
        <v>0</v>
      </c>
      <c r="Q37">
        <f>IFERROR(IF(Q11="","",Q11/P11),"")</f>
        <v>0</v>
      </c>
      <c r="R37">
        <f>IFERROR(IF(R11="","",R11/Q11),"")</f>
        <v>0</v>
      </c>
      <c r="S37">
        <f>IFERROR(IF(S11="","",S11/R11),"")</f>
        <v>0</v>
      </c>
      <c r="T37">
        <f>IFERROR(IF(T11="","",T11/S11),"")</f>
        <v>0</v>
      </c>
      <c r="U37">
        <f>IFERROR(IF(U11="","",U11/T11),"")</f>
        <v>0</v>
      </c>
      <c r="V37">
        <f>IFERROR(IF(V11="","",V11/U11),"")</f>
        <v>0</v>
      </c>
      <c r="W37">
        <f>IFERROR(IF(W11="","",W11/V11),"")</f>
        <v>0</v>
      </c>
      <c r="X37">
        <f>IFERROR(IF(X11="","",X11/W11),"")</f>
        <v>0</v>
      </c>
    </row>
    <row r="38" spans="1:24">
      <c r="A38" s="3" t="s">
        <v>61</v>
      </c>
      <c r="B38">
        <f>IFERROR(IF(B12="","",B12/A12),"")</f>
        <v>0</v>
      </c>
      <c r="C38">
        <f>IFERROR(IF(C12="","",C12/B12),"")</f>
        <v>0</v>
      </c>
      <c r="D38">
        <f>IFERROR(IF(D12="","",D12/C12),"")</f>
        <v>0</v>
      </c>
      <c r="E38">
        <f>IFERROR(IF(E12="","",E12/D12),"")</f>
        <v>0</v>
      </c>
      <c r="F38">
        <f>IFERROR(IF(F12="","",F12/E12),"")</f>
        <v>0</v>
      </c>
      <c r="G38">
        <f>IFERROR(IF(G12="","",G12/F12),"")</f>
        <v>0</v>
      </c>
      <c r="H38">
        <f>IFERROR(IF(H12="","",H12/G12),"")</f>
        <v>0</v>
      </c>
      <c r="I38">
        <f>IFERROR(IF(I12="","",I12/H12),"")</f>
        <v>0</v>
      </c>
      <c r="J38">
        <f>IFERROR(IF(J12="","",J12/I12),"")</f>
        <v>0</v>
      </c>
      <c r="K38">
        <f>IFERROR(IF(K12="","",K12/J12),"")</f>
        <v>0</v>
      </c>
      <c r="L38">
        <f>IFERROR(IF(L12="","",L12/K12),"")</f>
        <v>0</v>
      </c>
      <c r="M38">
        <f>IFERROR(IF(M12="","",M12/L12),"")</f>
        <v>0</v>
      </c>
      <c r="N38">
        <f>IFERROR(IF(N12="","",N12/M12),"")</f>
        <v>0</v>
      </c>
      <c r="O38">
        <f>IFERROR(IF(O12="","",O12/N12),"")</f>
        <v>0</v>
      </c>
      <c r="P38">
        <f>IFERROR(IF(P12="","",P12/O12),"")</f>
        <v>0</v>
      </c>
      <c r="Q38">
        <f>IFERROR(IF(Q12="","",Q12/P12),"")</f>
        <v>0</v>
      </c>
      <c r="R38">
        <f>IFERROR(IF(R12="","",R12/Q12),"")</f>
        <v>0</v>
      </c>
      <c r="S38">
        <f>IFERROR(IF(S12="","",S12/R12),"")</f>
        <v>0</v>
      </c>
      <c r="T38">
        <f>IFERROR(IF(T12="","",T12/S12),"")</f>
        <v>0</v>
      </c>
      <c r="U38">
        <f>IFERROR(IF(U12="","",U12/T12),"")</f>
        <v>0</v>
      </c>
      <c r="V38">
        <f>IFERROR(IF(V12="","",V12/U12),"")</f>
        <v>0</v>
      </c>
      <c r="W38">
        <f>IFERROR(IF(W12="","",W12/V12),"")</f>
        <v>0</v>
      </c>
      <c r="X38">
        <f>IFERROR(IF(X12="","",X12/W12),"")</f>
        <v>0</v>
      </c>
    </row>
    <row r="39" spans="1:24">
      <c r="A39" s="3" t="s">
        <v>62</v>
      </c>
      <c r="B39">
        <f>IFERROR(IF(B13="","",B13/A13),"")</f>
        <v>0</v>
      </c>
      <c r="C39">
        <f>IFERROR(IF(C13="","",C13/B13),"")</f>
        <v>0</v>
      </c>
      <c r="D39">
        <f>IFERROR(IF(D13="","",D13/C13),"")</f>
        <v>0</v>
      </c>
      <c r="E39">
        <f>IFERROR(IF(E13="","",E13/D13),"")</f>
        <v>0</v>
      </c>
      <c r="F39">
        <f>IFERROR(IF(F13="","",F13/E13),"")</f>
        <v>0</v>
      </c>
      <c r="G39">
        <f>IFERROR(IF(G13="","",G13/F13),"")</f>
        <v>0</v>
      </c>
      <c r="H39">
        <f>IFERROR(IF(H13="","",H13/G13),"")</f>
        <v>0</v>
      </c>
      <c r="I39">
        <f>IFERROR(IF(I13="","",I13/H13),"")</f>
        <v>0</v>
      </c>
      <c r="J39">
        <f>IFERROR(IF(J13="","",J13/I13),"")</f>
        <v>0</v>
      </c>
      <c r="K39">
        <f>IFERROR(IF(K13="","",K13/J13),"")</f>
        <v>0</v>
      </c>
      <c r="L39">
        <f>IFERROR(IF(L13="","",L13/K13),"")</f>
        <v>0</v>
      </c>
      <c r="M39">
        <f>IFERROR(IF(M13="","",M13/L13),"")</f>
        <v>0</v>
      </c>
      <c r="N39">
        <f>IFERROR(IF(N13="","",N13/M13),"")</f>
        <v>0</v>
      </c>
      <c r="O39">
        <f>IFERROR(IF(O13="","",O13/N13),"")</f>
        <v>0</v>
      </c>
      <c r="P39">
        <f>IFERROR(IF(P13="","",P13/O13),"")</f>
        <v>0</v>
      </c>
      <c r="Q39">
        <f>IFERROR(IF(Q13="","",Q13/P13),"")</f>
        <v>0</v>
      </c>
      <c r="R39">
        <f>IFERROR(IF(R13="","",R13/Q13),"")</f>
        <v>0</v>
      </c>
      <c r="S39">
        <f>IFERROR(IF(S13="","",S13/R13),"")</f>
        <v>0</v>
      </c>
      <c r="T39">
        <f>IFERROR(IF(T13="","",T13/S13),"")</f>
        <v>0</v>
      </c>
      <c r="U39">
        <f>IFERROR(IF(U13="","",U13/T13),"")</f>
        <v>0</v>
      </c>
      <c r="V39">
        <f>IFERROR(IF(V13="","",V13/U13),"")</f>
        <v>0</v>
      </c>
      <c r="W39">
        <f>IFERROR(IF(W13="","",W13/V13),"")</f>
        <v>0</v>
      </c>
      <c r="X39">
        <f>IFERROR(IF(X13="","",X13/W13),"")</f>
        <v>0</v>
      </c>
    </row>
    <row r="40" spans="1:24">
      <c r="A40" s="3" t="s">
        <v>63</v>
      </c>
      <c r="B40">
        <f>IFERROR(IF(B14="","",B14/A14),"")</f>
        <v>0</v>
      </c>
      <c r="C40">
        <f>IFERROR(IF(C14="","",C14/B14),"")</f>
        <v>0</v>
      </c>
      <c r="D40">
        <f>IFERROR(IF(D14="","",D14/C14),"")</f>
        <v>0</v>
      </c>
      <c r="E40">
        <f>IFERROR(IF(E14="","",E14/D14),"")</f>
        <v>0</v>
      </c>
      <c r="F40">
        <f>IFERROR(IF(F14="","",F14/E14),"")</f>
        <v>0</v>
      </c>
      <c r="G40">
        <f>IFERROR(IF(G14="","",G14/F14),"")</f>
        <v>0</v>
      </c>
      <c r="H40">
        <f>IFERROR(IF(H14="","",H14/G14),"")</f>
        <v>0</v>
      </c>
      <c r="I40">
        <f>IFERROR(IF(I14="","",I14/H14),"")</f>
        <v>0</v>
      </c>
      <c r="J40">
        <f>IFERROR(IF(J14="","",J14/I14),"")</f>
        <v>0</v>
      </c>
      <c r="K40">
        <f>IFERROR(IF(K14="","",K14/J14),"")</f>
        <v>0</v>
      </c>
      <c r="L40">
        <f>IFERROR(IF(L14="","",L14/K14),"")</f>
        <v>0</v>
      </c>
      <c r="M40">
        <f>IFERROR(IF(M14="","",M14/L14),"")</f>
        <v>0</v>
      </c>
      <c r="N40">
        <f>IFERROR(IF(N14="","",N14/M14),"")</f>
        <v>0</v>
      </c>
      <c r="O40">
        <f>IFERROR(IF(O14="","",O14/N14),"")</f>
        <v>0</v>
      </c>
      <c r="P40">
        <f>IFERROR(IF(P14="","",P14/O14),"")</f>
        <v>0</v>
      </c>
      <c r="Q40">
        <f>IFERROR(IF(Q14="","",Q14/P14),"")</f>
        <v>0</v>
      </c>
      <c r="R40">
        <f>IFERROR(IF(R14="","",R14/Q14),"")</f>
        <v>0</v>
      </c>
      <c r="S40">
        <f>IFERROR(IF(S14="","",S14/R14),"")</f>
        <v>0</v>
      </c>
      <c r="T40">
        <f>IFERROR(IF(T14="","",T14/S14),"")</f>
        <v>0</v>
      </c>
      <c r="U40">
        <f>IFERROR(IF(U14="","",U14/T14),"")</f>
        <v>0</v>
      </c>
      <c r="V40">
        <f>IFERROR(IF(V14="","",V14/U14),"")</f>
        <v>0</v>
      </c>
      <c r="W40">
        <f>IFERROR(IF(W14="","",W14/V14),"")</f>
        <v>0</v>
      </c>
      <c r="X40">
        <f>IFERROR(IF(X14="","",X14/W14),"")</f>
        <v>0</v>
      </c>
    </row>
    <row r="41" spans="1:24">
      <c r="A41" s="3" t="s">
        <v>64</v>
      </c>
      <c r="B41">
        <f>IFERROR(IF(B15="","",B15/A15),"")</f>
        <v>0</v>
      </c>
      <c r="C41">
        <f>IFERROR(IF(C15="","",C15/B15),"")</f>
        <v>0</v>
      </c>
      <c r="D41">
        <f>IFERROR(IF(D15="","",D15/C15),"")</f>
        <v>0</v>
      </c>
      <c r="E41">
        <f>IFERROR(IF(E15="","",E15/D15),"")</f>
        <v>0</v>
      </c>
      <c r="F41">
        <f>IFERROR(IF(F15="","",F15/E15),"")</f>
        <v>0</v>
      </c>
      <c r="G41">
        <f>IFERROR(IF(G15="","",G15/F15),"")</f>
        <v>0</v>
      </c>
      <c r="H41">
        <f>IFERROR(IF(H15="","",H15/G15),"")</f>
        <v>0</v>
      </c>
      <c r="I41">
        <f>IFERROR(IF(I15="","",I15/H15),"")</f>
        <v>0</v>
      </c>
      <c r="J41">
        <f>IFERROR(IF(J15="","",J15/I15),"")</f>
        <v>0</v>
      </c>
      <c r="K41">
        <f>IFERROR(IF(K15="","",K15/J15),"")</f>
        <v>0</v>
      </c>
      <c r="L41">
        <f>IFERROR(IF(L15="","",L15/K15),"")</f>
        <v>0</v>
      </c>
      <c r="M41">
        <f>IFERROR(IF(M15="","",M15/L15),"")</f>
        <v>0</v>
      </c>
      <c r="N41">
        <f>IFERROR(IF(N15="","",N15/M15),"")</f>
        <v>0</v>
      </c>
      <c r="O41">
        <f>IFERROR(IF(O15="","",O15/N15),"")</f>
        <v>0</v>
      </c>
      <c r="P41">
        <f>IFERROR(IF(P15="","",P15/O15),"")</f>
        <v>0</v>
      </c>
      <c r="Q41">
        <f>IFERROR(IF(Q15="","",Q15/P15),"")</f>
        <v>0</v>
      </c>
      <c r="R41">
        <f>IFERROR(IF(R15="","",R15/Q15),"")</f>
        <v>0</v>
      </c>
      <c r="S41">
        <f>IFERROR(IF(S15="","",S15/R15),"")</f>
        <v>0</v>
      </c>
      <c r="T41">
        <f>IFERROR(IF(T15="","",T15/S15),"")</f>
        <v>0</v>
      </c>
      <c r="U41">
        <f>IFERROR(IF(U15="","",U15/T15),"")</f>
        <v>0</v>
      </c>
      <c r="V41">
        <f>IFERROR(IF(V15="","",V15/U15),"")</f>
        <v>0</v>
      </c>
      <c r="W41">
        <f>IFERROR(IF(W15="","",W15/V15),"")</f>
        <v>0</v>
      </c>
      <c r="X41">
        <f>IFERROR(IF(X15="","",X15/W15),"")</f>
        <v>0</v>
      </c>
    </row>
    <row r="42" spans="1:24">
      <c r="A42" s="3" t="s">
        <v>65</v>
      </c>
      <c r="B42">
        <f>IFERROR(IF(B16="","",B16/A16),"")</f>
        <v>0</v>
      </c>
      <c r="C42">
        <f>IFERROR(IF(C16="","",C16/B16),"")</f>
        <v>0</v>
      </c>
      <c r="D42">
        <f>IFERROR(IF(D16="","",D16/C16),"")</f>
        <v>0</v>
      </c>
      <c r="E42">
        <f>IFERROR(IF(E16="","",E16/D16),"")</f>
        <v>0</v>
      </c>
      <c r="F42">
        <f>IFERROR(IF(F16="","",F16/E16),"")</f>
        <v>0</v>
      </c>
      <c r="G42">
        <f>IFERROR(IF(G16="","",G16/F16),"")</f>
        <v>0</v>
      </c>
      <c r="H42">
        <f>IFERROR(IF(H16="","",H16/G16),"")</f>
        <v>0</v>
      </c>
      <c r="I42">
        <f>IFERROR(IF(I16="","",I16/H16),"")</f>
        <v>0</v>
      </c>
      <c r="J42">
        <f>IFERROR(IF(J16="","",J16/I16),"")</f>
        <v>0</v>
      </c>
      <c r="K42">
        <f>IFERROR(IF(K16="","",K16/J16),"")</f>
        <v>0</v>
      </c>
      <c r="L42">
        <f>IFERROR(IF(L16="","",L16/K16),"")</f>
        <v>0</v>
      </c>
      <c r="M42">
        <f>IFERROR(IF(M16="","",M16/L16),"")</f>
        <v>0</v>
      </c>
      <c r="N42">
        <f>IFERROR(IF(N16="","",N16/M16),"")</f>
        <v>0</v>
      </c>
      <c r="O42">
        <f>IFERROR(IF(O16="","",O16/N16),"")</f>
        <v>0</v>
      </c>
      <c r="P42">
        <f>IFERROR(IF(P16="","",P16/O16),"")</f>
        <v>0</v>
      </c>
      <c r="Q42">
        <f>IFERROR(IF(Q16="","",Q16/P16),"")</f>
        <v>0</v>
      </c>
      <c r="R42">
        <f>IFERROR(IF(R16="","",R16/Q16),"")</f>
        <v>0</v>
      </c>
      <c r="S42">
        <f>IFERROR(IF(S16="","",S16/R16),"")</f>
        <v>0</v>
      </c>
      <c r="T42">
        <f>IFERROR(IF(T16="","",T16/S16),"")</f>
        <v>0</v>
      </c>
      <c r="U42">
        <f>IFERROR(IF(U16="","",U16/T16),"")</f>
        <v>0</v>
      </c>
      <c r="V42">
        <f>IFERROR(IF(V16="","",V16/U16),"")</f>
        <v>0</v>
      </c>
      <c r="W42">
        <f>IFERROR(IF(W16="","",W16/V16),"")</f>
        <v>0</v>
      </c>
      <c r="X42">
        <f>IFERROR(IF(X16="","",X16/W16),"")</f>
        <v>0</v>
      </c>
    </row>
    <row r="43" spans="1:24">
      <c r="A43" s="3" t="s">
        <v>66</v>
      </c>
      <c r="B43">
        <f>IFERROR(IF(B17="","",B17/A17),"")</f>
        <v>0</v>
      </c>
      <c r="C43">
        <f>IFERROR(IF(C17="","",C17/B17),"")</f>
        <v>0</v>
      </c>
      <c r="D43">
        <f>IFERROR(IF(D17="","",D17/C17),"")</f>
        <v>0</v>
      </c>
      <c r="E43">
        <f>IFERROR(IF(E17="","",E17/D17),"")</f>
        <v>0</v>
      </c>
      <c r="F43">
        <f>IFERROR(IF(F17="","",F17/E17),"")</f>
        <v>0</v>
      </c>
      <c r="G43">
        <f>IFERROR(IF(G17="","",G17/F17),"")</f>
        <v>0</v>
      </c>
      <c r="H43">
        <f>IFERROR(IF(H17="","",H17/G17),"")</f>
        <v>0</v>
      </c>
      <c r="I43">
        <f>IFERROR(IF(I17="","",I17/H17),"")</f>
        <v>0</v>
      </c>
      <c r="J43">
        <f>IFERROR(IF(J17="","",J17/I17),"")</f>
        <v>0</v>
      </c>
      <c r="K43">
        <f>IFERROR(IF(K17="","",K17/J17),"")</f>
        <v>0</v>
      </c>
      <c r="L43">
        <f>IFERROR(IF(L17="","",L17/K17),"")</f>
        <v>0</v>
      </c>
      <c r="M43">
        <f>IFERROR(IF(M17="","",M17/L17),"")</f>
        <v>0</v>
      </c>
      <c r="N43">
        <f>IFERROR(IF(N17="","",N17/M17),"")</f>
        <v>0</v>
      </c>
      <c r="O43">
        <f>IFERROR(IF(O17="","",O17/N17),"")</f>
        <v>0</v>
      </c>
      <c r="P43">
        <f>IFERROR(IF(P17="","",P17/O17),"")</f>
        <v>0</v>
      </c>
      <c r="Q43">
        <f>IFERROR(IF(Q17="","",Q17/P17),"")</f>
        <v>0</v>
      </c>
      <c r="R43">
        <f>IFERROR(IF(R17="","",R17/Q17),"")</f>
        <v>0</v>
      </c>
      <c r="S43">
        <f>IFERROR(IF(S17="","",S17/R17),"")</f>
        <v>0</v>
      </c>
      <c r="T43">
        <f>IFERROR(IF(T17="","",T17/S17),"")</f>
        <v>0</v>
      </c>
      <c r="U43">
        <f>IFERROR(IF(U17="","",U17/T17),"")</f>
        <v>0</v>
      </c>
      <c r="V43">
        <f>IFERROR(IF(V17="","",V17/U17),"")</f>
        <v>0</v>
      </c>
      <c r="W43">
        <f>IFERROR(IF(W17="","",W17/V17),"")</f>
        <v>0</v>
      </c>
      <c r="X43">
        <f>IFERROR(IF(X17="","",X17/W17),"")</f>
        <v>0</v>
      </c>
    </row>
    <row r="44" spans="1:24">
      <c r="A44" s="3" t="s">
        <v>67</v>
      </c>
      <c r="B44">
        <f>IFERROR(IF(B18="","",B18/A18),"")</f>
        <v>0</v>
      </c>
      <c r="C44">
        <f>IFERROR(IF(C18="","",C18/B18),"")</f>
        <v>0</v>
      </c>
      <c r="D44">
        <f>IFERROR(IF(D18="","",D18/C18),"")</f>
        <v>0</v>
      </c>
      <c r="E44">
        <f>IFERROR(IF(E18="","",E18/D18),"")</f>
        <v>0</v>
      </c>
      <c r="F44">
        <f>IFERROR(IF(F18="","",F18/E18),"")</f>
        <v>0</v>
      </c>
      <c r="G44">
        <f>IFERROR(IF(G18="","",G18/F18),"")</f>
        <v>0</v>
      </c>
      <c r="H44">
        <f>IFERROR(IF(H18="","",H18/G18),"")</f>
        <v>0</v>
      </c>
      <c r="I44">
        <f>IFERROR(IF(I18="","",I18/H18),"")</f>
        <v>0</v>
      </c>
      <c r="J44">
        <f>IFERROR(IF(J18="","",J18/I18),"")</f>
        <v>0</v>
      </c>
      <c r="K44">
        <f>IFERROR(IF(K18="","",K18/J18),"")</f>
        <v>0</v>
      </c>
      <c r="L44">
        <f>IFERROR(IF(L18="","",L18/K18),"")</f>
        <v>0</v>
      </c>
      <c r="M44">
        <f>IFERROR(IF(M18="","",M18/L18),"")</f>
        <v>0</v>
      </c>
      <c r="N44">
        <f>IFERROR(IF(N18="","",N18/M18),"")</f>
        <v>0</v>
      </c>
      <c r="O44">
        <f>IFERROR(IF(O18="","",O18/N18),"")</f>
        <v>0</v>
      </c>
      <c r="P44">
        <f>IFERROR(IF(P18="","",P18/O18),"")</f>
        <v>0</v>
      </c>
      <c r="Q44">
        <f>IFERROR(IF(Q18="","",Q18/P18),"")</f>
        <v>0</v>
      </c>
      <c r="R44">
        <f>IFERROR(IF(R18="","",R18/Q18),"")</f>
        <v>0</v>
      </c>
      <c r="S44">
        <f>IFERROR(IF(S18="","",S18/R18),"")</f>
        <v>0</v>
      </c>
      <c r="T44">
        <f>IFERROR(IF(T18="","",T18/S18),"")</f>
        <v>0</v>
      </c>
      <c r="U44">
        <f>IFERROR(IF(U18="","",U18/T18),"")</f>
        <v>0</v>
      </c>
      <c r="V44">
        <f>IFERROR(IF(V18="","",V18/U18),"")</f>
        <v>0</v>
      </c>
      <c r="W44">
        <f>IFERROR(IF(W18="","",W18/V18),"")</f>
        <v>0</v>
      </c>
      <c r="X44">
        <f>IFERROR(IF(X18="","",X18/W18),"")</f>
        <v>0</v>
      </c>
    </row>
    <row r="45" spans="1:24">
      <c r="A45" s="3" t="s">
        <v>68</v>
      </c>
      <c r="B45">
        <f>IFERROR(IF(B19="","",B19/A19),"")</f>
        <v>0</v>
      </c>
      <c r="C45">
        <f>IFERROR(IF(C19="","",C19/B19),"")</f>
        <v>0</v>
      </c>
      <c r="D45">
        <f>IFERROR(IF(D19="","",D19/C19),"")</f>
        <v>0</v>
      </c>
      <c r="E45">
        <f>IFERROR(IF(E19="","",E19/D19),"")</f>
        <v>0</v>
      </c>
      <c r="F45">
        <f>IFERROR(IF(F19="","",F19/E19),"")</f>
        <v>0</v>
      </c>
      <c r="G45">
        <f>IFERROR(IF(G19="","",G19/F19),"")</f>
        <v>0</v>
      </c>
      <c r="H45">
        <f>IFERROR(IF(H19="","",H19/G19),"")</f>
        <v>0</v>
      </c>
      <c r="I45">
        <f>IFERROR(IF(I19="","",I19/H19),"")</f>
        <v>0</v>
      </c>
      <c r="J45">
        <f>IFERROR(IF(J19="","",J19/I19),"")</f>
        <v>0</v>
      </c>
      <c r="K45">
        <f>IFERROR(IF(K19="","",K19/J19),"")</f>
        <v>0</v>
      </c>
      <c r="L45">
        <f>IFERROR(IF(L19="","",L19/K19),"")</f>
        <v>0</v>
      </c>
      <c r="M45">
        <f>IFERROR(IF(M19="","",M19/L19),"")</f>
        <v>0</v>
      </c>
      <c r="N45">
        <f>IFERROR(IF(N19="","",N19/M19),"")</f>
        <v>0</v>
      </c>
      <c r="O45">
        <f>IFERROR(IF(O19="","",O19/N19),"")</f>
        <v>0</v>
      </c>
      <c r="P45">
        <f>IFERROR(IF(P19="","",P19/O19),"")</f>
        <v>0</v>
      </c>
      <c r="Q45">
        <f>IFERROR(IF(Q19="","",Q19/P19),"")</f>
        <v>0</v>
      </c>
      <c r="R45">
        <f>IFERROR(IF(R19="","",R19/Q19),"")</f>
        <v>0</v>
      </c>
      <c r="S45">
        <f>IFERROR(IF(S19="","",S19/R19),"")</f>
        <v>0</v>
      </c>
      <c r="T45">
        <f>IFERROR(IF(T19="","",T19/S19),"")</f>
        <v>0</v>
      </c>
      <c r="U45">
        <f>IFERROR(IF(U19="","",U19/T19),"")</f>
        <v>0</v>
      </c>
      <c r="V45">
        <f>IFERROR(IF(V19="","",V19/U19),"")</f>
        <v>0</v>
      </c>
      <c r="W45">
        <f>IFERROR(IF(W19="","",W19/V19),"")</f>
        <v>0</v>
      </c>
      <c r="X45">
        <f>IFERROR(IF(X19="","",X19/W19),"")</f>
        <v>0</v>
      </c>
    </row>
    <row r="46" spans="1:24">
      <c r="A46" s="3" t="s">
        <v>69</v>
      </c>
      <c r="B46">
        <f>IFERROR(IF(B20="","",B20/A20),"")</f>
        <v>0</v>
      </c>
      <c r="C46">
        <f>IFERROR(IF(C20="","",C20/B20),"")</f>
        <v>0</v>
      </c>
      <c r="D46">
        <f>IFERROR(IF(D20="","",D20/C20),"")</f>
        <v>0</v>
      </c>
      <c r="E46">
        <f>IFERROR(IF(E20="","",E20/D20),"")</f>
        <v>0</v>
      </c>
      <c r="F46">
        <f>IFERROR(IF(F20="","",F20/E20),"")</f>
        <v>0</v>
      </c>
      <c r="G46">
        <f>IFERROR(IF(G20="","",G20/F20),"")</f>
        <v>0</v>
      </c>
      <c r="H46">
        <f>IFERROR(IF(H20="","",H20/G20),"")</f>
        <v>0</v>
      </c>
      <c r="I46">
        <f>IFERROR(IF(I20="","",I20/H20),"")</f>
        <v>0</v>
      </c>
      <c r="J46">
        <f>IFERROR(IF(J20="","",J20/I20),"")</f>
        <v>0</v>
      </c>
      <c r="K46">
        <f>IFERROR(IF(K20="","",K20/J20),"")</f>
        <v>0</v>
      </c>
      <c r="L46">
        <f>IFERROR(IF(L20="","",L20/K20),"")</f>
        <v>0</v>
      </c>
      <c r="M46">
        <f>IFERROR(IF(M20="","",M20/L20),"")</f>
        <v>0</v>
      </c>
      <c r="N46">
        <f>IFERROR(IF(N20="","",N20/M20),"")</f>
        <v>0</v>
      </c>
      <c r="O46">
        <f>IFERROR(IF(O20="","",O20/N20),"")</f>
        <v>0</v>
      </c>
      <c r="P46">
        <f>IFERROR(IF(P20="","",P20/O20),"")</f>
        <v>0</v>
      </c>
      <c r="Q46">
        <f>IFERROR(IF(Q20="","",Q20/P20),"")</f>
        <v>0</v>
      </c>
      <c r="R46">
        <f>IFERROR(IF(R20="","",R20/Q20),"")</f>
        <v>0</v>
      </c>
      <c r="S46">
        <f>IFERROR(IF(S20="","",S20/R20),"")</f>
        <v>0</v>
      </c>
      <c r="T46">
        <f>IFERROR(IF(T20="","",T20/S20),"")</f>
        <v>0</v>
      </c>
      <c r="U46">
        <f>IFERROR(IF(U20="","",U20/T20),"")</f>
        <v>0</v>
      </c>
      <c r="V46">
        <f>IFERROR(IF(V20="","",V20/U20),"")</f>
        <v>0</v>
      </c>
      <c r="W46">
        <f>IFERROR(IF(W20="","",W20/V20),"")</f>
        <v>0</v>
      </c>
      <c r="X46">
        <f>IFERROR(IF(X20="","",X20/W20),"")</f>
        <v>0</v>
      </c>
    </row>
    <row r="47" spans="1:24">
      <c r="A47" s="3" t="s">
        <v>70</v>
      </c>
      <c r="B47">
        <f>IFERROR(IF(B21="","",B21/A21),"")</f>
        <v>0</v>
      </c>
      <c r="C47">
        <f>IFERROR(IF(C21="","",C21/B21),"")</f>
        <v>0</v>
      </c>
      <c r="D47">
        <f>IFERROR(IF(D21="","",D21/C21),"")</f>
        <v>0</v>
      </c>
      <c r="E47">
        <f>IFERROR(IF(E21="","",E21/D21),"")</f>
        <v>0</v>
      </c>
      <c r="F47">
        <f>IFERROR(IF(F21="","",F21/E21),"")</f>
        <v>0</v>
      </c>
      <c r="G47">
        <f>IFERROR(IF(G21="","",G21/F21),"")</f>
        <v>0</v>
      </c>
      <c r="H47">
        <f>IFERROR(IF(H21="","",H21/G21),"")</f>
        <v>0</v>
      </c>
      <c r="I47">
        <f>IFERROR(IF(I21="","",I21/H21),"")</f>
        <v>0</v>
      </c>
      <c r="J47">
        <f>IFERROR(IF(J21="","",J21/I21),"")</f>
        <v>0</v>
      </c>
      <c r="K47">
        <f>IFERROR(IF(K21="","",K21/J21),"")</f>
        <v>0</v>
      </c>
      <c r="L47">
        <f>IFERROR(IF(L21="","",L21/K21),"")</f>
        <v>0</v>
      </c>
      <c r="M47">
        <f>IFERROR(IF(M21="","",M21/L21),"")</f>
        <v>0</v>
      </c>
      <c r="N47">
        <f>IFERROR(IF(N21="","",N21/M21),"")</f>
        <v>0</v>
      </c>
      <c r="O47">
        <f>IFERROR(IF(O21="","",O21/N21),"")</f>
        <v>0</v>
      </c>
      <c r="P47">
        <f>IFERROR(IF(P21="","",P21/O21),"")</f>
        <v>0</v>
      </c>
      <c r="Q47">
        <f>IFERROR(IF(Q21="","",Q21/P21),"")</f>
        <v>0</v>
      </c>
      <c r="R47">
        <f>IFERROR(IF(R21="","",R21/Q21),"")</f>
        <v>0</v>
      </c>
      <c r="S47">
        <f>IFERROR(IF(S21="","",S21/R21),"")</f>
        <v>0</v>
      </c>
      <c r="T47">
        <f>IFERROR(IF(T21="","",T21/S21),"")</f>
        <v>0</v>
      </c>
      <c r="U47">
        <f>IFERROR(IF(U21="","",U21/T21),"")</f>
        <v>0</v>
      </c>
      <c r="V47">
        <f>IFERROR(IF(V21="","",V21/U21),"")</f>
        <v>0</v>
      </c>
      <c r="W47">
        <f>IFERROR(IF(W21="","",W21/V21),"")</f>
        <v>0</v>
      </c>
      <c r="X47">
        <f>IFERROR(IF(X21="","",X21/W21),"")</f>
        <v>0</v>
      </c>
    </row>
    <row r="48" spans="1:24">
      <c r="A48" s="3" t="s">
        <v>71</v>
      </c>
      <c r="B48">
        <f>IFERROR(IF(B22="","",B22/A22),"")</f>
        <v>0</v>
      </c>
      <c r="C48">
        <f>IFERROR(IF(C22="","",C22/B22),"")</f>
        <v>0</v>
      </c>
      <c r="D48">
        <f>IFERROR(IF(D22="","",D22/C22),"")</f>
        <v>0</v>
      </c>
      <c r="E48">
        <f>IFERROR(IF(E22="","",E22/D22),"")</f>
        <v>0</v>
      </c>
      <c r="F48">
        <f>IFERROR(IF(F22="","",F22/E22),"")</f>
        <v>0</v>
      </c>
      <c r="G48">
        <f>IFERROR(IF(G22="","",G22/F22),"")</f>
        <v>0</v>
      </c>
      <c r="H48">
        <f>IFERROR(IF(H22="","",H22/G22),"")</f>
        <v>0</v>
      </c>
      <c r="I48">
        <f>IFERROR(IF(I22="","",I22/H22),"")</f>
        <v>0</v>
      </c>
      <c r="J48">
        <f>IFERROR(IF(J22="","",J22/I22),"")</f>
        <v>0</v>
      </c>
      <c r="K48">
        <f>IFERROR(IF(K22="","",K22/J22),"")</f>
        <v>0</v>
      </c>
      <c r="L48">
        <f>IFERROR(IF(L22="","",L22/K22),"")</f>
        <v>0</v>
      </c>
      <c r="M48">
        <f>IFERROR(IF(M22="","",M22/L22),"")</f>
        <v>0</v>
      </c>
      <c r="N48">
        <f>IFERROR(IF(N22="","",N22/M22),"")</f>
        <v>0</v>
      </c>
      <c r="O48">
        <f>IFERROR(IF(O22="","",O22/N22),"")</f>
        <v>0</v>
      </c>
      <c r="P48">
        <f>IFERROR(IF(P22="","",P22/O22),"")</f>
        <v>0</v>
      </c>
      <c r="Q48">
        <f>IFERROR(IF(Q22="","",Q22/P22),"")</f>
        <v>0</v>
      </c>
      <c r="R48">
        <f>IFERROR(IF(R22="","",R22/Q22),"")</f>
        <v>0</v>
      </c>
      <c r="S48">
        <f>IFERROR(IF(S22="","",S22/R22),"")</f>
        <v>0</v>
      </c>
      <c r="T48">
        <f>IFERROR(IF(T22="","",T22/S22),"")</f>
        <v>0</v>
      </c>
      <c r="U48">
        <f>IFERROR(IF(U22="","",U22/T22),"")</f>
        <v>0</v>
      </c>
      <c r="V48">
        <f>IFERROR(IF(V22="","",V22/U22),"")</f>
        <v>0</v>
      </c>
      <c r="W48">
        <f>IFERROR(IF(W22="","",W22/V22),"")</f>
        <v>0</v>
      </c>
      <c r="X48">
        <f>IFERROR(IF(X22="","",X22/W22),"")</f>
        <v>0</v>
      </c>
    </row>
    <row r="49" spans="1:25">
      <c r="A49" s="3" t="s">
        <v>72</v>
      </c>
      <c r="B49">
        <f>IFERROR(IF(B23="","",B23/A23),"")</f>
        <v>0</v>
      </c>
      <c r="C49">
        <f>IFERROR(IF(C23="","",C23/B23),"")</f>
        <v>0</v>
      </c>
      <c r="D49">
        <f>IFERROR(IF(D23="","",D23/C23),"")</f>
        <v>0</v>
      </c>
      <c r="E49">
        <f>IFERROR(IF(E23="","",E23/D23),"")</f>
        <v>0</v>
      </c>
      <c r="F49">
        <f>IFERROR(IF(F23="","",F23/E23),"")</f>
        <v>0</v>
      </c>
      <c r="G49">
        <f>IFERROR(IF(G23="","",G23/F23),"")</f>
        <v>0</v>
      </c>
      <c r="H49">
        <f>IFERROR(IF(H23="","",H23/G23),"")</f>
        <v>0</v>
      </c>
      <c r="I49">
        <f>IFERROR(IF(I23="","",I23/H23),"")</f>
        <v>0</v>
      </c>
      <c r="J49">
        <f>IFERROR(IF(J23="","",J23/I23),"")</f>
        <v>0</v>
      </c>
      <c r="K49">
        <f>IFERROR(IF(K23="","",K23/J23),"")</f>
        <v>0</v>
      </c>
      <c r="L49">
        <f>IFERROR(IF(L23="","",L23/K23),"")</f>
        <v>0</v>
      </c>
      <c r="M49">
        <f>IFERROR(IF(M23="","",M23/L23),"")</f>
        <v>0</v>
      </c>
      <c r="N49">
        <f>IFERROR(IF(N23="","",N23/M23),"")</f>
        <v>0</v>
      </c>
      <c r="O49">
        <f>IFERROR(IF(O23="","",O23/N23),"")</f>
        <v>0</v>
      </c>
      <c r="P49">
        <f>IFERROR(IF(P23="","",P23/O23),"")</f>
        <v>0</v>
      </c>
      <c r="Q49">
        <f>IFERROR(IF(Q23="","",Q23/P23),"")</f>
        <v>0</v>
      </c>
      <c r="R49">
        <f>IFERROR(IF(R23="","",R23/Q23),"")</f>
        <v>0</v>
      </c>
      <c r="S49">
        <f>IFERROR(IF(S23="","",S23/R23),"")</f>
        <v>0</v>
      </c>
      <c r="T49">
        <f>IFERROR(IF(T23="","",T23/S23),"")</f>
        <v>0</v>
      </c>
      <c r="U49">
        <f>IFERROR(IF(U23="","",U23/T23),"")</f>
        <v>0</v>
      </c>
      <c r="V49">
        <f>IFERROR(IF(V23="","",V23/U23),"")</f>
        <v>0</v>
      </c>
      <c r="W49">
        <f>IFERROR(IF(W23="","",W23/V23),"")</f>
        <v>0</v>
      </c>
      <c r="X49">
        <f>IFERROR(IF(X23="","",X23/W23),"")</f>
        <v>0</v>
      </c>
    </row>
    <row r="50" spans="1:25">
      <c r="A50" s="3" t="s">
        <v>73</v>
      </c>
      <c r="B50">
        <f>IFERROR(IF(B24="","",B24/A24),"")</f>
        <v>0</v>
      </c>
      <c r="C50">
        <f>IFERROR(IF(C24="","",C24/B24),"")</f>
        <v>0</v>
      </c>
      <c r="D50">
        <f>IFERROR(IF(D24="","",D24/C24),"")</f>
        <v>0</v>
      </c>
      <c r="E50">
        <f>IFERROR(IF(E24="","",E24/D24),"")</f>
        <v>0</v>
      </c>
      <c r="F50">
        <f>IFERROR(IF(F24="","",F24/E24),"")</f>
        <v>0</v>
      </c>
      <c r="G50">
        <f>IFERROR(IF(G24="","",G24/F24),"")</f>
        <v>0</v>
      </c>
      <c r="H50">
        <f>IFERROR(IF(H24="","",H24/G24),"")</f>
        <v>0</v>
      </c>
      <c r="I50">
        <f>IFERROR(IF(I24="","",I24/H24),"")</f>
        <v>0</v>
      </c>
      <c r="J50">
        <f>IFERROR(IF(J24="","",J24/I24),"")</f>
        <v>0</v>
      </c>
      <c r="K50">
        <f>IFERROR(IF(K24="","",K24/J24),"")</f>
        <v>0</v>
      </c>
      <c r="L50">
        <f>IFERROR(IF(L24="","",L24/K24),"")</f>
        <v>0</v>
      </c>
      <c r="M50">
        <f>IFERROR(IF(M24="","",M24/L24),"")</f>
        <v>0</v>
      </c>
      <c r="N50">
        <f>IFERROR(IF(N24="","",N24/M24),"")</f>
        <v>0</v>
      </c>
      <c r="O50">
        <f>IFERROR(IF(O24="","",O24/N24),"")</f>
        <v>0</v>
      </c>
      <c r="P50">
        <f>IFERROR(IF(P24="","",P24/O24),"")</f>
        <v>0</v>
      </c>
      <c r="Q50">
        <f>IFERROR(IF(Q24="","",Q24/P24),"")</f>
        <v>0</v>
      </c>
      <c r="R50">
        <f>IFERROR(IF(R24="","",R24/Q24),"")</f>
        <v>0</v>
      </c>
      <c r="S50">
        <f>IFERROR(IF(S24="","",S24/R24),"")</f>
        <v>0</v>
      </c>
      <c r="T50">
        <f>IFERROR(IF(T24="","",T24/S24),"")</f>
        <v>0</v>
      </c>
      <c r="U50">
        <f>IFERROR(IF(U24="","",U24/T24),"")</f>
        <v>0</v>
      </c>
      <c r="V50">
        <f>IFERROR(IF(V24="","",V24/U24),"")</f>
        <v>0</v>
      </c>
      <c r="W50">
        <f>IFERROR(IF(W24="","",W24/V24),"")</f>
        <v>0</v>
      </c>
      <c r="X50">
        <f>IFERROR(IF(X24="","",X24/W24),"")</f>
        <v>0</v>
      </c>
    </row>
    <row r="51" spans="1:25">
      <c r="A51" s="3" t="s">
        <v>74</v>
      </c>
      <c r="B51">
        <f>IFERROR(IF(B25="","",B25/A25),"")</f>
        <v>0</v>
      </c>
      <c r="C51">
        <f>IFERROR(IF(C25="","",C25/B25),"")</f>
        <v>0</v>
      </c>
      <c r="D51">
        <f>IFERROR(IF(D25="","",D25/C25),"")</f>
        <v>0</v>
      </c>
      <c r="E51">
        <f>IFERROR(IF(E25="","",E25/D25),"")</f>
        <v>0</v>
      </c>
      <c r="F51">
        <f>IFERROR(IF(F25="","",F25/E25),"")</f>
        <v>0</v>
      </c>
      <c r="G51">
        <f>IFERROR(IF(G25="","",G25/F25),"")</f>
        <v>0</v>
      </c>
      <c r="H51">
        <f>IFERROR(IF(H25="","",H25/G25),"")</f>
        <v>0</v>
      </c>
      <c r="I51">
        <f>IFERROR(IF(I25="","",I25/H25),"")</f>
        <v>0</v>
      </c>
      <c r="J51">
        <f>IFERROR(IF(J25="","",J25/I25),"")</f>
        <v>0</v>
      </c>
      <c r="K51">
        <f>IFERROR(IF(K25="","",K25/J25),"")</f>
        <v>0</v>
      </c>
      <c r="L51">
        <f>IFERROR(IF(L25="","",L25/K25),"")</f>
        <v>0</v>
      </c>
      <c r="M51">
        <f>IFERROR(IF(M25="","",M25/L25),"")</f>
        <v>0</v>
      </c>
      <c r="N51">
        <f>IFERROR(IF(N25="","",N25/M25),"")</f>
        <v>0</v>
      </c>
      <c r="O51">
        <f>IFERROR(IF(O25="","",O25/N25),"")</f>
        <v>0</v>
      </c>
      <c r="P51">
        <f>IFERROR(IF(P25="","",P25/O25),"")</f>
        <v>0</v>
      </c>
      <c r="Q51">
        <f>IFERROR(IF(Q25="","",Q25/P25),"")</f>
        <v>0</v>
      </c>
      <c r="R51">
        <f>IFERROR(IF(R25="","",R25/Q25),"")</f>
        <v>0</v>
      </c>
      <c r="S51">
        <f>IFERROR(IF(S25="","",S25/R25),"")</f>
        <v>0</v>
      </c>
      <c r="T51">
        <f>IFERROR(IF(T25="","",T25/S25),"")</f>
        <v>0</v>
      </c>
      <c r="U51">
        <f>IFERROR(IF(U25="","",U25/T25),"")</f>
        <v>0</v>
      </c>
      <c r="V51">
        <f>IFERROR(IF(V25="","",V25/U25),"")</f>
        <v>0</v>
      </c>
      <c r="W51">
        <f>IFERROR(IF(W25="","",W25/V25),"")</f>
        <v>0</v>
      </c>
      <c r="X51">
        <f>IFERROR(IF(X25="","",X25/W25),"")</f>
        <v>0</v>
      </c>
    </row>
    <row r="52" spans="1:25">
      <c r="A52" s="3"/>
    </row>
    <row r="53" spans="1:25">
      <c r="A53" s="3" t="s">
        <v>98</v>
      </c>
      <c r="B53" t="s">
        <v>75</v>
      </c>
      <c r="C53" t="s">
        <v>76</v>
      </c>
      <c r="D53" t="s">
        <v>77</v>
      </c>
      <c r="E53" t="s">
        <v>78</v>
      </c>
      <c r="F53" t="s">
        <v>79</v>
      </c>
      <c r="G53" t="s">
        <v>80</v>
      </c>
      <c r="H53" t="s">
        <v>81</v>
      </c>
      <c r="I53" t="s">
        <v>82</v>
      </c>
      <c r="J53" t="s">
        <v>83</v>
      </c>
      <c r="K53" t="s">
        <v>84</v>
      </c>
      <c r="L53" t="s">
        <v>85</v>
      </c>
      <c r="M53" t="s">
        <v>86</v>
      </c>
      <c r="N53" t="s">
        <v>87</v>
      </c>
      <c r="O53" t="s">
        <v>88</v>
      </c>
      <c r="P53" t="s">
        <v>89</v>
      </c>
      <c r="Q53" t="s">
        <v>90</v>
      </c>
      <c r="R53" t="s">
        <v>91</v>
      </c>
      <c r="S53" t="s">
        <v>92</v>
      </c>
      <c r="T53" t="s">
        <v>93</v>
      </c>
      <c r="U53" t="s">
        <v>94</v>
      </c>
      <c r="V53" t="s">
        <v>95</v>
      </c>
      <c r="W53" t="s">
        <v>96</v>
      </c>
      <c r="X53" t="s">
        <v>97</v>
      </c>
      <c r="Y53" t="s">
        <v>99</v>
      </c>
    </row>
    <row r="54" spans="1:25">
      <c r="A54" s="3" t="s">
        <v>100</v>
      </c>
      <c r="B54">
        <f>IFERROR(AVERAGE(B28:B51),AVERAGE(B28:B51))</f>
        <v>0</v>
      </c>
      <c r="C54">
        <f>IFERROR(AVERAGE(C28:C51),AVERAGE(C28:C51))</f>
        <v>0</v>
      </c>
      <c r="D54">
        <f>IFERROR(AVERAGE(D28:D51),AVERAGE(D28:D51))</f>
        <v>0</v>
      </c>
      <c r="E54">
        <f>IFERROR(AVERAGE(E28:E51),AVERAGE(E28:E51))</f>
        <v>0</v>
      </c>
      <c r="F54">
        <f>IFERROR(AVERAGE(F28:F51),AVERAGE(F28:F51))</f>
        <v>0</v>
      </c>
      <c r="G54">
        <f>IFERROR(AVERAGE(G28:G51),AVERAGE(G28:G51))</f>
        <v>0</v>
      </c>
      <c r="H54">
        <f>IFERROR(AVERAGE(H28:H51),AVERAGE(H28:H51))</f>
        <v>0</v>
      </c>
      <c r="I54">
        <f>IFERROR(AVERAGE(I28:I51),AVERAGE(I28:I51))</f>
        <v>0</v>
      </c>
      <c r="J54">
        <f>IFERROR(AVERAGE(J28:J51),AVERAGE(J28:J51))</f>
        <v>0</v>
      </c>
      <c r="K54">
        <f>IFERROR(AVERAGE(K28:K51),AVERAGE(K28:K51))</f>
        <v>0</v>
      </c>
      <c r="L54">
        <f>IFERROR(AVERAGE(L28:L51),AVERAGE(L28:L51))</f>
        <v>0</v>
      </c>
      <c r="M54">
        <f>IFERROR(AVERAGE(M28:M51),AVERAGE(M28:M51))</f>
        <v>0</v>
      </c>
      <c r="N54">
        <f>IFERROR(AVERAGE(N28:N51),AVERAGE(N28:N51))</f>
        <v>0</v>
      </c>
      <c r="O54">
        <f>IFERROR(AVERAGE(O28:O51),AVERAGE(O28:O51))</f>
        <v>0</v>
      </c>
      <c r="P54">
        <f>IFERROR(AVERAGE(P28:P51),AVERAGE(P28:P51))</f>
        <v>0</v>
      </c>
      <c r="Q54">
        <f>IFERROR(AVERAGE(Q28:Q51),AVERAGE(Q28:Q51))</f>
        <v>0</v>
      </c>
      <c r="R54">
        <f>IFERROR(AVERAGE(R28:R51),AVERAGE(R28:R51))</f>
        <v>0</v>
      </c>
      <c r="S54">
        <f>IFERROR(AVERAGE(S28:S51),AVERAGE(S28:S51))</f>
        <v>0</v>
      </c>
      <c r="T54">
        <f>IFERROR(AVERAGE(T28:T51),AVERAGE(T28:T51))</f>
        <v>0</v>
      </c>
      <c r="U54">
        <f>IFERROR(AVERAGE(U28:U51),AVERAGE(U28:U51))</f>
        <v>0</v>
      </c>
      <c r="V54">
        <f>IFERROR(AVERAGE(V28:V51),AVERAGE(V28:V51))</f>
        <v>0</v>
      </c>
      <c r="W54">
        <f>IFERROR(AVERAGE(W28:W51),AVERAGE(W28:W51))</f>
        <v>0</v>
      </c>
      <c r="X54">
        <f>IFERROR(AVERAGE(X28:X51),AVERAGE(X28:X51))</f>
        <v>0</v>
      </c>
    </row>
    <row r="55" spans="1:25">
      <c r="A55" s="3" t="s">
        <v>101</v>
      </c>
      <c r="B55">
        <f>IFERROR(SUMPRODUCT(B28:B51,B2:B25)/SUMPRODUCT((B28:B51&lt;&gt;"")*B2:B25),SUMPRODUCT(B28:B51,B2:B25)/SUMPRODUCT((B28:B51&lt;&gt;"")*B2:B25))</f>
        <v>0</v>
      </c>
      <c r="C55">
        <f>IFERROR(SUMPRODUCT(C28:C51,C2:C25)/SUMPRODUCT((C28:C51&lt;&gt;"")*C2:C25),SUMPRODUCT(C28:C51,C2:C25)/SUMPRODUCT((C28:C51&lt;&gt;"")*C2:C25))</f>
        <v>0</v>
      </c>
      <c r="D55">
        <f>IFERROR(SUMPRODUCT(D28:D51,D2:D25)/SUMPRODUCT((D28:D51&lt;&gt;"")*D2:D25),SUMPRODUCT(D28:D51,D2:D25)/SUMPRODUCT((D28:D51&lt;&gt;"")*D2:D25))</f>
        <v>0</v>
      </c>
      <c r="E55">
        <f>IFERROR(SUMPRODUCT(E28:E51,E2:E25)/SUMPRODUCT((E28:E51&lt;&gt;"")*E2:E25),SUMPRODUCT(E28:E51,E2:E25)/SUMPRODUCT((E28:E51&lt;&gt;"")*E2:E25))</f>
        <v>0</v>
      </c>
      <c r="F55">
        <f>IFERROR(SUMPRODUCT(F28:F51,F2:F25)/SUMPRODUCT((F28:F51&lt;&gt;"")*F2:F25),SUMPRODUCT(F28:F51,F2:F25)/SUMPRODUCT((F28:F51&lt;&gt;"")*F2:F25))</f>
        <v>0</v>
      </c>
      <c r="G55">
        <f>IFERROR(SUMPRODUCT(G28:G51,G2:G25)/SUMPRODUCT((G28:G51&lt;&gt;"")*G2:G25),SUMPRODUCT(G28:G51,G2:G25)/SUMPRODUCT((G28:G51&lt;&gt;"")*G2:G25))</f>
        <v>0</v>
      </c>
      <c r="H55">
        <f>IFERROR(SUMPRODUCT(H28:H51,H2:H25)/SUMPRODUCT((H28:H51&lt;&gt;"")*H2:H25),SUMPRODUCT(H28:H51,H2:H25)/SUMPRODUCT((H28:H51&lt;&gt;"")*H2:H25))</f>
        <v>0</v>
      </c>
      <c r="I55">
        <f>IFERROR(SUMPRODUCT(I28:I51,I2:I25)/SUMPRODUCT((I28:I51&lt;&gt;"")*I2:I25),SUMPRODUCT(I28:I51,I2:I25)/SUMPRODUCT((I28:I51&lt;&gt;"")*I2:I25))</f>
        <v>0</v>
      </c>
      <c r="J55">
        <f>IFERROR(SUMPRODUCT(J28:J51,J2:J25)/SUMPRODUCT((J28:J51&lt;&gt;"")*J2:J25),SUMPRODUCT(J28:J51,J2:J25)/SUMPRODUCT((J28:J51&lt;&gt;"")*J2:J25))</f>
        <v>0</v>
      </c>
      <c r="K55">
        <f>IFERROR(SUMPRODUCT(K28:K51,K2:K25)/SUMPRODUCT((K28:K51&lt;&gt;"")*K2:K25),SUMPRODUCT(K28:K51,K2:K25)/SUMPRODUCT((K28:K51&lt;&gt;"")*K2:K25))</f>
        <v>0</v>
      </c>
      <c r="L55">
        <f>IFERROR(SUMPRODUCT(L28:L51,L2:L25)/SUMPRODUCT((L28:L51&lt;&gt;"")*L2:L25),SUMPRODUCT(L28:L51,L2:L25)/SUMPRODUCT((L28:L51&lt;&gt;"")*L2:L25))</f>
        <v>0</v>
      </c>
      <c r="M55">
        <f>IFERROR(SUMPRODUCT(M28:M51,M2:M25)/SUMPRODUCT((M28:M51&lt;&gt;"")*M2:M25),SUMPRODUCT(M28:M51,M2:M25)/SUMPRODUCT((M28:M51&lt;&gt;"")*M2:M25))</f>
        <v>0</v>
      </c>
      <c r="N55">
        <f>IFERROR(SUMPRODUCT(N28:N51,N2:N25)/SUMPRODUCT((N28:N51&lt;&gt;"")*N2:N25),SUMPRODUCT(N28:N51,N2:N25)/SUMPRODUCT((N28:N51&lt;&gt;"")*N2:N25))</f>
        <v>0</v>
      </c>
      <c r="O55">
        <f>IFERROR(SUMPRODUCT(O28:O51,O2:O25)/SUMPRODUCT((O28:O51&lt;&gt;"")*O2:O25),SUMPRODUCT(O28:O51,O2:O25)/SUMPRODUCT((O28:O51&lt;&gt;"")*O2:O25))</f>
        <v>0</v>
      </c>
      <c r="P55">
        <f>IFERROR(SUMPRODUCT(P28:P51,P2:P25)/SUMPRODUCT((P28:P51&lt;&gt;"")*P2:P25),SUMPRODUCT(P28:P51,P2:P25)/SUMPRODUCT((P28:P51&lt;&gt;"")*P2:P25))</f>
        <v>0</v>
      </c>
      <c r="Q55">
        <f>IFERROR(SUMPRODUCT(Q28:Q51,Q2:Q25)/SUMPRODUCT((Q28:Q51&lt;&gt;"")*Q2:Q25),SUMPRODUCT(Q28:Q51,Q2:Q25)/SUMPRODUCT((Q28:Q51&lt;&gt;"")*Q2:Q25))</f>
        <v>0</v>
      </c>
      <c r="R55">
        <f>IFERROR(SUMPRODUCT(R28:R51,R2:R25)/SUMPRODUCT((R28:R51&lt;&gt;"")*R2:R25),SUMPRODUCT(R28:R51,R2:R25)/SUMPRODUCT((R28:R51&lt;&gt;"")*R2:R25))</f>
        <v>0</v>
      </c>
      <c r="S55">
        <f>IFERROR(SUMPRODUCT(S28:S51,S2:S25)/SUMPRODUCT((S28:S51&lt;&gt;"")*S2:S25),SUMPRODUCT(S28:S51,S2:S25)/SUMPRODUCT((S28:S51&lt;&gt;"")*S2:S25))</f>
        <v>0</v>
      </c>
      <c r="T55">
        <f>IFERROR(SUMPRODUCT(T28:T51,T2:T25)/SUMPRODUCT((T28:T51&lt;&gt;"")*T2:T25),SUMPRODUCT(T28:T51,T2:T25)/SUMPRODUCT((T28:T51&lt;&gt;"")*T2:T25))</f>
        <v>0</v>
      </c>
      <c r="U55">
        <f>IFERROR(SUMPRODUCT(U28:U51,U2:U25)/SUMPRODUCT((U28:U51&lt;&gt;"")*U2:U25),SUMPRODUCT(U28:U51,U2:U25)/SUMPRODUCT((U28:U51&lt;&gt;"")*U2:U25))</f>
        <v>0</v>
      </c>
      <c r="V55">
        <f>IFERROR(SUMPRODUCT(V28:V51,V2:V25)/SUMPRODUCT((V28:V51&lt;&gt;"")*V2:V25),SUMPRODUCT(V28:V51,V2:V25)/SUMPRODUCT((V28:V51&lt;&gt;"")*V2:V25))</f>
        <v>0</v>
      </c>
      <c r="W55">
        <f>IFERROR(SUMPRODUCT(W28:W51,W2:W25)/SUMPRODUCT((W28:W51&lt;&gt;"")*W2:W25),SUMPRODUCT(W28:W51,W2:W25)/SUMPRODUCT((W28:W51&lt;&gt;"")*W2:W25))</f>
        <v>0</v>
      </c>
      <c r="X55">
        <f>IFERROR(SUMPRODUCT(X28:X51,X2:X25)/SUMPRODUCT((X28:X51&lt;&gt;"")*X2:X25),SUMPRODUCT(X28:X51,X2:X25)/SUMPRODUCT((X28:X51&lt;&gt;"")*X2:X25))</f>
        <v>0</v>
      </c>
    </row>
    <row r="56" spans="1:25">
      <c r="A56" s="3" t="s">
        <v>102</v>
      </c>
      <c r="B56">
        <f>IFERROR(TRIMMEAN(B28:B51,2/COUNT(B28:B51)),AVERAGE(B28:B51))</f>
        <v>0</v>
      </c>
      <c r="C56">
        <f>IFERROR(TRIMMEAN(C28:C51,2/COUNT(C28:C51)),AVERAGE(C28:C51))</f>
        <v>0</v>
      </c>
      <c r="D56">
        <f>IFERROR(TRIMMEAN(D28:D51,2/COUNT(D28:D51)),AVERAGE(D28:D51))</f>
        <v>0</v>
      </c>
      <c r="E56">
        <f>IFERROR(TRIMMEAN(E28:E51,2/COUNT(E28:E51)),AVERAGE(E28:E51))</f>
        <v>0</v>
      </c>
      <c r="F56">
        <f>IFERROR(TRIMMEAN(F28:F51,2/COUNT(F28:F51)),AVERAGE(F28:F51))</f>
        <v>0</v>
      </c>
      <c r="G56">
        <f>IFERROR(TRIMMEAN(G28:G51,2/COUNT(G28:G51)),AVERAGE(G28:G51))</f>
        <v>0</v>
      </c>
      <c r="H56">
        <f>IFERROR(TRIMMEAN(H28:H51,2/COUNT(H28:H51)),AVERAGE(H28:H51))</f>
        <v>0</v>
      </c>
      <c r="I56">
        <f>IFERROR(TRIMMEAN(I28:I51,2/COUNT(I28:I51)),AVERAGE(I28:I51))</f>
        <v>0</v>
      </c>
      <c r="J56">
        <f>IFERROR(TRIMMEAN(J28:J51,2/COUNT(J28:J51)),AVERAGE(J28:J51))</f>
        <v>0</v>
      </c>
      <c r="K56">
        <f>IFERROR(TRIMMEAN(K28:K51,2/COUNT(K28:K51)),AVERAGE(K28:K51))</f>
        <v>0</v>
      </c>
      <c r="L56">
        <f>IFERROR(TRIMMEAN(L28:L51,2/COUNT(L28:L51)),AVERAGE(L28:L51))</f>
        <v>0</v>
      </c>
      <c r="M56">
        <f>IFERROR(TRIMMEAN(M28:M51,2/COUNT(M28:M51)),AVERAGE(M28:M51))</f>
        <v>0</v>
      </c>
      <c r="N56">
        <f>IFERROR(TRIMMEAN(N28:N51,2/COUNT(N28:N51)),AVERAGE(N28:N51))</f>
        <v>0</v>
      </c>
      <c r="O56">
        <f>IFERROR(TRIMMEAN(O28:O51,2/COUNT(O28:O51)),AVERAGE(O28:O51))</f>
        <v>0</v>
      </c>
      <c r="P56">
        <f>IFERROR(TRIMMEAN(P28:P51,2/COUNT(P28:P51)),AVERAGE(P28:P51))</f>
        <v>0</v>
      </c>
      <c r="Q56">
        <f>IFERROR(TRIMMEAN(Q28:Q51,2/COUNT(Q28:Q51)),AVERAGE(Q28:Q51))</f>
        <v>0</v>
      </c>
      <c r="R56">
        <f>IFERROR(TRIMMEAN(R28:R51,2/COUNT(R28:R51)),AVERAGE(R28:R51))</f>
        <v>0</v>
      </c>
      <c r="S56">
        <f>IFERROR(TRIMMEAN(S28:S51,2/COUNT(S28:S51)),AVERAGE(S28:S51))</f>
        <v>0</v>
      </c>
      <c r="T56">
        <f>IFERROR(TRIMMEAN(T28:T51,2/COUNT(T28:T51)),AVERAGE(T28:T51))</f>
        <v>0</v>
      </c>
      <c r="U56">
        <f>IFERROR(TRIMMEAN(U28:U51,2/COUNT(U28:U51)),AVERAGE(U28:U51))</f>
        <v>0</v>
      </c>
      <c r="V56">
        <f>IFERROR(TRIMMEAN(V28:V51,2/COUNT(V28:V51)),AVERAGE(V28:V51))</f>
        <v>0</v>
      </c>
      <c r="W56">
        <f>IFERROR(TRIMMEAN(W28:W51,2/COUNT(W28:W51)),AVERAGE(W28:W51))</f>
        <v>0</v>
      </c>
      <c r="X56">
        <f>IFERROR(TRIMMEAN(X28:X51,2/COUNT(X28:X51)),AVERAGE(X28:X51))</f>
        <v>0</v>
      </c>
    </row>
    <row r="57" spans="1:25">
      <c r="A57" s="3" t="s">
        <v>103</v>
      </c>
      <c r="B57">
        <f>IFERROR(AVERAGE(B49:B51),AVERAGE(B28:B51))</f>
        <v>0</v>
      </c>
      <c r="C57">
        <f>IFERROR(AVERAGE(C49:C51),AVERAGE(C28:C51))</f>
        <v>0</v>
      </c>
      <c r="D57">
        <f>IFERROR(AVERAGE(D49:D51),AVERAGE(D28:D51))</f>
        <v>0</v>
      </c>
      <c r="E57">
        <f>IFERROR(AVERAGE(E49:E51),AVERAGE(E28:E51))</f>
        <v>0</v>
      </c>
      <c r="F57">
        <f>IFERROR(AVERAGE(F49:F51),AVERAGE(F28:F51))</f>
        <v>0</v>
      </c>
      <c r="G57">
        <f>IFERROR(AVERAGE(G49:G51),AVERAGE(G28:G51))</f>
        <v>0</v>
      </c>
      <c r="H57">
        <f>IFERROR(AVERAGE(H49:H51),AVERAGE(H28:H51))</f>
        <v>0</v>
      </c>
      <c r="I57">
        <f>IFERROR(AVERAGE(I49:I51),AVERAGE(I28:I51))</f>
        <v>0</v>
      </c>
      <c r="J57">
        <f>IFERROR(AVERAGE(J49:J51),AVERAGE(J28:J51))</f>
        <v>0</v>
      </c>
      <c r="K57">
        <f>IFERROR(AVERAGE(K49:K51),AVERAGE(K28:K51))</f>
        <v>0</v>
      </c>
      <c r="L57">
        <f>IFERROR(AVERAGE(L49:L51),AVERAGE(L28:L51))</f>
        <v>0</v>
      </c>
      <c r="M57">
        <f>IFERROR(AVERAGE(M49:M51),AVERAGE(M28:M51))</f>
        <v>0</v>
      </c>
      <c r="N57">
        <f>IFERROR(AVERAGE(N49:N51),AVERAGE(N28:N51))</f>
        <v>0</v>
      </c>
      <c r="O57">
        <f>IFERROR(AVERAGE(O49:O51),AVERAGE(O28:O51))</f>
        <v>0</v>
      </c>
      <c r="P57">
        <f>IFERROR(AVERAGE(P49:P51),AVERAGE(P28:P51))</f>
        <v>0</v>
      </c>
      <c r="Q57">
        <f>IFERROR(AVERAGE(Q49:Q51),AVERAGE(Q28:Q51))</f>
        <v>0</v>
      </c>
      <c r="R57">
        <f>IFERROR(AVERAGE(R49:R51),AVERAGE(R28:R51))</f>
        <v>0</v>
      </c>
      <c r="S57">
        <f>IFERROR(AVERAGE(S49:S51),AVERAGE(S28:S51))</f>
        <v>0</v>
      </c>
      <c r="T57">
        <f>IFERROR(AVERAGE(T49:T51),AVERAGE(T28:T51))</f>
        <v>0</v>
      </c>
      <c r="U57">
        <f>IFERROR(AVERAGE(U49:U51),AVERAGE(U28:U51))</f>
        <v>0</v>
      </c>
      <c r="V57">
        <f>IFERROR(AVERAGE(V49:V51),AVERAGE(V28:V51))</f>
        <v>0</v>
      </c>
      <c r="W57">
        <f>IFERROR(AVERAGE(W49:W51),AVERAGE(W28:W51))</f>
        <v>0</v>
      </c>
      <c r="X57">
        <f>IFERROR(AVERAGE(X49:X51),AVERAGE(X28:X51))</f>
        <v>0</v>
      </c>
    </row>
    <row r="58" spans="1:25">
      <c r="A58" s="3" t="s">
        <v>104</v>
      </c>
      <c r="B58">
        <f>IFERROR(SUMPRODUCT(B49:B51,B23:B25)/SUMPRODUCT((B49:B51&lt;&gt;"")*B23:B25),SUMPRODUCT(B28:B51,B2:B25)/SUMPRODUCT((B28:B51&lt;&gt;"")*B2:B25))</f>
        <v>0</v>
      </c>
      <c r="C58">
        <f>IFERROR(SUMPRODUCT(C49:C51,C23:C25)/SUMPRODUCT((C49:C51&lt;&gt;"")*C23:C25),SUMPRODUCT(C28:C51,C2:C25)/SUMPRODUCT((C28:C51&lt;&gt;"")*C2:C25))</f>
        <v>0</v>
      </c>
      <c r="D58">
        <f>IFERROR(SUMPRODUCT(D49:D51,D23:D25)/SUMPRODUCT((D49:D51&lt;&gt;"")*D23:D25),SUMPRODUCT(D28:D51,D2:D25)/SUMPRODUCT((D28:D51&lt;&gt;"")*D2:D25))</f>
        <v>0</v>
      </c>
      <c r="E58">
        <f>IFERROR(SUMPRODUCT(E49:E51,E23:E25)/SUMPRODUCT((E49:E51&lt;&gt;"")*E23:E25),SUMPRODUCT(E28:E51,E2:E25)/SUMPRODUCT((E28:E51&lt;&gt;"")*E2:E25))</f>
        <v>0</v>
      </c>
      <c r="F58">
        <f>IFERROR(SUMPRODUCT(F49:F51,F23:F25)/SUMPRODUCT((F49:F51&lt;&gt;"")*F23:F25),SUMPRODUCT(F28:F51,F2:F25)/SUMPRODUCT((F28:F51&lt;&gt;"")*F2:F25))</f>
        <v>0</v>
      </c>
      <c r="G58">
        <f>IFERROR(SUMPRODUCT(G49:G51,G23:G25)/SUMPRODUCT((G49:G51&lt;&gt;"")*G23:G25),SUMPRODUCT(G28:G51,G2:G25)/SUMPRODUCT((G28:G51&lt;&gt;"")*G2:G25))</f>
        <v>0</v>
      </c>
      <c r="H58">
        <f>IFERROR(SUMPRODUCT(H49:H51,H23:H25)/SUMPRODUCT((H49:H51&lt;&gt;"")*H23:H25),SUMPRODUCT(H28:H51,H2:H25)/SUMPRODUCT((H28:H51&lt;&gt;"")*H2:H25))</f>
        <v>0</v>
      </c>
      <c r="I58">
        <f>IFERROR(SUMPRODUCT(I49:I51,I23:I25)/SUMPRODUCT((I49:I51&lt;&gt;"")*I23:I25),SUMPRODUCT(I28:I51,I2:I25)/SUMPRODUCT((I28:I51&lt;&gt;"")*I2:I25))</f>
        <v>0</v>
      </c>
      <c r="J58">
        <f>IFERROR(SUMPRODUCT(J49:J51,J23:J25)/SUMPRODUCT((J49:J51&lt;&gt;"")*J23:J25),SUMPRODUCT(J28:J51,J2:J25)/SUMPRODUCT((J28:J51&lt;&gt;"")*J2:J25))</f>
        <v>0</v>
      </c>
      <c r="K58">
        <f>IFERROR(SUMPRODUCT(K49:K51,K23:K25)/SUMPRODUCT((K49:K51&lt;&gt;"")*K23:K25),SUMPRODUCT(K28:K51,K2:K25)/SUMPRODUCT((K28:K51&lt;&gt;"")*K2:K25))</f>
        <v>0</v>
      </c>
      <c r="L58">
        <f>IFERROR(SUMPRODUCT(L49:L51,L23:L25)/SUMPRODUCT((L49:L51&lt;&gt;"")*L23:L25),SUMPRODUCT(L28:L51,L2:L25)/SUMPRODUCT((L28:L51&lt;&gt;"")*L2:L25))</f>
        <v>0</v>
      </c>
      <c r="M58">
        <f>IFERROR(SUMPRODUCT(M49:M51,M23:M25)/SUMPRODUCT((M49:M51&lt;&gt;"")*M23:M25),SUMPRODUCT(M28:M51,M2:M25)/SUMPRODUCT((M28:M51&lt;&gt;"")*M2:M25))</f>
        <v>0</v>
      </c>
      <c r="N58">
        <f>IFERROR(SUMPRODUCT(N49:N51,N23:N25)/SUMPRODUCT((N49:N51&lt;&gt;"")*N23:N25),SUMPRODUCT(N28:N51,N2:N25)/SUMPRODUCT((N28:N51&lt;&gt;"")*N2:N25))</f>
        <v>0</v>
      </c>
      <c r="O58">
        <f>IFERROR(SUMPRODUCT(O49:O51,O23:O25)/SUMPRODUCT((O49:O51&lt;&gt;"")*O23:O25),SUMPRODUCT(O28:O51,O2:O25)/SUMPRODUCT((O28:O51&lt;&gt;"")*O2:O25))</f>
        <v>0</v>
      </c>
      <c r="P58">
        <f>IFERROR(SUMPRODUCT(P49:P51,P23:P25)/SUMPRODUCT((P49:P51&lt;&gt;"")*P23:P25),SUMPRODUCT(P28:P51,P2:P25)/SUMPRODUCT((P28:P51&lt;&gt;"")*P2:P25))</f>
        <v>0</v>
      </c>
      <c r="Q58">
        <f>IFERROR(SUMPRODUCT(Q49:Q51,Q23:Q25)/SUMPRODUCT((Q49:Q51&lt;&gt;"")*Q23:Q25),SUMPRODUCT(Q28:Q51,Q2:Q25)/SUMPRODUCT((Q28:Q51&lt;&gt;"")*Q2:Q25))</f>
        <v>0</v>
      </c>
      <c r="R58">
        <f>IFERROR(SUMPRODUCT(R49:R51,R23:R25)/SUMPRODUCT((R49:R51&lt;&gt;"")*R23:R25),SUMPRODUCT(R28:R51,R2:R25)/SUMPRODUCT((R28:R51&lt;&gt;"")*R2:R25))</f>
        <v>0</v>
      </c>
      <c r="S58">
        <f>IFERROR(SUMPRODUCT(S49:S51,S23:S25)/SUMPRODUCT((S49:S51&lt;&gt;"")*S23:S25),SUMPRODUCT(S28:S51,S2:S25)/SUMPRODUCT((S28:S51&lt;&gt;"")*S2:S25))</f>
        <v>0</v>
      </c>
      <c r="T58">
        <f>IFERROR(SUMPRODUCT(T49:T51,T23:T25)/SUMPRODUCT((T49:T51&lt;&gt;"")*T23:T25),SUMPRODUCT(T28:T51,T2:T25)/SUMPRODUCT((T28:T51&lt;&gt;"")*T2:T25))</f>
        <v>0</v>
      </c>
      <c r="U58">
        <f>IFERROR(SUMPRODUCT(U49:U51,U23:U25)/SUMPRODUCT((U49:U51&lt;&gt;"")*U23:U25),SUMPRODUCT(U28:U51,U2:U25)/SUMPRODUCT((U28:U51&lt;&gt;"")*U2:U25))</f>
        <v>0</v>
      </c>
      <c r="V58">
        <f>IFERROR(SUMPRODUCT(V49:V51,V23:V25)/SUMPRODUCT((V49:V51&lt;&gt;"")*V23:V25),SUMPRODUCT(V28:V51,V2:V25)/SUMPRODUCT((V28:V51&lt;&gt;"")*V2:V25))</f>
        <v>0</v>
      </c>
      <c r="W58">
        <f>IFERROR(SUMPRODUCT(W49:W51,W23:W25)/SUMPRODUCT((W49:W51&lt;&gt;"")*W23:W25),SUMPRODUCT(W28:W51,W2:W25)/SUMPRODUCT((W28:W51&lt;&gt;"")*W2:W25))</f>
        <v>0</v>
      </c>
      <c r="X58">
        <f>IFERROR(SUMPRODUCT(X49:X51,X23:X25)/SUMPRODUCT((X49:X51&lt;&gt;"")*X23:X25),SUMPRODUCT(X28:X51,X2:X25)/SUMPRODUCT((X28:X51&lt;&gt;"")*X2:X25))</f>
        <v>0</v>
      </c>
    </row>
    <row r="59" spans="1:25">
      <c r="A59" s="3" t="s">
        <v>105</v>
      </c>
      <c r="B59">
        <f>IFERROR(TRIMMEAN(B49:B51,2/COUNT(B49:B51)),AVERAGE(B28:B51))</f>
        <v>0</v>
      </c>
      <c r="C59">
        <f>IFERROR(TRIMMEAN(C49:C51,2/COUNT(C49:C51)),AVERAGE(C28:C51))</f>
        <v>0</v>
      </c>
      <c r="D59">
        <f>IFERROR(TRIMMEAN(D49:D51,2/COUNT(D49:D51)),AVERAGE(D28:D51))</f>
        <v>0</v>
      </c>
      <c r="E59">
        <f>IFERROR(TRIMMEAN(E49:E51,2/COUNT(E49:E51)),AVERAGE(E28:E51))</f>
        <v>0</v>
      </c>
      <c r="F59">
        <f>IFERROR(TRIMMEAN(F49:F51,2/COUNT(F49:F51)),AVERAGE(F28:F51))</f>
        <v>0</v>
      </c>
      <c r="G59">
        <f>IFERROR(TRIMMEAN(G49:G51,2/COUNT(G49:G51)),AVERAGE(G28:G51))</f>
        <v>0</v>
      </c>
      <c r="H59">
        <f>IFERROR(TRIMMEAN(H49:H51,2/COUNT(H49:H51)),AVERAGE(H28:H51))</f>
        <v>0</v>
      </c>
      <c r="I59">
        <f>IFERROR(TRIMMEAN(I49:I51,2/COUNT(I49:I51)),AVERAGE(I28:I51))</f>
        <v>0</v>
      </c>
      <c r="J59">
        <f>IFERROR(TRIMMEAN(J49:J51,2/COUNT(J49:J51)),AVERAGE(J28:J51))</f>
        <v>0</v>
      </c>
      <c r="K59">
        <f>IFERROR(TRIMMEAN(K49:K51,2/COUNT(K49:K51)),AVERAGE(K28:K51))</f>
        <v>0</v>
      </c>
      <c r="L59">
        <f>IFERROR(TRIMMEAN(L49:L51,2/COUNT(L49:L51)),AVERAGE(L28:L51))</f>
        <v>0</v>
      </c>
      <c r="M59">
        <f>IFERROR(TRIMMEAN(M49:M51,2/COUNT(M49:M51)),AVERAGE(M28:M51))</f>
        <v>0</v>
      </c>
      <c r="N59">
        <f>IFERROR(TRIMMEAN(N49:N51,2/COUNT(N49:N51)),AVERAGE(N28:N51))</f>
        <v>0</v>
      </c>
      <c r="O59">
        <f>IFERROR(TRIMMEAN(O49:O51,2/COUNT(O49:O51)),AVERAGE(O28:O51))</f>
        <v>0</v>
      </c>
      <c r="P59">
        <f>IFERROR(TRIMMEAN(P49:P51,2/COUNT(P49:P51)),AVERAGE(P28:P51))</f>
        <v>0</v>
      </c>
      <c r="Q59">
        <f>IFERROR(TRIMMEAN(Q49:Q51,2/COUNT(Q49:Q51)),AVERAGE(Q28:Q51))</f>
        <v>0</v>
      </c>
      <c r="R59">
        <f>IFERROR(TRIMMEAN(R49:R51,2/COUNT(R49:R51)),AVERAGE(R28:R51))</f>
        <v>0</v>
      </c>
      <c r="S59">
        <f>IFERROR(TRIMMEAN(S49:S51,2/COUNT(S49:S51)),AVERAGE(S28:S51))</f>
        <v>0</v>
      </c>
      <c r="T59">
        <f>IFERROR(TRIMMEAN(T49:T51,2/COUNT(T49:T51)),AVERAGE(T28:T51))</f>
        <v>0</v>
      </c>
      <c r="U59">
        <f>IFERROR(TRIMMEAN(U49:U51,2/COUNT(U49:U51)),AVERAGE(U28:U51))</f>
        <v>0</v>
      </c>
      <c r="V59">
        <f>IFERROR(TRIMMEAN(V49:V51,2/COUNT(V49:V51)),AVERAGE(V28:V51))</f>
        <v>0</v>
      </c>
      <c r="W59">
        <f>IFERROR(TRIMMEAN(W49:W51,2/COUNT(W49:W51)),AVERAGE(W28:W51))</f>
        <v>0</v>
      </c>
      <c r="X59">
        <f>IFERROR(TRIMMEAN(X49:X51,2/COUNT(X49:X51)),AVERAGE(X28:X51))</f>
        <v>0</v>
      </c>
    </row>
    <row r="60" spans="1:25">
      <c r="A60" s="3" t="s">
        <v>106</v>
      </c>
      <c r="B60">
        <f>IFERROR(AVERAGE(B47:B51),AVERAGE(B28:B51))</f>
        <v>0</v>
      </c>
      <c r="C60">
        <f>IFERROR(AVERAGE(C47:C51),AVERAGE(C28:C51))</f>
        <v>0</v>
      </c>
      <c r="D60">
        <f>IFERROR(AVERAGE(D47:D51),AVERAGE(D28:D51))</f>
        <v>0</v>
      </c>
      <c r="E60">
        <f>IFERROR(AVERAGE(E47:E51),AVERAGE(E28:E51))</f>
        <v>0</v>
      </c>
      <c r="F60">
        <f>IFERROR(AVERAGE(F47:F51),AVERAGE(F28:F51))</f>
        <v>0</v>
      </c>
      <c r="G60">
        <f>IFERROR(AVERAGE(G47:G51),AVERAGE(G28:G51))</f>
        <v>0</v>
      </c>
      <c r="H60">
        <f>IFERROR(AVERAGE(H47:H51),AVERAGE(H28:H51))</f>
        <v>0</v>
      </c>
      <c r="I60">
        <f>IFERROR(AVERAGE(I47:I51),AVERAGE(I28:I51))</f>
        <v>0</v>
      </c>
      <c r="J60">
        <f>IFERROR(AVERAGE(J47:J51),AVERAGE(J28:J51))</f>
        <v>0</v>
      </c>
      <c r="K60">
        <f>IFERROR(AVERAGE(K47:K51),AVERAGE(K28:K51))</f>
        <v>0</v>
      </c>
      <c r="L60">
        <f>IFERROR(AVERAGE(L47:L51),AVERAGE(L28:L51))</f>
        <v>0</v>
      </c>
      <c r="M60">
        <f>IFERROR(AVERAGE(M47:M51),AVERAGE(M28:M51))</f>
        <v>0</v>
      </c>
      <c r="N60">
        <f>IFERROR(AVERAGE(N47:N51),AVERAGE(N28:N51))</f>
        <v>0</v>
      </c>
      <c r="O60">
        <f>IFERROR(AVERAGE(O47:O51),AVERAGE(O28:O51))</f>
        <v>0</v>
      </c>
      <c r="P60">
        <f>IFERROR(AVERAGE(P47:P51),AVERAGE(P28:P51))</f>
        <v>0</v>
      </c>
      <c r="Q60">
        <f>IFERROR(AVERAGE(Q47:Q51),AVERAGE(Q28:Q51))</f>
        <v>0</v>
      </c>
      <c r="R60">
        <f>IFERROR(AVERAGE(R47:R51),AVERAGE(R28:R51))</f>
        <v>0</v>
      </c>
      <c r="S60">
        <f>IFERROR(AVERAGE(S47:S51),AVERAGE(S28:S51))</f>
        <v>0</v>
      </c>
      <c r="T60">
        <f>IFERROR(AVERAGE(T47:T51),AVERAGE(T28:T51))</f>
        <v>0</v>
      </c>
      <c r="U60">
        <f>IFERROR(AVERAGE(U47:U51),AVERAGE(U28:U51))</f>
        <v>0</v>
      </c>
      <c r="V60">
        <f>IFERROR(AVERAGE(V47:V51),AVERAGE(V28:V51))</f>
        <v>0</v>
      </c>
      <c r="W60">
        <f>IFERROR(AVERAGE(W47:W51),AVERAGE(W28:W51))</f>
        <v>0</v>
      </c>
      <c r="X60">
        <f>IFERROR(AVERAGE(X47:X51),AVERAGE(X28:X51))</f>
        <v>0</v>
      </c>
    </row>
    <row r="61" spans="1:25">
      <c r="A61" s="3" t="s">
        <v>107</v>
      </c>
      <c r="B61">
        <f>IFERROR(SUMPRODUCT(B47:B51,B21:B25)/SUMPRODUCT((B47:B51&lt;&gt;"")*B21:B25),SUMPRODUCT(B28:B51,B2:B25)/SUMPRODUCT((B28:B51&lt;&gt;"")*B2:B25))</f>
        <v>0</v>
      </c>
      <c r="C61">
        <f>IFERROR(SUMPRODUCT(C47:C51,C21:C25)/SUMPRODUCT((C47:C51&lt;&gt;"")*C21:C25),SUMPRODUCT(C28:C51,C2:C25)/SUMPRODUCT((C28:C51&lt;&gt;"")*C2:C25))</f>
        <v>0</v>
      </c>
      <c r="D61">
        <f>IFERROR(SUMPRODUCT(D47:D51,D21:D25)/SUMPRODUCT((D47:D51&lt;&gt;"")*D21:D25),SUMPRODUCT(D28:D51,D2:D25)/SUMPRODUCT((D28:D51&lt;&gt;"")*D2:D25))</f>
        <v>0</v>
      </c>
      <c r="E61">
        <f>IFERROR(SUMPRODUCT(E47:E51,E21:E25)/SUMPRODUCT((E47:E51&lt;&gt;"")*E21:E25),SUMPRODUCT(E28:E51,E2:E25)/SUMPRODUCT((E28:E51&lt;&gt;"")*E2:E25))</f>
        <v>0</v>
      </c>
      <c r="F61">
        <f>IFERROR(SUMPRODUCT(F47:F51,F21:F25)/SUMPRODUCT((F47:F51&lt;&gt;"")*F21:F25),SUMPRODUCT(F28:F51,F2:F25)/SUMPRODUCT((F28:F51&lt;&gt;"")*F2:F25))</f>
        <v>0</v>
      </c>
      <c r="G61">
        <f>IFERROR(SUMPRODUCT(G47:G51,G21:G25)/SUMPRODUCT((G47:G51&lt;&gt;"")*G21:G25),SUMPRODUCT(G28:G51,G2:G25)/SUMPRODUCT((G28:G51&lt;&gt;"")*G2:G25))</f>
        <v>0</v>
      </c>
      <c r="H61">
        <f>IFERROR(SUMPRODUCT(H47:H51,H21:H25)/SUMPRODUCT((H47:H51&lt;&gt;"")*H21:H25),SUMPRODUCT(H28:H51,H2:H25)/SUMPRODUCT((H28:H51&lt;&gt;"")*H2:H25))</f>
        <v>0</v>
      </c>
      <c r="I61">
        <f>IFERROR(SUMPRODUCT(I47:I51,I21:I25)/SUMPRODUCT((I47:I51&lt;&gt;"")*I21:I25),SUMPRODUCT(I28:I51,I2:I25)/SUMPRODUCT((I28:I51&lt;&gt;"")*I2:I25))</f>
        <v>0</v>
      </c>
      <c r="J61">
        <f>IFERROR(SUMPRODUCT(J47:J51,J21:J25)/SUMPRODUCT((J47:J51&lt;&gt;"")*J21:J25),SUMPRODUCT(J28:J51,J2:J25)/SUMPRODUCT((J28:J51&lt;&gt;"")*J2:J25))</f>
        <v>0</v>
      </c>
      <c r="K61">
        <f>IFERROR(SUMPRODUCT(K47:K51,K21:K25)/SUMPRODUCT((K47:K51&lt;&gt;"")*K21:K25),SUMPRODUCT(K28:K51,K2:K25)/SUMPRODUCT((K28:K51&lt;&gt;"")*K2:K25))</f>
        <v>0</v>
      </c>
      <c r="L61">
        <f>IFERROR(SUMPRODUCT(L47:L51,L21:L25)/SUMPRODUCT((L47:L51&lt;&gt;"")*L21:L25),SUMPRODUCT(L28:L51,L2:L25)/SUMPRODUCT((L28:L51&lt;&gt;"")*L2:L25))</f>
        <v>0</v>
      </c>
      <c r="M61">
        <f>IFERROR(SUMPRODUCT(M47:M51,M21:M25)/SUMPRODUCT((M47:M51&lt;&gt;"")*M21:M25),SUMPRODUCT(M28:M51,M2:M25)/SUMPRODUCT((M28:M51&lt;&gt;"")*M2:M25))</f>
        <v>0</v>
      </c>
      <c r="N61">
        <f>IFERROR(SUMPRODUCT(N47:N51,N21:N25)/SUMPRODUCT((N47:N51&lt;&gt;"")*N21:N25),SUMPRODUCT(N28:N51,N2:N25)/SUMPRODUCT((N28:N51&lt;&gt;"")*N2:N25))</f>
        <v>0</v>
      </c>
      <c r="O61">
        <f>IFERROR(SUMPRODUCT(O47:O51,O21:O25)/SUMPRODUCT((O47:O51&lt;&gt;"")*O21:O25),SUMPRODUCT(O28:O51,O2:O25)/SUMPRODUCT((O28:O51&lt;&gt;"")*O2:O25))</f>
        <v>0</v>
      </c>
      <c r="P61">
        <f>IFERROR(SUMPRODUCT(P47:P51,P21:P25)/SUMPRODUCT((P47:P51&lt;&gt;"")*P21:P25),SUMPRODUCT(P28:P51,P2:P25)/SUMPRODUCT((P28:P51&lt;&gt;"")*P2:P25))</f>
        <v>0</v>
      </c>
      <c r="Q61">
        <f>IFERROR(SUMPRODUCT(Q47:Q51,Q21:Q25)/SUMPRODUCT((Q47:Q51&lt;&gt;"")*Q21:Q25),SUMPRODUCT(Q28:Q51,Q2:Q25)/SUMPRODUCT((Q28:Q51&lt;&gt;"")*Q2:Q25))</f>
        <v>0</v>
      </c>
      <c r="R61">
        <f>IFERROR(SUMPRODUCT(R47:R51,R21:R25)/SUMPRODUCT((R47:R51&lt;&gt;"")*R21:R25),SUMPRODUCT(R28:R51,R2:R25)/SUMPRODUCT((R28:R51&lt;&gt;"")*R2:R25))</f>
        <v>0</v>
      </c>
      <c r="S61">
        <f>IFERROR(SUMPRODUCT(S47:S51,S21:S25)/SUMPRODUCT((S47:S51&lt;&gt;"")*S21:S25),SUMPRODUCT(S28:S51,S2:S25)/SUMPRODUCT((S28:S51&lt;&gt;"")*S2:S25))</f>
        <v>0</v>
      </c>
      <c r="T61">
        <f>IFERROR(SUMPRODUCT(T47:T51,T21:T25)/SUMPRODUCT((T47:T51&lt;&gt;"")*T21:T25),SUMPRODUCT(T28:T51,T2:T25)/SUMPRODUCT((T28:T51&lt;&gt;"")*T2:T25))</f>
        <v>0</v>
      </c>
      <c r="U61">
        <f>IFERROR(SUMPRODUCT(U47:U51,U21:U25)/SUMPRODUCT((U47:U51&lt;&gt;"")*U21:U25),SUMPRODUCT(U28:U51,U2:U25)/SUMPRODUCT((U28:U51&lt;&gt;"")*U2:U25))</f>
        <v>0</v>
      </c>
      <c r="V61">
        <f>IFERROR(SUMPRODUCT(V47:V51,V21:V25)/SUMPRODUCT((V47:V51&lt;&gt;"")*V21:V25),SUMPRODUCT(V28:V51,V2:V25)/SUMPRODUCT((V28:V51&lt;&gt;"")*V2:V25))</f>
        <v>0</v>
      </c>
      <c r="W61">
        <f>IFERROR(SUMPRODUCT(W47:W51,W21:W25)/SUMPRODUCT((W47:W51&lt;&gt;"")*W21:W25),SUMPRODUCT(W28:W51,W2:W25)/SUMPRODUCT((W28:W51&lt;&gt;"")*W2:W25))</f>
        <v>0</v>
      </c>
      <c r="X61">
        <f>IFERROR(SUMPRODUCT(X47:X51,X21:X25)/SUMPRODUCT((X47:X51&lt;&gt;"")*X21:X25),SUMPRODUCT(X28:X51,X2:X25)/SUMPRODUCT((X28:X51&lt;&gt;"")*X2:X25))</f>
        <v>0</v>
      </c>
    </row>
    <row r="62" spans="1:25">
      <c r="A62" s="3" t="s">
        <v>108</v>
      </c>
      <c r="B62">
        <f>IFERROR(TRIMMEAN(B47:B51,2/COUNT(B47:B51)),AVERAGE(B28:B51))</f>
        <v>0</v>
      </c>
      <c r="C62">
        <f>IFERROR(TRIMMEAN(C47:C51,2/COUNT(C47:C51)),AVERAGE(C28:C51))</f>
        <v>0</v>
      </c>
      <c r="D62">
        <f>IFERROR(TRIMMEAN(D47:D51,2/COUNT(D47:D51)),AVERAGE(D28:D51))</f>
        <v>0</v>
      </c>
      <c r="E62">
        <f>IFERROR(TRIMMEAN(E47:E51,2/COUNT(E47:E51)),AVERAGE(E28:E51))</f>
        <v>0</v>
      </c>
      <c r="F62">
        <f>IFERROR(TRIMMEAN(F47:F51,2/COUNT(F47:F51)),AVERAGE(F28:F51))</f>
        <v>0</v>
      </c>
      <c r="G62">
        <f>IFERROR(TRIMMEAN(G47:G51,2/COUNT(G47:G51)),AVERAGE(G28:G51))</f>
        <v>0</v>
      </c>
      <c r="H62">
        <f>IFERROR(TRIMMEAN(H47:H51,2/COUNT(H47:H51)),AVERAGE(H28:H51))</f>
        <v>0</v>
      </c>
      <c r="I62">
        <f>IFERROR(TRIMMEAN(I47:I51,2/COUNT(I47:I51)),AVERAGE(I28:I51))</f>
        <v>0</v>
      </c>
      <c r="J62">
        <f>IFERROR(TRIMMEAN(J47:J51,2/COUNT(J47:J51)),AVERAGE(J28:J51))</f>
        <v>0</v>
      </c>
      <c r="K62">
        <f>IFERROR(TRIMMEAN(K47:K51,2/COUNT(K47:K51)),AVERAGE(K28:K51))</f>
        <v>0</v>
      </c>
      <c r="L62">
        <f>IFERROR(TRIMMEAN(L47:L51,2/COUNT(L47:L51)),AVERAGE(L28:L51))</f>
        <v>0</v>
      </c>
      <c r="M62">
        <f>IFERROR(TRIMMEAN(M47:M51,2/COUNT(M47:M51)),AVERAGE(M28:M51))</f>
        <v>0</v>
      </c>
      <c r="N62">
        <f>IFERROR(TRIMMEAN(N47:N51,2/COUNT(N47:N51)),AVERAGE(N28:N51))</f>
        <v>0</v>
      </c>
      <c r="O62">
        <f>IFERROR(TRIMMEAN(O47:O51,2/COUNT(O47:O51)),AVERAGE(O28:O51))</f>
        <v>0</v>
      </c>
      <c r="P62">
        <f>IFERROR(TRIMMEAN(P47:P51,2/COUNT(P47:P51)),AVERAGE(P28:P51))</f>
        <v>0</v>
      </c>
      <c r="Q62">
        <f>IFERROR(TRIMMEAN(Q47:Q51,2/COUNT(Q47:Q51)),AVERAGE(Q28:Q51))</f>
        <v>0</v>
      </c>
      <c r="R62">
        <f>IFERROR(TRIMMEAN(R47:R51,2/COUNT(R47:R51)),AVERAGE(R28:R51))</f>
        <v>0</v>
      </c>
      <c r="S62">
        <f>IFERROR(TRIMMEAN(S47:S51,2/COUNT(S47:S51)),AVERAGE(S28:S51))</f>
        <v>0</v>
      </c>
      <c r="T62">
        <f>IFERROR(TRIMMEAN(T47:T51,2/COUNT(T47:T51)),AVERAGE(T28:T51))</f>
        <v>0</v>
      </c>
      <c r="U62">
        <f>IFERROR(TRIMMEAN(U47:U51,2/COUNT(U47:U51)),AVERAGE(U28:U51))</f>
        <v>0</v>
      </c>
      <c r="V62">
        <f>IFERROR(TRIMMEAN(V47:V51,2/COUNT(V47:V51)),AVERAGE(V28:V51))</f>
        <v>0</v>
      </c>
      <c r="W62">
        <f>IFERROR(TRIMMEAN(W47:W51,2/COUNT(W47:W51)),AVERAGE(W28:W51))</f>
        <v>0</v>
      </c>
      <c r="X62">
        <f>IFERROR(TRIMMEAN(X47:X51,2/COUNT(X47:X51)),AVERAGE(X28:X51))</f>
        <v>0</v>
      </c>
    </row>
    <row r="63" spans="1:25">
      <c r="A63" s="3" t="s">
        <v>109</v>
      </c>
      <c r="B63">
        <f>IFERROR(AVERAGE(B42:B51),AVERAGE(B28:B51))</f>
        <v>0</v>
      </c>
      <c r="C63">
        <f>IFERROR(AVERAGE(C42:C51),AVERAGE(C28:C51))</f>
        <v>0</v>
      </c>
      <c r="D63">
        <f>IFERROR(AVERAGE(D42:D51),AVERAGE(D28:D51))</f>
        <v>0</v>
      </c>
      <c r="E63">
        <f>IFERROR(AVERAGE(E42:E51),AVERAGE(E28:E51))</f>
        <v>0</v>
      </c>
      <c r="F63">
        <f>IFERROR(AVERAGE(F42:F51),AVERAGE(F28:F51))</f>
        <v>0</v>
      </c>
      <c r="G63">
        <f>IFERROR(AVERAGE(G42:G51),AVERAGE(G28:G51))</f>
        <v>0</v>
      </c>
      <c r="H63">
        <f>IFERROR(AVERAGE(H42:H51),AVERAGE(H28:H51))</f>
        <v>0</v>
      </c>
      <c r="I63">
        <f>IFERROR(AVERAGE(I42:I51),AVERAGE(I28:I51))</f>
        <v>0</v>
      </c>
      <c r="J63">
        <f>IFERROR(AVERAGE(J42:J51),AVERAGE(J28:J51))</f>
        <v>0</v>
      </c>
      <c r="K63">
        <f>IFERROR(AVERAGE(K42:K51),AVERAGE(K28:K51))</f>
        <v>0</v>
      </c>
      <c r="L63">
        <f>IFERROR(AVERAGE(L42:L51),AVERAGE(L28:L51))</f>
        <v>0</v>
      </c>
      <c r="M63">
        <f>IFERROR(AVERAGE(M42:M51),AVERAGE(M28:M51))</f>
        <v>0</v>
      </c>
      <c r="N63">
        <f>IFERROR(AVERAGE(N42:N51),AVERAGE(N28:N51))</f>
        <v>0</v>
      </c>
      <c r="O63">
        <f>IFERROR(AVERAGE(O42:O51),AVERAGE(O28:O51))</f>
        <v>0</v>
      </c>
      <c r="P63">
        <f>IFERROR(AVERAGE(P42:P51),AVERAGE(P28:P51))</f>
        <v>0</v>
      </c>
      <c r="Q63">
        <f>IFERROR(AVERAGE(Q42:Q51),AVERAGE(Q28:Q51))</f>
        <v>0</v>
      </c>
      <c r="R63">
        <f>IFERROR(AVERAGE(R42:R51),AVERAGE(R28:R51))</f>
        <v>0</v>
      </c>
      <c r="S63">
        <f>IFERROR(AVERAGE(S42:S51),AVERAGE(S28:S51))</f>
        <v>0</v>
      </c>
      <c r="T63">
        <f>IFERROR(AVERAGE(T42:T51),AVERAGE(T28:T51))</f>
        <v>0</v>
      </c>
      <c r="U63">
        <f>IFERROR(AVERAGE(U42:U51),AVERAGE(U28:U51))</f>
        <v>0</v>
      </c>
      <c r="V63">
        <f>IFERROR(AVERAGE(V42:V51),AVERAGE(V28:V51))</f>
        <v>0</v>
      </c>
      <c r="W63">
        <f>IFERROR(AVERAGE(W42:W51),AVERAGE(W28:W51))</f>
        <v>0</v>
      </c>
      <c r="X63">
        <f>IFERROR(AVERAGE(X42:X51),AVERAGE(X28:X51))</f>
        <v>0</v>
      </c>
    </row>
    <row r="64" spans="1:25">
      <c r="A64" s="3" t="s">
        <v>110</v>
      </c>
      <c r="B64">
        <f>IFERROR(SUMPRODUCT(B42:B51,B16:B25)/SUMPRODUCT((B42:B51&lt;&gt;"")*B16:B25),SUMPRODUCT(B28:B51,B2:B25)/SUMPRODUCT((B28:B51&lt;&gt;"")*B2:B25))</f>
        <v>0</v>
      </c>
      <c r="C64">
        <f>IFERROR(SUMPRODUCT(C42:C51,C16:C25)/SUMPRODUCT((C42:C51&lt;&gt;"")*C16:C25),SUMPRODUCT(C28:C51,C2:C25)/SUMPRODUCT((C28:C51&lt;&gt;"")*C2:C25))</f>
        <v>0</v>
      </c>
      <c r="D64">
        <f>IFERROR(SUMPRODUCT(D42:D51,D16:D25)/SUMPRODUCT((D42:D51&lt;&gt;"")*D16:D25),SUMPRODUCT(D28:D51,D2:D25)/SUMPRODUCT((D28:D51&lt;&gt;"")*D2:D25))</f>
        <v>0</v>
      </c>
      <c r="E64">
        <f>IFERROR(SUMPRODUCT(E42:E51,E16:E25)/SUMPRODUCT((E42:E51&lt;&gt;"")*E16:E25),SUMPRODUCT(E28:E51,E2:E25)/SUMPRODUCT((E28:E51&lt;&gt;"")*E2:E25))</f>
        <v>0</v>
      </c>
      <c r="F64">
        <f>IFERROR(SUMPRODUCT(F42:F51,F16:F25)/SUMPRODUCT((F42:F51&lt;&gt;"")*F16:F25),SUMPRODUCT(F28:F51,F2:F25)/SUMPRODUCT((F28:F51&lt;&gt;"")*F2:F25))</f>
        <v>0</v>
      </c>
      <c r="G64">
        <f>IFERROR(SUMPRODUCT(G42:G51,G16:G25)/SUMPRODUCT((G42:G51&lt;&gt;"")*G16:G25),SUMPRODUCT(G28:G51,G2:G25)/SUMPRODUCT((G28:G51&lt;&gt;"")*G2:G25))</f>
        <v>0</v>
      </c>
      <c r="H64">
        <f>IFERROR(SUMPRODUCT(H42:H51,H16:H25)/SUMPRODUCT((H42:H51&lt;&gt;"")*H16:H25),SUMPRODUCT(H28:H51,H2:H25)/SUMPRODUCT((H28:H51&lt;&gt;"")*H2:H25))</f>
        <v>0</v>
      </c>
      <c r="I64">
        <f>IFERROR(SUMPRODUCT(I42:I51,I16:I25)/SUMPRODUCT((I42:I51&lt;&gt;"")*I16:I25),SUMPRODUCT(I28:I51,I2:I25)/SUMPRODUCT((I28:I51&lt;&gt;"")*I2:I25))</f>
        <v>0</v>
      </c>
      <c r="J64">
        <f>IFERROR(SUMPRODUCT(J42:J51,J16:J25)/SUMPRODUCT((J42:J51&lt;&gt;"")*J16:J25),SUMPRODUCT(J28:J51,J2:J25)/SUMPRODUCT((J28:J51&lt;&gt;"")*J2:J25))</f>
        <v>0</v>
      </c>
      <c r="K64">
        <f>IFERROR(SUMPRODUCT(K42:K51,K16:K25)/SUMPRODUCT((K42:K51&lt;&gt;"")*K16:K25),SUMPRODUCT(K28:K51,K2:K25)/SUMPRODUCT((K28:K51&lt;&gt;"")*K2:K25))</f>
        <v>0</v>
      </c>
      <c r="L64">
        <f>IFERROR(SUMPRODUCT(L42:L51,L16:L25)/SUMPRODUCT((L42:L51&lt;&gt;"")*L16:L25),SUMPRODUCT(L28:L51,L2:L25)/SUMPRODUCT((L28:L51&lt;&gt;"")*L2:L25))</f>
        <v>0</v>
      </c>
      <c r="M64">
        <f>IFERROR(SUMPRODUCT(M42:M51,M16:M25)/SUMPRODUCT((M42:M51&lt;&gt;"")*M16:M25),SUMPRODUCT(M28:M51,M2:M25)/SUMPRODUCT((M28:M51&lt;&gt;"")*M2:M25))</f>
        <v>0</v>
      </c>
      <c r="N64">
        <f>IFERROR(SUMPRODUCT(N42:N51,N16:N25)/SUMPRODUCT((N42:N51&lt;&gt;"")*N16:N25),SUMPRODUCT(N28:N51,N2:N25)/SUMPRODUCT((N28:N51&lt;&gt;"")*N2:N25))</f>
        <v>0</v>
      </c>
      <c r="O64">
        <f>IFERROR(SUMPRODUCT(O42:O51,O16:O25)/SUMPRODUCT((O42:O51&lt;&gt;"")*O16:O25),SUMPRODUCT(O28:O51,O2:O25)/SUMPRODUCT((O28:O51&lt;&gt;"")*O2:O25))</f>
        <v>0</v>
      </c>
      <c r="P64">
        <f>IFERROR(SUMPRODUCT(P42:P51,P16:P25)/SUMPRODUCT((P42:P51&lt;&gt;"")*P16:P25),SUMPRODUCT(P28:P51,P2:P25)/SUMPRODUCT((P28:P51&lt;&gt;"")*P2:P25))</f>
        <v>0</v>
      </c>
      <c r="Q64">
        <f>IFERROR(SUMPRODUCT(Q42:Q51,Q16:Q25)/SUMPRODUCT((Q42:Q51&lt;&gt;"")*Q16:Q25),SUMPRODUCT(Q28:Q51,Q2:Q25)/SUMPRODUCT((Q28:Q51&lt;&gt;"")*Q2:Q25))</f>
        <v>0</v>
      </c>
      <c r="R64">
        <f>IFERROR(SUMPRODUCT(R42:R51,R16:R25)/SUMPRODUCT((R42:R51&lt;&gt;"")*R16:R25),SUMPRODUCT(R28:R51,R2:R25)/SUMPRODUCT((R28:R51&lt;&gt;"")*R2:R25))</f>
        <v>0</v>
      </c>
      <c r="S64">
        <f>IFERROR(SUMPRODUCT(S42:S51,S16:S25)/SUMPRODUCT((S42:S51&lt;&gt;"")*S16:S25),SUMPRODUCT(S28:S51,S2:S25)/SUMPRODUCT((S28:S51&lt;&gt;"")*S2:S25))</f>
        <v>0</v>
      </c>
      <c r="T64">
        <f>IFERROR(SUMPRODUCT(T42:T51,T16:T25)/SUMPRODUCT((T42:T51&lt;&gt;"")*T16:T25),SUMPRODUCT(T28:T51,T2:T25)/SUMPRODUCT((T28:T51&lt;&gt;"")*T2:T25))</f>
        <v>0</v>
      </c>
      <c r="U64">
        <f>IFERROR(SUMPRODUCT(U42:U51,U16:U25)/SUMPRODUCT((U42:U51&lt;&gt;"")*U16:U25),SUMPRODUCT(U28:U51,U2:U25)/SUMPRODUCT((U28:U51&lt;&gt;"")*U2:U25))</f>
        <v>0</v>
      </c>
      <c r="V64">
        <f>IFERROR(SUMPRODUCT(V42:V51,V16:V25)/SUMPRODUCT((V42:V51&lt;&gt;"")*V16:V25),SUMPRODUCT(V28:V51,V2:V25)/SUMPRODUCT((V28:V51&lt;&gt;"")*V2:V25))</f>
        <v>0</v>
      </c>
      <c r="W64">
        <f>IFERROR(SUMPRODUCT(W42:W51,W16:W25)/SUMPRODUCT((W42:W51&lt;&gt;"")*W16:W25),SUMPRODUCT(W28:W51,W2:W25)/SUMPRODUCT((W28:W51&lt;&gt;"")*W2:W25))</f>
        <v>0</v>
      </c>
      <c r="X64">
        <f>IFERROR(SUMPRODUCT(X42:X51,X16:X25)/SUMPRODUCT((X42:X51&lt;&gt;"")*X16:X25),SUMPRODUCT(X28:X51,X2:X25)/SUMPRODUCT((X28:X51&lt;&gt;"")*X2:X25))</f>
        <v>0</v>
      </c>
    </row>
    <row r="65" spans="1:25">
      <c r="A65" s="3" t="s">
        <v>111</v>
      </c>
      <c r="B65">
        <f>IFERROR(TRIMMEAN(B42:B51,2/COUNT(B42:B51)),AVERAGE(B28:B51))</f>
        <v>0</v>
      </c>
      <c r="C65">
        <f>IFERROR(TRIMMEAN(C42:C51,2/COUNT(C42:C51)),AVERAGE(C28:C51))</f>
        <v>0</v>
      </c>
      <c r="D65">
        <f>IFERROR(TRIMMEAN(D42:D51,2/COUNT(D42:D51)),AVERAGE(D28:D51))</f>
        <v>0</v>
      </c>
      <c r="E65">
        <f>IFERROR(TRIMMEAN(E42:E51,2/COUNT(E42:E51)),AVERAGE(E28:E51))</f>
        <v>0</v>
      </c>
      <c r="F65">
        <f>IFERROR(TRIMMEAN(F42:F51,2/COUNT(F42:F51)),AVERAGE(F28:F51))</f>
        <v>0</v>
      </c>
      <c r="G65">
        <f>IFERROR(TRIMMEAN(G42:G51,2/COUNT(G42:G51)),AVERAGE(G28:G51))</f>
        <v>0</v>
      </c>
      <c r="H65">
        <f>IFERROR(TRIMMEAN(H42:H51,2/COUNT(H42:H51)),AVERAGE(H28:H51))</f>
        <v>0</v>
      </c>
      <c r="I65">
        <f>IFERROR(TRIMMEAN(I42:I51,2/COUNT(I42:I51)),AVERAGE(I28:I51))</f>
        <v>0</v>
      </c>
      <c r="J65">
        <f>IFERROR(TRIMMEAN(J42:J51,2/COUNT(J42:J51)),AVERAGE(J28:J51))</f>
        <v>0</v>
      </c>
      <c r="K65">
        <f>IFERROR(TRIMMEAN(K42:K51,2/COUNT(K42:K51)),AVERAGE(K28:K51))</f>
        <v>0</v>
      </c>
      <c r="L65">
        <f>IFERROR(TRIMMEAN(L42:L51,2/COUNT(L42:L51)),AVERAGE(L28:L51))</f>
        <v>0</v>
      </c>
      <c r="M65">
        <f>IFERROR(TRIMMEAN(M42:M51,2/COUNT(M42:M51)),AVERAGE(M28:M51))</f>
        <v>0</v>
      </c>
      <c r="N65">
        <f>IFERROR(TRIMMEAN(N42:N51,2/COUNT(N42:N51)),AVERAGE(N28:N51))</f>
        <v>0</v>
      </c>
      <c r="O65">
        <f>IFERROR(TRIMMEAN(O42:O51,2/COUNT(O42:O51)),AVERAGE(O28:O51))</f>
        <v>0</v>
      </c>
      <c r="P65">
        <f>IFERROR(TRIMMEAN(P42:P51,2/COUNT(P42:P51)),AVERAGE(P28:P51))</f>
        <v>0</v>
      </c>
      <c r="Q65">
        <f>IFERROR(TRIMMEAN(Q42:Q51,2/COUNT(Q42:Q51)),AVERAGE(Q28:Q51))</f>
        <v>0</v>
      </c>
      <c r="R65">
        <f>IFERROR(TRIMMEAN(R42:R51,2/COUNT(R42:R51)),AVERAGE(R28:R51))</f>
        <v>0</v>
      </c>
      <c r="S65">
        <f>IFERROR(TRIMMEAN(S42:S51,2/COUNT(S42:S51)),AVERAGE(S28:S51))</f>
        <v>0</v>
      </c>
      <c r="T65">
        <f>IFERROR(TRIMMEAN(T42:T51,2/COUNT(T42:T51)),AVERAGE(T28:T51))</f>
        <v>0</v>
      </c>
      <c r="U65">
        <f>IFERROR(TRIMMEAN(U42:U51,2/COUNT(U42:U51)),AVERAGE(U28:U51))</f>
        <v>0</v>
      </c>
      <c r="V65">
        <f>IFERROR(TRIMMEAN(V42:V51,2/COUNT(V42:V51)),AVERAGE(V28:V51))</f>
        <v>0</v>
      </c>
      <c r="W65">
        <f>IFERROR(TRIMMEAN(W42:W51,2/COUNT(W42:W51)),AVERAGE(W28:W51))</f>
        <v>0</v>
      </c>
      <c r="X65">
        <f>IFERROR(TRIMMEAN(X42:X51,2/COUNT(X42:X51)),AVERAGE(X28:X51))</f>
        <v>0</v>
      </c>
    </row>
    <row r="66" spans="1:25">
      <c r="A66" s="3"/>
    </row>
    <row r="67" spans="1:25">
      <c r="A67" s="3"/>
      <c r="B67" t="s">
        <v>75</v>
      </c>
      <c r="C67" t="s">
        <v>76</v>
      </c>
      <c r="D67" t="s">
        <v>77</v>
      </c>
      <c r="E67" t="s">
        <v>78</v>
      </c>
      <c r="F67" t="s">
        <v>79</v>
      </c>
      <c r="G67" t="s">
        <v>80</v>
      </c>
      <c r="H67" t="s">
        <v>81</v>
      </c>
      <c r="I67" t="s">
        <v>82</v>
      </c>
      <c r="J67" t="s">
        <v>83</v>
      </c>
      <c r="K67" t="s">
        <v>84</v>
      </c>
      <c r="L67" t="s">
        <v>85</v>
      </c>
      <c r="M67" t="s">
        <v>86</v>
      </c>
      <c r="N67" t="s">
        <v>87</v>
      </c>
      <c r="O67" t="s">
        <v>88</v>
      </c>
      <c r="P67" t="s">
        <v>89</v>
      </c>
      <c r="Q67" t="s">
        <v>90</v>
      </c>
      <c r="R67" t="s">
        <v>91</v>
      </c>
      <c r="S67" t="s">
        <v>92</v>
      </c>
      <c r="T67" t="s">
        <v>93</v>
      </c>
      <c r="U67" t="s">
        <v>94</v>
      </c>
      <c r="V67" t="s">
        <v>95</v>
      </c>
      <c r="W67" t="s">
        <v>96</v>
      </c>
      <c r="X67" t="s">
        <v>97</v>
      </c>
    </row>
    <row r="68" spans="1:25">
      <c r="A68" s="3" t="s">
        <v>112</v>
      </c>
      <c r="B68" s="4">
        <f>IF('C:\Users\super\Documents\actuarial\cas-rfp\spec-only\team-analyst\sample-data\sample-run\selections\[Chain Ladder Selections - LDFs.xlsx]Reported Count'!B74&lt;&gt;"",'C:\Users\super\Documents\actuarial\cas-rfp\spec-only\team-analyst\sample-data\sample-run\selections\[Chain Ladder Selections - LDFs.xlsx]Reported Count'!B74,'C:\Users\super\Documents\actuarial\cas-rfp\spec-only\team-analyst\sample-data\sample-run\selections\[Chain Ladder Selections - LDFs.xlsx]Reported Count'!B68)</f>
        <v/>
      </c>
      <c r="C68" s="4">
        <f>IF('C:\Users\super\Documents\actuarial\cas-rfp\spec-only\team-analyst\sample-data\sample-run\selections\[Chain Ladder Selections - LDFs.xlsx]Reported Count'!C74&lt;&gt;"",'C:\Users\super\Documents\actuarial\cas-rfp\spec-only\team-analyst\sample-data\sample-run\selections\[Chain Ladder Selections - LDFs.xlsx]Reported Count'!C74,'C:\Users\super\Documents\actuarial\cas-rfp\spec-only\team-analyst\sample-data\sample-run\selections\[Chain Ladder Selections - LDFs.xlsx]Reported Count'!C68)</f>
        <v/>
      </c>
      <c r="D68" s="4">
        <f>IF('C:\Users\super\Documents\actuarial\cas-rfp\spec-only\team-analyst\sample-data\sample-run\selections\[Chain Ladder Selections - LDFs.xlsx]Reported Count'!D74&lt;&gt;"",'C:\Users\super\Documents\actuarial\cas-rfp\spec-only\team-analyst\sample-data\sample-run\selections\[Chain Ladder Selections - LDFs.xlsx]Reported Count'!D74,'C:\Users\super\Documents\actuarial\cas-rfp\spec-only\team-analyst\sample-data\sample-run\selections\[Chain Ladder Selections - LDFs.xlsx]Reported Count'!D68)</f>
        <v/>
      </c>
      <c r="E68" s="4">
        <f>IF('C:\Users\super\Documents\actuarial\cas-rfp\spec-only\team-analyst\sample-data\sample-run\selections\[Chain Ladder Selections - LDFs.xlsx]Reported Count'!E74&lt;&gt;"",'C:\Users\super\Documents\actuarial\cas-rfp\spec-only\team-analyst\sample-data\sample-run\selections\[Chain Ladder Selections - LDFs.xlsx]Reported Count'!E74,'C:\Users\super\Documents\actuarial\cas-rfp\spec-only\team-analyst\sample-data\sample-run\selections\[Chain Ladder Selections - LDFs.xlsx]Reported Count'!E68)</f>
        <v/>
      </c>
      <c r="F68" s="4">
        <f>IF('C:\Users\super\Documents\actuarial\cas-rfp\spec-only\team-analyst\sample-data\sample-run\selections\[Chain Ladder Selections - LDFs.xlsx]Reported Count'!F74&lt;&gt;"",'C:\Users\super\Documents\actuarial\cas-rfp\spec-only\team-analyst\sample-data\sample-run\selections\[Chain Ladder Selections - LDFs.xlsx]Reported Count'!F74,'C:\Users\super\Documents\actuarial\cas-rfp\spec-only\team-analyst\sample-data\sample-run\selections\[Chain Ladder Selections - LDFs.xlsx]Reported Count'!F68)</f>
        <v/>
      </c>
      <c r="G68" s="4">
        <f>IF('C:\Users\super\Documents\actuarial\cas-rfp\spec-only\team-analyst\sample-data\sample-run\selections\[Chain Ladder Selections - LDFs.xlsx]Reported Count'!G74&lt;&gt;"",'C:\Users\super\Documents\actuarial\cas-rfp\spec-only\team-analyst\sample-data\sample-run\selections\[Chain Ladder Selections - LDFs.xlsx]Reported Count'!G74,'C:\Users\super\Documents\actuarial\cas-rfp\spec-only\team-analyst\sample-data\sample-run\selections\[Chain Ladder Selections - LDFs.xlsx]Reported Count'!G68)</f>
        <v/>
      </c>
      <c r="H68" s="4">
        <f>IF('C:\Users\super\Documents\actuarial\cas-rfp\spec-only\team-analyst\sample-data\sample-run\selections\[Chain Ladder Selections - LDFs.xlsx]Reported Count'!H74&lt;&gt;"",'C:\Users\super\Documents\actuarial\cas-rfp\spec-only\team-analyst\sample-data\sample-run\selections\[Chain Ladder Selections - LDFs.xlsx]Reported Count'!H74,'C:\Users\super\Documents\actuarial\cas-rfp\spec-only\team-analyst\sample-data\sample-run\selections\[Chain Ladder Selections - LDFs.xlsx]Reported Count'!H68)</f>
        <v/>
      </c>
      <c r="I68" s="4">
        <f>IF('C:\Users\super\Documents\actuarial\cas-rfp\spec-only\team-analyst\sample-data\sample-run\selections\[Chain Ladder Selections - LDFs.xlsx]Reported Count'!I74&lt;&gt;"",'C:\Users\super\Documents\actuarial\cas-rfp\spec-only\team-analyst\sample-data\sample-run\selections\[Chain Ladder Selections - LDFs.xlsx]Reported Count'!I74,'C:\Users\super\Documents\actuarial\cas-rfp\spec-only\team-analyst\sample-data\sample-run\selections\[Chain Ladder Selections - LDFs.xlsx]Reported Count'!I68)</f>
        <v/>
      </c>
      <c r="J68" s="4">
        <f>IF('C:\Users\super\Documents\actuarial\cas-rfp\spec-only\team-analyst\sample-data\sample-run\selections\[Chain Ladder Selections - LDFs.xlsx]Reported Count'!J74&lt;&gt;"",'C:\Users\super\Documents\actuarial\cas-rfp\spec-only\team-analyst\sample-data\sample-run\selections\[Chain Ladder Selections - LDFs.xlsx]Reported Count'!J74,'C:\Users\super\Documents\actuarial\cas-rfp\spec-only\team-analyst\sample-data\sample-run\selections\[Chain Ladder Selections - LDFs.xlsx]Reported Count'!J68)</f>
        <v/>
      </c>
      <c r="K68" s="4">
        <f>IF('C:\Users\super\Documents\actuarial\cas-rfp\spec-only\team-analyst\sample-data\sample-run\selections\[Chain Ladder Selections - LDFs.xlsx]Reported Count'!K74&lt;&gt;"",'C:\Users\super\Documents\actuarial\cas-rfp\spec-only\team-analyst\sample-data\sample-run\selections\[Chain Ladder Selections - LDFs.xlsx]Reported Count'!K74,'C:\Users\super\Documents\actuarial\cas-rfp\spec-only\team-analyst\sample-data\sample-run\selections\[Chain Ladder Selections - LDFs.xlsx]Reported Count'!K68)</f>
        <v/>
      </c>
      <c r="L68" s="4">
        <f>IF('C:\Users\super\Documents\actuarial\cas-rfp\spec-only\team-analyst\sample-data\sample-run\selections\[Chain Ladder Selections - LDFs.xlsx]Reported Count'!L74&lt;&gt;"",'C:\Users\super\Documents\actuarial\cas-rfp\spec-only\team-analyst\sample-data\sample-run\selections\[Chain Ladder Selections - LDFs.xlsx]Reported Count'!L74,'C:\Users\super\Documents\actuarial\cas-rfp\spec-only\team-analyst\sample-data\sample-run\selections\[Chain Ladder Selections - LDFs.xlsx]Reported Count'!L68)</f>
        <v/>
      </c>
      <c r="M68" s="4">
        <f>IF('C:\Users\super\Documents\actuarial\cas-rfp\spec-only\team-analyst\sample-data\sample-run\selections\[Chain Ladder Selections - LDFs.xlsx]Reported Count'!M74&lt;&gt;"",'C:\Users\super\Documents\actuarial\cas-rfp\spec-only\team-analyst\sample-data\sample-run\selections\[Chain Ladder Selections - LDFs.xlsx]Reported Count'!M74,'C:\Users\super\Documents\actuarial\cas-rfp\spec-only\team-analyst\sample-data\sample-run\selections\[Chain Ladder Selections - LDFs.xlsx]Reported Count'!M68)</f>
        <v/>
      </c>
      <c r="N68" s="4">
        <f>IF('C:\Users\super\Documents\actuarial\cas-rfp\spec-only\team-analyst\sample-data\sample-run\selections\[Chain Ladder Selections - LDFs.xlsx]Reported Count'!N74&lt;&gt;"",'C:\Users\super\Documents\actuarial\cas-rfp\spec-only\team-analyst\sample-data\sample-run\selections\[Chain Ladder Selections - LDFs.xlsx]Reported Count'!N74,'C:\Users\super\Documents\actuarial\cas-rfp\spec-only\team-analyst\sample-data\sample-run\selections\[Chain Ladder Selections - LDFs.xlsx]Reported Count'!N68)</f>
        <v/>
      </c>
      <c r="O68" s="4">
        <f>IF('C:\Users\super\Documents\actuarial\cas-rfp\spec-only\team-analyst\sample-data\sample-run\selections\[Chain Ladder Selections - LDFs.xlsx]Reported Count'!O74&lt;&gt;"",'C:\Users\super\Documents\actuarial\cas-rfp\spec-only\team-analyst\sample-data\sample-run\selections\[Chain Ladder Selections - LDFs.xlsx]Reported Count'!O74,'C:\Users\super\Documents\actuarial\cas-rfp\spec-only\team-analyst\sample-data\sample-run\selections\[Chain Ladder Selections - LDFs.xlsx]Reported Count'!O68)</f>
        <v/>
      </c>
      <c r="P68" s="4">
        <f>IF('C:\Users\super\Documents\actuarial\cas-rfp\spec-only\team-analyst\sample-data\sample-run\selections\[Chain Ladder Selections - LDFs.xlsx]Reported Count'!P74&lt;&gt;"",'C:\Users\super\Documents\actuarial\cas-rfp\spec-only\team-analyst\sample-data\sample-run\selections\[Chain Ladder Selections - LDFs.xlsx]Reported Count'!P74,'C:\Users\super\Documents\actuarial\cas-rfp\spec-only\team-analyst\sample-data\sample-run\selections\[Chain Ladder Selections - LDFs.xlsx]Reported Count'!P68)</f>
        <v/>
      </c>
      <c r="Q68" s="4">
        <f>IF('C:\Users\super\Documents\actuarial\cas-rfp\spec-only\team-analyst\sample-data\sample-run\selections\[Chain Ladder Selections - LDFs.xlsx]Reported Count'!Q74&lt;&gt;"",'C:\Users\super\Documents\actuarial\cas-rfp\spec-only\team-analyst\sample-data\sample-run\selections\[Chain Ladder Selections - LDFs.xlsx]Reported Count'!Q74,'C:\Users\super\Documents\actuarial\cas-rfp\spec-only\team-analyst\sample-data\sample-run\selections\[Chain Ladder Selections - LDFs.xlsx]Reported Count'!Q68)</f>
        <v/>
      </c>
      <c r="R68" s="4">
        <f>IF('C:\Users\super\Documents\actuarial\cas-rfp\spec-only\team-analyst\sample-data\sample-run\selections\[Chain Ladder Selections - LDFs.xlsx]Reported Count'!R74&lt;&gt;"",'C:\Users\super\Documents\actuarial\cas-rfp\spec-only\team-analyst\sample-data\sample-run\selections\[Chain Ladder Selections - LDFs.xlsx]Reported Count'!R74,'C:\Users\super\Documents\actuarial\cas-rfp\spec-only\team-analyst\sample-data\sample-run\selections\[Chain Ladder Selections - LDFs.xlsx]Reported Count'!R68)</f>
        <v/>
      </c>
      <c r="S68" s="4">
        <f>IF('C:\Users\super\Documents\actuarial\cas-rfp\spec-only\team-analyst\sample-data\sample-run\selections\[Chain Ladder Selections - LDFs.xlsx]Reported Count'!S74&lt;&gt;"",'C:\Users\super\Documents\actuarial\cas-rfp\spec-only\team-analyst\sample-data\sample-run\selections\[Chain Ladder Selections - LDFs.xlsx]Reported Count'!S74,'C:\Users\super\Documents\actuarial\cas-rfp\spec-only\team-analyst\sample-data\sample-run\selections\[Chain Ladder Selections - LDFs.xlsx]Reported Count'!S68)</f>
        <v/>
      </c>
      <c r="T68" s="4">
        <f>IF('C:\Users\super\Documents\actuarial\cas-rfp\spec-only\team-analyst\sample-data\sample-run\selections\[Chain Ladder Selections - LDFs.xlsx]Reported Count'!T74&lt;&gt;"",'C:\Users\super\Documents\actuarial\cas-rfp\spec-only\team-analyst\sample-data\sample-run\selections\[Chain Ladder Selections - LDFs.xlsx]Reported Count'!T74,'C:\Users\super\Documents\actuarial\cas-rfp\spec-only\team-analyst\sample-data\sample-run\selections\[Chain Ladder Selections - LDFs.xlsx]Reported Count'!T68)</f>
        <v/>
      </c>
      <c r="U68" s="4">
        <f>IF('C:\Users\super\Documents\actuarial\cas-rfp\spec-only\team-analyst\sample-data\sample-run\selections\[Chain Ladder Selections - LDFs.xlsx]Reported Count'!U74&lt;&gt;"",'C:\Users\super\Documents\actuarial\cas-rfp\spec-only\team-analyst\sample-data\sample-run\selections\[Chain Ladder Selections - LDFs.xlsx]Reported Count'!U74,'C:\Users\super\Documents\actuarial\cas-rfp\spec-only\team-analyst\sample-data\sample-run\selections\[Chain Ladder Selections - LDFs.xlsx]Reported Count'!U68)</f>
        <v/>
      </c>
      <c r="V68" s="4">
        <f>IF('C:\Users\super\Documents\actuarial\cas-rfp\spec-only\team-analyst\sample-data\sample-run\selections\[Chain Ladder Selections - LDFs.xlsx]Reported Count'!V74&lt;&gt;"",'C:\Users\super\Documents\actuarial\cas-rfp\spec-only\team-analyst\sample-data\sample-run\selections\[Chain Ladder Selections - LDFs.xlsx]Reported Count'!V74,'C:\Users\super\Documents\actuarial\cas-rfp\spec-only\team-analyst\sample-data\sample-run\selections\[Chain Ladder Selections - LDFs.xlsx]Reported Count'!V68)</f>
        <v/>
      </c>
      <c r="W68" s="4">
        <f>IF('C:\Users\super\Documents\actuarial\cas-rfp\spec-only\team-analyst\sample-data\sample-run\selections\[Chain Ladder Selections - LDFs.xlsx]Reported Count'!W74&lt;&gt;"",'C:\Users\super\Documents\actuarial\cas-rfp\spec-only\team-analyst\sample-data\sample-run\selections\[Chain Ladder Selections - LDFs.xlsx]Reported Count'!W74,'C:\Users\super\Documents\actuarial\cas-rfp\spec-only\team-analyst\sample-data\sample-run\selections\[Chain Ladder Selections - LDFs.xlsx]Reported Count'!W68)</f>
        <v/>
      </c>
      <c r="X68" s="4">
        <f>IF('C:\Users\super\Documents\actuarial\cas-rfp\spec-only\team-analyst\sample-data\sample-run\selections\[Chain Ladder Selections - LDFs.xlsx]Reported Count'!X74&lt;&gt;"",'C:\Users\super\Documents\actuarial\cas-rfp\spec-only\team-analyst\sample-data\sample-run\selections\[Chain Ladder Selections - LDFs.xlsx]Reported Count'!X74,'C:\Users\super\Documents\actuarial\cas-rfp\spec-only\team-analyst\sample-data\sample-run\selections\[Chain Ladder Selections - LDFs.xlsx]Reported Count'!X68)</f>
        <v/>
      </c>
      <c r="Y68" s="4">
        <f>IF('C:\Users\super\Documents\actuarial\cas-rfp\spec-only\team-analyst\sample-data\sample-run\selections\[Chain Ladder Selections - LDFs.xlsx]Reported Count'!Y74&lt;&gt;"",'C:\Users\super\Documents\actuarial\cas-rfp\spec-only\team-analyst\sample-data\sample-run\selections\[Chain Ladder Selections - LDFs.xlsx]Reported Count'!Y74,'C:\Users\super\Documents\actuarial\cas-rfp\spec-only\team-analyst\sample-data\sample-run\selections\[Chain Ladder Selections - LDFs.xlsx]Reported Count'!Y68)</f>
        <v/>
      </c>
    </row>
    <row r="69" spans="1:25">
      <c r="A69" s="3" t="s">
        <v>12</v>
      </c>
      <c r="B69" s="3">
        <f>IF('C:\Users\super\Documents\actuarial\cas-rfp\spec-only\team-analyst\sample-data\sample-run\selections\[Chain Ladder Selections - LDFs.xlsx]Reported Count'!B74&lt;&gt;"",'C:\Users\super\Documents\actuarial\cas-rfp\spec-only\team-analyst\sample-data\sample-run\selections\[Chain Ladder Selections - LDFs.xlsx]Reported Count'!B75,'C:\Users\super\Documents\actuarial\cas-rfp\spec-only\team-analyst\sample-data\sample-run\selections\[Chain Ladder Selections - LDFs.xlsx]Reported Count'!B69)</f>
        <v/>
      </c>
      <c r="C69" s="3">
        <f>IF('C:\Users\super\Documents\actuarial\cas-rfp\spec-only\team-analyst\sample-data\sample-run\selections\[Chain Ladder Selections - LDFs.xlsx]Reported Count'!C74&lt;&gt;"",'C:\Users\super\Documents\actuarial\cas-rfp\spec-only\team-analyst\sample-data\sample-run\selections\[Chain Ladder Selections - LDFs.xlsx]Reported Count'!C75,'C:\Users\super\Documents\actuarial\cas-rfp\spec-only\team-analyst\sample-data\sample-run\selections\[Chain Ladder Selections - LDFs.xlsx]Reported Count'!C69)</f>
        <v/>
      </c>
      <c r="D69" s="3">
        <f>IF('C:\Users\super\Documents\actuarial\cas-rfp\spec-only\team-analyst\sample-data\sample-run\selections\[Chain Ladder Selections - LDFs.xlsx]Reported Count'!D74&lt;&gt;"",'C:\Users\super\Documents\actuarial\cas-rfp\spec-only\team-analyst\sample-data\sample-run\selections\[Chain Ladder Selections - LDFs.xlsx]Reported Count'!D75,'C:\Users\super\Documents\actuarial\cas-rfp\spec-only\team-analyst\sample-data\sample-run\selections\[Chain Ladder Selections - LDFs.xlsx]Reported Count'!D69)</f>
        <v/>
      </c>
      <c r="E69" s="3">
        <f>IF('C:\Users\super\Documents\actuarial\cas-rfp\spec-only\team-analyst\sample-data\sample-run\selections\[Chain Ladder Selections - LDFs.xlsx]Reported Count'!E74&lt;&gt;"",'C:\Users\super\Documents\actuarial\cas-rfp\spec-only\team-analyst\sample-data\sample-run\selections\[Chain Ladder Selections - LDFs.xlsx]Reported Count'!E75,'C:\Users\super\Documents\actuarial\cas-rfp\spec-only\team-analyst\sample-data\sample-run\selections\[Chain Ladder Selections - LDFs.xlsx]Reported Count'!E69)</f>
        <v/>
      </c>
      <c r="F69" s="3">
        <f>IF('C:\Users\super\Documents\actuarial\cas-rfp\spec-only\team-analyst\sample-data\sample-run\selections\[Chain Ladder Selections - LDFs.xlsx]Reported Count'!F74&lt;&gt;"",'C:\Users\super\Documents\actuarial\cas-rfp\spec-only\team-analyst\sample-data\sample-run\selections\[Chain Ladder Selections - LDFs.xlsx]Reported Count'!F75,'C:\Users\super\Documents\actuarial\cas-rfp\spec-only\team-analyst\sample-data\sample-run\selections\[Chain Ladder Selections - LDFs.xlsx]Reported Count'!F69)</f>
        <v/>
      </c>
      <c r="G69" s="3">
        <f>IF('C:\Users\super\Documents\actuarial\cas-rfp\spec-only\team-analyst\sample-data\sample-run\selections\[Chain Ladder Selections - LDFs.xlsx]Reported Count'!G74&lt;&gt;"",'C:\Users\super\Documents\actuarial\cas-rfp\spec-only\team-analyst\sample-data\sample-run\selections\[Chain Ladder Selections - LDFs.xlsx]Reported Count'!G75,'C:\Users\super\Documents\actuarial\cas-rfp\spec-only\team-analyst\sample-data\sample-run\selections\[Chain Ladder Selections - LDFs.xlsx]Reported Count'!G69)</f>
        <v/>
      </c>
      <c r="H69" s="3">
        <f>IF('C:\Users\super\Documents\actuarial\cas-rfp\spec-only\team-analyst\sample-data\sample-run\selections\[Chain Ladder Selections - LDFs.xlsx]Reported Count'!H74&lt;&gt;"",'C:\Users\super\Documents\actuarial\cas-rfp\spec-only\team-analyst\sample-data\sample-run\selections\[Chain Ladder Selections - LDFs.xlsx]Reported Count'!H75,'C:\Users\super\Documents\actuarial\cas-rfp\spec-only\team-analyst\sample-data\sample-run\selections\[Chain Ladder Selections - LDFs.xlsx]Reported Count'!H69)</f>
        <v/>
      </c>
      <c r="I69" s="3">
        <f>IF('C:\Users\super\Documents\actuarial\cas-rfp\spec-only\team-analyst\sample-data\sample-run\selections\[Chain Ladder Selections - LDFs.xlsx]Reported Count'!I74&lt;&gt;"",'C:\Users\super\Documents\actuarial\cas-rfp\spec-only\team-analyst\sample-data\sample-run\selections\[Chain Ladder Selections - LDFs.xlsx]Reported Count'!I75,'C:\Users\super\Documents\actuarial\cas-rfp\spec-only\team-analyst\sample-data\sample-run\selections\[Chain Ladder Selections - LDFs.xlsx]Reported Count'!I69)</f>
        <v/>
      </c>
      <c r="J69" s="3">
        <f>IF('C:\Users\super\Documents\actuarial\cas-rfp\spec-only\team-analyst\sample-data\sample-run\selections\[Chain Ladder Selections - LDFs.xlsx]Reported Count'!J74&lt;&gt;"",'C:\Users\super\Documents\actuarial\cas-rfp\spec-only\team-analyst\sample-data\sample-run\selections\[Chain Ladder Selections - LDFs.xlsx]Reported Count'!J75,'C:\Users\super\Documents\actuarial\cas-rfp\spec-only\team-analyst\sample-data\sample-run\selections\[Chain Ladder Selections - LDFs.xlsx]Reported Count'!J69)</f>
        <v/>
      </c>
      <c r="K69" s="3">
        <f>IF('C:\Users\super\Documents\actuarial\cas-rfp\spec-only\team-analyst\sample-data\sample-run\selections\[Chain Ladder Selections - LDFs.xlsx]Reported Count'!K74&lt;&gt;"",'C:\Users\super\Documents\actuarial\cas-rfp\spec-only\team-analyst\sample-data\sample-run\selections\[Chain Ladder Selections - LDFs.xlsx]Reported Count'!K75,'C:\Users\super\Documents\actuarial\cas-rfp\spec-only\team-analyst\sample-data\sample-run\selections\[Chain Ladder Selections - LDFs.xlsx]Reported Count'!K69)</f>
        <v/>
      </c>
      <c r="L69" s="3">
        <f>IF('C:\Users\super\Documents\actuarial\cas-rfp\spec-only\team-analyst\sample-data\sample-run\selections\[Chain Ladder Selections - LDFs.xlsx]Reported Count'!L74&lt;&gt;"",'C:\Users\super\Documents\actuarial\cas-rfp\spec-only\team-analyst\sample-data\sample-run\selections\[Chain Ladder Selections - LDFs.xlsx]Reported Count'!L75,'C:\Users\super\Documents\actuarial\cas-rfp\spec-only\team-analyst\sample-data\sample-run\selections\[Chain Ladder Selections - LDFs.xlsx]Reported Count'!L69)</f>
        <v/>
      </c>
      <c r="M69" s="3">
        <f>IF('C:\Users\super\Documents\actuarial\cas-rfp\spec-only\team-analyst\sample-data\sample-run\selections\[Chain Ladder Selections - LDFs.xlsx]Reported Count'!M74&lt;&gt;"",'C:\Users\super\Documents\actuarial\cas-rfp\spec-only\team-analyst\sample-data\sample-run\selections\[Chain Ladder Selections - LDFs.xlsx]Reported Count'!M75,'C:\Users\super\Documents\actuarial\cas-rfp\spec-only\team-analyst\sample-data\sample-run\selections\[Chain Ladder Selections - LDFs.xlsx]Reported Count'!M69)</f>
        <v/>
      </c>
      <c r="N69" s="3">
        <f>IF('C:\Users\super\Documents\actuarial\cas-rfp\spec-only\team-analyst\sample-data\sample-run\selections\[Chain Ladder Selections - LDFs.xlsx]Reported Count'!N74&lt;&gt;"",'C:\Users\super\Documents\actuarial\cas-rfp\spec-only\team-analyst\sample-data\sample-run\selections\[Chain Ladder Selections - LDFs.xlsx]Reported Count'!N75,'C:\Users\super\Documents\actuarial\cas-rfp\spec-only\team-analyst\sample-data\sample-run\selections\[Chain Ladder Selections - LDFs.xlsx]Reported Count'!N69)</f>
        <v/>
      </c>
      <c r="O69" s="3">
        <f>IF('C:\Users\super\Documents\actuarial\cas-rfp\spec-only\team-analyst\sample-data\sample-run\selections\[Chain Ladder Selections - LDFs.xlsx]Reported Count'!O74&lt;&gt;"",'C:\Users\super\Documents\actuarial\cas-rfp\spec-only\team-analyst\sample-data\sample-run\selections\[Chain Ladder Selections - LDFs.xlsx]Reported Count'!O75,'C:\Users\super\Documents\actuarial\cas-rfp\spec-only\team-analyst\sample-data\sample-run\selections\[Chain Ladder Selections - LDFs.xlsx]Reported Count'!O69)</f>
        <v/>
      </c>
      <c r="P69" s="3">
        <f>IF('C:\Users\super\Documents\actuarial\cas-rfp\spec-only\team-analyst\sample-data\sample-run\selections\[Chain Ladder Selections - LDFs.xlsx]Reported Count'!P74&lt;&gt;"",'C:\Users\super\Documents\actuarial\cas-rfp\spec-only\team-analyst\sample-data\sample-run\selections\[Chain Ladder Selections - LDFs.xlsx]Reported Count'!P75,'C:\Users\super\Documents\actuarial\cas-rfp\spec-only\team-analyst\sample-data\sample-run\selections\[Chain Ladder Selections - LDFs.xlsx]Reported Count'!P69)</f>
        <v/>
      </c>
      <c r="Q69" s="3">
        <f>IF('C:\Users\super\Documents\actuarial\cas-rfp\spec-only\team-analyst\sample-data\sample-run\selections\[Chain Ladder Selections - LDFs.xlsx]Reported Count'!Q74&lt;&gt;"",'C:\Users\super\Documents\actuarial\cas-rfp\spec-only\team-analyst\sample-data\sample-run\selections\[Chain Ladder Selections - LDFs.xlsx]Reported Count'!Q75,'C:\Users\super\Documents\actuarial\cas-rfp\spec-only\team-analyst\sample-data\sample-run\selections\[Chain Ladder Selections - LDFs.xlsx]Reported Count'!Q69)</f>
        <v/>
      </c>
      <c r="R69" s="3">
        <f>IF('C:\Users\super\Documents\actuarial\cas-rfp\spec-only\team-analyst\sample-data\sample-run\selections\[Chain Ladder Selections - LDFs.xlsx]Reported Count'!R74&lt;&gt;"",'C:\Users\super\Documents\actuarial\cas-rfp\spec-only\team-analyst\sample-data\sample-run\selections\[Chain Ladder Selections - LDFs.xlsx]Reported Count'!R75,'C:\Users\super\Documents\actuarial\cas-rfp\spec-only\team-analyst\sample-data\sample-run\selections\[Chain Ladder Selections - LDFs.xlsx]Reported Count'!R69)</f>
        <v/>
      </c>
      <c r="S69" s="3">
        <f>IF('C:\Users\super\Documents\actuarial\cas-rfp\spec-only\team-analyst\sample-data\sample-run\selections\[Chain Ladder Selections - LDFs.xlsx]Reported Count'!S74&lt;&gt;"",'C:\Users\super\Documents\actuarial\cas-rfp\spec-only\team-analyst\sample-data\sample-run\selections\[Chain Ladder Selections - LDFs.xlsx]Reported Count'!S75,'C:\Users\super\Documents\actuarial\cas-rfp\spec-only\team-analyst\sample-data\sample-run\selections\[Chain Ladder Selections - LDFs.xlsx]Reported Count'!S69)</f>
        <v/>
      </c>
      <c r="T69" s="3">
        <f>IF('C:\Users\super\Documents\actuarial\cas-rfp\spec-only\team-analyst\sample-data\sample-run\selections\[Chain Ladder Selections - LDFs.xlsx]Reported Count'!T74&lt;&gt;"",'C:\Users\super\Documents\actuarial\cas-rfp\spec-only\team-analyst\sample-data\sample-run\selections\[Chain Ladder Selections - LDFs.xlsx]Reported Count'!T75,'C:\Users\super\Documents\actuarial\cas-rfp\spec-only\team-analyst\sample-data\sample-run\selections\[Chain Ladder Selections - LDFs.xlsx]Reported Count'!T69)</f>
        <v/>
      </c>
      <c r="U69" s="3">
        <f>IF('C:\Users\super\Documents\actuarial\cas-rfp\spec-only\team-analyst\sample-data\sample-run\selections\[Chain Ladder Selections - LDFs.xlsx]Reported Count'!U74&lt;&gt;"",'C:\Users\super\Documents\actuarial\cas-rfp\spec-only\team-analyst\sample-data\sample-run\selections\[Chain Ladder Selections - LDFs.xlsx]Reported Count'!U75,'C:\Users\super\Documents\actuarial\cas-rfp\spec-only\team-analyst\sample-data\sample-run\selections\[Chain Ladder Selections - LDFs.xlsx]Reported Count'!U69)</f>
        <v/>
      </c>
      <c r="V69" s="3">
        <f>IF('C:\Users\super\Documents\actuarial\cas-rfp\spec-only\team-analyst\sample-data\sample-run\selections\[Chain Ladder Selections - LDFs.xlsx]Reported Count'!V74&lt;&gt;"",'C:\Users\super\Documents\actuarial\cas-rfp\spec-only\team-analyst\sample-data\sample-run\selections\[Chain Ladder Selections - LDFs.xlsx]Reported Count'!V75,'C:\Users\super\Documents\actuarial\cas-rfp\spec-only\team-analyst\sample-data\sample-run\selections\[Chain Ladder Selections - LDFs.xlsx]Reported Count'!V69)</f>
        <v/>
      </c>
      <c r="W69" s="3">
        <f>IF('C:\Users\super\Documents\actuarial\cas-rfp\spec-only\team-analyst\sample-data\sample-run\selections\[Chain Ladder Selections - LDFs.xlsx]Reported Count'!W74&lt;&gt;"",'C:\Users\super\Documents\actuarial\cas-rfp\spec-only\team-analyst\sample-data\sample-run\selections\[Chain Ladder Selections - LDFs.xlsx]Reported Count'!W75,'C:\Users\super\Documents\actuarial\cas-rfp\spec-only\team-analyst\sample-data\sample-run\selections\[Chain Ladder Selections - LDFs.xlsx]Reported Count'!W69)</f>
        <v/>
      </c>
      <c r="X69" s="3">
        <f>IF('C:\Users\super\Documents\actuarial\cas-rfp\spec-only\team-analyst\sample-data\sample-run\selections\[Chain Ladder Selections - LDFs.xlsx]Reported Count'!X74&lt;&gt;"",'C:\Users\super\Documents\actuarial\cas-rfp\spec-only\team-analyst\sample-data\sample-run\selections\[Chain Ladder Selections - LDFs.xlsx]Reported Count'!X75,'C:\Users\super\Documents\actuarial\cas-rfp\spec-only\team-analyst\sample-data\sample-run\selections\[Chain Ladder Selections - LDFs.xlsx]Reported Count'!X69)</f>
        <v/>
      </c>
      <c r="Y69" s="3">
        <f>IF('C:\Users\super\Documents\actuarial\cas-rfp\spec-only\team-analyst\sample-data\sample-run\selections\[Chain Ladder Selections - LDFs.xlsx]Reported Count'!Y74&lt;&gt;"",'C:\Users\super\Documents\actuarial\cas-rfp\spec-only\team-analyst\sample-data\sample-run\selections\[Chain Ladder Selections - LDFs.xlsx]Reported Count'!Y75,'C:\Users\super\Documents\actuarial\cas-rfp\spec-only\team-analyst\sample-data\sample-run\selections\[Chain Ladder Selections - LDFs.xlsx]Reported Count'!Y69)</f>
        <v/>
      </c>
    </row>
    <row r="70" spans="1:25">
      <c r="A70" s="3"/>
    </row>
    <row r="71" spans="1:25">
      <c r="A71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26"/>
  <sheetViews>
    <sheetView workbookViewId="0">
      <pane ySplit="2" topLeftCell="A3" activePane="bottomLeft" state="frozen"/>
      <selection pane="bottomLeft"/>
    </sheetView>
  </sheetViews>
  <sheetFormatPr defaultRowHeight="15"/>
  <cols>
    <col min="1" max="2" width="18.7109375" customWidth="1"/>
  </cols>
  <sheetData>
    <row r="1" spans="1:2">
      <c r="A1" s="6" t="s">
        <v>42</v>
      </c>
      <c r="B1" s="6"/>
    </row>
    <row r="2" spans="1:2">
      <c r="A2" s="1" t="s">
        <v>50</v>
      </c>
      <c r="B2" s="1" t="s">
        <v>42</v>
      </c>
    </row>
    <row r="3" spans="1:2">
      <c r="A3" s="2">
        <v>2001</v>
      </c>
      <c r="B3" s="2">
        <v>316377369.9688</v>
      </c>
    </row>
    <row r="4" spans="1:2">
      <c r="A4" s="2">
        <v>2002</v>
      </c>
      <c r="B4" s="2">
        <v>322704917.4</v>
      </c>
    </row>
    <row r="5" spans="1:2">
      <c r="A5" s="2">
        <v>2003</v>
      </c>
      <c r="B5" s="2">
        <v>329159015.7</v>
      </c>
    </row>
    <row r="6" spans="1:2">
      <c r="A6" s="2">
        <v>2004</v>
      </c>
      <c r="B6" s="2">
        <v>335742196</v>
      </c>
    </row>
    <row r="7" spans="1:2">
      <c r="A7" s="2">
        <v>2005</v>
      </c>
      <c r="B7" s="2">
        <v>342457040</v>
      </c>
    </row>
    <row r="8" spans="1:2">
      <c r="A8" s="2">
        <v>2006</v>
      </c>
      <c r="B8" s="2">
        <v>349306180.7</v>
      </c>
    </row>
    <row r="9" spans="1:2">
      <c r="A9" s="2">
        <v>2007</v>
      </c>
      <c r="B9" s="2">
        <v>356292304.4</v>
      </c>
    </row>
    <row r="10" spans="1:2">
      <c r="A10" s="2">
        <v>2008</v>
      </c>
      <c r="B10" s="2">
        <v>363418150.5</v>
      </c>
    </row>
    <row r="11" spans="1:2">
      <c r="A11" s="2">
        <v>2009</v>
      </c>
      <c r="B11" s="2">
        <v>370686513.5</v>
      </c>
    </row>
    <row r="12" spans="1:2">
      <c r="A12" s="2">
        <v>2010</v>
      </c>
      <c r="B12" s="2">
        <v>378100243.7</v>
      </c>
    </row>
    <row r="13" spans="1:2">
      <c r="A13" s="2">
        <v>2011</v>
      </c>
      <c r="B13" s="2">
        <v>385662248.6</v>
      </c>
    </row>
    <row r="14" spans="1:2">
      <c r="A14" s="2">
        <v>2012</v>
      </c>
      <c r="B14" s="2">
        <v>393375493.6</v>
      </c>
    </row>
    <row r="15" spans="1:2">
      <c r="A15" s="2">
        <v>2013</v>
      </c>
      <c r="B15" s="2">
        <v>401243003.4</v>
      </c>
    </row>
    <row r="16" spans="1:2">
      <c r="A16" s="2">
        <v>2014</v>
      </c>
      <c r="B16" s="2">
        <v>409267863.5</v>
      </c>
    </row>
    <row r="17" spans="1:2">
      <c r="A17" s="2">
        <v>2015</v>
      </c>
      <c r="B17" s="2">
        <v>417453220.8</v>
      </c>
    </row>
    <row r="18" spans="1:2">
      <c r="A18" s="2">
        <v>2016</v>
      </c>
      <c r="B18" s="2">
        <v>425802285.2</v>
      </c>
    </row>
    <row r="19" spans="1:2">
      <c r="A19" s="2">
        <v>2017</v>
      </c>
      <c r="B19" s="2">
        <v>434318330.9</v>
      </c>
    </row>
    <row r="20" spans="1:2">
      <c r="A20" s="2">
        <v>2018</v>
      </c>
      <c r="B20" s="2">
        <v>443004697.5</v>
      </c>
    </row>
    <row r="21" spans="1:2">
      <c r="A21" s="2">
        <v>2019</v>
      </c>
      <c r="B21" s="2">
        <v>451864791.5</v>
      </c>
    </row>
    <row r="22" spans="1:2">
      <c r="A22" s="2">
        <v>2020</v>
      </c>
      <c r="B22" s="2">
        <v>460902087.3</v>
      </c>
    </row>
    <row r="23" spans="1:2">
      <c r="A23" s="2">
        <v>2021</v>
      </c>
      <c r="B23" s="2">
        <v>470120129.1</v>
      </c>
    </row>
    <row r="24" spans="1:2">
      <c r="A24" s="2">
        <v>2022</v>
      </c>
      <c r="B24" s="2">
        <v>479522531.6</v>
      </c>
    </row>
    <row r="25" spans="1:2">
      <c r="A25" s="2">
        <v>2023</v>
      </c>
      <c r="B25" s="2">
        <v>489112982.3</v>
      </c>
    </row>
    <row r="26" spans="1:2">
      <c r="A26" s="2">
        <v>2024</v>
      </c>
      <c r="B26" s="2">
        <v>498895241.9</v>
      </c>
    </row>
  </sheetData>
  <mergeCells count="1">
    <mergeCell ref="A1:B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26"/>
  <sheetViews>
    <sheetView workbookViewId="0">
      <pane ySplit="2" topLeftCell="A3" activePane="bottomLeft" state="frozen"/>
      <selection pane="bottomLeft"/>
    </sheetView>
  </sheetViews>
  <sheetFormatPr defaultRowHeight="15"/>
  <cols>
    <col min="1" max="4" width="18.7109375" customWidth="1"/>
  </cols>
  <sheetData>
    <row r="1" spans="1:4">
      <c r="A1" s="6" t="s">
        <v>113</v>
      </c>
      <c r="B1" s="6"/>
      <c r="C1" s="6"/>
      <c r="D1" s="6"/>
    </row>
    <row r="2" spans="1:4">
      <c r="A2" s="1" t="s">
        <v>0</v>
      </c>
      <c r="B2" s="1" t="s">
        <v>114</v>
      </c>
      <c r="C2" s="1" t="s">
        <v>115</v>
      </c>
      <c r="D2" s="1" t="s">
        <v>116</v>
      </c>
    </row>
    <row r="3" spans="1:4">
      <c r="A3" s="2">
        <v>2001</v>
      </c>
      <c r="B3" s="4">
        <v>4358.664226284768</v>
      </c>
      <c r="C3" s="4">
        <v>0.009653533722406221</v>
      </c>
      <c r="D3" s="4">
        <v>2.214791785104925E-06</v>
      </c>
    </row>
    <row r="4" spans="1:4">
      <c r="A4" s="2">
        <v>2002</v>
      </c>
      <c r="B4" s="4">
        <v>3400.68253359514</v>
      </c>
      <c r="C4" s="4">
        <v>0.006869548031250423</v>
      </c>
      <c r="D4" s="4">
        <v>2.020049788060651E-06</v>
      </c>
    </row>
    <row r="5" spans="1:4">
      <c r="A5" s="2">
        <v>2003</v>
      </c>
      <c r="B5" s="4">
        <v>3272.808499066335</v>
      </c>
      <c r="C5" s="4">
        <v>0.005484426535183615</v>
      </c>
      <c r="D5" s="4">
        <v>1.675755406021528E-06</v>
      </c>
    </row>
    <row r="6" spans="1:4">
      <c r="A6" s="2">
        <v>2004</v>
      </c>
      <c r="B6" s="4">
        <v>1784.528110168832</v>
      </c>
      <c r="C6" s="4">
        <v>0.003415796416605317</v>
      </c>
      <c r="D6" s="4">
        <v>1.91411746172054E-06</v>
      </c>
    </row>
    <row r="7" spans="1:4">
      <c r="A7" s="2">
        <v>2005</v>
      </c>
      <c r="B7" s="4">
        <v>3590.781578906335</v>
      </c>
      <c r="C7" s="4">
        <v>0.006724568868550637</v>
      </c>
      <c r="D7" s="4">
        <v>1.872731248275696E-06</v>
      </c>
    </row>
    <row r="8" spans="1:4">
      <c r="A8" s="2">
        <v>2006</v>
      </c>
      <c r="B8" s="4">
        <v>3026.18404390038</v>
      </c>
      <c r="C8" s="4">
        <v>0.00430996181339542</v>
      </c>
      <c r="D8" s="4">
        <v>1.424223296029414E-06</v>
      </c>
    </row>
    <row r="9" spans="1:4">
      <c r="A9" s="2">
        <v>2007</v>
      </c>
      <c r="B9" s="4">
        <v>10403.31304840673</v>
      </c>
      <c r="C9" s="4">
        <v>0.01390973144465143</v>
      </c>
      <c r="D9" s="4">
        <v>1.337048244143889E-06</v>
      </c>
    </row>
    <row r="10" spans="1:4">
      <c r="A10" s="2">
        <v>2008</v>
      </c>
      <c r="B10" s="4">
        <v>4348.914176151927</v>
      </c>
      <c r="C10" s="4">
        <v>0.003932016653637117</v>
      </c>
      <c r="D10" s="4">
        <v>9.041375604050904E-07</v>
      </c>
    </row>
    <row r="11" spans="1:4">
      <c r="A11" s="2">
        <v>2009</v>
      </c>
      <c r="B11" s="4">
        <v>3808.949562084601</v>
      </c>
      <c r="C11" s="4">
        <v>0.003308470999984196</v>
      </c>
      <c r="D11" s="4">
        <v>8.68604570907865E-07</v>
      </c>
    </row>
    <row r="12" spans="1:4">
      <c r="A12" s="2">
        <v>2010</v>
      </c>
      <c r="B12" s="4">
        <v>5005.327692760447</v>
      </c>
      <c r="C12" s="4">
        <v>0.003598644281963471</v>
      </c>
      <c r="D12" s="4">
        <v>7.189627738396509E-07</v>
      </c>
    </row>
    <row r="13" spans="1:4">
      <c r="A13" s="2">
        <v>2011</v>
      </c>
      <c r="B13" s="4">
        <v>5913.103546017238</v>
      </c>
      <c r="C13" s="4">
        <v>0.005301002178516053</v>
      </c>
      <c r="D13" s="4">
        <v>8.964839085367507E-07</v>
      </c>
    </row>
    <row r="14" spans="1:4">
      <c r="A14" s="2">
        <v>2012</v>
      </c>
      <c r="B14" s="4">
        <v>5003.31804960196</v>
      </c>
      <c r="C14" s="4">
        <v>0.003323203812307844</v>
      </c>
      <c r="D14" s="4">
        <v>6.641999927572508E-07</v>
      </c>
    </row>
    <row r="15" spans="1:4">
      <c r="A15" s="2">
        <v>2013</v>
      </c>
      <c r="B15" s="4">
        <v>2706.040290779412</v>
      </c>
      <c r="C15" s="4">
        <v>0.001966794494390927</v>
      </c>
      <c r="D15" s="4">
        <v>7.268164118223227E-07</v>
      </c>
    </row>
    <row r="16" spans="1:4">
      <c r="A16" s="2">
        <v>2014</v>
      </c>
      <c r="B16" s="4">
        <v>3463.947041251153</v>
      </c>
      <c r="C16" s="4">
        <v>0.003853213678967491</v>
      </c>
      <c r="D16" s="4">
        <v>1.112376613464546E-06</v>
      </c>
    </row>
    <row r="17" spans="1:4">
      <c r="A17" s="2">
        <v>2015</v>
      </c>
      <c r="B17" s="4">
        <v>11530.57604984125</v>
      </c>
      <c r="C17" s="4">
        <v>0.009221627545770753</v>
      </c>
      <c r="D17" s="4">
        <v>7.997542799171524E-07</v>
      </c>
    </row>
    <row r="18" spans="1:4">
      <c r="A18" s="2">
        <v>2016</v>
      </c>
      <c r="B18" s="4">
        <v>7696.081601231717</v>
      </c>
      <c r="C18" s="4">
        <v>0.007043557783141743</v>
      </c>
      <c r="D18" s="4">
        <v>9.152135005967789E-07</v>
      </c>
    </row>
    <row r="19" spans="1:4">
      <c r="A19" s="2">
        <v>2017</v>
      </c>
      <c r="B19" s="4">
        <v>4809.984323992372</v>
      </c>
      <c r="C19" s="4">
        <v>0.003426429289586313</v>
      </c>
      <c r="D19" s="4">
        <v>7.123576832662763E-07</v>
      </c>
    </row>
    <row r="20" spans="1:4">
      <c r="A20" s="2">
        <v>2018</v>
      </c>
      <c r="B20" s="4">
        <v>9396.011539881833</v>
      </c>
      <c r="C20" s="4">
        <v>0.006892314973702959</v>
      </c>
      <c r="D20" s="4">
        <v>7.335362397596247E-07</v>
      </c>
    </row>
    <row r="21" spans="1:4">
      <c r="A21" s="2">
        <v>2019</v>
      </c>
      <c r="B21" s="4">
        <v>9479.074213272002</v>
      </c>
      <c r="C21" s="4">
        <v>0.00747938140694903</v>
      </c>
      <c r="D21" s="4">
        <v>7.89041338707621E-07</v>
      </c>
    </row>
    <row r="22" spans="1:4">
      <c r="A22" s="2">
        <v>2020</v>
      </c>
      <c r="B22" s="4">
        <v>4172.703275582026</v>
      </c>
      <c r="C22" s="4">
        <v>0.003344303773995948</v>
      </c>
      <c r="D22" s="4">
        <v>8.014717446040952E-07</v>
      </c>
    </row>
    <row r="23" spans="1:4">
      <c r="A23" s="2">
        <v>2021</v>
      </c>
      <c r="B23" s="4">
        <v>5143.123839951316</v>
      </c>
      <c r="C23" s="4">
        <v>0.003595437730428377</v>
      </c>
      <c r="D23" s="4">
        <v>6.990766394733383E-07</v>
      </c>
    </row>
    <row r="24" spans="1:4">
      <c r="A24" s="2">
        <v>2022</v>
      </c>
      <c r="B24" s="4">
        <v>5534.651880002691</v>
      </c>
      <c r="C24" s="4">
        <v>0.003431900028782714</v>
      </c>
      <c r="D24" s="4">
        <v>6.200751380918009E-07</v>
      </c>
    </row>
    <row r="25" spans="1:4">
      <c r="A25" s="2">
        <v>2023</v>
      </c>
      <c r="B25" s="4">
        <v>6077.0119772301</v>
      </c>
      <c r="C25" s="4">
        <v>0.003775947024172865</v>
      </c>
      <c r="D25" s="4">
        <v>6.213492812456064E-07</v>
      </c>
    </row>
    <row r="26" spans="1:4">
      <c r="A26" s="2">
        <v>2024</v>
      </c>
      <c r="B26" s="4">
        <v>4280.375747194743</v>
      </c>
      <c r="C26" s="4">
        <v>0.002454397210397609</v>
      </c>
      <c r="D26" s="4">
        <v>5.734069519495251E-07</v>
      </c>
    </row>
  </sheetData>
  <mergeCells count="1">
    <mergeCell ref="A1:D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2"/>
  <sheetViews>
    <sheetView workbookViewId="0">
      <pane ySplit="7" topLeftCell="A8" activePane="bottomLeft" state="frozen"/>
      <selection pane="bottomLeft"/>
    </sheetView>
  </sheetViews>
  <sheetFormatPr defaultRowHeight="15"/>
  <cols>
    <col min="1" max="1" width="28.7109375" customWidth="1"/>
    <col min="2" max="2" width="80.7109375" customWidth="1"/>
  </cols>
  <sheetData>
    <row r="1" spans="1:2" ht="24" customHeight="1">
      <c r="A1" s="6" t="s">
        <v>117</v>
      </c>
      <c r="B1" s="6"/>
    </row>
    <row r="2" spans="1:2">
      <c r="A2" s="7" t="s">
        <v>118</v>
      </c>
      <c r="B2" s="7"/>
    </row>
    <row r="3" spans="1:2">
      <c r="A3" s="3" t="s">
        <v>119</v>
      </c>
      <c r="B3" s="3" t="s">
        <v>120</v>
      </c>
    </row>
    <row r="4" spans="1:2">
      <c r="A4" s="3" t="s">
        <v>121</v>
      </c>
      <c r="B4" s="3" t="s">
        <v>122</v>
      </c>
    </row>
    <row r="6" spans="1:2">
      <c r="A6" s="7" t="s">
        <v>123</v>
      </c>
      <c r="B6" s="7"/>
    </row>
    <row r="7" spans="1:2">
      <c r="A7" s="1" t="s">
        <v>124</v>
      </c>
      <c r="B7" s="1" t="s">
        <v>125</v>
      </c>
    </row>
    <row r="8" spans="1:2">
      <c r="A8" s="3" t="s">
        <v>126</v>
      </c>
      <c r="B8" s="3" t="s">
        <v>127</v>
      </c>
    </row>
    <row r="9" spans="1:2">
      <c r="A9" s="3" t="s">
        <v>4</v>
      </c>
      <c r="B9" s="3" t="s">
        <v>128</v>
      </c>
    </row>
    <row r="10" spans="1:2">
      <c r="A10" s="3" t="s">
        <v>5</v>
      </c>
      <c r="B10" s="3" t="s">
        <v>128</v>
      </c>
    </row>
    <row r="11" spans="1:2">
      <c r="A11" s="3" t="s">
        <v>7</v>
      </c>
      <c r="B11" s="3" t="s">
        <v>129</v>
      </c>
    </row>
    <row r="12" spans="1:2">
      <c r="A12" s="3" t="s">
        <v>8</v>
      </c>
      <c r="B12" s="3" t="s">
        <v>129</v>
      </c>
    </row>
    <row r="13" spans="1:2">
      <c r="A13" s="3" t="s">
        <v>130</v>
      </c>
      <c r="B13" s="3" t="s">
        <v>131</v>
      </c>
    </row>
    <row r="14" spans="1:2">
      <c r="A14" s="3" t="s">
        <v>132</v>
      </c>
      <c r="B14" s="3" t="s">
        <v>131</v>
      </c>
    </row>
    <row r="15" spans="1:2">
      <c r="A15" s="3" t="s">
        <v>133</v>
      </c>
      <c r="B15" s="3" t="s">
        <v>128</v>
      </c>
    </row>
    <row r="16" spans="1:2">
      <c r="A16" s="3" t="s">
        <v>46</v>
      </c>
      <c r="B16" s="3" t="s">
        <v>128</v>
      </c>
    </row>
    <row r="17" spans="1:2">
      <c r="A17" s="3" t="s">
        <v>47</v>
      </c>
      <c r="B17" s="3" t="s">
        <v>129</v>
      </c>
    </row>
    <row r="18" spans="1:2">
      <c r="A18" s="3" t="s">
        <v>2</v>
      </c>
      <c r="B18" s="3" t="s">
        <v>134</v>
      </c>
    </row>
    <row r="19" spans="1:2">
      <c r="A19" s="3" t="s">
        <v>3</v>
      </c>
      <c r="B19" s="3" t="s">
        <v>135</v>
      </c>
    </row>
    <row r="20" spans="1:2">
      <c r="A20" s="3" t="s">
        <v>45</v>
      </c>
      <c r="B20" s="3" t="s">
        <v>136</v>
      </c>
    </row>
    <row r="21" spans="1:2">
      <c r="A21" s="3" t="s">
        <v>42</v>
      </c>
      <c r="B21" s="3" t="s">
        <v>137</v>
      </c>
    </row>
    <row r="22" spans="1:2">
      <c r="A22" s="3" t="s">
        <v>138</v>
      </c>
      <c r="B22" s="3" t="s">
        <v>131</v>
      </c>
    </row>
  </sheetData>
  <mergeCells count="3">
    <mergeCell ref="A1:B1"/>
    <mergeCell ref="A2:B2"/>
    <mergeCell ref="A6:B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Loss Selection</vt:lpstr>
      <vt:lpstr>Incurred CL</vt:lpstr>
      <vt:lpstr>Paid CL</vt:lpstr>
      <vt:lpstr>Incurred BF</vt:lpstr>
      <vt:lpstr>Paid BF</vt:lpstr>
      <vt:lpstr>IE</vt:lpstr>
      <vt:lpstr>Count Selection</vt:lpstr>
      <vt:lpstr>Closed CL</vt:lpstr>
      <vt:lpstr>Reported CL</vt:lpstr>
      <vt:lpstr>Reported BF</vt:lpstr>
      <vt:lpstr>Incurred</vt:lpstr>
      <vt:lpstr>Paid</vt:lpstr>
      <vt:lpstr>Reported</vt:lpstr>
      <vt:lpstr>Exposure</vt:lpstr>
      <vt:lpstr>Summary Diagnostics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2026-04-28T16:20:54Z</dcterms:created>
  <dcterms:modified xsi:type="dcterms:W3CDTF">2026-04-28T16:20:54Z</dcterms:modified>
</cp:coreProperties>
</file>