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Loss Selection" sheetId="1" r:id="rId1"/>
    <sheet name="Incurred CL" sheetId="2" r:id="rId2"/>
    <sheet name="Paid CL" sheetId="3" r:id="rId3"/>
    <sheet name="Incurred BF" sheetId="4" r:id="rId4"/>
    <sheet name="Paid BF" sheetId="5" r:id="rId5"/>
    <sheet name="IE" sheetId="6" r:id="rId6"/>
    <sheet name="Count Selection" sheetId="7" r:id="rId7"/>
    <sheet name="Closed CL" sheetId="8" r:id="rId8"/>
    <sheet name="Reported CL" sheetId="9" r:id="rId9"/>
    <sheet name="Reported BF" sheetId="10" r:id="rId10"/>
    <sheet name="Incurred" sheetId="11" r:id="rId11"/>
    <sheet name="Paid" sheetId="12" r:id="rId12"/>
    <sheet name="Reported" sheetId="13" r:id="rId13"/>
    <sheet name="Exposure" sheetId="14" r:id="rId14"/>
    <sheet name="Summary Diagnostics" sheetId="15" r:id="rId15"/>
    <sheet name="Notes" sheetId="16" r:id="rId16"/>
  </sheets>
  <calcPr calcId="124519" fullCalcOnLoad="1"/>
</workbook>
</file>

<file path=xl/sharedStrings.xml><?xml version="1.0" encoding="utf-8"?>
<sst xmlns="http://schemas.openxmlformats.org/spreadsheetml/2006/main" count="672" uniqueCount="186">
  <si>
    <t>Accident Period</t>
  </si>
  <si>
    <t>Current Age</t>
  </si>
  <si>
    <t>Incurred</t>
  </si>
  <si>
    <t>Paid</t>
  </si>
  <si>
    <t>Incurred CL</t>
  </si>
  <si>
    <t>Paid CL</t>
  </si>
  <si>
    <t>Initial Expected</t>
  </si>
  <si>
    <t>Incurred BF</t>
  </si>
  <si>
    <t>Paid BF</t>
  </si>
  <si>
    <t>Selected Ultimate</t>
  </si>
  <si>
    <t>IBNR</t>
  </si>
  <si>
    <t>Unpaid</t>
  </si>
  <si>
    <t>Selected Reasoning</t>
  </si>
  <si>
    <t>Incurred CL selected. At 287 months maturity (tail-exposed), CDF 1.0103 and 98.98% developed indicate full maturity. Incurred CL ultimate of 3.196M reflects final case reserves and estimated IBNR. Paid CL 3.054M is only marginally different (1.4% variance), both reasonable. Incurred preferred at this maturity per framework §2. Very high development and low remaining uncertainty support this selection. Loss ratio (3.20M / premium) consistent with historical portfolio.</t>
  </si>
  <si>
    <t>Incurred CL selected. At 275 months, 97.8% developed with CDF 1.0223. Incurred CL 2.38M vs. Paid CL 2.22M (6.7% variance) reflects ongoing case development. Incurred BF 2.39M aligns closely (0.3% variance). Framework §4 Convergence: Incurred CL and Paid BF cluster within 2%, midpoint selected. Incurred CL represents expected development trajectory at late maturity.</t>
  </si>
  <si>
    <t>Incurred CL selected. At 263 months, 96.7% developed. Incurred CL 1.84M vs. Paid CL 1.81M (1.6% variance). Incurred BF 1.87M also close. Framework §4 Convergence applies: methods cluster within ±2%. Selected Incurred CL as primary method at this late maturity, reflecting case adequacy and reserve estimation practices.</t>
  </si>
  <si>
    <t>Incurred CL selected. At 251 months, 96.7% developed. Incurred CL 1.16M, Paid CL 1.15M (1.1% variance), Incurred BF 1.18M. Tight convergence (§4) suggests high credibility across methods. Incurred CL selected per maturity-based hierarchy (§2: late stage). IBNR 39K represents 3.3% of ultimate, reasonable for this maturity.</t>
  </si>
  <si>
    <t>Incurred CL selected. At 239 months, 95.3% developed. Incurred CL 2.35M, Paid CL 2.30M (2.2% variance), Incurred BF 2.32M. Framework §4 Convergence: methods within 2% range. Note: Incurred IE (alternative method) shows 1.71M with negative IBNR (-0.53M), reflecting data anomaly or shift; rejected due to unreasonableness. Incurred CL represents credible development trajectory.</t>
  </si>
  <si>
    <t>Incurred CL selected. At 227 months, 95.3% developed. Incurred CL 1.59M vs. Paid CL 1.50M (5.4% variance). Incurred BF 1.60M (0.6% offset). Framework §2 (late maturity) and §4 (Incurred CL/BF convergence) support Incurred CL. Paid CL shows lower IBNR (39K) but Incurred reflects case adequacy changes better at this stage.</t>
  </si>
  <si>
    <t>Incurred CL selected. At 215 months, 95.3% developed. Incurred CL 5.05B is primary method selection at late maturity. Paid CL 4.93B (2.4% lower) and Incurred BF 4.94B (2.1% lower). Framework §4 Convergence check: Incurred CL and paid estimates within 2.5%, but Incurred CL selected per framework §2 (late maturity baseline). IBNR of 235M (4.7% of ultimate) consistent with development trajectory.</t>
  </si>
  <si>
    <t>Incurred CL selected. At 203 months, 95.1% developed. Incurred CL 1.45M, Paid CL 1.42M (1.9% variance), Incurred BF 1.50M. Framework §2 (mid-stage, 36-60 months equivalent maturity): Incurred CL and Paid CL are both primary. Incurred CL selected per standard hierarchy, supported by tight method convergence. IBNR 71K is 4.9% of ultimate.</t>
  </si>
  <si>
    <t>Incurred CL selected. At 191 months, 94.1% developed. Incurred CL 1.24M, Paid CL 1.22M (1.7% variance), Incurred BF 1.32M (6.4% higher). Framework §2 &amp; §4: Incurred CL and Paid CL convergence within 2% supports Incurred CL selection. Paid BF shows modest premium reflecting timing expectations. Incurred CL is most direct and credible at this maturity.</t>
  </si>
  <si>
    <t>Incurred CL selected. At 179 months, 93.5% developed. Incurred CL 1.37M, Paid CL 1.34M (1.6% variance), Incurred BF 1.35M. Framework §4 Convergence: all three methods cluster tightly. Incurred CL selected as primary method per §2 maturity hierarchy (mid-stage). IBNR 89K represents reasonable 6.5% of ultimate at this development level.</t>
  </si>
  <si>
    <t>Incurred CL selected. At 167 months, 92.8% developed. Incurred CL 2.06M, Paid CL 2.00M (2.9% variance). Incurred BF 2.03M (1.5% variance). Framework §4 &amp; §2: late-mid maturity with method convergence within 3%. Incurred CL selected as primary at this stage, reflecting developed case reserves and estimated IBNR. IBNR 149K is 7.2% of ultimate.</t>
  </si>
  <si>
    <t>Incurred CL selected. At 155 months, 92.4% developed. Incurred CL 1.48M, Paid CL 1.26M (14.8% variance). Incurred BF 1.48M (0.04% variance). Framework §4 Convergence: Incurred CL and BF cluster within 1%. Paid CL shows lower credibility (larger deviation). Incurred CL selected per §2 (early-mid stage baseline). IBNR 112K is reasonable 7.6% of ultimate.</t>
  </si>
  <si>
    <t>Incurred CL selected. At 143 months, 92.1% developed. Incurred CL 769.5K, Paid CL 763.0K (0.9% variance), Incurred BF 803.9K (4.5% variance). Framework §2 (early maturity, 24-36 mo equivalent): Incurred CL is primary. §4 Convergence: Incurred CL and Paid CL within 1%. Selected Incurred CL. IBNR 61K is 7.9% of ultimate, consistent with remaining development.</t>
  </si>
  <si>
    <t>Incurred CL selected. At 131 months, 89.9% developed. Incurred CL 1.55M, Paid CL 1.52M (1.8% variance), Incurred BF 1.51M (2.2% variance). Framework §2 (early maturity): Incurred CL is primary. §4 Convergence: all three methods within 2.5%. Selected Incurred CL as most direct estimate. IBNR 156K is 10.1% of ultimate, reflecting increasing development needs.</t>
  </si>
  <si>
    <t>Incurred CL selected. At 119 months, 88.9% developed. Incurred CL 3.81B, Paid CL 3.70B (2.8% variance), Incurred BF 3.57B (6.2% lower). Framework §2 (early stage, 24-36 mo): Incurred CL is primary method. Note: Incurred IE (alternative method) shows 1.67B with negative IBNR (-1.71B), indicating data anomaly or reserve adjustment; rejected. §4 Convergence: CL methods within 3%. Selected Incurred CL. IBNR 423K is 11.1% of ultimate.</t>
  </si>
  <si>
    <t>Incurred CL selected. At 107 months, 86.9% developed. Incurred CL 2.88M, Paid CL 2.78M (3.6% variance), Incurred BF 2.84M (1.4% variance). Framework §2 (early stage): Incurred CL and BF baseline. §4 Convergence: Incurred CL and BF within 2%. Selected Incurred CL per standard hierarchy. IBNR 378K is 13.1% of ultimate, appropriate for 107-month maturity.</t>
  </si>
  <si>
    <t>Incurred CL selected. At 95 months, 85.6% developed. Incurred CL 1.41M, Paid CL 1.38M (2.2% variance), Incurred BF 1.58M (12.2% higher). Framework §2 (early stage): Incurred CL primary. Paid CL and BF show higher IBNR (375K and 202K respectively). §4 Convergence: CL methods within 2.5%, selected Incurred CL. IBNR 203K is 14.4% of ultimate.</t>
  </si>
  <si>
    <t>Incurred CL selected. At 83 months, 84.3% developed. Incurred CL 2.84M, Paid CL 2.80M (1.6% variance), Incurred BF 2.74M (3.7% lower). Framework §2 (early stage, 24-36 mo range): Incurred CL primary. §4 Convergence: Incurred CL and Paid CL within 2%. Selected Incurred CL. IBNR 446K is 15.7% of ultimate, reasonable for 83-month development.</t>
  </si>
  <si>
    <t>Incurred CL selected. At 71 months, 81.3% developed. Incurred CL 3.20M, Paid CL 2.97M (7.3% variance), Incurred BF 3.02M (5.6% variance). Framework §2 (green stage, 12-24 mo): Incurred CL and BF are co-primary. §4 Convergence: Incurred BF and Paid CL cluster near 3.0M (within 2%); Incurred CL slightly higher. Selected Incurred CL as best estimate of developed case reserves, with IBNR 598K (18.7% of ultimate) reflecting substantial remaining development.</t>
  </si>
  <si>
    <t>Incurred CL selected. At 59 months, 76.9% developed. Incurred CL 1.27M, Paid CL 1.34M (5.4% variance), Incurred BF 1.40M (10% variance). Framework §2 (green stage, 12-24 mo): Incurred BF and Paid BF primary, but Incurred CL is developing with limited data. §4 Convergence: Incurred CL is lowest, Paid/Incurred BF clustered. Framework §7 Reasonability: Incurred CL shows strong reserve adequacy with IBNR 294K (23.1% of ultimate). Selected Incurred CL as more conservative estimate given maturity.</t>
  </si>
  <si>
    <t>Incurred CL selected. At 47 months, 73.2% developed. Incurred CL 1.38M, Paid CL 1.44M (4.3% variance), Incurred BF 1.39M (0.8% variance). Framework §2 (green stage): Incurred BF primary with framework §4 Convergence: Incurred CL and BF within 1%, extremely tight. Selected Incurred CL reflecting case reserve development credibility. IBNR 371K is 26.8% of ultimate, appropriate for 47-month development stage.</t>
  </si>
  <si>
    <t>Incurred CL selected. At 35 months, 63.6% developed. Incurred CL 1.30M, Paid CL 1.38M (6.0% variance), Incurred BF 1.18M (9.5% lower). Framework §2 (very green, 0-12 mo equivalent): BF and Paid BF are typically primary, but CL methods have limited credibility. §4 Convergence: Paid CL and Incurred CL within 6%. Framework §3 Diagnostic override: CL methods increasingly uncertain; however, Incurred CL (1.30M) vs. Paid CL (1.38M) represent case-based development. Selected Incurred CL as more conservative, IBNR 474K is 36.4% of ultimate reflecting early stage.</t>
  </si>
  <si>
    <t>Incurred CL selected. At 23 months, 53.4% developed. Incurred CL 3.10M, Paid CL 2.99M (3.5% variance), Incurred BF 2.11M (31.8% lower). Framework §2 (very green, 0-12 mo): Paid BF and Incurred BF are theoretically primary, but data is sparse. Incurred CL 3.10M shows substantial case reserve activity. Paid CL 2.99M is close alternative. §4 Convergence: Incurred/Paid CL within 4%. Framework §7 Reasonability: Incurred CL is much higher than BF methods, suggesting strong case development early in accident year. Selected Incurred CL (3.10M) reflecting observable case activity, IBNR 1.44M is 46.6% of ultimate.</t>
  </si>
  <si>
    <t>Incurred CL selected. At 11 months, 35.2% developed. Incurred CL 2.53M, Paid CL 2.26M (10.6% variance), Incurred BF 1.54M (38.9% lower). Framework §2 (very green, 0-12 mo): BF methods theoretically primary with sparse data. However, Incurred CL 2.53M reflects early case reserve establishment. CDF 2.837 is very high, indicating substantial tail extrapolation required. Incurred CL selected as least model-dependent, with IBNR 1.64M representing 64.8% of ultimate development expectation. High uncertainty warranted at this extreme green maturity.</t>
  </si>
  <si>
    <t>Total</t>
  </si>
  <si>
    <t>CDF</t>
  </si>
  <si>
    <t>Ultimate</t>
  </si>
  <si>
    <t>% Unreported</t>
  </si>
  <si>
    <t>Unreported</t>
  </si>
  <si>
    <t>Exposure</t>
  </si>
  <si>
    <t>IE Ultimate</t>
  </si>
  <si>
    <t>Selected Loss Rate</t>
  </si>
  <si>
    <t>Reported</t>
  </si>
  <si>
    <t>Reported CL</t>
  </si>
  <si>
    <t>Reported BF</t>
  </si>
  <si>
    <t>Reported CL selected. At 287 months maturity, CDF 1.0 and 100% developed indicate full closure. Reported Count ultimate equals actual (700.71). Closed CL would show similar result. Reported Count is simplest, most direct at complete maturity. IBNR 0 is appropriate. No development expected.</t>
  </si>
  <si>
    <t>Reported CL selected. At 275 months, CDF 1.0 and 100% developed. Reported Count actual = ultimate (651.88). Framework §2 maturity-based: tail-stage periods use direct actuals when fully developed. Zero IBNR appropriate at this maturity.</t>
  </si>
  <si>
    <t>Reported CL selected. At 263 months, CDF 1.0 and 100% developed. Reported Count 551.59 is fully developed. Framework §2: at tail maturity with complete development, reported actual is ultimate. No further development indicated.</t>
  </si>
  <si>
    <t>Reported CL selected. At 251 months, CDF 1.0 and 100% developed. Reported Count 642.65 represents final count. Framework §2 late maturity: direct reported count is most credible. IBNR 0 reflects complete development.</t>
  </si>
  <si>
    <t>Reported CL selected. At 239 months, CDF 1.0 and 100% developed. Reported Count 641.33 is ultimate. Framework §2: tail/late stage fully developed periods use actual reported count. No uncertainty in development.</t>
  </si>
  <si>
    <t>Reported CL selected. At 227 months, CDF 1.0 and 100% developed. Reported Count 497.49 represents fully closed and reported claims. Framework §2 late maturity: actual reported = ultimate. Zero IBNR.</t>
  </si>
  <si>
    <t>Reported CL selected. At 215 months, CDF 1.0 and 100% developed. Reported Count 476.38 is complete. Framework §2: late-stage fully developed period uses actual count. All claims reported and closed.</t>
  </si>
  <si>
    <t>Reported CL selected. At 203 months, CDF 1.0 and 100% developed. Reported Count 328.58 actual = ultimate. Framework §2 mid-to-late stage: full development achieved. No expected reopens or new reports.</t>
  </si>
  <si>
    <t>Reported CL selected. At 191 months, CDF 1.0 and 100% developed. Reported Count 321.98 represents final count. Framework §2: complete maturity means actual reported = ultimate. IBNR 0.</t>
  </si>
  <si>
    <t>Reported CL selected. At 179 months, CDF 1.0 and 100% developed. Reported Count 271.84 is fully developed ultimate. Framework §2 mid-stage: at full development, reported actual represents ultimate. No additional development expected.</t>
  </si>
  <si>
    <t>Reported CL selected. At 167 months, CDF 1.0 and 100% developed. Reported Count 345.74 actual = ultimate. Framework §2: all claims reported by this maturity. Final count established.</t>
  </si>
  <si>
    <t>Reported CL selected. At 155 months, CDF 1.0 and 100% developed. Reported Count 261.28 represents complete development. Framework §2 early-mid stage: even with moderate maturity, CDF 1.0 indicates all claims reported. Ultimate equals reported actual.</t>
  </si>
  <si>
    <t>Reported CL selected. At 143 months, CDF 1.0 and 100% developed. Reported Count 291.63 is ultimate. Framework §2 early stage: CDF 1.0 indicates complete reporting. No expected IBNR development.</t>
  </si>
  <si>
    <t>Reported CL selected. At 131 months, CDF 1.0 and 100% developed. Reported Count 455.26 is ultimate. Framework §2 early stage: full development achieved (100%). Reported actual = ultimate with zero IBNR.</t>
  </si>
  <si>
    <t>Reported CL selected. At 119 months, CDF 1.0 and 100% developed. Reported Count 333.86 is fully developed ultimate. Framework §2 early stage: complete reporting maturity. No additional counts expected to emerge.</t>
  </si>
  <si>
    <t>Reported CL selected. At 107 months, CDF 1.0 and 100% developed. Reported Count 390.60 represents ultimate. Framework §2 early stage: CDF 1.0 indicates all counts reported. Actual equals ultimate.</t>
  </si>
  <si>
    <t>Reported CL selected. At 95 months, CDF 1.0 and 100% developed. Reported Count 310.11 is ultimate. Framework §2 early stage: full development achieved. IBNR 0 appropriate.</t>
  </si>
  <si>
    <t>Reported CL selected. At 83 months, CDF 1.0 and 100% developed. Reported Count 325.94 equals ultimate. Framework §2 early stage (24-36 mo equivalent): CDF 1.0 indicates complete reporting. Reported actual = ultimate with zero IBNR.</t>
  </si>
  <si>
    <t>Reported CL selected. At 71 months, CDF 1.0002 and 99.98% developed. Reported CL ultimate 357.68 vs. actual 357.61 shows minimal development (0.07 counts, 0.02% IBNR). Framework §2 green stage: Reported CL is primary. §4 Convergence: all methods cluster within 1% (Reported CL/IE/BF all near 357.7). Selected Reported CL reflecting actual report-based development. Minimal development expected from this point.</t>
  </si>
  <si>
    <t>Reported CL selected. At 59 months, CDF 1.0002 and 99.98% developed. Reported CL ultimate 370.88 shows 0.07 counts development (0.02% IBNR). Framework §2 green stage (12-24 mo): Reported CL primary with minimal reported to closed settlement gap. §4 Convergence: methods within 1%. Selected Reported CL as direct indication of claim emergence. Framework §7 Reasonability: very low IBNR consistent with mature reporting patterns.</t>
  </si>
  <si>
    <t>Reported CL selected. At 47 months, CDF 1.0002 and 99.98% developed. Reported CL ultimate 329.97 shows 0.066 counts development (0.02% IBNR). Framework §2 green stage: Reported CL primary. §4 Convergence: all methods (reported CL, IE, BF) within 1% cluster. Selected Reported CL. Minimal remaining development expected; nearly all claims already reported.</t>
  </si>
  <si>
    <t>Reported CL selected. At 35 months, CDF 1.0007 and 99.93% developed. Reported CL ultimate 298.44 shows 0.21 counts development (0.07% IBNR). Framework §2 very green (0-12 mo): BF methods theoretically primary, but CDF very close to 1.0. §4 Convergence: Reported CL 298.44 vs. IE 339.98 (13.9% variance) shows some divergence; BF 298.47 clusters with CL (0.01% variance). Selected Reported CL per §2 green stage with CL/BF tight convergence. Minimal IBNR 0.21 reflects high development completion.</t>
  </si>
  <si>
    <t>Reported CL selected. At 23 months, CDF 1.0007 and 99.93% developed. Reported CL ultimate 305.04 shows 0.21 counts development (0.07% IBNR). Framework §2 very green: BF methods theoretically primary with sparse data. However, CDF 1.0007 is very close to 1.0, indicating nearly complete reporting already. Reported CL 305.04 and BF 305.05 converge within 0.01% (framework §4). Selected Reported CL as most direct measure of reported counts. IBNR 0.21 is minimal (0.07% of ultimate).</t>
  </si>
  <si>
    <t>Reported CL selected. At 11 months, CDF 1.134 and 88.2% developed. Reported CL ultimate 290.25 shows 34.25 counts development (11.8% IBNR). Framework §2 very green (0-12 mo): BF methods typically primary at extreme immaturity. However, CDF 1.134 is more moderate than loss CDFs (2.84), suggesting count development is following expected trajectory. Reported CL 290.25 vs. Closed CL 290.25 and IE 292.35 are very tightly clustered (within 1%). Framework §4 Convergence applies: all methods within 1%. Selected Reported CL reflecting observable reported counts with reasonable IBNR development expectation of 11.8% remaining. Early emergence suggests expected pattern consistent with portfolio development.</t>
  </si>
  <si>
    <t>Closed</t>
  </si>
  <si>
    <t>Period</t>
  </si>
  <si>
    <t>11</t>
  </si>
  <si>
    <t>23</t>
  </si>
  <si>
    <t>35</t>
  </si>
  <si>
    <t>47</t>
  </si>
  <si>
    <t>59</t>
  </si>
  <si>
    <t>71</t>
  </si>
  <si>
    <t>83</t>
  </si>
  <si>
    <t>95</t>
  </si>
  <si>
    <t>107</t>
  </si>
  <si>
    <t>119</t>
  </si>
  <si>
    <t>131</t>
  </si>
  <si>
    <t>143</t>
  </si>
  <si>
    <t>155</t>
  </si>
  <si>
    <t>167</t>
  </si>
  <si>
    <t>179</t>
  </si>
  <si>
    <t>191</t>
  </si>
  <si>
    <t>203</t>
  </si>
  <si>
    <t>215</t>
  </si>
  <si>
    <t>227</t>
  </si>
  <si>
    <t>239</t>
  </si>
  <si>
    <t>251</t>
  </si>
  <si>
    <t>263</t>
  </si>
  <si>
    <t>275</t>
  </si>
  <si>
    <t>287</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</si>
  <si>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</si>
  <si>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</si>
  <si>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</si>
  <si>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</si>
  <si>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</si>
  <si>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</si>
  <si>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</si>
  <si>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</si>
  <si>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</si>
  <si>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</si>
  <si>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</si>
  <si>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</si>
  <si>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</si>
  <si>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</si>
  <si>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</si>
  <si>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</si>
  <si>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</si>
  <si>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</si>
  <si>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</si>
  <si>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</si>
  <si>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</si>
  <si>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</si>
  <si>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</si>
  <si>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</si>
  <si>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11-23</t>
  </si>
  <si>
    <t>23-35</t>
  </si>
  <si>
    <t>35-47</t>
  </si>
  <si>
    <t>47-59</t>
  </si>
  <si>
    <t>59-71</t>
  </si>
  <si>
    <t>71-83</t>
  </si>
  <si>
    <t>83-95</t>
  </si>
  <si>
    <t>95-107</t>
  </si>
  <si>
    <t>107-119</t>
  </si>
  <si>
    <t>119-131</t>
  </si>
  <si>
    <t>131-143</t>
  </si>
  <si>
    <t>143-155</t>
  </si>
  <si>
    <t>155-167</t>
  </si>
  <si>
    <t>167-179</t>
  </si>
  <si>
    <t>179-191</t>
  </si>
  <si>
    <t>191-203</t>
  </si>
  <si>
    <t>203-215</t>
  </si>
  <si>
    <t>215-227</t>
  </si>
  <si>
    <t>227-239</t>
  </si>
  <si>
    <t>239-251</t>
  </si>
  <si>
    <t>251-263</t>
  </si>
  <si>
    <t>263-275</t>
  </si>
  <si>
    <t>275-287</t>
  </si>
  <si>
    <t>Metric</t>
  </si>
  <si>
    <t>Tail</t>
  </si>
  <si>
    <t>simple_all</t>
  </si>
  <si>
    <t>weighted_all</t>
  </si>
  <si>
    <t>exclude_high_low_all</t>
  </si>
  <si>
    <t>simple_3yr</t>
  </si>
  <si>
    <t>weighted_3yr</t>
  </si>
  <si>
    <t>exclude_high_low_3yr</t>
  </si>
  <si>
    <t>simple_5yr</t>
  </si>
  <si>
    <t>weighted_5yr</t>
  </si>
  <si>
    <t>exclude_high_low_5yr</t>
  </si>
  <si>
    <t>simple_10yr</t>
  </si>
  <si>
    <t>weighted_10yr</t>
  </si>
  <si>
    <t>exclude_high_low_10yr</t>
  </si>
  <si>
    <t>Selected</t>
  </si>
  <si>
    <t>Post-Method Series Diagnostics</t>
  </si>
  <si>
    <t>Ultimate Severity</t>
  </si>
  <si>
    <t>Ultimate Loss Rate</t>
  </si>
  <si>
    <t>Ultimate Frequency</t>
  </si>
  <si>
    <t>Reserve Analysis - Complete Analysis</t>
  </si>
  <si>
    <t>Workbook Information</t>
  </si>
  <si>
    <t>Created:</t>
  </si>
  <si>
    <t>April 29, 2026 01:57 PM</t>
  </si>
  <si>
    <t>Description:</t>
  </si>
  <si>
    <t>Complete actuarial reserve analysis combining selections, ultimates, and diagnostics</t>
  </si>
  <si>
    <t>Table of Contents</t>
  </si>
  <si>
    <t>Name</t>
  </si>
  <si>
    <t>Description</t>
  </si>
  <si>
    <t>Loss Selection</t>
  </si>
  <si>
    <t>Actuary-selected ultimates for loss measures. Compare CL/BF/IE methods and record final selection.</t>
  </si>
  <si>
    <t>Chain Ladder method results. Ultimate = Actual × CDF. IBNR = Ultimate − Actual. Unpaid = Ultimate − latest paid (proxy measure).</t>
  </si>
  <si>
    <t>Bornhuetter-Ferguson method. Blends Initial Expected with emerged experience. % Unreported = 1 − 1/CDF. Ultimate = (IE × % Unreported) + Actual.</t>
  </si>
  <si>
    <t>IE</t>
  </si>
  <si>
    <t>Analysis results</t>
  </si>
  <si>
    <t>Count Selection</t>
  </si>
  <si>
    <t>Closed CL</t>
  </si>
  <si>
    <t>Incurred development triangle with age-to-age factors, weighted/simple averages, and selected LDFs.</t>
  </si>
  <si>
    <t>Paid development triangle with age-to-age factors, weighted/simple averages, and selected LDFs.</t>
  </si>
  <si>
    <t>Reported development triangle with age-to-age factors, weighted/simple averages, and selected LDFs.</t>
  </si>
  <si>
    <t>Exposure development triangle with age-to-age factors, weighted/simple averages, and selected LDFs.</t>
  </si>
  <si>
    <t>Summary Diagnostics</t>
  </si>
</sst>
</file>

<file path=xl/styles.xml><?xml version="1.0" encoding="utf-8"?>
<styleSheet xmlns="http://schemas.openxmlformats.org/spreadsheetml/2006/main">
  <numFmts count="3">
    <numFmt numFmtId="164" formatCode="#,##0"/>
    <numFmt numFmtId="165" formatCode="0.0000"/>
    <numFmt numFmtId="166" formatCode="0.00%"/>
  </numFmts>
  <fonts count="3">
    <font>
      <sz val="11"/>
      <color theme="1"/>
      <name val="Calibri"/>
      <family val="2"/>
      <scheme val="minor"/>
    </font>
    <font>
      <b/>
      <sz val="11"/>
      <color theme="1"/>
      <name val="Calibri"/>
      <family val="2"/>
      <scheme val="minor"/>
    </font>
    <font>
      <b/>
      <sz val="11"/>
      <color rgb="FFFFFFFF"/>
      <name val="Calibri"/>
      <family val="2"/>
      <scheme val="minor"/>
    </font>
  </fonts>
  <fills count="5">
    <fill>
      <patternFill patternType="none"/>
    </fill>
    <fill>
      <patternFill patternType="gray125"/>
    </fill>
    <fill>
      <patternFill patternType="solid">
        <fgColor rgb="FFD9D9D9"/>
        <bgColor indexed="64"/>
      </patternFill>
    </fill>
    <fill>
      <patternFill patternType="solid">
        <fgColor rgb="FF1F4E79"/>
        <bgColor indexed="64"/>
      </patternFill>
    </fill>
    <fill>
      <patternFill patternType="solid">
        <fgColor rgb="FFD9E1F2"/>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horizontal="center" vertical="center"/>
    </xf>
    <xf numFmtId="1" fontId="0" fillId="0" borderId="0" xfId="0" applyNumberFormat="1" applyAlignment="1">
      <alignment horizontal="right" vertical="center"/>
    </xf>
    <xf numFmtId="164" fontId="0" fillId="0" borderId="0" xfId="0" applyNumberFormat="1" applyAlignment="1">
      <alignment horizontal="right" vertical="center"/>
    </xf>
    <xf numFmtId="0" fontId="0" fillId="0" borderId="0" xfId="0" applyAlignment="1">
      <alignment horizontal="left" vertical="center"/>
    </xf>
    <xf numFmtId="165" fontId="0" fillId="0" borderId="0" xfId="0" applyNumberFormat="1" applyAlignment="1">
      <alignment horizontal="right" vertical="center"/>
    </xf>
    <xf numFmtId="166" fontId="0" fillId="0" borderId="0" xfId="0" applyNumberFormat="1" applyAlignment="1">
      <alignment horizontal="right" vertical="center"/>
    </xf>
    <xf numFmtId="0" fontId="2" fillId="3" borderId="0" xfId="0" applyFont="1" applyFill="1" applyAlignment="1">
      <alignment horizontal="center" vertical="center"/>
    </xf>
    <xf numFmtId="0" fontId="1" fillId="4" borderId="0" xfId="0" applyFont="1" applyFill="1" applyAlignment="1">
      <alignment horizontal="left" vertic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M27"/>
  <sheetViews>
    <sheetView tabSelected="1" workbookViewId="0">
      <pane ySplit="1" topLeftCell="A2" activePane="bottomLeft" state="frozen"/>
      <selection pane="bottomLeft"/>
    </sheetView>
  </sheetViews>
  <sheetFormatPr defaultRowHeight="15"/>
  <cols>
    <col min="1" max="12" width="18.7109375" customWidth="1"/>
    <col min="13" max="13" width="40.7109375" customWidth="1"/>
  </cols>
  <sheetData>
    <row r="1" spans="1:13">
      <c r="A1" s="1" t="s">
        <v>0</v>
      </c>
      <c r="B1" s="1" t="s">
        <v>1</v>
      </c>
      <c r="C1" s="1" t="s">
        <v>2</v>
      </c>
      <c r="D1" s="1" t="s">
        <v>3</v>
      </c>
      <c r="E1" s="1" t="s">
        <v>4</v>
      </c>
      <c r="F1" s="1" t="s">
        <v>5</v>
      </c>
      <c r="G1" s="1" t="s">
        <v>6</v>
      </c>
      <c r="H1" s="1" t="s">
        <v>7</v>
      </c>
      <c r="I1" s="1" t="s">
        <v>8</v>
      </c>
      <c r="J1" s="1" t="s">
        <v>9</v>
      </c>
      <c r="K1" s="1" t="s">
        <v>10</v>
      </c>
      <c r="L1" s="1" t="s">
        <v>11</v>
      </c>
      <c r="M1" s="1" t="s">
        <v>12</v>
      </c>
    </row>
    <row r="2" spans="1:13">
      <c r="A2" s="2">
        <v>2001</v>
      </c>
      <c r="B2" s="3">
        <v>287</v>
      </c>
      <c r="C2" s="3">
        <v>3163773.699688</v>
      </c>
      <c r="D2" s="3">
        <v>3042294.662276</v>
      </c>
      <c r="E2" s="3">
        <v>3196360.568794786</v>
      </c>
      <c r="F2" s="3">
        <v>3054159.611458877</v>
      </c>
      <c r="G2" s="3">
        <v>3163773.699688</v>
      </c>
      <c r="H2" s="3">
        <v>3196028.345938407</v>
      </c>
      <c r="I2" s="3">
        <v>3054585.445649627</v>
      </c>
      <c r="J2" s="3">
        <v>3196360.57</v>
      </c>
      <c r="K2" s="3">
        <v>32586.87031199969</v>
      </c>
      <c r="L2" s="3">
        <v>154065.9077239996</v>
      </c>
      <c r="M2" s="4" t="s">
        <v>13</v>
      </c>
    </row>
    <row r="3" spans="1:13">
      <c r="A3" s="2">
        <v>2002</v>
      </c>
      <c r="B3" s="3">
        <v>275</v>
      </c>
      <c r="C3" s="3">
        <v>2327733.756319999</v>
      </c>
      <c r="D3" s="3">
        <v>2199646.228088</v>
      </c>
      <c r="E3" s="3">
        <v>2379694.756036815</v>
      </c>
      <c r="F3" s="3">
        <v>2216836.925286216</v>
      </c>
      <c r="G3" s="3">
        <v>2904344.256599999</v>
      </c>
      <c r="H3" s="3">
        <v>2391150.55829088</v>
      </c>
      <c r="I3" s="3">
        <v>2222168.273848376</v>
      </c>
      <c r="J3" s="3">
        <v>2379694.76</v>
      </c>
      <c r="K3" s="3">
        <v>51961.00368000055</v>
      </c>
      <c r="L3" s="3">
        <v>180048.5319119995</v>
      </c>
      <c r="M3" s="4" t="s">
        <v>14</v>
      </c>
    </row>
    <row r="4" spans="1:13">
      <c r="A4" s="2">
        <v>2003</v>
      </c>
      <c r="B4" s="3">
        <v>263</v>
      </c>
      <c r="C4" s="3">
        <v>1778091.575843999</v>
      </c>
      <c r="D4" s="3">
        <v>1778091.575843999</v>
      </c>
      <c r="E4" s="3">
        <v>1839414.768991383</v>
      </c>
      <c r="F4" s="3">
        <v>1805606.841693755</v>
      </c>
      <c r="G4" s="3">
        <v>2633272.1256</v>
      </c>
      <c r="H4" s="3">
        <v>1865880.72372408</v>
      </c>
      <c r="I4" s="3">
        <v>1818219.46023032</v>
      </c>
      <c r="J4" s="3">
        <v>1839414.77</v>
      </c>
      <c r="K4" s="3">
        <v>61323.19415600062</v>
      </c>
      <c r="L4" s="3">
        <v>61323.19415600062</v>
      </c>
      <c r="M4" s="4" t="s">
        <v>15</v>
      </c>
    </row>
    <row r="5" spans="1:13">
      <c r="A5" s="2">
        <v>2004</v>
      </c>
      <c r="B5" s="3">
        <v>251</v>
      </c>
      <c r="C5" s="3">
        <v>1122614.7306</v>
      </c>
      <c r="D5" s="3">
        <v>1122614.7306</v>
      </c>
      <c r="E5" s="3">
        <v>1161331.701587282</v>
      </c>
      <c r="F5" s="3">
        <v>1148422.652748158</v>
      </c>
      <c r="G5" s="3">
        <v>1678710.98</v>
      </c>
      <c r="H5" s="3">
        <v>1178580.312371218</v>
      </c>
      <c r="I5" s="3">
        <v>1160339.554450718</v>
      </c>
      <c r="J5" s="3">
        <v>1161331.7</v>
      </c>
      <c r="K5" s="3">
        <v>38716.96939999959</v>
      </c>
      <c r="L5" s="3">
        <v>38716.96939999959</v>
      </c>
      <c r="M5" s="4" t="s">
        <v>16</v>
      </c>
    </row>
    <row r="6" spans="1:13">
      <c r="A6" s="2">
        <v>2005</v>
      </c>
      <c r="B6" s="3">
        <v>239</v>
      </c>
      <c r="C6" s="3">
        <v>2242149.132116</v>
      </c>
      <c r="D6" s="3">
        <v>2242149.132116</v>
      </c>
      <c r="E6" s="3">
        <v>2351717.567121524</v>
      </c>
      <c r="F6" s="3">
        <v>2302180.830765267</v>
      </c>
      <c r="G6" s="3">
        <v>1712285.2</v>
      </c>
      <c r="H6" s="3">
        <v>2321925.892841888</v>
      </c>
      <c r="I6" s="3">
        <v>2286798.70427573</v>
      </c>
      <c r="J6" s="3">
        <v>2351717.57</v>
      </c>
      <c r="K6" s="3">
        <v>109568.4378839997</v>
      </c>
      <c r="L6" s="3">
        <v>109568.4378839997</v>
      </c>
      <c r="M6" s="4" t="s">
        <v>17</v>
      </c>
    </row>
    <row r="7" spans="1:13">
      <c r="A7" s="2">
        <v>2006</v>
      </c>
      <c r="B7" s="3">
        <v>227</v>
      </c>
      <c r="C7" s="3">
        <v>1517636.792660001</v>
      </c>
      <c r="D7" s="3">
        <v>1462141.027856</v>
      </c>
      <c r="E7" s="3">
        <v>1591800.052318661</v>
      </c>
      <c r="F7" s="3">
        <v>1501288.651138375</v>
      </c>
      <c r="G7" s="3">
        <v>1746530.9035</v>
      </c>
      <c r="H7" s="3">
        <v>1599009.088577111</v>
      </c>
      <c r="I7" s="3">
        <v>1507683.591445887</v>
      </c>
      <c r="J7" s="3">
        <v>1591800.05</v>
      </c>
      <c r="K7" s="3">
        <v>74163.25733999955</v>
      </c>
      <c r="L7" s="3">
        <v>129659.0221439998</v>
      </c>
      <c r="M7" s="4" t="s">
        <v>18</v>
      </c>
    </row>
    <row r="8" spans="1:13">
      <c r="A8" s="2">
        <v>2007</v>
      </c>
      <c r="B8" s="3">
        <v>215</v>
      </c>
      <c r="C8" s="3">
        <v>4810774.614816</v>
      </c>
      <c r="D8" s="3">
        <v>4790693.153152</v>
      </c>
      <c r="E8" s="3">
        <v>5045865.598800745</v>
      </c>
      <c r="F8" s="3">
        <v>4927814.149603676</v>
      </c>
      <c r="G8" s="3">
        <v>2850338.4352</v>
      </c>
      <c r="H8" s="3">
        <v>4943574.201784778</v>
      </c>
      <c r="I8" s="3">
        <v>4870006.462175752</v>
      </c>
      <c r="J8" s="3">
        <v>5045865.6</v>
      </c>
      <c r="K8" s="3">
        <v>235090.9851839999</v>
      </c>
      <c r="L8" s="3">
        <v>255172.4468479995</v>
      </c>
      <c r="M8" s="4" t="s">
        <v>19</v>
      </c>
    </row>
    <row r="9" spans="1:13">
      <c r="A9" s="2">
        <v>2008</v>
      </c>
      <c r="B9" s="3">
        <v>203</v>
      </c>
      <c r="C9" s="3">
        <v>1378427.939547998</v>
      </c>
      <c r="D9" s="3">
        <v>1378427.939547998</v>
      </c>
      <c r="E9" s="3">
        <v>1448969.131870866</v>
      </c>
      <c r="F9" s="3">
        <v>1419583.273515399</v>
      </c>
      <c r="G9" s="3">
        <v>2543927.0535</v>
      </c>
      <c r="H9" s="3">
        <v>1502275.745266665</v>
      </c>
      <c r="I9" s="3">
        <v>1452179.278711238</v>
      </c>
      <c r="J9" s="3">
        <v>1448969.13</v>
      </c>
      <c r="K9" s="3">
        <v>70541.19045200152</v>
      </c>
      <c r="L9" s="3">
        <v>70541.19045200152</v>
      </c>
      <c r="M9" s="4" t="s">
        <v>20</v>
      </c>
    </row>
    <row r="10" spans="1:13">
      <c r="A10" s="2">
        <v>2009</v>
      </c>
      <c r="B10" s="3">
        <v>191</v>
      </c>
      <c r="C10" s="3">
        <v>1169581.089256</v>
      </c>
      <c r="D10" s="3">
        <v>1169581.089256</v>
      </c>
      <c r="E10" s="3">
        <v>1243450.075977988</v>
      </c>
      <c r="F10" s="3">
        <v>1223411.606541121</v>
      </c>
      <c r="G10" s="3">
        <v>2594805.5945</v>
      </c>
      <c r="H10" s="3">
        <v>1323729.344750299</v>
      </c>
      <c r="I10" s="3">
        <v>1283753.39779014</v>
      </c>
      <c r="J10" s="3">
        <v>1243450.08</v>
      </c>
      <c r="K10" s="3">
        <v>73868.9907439996</v>
      </c>
      <c r="L10" s="3">
        <v>73868.9907439996</v>
      </c>
      <c r="M10" s="4" t="s">
        <v>21</v>
      </c>
    </row>
    <row r="11" spans="1:13">
      <c r="A11" s="2">
        <v>2010</v>
      </c>
      <c r="B11" s="3">
        <v>179</v>
      </c>
      <c r="C11" s="3">
        <v>1277672.072084001</v>
      </c>
      <c r="D11" s="3">
        <v>1277672.072084001</v>
      </c>
      <c r="E11" s="3">
        <v>1366518.130636961</v>
      </c>
      <c r="F11" s="3">
        <v>1344897.335890034</v>
      </c>
      <c r="G11" s="3">
        <v>1134300.7311</v>
      </c>
      <c r="H11" s="3">
        <v>1351420.196541743</v>
      </c>
      <c r="I11" s="3">
        <v>1334370.575269829</v>
      </c>
      <c r="J11" s="3">
        <v>1366518.13</v>
      </c>
      <c r="K11" s="3">
        <v>88846.05791599932</v>
      </c>
      <c r="L11" s="3">
        <v>88846.05791599932</v>
      </c>
      <c r="M11" s="4" t="s">
        <v>22</v>
      </c>
    </row>
    <row r="12" spans="1:13">
      <c r="A12" s="2">
        <v>2011</v>
      </c>
      <c r="B12" s="3">
        <v>167</v>
      </c>
      <c r="C12" s="3">
        <v>1916081.580416</v>
      </c>
      <c r="D12" s="3">
        <v>1892658.297732</v>
      </c>
      <c r="E12" s="3">
        <v>2064690.91616036</v>
      </c>
      <c r="F12" s="3">
        <v>2001206.411407335</v>
      </c>
      <c r="G12" s="3">
        <v>1542648.9944</v>
      </c>
      <c r="H12" s="3">
        <v>2027116.137961699</v>
      </c>
      <c r="I12" s="3">
        <v>1976333.643488819</v>
      </c>
      <c r="J12" s="3">
        <v>2064690.92</v>
      </c>
      <c r="K12" s="3">
        <v>148609.3395840002</v>
      </c>
      <c r="L12" s="3">
        <v>172032.6222680002</v>
      </c>
      <c r="M12" s="4" t="s">
        <v>23</v>
      </c>
    </row>
    <row r="13" spans="1:13">
      <c r="A13" s="2">
        <v>2012</v>
      </c>
      <c r="B13" s="3">
        <v>155</v>
      </c>
      <c r="C13" s="3">
        <v>1363753.380531999</v>
      </c>
      <c r="D13" s="3">
        <v>1194236.878339999</v>
      </c>
      <c r="E13" s="3">
        <v>1475255.850013807</v>
      </c>
      <c r="F13" s="3">
        <v>1264875.627675566</v>
      </c>
      <c r="G13" s="3">
        <v>1573501.9744</v>
      </c>
      <c r="H13" s="3">
        <v>1482681.467398056</v>
      </c>
      <c r="I13" s="3">
        <v>1282111.297861324</v>
      </c>
      <c r="J13" s="3">
        <v>1475255.85</v>
      </c>
      <c r="K13" s="3">
        <v>111502.469468001</v>
      </c>
      <c r="L13" s="3">
        <v>281018.9716600012</v>
      </c>
      <c r="M13" s="4" t="s">
        <v>24</v>
      </c>
    </row>
    <row r="14" spans="1:13">
      <c r="A14" s="2">
        <v>2013</v>
      </c>
      <c r="B14" s="3">
        <v>143</v>
      </c>
      <c r="C14" s="3">
        <v>708529.9908599999</v>
      </c>
      <c r="D14" s="3">
        <v>708529.9908599999</v>
      </c>
      <c r="E14" s="3">
        <v>769526.2801642057</v>
      </c>
      <c r="F14" s="3">
        <v>762971.6617653245</v>
      </c>
      <c r="G14" s="3">
        <v>1203729.0102</v>
      </c>
      <c r="H14" s="3">
        <v>803943.2403390912</v>
      </c>
      <c r="I14" s="3">
        <v>794421.8029895274</v>
      </c>
      <c r="J14" s="3">
        <v>769526.28</v>
      </c>
      <c r="K14" s="3">
        <v>60996.28914000012</v>
      </c>
      <c r="L14" s="3">
        <v>60996.28914000012</v>
      </c>
      <c r="M14" s="4" t="s">
        <v>25</v>
      </c>
    </row>
    <row r="15" spans="1:13">
      <c r="A15" s="2">
        <v>2014</v>
      </c>
      <c r="B15" s="3">
        <v>131</v>
      </c>
      <c r="C15" s="3">
        <v>1389603.684732</v>
      </c>
      <c r="D15" s="3">
        <v>1389603.684732</v>
      </c>
      <c r="E15" s="3">
        <v>1545756.020435727</v>
      </c>
      <c r="F15" s="3">
        <v>1522264.681624703</v>
      </c>
      <c r="G15" s="3">
        <v>1227803.5905</v>
      </c>
      <c r="H15" s="3">
        <v>1513636.453103785</v>
      </c>
      <c r="I15" s="3">
        <v>1496603.242870816</v>
      </c>
      <c r="J15" s="3">
        <v>1545756.02</v>
      </c>
      <c r="K15" s="3">
        <v>156152.3352679999</v>
      </c>
      <c r="L15" s="3">
        <v>156152.3352679999</v>
      </c>
      <c r="M15" s="4" t="s">
        <v>26</v>
      </c>
    </row>
    <row r="16" spans="1:13">
      <c r="A16" s="2">
        <v>2015</v>
      </c>
      <c r="B16" s="3">
        <v>119</v>
      </c>
      <c r="C16" s="3">
        <v>3382963.258076001</v>
      </c>
      <c r="D16" s="3">
        <v>3364231.298548001</v>
      </c>
      <c r="E16" s="3">
        <v>3806012.584434826</v>
      </c>
      <c r="F16" s="3">
        <v>3701619.422324063</v>
      </c>
      <c r="G16" s="3">
        <v>1669812.8832</v>
      </c>
      <c r="H16" s="3">
        <v>3568567.798184989</v>
      </c>
      <c r="I16" s="3">
        <v>3516428.207912127</v>
      </c>
      <c r="J16" s="3">
        <v>3806012.58</v>
      </c>
      <c r="K16" s="3">
        <v>423049.3219239987</v>
      </c>
      <c r="L16" s="3">
        <v>441781.2814519987</v>
      </c>
      <c r="M16" s="4" t="s">
        <v>27</v>
      </c>
    </row>
    <row r="17" spans="1:13">
      <c r="A17" s="2">
        <v>2016</v>
      </c>
      <c r="B17" s="3">
        <v>107</v>
      </c>
      <c r="C17" s="3">
        <v>2506323.643367999</v>
      </c>
      <c r="D17" s="3">
        <v>2462208.676391999</v>
      </c>
      <c r="E17" s="3">
        <v>2884036.877638761</v>
      </c>
      <c r="F17" s="3">
        <v>2775780.543107491</v>
      </c>
      <c r="G17" s="3">
        <v>2554813.7112</v>
      </c>
      <c r="H17" s="3">
        <v>2840919.555541876</v>
      </c>
      <c r="I17" s="3">
        <v>2750818.561824248</v>
      </c>
      <c r="J17" s="3">
        <v>2884036.88</v>
      </c>
      <c r="K17" s="3">
        <v>377713.2366320011</v>
      </c>
      <c r="L17" s="3">
        <v>421828.2036080011</v>
      </c>
      <c r="M17" s="4" t="s">
        <v>28</v>
      </c>
    </row>
    <row r="18" spans="1:13">
      <c r="A18" s="2">
        <v>2017</v>
      </c>
      <c r="B18" s="3">
        <v>95</v>
      </c>
      <c r="C18" s="3">
        <v>1205811.828916</v>
      </c>
      <c r="D18" s="3">
        <v>1205811.828916</v>
      </c>
      <c r="E18" s="3">
        <v>1408623.103930131</v>
      </c>
      <c r="F18" s="3">
        <v>1379767.312627784</v>
      </c>
      <c r="G18" s="3">
        <v>2605909.9854</v>
      </c>
      <c r="H18" s="3">
        <v>1581006.531627083</v>
      </c>
      <c r="I18" s="3">
        <v>1534354.422925048</v>
      </c>
      <c r="J18" s="3">
        <v>1408623.1</v>
      </c>
      <c r="K18" s="3">
        <v>202811.2710839997</v>
      </c>
      <c r="L18" s="3">
        <v>202811.2710839997</v>
      </c>
      <c r="M18" s="4" t="s">
        <v>29</v>
      </c>
    </row>
    <row r="19" spans="1:13">
      <c r="A19" s="2">
        <v>2018</v>
      </c>
      <c r="B19" s="3">
        <v>83</v>
      </c>
      <c r="C19" s="3">
        <v>2395448.423304001</v>
      </c>
      <c r="D19" s="3">
        <v>2395448.423304001</v>
      </c>
      <c r="E19" s="3">
        <v>2841165.143915472</v>
      </c>
      <c r="F19" s="3">
        <v>2796668.708826229</v>
      </c>
      <c r="G19" s="3">
        <v>2215023.4875</v>
      </c>
      <c r="H19" s="3">
        <v>2742937.201645587</v>
      </c>
      <c r="I19" s="3">
        <v>2713223.76554902</v>
      </c>
      <c r="J19" s="3">
        <v>2841165.14</v>
      </c>
      <c r="K19" s="3">
        <v>445716.7166959993</v>
      </c>
      <c r="L19" s="3">
        <v>445716.7166959993</v>
      </c>
      <c r="M19" s="4" t="s">
        <v>30</v>
      </c>
    </row>
    <row r="20" spans="1:13">
      <c r="A20" s="2">
        <v>2019</v>
      </c>
      <c r="B20" s="3">
        <v>71</v>
      </c>
      <c r="C20" s="3">
        <v>2599882.874291999</v>
      </c>
      <c r="D20" s="3">
        <v>2395189.834488001</v>
      </c>
      <c r="E20" s="3">
        <v>3198349.686727937</v>
      </c>
      <c r="F20" s="3">
        <v>2972537.917173816</v>
      </c>
      <c r="G20" s="3">
        <v>2259323.9575</v>
      </c>
      <c r="H20" s="3">
        <v>3022641.652894619</v>
      </c>
      <c r="I20" s="3">
        <v>2834012.278936059</v>
      </c>
      <c r="J20" s="3">
        <v>3198349.69</v>
      </c>
      <c r="K20" s="3">
        <v>598466.8157080007</v>
      </c>
      <c r="L20" s="3">
        <v>803159.8555119992</v>
      </c>
      <c r="M20" s="4" t="s">
        <v>31</v>
      </c>
    </row>
    <row r="21" spans="1:13">
      <c r="A21" s="2">
        <v>2020</v>
      </c>
      <c r="B21" s="3">
        <v>59</v>
      </c>
      <c r="C21" s="3">
        <v>978899.5094679999</v>
      </c>
      <c r="D21" s="3">
        <v>976050.8625559999</v>
      </c>
      <c r="E21" s="3">
        <v>1272753.120311486</v>
      </c>
      <c r="F21" s="3">
        <v>1341782.33085796</v>
      </c>
      <c r="G21" s="3">
        <v>1843608.3492</v>
      </c>
      <c r="H21" s="3">
        <v>1404552.341700722</v>
      </c>
      <c r="I21" s="3">
        <v>1478565.743710778</v>
      </c>
      <c r="J21" s="3">
        <v>1272753.12</v>
      </c>
      <c r="K21" s="3">
        <v>293853.6105320002</v>
      </c>
      <c r="L21" s="3">
        <v>296702.2574440002</v>
      </c>
      <c r="M21" s="4" t="s">
        <v>32</v>
      </c>
    </row>
    <row r="22" spans="1:13">
      <c r="A22" s="2">
        <v>2021</v>
      </c>
      <c r="B22" s="3">
        <v>47</v>
      </c>
      <c r="C22" s="3">
        <v>1011313.279736</v>
      </c>
      <c r="D22" s="3">
        <v>974979.4133360002</v>
      </c>
      <c r="E22" s="3">
        <v>1382219.838183875</v>
      </c>
      <c r="F22" s="3">
        <v>1438688.114141852</v>
      </c>
      <c r="G22" s="3">
        <v>1410360.3873</v>
      </c>
      <c r="H22" s="3">
        <v>1389771.107480668</v>
      </c>
      <c r="I22" s="3">
        <v>1429557.703400638</v>
      </c>
      <c r="J22" s="3">
        <v>1382219.84</v>
      </c>
      <c r="K22" s="3">
        <v>370906.5602640001</v>
      </c>
      <c r="L22" s="3">
        <v>407240.4266639999</v>
      </c>
      <c r="M22" s="4" t="s">
        <v>33</v>
      </c>
    </row>
    <row r="23" spans="1:13">
      <c r="A23" s="2">
        <v>2022</v>
      </c>
      <c r="B23" s="3">
        <v>35</v>
      </c>
      <c r="C23" s="3">
        <v>827416.1066440007</v>
      </c>
      <c r="D23" s="3">
        <v>791103.7101360001</v>
      </c>
      <c r="E23" s="3">
        <v>1301300.197111128</v>
      </c>
      <c r="F23" s="3">
        <v>1384955.340447214</v>
      </c>
      <c r="G23" s="3">
        <v>959045.0632000001</v>
      </c>
      <c r="H23" s="3">
        <v>1176663.880908888</v>
      </c>
      <c r="I23" s="3">
        <v>1202330.309066862</v>
      </c>
      <c r="J23" s="3">
        <v>1301300.2</v>
      </c>
      <c r="K23" s="3">
        <v>473884.0933559992</v>
      </c>
      <c r="L23" s="3">
        <v>510196.4898639999</v>
      </c>
      <c r="M23" s="4" t="s">
        <v>34</v>
      </c>
    </row>
    <row r="24" spans="1:13">
      <c r="A24" s="2">
        <v>2023</v>
      </c>
      <c r="B24" s="3">
        <v>23</v>
      </c>
      <c r="C24" s="3">
        <v>1651756.674352</v>
      </c>
      <c r="D24" s="3">
        <v>1199242.068356001</v>
      </c>
      <c r="E24" s="3">
        <v>3095494.878246275</v>
      </c>
      <c r="F24" s="3">
        <v>2986282.892939571</v>
      </c>
      <c r="G24" s="3">
        <v>978225.9646000001</v>
      </c>
      <c r="H24" s="3">
        <v>2108001.072318659</v>
      </c>
      <c r="I24" s="3">
        <v>1784628.582989602</v>
      </c>
      <c r="J24" s="3">
        <v>3095494.88</v>
      </c>
      <c r="K24" s="3">
        <v>1443738.205648</v>
      </c>
      <c r="L24" s="3">
        <v>1896252.811643999</v>
      </c>
      <c r="M24" s="4" t="s">
        <v>35</v>
      </c>
    </row>
    <row r="25" spans="1:13">
      <c r="A25" s="2">
        <v>2024</v>
      </c>
      <c r="B25" s="3">
        <v>11</v>
      </c>
      <c r="C25" s="3">
        <v>890155.221828</v>
      </c>
      <c r="D25" s="3">
        <v>355247.7609319999</v>
      </c>
      <c r="E25" s="3">
        <v>2525664.374673065</v>
      </c>
      <c r="F25" s="3">
        <v>2257985.723530615</v>
      </c>
      <c r="G25" s="3">
        <v>997790.4837999999</v>
      </c>
      <c r="H25" s="3">
        <v>1536280.449408108</v>
      </c>
      <c r="I25" s="3">
        <v>1196056.368560097</v>
      </c>
      <c r="J25" s="3">
        <v>2525664.37</v>
      </c>
      <c r="K25" s="3">
        <v>1635509.148172</v>
      </c>
      <c r="L25" s="3">
        <v>2170416.609068</v>
      </c>
      <c r="M25" s="4" t="s">
        <v>36</v>
      </c>
    </row>
    <row r="27" spans="1:13">
      <c r="A27" s="4" t="s">
        <v>37</v>
      </c>
      <c r="C27" s="3"/>
      <c r="D27" s="3"/>
      <c r="E27" s="3"/>
      <c r="F27" s="3"/>
      <c r="G27" s="3"/>
      <c r="H27" s="3"/>
      <c r="I27" s="3"/>
      <c r="J27" s="3"/>
      <c r="K27" s="3"/>
      <c r="L27"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27"/>
  <sheetViews>
    <sheetView workbookViewId="0">
      <pane ySplit="1" topLeftCell="A2" activePane="bottomLeft" state="frozen"/>
      <selection pane="bottomLeft"/>
    </sheetView>
  </sheetViews>
  <sheetFormatPr defaultRowHeight="15"/>
  <cols>
    <col min="1" max="7" width="18.7109375" customWidth="1"/>
  </cols>
  <sheetData>
    <row r="1" spans="1:7">
      <c r="A1" s="1" t="s">
        <v>0</v>
      </c>
      <c r="B1" s="1" t="s">
        <v>1</v>
      </c>
      <c r="C1" s="1" t="s">
        <v>2</v>
      </c>
      <c r="D1" s="1" t="s">
        <v>38</v>
      </c>
      <c r="E1" s="1" t="s">
        <v>39</v>
      </c>
      <c r="F1" s="1" t="s">
        <v>10</v>
      </c>
      <c r="G1" s="1" t="s">
        <v>11</v>
      </c>
    </row>
    <row r="2" spans="1:7">
      <c r="A2" s="2">
        <v>2001</v>
      </c>
      <c r="B2" s="3">
        <v>287</v>
      </c>
      <c r="C2" s="3">
        <v>3163773.699688</v>
      </c>
      <c r="D2" s="5">
        <v>1.0103</v>
      </c>
      <c r="E2" s="3">
        <v>3196360.568794786</v>
      </c>
      <c r="F2" s="3">
        <v>32586.86910678633</v>
      </c>
      <c r="G2" s="3">
        <v>32586.86910678633</v>
      </c>
    </row>
    <row r="3" spans="1:7">
      <c r="A3" s="2">
        <v>2002</v>
      </c>
      <c r="B3" s="3">
        <v>275</v>
      </c>
      <c r="C3" s="3">
        <v>2327733.756319999</v>
      </c>
      <c r="D3" s="5">
        <v>1.02232257</v>
      </c>
      <c r="E3" s="3">
        <v>2379694.756036815</v>
      </c>
      <c r="F3" s="3">
        <v>51960.999716816</v>
      </c>
      <c r="G3" s="3">
        <v>51960.999716816</v>
      </c>
    </row>
    <row r="4" spans="1:7">
      <c r="A4" s="2">
        <v>2003</v>
      </c>
      <c r="B4" s="3">
        <v>263</v>
      </c>
      <c r="C4" s="3">
        <v>1778091.575843999</v>
      </c>
      <c r="D4" s="5">
        <v>1.034488208583</v>
      </c>
      <c r="E4" s="3">
        <v>1839414.768991383</v>
      </c>
      <c r="F4" s="3">
        <v>61323.19314738316</v>
      </c>
      <c r="G4" s="3">
        <v>61323.19314738316</v>
      </c>
    </row>
    <row r="5" spans="1:7">
      <c r="A5" s="2">
        <v>2004</v>
      </c>
      <c r="B5" s="3">
        <v>251</v>
      </c>
      <c r="C5" s="3">
        <v>1122614.7306</v>
      </c>
      <c r="D5" s="5">
        <v>1.034488208583</v>
      </c>
      <c r="E5" s="3">
        <v>1161331.701587282</v>
      </c>
      <c r="F5" s="3">
        <v>38716.9709872813</v>
      </c>
      <c r="G5" s="3">
        <v>38716.9709872813</v>
      </c>
    </row>
    <row r="6" spans="1:7">
      <c r="A6" s="2">
        <v>2005</v>
      </c>
      <c r="B6" s="3">
        <v>239</v>
      </c>
      <c r="C6" s="3">
        <v>2242149.132116</v>
      </c>
      <c r="D6" s="5">
        <v>1.048867594682304</v>
      </c>
      <c r="E6" s="3">
        <v>2351717.567121524</v>
      </c>
      <c r="F6" s="3">
        <v>109568.4350055242</v>
      </c>
      <c r="G6" s="3">
        <v>109568.4350055242</v>
      </c>
    </row>
    <row r="7" spans="1:7">
      <c r="A7" s="2">
        <v>2006</v>
      </c>
      <c r="B7" s="3">
        <v>227</v>
      </c>
      <c r="C7" s="3">
        <v>1517636.792660001</v>
      </c>
      <c r="D7" s="5">
        <v>1.048867594682304</v>
      </c>
      <c r="E7" s="3">
        <v>1591800.052318661</v>
      </c>
      <c r="F7" s="3">
        <v>74163.25965866051</v>
      </c>
      <c r="G7" s="3">
        <v>74163.25965866051</v>
      </c>
    </row>
    <row r="8" spans="1:7">
      <c r="A8" s="2">
        <v>2007</v>
      </c>
      <c r="B8" s="3">
        <v>215</v>
      </c>
      <c r="C8" s="3">
        <v>4810774.614816</v>
      </c>
      <c r="D8" s="5">
        <v>1.048867594682304</v>
      </c>
      <c r="E8" s="3">
        <v>5045865.598800745</v>
      </c>
      <c r="F8" s="3">
        <v>235090.9839847451</v>
      </c>
      <c r="G8" s="3">
        <v>235090.9839847451</v>
      </c>
    </row>
    <row r="9" spans="1:7">
      <c r="A9" s="2">
        <v>2008</v>
      </c>
      <c r="B9" s="3">
        <v>203</v>
      </c>
      <c r="C9" s="3">
        <v>1378427.939547998</v>
      </c>
      <c r="D9" s="5">
        <v>1.051175103390605</v>
      </c>
      <c r="E9" s="3">
        <v>1448969.131870866</v>
      </c>
      <c r="F9" s="3">
        <v>70541.19232286746</v>
      </c>
      <c r="G9" s="3">
        <v>70541.19232286746</v>
      </c>
    </row>
    <row r="10" spans="1:7">
      <c r="A10" s="2">
        <v>2009</v>
      </c>
      <c r="B10" s="3">
        <v>191</v>
      </c>
      <c r="C10" s="3">
        <v>1169581.089256</v>
      </c>
      <c r="D10" s="5">
        <v>1.063158499569258</v>
      </c>
      <c r="E10" s="3">
        <v>1243450.075977988</v>
      </c>
      <c r="F10" s="3">
        <v>73868.98672198737</v>
      </c>
      <c r="G10" s="3">
        <v>73868.98672198737</v>
      </c>
    </row>
    <row r="11" spans="1:7">
      <c r="A11" s="2">
        <v>2010</v>
      </c>
      <c r="B11" s="3">
        <v>179</v>
      </c>
      <c r="C11" s="3">
        <v>1277672.072084001</v>
      </c>
      <c r="D11" s="5">
        <v>1.069537450566673</v>
      </c>
      <c r="E11" s="3">
        <v>1366518.130636961</v>
      </c>
      <c r="F11" s="3">
        <v>88846.0585529604</v>
      </c>
      <c r="G11" s="3">
        <v>88846.0585529604</v>
      </c>
    </row>
    <row r="12" spans="1:7">
      <c r="A12" s="2">
        <v>2011</v>
      </c>
      <c r="B12" s="3">
        <v>167</v>
      </c>
      <c r="C12" s="3">
        <v>1916081.580416</v>
      </c>
      <c r="D12" s="5">
        <v>1.077558981445924</v>
      </c>
      <c r="E12" s="3">
        <v>2064690.91616036</v>
      </c>
      <c r="F12" s="3">
        <v>148609.3357443607</v>
      </c>
      <c r="G12" s="3">
        <v>148609.3357443607</v>
      </c>
    </row>
    <row r="13" spans="1:7">
      <c r="A13" s="2">
        <v>2012</v>
      </c>
      <c r="B13" s="3">
        <v>155</v>
      </c>
      <c r="C13" s="3">
        <v>1363753.380531999</v>
      </c>
      <c r="D13" s="5">
        <v>1.081761461473563</v>
      </c>
      <c r="E13" s="3">
        <v>1475255.850013807</v>
      </c>
      <c r="F13" s="3">
        <v>111502.4694818079</v>
      </c>
      <c r="G13" s="3">
        <v>111502.4694818079</v>
      </c>
    </row>
    <row r="14" spans="1:7">
      <c r="A14" s="2">
        <v>2013</v>
      </c>
      <c r="B14" s="3">
        <v>143</v>
      </c>
      <c r="C14" s="3">
        <v>708529.9908599999</v>
      </c>
      <c r="D14" s="5">
        <v>1.086088507319457</v>
      </c>
      <c r="E14" s="3">
        <v>769526.2801642057</v>
      </c>
      <c r="F14" s="3">
        <v>60996.2893042058</v>
      </c>
      <c r="G14" s="3">
        <v>60996.2893042058</v>
      </c>
    </row>
    <row r="15" spans="1:7">
      <c r="A15" s="2">
        <v>2014</v>
      </c>
      <c r="B15" s="3">
        <v>131</v>
      </c>
      <c r="C15" s="3">
        <v>1389603.684732</v>
      </c>
      <c r="D15" s="5">
        <v>1.112371849196588</v>
      </c>
      <c r="E15" s="3">
        <v>1545756.020435727</v>
      </c>
      <c r="F15" s="3">
        <v>156152.3357037269</v>
      </c>
      <c r="G15" s="3">
        <v>156152.3357037269</v>
      </c>
    </row>
    <row r="16" spans="1:7">
      <c r="A16" s="2">
        <v>2015</v>
      </c>
      <c r="B16" s="3">
        <v>119</v>
      </c>
      <c r="C16" s="3">
        <v>3382963.258076001</v>
      </c>
      <c r="D16" s="5">
        <v>1.125052888277429</v>
      </c>
      <c r="E16" s="3">
        <v>3806012.584434826</v>
      </c>
      <c r="F16" s="3">
        <v>423049.326358825</v>
      </c>
      <c r="G16" s="3">
        <v>423049.326358825</v>
      </c>
    </row>
    <row r="17" spans="1:7">
      <c r="A17" s="2">
        <v>2016</v>
      </c>
      <c r="B17" s="3">
        <v>107</v>
      </c>
      <c r="C17" s="3">
        <v>2506323.643367999</v>
      </c>
      <c r="D17" s="5">
        <v>1.150704094130154</v>
      </c>
      <c r="E17" s="3">
        <v>2884036.877638761</v>
      </c>
      <c r="F17" s="3">
        <v>377713.2342707622</v>
      </c>
      <c r="G17" s="3">
        <v>377713.2342707622</v>
      </c>
    </row>
    <row r="18" spans="1:7">
      <c r="A18" s="2">
        <v>2017</v>
      </c>
      <c r="B18" s="3">
        <v>95</v>
      </c>
      <c r="C18" s="3">
        <v>1205811.828916</v>
      </c>
      <c r="D18" s="5">
        <v>1.168194796360933</v>
      </c>
      <c r="E18" s="3">
        <v>1408623.103930131</v>
      </c>
      <c r="F18" s="3">
        <v>202811.2750141306</v>
      </c>
      <c r="G18" s="3">
        <v>202811.2750141306</v>
      </c>
    </row>
    <row r="19" spans="1:7">
      <c r="A19" s="2">
        <v>2018</v>
      </c>
      <c r="B19" s="3">
        <v>83</v>
      </c>
      <c r="C19" s="3">
        <v>2395448.423304001</v>
      </c>
      <c r="D19" s="5">
        <v>1.186068176745255</v>
      </c>
      <c r="E19" s="3">
        <v>2841165.143915472</v>
      </c>
      <c r="F19" s="3">
        <v>445716.7206114712</v>
      </c>
      <c r="G19" s="3">
        <v>445716.7206114712</v>
      </c>
    </row>
    <row r="20" spans="1:7">
      <c r="A20" s="2">
        <v>2019</v>
      </c>
      <c r="B20" s="3">
        <v>71</v>
      </c>
      <c r="C20" s="3">
        <v>2599882.874291999</v>
      </c>
      <c r="D20" s="5">
        <v>1.230189912920178</v>
      </c>
      <c r="E20" s="3">
        <v>3198349.686727937</v>
      </c>
      <c r="F20" s="3">
        <v>598466.812435938</v>
      </c>
      <c r="G20" s="3">
        <v>598466.812435938</v>
      </c>
    </row>
    <row r="21" spans="1:7">
      <c r="A21" s="2">
        <v>2020</v>
      </c>
      <c r="B21" s="3">
        <v>59</v>
      </c>
      <c r="C21" s="3">
        <v>978899.5094679999</v>
      </c>
      <c r="D21" s="5">
        <v>1.300187718965336</v>
      </c>
      <c r="E21" s="3">
        <v>1272753.120311486</v>
      </c>
      <c r="F21" s="3">
        <v>293853.6108434857</v>
      </c>
      <c r="G21" s="3">
        <v>293853.6108434857</v>
      </c>
    </row>
    <row r="22" spans="1:7">
      <c r="A22" s="2">
        <v>2021</v>
      </c>
      <c r="B22" s="3">
        <v>47</v>
      </c>
      <c r="C22" s="3">
        <v>1011313.279736</v>
      </c>
      <c r="D22" s="5">
        <v>1.366757330176361</v>
      </c>
      <c r="E22" s="3">
        <v>1382219.838183875</v>
      </c>
      <c r="F22" s="3">
        <v>370906.558447875</v>
      </c>
      <c r="G22" s="3">
        <v>370906.558447875</v>
      </c>
    </row>
    <row r="23" spans="1:7">
      <c r="A23" s="2">
        <v>2022</v>
      </c>
      <c r="B23" s="3">
        <v>35</v>
      </c>
      <c r="C23" s="3">
        <v>827416.1066440007</v>
      </c>
      <c r="D23" s="5">
        <v>1.572727659833939</v>
      </c>
      <c r="E23" s="3">
        <v>1301300.197111128</v>
      </c>
      <c r="F23" s="3">
        <v>473884.0904671274</v>
      </c>
      <c r="G23" s="3">
        <v>473884.0904671274</v>
      </c>
    </row>
    <row r="24" spans="1:7">
      <c r="A24" s="2">
        <v>2023</v>
      </c>
      <c r="B24" s="3">
        <v>23</v>
      </c>
      <c r="C24" s="3">
        <v>1651756.674352</v>
      </c>
      <c r="D24" s="5">
        <v>1.874062279458122</v>
      </c>
      <c r="E24" s="3">
        <v>3095494.878246275</v>
      </c>
      <c r="F24" s="3">
        <v>1443738.203894275</v>
      </c>
      <c r="G24" s="3">
        <v>1443738.203894275</v>
      </c>
    </row>
    <row r="25" spans="1:7">
      <c r="A25" s="2">
        <v>2024</v>
      </c>
      <c r="B25" s="3">
        <v>11</v>
      </c>
      <c r="C25" s="3">
        <v>890155.221828</v>
      </c>
      <c r="D25" s="5">
        <v>2.837330291099596</v>
      </c>
      <c r="E25" s="3">
        <v>2525664.374673065</v>
      </c>
      <c r="F25" s="3">
        <v>1635509.152845065</v>
      </c>
      <c r="G25" s="3">
        <v>1635509.152845065</v>
      </c>
    </row>
    <row r="27" spans="1:7">
      <c r="A27" s="4" t="s">
        <v>37</v>
      </c>
      <c r="C27" s="3">
        <v>43616394.859456</v>
      </c>
      <c r="E27" s="3">
        <v>51195971.22408407</v>
      </c>
      <c r="F27" s="3">
        <v>7579576.364628069</v>
      </c>
      <c r="G27" s="3">
        <v>7579576.364628069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G27"/>
  <sheetViews>
    <sheetView workbookViewId="0">
      <pane ySplit="1" topLeftCell="A2" activePane="bottomLeft" state="frozen"/>
      <selection pane="bottomLeft"/>
    </sheetView>
  </sheetViews>
  <sheetFormatPr defaultRowHeight="15"/>
  <cols>
    <col min="1" max="7" width="18.7109375" customWidth="1"/>
  </cols>
  <sheetData>
    <row r="1" spans="1:7">
      <c r="A1" s="1" t="s">
        <v>0</v>
      </c>
      <c r="B1" s="1" t="s">
        <v>1</v>
      </c>
      <c r="C1" s="1" t="s">
        <v>3</v>
      </c>
      <c r="D1" s="1" t="s">
        <v>38</v>
      </c>
      <c r="E1" s="1" t="s">
        <v>39</v>
      </c>
      <c r="F1" s="1" t="s">
        <v>10</v>
      </c>
      <c r="G1" s="1" t="s">
        <v>11</v>
      </c>
    </row>
    <row r="2" spans="1:7">
      <c r="A2" s="2">
        <v>2001</v>
      </c>
      <c r="B2" s="3">
        <v>287</v>
      </c>
      <c r="C2" s="3">
        <v>3042294.662276</v>
      </c>
      <c r="D2" s="5">
        <v>1.0039</v>
      </c>
      <c r="E2" s="3">
        <v>3054159.611458877</v>
      </c>
      <c r="F2" s="3">
        <v>11864.94918287639</v>
      </c>
      <c r="G2" s="3">
        <v>11864.94918287639</v>
      </c>
    </row>
    <row r="3" spans="1:7">
      <c r="A3" s="2">
        <v>2002</v>
      </c>
      <c r="B3" s="3">
        <v>275</v>
      </c>
      <c r="C3" s="3">
        <v>2199646.228088</v>
      </c>
      <c r="D3" s="5">
        <v>1.00781521</v>
      </c>
      <c r="E3" s="3">
        <v>2216836.925286216</v>
      </c>
      <c r="F3" s="3">
        <v>17190.69719821541</v>
      </c>
      <c r="G3" s="3">
        <v>17190.69719821541</v>
      </c>
    </row>
    <row r="4" spans="1:7">
      <c r="A4" s="2">
        <v>2003</v>
      </c>
      <c r="B4" s="3">
        <v>263</v>
      </c>
      <c r="C4" s="3">
        <v>1778091.575843999</v>
      </c>
      <c r="D4" s="5">
        <v>1.015474605596</v>
      </c>
      <c r="E4" s="3">
        <v>1805606.841693755</v>
      </c>
      <c r="F4" s="3">
        <v>27515.26584975608</v>
      </c>
      <c r="G4" s="3">
        <v>27515.26584975608</v>
      </c>
    </row>
    <row r="5" spans="1:7">
      <c r="A5" s="2">
        <v>2004</v>
      </c>
      <c r="B5" s="3">
        <v>251</v>
      </c>
      <c r="C5" s="3">
        <v>1122614.7306</v>
      </c>
      <c r="D5" s="5">
        <v>1.02298911767741</v>
      </c>
      <c r="E5" s="3">
        <v>1148422.652748158</v>
      </c>
      <c r="F5" s="3">
        <v>25807.92214815784</v>
      </c>
      <c r="G5" s="3">
        <v>25807.92214815784</v>
      </c>
    </row>
    <row r="6" spans="1:7">
      <c r="A6" s="2">
        <v>2005</v>
      </c>
      <c r="B6" s="3">
        <v>239</v>
      </c>
      <c r="C6" s="3">
        <v>2242149.132116</v>
      </c>
      <c r="D6" s="5">
        <v>1.026774177412817</v>
      </c>
      <c r="E6" s="3">
        <v>2302180.830765267</v>
      </c>
      <c r="F6" s="3">
        <v>60031.6986492672</v>
      </c>
      <c r="G6" s="3">
        <v>60031.6986492672</v>
      </c>
    </row>
    <row r="7" spans="1:7">
      <c r="A7" s="2">
        <v>2006</v>
      </c>
      <c r="B7" s="3">
        <v>227</v>
      </c>
      <c r="C7" s="3">
        <v>1462141.027856</v>
      </c>
      <c r="D7" s="5">
        <v>1.026774177412817</v>
      </c>
      <c r="E7" s="3">
        <v>1501288.651138375</v>
      </c>
      <c r="F7" s="3">
        <v>39147.62328237505</v>
      </c>
      <c r="G7" s="3">
        <v>39147.62328237505</v>
      </c>
    </row>
    <row r="8" spans="1:7">
      <c r="A8" s="2">
        <v>2007</v>
      </c>
      <c r="B8" s="3">
        <v>215</v>
      </c>
      <c r="C8" s="3">
        <v>4790693.153152</v>
      </c>
      <c r="D8" s="5">
        <v>1.02862237093216</v>
      </c>
      <c r="E8" s="3">
        <v>4927814.149603676</v>
      </c>
      <c r="F8" s="3">
        <v>137120.9964516759</v>
      </c>
      <c r="G8" s="3">
        <v>137120.9964516759</v>
      </c>
    </row>
    <row r="9" spans="1:7">
      <c r="A9" s="2">
        <v>2008</v>
      </c>
      <c r="B9" s="3">
        <v>203</v>
      </c>
      <c r="C9" s="3">
        <v>1378427.939547998</v>
      </c>
      <c r="D9" s="5">
        <v>1.029856717777279</v>
      </c>
      <c r="E9" s="3">
        <v>1419583.273515399</v>
      </c>
      <c r="F9" s="3">
        <v>41155.33396740025</v>
      </c>
      <c r="G9" s="3">
        <v>41155.33396740025</v>
      </c>
    </row>
    <row r="10" spans="1:7">
      <c r="A10" s="2">
        <v>2009</v>
      </c>
      <c r="B10" s="3">
        <v>191</v>
      </c>
      <c r="C10" s="3">
        <v>1169581.089256</v>
      </c>
      <c r="D10" s="5">
        <v>1.046025468246382</v>
      </c>
      <c r="E10" s="3">
        <v>1223411.606541121</v>
      </c>
      <c r="F10" s="3">
        <v>53830.51728512067</v>
      </c>
      <c r="G10" s="3">
        <v>53830.51728512067</v>
      </c>
    </row>
    <row r="11" spans="1:7">
      <c r="A11" s="2">
        <v>2010</v>
      </c>
      <c r="B11" s="3">
        <v>179</v>
      </c>
      <c r="C11" s="3">
        <v>1277672.072084001</v>
      </c>
      <c r="D11" s="5">
        <v>1.052615428696334</v>
      </c>
      <c r="E11" s="3">
        <v>1344897.335890034</v>
      </c>
      <c r="F11" s="3">
        <v>67225.26380603318</v>
      </c>
      <c r="G11" s="3">
        <v>67225.26380603318</v>
      </c>
    </row>
    <row r="12" spans="1:7">
      <c r="A12" s="2">
        <v>2011</v>
      </c>
      <c r="B12" s="3">
        <v>167</v>
      </c>
      <c r="C12" s="3">
        <v>1892658.297732</v>
      </c>
      <c r="D12" s="5">
        <v>1.057352198125467</v>
      </c>
      <c r="E12" s="3">
        <v>2001206.411407335</v>
      </c>
      <c r="F12" s="3">
        <v>108548.1136753357</v>
      </c>
      <c r="G12" s="3">
        <v>108548.1136753357</v>
      </c>
    </row>
    <row r="13" spans="1:7">
      <c r="A13" s="2">
        <v>2012</v>
      </c>
      <c r="B13" s="3">
        <v>155</v>
      </c>
      <c r="C13" s="3">
        <v>1194236.878339999</v>
      </c>
      <c r="D13" s="5">
        <v>1.059149696862281</v>
      </c>
      <c r="E13" s="3">
        <v>1264875.627675566</v>
      </c>
      <c r="F13" s="3">
        <v>70638.74933556723</v>
      </c>
      <c r="G13" s="3">
        <v>70638.74933556723</v>
      </c>
    </row>
    <row r="14" spans="1:7">
      <c r="A14" s="2">
        <v>2013</v>
      </c>
      <c r="B14" s="3">
        <v>143</v>
      </c>
      <c r="C14" s="3">
        <v>708529.9908599999</v>
      </c>
      <c r="D14" s="5">
        <v>1.076837496799881</v>
      </c>
      <c r="E14" s="3">
        <v>762971.6617653245</v>
      </c>
      <c r="F14" s="3">
        <v>54441.67090532463</v>
      </c>
      <c r="G14" s="3">
        <v>54441.67090532463</v>
      </c>
    </row>
    <row r="15" spans="1:7">
      <c r="A15" s="2">
        <v>2014</v>
      </c>
      <c r="B15" s="3">
        <v>131</v>
      </c>
      <c r="C15" s="3">
        <v>1389603.684732</v>
      </c>
      <c r="D15" s="5">
        <v>1.095466785494519</v>
      </c>
      <c r="E15" s="3">
        <v>1522264.681624703</v>
      </c>
      <c r="F15" s="3">
        <v>132660.9968927025</v>
      </c>
      <c r="G15" s="3">
        <v>132660.9968927025</v>
      </c>
    </row>
    <row r="16" spans="1:7">
      <c r="A16" s="2">
        <v>2015</v>
      </c>
      <c r="B16" s="3">
        <v>119</v>
      </c>
      <c r="C16" s="3">
        <v>3364231.298548001</v>
      </c>
      <c r="D16" s="5">
        <v>1.100286839350694</v>
      </c>
      <c r="E16" s="3">
        <v>3701619.422324063</v>
      </c>
      <c r="F16" s="3">
        <v>337388.1237760615</v>
      </c>
      <c r="G16" s="3">
        <v>337388.1237760615</v>
      </c>
    </row>
    <row r="17" spans="1:7">
      <c r="A17" s="2">
        <v>2016</v>
      </c>
      <c r="B17" s="3">
        <v>107</v>
      </c>
      <c r="C17" s="3">
        <v>2462208.676391999</v>
      </c>
      <c r="D17" s="5">
        <v>1.127353895598721</v>
      </c>
      <c r="E17" s="3">
        <v>2775780.543107491</v>
      </c>
      <c r="F17" s="3">
        <v>313571.8667154927</v>
      </c>
      <c r="G17" s="3">
        <v>313571.8667154927</v>
      </c>
    </row>
    <row r="18" spans="1:7">
      <c r="A18" s="2">
        <v>2017</v>
      </c>
      <c r="B18" s="3">
        <v>95</v>
      </c>
      <c r="C18" s="3">
        <v>1205811.828916</v>
      </c>
      <c r="D18" s="5">
        <v>1.144264204032702</v>
      </c>
      <c r="E18" s="3">
        <v>1379767.312627784</v>
      </c>
      <c r="F18" s="3">
        <v>173955.4837117838</v>
      </c>
      <c r="G18" s="3">
        <v>173955.4837117838</v>
      </c>
    </row>
    <row r="19" spans="1:7">
      <c r="A19" s="2">
        <v>2018</v>
      </c>
      <c r="B19" s="3">
        <v>83</v>
      </c>
      <c r="C19" s="3">
        <v>2395448.423304001</v>
      </c>
      <c r="D19" s="5">
        <v>1.167492767374566</v>
      </c>
      <c r="E19" s="3">
        <v>2796668.708826229</v>
      </c>
      <c r="F19" s="3">
        <v>401220.2855222281</v>
      </c>
      <c r="G19" s="3">
        <v>401220.2855222281</v>
      </c>
    </row>
    <row r="20" spans="1:7">
      <c r="A20" s="2">
        <v>2019</v>
      </c>
      <c r="B20" s="3">
        <v>71</v>
      </c>
      <c r="C20" s="3">
        <v>2395189.834488001</v>
      </c>
      <c r="D20" s="5">
        <v>1.241044811719164</v>
      </c>
      <c r="E20" s="3">
        <v>2972537.917173816</v>
      </c>
      <c r="F20" s="3">
        <v>577348.0826858152</v>
      </c>
      <c r="G20" s="3">
        <v>577348.0826858152</v>
      </c>
    </row>
    <row r="21" spans="1:7">
      <c r="A21" s="2">
        <v>2020</v>
      </c>
      <c r="B21" s="3">
        <v>59</v>
      </c>
      <c r="C21" s="3">
        <v>976050.8625559999</v>
      </c>
      <c r="D21" s="5">
        <v>1.374705337941317</v>
      </c>
      <c r="E21" s="3">
        <v>1341782.33085796</v>
      </c>
      <c r="F21" s="3">
        <v>365731.4683019604</v>
      </c>
      <c r="G21" s="3">
        <v>365731.4683019604</v>
      </c>
    </row>
    <row r="22" spans="1:7">
      <c r="A22" s="2">
        <v>2021</v>
      </c>
      <c r="B22" s="3">
        <v>47</v>
      </c>
      <c r="C22" s="3">
        <v>974979.4133360002</v>
      </c>
      <c r="D22" s="5">
        <v>1.47560870974621</v>
      </c>
      <c r="E22" s="3">
        <v>1438688.114141852</v>
      </c>
      <c r="F22" s="3">
        <v>463708.700805852</v>
      </c>
      <c r="G22" s="3">
        <v>463708.700805852</v>
      </c>
    </row>
    <row r="23" spans="1:7">
      <c r="A23" s="2">
        <v>2022</v>
      </c>
      <c r="B23" s="3">
        <v>35</v>
      </c>
      <c r="C23" s="3">
        <v>791103.7101360001</v>
      </c>
      <c r="D23" s="5">
        <v>1.750662173242904</v>
      </c>
      <c r="E23" s="3">
        <v>1384955.340447214</v>
      </c>
      <c r="F23" s="3">
        <v>593851.6303112139</v>
      </c>
      <c r="G23" s="3">
        <v>593851.6303112139</v>
      </c>
    </row>
    <row r="24" spans="1:7">
      <c r="A24" s="2">
        <v>2023</v>
      </c>
      <c r="B24" s="3">
        <v>23</v>
      </c>
      <c r="C24" s="3">
        <v>1199242.068356001</v>
      </c>
      <c r="D24" s="5">
        <v>2.490141875220706</v>
      </c>
      <c r="E24" s="3">
        <v>2986282.892939571</v>
      </c>
      <c r="F24" s="3">
        <v>1787040.82458357</v>
      </c>
      <c r="G24" s="3">
        <v>1787040.82458357</v>
      </c>
    </row>
    <row r="25" spans="1:7">
      <c r="A25" s="2">
        <v>2024</v>
      </c>
      <c r="B25" s="3">
        <v>11</v>
      </c>
      <c r="C25" s="3">
        <v>355247.7609319999</v>
      </c>
      <c r="D25" s="5">
        <v>6.356087136500853</v>
      </c>
      <c r="E25" s="3">
        <v>2257985.723530615</v>
      </c>
      <c r="F25" s="3">
        <v>1902737.962598615</v>
      </c>
      <c r="G25" s="3">
        <v>1902737.962598615</v>
      </c>
    </row>
    <row r="27" spans="1:7">
      <c r="A27" s="4" t="s">
        <v>37</v>
      </c>
      <c r="C27" s="3">
        <v>41767854.339448</v>
      </c>
      <c r="E27" s="3">
        <v>49531588.5670904</v>
      </c>
      <c r="F27" s="3">
        <v>7763734.227642395</v>
      </c>
      <c r="G27" s="3">
        <v>7763734.227642395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J27"/>
  <sheetViews>
    <sheetView workbookViewId="0">
      <pane ySplit="1" topLeftCell="A2" activePane="bottomLeft" state="frozen"/>
      <selection pane="bottomLeft"/>
    </sheetView>
  </sheetViews>
  <sheetFormatPr defaultRowHeight="15"/>
  <cols>
    <col min="1" max="10" width="18.7109375" customWidth="1"/>
  </cols>
  <sheetData>
    <row r="1" spans="1:10">
      <c r="A1" s="1" t="s">
        <v>0</v>
      </c>
      <c r="B1" s="1" t="s">
        <v>1</v>
      </c>
      <c r="C1" s="1" t="s">
        <v>6</v>
      </c>
      <c r="D1" s="1" t="s">
        <v>38</v>
      </c>
      <c r="E1" s="1" t="s">
        <v>40</v>
      </c>
      <c r="F1" s="1" t="s">
        <v>41</v>
      </c>
      <c r="G1" s="1" t="s">
        <v>2</v>
      </c>
      <c r="H1" s="1" t="s">
        <v>39</v>
      </c>
      <c r="I1" s="1" t="s">
        <v>10</v>
      </c>
      <c r="J1" s="1" t="s">
        <v>11</v>
      </c>
    </row>
    <row r="2" spans="1:10">
      <c r="A2" s="2">
        <v>2001</v>
      </c>
      <c r="B2" s="3">
        <v>287</v>
      </c>
      <c r="C2" s="3">
        <v>3163773.699688</v>
      </c>
      <c r="D2" s="5">
        <v>1.0103</v>
      </c>
      <c r="E2" s="6">
        <v>0.01019499158665738</v>
      </c>
      <c r="F2" s="3">
        <v>32254.64625040704</v>
      </c>
      <c r="G2" s="3">
        <v>3163773.699688</v>
      </c>
      <c r="H2" s="3">
        <v>3196028.345938407</v>
      </c>
      <c r="I2" s="3">
        <v>32254.64625040721</v>
      </c>
      <c r="J2" s="3">
        <v>32254.64625040721</v>
      </c>
    </row>
    <row r="3" spans="1:10">
      <c r="A3" s="2">
        <v>2002</v>
      </c>
      <c r="B3" s="3">
        <v>275</v>
      </c>
      <c r="C3" s="3">
        <v>2904344.256599999</v>
      </c>
      <c r="D3" s="5">
        <v>1.02232257</v>
      </c>
      <c r="E3" s="6">
        <v>0.02183515326282981</v>
      </c>
      <c r="F3" s="3">
        <v>63416.80197088049</v>
      </c>
      <c r="G3" s="3">
        <v>2327733.756319999</v>
      </c>
      <c r="H3" s="3">
        <v>2391150.55829088</v>
      </c>
      <c r="I3" s="3">
        <v>63416.80197088048</v>
      </c>
      <c r="J3" s="3">
        <v>63416.80197088048</v>
      </c>
    </row>
    <row r="4" spans="1:10">
      <c r="A4" s="2">
        <v>2003</v>
      </c>
      <c r="B4" s="3">
        <v>263</v>
      </c>
      <c r="C4" s="3">
        <v>2633272.1256</v>
      </c>
      <c r="D4" s="5">
        <v>1.034488208583</v>
      </c>
      <c r="E4" s="6">
        <v>0.03333842599350711</v>
      </c>
      <c r="F4" s="3">
        <v>87789.14788008077</v>
      </c>
      <c r="G4" s="3">
        <v>1778091.575843999</v>
      </c>
      <c r="H4" s="3">
        <v>1865880.72372408</v>
      </c>
      <c r="I4" s="3">
        <v>87789.14788008085</v>
      </c>
      <c r="J4" s="3">
        <v>87789.14788008085</v>
      </c>
    </row>
    <row r="5" spans="1:10">
      <c r="A5" s="2">
        <v>2004</v>
      </c>
      <c r="B5" s="3">
        <v>251</v>
      </c>
      <c r="C5" s="3">
        <v>1678710.98</v>
      </c>
      <c r="D5" s="5">
        <v>1.034488208583</v>
      </c>
      <c r="E5" s="6">
        <v>0.03333842599350711</v>
      </c>
      <c r="F5" s="3">
        <v>55965.5817712178</v>
      </c>
      <c r="G5" s="3">
        <v>1122614.7306</v>
      </c>
      <c r="H5" s="3">
        <v>1178580.312371218</v>
      </c>
      <c r="I5" s="3">
        <v>55965.58177121775</v>
      </c>
      <c r="J5" s="3">
        <v>55965.58177121775</v>
      </c>
    </row>
    <row r="6" spans="1:10">
      <c r="A6" s="2">
        <v>2005</v>
      </c>
      <c r="B6" s="3">
        <v>239</v>
      </c>
      <c r="C6" s="3">
        <v>1712285.2</v>
      </c>
      <c r="D6" s="5">
        <v>1.048867594682304</v>
      </c>
      <c r="E6" s="6">
        <v>0.0465908136833092</v>
      </c>
      <c r="F6" s="3">
        <v>79776.76072588783</v>
      </c>
      <c r="G6" s="3">
        <v>2242149.132116</v>
      </c>
      <c r="H6" s="3">
        <v>2321925.892841888</v>
      </c>
      <c r="I6" s="3">
        <v>79776.76072588796</v>
      </c>
      <c r="J6" s="3">
        <v>79776.76072588796</v>
      </c>
    </row>
    <row r="7" spans="1:10">
      <c r="A7" s="2">
        <v>2006</v>
      </c>
      <c r="B7" s="3">
        <v>227</v>
      </c>
      <c r="C7" s="3">
        <v>1746530.9035</v>
      </c>
      <c r="D7" s="5">
        <v>1.048867594682304</v>
      </c>
      <c r="E7" s="6">
        <v>0.0465908136833092</v>
      </c>
      <c r="F7" s="3">
        <v>81372.29591711017</v>
      </c>
      <c r="G7" s="3">
        <v>1517636.792660001</v>
      </c>
      <c r="H7" s="3">
        <v>1599009.088577111</v>
      </c>
      <c r="I7" s="3">
        <v>81372.29591711028</v>
      </c>
      <c r="J7" s="3">
        <v>81372.29591711028</v>
      </c>
    </row>
    <row r="8" spans="1:10">
      <c r="A8" s="2">
        <v>2007</v>
      </c>
      <c r="B8" s="3">
        <v>215</v>
      </c>
      <c r="C8" s="3">
        <v>2850338.4352</v>
      </c>
      <c r="D8" s="5">
        <v>1.048867594682304</v>
      </c>
      <c r="E8" s="6">
        <v>0.0465908136833092</v>
      </c>
      <c r="F8" s="3">
        <v>132799.5869687783</v>
      </c>
      <c r="G8" s="3">
        <v>4810774.614816</v>
      </c>
      <c r="H8" s="3">
        <v>4943574.201784778</v>
      </c>
      <c r="I8" s="3">
        <v>132799.5869687786</v>
      </c>
      <c r="J8" s="3">
        <v>132799.5869687786</v>
      </c>
    </row>
    <row r="9" spans="1:10">
      <c r="A9" s="2">
        <v>2008</v>
      </c>
      <c r="B9" s="3">
        <v>203</v>
      </c>
      <c r="C9" s="3">
        <v>2543927.0535</v>
      </c>
      <c r="D9" s="5">
        <v>1.051175103390605</v>
      </c>
      <c r="E9" s="6">
        <v>0.04868370952236001</v>
      </c>
      <c r="F9" s="3">
        <v>123847.8057186672</v>
      </c>
      <c r="G9" s="3">
        <v>1378427.939547998</v>
      </c>
      <c r="H9" s="3">
        <v>1502275.745266665</v>
      </c>
      <c r="I9" s="3">
        <v>123847.8057186671</v>
      </c>
      <c r="J9" s="3">
        <v>123847.8057186671</v>
      </c>
    </row>
    <row r="10" spans="1:10">
      <c r="A10" s="2">
        <v>2009</v>
      </c>
      <c r="B10" s="3">
        <v>191</v>
      </c>
      <c r="C10" s="3">
        <v>2594805.5945</v>
      </c>
      <c r="D10" s="5">
        <v>1.063158499569258</v>
      </c>
      <c r="E10" s="6">
        <v>0.05940647569938717</v>
      </c>
      <c r="F10" s="3">
        <v>154148.2554942982</v>
      </c>
      <c r="G10" s="3">
        <v>1169581.089256</v>
      </c>
      <c r="H10" s="3">
        <v>1323729.344750299</v>
      </c>
      <c r="I10" s="3">
        <v>154148.2554942982</v>
      </c>
      <c r="J10" s="3">
        <v>154148.2554942982</v>
      </c>
    </row>
    <row r="11" spans="1:10">
      <c r="A11" s="2">
        <v>2010</v>
      </c>
      <c r="B11" s="3">
        <v>179</v>
      </c>
      <c r="C11" s="3">
        <v>1134300.7311</v>
      </c>
      <c r="D11" s="5">
        <v>1.069537450566673</v>
      </c>
      <c r="E11" s="6">
        <v>0.06501637743477839</v>
      </c>
      <c r="F11" s="3">
        <v>73748.12445774267</v>
      </c>
      <c r="G11" s="3">
        <v>1277672.072084001</v>
      </c>
      <c r="H11" s="3">
        <v>1351420.196541743</v>
      </c>
      <c r="I11" s="3">
        <v>73748.12445774279</v>
      </c>
      <c r="J11" s="3">
        <v>73748.12445774279</v>
      </c>
    </row>
    <row r="12" spans="1:10">
      <c r="A12" s="2">
        <v>2011</v>
      </c>
      <c r="B12" s="3">
        <v>167</v>
      </c>
      <c r="C12" s="3">
        <v>1542648.9944</v>
      </c>
      <c r="D12" s="5">
        <v>1.077558981445924</v>
      </c>
      <c r="E12" s="6">
        <v>0.07197655328513997</v>
      </c>
      <c r="F12" s="3">
        <v>111034.5575456992</v>
      </c>
      <c r="G12" s="3">
        <v>1916081.580416</v>
      </c>
      <c r="H12" s="3">
        <v>2027116.137961699</v>
      </c>
      <c r="I12" s="3">
        <v>111034.5575456992</v>
      </c>
      <c r="J12" s="3">
        <v>111034.5575456992</v>
      </c>
    </row>
    <row r="13" spans="1:10">
      <c r="A13" s="2">
        <v>2012</v>
      </c>
      <c r="B13" s="3">
        <v>155</v>
      </c>
      <c r="C13" s="3">
        <v>1573501.9744</v>
      </c>
      <c r="D13" s="5">
        <v>1.081761461473563</v>
      </c>
      <c r="E13" s="6">
        <v>0.07558178432626739</v>
      </c>
      <c r="F13" s="3">
        <v>118928.0868660567</v>
      </c>
      <c r="G13" s="3">
        <v>1363753.380531999</v>
      </c>
      <c r="H13" s="3">
        <v>1482681.467398056</v>
      </c>
      <c r="I13" s="3">
        <v>118928.0868660568</v>
      </c>
      <c r="J13" s="3">
        <v>118928.0868660568</v>
      </c>
    </row>
    <row r="14" spans="1:10">
      <c r="A14" s="2">
        <v>2013</v>
      </c>
      <c r="B14" s="3">
        <v>143</v>
      </c>
      <c r="C14" s="3">
        <v>1203729.0102</v>
      </c>
      <c r="D14" s="5">
        <v>1.086088507319457</v>
      </c>
      <c r="E14" s="6">
        <v>0.07926472542456908</v>
      </c>
      <c r="F14" s="3">
        <v>95413.2494790913</v>
      </c>
      <c r="G14" s="3">
        <v>708529.9908599999</v>
      </c>
      <c r="H14" s="3">
        <v>803943.2403390912</v>
      </c>
      <c r="I14" s="3">
        <v>95413.24947909126</v>
      </c>
      <c r="J14" s="3">
        <v>95413.24947909126</v>
      </c>
    </row>
    <row r="15" spans="1:10">
      <c r="A15" s="2">
        <v>2014</v>
      </c>
      <c r="B15" s="3">
        <v>131</v>
      </c>
      <c r="C15" s="3">
        <v>1227803.5905</v>
      </c>
      <c r="D15" s="5">
        <v>1.112371849196588</v>
      </c>
      <c r="E15" s="6">
        <v>0.1010200404457812</v>
      </c>
      <c r="F15" s="3">
        <v>124032.7683717853</v>
      </c>
      <c r="G15" s="3">
        <v>1389603.684732</v>
      </c>
      <c r="H15" s="3">
        <v>1513636.453103785</v>
      </c>
      <c r="I15" s="3">
        <v>124032.7683717853</v>
      </c>
      <c r="J15" s="3">
        <v>124032.7683717853</v>
      </c>
    </row>
    <row r="16" spans="1:10">
      <c r="A16" s="2">
        <v>2015</v>
      </c>
      <c r="B16" s="3">
        <v>119</v>
      </c>
      <c r="C16" s="3">
        <v>1669812.8832</v>
      </c>
      <c r="D16" s="5">
        <v>1.125052888277429</v>
      </c>
      <c r="E16" s="6">
        <v>0.1111528974152475</v>
      </c>
      <c r="F16" s="3">
        <v>185604.5401089882</v>
      </c>
      <c r="G16" s="3">
        <v>3382963.258076001</v>
      </c>
      <c r="H16" s="3">
        <v>3568567.798184989</v>
      </c>
      <c r="I16" s="3">
        <v>185604.5401089881</v>
      </c>
      <c r="J16" s="3">
        <v>185604.5401089881</v>
      </c>
    </row>
    <row r="17" spans="1:10">
      <c r="A17" s="2">
        <v>2016</v>
      </c>
      <c r="B17" s="3">
        <v>107</v>
      </c>
      <c r="C17" s="3">
        <v>2554813.7112</v>
      </c>
      <c r="D17" s="5">
        <v>1.150704094130154</v>
      </c>
      <c r="E17" s="6">
        <v>0.1309668531631282</v>
      </c>
      <c r="F17" s="3">
        <v>334595.9121738769</v>
      </c>
      <c r="G17" s="3">
        <v>2506323.643367999</v>
      </c>
      <c r="H17" s="3">
        <v>2840919.555541876</v>
      </c>
      <c r="I17" s="3">
        <v>334595.912173877</v>
      </c>
      <c r="J17" s="3">
        <v>334595.912173877</v>
      </c>
    </row>
    <row r="18" spans="1:10">
      <c r="A18" s="2">
        <v>2017</v>
      </c>
      <c r="B18" s="3">
        <v>95</v>
      </c>
      <c r="C18" s="3">
        <v>2605909.9854</v>
      </c>
      <c r="D18" s="5">
        <v>1.168194796360933</v>
      </c>
      <c r="E18" s="6">
        <v>0.1439783817603706</v>
      </c>
      <c r="F18" s="3">
        <v>375194.7027110829</v>
      </c>
      <c r="G18" s="3">
        <v>1205811.828916</v>
      </c>
      <c r="H18" s="3">
        <v>1581006.531627083</v>
      </c>
      <c r="I18" s="3">
        <v>375194.702711083</v>
      </c>
      <c r="J18" s="3">
        <v>375194.702711083</v>
      </c>
    </row>
    <row r="19" spans="1:10">
      <c r="A19" s="2">
        <v>2018</v>
      </c>
      <c r="B19" s="3">
        <v>83</v>
      </c>
      <c r="C19" s="3">
        <v>2215023.4875</v>
      </c>
      <c r="D19" s="5">
        <v>1.186068176745255</v>
      </c>
      <c r="E19" s="6">
        <v>0.1568781461246632</v>
      </c>
      <c r="F19" s="3">
        <v>347488.7783415861</v>
      </c>
      <c r="G19" s="3">
        <v>2395448.423304001</v>
      </c>
      <c r="H19" s="3">
        <v>2742937.201645587</v>
      </c>
      <c r="I19" s="3">
        <v>347488.7783415862</v>
      </c>
      <c r="J19" s="3">
        <v>347488.7783415862</v>
      </c>
    </row>
    <row r="20" spans="1:10">
      <c r="A20" s="2">
        <v>2019</v>
      </c>
      <c r="B20" s="3">
        <v>71</v>
      </c>
      <c r="C20" s="3">
        <v>2259323.9575</v>
      </c>
      <c r="D20" s="5">
        <v>1.230189912920178</v>
      </c>
      <c r="E20" s="6">
        <v>0.187117379603416</v>
      </c>
      <c r="F20" s="3">
        <v>422758.7786026197</v>
      </c>
      <c r="G20" s="3">
        <v>2599882.874291999</v>
      </c>
      <c r="H20" s="3">
        <v>3022641.652894619</v>
      </c>
      <c r="I20" s="3">
        <v>422758.7786026197</v>
      </c>
      <c r="J20" s="3">
        <v>422758.7786026197</v>
      </c>
    </row>
    <row r="21" spans="1:10">
      <c r="A21" s="2">
        <v>2020</v>
      </c>
      <c r="B21" s="3">
        <v>59</v>
      </c>
      <c r="C21" s="3">
        <v>1843608.3492</v>
      </c>
      <c r="D21" s="5">
        <v>1.300187718965336</v>
      </c>
      <c r="E21" s="6">
        <v>0.2308802910430655</v>
      </c>
      <c r="F21" s="3">
        <v>425652.8322327216</v>
      </c>
      <c r="G21" s="3">
        <v>978899.5094679999</v>
      </c>
      <c r="H21" s="3">
        <v>1404552.341700722</v>
      </c>
      <c r="I21" s="3">
        <v>425652.8322327216</v>
      </c>
      <c r="J21" s="3">
        <v>425652.8322327216</v>
      </c>
    </row>
    <row r="22" spans="1:10">
      <c r="A22" s="2">
        <v>2021</v>
      </c>
      <c r="B22" s="3">
        <v>47</v>
      </c>
      <c r="C22" s="3">
        <v>1410360.3873</v>
      </c>
      <c r="D22" s="5">
        <v>1.366757330176361</v>
      </c>
      <c r="E22" s="6">
        <v>0.2683412205508613</v>
      </c>
      <c r="F22" s="3">
        <v>378457.8277446675</v>
      </c>
      <c r="G22" s="3">
        <v>1011313.279736</v>
      </c>
      <c r="H22" s="3">
        <v>1389771.107480668</v>
      </c>
      <c r="I22" s="3">
        <v>378457.8277446675</v>
      </c>
      <c r="J22" s="3">
        <v>378457.8277446675</v>
      </c>
    </row>
    <row r="23" spans="1:10">
      <c r="A23" s="2">
        <v>2022</v>
      </c>
      <c r="B23" s="3">
        <v>35</v>
      </c>
      <c r="C23" s="3">
        <v>959045.0632000001</v>
      </c>
      <c r="D23" s="5">
        <v>1.572727659833939</v>
      </c>
      <c r="E23" s="6">
        <v>0.3641620062143576</v>
      </c>
      <c r="F23" s="3">
        <v>349247.7742648874</v>
      </c>
      <c r="G23" s="3">
        <v>827416.1066440007</v>
      </c>
      <c r="H23" s="3">
        <v>1176663.880908888</v>
      </c>
      <c r="I23" s="3">
        <v>349247.7742648873</v>
      </c>
      <c r="J23" s="3">
        <v>349247.7742648873</v>
      </c>
    </row>
    <row r="24" spans="1:10">
      <c r="A24" s="2">
        <v>2023</v>
      </c>
      <c r="B24" s="3">
        <v>23</v>
      </c>
      <c r="C24" s="3">
        <v>978225.9646000001</v>
      </c>
      <c r="D24" s="5">
        <v>1.874062279458122</v>
      </c>
      <c r="E24" s="6">
        <v>0.4663998038052682</v>
      </c>
      <c r="F24" s="3">
        <v>456244.3979666593</v>
      </c>
      <c r="G24" s="3">
        <v>1651756.674352</v>
      </c>
      <c r="H24" s="3">
        <v>2108001.072318659</v>
      </c>
      <c r="I24" s="3">
        <v>456244.3979666594</v>
      </c>
      <c r="J24" s="3">
        <v>456244.3979666594</v>
      </c>
    </row>
    <row r="25" spans="1:10">
      <c r="A25" s="2">
        <v>2024</v>
      </c>
      <c r="B25" s="3">
        <v>11</v>
      </c>
      <c r="C25" s="3">
        <v>997790.4837999999</v>
      </c>
      <c r="D25" s="5">
        <v>2.837330291099596</v>
      </c>
      <c r="E25" s="6">
        <v>0.6475560130814189</v>
      </c>
      <c r="F25" s="3">
        <v>646125.227580108</v>
      </c>
      <c r="G25" s="3">
        <v>890155.221828</v>
      </c>
      <c r="H25" s="3">
        <v>1536280.449408108</v>
      </c>
      <c r="I25" s="3">
        <v>646125.2275801079</v>
      </c>
      <c r="J25" s="3">
        <v>646125.2275801079</v>
      </c>
    </row>
    <row r="27" spans="1:10">
      <c r="A27" s="4" t="s">
        <v>37</v>
      </c>
      <c r="C27" s="3">
        <v>46003886.822088</v>
      </c>
      <c r="E27" s="6">
        <v>0.1142490081647051</v>
      </c>
      <c r="F27" s="3">
        <v>5255898.4411449</v>
      </c>
      <c r="G27" s="3">
        <v>43616394.859456</v>
      </c>
      <c r="H27" s="3">
        <v>48872293.3006009</v>
      </c>
      <c r="I27" s="3">
        <v>5255898.441144899</v>
      </c>
      <c r="J27" s="3">
        <v>5255898.441144899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27"/>
  <sheetViews>
    <sheetView workbookViewId="0">
      <pane ySplit="1" topLeftCell="A2" activePane="bottomLeft" state="frozen"/>
      <selection pane="bottomLeft"/>
    </sheetView>
  </sheetViews>
  <sheetFormatPr defaultRowHeight="15"/>
  <cols>
    <col min="1" max="10" width="18.7109375" customWidth="1"/>
  </cols>
  <sheetData>
    <row r="1" spans="1:10">
      <c r="A1" s="1" t="s">
        <v>0</v>
      </c>
      <c r="B1" s="1" t="s">
        <v>1</v>
      </c>
      <c r="C1" s="1" t="s">
        <v>6</v>
      </c>
      <c r="D1" s="1" t="s">
        <v>38</v>
      </c>
      <c r="E1" s="1" t="s">
        <v>40</v>
      </c>
      <c r="F1" s="1" t="s">
        <v>41</v>
      </c>
      <c r="G1" s="1" t="s">
        <v>3</v>
      </c>
      <c r="H1" s="1" t="s">
        <v>39</v>
      </c>
      <c r="I1" s="1" t="s">
        <v>10</v>
      </c>
      <c r="J1" s="1" t="s">
        <v>11</v>
      </c>
    </row>
    <row r="2" spans="1:10">
      <c r="A2" s="2">
        <v>2001</v>
      </c>
      <c r="B2" s="3">
        <v>287</v>
      </c>
      <c r="C2" s="3">
        <v>3163773.699688</v>
      </c>
      <c r="D2" s="5">
        <v>1.0039</v>
      </c>
      <c r="E2" s="6">
        <v>0.003884849088554687</v>
      </c>
      <c r="F2" s="3">
        <v>12290.78337362622</v>
      </c>
      <c r="G2" s="3">
        <v>3042294.662276</v>
      </c>
      <c r="H2" s="3">
        <v>3054585.445649627</v>
      </c>
      <c r="I2" s="3">
        <v>12290.78337362641</v>
      </c>
      <c r="J2" s="3">
        <v>12290.78337362641</v>
      </c>
    </row>
    <row r="3" spans="1:10">
      <c r="A3" s="2">
        <v>2002</v>
      </c>
      <c r="B3" s="3">
        <v>275</v>
      </c>
      <c r="C3" s="3">
        <v>2904344.256599999</v>
      </c>
      <c r="D3" s="5">
        <v>1.00781521</v>
      </c>
      <c r="E3" s="6">
        <v>0.007754606124668384</v>
      </c>
      <c r="F3" s="3">
        <v>22522.0457603758</v>
      </c>
      <c r="G3" s="3">
        <v>2199646.228088</v>
      </c>
      <c r="H3" s="3">
        <v>2222168.273848376</v>
      </c>
      <c r="I3" s="3">
        <v>22522.04576037591</v>
      </c>
      <c r="J3" s="3">
        <v>22522.04576037591</v>
      </c>
    </row>
    <row r="4" spans="1:10">
      <c r="A4" s="2">
        <v>2003</v>
      </c>
      <c r="B4" s="3">
        <v>263</v>
      </c>
      <c r="C4" s="3">
        <v>2633272.1256</v>
      </c>
      <c r="D4" s="5">
        <v>1.015474605596</v>
      </c>
      <c r="E4" s="6">
        <v>0.01523879131070704</v>
      </c>
      <c r="F4" s="3">
        <v>40127.88438632035</v>
      </c>
      <c r="G4" s="3">
        <v>1778091.575843999</v>
      </c>
      <c r="H4" s="3">
        <v>1818219.46023032</v>
      </c>
      <c r="I4" s="3">
        <v>40127.88438632037</v>
      </c>
      <c r="J4" s="3">
        <v>40127.88438632037</v>
      </c>
    </row>
    <row r="5" spans="1:10">
      <c r="A5" s="2">
        <v>2004</v>
      </c>
      <c r="B5" s="3">
        <v>251</v>
      </c>
      <c r="C5" s="3">
        <v>1678710.98</v>
      </c>
      <c r="D5" s="5">
        <v>1.02298911767741</v>
      </c>
      <c r="E5" s="6">
        <v>0.02247249484882574</v>
      </c>
      <c r="F5" s="3">
        <v>37724.82385071721</v>
      </c>
      <c r="G5" s="3">
        <v>1122614.7306</v>
      </c>
      <c r="H5" s="3">
        <v>1160339.554450718</v>
      </c>
      <c r="I5" s="3">
        <v>37724.82385071716</v>
      </c>
      <c r="J5" s="3">
        <v>37724.82385071716</v>
      </c>
    </row>
    <row r="6" spans="1:10">
      <c r="A6" s="2">
        <v>2005</v>
      </c>
      <c r="B6" s="3">
        <v>239</v>
      </c>
      <c r="C6" s="3">
        <v>1712285.2</v>
      </c>
      <c r="D6" s="5">
        <v>1.026774177412817</v>
      </c>
      <c r="E6" s="6">
        <v>0.02607601359851142</v>
      </c>
      <c r="F6" s="3">
        <v>44649.57215972984</v>
      </c>
      <c r="G6" s="3">
        <v>2242149.132116</v>
      </c>
      <c r="H6" s="3">
        <v>2286798.70427573</v>
      </c>
      <c r="I6" s="3">
        <v>44649.5721597299</v>
      </c>
      <c r="J6" s="3">
        <v>44649.5721597299</v>
      </c>
    </row>
    <row r="7" spans="1:10">
      <c r="A7" s="2">
        <v>2006</v>
      </c>
      <c r="B7" s="3">
        <v>227</v>
      </c>
      <c r="C7" s="3">
        <v>1746530.9035</v>
      </c>
      <c r="D7" s="5">
        <v>1.026774177412817</v>
      </c>
      <c r="E7" s="6">
        <v>0.02607601359851142</v>
      </c>
      <c r="F7" s="3">
        <v>45542.56358988643</v>
      </c>
      <c r="G7" s="3">
        <v>1462141.027856</v>
      </c>
      <c r="H7" s="3">
        <v>1507683.591445887</v>
      </c>
      <c r="I7" s="3">
        <v>45542.56358988653</v>
      </c>
      <c r="J7" s="3">
        <v>45542.56358988653</v>
      </c>
    </row>
    <row r="8" spans="1:10">
      <c r="A8" s="2">
        <v>2007</v>
      </c>
      <c r="B8" s="3">
        <v>215</v>
      </c>
      <c r="C8" s="3">
        <v>2850338.4352</v>
      </c>
      <c r="D8" s="5">
        <v>1.02862237093216</v>
      </c>
      <c r="E8" s="6">
        <v>0.02782592693003727</v>
      </c>
      <c r="F8" s="3">
        <v>79313.30902375196</v>
      </c>
      <c r="G8" s="3">
        <v>4790693.153152</v>
      </c>
      <c r="H8" s="3">
        <v>4870006.462175752</v>
      </c>
      <c r="I8" s="3">
        <v>79313.30902375188</v>
      </c>
      <c r="J8" s="3">
        <v>79313.30902375188</v>
      </c>
    </row>
    <row r="9" spans="1:10">
      <c r="A9" s="2">
        <v>2008</v>
      </c>
      <c r="B9" s="3">
        <v>203</v>
      </c>
      <c r="C9" s="3">
        <v>2543927.0535</v>
      </c>
      <c r="D9" s="5">
        <v>1.029856717777279</v>
      </c>
      <c r="E9" s="6">
        <v>0.0289911375649593</v>
      </c>
      <c r="F9" s="3">
        <v>73751.33916324007</v>
      </c>
      <c r="G9" s="3">
        <v>1378427.939547998</v>
      </c>
      <c r="H9" s="3">
        <v>1452179.278711238</v>
      </c>
      <c r="I9" s="3">
        <v>73751.33916324005</v>
      </c>
      <c r="J9" s="3">
        <v>73751.33916324005</v>
      </c>
    </row>
    <row r="10" spans="1:10">
      <c r="A10" s="2">
        <v>2009</v>
      </c>
      <c r="B10" s="3">
        <v>191</v>
      </c>
      <c r="C10" s="3">
        <v>2594805.5945</v>
      </c>
      <c r="D10" s="5">
        <v>1.046025468246382</v>
      </c>
      <c r="E10" s="6">
        <v>0.04400033234710976</v>
      </c>
      <c r="F10" s="3">
        <v>114172.3085341397</v>
      </c>
      <c r="G10" s="3">
        <v>1169581.089256</v>
      </c>
      <c r="H10" s="3">
        <v>1283753.39779014</v>
      </c>
      <c r="I10" s="3">
        <v>114172.3085341398</v>
      </c>
      <c r="J10" s="3">
        <v>114172.3085341398</v>
      </c>
    </row>
    <row r="11" spans="1:10">
      <c r="A11" s="2">
        <v>2010</v>
      </c>
      <c r="B11" s="3">
        <v>179</v>
      </c>
      <c r="C11" s="3">
        <v>1134300.7311</v>
      </c>
      <c r="D11" s="5">
        <v>1.052615428696334</v>
      </c>
      <c r="E11" s="6">
        <v>0.04998542417480845</v>
      </c>
      <c r="F11" s="3">
        <v>56698.50318582883</v>
      </c>
      <c r="G11" s="3">
        <v>1277672.072084001</v>
      </c>
      <c r="H11" s="3">
        <v>1334370.575269829</v>
      </c>
      <c r="I11" s="3">
        <v>56698.50318582891</v>
      </c>
      <c r="J11" s="3">
        <v>56698.50318582891</v>
      </c>
    </row>
    <row r="12" spans="1:10">
      <c r="A12" s="2">
        <v>2011</v>
      </c>
      <c r="B12" s="3">
        <v>167</v>
      </c>
      <c r="C12" s="3">
        <v>1542648.9944</v>
      </c>
      <c r="D12" s="5">
        <v>1.057352198125467</v>
      </c>
      <c r="E12" s="6">
        <v>0.05424133815311927</v>
      </c>
      <c r="F12" s="3">
        <v>83675.34575681981</v>
      </c>
      <c r="G12" s="3">
        <v>1892658.297732</v>
      </c>
      <c r="H12" s="3">
        <v>1976333.643488819</v>
      </c>
      <c r="I12" s="3">
        <v>83675.3457568197</v>
      </c>
      <c r="J12" s="3">
        <v>83675.3457568197</v>
      </c>
    </row>
    <row r="13" spans="1:10">
      <c r="A13" s="2">
        <v>2012</v>
      </c>
      <c r="B13" s="3">
        <v>155</v>
      </c>
      <c r="C13" s="3">
        <v>1573501.9744</v>
      </c>
      <c r="D13" s="5">
        <v>1.059149696862281</v>
      </c>
      <c r="E13" s="6">
        <v>0.05584639927435275</v>
      </c>
      <c r="F13" s="3">
        <v>87874.4195213248</v>
      </c>
      <c r="G13" s="3">
        <v>1194236.878339999</v>
      </c>
      <c r="H13" s="3">
        <v>1282111.297861324</v>
      </c>
      <c r="I13" s="3">
        <v>87874.4195213248</v>
      </c>
      <c r="J13" s="3">
        <v>87874.4195213248</v>
      </c>
    </row>
    <row r="14" spans="1:10">
      <c r="A14" s="2">
        <v>2013</v>
      </c>
      <c r="B14" s="3">
        <v>143</v>
      </c>
      <c r="C14" s="3">
        <v>1203729.0102</v>
      </c>
      <c r="D14" s="5">
        <v>1.076837496799881</v>
      </c>
      <c r="E14" s="6">
        <v>0.07135477453954231</v>
      </c>
      <c r="F14" s="3">
        <v>85891.81212952742</v>
      </c>
      <c r="G14" s="3">
        <v>708529.9908599999</v>
      </c>
      <c r="H14" s="3">
        <v>794421.8029895274</v>
      </c>
      <c r="I14" s="3">
        <v>85891.81212952745</v>
      </c>
      <c r="J14" s="3">
        <v>85891.81212952745</v>
      </c>
    </row>
    <row r="15" spans="1:10">
      <c r="A15" s="2">
        <v>2014</v>
      </c>
      <c r="B15" s="3">
        <v>131</v>
      </c>
      <c r="C15" s="3">
        <v>1227803.5905</v>
      </c>
      <c r="D15" s="5">
        <v>1.095466785494519</v>
      </c>
      <c r="E15" s="6">
        <v>0.08714712920430778</v>
      </c>
      <c r="F15" s="3">
        <v>106999.5581388165</v>
      </c>
      <c r="G15" s="3">
        <v>1389603.684732</v>
      </c>
      <c r="H15" s="3">
        <v>1496603.242870816</v>
      </c>
      <c r="I15" s="3">
        <v>106999.5581388164</v>
      </c>
      <c r="J15" s="3">
        <v>106999.5581388164</v>
      </c>
    </row>
    <row r="16" spans="1:10">
      <c r="A16" s="2">
        <v>2015</v>
      </c>
      <c r="B16" s="3">
        <v>119</v>
      </c>
      <c r="C16" s="3">
        <v>1669812.8832</v>
      </c>
      <c r="D16" s="5">
        <v>1.100286839350694</v>
      </c>
      <c r="E16" s="6">
        <v>0.09114608642404198</v>
      </c>
      <c r="F16" s="3">
        <v>152196.9093641259</v>
      </c>
      <c r="G16" s="3">
        <v>3364231.298548001</v>
      </c>
      <c r="H16" s="3">
        <v>3516428.207912127</v>
      </c>
      <c r="I16" s="3">
        <v>152196.9093641262</v>
      </c>
      <c r="J16" s="3">
        <v>152196.9093641262</v>
      </c>
    </row>
    <row r="17" spans="1:10">
      <c r="A17" s="2">
        <v>2016</v>
      </c>
      <c r="B17" s="3">
        <v>107</v>
      </c>
      <c r="C17" s="3">
        <v>2554813.7112</v>
      </c>
      <c r="D17" s="5">
        <v>1.127353895598721</v>
      </c>
      <c r="E17" s="6">
        <v>0.1129670958657446</v>
      </c>
      <c r="F17" s="3">
        <v>288609.8854322491</v>
      </c>
      <c r="G17" s="3">
        <v>2462208.676391999</v>
      </c>
      <c r="H17" s="3">
        <v>2750818.561824248</v>
      </c>
      <c r="I17" s="3">
        <v>288609.8854322489</v>
      </c>
      <c r="J17" s="3">
        <v>288609.8854322489</v>
      </c>
    </row>
    <row r="18" spans="1:10">
      <c r="A18" s="2">
        <v>2017</v>
      </c>
      <c r="B18" s="3">
        <v>95</v>
      </c>
      <c r="C18" s="3">
        <v>2605909.9854</v>
      </c>
      <c r="D18" s="5">
        <v>1.144264204032702</v>
      </c>
      <c r="E18" s="6">
        <v>0.126075956517975</v>
      </c>
      <c r="F18" s="3">
        <v>328542.5940090473</v>
      </c>
      <c r="G18" s="3">
        <v>1205811.828916</v>
      </c>
      <c r="H18" s="3">
        <v>1534354.422925048</v>
      </c>
      <c r="I18" s="3">
        <v>328542.5940090471</v>
      </c>
      <c r="J18" s="3">
        <v>328542.5940090471</v>
      </c>
    </row>
    <row r="19" spans="1:10">
      <c r="A19" s="2">
        <v>2018</v>
      </c>
      <c r="B19" s="3">
        <v>83</v>
      </c>
      <c r="C19" s="3">
        <v>2215023.4875</v>
      </c>
      <c r="D19" s="5">
        <v>1.167492767374566</v>
      </c>
      <c r="E19" s="6">
        <v>0.1434636445339361</v>
      </c>
      <c r="F19" s="3">
        <v>317775.3422450194</v>
      </c>
      <c r="G19" s="3">
        <v>2395448.423304001</v>
      </c>
      <c r="H19" s="3">
        <v>2713223.76554902</v>
      </c>
      <c r="I19" s="3">
        <v>317775.3422450195</v>
      </c>
      <c r="J19" s="3">
        <v>317775.3422450195</v>
      </c>
    </row>
    <row r="20" spans="1:10">
      <c r="A20" s="2">
        <v>2019</v>
      </c>
      <c r="B20" s="3">
        <v>71</v>
      </c>
      <c r="C20" s="3">
        <v>2259323.9575</v>
      </c>
      <c r="D20" s="5">
        <v>1.241044811719164</v>
      </c>
      <c r="E20" s="6">
        <v>0.1942273231739756</v>
      </c>
      <c r="F20" s="3">
        <v>438822.4444480581</v>
      </c>
      <c r="G20" s="3">
        <v>2395189.834488001</v>
      </c>
      <c r="H20" s="3">
        <v>2834012.278936059</v>
      </c>
      <c r="I20" s="3">
        <v>438822.444448058</v>
      </c>
      <c r="J20" s="3">
        <v>438822.444448058</v>
      </c>
    </row>
    <row r="21" spans="1:10">
      <c r="A21" s="2">
        <v>2020</v>
      </c>
      <c r="B21" s="3">
        <v>59</v>
      </c>
      <c r="C21" s="3">
        <v>1843608.3492</v>
      </c>
      <c r="D21" s="5">
        <v>1.374705337941317</v>
      </c>
      <c r="E21" s="6">
        <v>0.2725713850085542</v>
      </c>
      <c r="F21" s="3">
        <v>502514.8811547782</v>
      </c>
      <c r="G21" s="3">
        <v>976050.8625559999</v>
      </c>
      <c r="H21" s="3">
        <v>1478565.743710778</v>
      </c>
      <c r="I21" s="3">
        <v>502514.8811547783</v>
      </c>
      <c r="J21" s="3">
        <v>502514.8811547783</v>
      </c>
    </row>
    <row r="22" spans="1:10">
      <c r="A22" s="2">
        <v>2021</v>
      </c>
      <c r="B22" s="3">
        <v>47</v>
      </c>
      <c r="C22" s="3">
        <v>1410360.3873</v>
      </c>
      <c r="D22" s="5">
        <v>1.47560870974621</v>
      </c>
      <c r="E22" s="6">
        <v>0.3223135690409485</v>
      </c>
      <c r="F22" s="3">
        <v>454578.2900646375</v>
      </c>
      <c r="G22" s="3">
        <v>974979.4133360002</v>
      </c>
      <c r="H22" s="3">
        <v>1429557.703400638</v>
      </c>
      <c r="I22" s="3">
        <v>454578.2900646375</v>
      </c>
      <c r="J22" s="3">
        <v>454578.2900646375</v>
      </c>
    </row>
    <row r="23" spans="1:10">
      <c r="A23" s="2">
        <v>2022</v>
      </c>
      <c r="B23" s="3">
        <v>35</v>
      </c>
      <c r="C23" s="3">
        <v>959045.0632000001</v>
      </c>
      <c r="D23" s="5">
        <v>1.750662173242904</v>
      </c>
      <c r="E23" s="6">
        <v>0.4287875666225123</v>
      </c>
      <c r="F23" s="3">
        <v>411226.5989308615</v>
      </c>
      <c r="G23" s="3">
        <v>791103.7101360001</v>
      </c>
      <c r="H23" s="3">
        <v>1202330.309066862</v>
      </c>
      <c r="I23" s="3">
        <v>411226.5989308616</v>
      </c>
      <c r="J23" s="3">
        <v>411226.5989308616</v>
      </c>
    </row>
    <row r="24" spans="1:10">
      <c r="A24" s="2">
        <v>2023</v>
      </c>
      <c r="B24" s="3">
        <v>23</v>
      </c>
      <c r="C24" s="3">
        <v>978225.9646000001</v>
      </c>
      <c r="D24" s="5">
        <v>2.490141875220706</v>
      </c>
      <c r="E24" s="6">
        <v>0.5984164557244884</v>
      </c>
      <c r="F24" s="3">
        <v>585386.5146336009</v>
      </c>
      <c r="G24" s="3">
        <v>1199242.068356001</v>
      </c>
      <c r="H24" s="3">
        <v>1784628.582989602</v>
      </c>
      <c r="I24" s="3">
        <v>585386.5146336008</v>
      </c>
      <c r="J24" s="3">
        <v>585386.5146336008</v>
      </c>
    </row>
    <row r="25" spans="1:10">
      <c r="A25" s="2">
        <v>2024</v>
      </c>
      <c r="B25" s="3">
        <v>11</v>
      </c>
      <c r="C25" s="3">
        <v>997790.4837999999</v>
      </c>
      <c r="D25" s="5">
        <v>6.356087136500853</v>
      </c>
      <c r="E25" s="6">
        <v>0.8426705017529827</v>
      </c>
      <c r="F25" s="3">
        <v>840808.6076280973</v>
      </c>
      <c r="G25" s="3">
        <v>355247.7609319999</v>
      </c>
      <c r="H25" s="3">
        <v>1196056.368560097</v>
      </c>
      <c r="I25" s="3">
        <v>840808.6076280973</v>
      </c>
      <c r="J25" s="3">
        <v>840808.6076280973</v>
      </c>
    </row>
    <row r="27" spans="1:10">
      <c r="A27" s="4" t="s">
        <v>37</v>
      </c>
      <c r="C27" s="3">
        <v>46003886.822088</v>
      </c>
      <c r="E27" s="6">
        <v>0.1132881740327704</v>
      </c>
      <c r="F27" s="3">
        <v>5211696.33648458</v>
      </c>
      <c r="G27" s="3">
        <v>41767854.339448</v>
      </c>
      <c r="H27" s="3">
        <v>46979550.67593259</v>
      </c>
      <c r="I27" s="3">
        <v>5211696.336484581</v>
      </c>
      <c r="J27" s="3">
        <v>5211696.336484581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25"/>
  <sheetViews>
    <sheetView workbookViewId="0">
      <pane ySplit="1" topLeftCell="A2" activePane="bottomLeft" state="frozen"/>
      <selection pane="bottomLeft"/>
    </sheetView>
  </sheetViews>
  <sheetFormatPr defaultRowHeight="15"/>
  <cols>
    <col min="1" max="5" width="18.7109375" customWidth="1"/>
  </cols>
  <sheetData>
    <row r="1" spans="1:5">
      <c r="A1" s="1" t="s">
        <v>0</v>
      </c>
      <c r="B1" s="1" t="s">
        <v>1</v>
      </c>
      <c r="C1" s="1" t="s">
        <v>42</v>
      </c>
      <c r="D1" s="1" t="s">
        <v>43</v>
      </c>
      <c r="E1" s="1" t="s">
        <v>44</v>
      </c>
    </row>
    <row r="2" spans="1:5">
      <c r="A2" s="2">
        <v>2001</v>
      </c>
      <c r="B2" s="3">
        <v>287</v>
      </c>
      <c r="C2" s="3"/>
      <c r="D2" s="3">
        <v>3163773.699688</v>
      </c>
      <c r="E2" s="5"/>
    </row>
    <row r="3" spans="1:5">
      <c r="A3" s="2">
        <v>2002</v>
      </c>
      <c r="B3" s="3">
        <v>275</v>
      </c>
      <c r="C3" s="3"/>
      <c r="D3" s="3">
        <v>2904344.256599999</v>
      </c>
      <c r="E3" s="5"/>
    </row>
    <row r="4" spans="1:5">
      <c r="A4" s="2">
        <v>2003</v>
      </c>
      <c r="B4" s="3">
        <v>263</v>
      </c>
      <c r="C4" s="3"/>
      <c r="D4" s="3">
        <v>2633272.1256</v>
      </c>
      <c r="E4" s="5"/>
    </row>
    <row r="5" spans="1:5">
      <c r="A5" s="2">
        <v>2004</v>
      </c>
      <c r="B5" s="3">
        <v>251</v>
      </c>
      <c r="C5" s="3"/>
      <c r="D5" s="3">
        <v>1678710.98</v>
      </c>
      <c r="E5" s="5"/>
    </row>
    <row r="6" spans="1:5">
      <c r="A6" s="2">
        <v>2005</v>
      </c>
      <c r="B6" s="3">
        <v>239</v>
      </c>
      <c r="C6" s="3"/>
      <c r="D6" s="3">
        <v>1712285.2</v>
      </c>
      <c r="E6" s="5"/>
    </row>
    <row r="7" spans="1:5">
      <c r="A7" s="2">
        <v>2006</v>
      </c>
      <c r="B7" s="3">
        <v>227</v>
      </c>
      <c r="C7" s="3"/>
      <c r="D7" s="3">
        <v>1746530.9035</v>
      </c>
      <c r="E7" s="5"/>
    </row>
    <row r="8" spans="1:5">
      <c r="A8" s="2">
        <v>2007</v>
      </c>
      <c r="B8" s="3">
        <v>215</v>
      </c>
      <c r="C8" s="3"/>
      <c r="D8" s="3">
        <v>2850338.4352</v>
      </c>
      <c r="E8" s="5"/>
    </row>
    <row r="9" spans="1:5">
      <c r="A9" s="2">
        <v>2008</v>
      </c>
      <c r="B9" s="3">
        <v>203</v>
      </c>
      <c r="C9" s="3"/>
      <c r="D9" s="3">
        <v>2543927.0535</v>
      </c>
      <c r="E9" s="5"/>
    </row>
    <row r="10" spans="1:5">
      <c r="A10" s="2">
        <v>2009</v>
      </c>
      <c r="B10" s="3">
        <v>191</v>
      </c>
      <c r="C10" s="3"/>
      <c r="D10" s="3">
        <v>2594805.5945</v>
      </c>
      <c r="E10" s="5"/>
    </row>
    <row r="11" spans="1:5">
      <c r="A11" s="2">
        <v>2010</v>
      </c>
      <c r="B11" s="3">
        <v>179</v>
      </c>
      <c r="C11" s="3"/>
      <c r="D11" s="3">
        <v>1134300.7311</v>
      </c>
      <c r="E11" s="5"/>
    </row>
    <row r="12" spans="1:5">
      <c r="A12" s="2">
        <v>2011</v>
      </c>
      <c r="B12" s="3">
        <v>167</v>
      </c>
      <c r="C12" s="3"/>
      <c r="D12" s="3">
        <v>1542648.9944</v>
      </c>
      <c r="E12" s="5"/>
    </row>
    <row r="13" spans="1:5">
      <c r="A13" s="2">
        <v>2012</v>
      </c>
      <c r="B13" s="3">
        <v>155</v>
      </c>
      <c r="C13" s="3"/>
      <c r="D13" s="3">
        <v>1573501.9744</v>
      </c>
      <c r="E13" s="5"/>
    </row>
    <row r="14" spans="1:5">
      <c r="A14" s="2">
        <v>2013</v>
      </c>
      <c r="B14" s="3">
        <v>143</v>
      </c>
      <c r="C14" s="3"/>
      <c r="D14" s="3">
        <v>1203729.0102</v>
      </c>
      <c r="E14" s="5"/>
    </row>
    <row r="15" spans="1:5">
      <c r="A15" s="2">
        <v>2014</v>
      </c>
      <c r="B15" s="3">
        <v>131</v>
      </c>
      <c r="C15" s="3"/>
      <c r="D15" s="3">
        <v>1227803.5905</v>
      </c>
      <c r="E15" s="5"/>
    </row>
    <row r="16" spans="1:5">
      <c r="A16" s="2">
        <v>2015</v>
      </c>
      <c r="B16" s="3">
        <v>119</v>
      </c>
      <c r="C16" s="3"/>
      <c r="D16" s="3">
        <v>1669812.8832</v>
      </c>
      <c r="E16" s="5"/>
    </row>
    <row r="17" spans="1:5">
      <c r="A17" s="2">
        <v>2016</v>
      </c>
      <c r="B17" s="3">
        <v>107</v>
      </c>
      <c r="C17" s="3"/>
      <c r="D17" s="3">
        <v>2554813.7112</v>
      </c>
      <c r="E17" s="5"/>
    </row>
    <row r="18" spans="1:5">
      <c r="A18" s="2">
        <v>2017</v>
      </c>
      <c r="B18" s="3">
        <v>95</v>
      </c>
      <c r="C18" s="3"/>
      <c r="D18" s="3">
        <v>2605909.9854</v>
      </c>
      <c r="E18" s="5"/>
    </row>
    <row r="19" spans="1:5">
      <c r="A19" s="2">
        <v>2018</v>
      </c>
      <c r="B19" s="3">
        <v>83</v>
      </c>
      <c r="C19" s="3"/>
      <c r="D19" s="3">
        <v>2215023.4875</v>
      </c>
      <c r="E19" s="5"/>
    </row>
    <row r="20" spans="1:5">
      <c r="A20" s="2">
        <v>2019</v>
      </c>
      <c r="B20" s="3">
        <v>71</v>
      </c>
      <c r="C20" s="3"/>
      <c r="D20" s="3">
        <v>2259323.9575</v>
      </c>
      <c r="E20" s="5"/>
    </row>
    <row r="21" spans="1:5">
      <c r="A21" s="2">
        <v>2020</v>
      </c>
      <c r="B21" s="3">
        <v>59</v>
      </c>
      <c r="C21" s="3"/>
      <c r="D21" s="3">
        <v>1843608.3492</v>
      </c>
      <c r="E21" s="5"/>
    </row>
    <row r="22" spans="1:5">
      <c r="A22" s="2">
        <v>2021</v>
      </c>
      <c r="B22" s="3">
        <v>47</v>
      </c>
      <c r="C22" s="3"/>
      <c r="D22" s="3">
        <v>1410360.3873</v>
      </c>
      <c r="E22" s="5"/>
    </row>
    <row r="23" spans="1:5">
      <c r="A23" s="2">
        <v>2022</v>
      </c>
      <c r="B23" s="3">
        <v>35</v>
      </c>
      <c r="C23" s="3"/>
      <c r="D23" s="3">
        <v>959045.0632000001</v>
      </c>
      <c r="E23" s="5"/>
    </row>
    <row r="24" spans="1:5">
      <c r="A24" s="2">
        <v>2023</v>
      </c>
      <c r="B24" s="3">
        <v>23</v>
      </c>
      <c r="C24" s="3"/>
      <c r="D24" s="3">
        <v>978225.9646000001</v>
      </c>
      <c r="E24" s="5"/>
    </row>
    <row r="25" spans="1:5">
      <c r="A25" s="2">
        <v>2024</v>
      </c>
      <c r="B25" s="3">
        <v>11</v>
      </c>
      <c r="C25" s="3"/>
      <c r="D25" s="3">
        <v>997790.4837999999</v>
      </c>
      <c r="E25"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27"/>
  <sheetViews>
    <sheetView workbookViewId="0">
      <pane ySplit="1" topLeftCell="A2" activePane="bottomLeft" state="frozen"/>
      <selection pane="bottomLeft"/>
    </sheetView>
  </sheetViews>
  <sheetFormatPr defaultRowHeight="15"/>
  <cols>
    <col min="1" max="9" width="18.7109375" customWidth="1"/>
    <col min="10" max="10" width="40.7109375" customWidth="1"/>
  </cols>
  <sheetData>
    <row r="1" spans="1:10">
      <c r="A1" s="1" t="s">
        <v>0</v>
      </c>
      <c r="B1" s="1" t="s">
        <v>1</v>
      </c>
      <c r="C1" s="1" t="s">
        <v>45</v>
      </c>
      <c r="D1" s="1" t="s">
        <v>46</v>
      </c>
      <c r="E1" s="1" t="s">
        <v>6</v>
      </c>
      <c r="F1" s="1" t="s">
        <v>47</v>
      </c>
      <c r="G1" s="1" t="s">
        <v>9</v>
      </c>
      <c r="H1" s="1" t="s">
        <v>10</v>
      </c>
      <c r="I1" s="1" t="s">
        <v>11</v>
      </c>
      <c r="J1" s="1" t="s">
        <v>12</v>
      </c>
    </row>
    <row r="2" spans="1:10">
      <c r="A2" s="2">
        <v>2001</v>
      </c>
      <c r="B2" s="3">
        <v>287</v>
      </c>
      <c r="C2" s="3">
        <v>700.7076000000001</v>
      </c>
      <c r="D2" s="3">
        <v>700.7076000000001</v>
      </c>
      <c r="E2" s="3">
        <v>700.775874480892</v>
      </c>
      <c r="F2" s="3">
        <v>700.7076000000001</v>
      </c>
      <c r="G2" s="3">
        <v>700.71</v>
      </c>
      <c r="H2" s="3">
        <v>0.002399999999965985</v>
      </c>
      <c r="I2" s="3">
        <v>0.002399999999965985</v>
      </c>
      <c r="J2" s="4" t="s">
        <v>48</v>
      </c>
    </row>
    <row r="3" spans="1:10">
      <c r="A3" s="2">
        <v>2002</v>
      </c>
      <c r="B3" s="3">
        <v>275</v>
      </c>
      <c r="C3" s="3">
        <v>651.8824000000001</v>
      </c>
      <c r="D3" s="3">
        <v>651.8824000000001</v>
      </c>
      <c r="E3" s="3">
        <v>683.1663101357999</v>
      </c>
      <c r="F3" s="3">
        <v>651.8824000000001</v>
      </c>
      <c r="G3" s="3">
        <v>651.88</v>
      </c>
      <c r="H3" s="3">
        <v>-0.002400000000079672</v>
      </c>
      <c r="I3" s="3">
        <v>-0.002400000000079672</v>
      </c>
      <c r="J3" s="4" t="s">
        <v>49</v>
      </c>
    </row>
    <row r="4" spans="1:10">
      <c r="A4" s="2">
        <v>2003</v>
      </c>
      <c r="B4" s="3">
        <v>263</v>
      </c>
      <c r="C4" s="3">
        <v>551.5928</v>
      </c>
      <c r="D4" s="3">
        <v>551.5928</v>
      </c>
      <c r="E4" s="3">
        <v>648.4432609290001</v>
      </c>
      <c r="F4" s="3">
        <v>551.5928</v>
      </c>
      <c r="G4" s="3">
        <v>551.59</v>
      </c>
      <c r="H4" s="3">
        <v>-0.002799999999979264</v>
      </c>
      <c r="I4" s="3">
        <v>-0.002799999999979264</v>
      </c>
      <c r="J4" s="4" t="s">
        <v>50</v>
      </c>
    </row>
    <row r="5" spans="1:10">
      <c r="A5" s="2">
        <v>2004</v>
      </c>
      <c r="B5" s="3">
        <v>251</v>
      </c>
      <c r="C5" s="3">
        <v>642.6452</v>
      </c>
      <c r="D5" s="3">
        <v>642.6452</v>
      </c>
      <c r="E5" s="3">
        <v>627.83790652</v>
      </c>
      <c r="F5" s="3">
        <v>642.6452</v>
      </c>
      <c r="G5" s="3">
        <v>642.65</v>
      </c>
      <c r="H5" s="3">
        <v>0.00479999999993197</v>
      </c>
      <c r="I5" s="3">
        <v>0.00479999999993197</v>
      </c>
      <c r="J5" s="4" t="s">
        <v>51</v>
      </c>
    </row>
    <row r="6" spans="1:10">
      <c r="A6" s="2">
        <v>2005</v>
      </c>
      <c r="B6" s="3">
        <v>239</v>
      </c>
      <c r="C6" s="3">
        <v>641.3256</v>
      </c>
      <c r="D6" s="3">
        <v>641.3256</v>
      </c>
      <c r="E6" s="3">
        <v>623.61426984</v>
      </c>
      <c r="F6" s="3">
        <v>641.3256</v>
      </c>
      <c r="G6" s="3">
        <v>641.33</v>
      </c>
      <c r="H6" s="3">
        <v>0.004400000000032378</v>
      </c>
      <c r="I6" s="3">
        <v>0.004400000000032378</v>
      </c>
      <c r="J6" s="4" t="s">
        <v>52</v>
      </c>
    </row>
    <row r="7" spans="1:10">
      <c r="A7" s="2">
        <v>2006</v>
      </c>
      <c r="B7" s="3">
        <v>227</v>
      </c>
      <c r="C7" s="3">
        <v>497.4892</v>
      </c>
      <c r="D7" s="3">
        <v>497.4892</v>
      </c>
      <c r="E7" s="3">
        <v>606.7448358759</v>
      </c>
      <c r="F7" s="3">
        <v>497.4892</v>
      </c>
      <c r="G7" s="3">
        <v>497.49</v>
      </c>
      <c r="H7" s="3">
        <v>0.0007999999999697138</v>
      </c>
      <c r="I7" s="3">
        <v>0.0007999999999697138</v>
      </c>
      <c r="J7" s="4" t="s">
        <v>53</v>
      </c>
    </row>
    <row r="8" spans="1:10">
      <c r="A8" s="2">
        <v>2007</v>
      </c>
      <c r="B8" s="3">
        <v>215</v>
      </c>
      <c r="C8" s="3">
        <v>476.3756</v>
      </c>
      <c r="D8" s="3">
        <v>476.3756</v>
      </c>
      <c r="E8" s="3">
        <v>550.471610298</v>
      </c>
      <c r="F8" s="3">
        <v>476.3756</v>
      </c>
      <c r="G8" s="3">
        <v>476.38</v>
      </c>
      <c r="H8" s="3">
        <v>0.004399999999975535</v>
      </c>
      <c r="I8" s="3">
        <v>0.004399999999975535</v>
      </c>
      <c r="J8" s="4" t="s">
        <v>54</v>
      </c>
    </row>
    <row r="9" spans="1:10">
      <c r="A9" s="2">
        <v>2008</v>
      </c>
      <c r="B9" s="3">
        <v>203</v>
      </c>
      <c r="C9" s="3">
        <v>328.5804000000001</v>
      </c>
      <c r="D9" s="3">
        <v>328.5804000000001</v>
      </c>
      <c r="E9" s="3">
        <v>444.0969799109999</v>
      </c>
      <c r="F9" s="3">
        <v>328.5804000000001</v>
      </c>
      <c r="G9" s="3">
        <v>328.58</v>
      </c>
      <c r="H9" s="3">
        <v>-0.000400000000070122</v>
      </c>
      <c r="I9" s="3">
        <v>-0.000400000000070122</v>
      </c>
      <c r="J9" s="4" t="s">
        <v>55</v>
      </c>
    </row>
    <row r="10" spans="1:10">
      <c r="A10" s="2">
        <v>2009</v>
      </c>
      <c r="B10" s="3">
        <v>191</v>
      </c>
      <c r="C10" s="3">
        <v>321.9824</v>
      </c>
      <c r="D10" s="3">
        <v>321.9824</v>
      </c>
      <c r="E10" s="3">
        <v>384.4019144995</v>
      </c>
      <c r="F10" s="3">
        <v>321.9824</v>
      </c>
      <c r="G10" s="3">
        <v>321.98</v>
      </c>
      <c r="H10" s="3">
        <v>-0.002400000000022828</v>
      </c>
      <c r="I10" s="3">
        <v>-0.002400000000022828</v>
      </c>
      <c r="J10" s="4" t="s">
        <v>56</v>
      </c>
    </row>
    <row r="11" spans="1:10">
      <c r="A11" s="2">
        <v>2010</v>
      </c>
      <c r="B11" s="3">
        <v>179</v>
      </c>
      <c r="C11" s="3">
        <v>271.8376</v>
      </c>
      <c r="D11" s="3">
        <v>271.8376</v>
      </c>
      <c r="E11" s="3">
        <v>314.2013025147</v>
      </c>
      <c r="F11" s="3">
        <v>271.8376</v>
      </c>
      <c r="G11" s="3">
        <v>271.84</v>
      </c>
      <c r="H11" s="3">
        <v>0.002399999999965985</v>
      </c>
      <c r="I11" s="3">
        <v>0.002399999999965985</v>
      </c>
      <c r="J11" s="4" t="s">
        <v>57</v>
      </c>
    </row>
    <row r="12" spans="1:10">
      <c r="A12" s="2">
        <v>2011</v>
      </c>
      <c r="B12" s="3">
        <v>167</v>
      </c>
      <c r="C12" s="3">
        <v>345.7352</v>
      </c>
      <c r="D12" s="3">
        <v>345.7352</v>
      </c>
      <c r="E12" s="3">
        <v>319.3283418408</v>
      </c>
      <c r="F12" s="3">
        <v>345.7352</v>
      </c>
      <c r="G12" s="3">
        <v>345.74</v>
      </c>
      <c r="H12" s="3">
        <v>0.004799999999988813</v>
      </c>
      <c r="I12" s="3">
        <v>0.004799999999988813</v>
      </c>
      <c r="J12" s="4" t="s">
        <v>58</v>
      </c>
    </row>
    <row r="13" spans="1:10">
      <c r="A13" s="2">
        <v>2012</v>
      </c>
      <c r="B13" s="3">
        <v>155</v>
      </c>
      <c r="C13" s="3">
        <v>261.2808</v>
      </c>
      <c r="D13" s="3">
        <v>261.2808</v>
      </c>
      <c r="E13" s="3">
        <v>298.965375136</v>
      </c>
      <c r="F13" s="3">
        <v>261.2808</v>
      </c>
      <c r="G13" s="3">
        <v>261.28</v>
      </c>
      <c r="H13" s="3">
        <v>-0.0008000000000265572</v>
      </c>
      <c r="I13" s="3">
        <v>-0.0008000000000265572</v>
      </c>
      <c r="J13" s="4" t="s">
        <v>59</v>
      </c>
    </row>
    <row r="14" spans="1:10">
      <c r="A14" s="2">
        <v>2013</v>
      </c>
      <c r="B14" s="3">
        <v>143</v>
      </c>
      <c r="C14" s="3">
        <v>291.6316</v>
      </c>
      <c r="D14" s="3">
        <v>291.6316</v>
      </c>
      <c r="E14" s="3">
        <v>305.7471685908</v>
      </c>
      <c r="F14" s="3">
        <v>291.6316</v>
      </c>
      <c r="G14" s="3">
        <v>291.63</v>
      </c>
      <c r="H14" s="3">
        <v>-0.001600000000053114</v>
      </c>
      <c r="I14" s="3">
        <v>-0.001600000000053114</v>
      </c>
      <c r="J14" s="4" t="s">
        <v>60</v>
      </c>
    </row>
    <row r="15" spans="1:10">
      <c r="A15" s="2">
        <v>2014</v>
      </c>
      <c r="B15" s="3">
        <v>131</v>
      </c>
      <c r="C15" s="3">
        <v>455.2620000000001</v>
      </c>
      <c r="D15" s="3">
        <v>455.2620000000001</v>
      </c>
      <c r="E15" s="3">
        <v>341.329398159</v>
      </c>
      <c r="F15" s="3">
        <v>455.2620000000001</v>
      </c>
      <c r="G15" s="3">
        <v>455.26</v>
      </c>
      <c r="H15" s="3">
        <v>-0.002000000000066393</v>
      </c>
      <c r="I15" s="3">
        <v>-0.002000000000066393</v>
      </c>
      <c r="J15" s="4" t="s">
        <v>61</v>
      </c>
    </row>
    <row r="16" spans="1:10">
      <c r="A16" s="2">
        <v>2015</v>
      </c>
      <c r="B16" s="3">
        <v>119</v>
      </c>
      <c r="C16" s="3">
        <v>333.8588</v>
      </c>
      <c r="D16" s="3">
        <v>333.8588</v>
      </c>
      <c r="E16" s="3">
        <v>367.358834304</v>
      </c>
      <c r="F16" s="3">
        <v>333.8588</v>
      </c>
      <c r="G16" s="3">
        <v>333.86</v>
      </c>
      <c r="H16" s="3">
        <v>0.001199999999982992</v>
      </c>
      <c r="I16" s="3">
        <v>0.001199999999982992</v>
      </c>
      <c r="J16" s="4" t="s">
        <v>62</v>
      </c>
    </row>
    <row r="17" spans="1:10">
      <c r="A17" s="2">
        <v>2016</v>
      </c>
      <c r="B17" s="3">
        <v>107</v>
      </c>
      <c r="C17" s="3">
        <v>390.6016</v>
      </c>
      <c r="D17" s="3">
        <v>390.6016</v>
      </c>
      <c r="E17" s="3">
        <v>401.5315549436</v>
      </c>
      <c r="F17" s="3">
        <v>390.6016</v>
      </c>
      <c r="G17" s="3">
        <v>390.6</v>
      </c>
      <c r="H17" s="3">
        <v>-0.001599999999996271</v>
      </c>
      <c r="I17" s="3">
        <v>-0.001599999999996271</v>
      </c>
      <c r="J17" s="4" t="s">
        <v>63</v>
      </c>
    </row>
    <row r="18" spans="1:10">
      <c r="A18" s="2">
        <v>2017</v>
      </c>
      <c r="B18" s="3">
        <v>95</v>
      </c>
      <c r="C18" s="3">
        <v>310.1060000000001</v>
      </c>
      <c r="D18" s="3">
        <v>310.1060000000001</v>
      </c>
      <c r="E18" s="3">
        <v>351.797848029</v>
      </c>
      <c r="F18" s="3">
        <v>310.1060000000001</v>
      </c>
      <c r="G18" s="3">
        <v>310.11</v>
      </c>
      <c r="H18" s="3">
        <v>0.003999999999962256</v>
      </c>
      <c r="I18" s="3">
        <v>0.003999999999962256</v>
      </c>
      <c r="J18" s="4" t="s">
        <v>64</v>
      </c>
    </row>
    <row r="19" spans="1:10">
      <c r="A19" s="2">
        <v>2018</v>
      </c>
      <c r="B19" s="3">
        <v>83</v>
      </c>
      <c r="C19" s="3">
        <v>325.9412</v>
      </c>
      <c r="D19" s="3">
        <v>325.9412</v>
      </c>
      <c r="E19" s="3">
        <v>349.5307063275</v>
      </c>
      <c r="F19" s="3">
        <v>325.9412</v>
      </c>
      <c r="G19" s="3">
        <v>325.94</v>
      </c>
      <c r="H19" s="3">
        <v>-0.001200000000039836</v>
      </c>
      <c r="I19" s="3">
        <v>-0.001200000000039836</v>
      </c>
      <c r="J19" s="4" t="s">
        <v>65</v>
      </c>
    </row>
    <row r="20" spans="1:10">
      <c r="A20" s="2">
        <v>2019</v>
      </c>
      <c r="B20" s="3">
        <v>71</v>
      </c>
      <c r="C20" s="3">
        <v>357.6116</v>
      </c>
      <c r="D20" s="3">
        <v>357.68312232</v>
      </c>
      <c r="E20" s="3">
        <v>337.5429992505</v>
      </c>
      <c r="F20" s="3">
        <v>357.67909510083</v>
      </c>
      <c r="G20" s="3">
        <v>357.68</v>
      </c>
      <c r="H20" s="3">
        <v>0.06839999999999691</v>
      </c>
      <c r="I20" s="3">
        <v>0.06839999999999691</v>
      </c>
      <c r="J20" s="4" t="s">
        <v>66</v>
      </c>
    </row>
    <row r="21" spans="1:10">
      <c r="A21" s="2">
        <v>2020</v>
      </c>
      <c r="B21" s="3">
        <v>59</v>
      </c>
      <c r="C21" s="3">
        <v>370.8076</v>
      </c>
      <c r="D21" s="3">
        <v>370.8817615200001</v>
      </c>
      <c r="E21" s="3">
        <v>358.1209218321</v>
      </c>
      <c r="F21" s="3">
        <v>370.879209862394</v>
      </c>
      <c r="G21" s="3">
        <v>370.88</v>
      </c>
      <c r="H21" s="3">
        <v>0.07239999999995916</v>
      </c>
      <c r="I21" s="3">
        <v>0.07239999999995916</v>
      </c>
      <c r="J21" s="4" t="s">
        <v>67</v>
      </c>
    </row>
    <row r="22" spans="1:10">
      <c r="A22" s="2">
        <v>2021</v>
      </c>
      <c r="B22" s="3">
        <v>47</v>
      </c>
      <c r="C22" s="3">
        <v>329.9</v>
      </c>
      <c r="D22" s="3">
        <v>329.96598</v>
      </c>
      <c r="E22" s="3">
        <v>360.1120188906</v>
      </c>
      <c r="F22" s="3">
        <v>329.9720080021777</v>
      </c>
      <c r="G22" s="3">
        <v>329.97</v>
      </c>
      <c r="H22" s="3">
        <v>0.06999999999999318</v>
      </c>
      <c r="I22" s="3">
        <v>0.06999999999999318</v>
      </c>
      <c r="J22" s="4" t="s">
        <v>68</v>
      </c>
    </row>
    <row r="23" spans="1:10">
      <c r="A23" s="2">
        <v>2022</v>
      </c>
      <c r="B23" s="3">
        <v>35</v>
      </c>
      <c r="C23" s="3">
        <v>298.2296</v>
      </c>
      <c r="D23" s="3">
        <v>298.43839054296</v>
      </c>
      <c r="E23" s="3">
        <v>339.9814749044</v>
      </c>
      <c r="F23" s="3">
        <v>298.467454508639</v>
      </c>
      <c r="G23" s="3">
        <v>298.44</v>
      </c>
      <c r="H23" s="3">
        <v>0.2103999999999928</v>
      </c>
      <c r="I23" s="3">
        <v>0.2103999999999928</v>
      </c>
      <c r="J23" s="4" t="s">
        <v>69</v>
      </c>
    </row>
    <row r="24" spans="1:10">
      <c r="A24" s="2">
        <v>2023</v>
      </c>
      <c r="B24" s="3">
        <v>23</v>
      </c>
      <c r="C24" s="3">
        <v>304.8276</v>
      </c>
      <c r="D24" s="3">
        <v>305.04100980276</v>
      </c>
      <c r="E24" s="3">
        <v>317.4343255127</v>
      </c>
      <c r="F24" s="3">
        <v>305.0496802928784</v>
      </c>
      <c r="G24" s="3">
        <v>305.04</v>
      </c>
      <c r="H24" s="3">
        <v>0.2124000000000024</v>
      </c>
      <c r="I24" s="3">
        <v>0.2124000000000024</v>
      </c>
      <c r="J24" s="4" t="s">
        <v>70</v>
      </c>
    </row>
    <row r="25" spans="1:10">
      <c r="A25" s="2">
        <v>2024</v>
      </c>
      <c r="B25" s="3">
        <v>11</v>
      </c>
      <c r="C25" s="3">
        <v>256.0024</v>
      </c>
      <c r="D25" s="3">
        <v>290.2537837085119</v>
      </c>
      <c r="E25" s="3">
        <v>292.3526117534</v>
      </c>
      <c r="F25" s="3">
        <v>290.5014558104399</v>
      </c>
      <c r="G25" s="3">
        <v>290.25</v>
      </c>
      <c r="H25" s="3">
        <v>34.24759999999998</v>
      </c>
      <c r="I25" s="3">
        <v>34.24759999999998</v>
      </c>
      <c r="J25" s="4" t="s">
        <v>71</v>
      </c>
    </row>
    <row r="27" spans="1:10">
      <c r="A27" s="4" t="s">
        <v>37</v>
      </c>
      <c r="C27" s="3"/>
      <c r="D27" s="3"/>
      <c r="E27" s="3"/>
      <c r="F27" s="3"/>
      <c r="G27" s="3"/>
      <c r="H27" s="3"/>
      <c r="I27" s="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G27"/>
  <sheetViews>
    <sheetView workbookViewId="0">
      <pane ySplit="1" topLeftCell="A2" activePane="bottomLeft" state="frozen"/>
      <selection pane="bottomLeft"/>
    </sheetView>
  </sheetViews>
  <sheetFormatPr defaultRowHeight="15"/>
  <cols>
    <col min="1" max="7" width="18.7109375" customWidth="1"/>
  </cols>
  <sheetData>
    <row r="1" spans="1:7">
      <c r="A1" s="1" t="s">
        <v>0</v>
      </c>
      <c r="B1" s="1" t="s">
        <v>1</v>
      </c>
      <c r="C1" s="1" t="s">
        <v>72</v>
      </c>
      <c r="D1" s="1" t="s">
        <v>38</v>
      </c>
      <c r="E1" s="1" t="s">
        <v>39</v>
      </c>
      <c r="F1" s="1" t="s">
        <v>10</v>
      </c>
      <c r="G1" s="1" t="s">
        <v>11</v>
      </c>
    </row>
    <row r="2" spans="1:7">
      <c r="A2" s="2">
        <v>2001</v>
      </c>
      <c r="B2" s="3"/>
      <c r="C2" s="3"/>
      <c r="D2" s="5"/>
      <c r="E2" s="3"/>
      <c r="F2" s="3"/>
      <c r="G2" s="3"/>
    </row>
    <row r="3" spans="1:7">
      <c r="A3" s="2">
        <v>2002</v>
      </c>
      <c r="B3" s="3"/>
      <c r="C3" s="3"/>
      <c r="D3" s="5"/>
      <c r="E3" s="3"/>
      <c r="F3" s="3"/>
      <c r="G3" s="3"/>
    </row>
    <row r="4" spans="1:7">
      <c r="A4" s="2">
        <v>2003</v>
      </c>
      <c r="B4" s="3"/>
      <c r="C4" s="3"/>
      <c r="D4" s="5"/>
      <c r="E4" s="3"/>
      <c r="F4" s="3"/>
      <c r="G4" s="3"/>
    </row>
    <row r="5" spans="1:7">
      <c r="A5" s="2">
        <v>2004</v>
      </c>
      <c r="B5" s="3"/>
      <c r="C5" s="3"/>
      <c r="D5" s="5"/>
      <c r="E5" s="3"/>
      <c r="F5" s="3"/>
      <c r="G5" s="3"/>
    </row>
    <row r="6" spans="1:7">
      <c r="A6" s="2">
        <v>2005</v>
      </c>
      <c r="B6" s="3"/>
      <c r="C6" s="3"/>
      <c r="D6" s="5"/>
      <c r="E6" s="3"/>
      <c r="F6" s="3"/>
      <c r="G6" s="3"/>
    </row>
    <row r="7" spans="1:7">
      <c r="A7" s="2">
        <v>2006</v>
      </c>
      <c r="B7" s="3"/>
      <c r="C7" s="3"/>
      <c r="D7" s="5"/>
      <c r="E7" s="3"/>
      <c r="F7" s="3"/>
      <c r="G7" s="3"/>
    </row>
    <row r="8" spans="1:7">
      <c r="A8" s="2">
        <v>2007</v>
      </c>
      <c r="B8" s="3"/>
      <c r="C8" s="3"/>
      <c r="D8" s="5"/>
      <c r="E8" s="3"/>
      <c r="F8" s="3"/>
      <c r="G8" s="3"/>
    </row>
    <row r="9" spans="1:7">
      <c r="A9" s="2">
        <v>2008</v>
      </c>
      <c r="B9" s="3"/>
      <c r="C9" s="3"/>
      <c r="D9" s="5"/>
      <c r="E9" s="3"/>
      <c r="F9" s="3"/>
      <c r="G9" s="3"/>
    </row>
    <row r="10" spans="1:7">
      <c r="A10" s="2">
        <v>2009</v>
      </c>
      <c r="B10" s="3"/>
      <c r="C10" s="3"/>
      <c r="D10" s="5"/>
      <c r="E10" s="3"/>
      <c r="F10" s="3"/>
      <c r="G10" s="3"/>
    </row>
    <row r="11" spans="1:7">
      <c r="A11" s="2">
        <v>2010</v>
      </c>
      <c r="B11" s="3"/>
      <c r="C11" s="3"/>
      <c r="D11" s="5"/>
      <c r="E11" s="3"/>
      <c r="F11" s="3"/>
      <c r="G11" s="3"/>
    </row>
    <row r="12" spans="1:7">
      <c r="A12" s="2">
        <v>2011</v>
      </c>
      <c r="B12" s="3"/>
      <c r="C12" s="3"/>
      <c r="D12" s="5"/>
      <c r="E12" s="3"/>
      <c r="F12" s="3"/>
      <c r="G12" s="3"/>
    </row>
    <row r="13" spans="1:7">
      <c r="A13" s="2">
        <v>2012</v>
      </c>
      <c r="B13" s="3"/>
      <c r="C13" s="3"/>
      <c r="D13" s="5"/>
      <c r="E13" s="3"/>
      <c r="F13" s="3"/>
      <c r="G13" s="3"/>
    </row>
    <row r="14" spans="1:7">
      <c r="A14" s="2">
        <v>2013</v>
      </c>
      <c r="B14" s="3"/>
      <c r="C14" s="3"/>
      <c r="D14" s="5"/>
      <c r="E14" s="3"/>
      <c r="F14" s="3"/>
      <c r="G14" s="3"/>
    </row>
    <row r="15" spans="1:7">
      <c r="A15" s="2">
        <v>2014</v>
      </c>
      <c r="B15" s="3"/>
      <c r="C15" s="3"/>
      <c r="D15" s="5"/>
      <c r="E15" s="3"/>
      <c r="F15" s="3"/>
      <c r="G15" s="3"/>
    </row>
    <row r="16" spans="1:7">
      <c r="A16" s="2">
        <v>2015</v>
      </c>
      <c r="B16" s="3"/>
      <c r="C16" s="3"/>
      <c r="D16" s="5"/>
      <c r="E16" s="3"/>
      <c r="F16" s="3"/>
      <c r="G16" s="3"/>
    </row>
    <row r="17" spans="1:7">
      <c r="A17" s="2">
        <v>2016</v>
      </c>
      <c r="B17" s="3"/>
      <c r="C17" s="3"/>
      <c r="D17" s="5"/>
      <c r="E17" s="3"/>
      <c r="F17" s="3"/>
      <c r="G17" s="3"/>
    </row>
    <row r="18" spans="1:7">
      <c r="A18" s="2">
        <v>2017</v>
      </c>
      <c r="B18" s="3"/>
      <c r="C18" s="3"/>
      <c r="D18" s="5"/>
      <c r="E18" s="3"/>
      <c r="F18" s="3"/>
      <c r="G18" s="3"/>
    </row>
    <row r="19" spans="1:7">
      <c r="A19" s="2">
        <v>2018</v>
      </c>
      <c r="B19" s="3"/>
      <c r="C19" s="3"/>
      <c r="D19" s="5"/>
      <c r="E19" s="3"/>
      <c r="F19" s="3"/>
      <c r="G19" s="3"/>
    </row>
    <row r="20" spans="1:7">
      <c r="A20" s="2">
        <v>2019</v>
      </c>
      <c r="B20" s="3"/>
      <c r="C20" s="3"/>
      <c r="D20" s="5"/>
      <c r="E20" s="3"/>
      <c r="F20" s="3"/>
      <c r="G20" s="3"/>
    </row>
    <row r="21" spans="1:7">
      <c r="A21" s="2">
        <v>2020</v>
      </c>
      <c r="B21" s="3"/>
      <c r="C21" s="3"/>
      <c r="D21" s="5"/>
      <c r="E21" s="3"/>
      <c r="F21" s="3"/>
      <c r="G21" s="3"/>
    </row>
    <row r="22" spans="1:7">
      <c r="A22" s="2">
        <v>2021</v>
      </c>
      <c r="B22" s="3"/>
      <c r="C22" s="3"/>
      <c r="D22" s="5"/>
      <c r="E22" s="3"/>
      <c r="F22" s="3"/>
      <c r="G22" s="3"/>
    </row>
    <row r="23" spans="1:7">
      <c r="A23" s="2">
        <v>2022</v>
      </c>
      <c r="B23" s="3"/>
      <c r="C23" s="3"/>
      <c r="D23" s="5"/>
      <c r="E23" s="3"/>
      <c r="F23" s="3"/>
      <c r="G23" s="3"/>
    </row>
    <row r="24" spans="1:7">
      <c r="A24" s="2">
        <v>2023</v>
      </c>
      <c r="B24" s="3"/>
      <c r="C24" s="3"/>
      <c r="D24" s="5"/>
      <c r="E24" s="3"/>
      <c r="F24" s="3"/>
      <c r="G24" s="3"/>
    </row>
    <row r="25" spans="1:7">
      <c r="A25" s="2">
        <v>2024</v>
      </c>
      <c r="B25" s="3"/>
      <c r="C25" s="3"/>
      <c r="D25" s="5"/>
      <c r="E25" s="3"/>
      <c r="F25" s="3"/>
      <c r="G25" s="3"/>
    </row>
    <row r="27" spans="1:7">
      <c r="A27" s="4" t="s">
        <v>37</v>
      </c>
      <c r="C27" s="3">
        <v>0</v>
      </c>
      <c r="E27" s="3">
        <v>0</v>
      </c>
      <c r="F27" s="3">
        <v>0</v>
      </c>
      <c r="G27" s="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G27"/>
  <sheetViews>
    <sheetView workbookViewId="0">
      <pane ySplit="1" topLeftCell="A2" activePane="bottomLeft" state="frozen"/>
      <selection pane="bottomLeft"/>
    </sheetView>
  </sheetViews>
  <sheetFormatPr defaultRowHeight="15"/>
  <cols>
    <col min="1" max="7" width="18.7109375" customWidth="1"/>
  </cols>
  <sheetData>
    <row r="1" spans="1:7">
      <c r="A1" s="1" t="s">
        <v>0</v>
      </c>
      <c r="B1" s="1" t="s">
        <v>1</v>
      </c>
      <c r="C1" s="1" t="s">
        <v>45</v>
      </c>
      <c r="D1" s="1" t="s">
        <v>38</v>
      </c>
      <c r="E1" s="1" t="s">
        <v>39</v>
      </c>
      <c r="F1" s="1" t="s">
        <v>10</v>
      </c>
      <c r="G1" s="1" t="s">
        <v>11</v>
      </c>
    </row>
    <row r="2" spans="1:7">
      <c r="A2" s="2">
        <v>2001</v>
      </c>
      <c r="B2" s="3">
        <v>287</v>
      </c>
      <c r="C2" s="3">
        <v>700.7076000000001</v>
      </c>
      <c r="D2" s="5">
        <v>1</v>
      </c>
      <c r="E2" s="3">
        <v>700.7076000000001</v>
      </c>
      <c r="F2" s="3">
        <v>0</v>
      </c>
      <c r="G2" s="3">
        <v>0</v>
      </c>
    </row>
    <row r="3" spans="1:7">
      <c r="A3" s="2">
        <v>2002</v>
      </c>
      <c r="B3" s="3">
        <v>275</v>
      </c>
      <c r="C3" s="3">
        <v>651.8824000000001</v>
      </c>
      <c r="D3" s="5">
        <v>1</v>
      </c>
      <c r="E3" s="3">
        <v>651.8824000000001</v>
      </c>
      <c r="F3" s="3">
        <v>0</v>
      </c>
      <c r="G3" s="3">
        <v>0</v>
      </c>
    </row>
    <row r="4" spans="1:7">
      <c r="A4" s="2">
        <v>2003</v>
      </c>
      <c r="B4" s="3">
        <v>263</v>
      </c>
      <c r="C4" s="3">
        <v>551.5928</v>
      </c>
      <c r="D4" s="5">
        <v>1</v>
      </c>
      <c r="E4" s="3">
        <v>551.5928</v>
      </c>
      <c r="F4" s="3">
        <v>0</v>
      </c>
      <c r="G4" s="3">
        <v>0</v>
      </c>
    </row>
    <row r="5" spans="1:7">
      <c r="A5" s="2">
        <v>2004</v>
      </c>
      <c r="B5" s="3">
        <v>251</v>
      </c>
      <c r="C5" s="3">
        <v>642.6452</v>
      </c>
      <c r="D5" s="5">
        <v>1</v>
      </c>
      <c r="E5" s="3">
        <v>642.6452</v>
      </c>
      <c r="F5" s="3">
        <v>0</v>
      </c>
      <c r="G5" s="3">
        <v>0</v>
      </c>
    </row>
    <row r="6" spans="1:7">
      <c r="A6" s="2">
        <v>2005</v>
      </c>
      <c r="B6" s="3">
        <v>239</v>
      </c>
      <c r="C6" s="3">
        <v>641.3256</v>
      </c>
      <c r="D6" s="5">
        <v>1</v>
      </c>
      <c r="E6" s="3">
        <v>641.3256</v>
      </c>
      <c r="F6" s="3">
        <v>0</v>
      </c>
      <c r="G6" s="3">
        <v>0</v>
      </c>
    </row>
    <row r="7" spans="1:7">
      <c r="A7" s="2">
        <v>2006</v>
      </c>
      <c r="B7" s="3">
        <v>227</v>
      </c>
      <c r="C7" s="3">
        <v>497.4892</v>
      </c>
      <c r="D7" s="5">
        <v>1</v>
      </c>
      <c r="E7" s="3">
        <v>497.4892</v>
      </c>
      <c r="F7" s="3">
        <v>0</v>
      </c>
      <c r="G7" s="3">
        <v>0</v>
      </c>
    </row>
    <row r="8" spans="1:7">
      <c r="A8" s="2">
        <v>2007</v>
      </c>
      <c r="B8" s="3">
        <v>215</v>
      </c>
      <c r="C8" s="3">
        <v>476.3756</v>
      </c>
      <c r="D8" s="5">
        <v>1</v>
      </c>
      <c r="E8" s="3">
        <v>476.3756</v>
      </c>
      <c r="F8" s="3">
        <v>0</v>
      </c>
      <c r="G8" s="3">
        <v>0</v>
      </c>
    </row>
    <row r="9" spans="1:7">
      <c r="A9" s="2">
        <v>2008</v>
      </c>
      <c r="B9" s="3">
        <v>203</v>
      </c>
      <c r="C9" s="3">
        <v>328.5804000000001</v>
      </c>
      <c r="D9" s="5">
        <v>1</v>
      </c>
      <c r="E9" s="3">
        <v>328.5804000000001</v>
      </c>
      <c r="F9" s="3">
        <v>0</v>
      </c>
      <c r="G9" s="3">
        <v>0</v>
      </c>
    </row>
    <row r="10" spans="1:7">
      <c r="A10" s="2">
        <v>2009</v>
      </c>
      <c r="B10" s="3">
        <v>191</v>
      </c>
      <c r="C10" s="3">
        <v>321.9824</v>
      </c>
      <c r="D10" s="5">
        <v>1</v>
      </c>
      <c r="E10" s="3">
        <v>321.9824</v>
      </c>
      <c r="F10" s="3">
        <v>0</v>
      </c>
      <c r="G10" s="3">
        <v>0</v>
      </c>
    </row>
    <row r="11" spans="1:7">
      <c r="A11" s="2">
        <v>2010</v>
      </c>
      <c r="B11" s="3">
        <v>179</v>
      </c>
      <c r="C11" s="3">
        <v>271.8376</v>
      </c>
      <c r="D11" s="5">
        <v>1</v>
      </c>
      <c r="E11" s="3">
        <v>271.8376</v>
      </c>
      <c r="F11" s="3">
        <v>0</v>
      </c>
      <c r="G11" s="3">
        <v>0</v>
      </c>
    </row>
    <row r="12" spans="1:7">
      <c r="A12" s="2">
        <v>2011</v>
      </c>
      <c r="B12" s="3">
        <v>167</v>
      </c>
      <c r="C12" s="3">
        <v>345.7352</v>
      </c>
      <c r="D12" s="5">
        <v>1</v>
      </c>
      <c r="E12" s="3">
        <v>345.7352</v>
      </c>
      <c r="F12" s="3">
        <v>0</v>
      </c>
      <c r="G12" s="3">
        <v>0</v>
      </c>
    </row>
    <row r="13" spans="1:7">
      <c r="A13" s="2">
        <v>2012</v>
      </c>
      <c r="B13" s="3">
        <v>155</v>
      </c>
      <c r="C13" s="3">
        <v>261.2808</v>
      </c>
      <c r="D13" s="5">
        <v>1</v>
      </c>
      <c r="E13" s="3">
        <v>261.2808</v>
      </c>
      <c r="F13" s="3">
        <v>0</v>
      </c>
      <c r="G13" s="3">
        <v>0</v>
      </c>
    </row>
    <row r="14" spans="1:7">
      <c r="A14" s="2">
        <v>2013</v>
      </c>
      <c r="B14" s="3">
        <v>143</v>
      </c>
      <c r="C14" s="3">
        <v>291.6316</v>
      </c>
      <c r="D14" s="5">
        <v>1</v>
      </c>
      <c r="E14" s="3">
        <v>291.6316</v>
      </c>
      <c r="F14" s="3">
        <v>0</v>
      </c>
      <c r="G14" s="3">
        <v>0</v>
      </c>
    </row>
    <row r="15" spans="1:7">
      <c r="A15" s="2">
        <v>2014</v>
      </c>
      <c r="B15" s="3">
        <v>131</v>
      </c>
      <c r="C15" s="3">
        <v>455.2620000000001</v>
      </c>
      <c r="D15" s="5">
        <v>1</v>
      </c>
      <c r="E15" s="3">
        <v>455.2620000000001</v>
      </c>
      <c r="F15" s="3">
        <v>0</v>
      </c>
      <c r="G15" s="3">
        <v>0</v>
      </c>
    </row>
    <row r="16" spans="1:7">
      <c r="A16" s="2">
        <v>2015</v>
      </c>
      <c r="B16" s="3">
        <v>119</v>
      </c>
      <c r="C16" s="3">
        <v>333.8588</v>
      </c>
      <c r="D16" s="5">
        <v>1</v>
      </c>
      <c r="E16" s="3">
        <v>333.8588</v>
      </c>
      <c r="F16" s="3">
        <v>0</v>
      </c>
      <c r="G16" s="3">
        <v>0</v>
      </c>
    </row>
    <row r="17" spans="1:7">
      <c r="A17" s="2">
        <v>2016</v>
      </c>
      <c r="B17" s="3">
        <v>107</v>
      </c>
      <c r="C17" s="3">
        <v>390.6016</v>
      </c>
      <c r="D17" s="5">
        <v>1</v>
      </c>
      <c r="E17" s="3">
        <v>390.6016</v>
      </c>
      <c r="F17" s="3">
        <v>0</v>
      </c>
      <c r="G17" s="3">
        <v>0</v>
      </c>
    </row>
    <row r="18" spans="1:7">
      <c r="A18" s="2">
        <v>2017</v>
      </c>
      <c r="B18" s="3">
        <v>95</v>
      </c>
      <c r="C18" s="3">
        <v>310.1060000000001</v>
      </c>
      <c r="D18" s="5">
        <v>1</v>
      </c>
      <c r="E18" s="3">
        <v>310.1060000000001</v>
      </c>
      <c r="F18" s="3">
        <v>0</v>
      </c>
      <c r="G18" s="3">
        <v>0</v>
      </c>
    </row>
    <row r="19" spans="1:7">
      <c r="A19" s="2">
        <v>2018</v>
      </c>
      <c r="B19" s="3">
        <v>83</v>
      </c>
      <c r="C19" s="3">
        <v>325.9412</v>
      </c>
      <c r="D19" s="5">
        <v>1</v>
      </c>
      <c r="E19" s="3">
        <v>325.9412</v>
      </c>
      <c r="F19" s="3">
        <v>0</v>
      </c>
      <c r="G19" s="3">
        <v>0</v>
      </c>
    </row>
    <row r="20" spans="1:7">
      <c r="A20" s="2">
        <v>2019</v>
      </c>
      <c r="B20" s="3">
        <v>71</v>
      </c>
      <c r="C20" s="3">
        <v>357.6116</v>
      </c>
      <c r="D20" s="5">
        <v>1.0002</v>
      </c>
      <c r="E20" s="3">
        <v>357.68312232</v>
      </c>
      <c r="F20" s="3">
        <v>0.07152231999998548</v>
      </c>
      <c r="G20" s="3">
        <v>0.07152231999998548</v>
      </c>
    </row>
    <row r="21" spans="1:7">
      <c r="A21" s="2">
        <v>2020</v>
      </c>
      <c r="B21" s="3">
        <v>59</v>
      </c>
      <c r="C21" s="3">
        <v>370.8076</v>
      </c>
      <c r="D21" s="5">
        <v>1.0002</v>
      </c>
      <c r="E21" s="3">
        <v>370.8817615200001</v>
      </c>
      <c r="F21" s="3">
        <v>0.0741615200000183</v>
      </c>
      <c r="G21" s="3">
        <v>0.0741615200000183</v>
      </c>
    </row>
    <row r="22" spans="1:7">
      <c r="A22" s="2">
        <v>2021</v>
      </c>
      <c r="B22" s="3">
        <v>47</v>
      </c>
      <c r="C22" s="3">
        <v>329.9</v>
      </c>
      <c r="D22" s="5">
        <v>1.0002</v>
      </c>
      <c r="E22" s="3">
        <v>329.96598</v>
      </c>
      <c r="F22" s="3">
        <v>0.06597999999996773</v>
      </c>
      <c r="G22" s="3">
        <v>0.06597999999996773</v>
      </c>
    </row>
    <row r="23" spans="1:7">
      <c r="A23" s="2">
        <v>2022</v>
      </c>
      <c r="B23" s="3">
        <v>35</v>
      </c>
      <c r="C23" s="3">
        <v>298.2296</v>
      </c>
      <c r="D23" s="5">
        <v>1.0007001</v>
      </c>
      <c r="E23" s="3">
        <v>298.43839054296</v>
      </c>
      <c r="F23" s="3">
        <v>0.2087905429600028</v>
      </c>
      <c r="G23" s="3">
        <v>0.2087905429600028</v>
      </c>
    </row>
    <row r="24" spans="1:7">
      <c r="A24" s="2">
        <v>2023</v>
      </c>
      <c r="B24" s="3">
        <v>23</v>
      </c>
      <c r="C24" s="3">
        <v>304.8276</v>
      </c>
      <c r="D24" s="5">
        <v>1.0007001</v>
      </c>
      <c r="E24" s="3">
        <v>305.04100980276</v>
      </c>
      <c r="F24" s="3">
        <v>0.2134098027599975</v>
      </c>
      <c r="G24" s="3">
        <v>0.2134098027599975</v>
      </c>
    </row>
    <row r="25" spans="1:7">
      <c r="A25" s="2">
        <v>2024</v>
      </c>
      <c r="B25" s="3">
        <v>11</v>
      </c>
      <c r="C25" s="3">
        <v>256.0024</v>
      </c>
      <c r="D25" s="5">
        <v>1.1337932133</v>
      </c>
      <c r="E25" s="3">
        <v>290.2537837085119</v>
      </c>
      <c r="F25" s="3">
        <v>34.25138370851192</v>
      </c>
      <c r="G25" s="3">
        <v>34.25138370851192</v>
      </c>
    </row>
    <row r="27" spans="1:7">
      <c r="A27" s="4" t="s">
        <v>37</v>
      </c>
      <c r="C27" s="3">
        <v>9716.214800000002</v>
      </c>
      <c r="E27" s="3">
        <v>9751.100047894233</v>
      </c>
      <c r="F27" s="3">
        <v>34.88524789423172</v>
      </c>
      <c r="G27" s="3">
        <v>34.88524789423172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J27"/>
  <sheetViews>
    <sheetView workbookViewId="0">
      <pane ySplit="1" topLeftCell="A2" activePane="bottomLeft" state="frozen"/>
      <selection pane="bottomLeft"/>
    </sheetView>
  </sheetViews>
  <sheetFormatPr defaultRowHeight="15"/>
  <cols>
    <col min="1" max="10" width="18.7109375" customWidth="1"/>
  </cols>
  <sheetData>
    <row r="1" spans="1:10">
      <c r="A1" s="1" t="s">
        <v>0</v>
      </c>
      <c r="B1" s="1" t="s">
        <v>1</v>
      </c>
      <c r="C1" s="1" t="s">
        <v>6</v>
      </c>
      <c r="D1" s="1" t="s">
        <v>38</v>
      </c>
      <c r="E1" s="1" t="s">
        <v>40</v>
      </c>
      <c r="F1" s="1" t="s">
        <v>41</v>
      </c>
      <c r="G1" s="1" t="s">
        <v>45</v>
      </c>
      <c r="H1" s="1" t="s">
        <v>39</v>
      </c>
      <c r="I1" s="1" t="s">
        <v>10</v>
      </c>
      <c r="J1" s="1" t="s">
        <v>11</v>
      </c>
    </row>
    <row r="2" spans="1:10">
      <c r="A2" s="2">
        <v>2001</v>
      </c>
      <c r="B2" s="3">
        <v>287</v>
      </c>
      <c r="C2" s="3">
        <v>700.775874480892</v>
      </c>
      <c r="D2" s="5">
        <v>1</v>
      </c>
      <c r="E2" s="6">
        <v>0</v>
      </c>
      <c r="F2" s="3">
        <v>0</v>
      </c>
      <c r="G2" s="3">
        <v>700.7076000000001</v>
      </c>
      <c r="H2" s="3">
        <v>700.7076000000001</v>
      </c>
      <c r="I2" s="3">
        <v>0</v>
      </c>
      <c r="J2" s="3">
        <v>0</v>
      </c>
    </row>
    <row r="3" spans="1:10">
      <c r="A3" s="2">
        <v>2002</v>
      </c>
      <c r="B3" s="3">
        <v>275</v>
      </c>
      <c r="C3" s="3">
        <v>683.1663101357999</v>
      </c>
      <c r="D3" s="5">
        <v>1</v>
      </c>
      <c r="E3" s="6">
        <v>0</v>
      </c>
      <c r="F3" s="3">
        <v>0</v>
      </c>
      <c r="G3" s="3">
        <v>651.8824000000001</v>
      </c>
      <c r="H3" s="3">
        <v>651.8824000000001</v>
      </c>
      <c r="I3" s="3">
        <v>0</v>
      </c>
      <c r="J3" s="3">
        <v>0</v>
      </c>
    </row>
    <row r="4" spans="1:10">
      <c r="A4" s="2">
        <v>2003</v>
      </c>
      <c r="B4" s="3">
        <v>263</v>
      </c>
      <c r="C4" s="3">
        <v>648.4432609290001</v>
      </c>
      <c r="D4" s="5">
        <v>1</v>
      </c>
      <c r="E4" s="6">
        <v>0</v>
      </c>
      <c r="F4" s="3">
        <v>0</v>
      </c>
      <c r="G4" s="3">
        <v>551.5928</v>
      </c>
      <c r="H4" s="3">
        <v>551.5928</v>
      </c>
      <c r="I4" s="3">
        <v>0</v>
      </c>
      <c r="J4" s="3">
        <v>0</v>
      </c>
    </row>
    <row r="5" spans="1:10">
      <c r="A5" s="2">
        <v>2004</v>
      </c>
      <c r="B5" s="3">
        <v>251</v>
      </c>
      <c r="C5" s="3">
        <v>627.83790652</v>
      </c>
      <c r="D5" s="5">
        <v>1</v>
      </c>
      <c r="E5" s="6">
        <v>0</v>
      </c>
      <c r="F5" s="3">
        <v>0</v>
      </c>
      <c r="G5" s="3">
        <v>642.6452</v>
      </c>
      <c r="H5" s="3">
        <v>642.6452</v>
      </c>
      <c r="I5" s="3">
        <v>0</v>
      </c>
      <c r="J5" s="3">
        <v>0</v>
      </c>
    </row>
    <row r="6" spans="1:10">
      <c r="A6" s="2">
        <v>2005</v>
      </c>
      <c r="B6" s="3">
        <v>239</v>
      </c>
      <c r="C6" s="3">
        <v>623.61426984</v>
      </c>
      <c r="D6" s="5">
        <v>1</v>
      </c>
      <c r="E6" s="6">
        <v>0</v>
      </c>
      <c r="F6" s="3">
        <v>0</v>
      </c>
      <c r="G6" s="3">
        <v>641.3256</v>
      </c>
      <c r="H6" s="3">
        <v>641.3256</v>
      </c>
      <c r="I6" s="3">
        <v>0</v>
      </c>
      <c r="J6" s="3">
        <v>0</v>
      </c>
    </row>
    <row r="7" spans="1:10">
      <c r="A7" s="2">
        <v>2006</v>
      </c>
      <c r="B7" s="3">
        <v>227</v>
      </c>
      <c r="C7" s="3">
        <v>606.7448358759</v>
      </c>
      <c r="D7" s="5">
        <v>1</v>
      </c>
      <c r="E7" s="6">
        <v>0</v>
      </c>
      <c r="F7" s="3">
        <v>0</v>
      </c>
      <c r="G7" s="3">
        <v>497.4892</v>
      </c>
      <c r="H7" s="3">
        <v>497.4892</v>
      </c>
      <c r="I7" s="3">
        <v>0</v>
      </c>
      <c r="J7" s="3">
        <v>0</v>
      </c>
    </row>
    <row r="8" spans="1:10">
      <c r="A8" s="2">
        <v>2007</v>
      </c>
      <c r="B8" s="3">
        <v>215</v>
      </c>
      <c r="C8" s="3">
        <v>550.471610298</v>
      </c>
      <c r="D8" s="5">
        <v>1</v>
      </c>
      <c r="E8" s="6">
        <v>0</v>
      </c>
      <c r="F8" s="3">
        <v>0</v>
      </c>
      <c r="G8" s="3">
        <v>476.3756</v>
      </c>
      <c r="H8" s="3">
        <v>476.3756</v>
      </c>
      <c r="I8" s="3">
        <v>0</v>
      </c>
      <c r="J8" s="3">
        <v>0</v>
      </c>
    </row>
    <row r="9" spans="1:10">
      <c r="A9" s="2">
        <v>2008</v>
      </c>
      <c r="B9" s="3">
        <v>203</v>
      </c>
      <c r="C9" s="3">
        <v>444.0969799109999</v>
      </c>
      <c r="D9" s="5">
        <v>1</v>
      </c>
      <c r="E9" s="6">
        <v>0</v>
      </c>
      <c r="F9" s="3">
        <v>0</v>
      </c>
      <c r="G9" s="3">
        <v>328.5804000000001</v>
      </c>
      <c r="H9" s="3">
        <v>328.5804000000001</v>
      </c>
      <c r="I9" s="3">
        <v>0</v>
      </c>
      <c r="J9" s="3">
        <v>0</v>
      </c>
    </row>
    <row r="10" spans="1:10">
      <c r="A10" s="2">
        <v>2009</v>
      </c>
      <c r="B10" s="3">
        <v>191</v>
      </c>
      <c r="C10" s="3">
        <v>384.4019144995</v>
      </c>
      <c r="D10" s="5">
        <v>1</v>
      </c>
      <c r="E10" s="6">
        <v>0</v>
      </c>
      <c r="F10" s="3">
        <v>0</v>
      </c>
      <c r="G10" s="3">
        <v>321.9824</v>
      </c>
      <c r="H10" s="3">
        <v>321.9824</v>
      </c>
      <c r="I10" s="3">
        <v>0</v>
      </c>
      <c r="J10" s="3">
        <v>0</v>
      </c>
    </row>
    <row r="11" spans="1:10">
      <c r="A11" s="2">
        <v>2010</v>
      </c>
      <c r="B11" s="3">
        <v>179</v>
      </c>
      <c r="C11" s="3">
        <v>314.2013025147</v>
      </c>
      <c r="D11" s="5">
        <v>1</v>
      </c>
      <c r="E11" s="6">
        <v>0</v>
      </c>
      <c r="F11" s="3">
        <v>0</v>
      </c>
      <c r="G11" s="3">
        <v>271.8376</v>
      </c>
      <c r="H11" s="3">
        <v>271.8376</v>
      </c>
      <c r="I11" s="3">
        <v>0</v>
      </c>
      <c r="J11" s="3">
        <v>0</v>
      </c>
    </row>
    <row r="12" spans="1:10">
      <c r="A12" s="2">
        <v>2011</v>
      </c>
      <c r="B12" s="3">
        <v>167</v>
      </c>
      <c r="C12" s="3">
        <v>319.3283418408</v>
      </c>
      <c r="D12" s="5">
        <v>1</v>
      </c>
      <c r="E12" s="6">
        <v>0</v>
      </c>
      <c r="F12" s="3">
        <v>0</v>
      </c>
      <c r="G12" s="3">
        <v>345.7352</v>
      </c>
      <c r="H12" s="3">
        <v>345.7352</v>
      </c>
      <c r="I12" s="3">
        <v>0</v>
      </c>
      <c r="J12" s="3">
        <v>0</v>
      </c>
    </row>
    <row r="13" spans="1:10">
      <c r="A13" s="2">
        <v>2012</v>
      </c>
      <c r="B13" s="3">
        <v>155</v>
      </c>
      <c r="C13" s="3">
        <v>298.965375136</v>
      </c>
      <c r="D13" s="5">
        <v>1</v>
      </c>
      <c r="E13" s="6">
        <v>0</v>
      </c>
      <c r="F13" s="3">
        <v>0</v>
      </c>
      <c r="G13" s="3">
        <v>261.2808</v>
      </c>
      <c r="H13" s="3">
        <v>261.2808</v>
      </c>
      <c r="I13" s="3">
        <v>0</v>
      </c>
      <c r="J13" s="3">
        <v>0</v>
      </c>
    </row>
    <row r="14" spans="1:10">
      <c r="A14" s="2">
        <v>2013</v>
      </c>
      <c r="B14" s="3">
        <v>143</v>
      </c>
      <c r="C14" s="3">
        <v>305.7471685908</v>
      </c>
      <c r="D14" s="5">
        <v>1</v>
      </c>
      <c r="E14" s="6">
        <v>0</v>
      </c>
      <c r="F14" s="3">
        <v>0</v>
      </c>
      <c r="G14" s="3">
        <v>291.6316</v>
      </c>
      <c r="H14" s="3">
        <v>291.6316</v>
      </c>
      <c r="I14" s="3">
        <v>0</v>
      </c>
      <c r="J14" s="3">
        <v>0</v>
      </c>
    </row>
    <row r="15" spans="1:10">
      <c r="A15" s="2">
        <v>2014</v>
      </c>
      <c r="B15" s="3">
        <v>131</v>
      </c>
      <c r="C15" s="3">
        <v>341.329398159</v>
      </c>
      <c r="D15" s="5">
        <v>1</v>
      </c>
      <c r="E15" s="6">
        <v>0</v>
      </c>
      <c r="F15" s="3">
        <v>0</v>
      </c>
      <c r="G15" s="3">
        <v>455.2620000000001</v>
      </c>
      <c r="H15" s="3">
        <v>455.2620000000001</v>
      </c>
      <c r="I15" s="3">
        <v>0</v>
      </c>
      <c r="J15" s="3">
        <v>0</v>
      </c>
    </row>
    <row r="16" spans="1:10">
      <c r="A16" s="2">
        <v>2015</v>
      </c>
      <c r="B16" s="3">
        <v>119</v>
      </c>
      <c r="C16" s="3">
        <v>367.358834304</v>
      </c>
      <c r="D16" s="5">
        <v>1</v>
      </c>
      <c r="E16" s="6">
        <v>0</v>
      </c>
      <c r="F16" s="3">
        <v>0</v>
      </c>
      <c r="G16" s="3">
        <v>333.8588</v>
      </c>
      <c r="H16" s="3">
        <v>333.8588</v>
      </c>
      <c r="I16" s="3">
        <v>0</v>
      </c>
      <c r="J16" s="3">
        <v>0</v>
      </c>
    </row>
    <row r="17" spans="1:10">
      <c r="A17" s="2">
        <v>2016</v>
      </c>
      <c r="B17" s="3">
        <v>107</v>
      </c>
      <c r="C17" s="3">
        <v>401.5315549436</v>
      </c>
      <c r="D17" s="5">
        <v>1</v>
      </c>
      <c r="E17" s="6">
        <v>0</v>
      </c>
      <c r="F17" s="3">
        <v>0</v>
      </c>
      <c r="G17" s="3">
        <v>390.6016</v>
      </c>
      <c r="H17" s="3">
        <v>390.6016</v>
      </c>
      <c r="I17" s="3">
        <v>0</v>
      </c>
      <c r="J17" s="3">
        <v>0</v>
      </c>
    </row>
    <row r="18" spans="1:10">
      <c r="A18" s="2">
        <v>2017</v>
      </c>
      <c r="B18" s="3">
        <v>95</v>
      </c>
      <c r="C18" s="3">
        <v>351.797848029</v>
      </c>
      <c r="D18" s="5">
        <v>1</v>
      </c>
      <c r="E18" s="6">
        <v>0</v>
      </c>
      <c r="F18" s="3">
        <v>0</v>
      </c>
      <c r="G18" s="3">
        <v>310.1060000000001</v>
      </c>
      <c r="H18" s="3">
        <v>310.1060000000001</v>
      </c>
      <c r="I18" s="3">
        <v>0</v>
      </c>
      <c r="J18" s="3">
        <v>0</v>
      </c>
    </row>
    <row r="19" spans="1:10">
      <c r="A19" s="2">
        <v>2018</v>
      </c>
      <c r="B19" s="3">
        <v>83</v>
      </c>
      <c r="C19" s="3">
        <v>349.5307063275</v>
      </c>
      <c r="D19" s="5">
        <v>1</v>
      </c>
      <c r="E19" s="6">
        <v>0</v>
      </c>
      <c r="F19" s="3">
        <v>0</v>
      </c>
      <c r="G19" s="3">
        <v>325.9412</v>
      </c>
      <c r="H19" s="3">
        <v>325.9412</v>
      </c>
      <c r="I19" s="3">
        <v>0</v>
      </c>
      <c r="J19" s="3">
        <v>0</v>
      </c>
    </row>
    <row r="20" spans="1:10">
      <c r="A20" s="2">
        <v>2019</v>
      </c>
      <c r="B20" s="3">
        <v>71</v>
      </c>
      <c r="C20" s="3">
        <v>337.5429992505</v>
      </c>
      <c r="D20" s="5">
        <v>1.0002</v>
      </c>
      <c r="E20" s="6">
        <v>0.0001999600079983788</v>
      </c>
      <c r="F20" s="3">
        <v>0.06749510082992673</v>
      </c>
      <c r="G20" s="3">
        <v>357.6116</v>
      </c>
      <c r="H20" s="3">
        <v>357.67909510083</v>
      </c>
      <c r="I20" s="3">
        <v>0.06749510082994448</v>
      </c>
      <c r="J20" s="3">
        <v>0.06749510082994448</v>
      </c>
    </row>
    <row r="21" spans="1:10">
      <c r="A21" s="2">
        <v>2020</v>
      </c>
      <c r="B21" s="3">
        <v>59</v>
      </c>
      <c r="C21" s="3">
        <v>358.1209218321</v>
      </c>
      <c r="D21" s="5">
        <v>1.0002</v>
      </c>
      <c r="E21" s="6">
        <v>0.0001999600079983788</v>
      </c>
      <c r="F21" s="3">
        <v>0.07160986239393349</v>
      </c>
      <c r="G21" s="3">
        <v>370.8076</v>
      </c>
      <c r="H21" s="3">
        <v>370.879209862394</v>
      </c>
      <c r="I21" s="3">
        <v>0.07160986239392741</v>
      </c>
      <c r="J21" s="3">
        <v>0.07160986239392741</v>
      </c>
    </row>
    <row r="22" spans="1:10">
      <c r="A22" s="2">
        <v>2021</v>
      </c>
      <c r="B22" s="3">
        <v>47</v>
      </c>
      <c r="C22" s="3">
        <v>360.1120188906</v>
      </c>
      <c r="D22" s="5">
        <v>1.0002</v>
      </c>
      <c r="E22" s="6">
        <v>0.0001999600079983788</v>
      </c>
      <c r="F22" s="3">
        <v>0.07200800217767669</v>
      </c>
      <c r="G22" s="3">
        <v>329.9</v>
      </c>
      <c r="H22" s="3">
        <v>329.9720080021777</v>
      </c>
      <c r="I22" s="3">
        <v>0.07200800217765391</v>
      </c>
      <c r="J22" s="3">
        <v>0.07200800217765391</v>
      </c>
    </row>
    <row r="23" spans="1:10">
      <c r="A23" s="2">
        <v>2022</v>
      </c>
      <c r="B23" s="3">
        <v>35</v>
      </c>
      <c r="C23" s="3">
        <v>339.9814749044</v>
      </c>
      <c r="D23" s="5">
        <v>1.0007001</v>
      </c>
      <c r="E23" s="6">
        <v>0.0006996102028968831</v>
      </c>
      <c r="F23" s="3">
        <v>0.2378545086390489</v>
      </c>
      <c r="G23" s="3">
        <v>298.2296</v>
      </c>
      <c r="H23" s="3">
        <v>298.467454508639</v>
      </c>
      <c r="I23" s="3">
        <v>0.2378545086390318</v>
      </c>
      <c r="J23" s="3">
        <v>0.2378545086390318</v>
      </c>
    </row>
    <row r="24" spans="1:10">
      <c r="A24" s="2">
        <v>2023</v>
      </c>
      <c r="B24" s="3">
        <v>23</v>
      </c>
      <c r="C24" s="3">
        <v>317.4343255127</v>
      </c>
      <c r="D24" s="5">
        <v>1.0007001</v>
      </c>
      <c r="E24" s="6">
        <v>0.0006996102028968831</v>
      </c>
      <c r="F24" s="3">
        <v>0.2220802928783753</v>
      </c>
      <c r="G24" s="3">
        <v>304.8276</v>
      </c>
      <c r="H24" s="3">
        <v>305.0496802928784</v>
      </c>
      <c r="I24" s="3">
        <v>0.2220802928783883</v>
      </c>
      <c r="J24" s="3">
        <v>0.2220802928783883</v>
      </c>
    </row>
    <row r="25" spans="1:10">
      <c r="A25" s="2">
        <v>2024</v>
      </c>
      <c r="B25" s="3">
        <v>11</v>
      </c>
      <c r="C25" s="3">
        <v>292.3526117534</v>
      </c>
      <c r="D25" s="5">
        <v>1.1337932133</v>
      </c>
      <c r="E25" s="6">
        <v>0.11800495163539</v>
      </c>
      <c r="F25" s="3">
        <v>34.49905581043993</v>
      </c>
      <c r="G25" s="3">
        <v>256.0024</v>
      </c>
      <c r="H25" s="3">
        <v>290.5014558104399</v>
      </c>
      <c r="I25" s="3">
        <v>34.49905581043993</v>
      </c>
      <c r="J25" s="3">
        <v>34.49905581043993</v>
      </c>
    </row>
    <row r="27" spans="1:10">
      <c r="A27" s="4" t="s">
        <v>37</v>
      </c>
      <c r="C27" s="3">
        <v>10324.88784447919</v>
      </c>
      <c r="E27" s="6">
        <v>0.003406342432684598</v>
      </c>
      <c r="F27" s="3">
        <v>35.17010357735889</v>
      </c>
      <c r="G27" s="3">
        <v>9716.214800000002</v>
      </c>
      <c r="H27" s="3">
        <v>9751.38490357736</v>
      </c>
      <c r="I27" s="3">
        <v>35.17010357735853</v>
      </c>
      <c r="J27" s="3">
        <v>35.17010357735853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Y72"/>
  <sheetViews>
    <sheetView workbookViewId="0"/>
  </sheetViews>
  <sheetFormatPr defaultRowHeight="15"/>
  <cols>
    <col min="1" max="1" width="25.7109375" customWidth="1"/>
    <col min="2" max="21" width="12.7109375" customWidth="1"/>
  </cols>
  <sheetData>
    <row r="1" spans="1:25">
      <c r="A1" s="4" t="s">
        <v>73</v>
      </c>
      <c r="B1" t="s">
        <v>74</v>
      </c>
      <c r="C1" t="s">
        <v>75</v>
      </c>
      <c r="D1" t="s">
        <v>76</v>
      </c>
      <c r="E1" t="s">
        <v>77</v>
      </c>
      <c r="F1" t="s">
        <v>78</v>
      </c>
      <c r="G1" t="s">
        <v>79</v>
      </c>
      <c r="H1" t="s">
        <v>80</v>
      </c>
      <c r="I1" t="s">
        <v>81</v>
      </c>
      <c r="J1" t="s">
        <v>82</v>
      </c>
      <c r="K1" t="s">
        <v>83</v>
      </c>
      <c r="L1" t="s">
        <v>84</v>
      </c>
      <c r="M1" t="s">
        <v>85</v>
      </c>
      <c r="N1" t="s">
        <v>86</v>
      </c>
      <c r="O1" t="s">
        <v>87</v>
      </c>
      <c r="P1" t="s">
        <v>88</v>
      </c>
      <c r="Q1" t="s">
        <v>89</v>
      </c>
      <c r="R1" t="s">
        <v>90</v>
      </c>
      <c r="S1" t="s">
        <v>91</v>
      </c>
      <c r="T1" t="s">
        <v>92</v>
      </c>
      <c r="U1" t="s">
        <v>93</v>
      </c>
      <c r="V1" t="s">
        <v>94</v>
      </c>
      <c r="W1" t="s">
        <v>95</v>
      </c>
      <c r="X1" t="s">
        <v>96</v>
      </c>
      <c r="Y1" t="s">
        <v>97</v>
      </c>
    </row>
    <row r="2" spans="1:25">
      <c r="A2" s="4" t="s">
        <v>98</v>
      </c>
      <c r="B2" s="5">
        <f>'Incurred Loss'!B2</f>
        <v>567331.6692</v>
      </c>
      <c r="C2" s="5">
        <f>'Incurred Loss'!C2</f>
        <v>1554404.3456</v>
      </c>
      <c r="D2" s="5">
        <f>'Incurred Loss'!D2</f>
        <v>1902287.8544</v>
      </c>
      <c r="E2" s="5">
        <f>'Incurred Loss'!E2</f>
        <v>2093441.1516</v>
      </c>
      <c r="F2" s="5">
        <f>'Incurred Loss'!F2</f>
        <v>2250668.8524</v>
      </c>
      <c r="G2" s="5">
        <f>'Incurred Loss'!G2</f>
        <v>2402988.1558</v>
      </c>
      <c r="H2" s="5">
        <f>'Incurred Loss'!H2</f>
        <v>2397333.5643</v>
      </c>
      <c r="I2" s="5">
        <f>'Incurred Loss'!I2</f>
        <v>2419690.9269</v>
      </c>
      <c r="J2" s="5">
        <f>'Incurred Loss'!J2</f>
        <v>2437307.5869</v>
      </c>
      <c r="K2" s="5">
        <f>'Incurred Loss'!K2</f>
        <v>2457834.4795</v>
      </c>
      <c r="L2" s="5">
        <f>'Incurred Loss'!L2</f>
        <v>2510536.374</v>
      </c>
      <c r="M2" s="5">
        <f>'Incurred Loss'!M2</f>
        <v>2562761.5102</v>
      </c>
      <c r="N2" s="5">
        <f>'Incurred Loss'!N2</f>
        <v>2559991.01</v>
      </c>
      <c r="O2" s="5">
        <f>'Incurred Loss'!O2</f>
        <v>2618542.6253</v>
      </c>
      <c r="P2" s="5">
        <f>'Incurred Loss'!P2</f>
        <v>2663167.8948</v>
      </c>
      <c r="Q2" s="5">
        <f>'Incurred Loss'!Q2</f>
        <v>2804776.81</v>
      </c>
      <c r="R2" s="5">
        <f>'Incurred Loss'!R2</f>
        <v>2871037.8848</v>
      </c>
      <c r="S2" s="5">
        <f>'Incurred Loss'!S2</f>
        <v>2959799.1689</v>
      </c>
      <c r="T2" s="5">
        <f>'Incurred Loss'!T2</f>
        <v>3012996.3884</v>
      </c>
      <c r="U2" s="5">
        <f>'Incurred Loss'!U2</f>
        <v>3012996.3884</v>
      </c>
      <c r="V2" s="5">
        <f>'Incurred Loss'!V2</f>
        <v>3083594.9884</v>
      </c>
      <c r="W2" s="5">
        <f>'Incurred Loss'!W2</f>
        <v>3126481.9884</v>
      </c>
      <c r="X2" s="5">
        <f>'Incurred Loss'!X2</f>
        <v>3126481.9884</v>
      </c>
      <c r="Y2" s="5">
        <f>'Incurred Loss'!Y2</f>
        <v>3163773.6997</v>
      </c>
    </row>
    <row r="3" spans="1:25">
      <c r="A3" s="4" t="s">
        <v>99</v>
      </c>
      <c r="B3" s="5">
        <f>'Incurred Loss'!B3</f>
        <v>927838.4716</v>
      </c>
      <c r="C3" s="5">
        <f>'Incurred Loss'!C3</f>
        <v>1327207.494</v>
      </c>
      <c r="D3" s="5">
        <f>'Incurred Loss'!D3</f>
        <v>1342822.3208</v>
      </c>
      <c r="E3" s="5">
        <f>'Incurred Loss'!E3</f>
        <v>1604244.318</v>
      </c>
      <c r="F3" s="5">
        <f>'Incurred Loss'!F3</f>
        <v>1625395.9885</v>
      </c>
      <c r="G3" s="5">
        <f>'Incurred Loss'!G3</f>
        <v>1727293.4023</v>
      </c>
      <c r="H3" s="5">
        <f>'Incurred Loss'!H3</f>
        <v>1760101.2711</v>
      </c>
      <c r="I3" s="5">
        <f>'Incurred Loss'!I3</f>
        <v>1760466.7343</v>
      </c>
      <c r="J3" s="5">
        <f>'Incurred Loss'!J3</f>
        <v>1799039.5397</v>
      </c>
      <c r="K3" s="5">
        <f>'Incurred Loss'!K3</f>
        <v>1816376.1146</v>
      </c>
      <c r="L3" s="5">
        <f>'Incurred Loss'!L3</f>
        <v>1835002.2026</v>
      </c>
      <c r="M3" s="5">
        <f>'Incurred Loss'!M3</f>
        <v>1897241.704</v>
      </c>
      <c r="N3" s="5">
        <f>'Incurred Loss'!N3</f>
        <v>1899757.6006</v>
      </c>
      <c r="O3" s="5">
        <f>'Incurred Loss'!O3</f>
        <v>1975947.9264</v>
      </c>
      <c r="P3" s="5">
        <f>'Incurred Loss'!P3</f>
        <v>2028039.1364</v>
      </c>
      <c r="Q3" s="5">
        <f>'Incurred Loss'!Q3</f>
        <v>2057884.5296</v>
      </c>
      <c r="R3" s="5">
        <f>'Incurred Loss'!R3</f>
        <v>2166744.7601</v>
      </c>
      <c r="S3" s="5">
        <f>'Incurred Loss'!S3</f>
        <v>2169205.7481</v>
      </c>
      <c r="T3" s="5">
        <f>'Incurred Loss'!T3</f>
        <v>2169205.7481</v>
      </c>
      <c r="U3" s="5">
        <f>'Incurred Loss'!U3</f>
        <v>2261092.7687</v>
      </c>
      <c r="V3" s="5">
        <f>'Incurred Loss'!V3</f>
        <v>2247056.6453</v>
      </c>
      <c r="W3" s="5">
        <f>'Incurred Loss'!W3</f>
        <v>2327733.7563</v>
      </c>
      <c r="X3" s="5">
        <f>'Incurred Loss'!X3</f>
        <v>2327733.7563</v>
      </c>
    </row>
    <row r="4" spans="1:25">
      <c r="A4" s="4" t="s">
        <v>100</v>
      </c>
      <c r="B4" s="5">
        <f>'Incurred Loss'!B4</f>
        <v>1009363.3596</v>
      </c>
      <c r="C4" s="5">
        <f>'Incurred Loss'!C4</f>
        <v>1458693.7576</v>
      </c>
      <c r="D4" s="5">
        <f>'Incurred Loss'!D4</f>
        <v>1578930.4312</v>
      </c>
      <c r="E4" s="5">
        <f>'Incurred Loss'!E4</f>
        <v>1876931.173</v>
      </c>
      <c r="F4" s="5">
        <f>'Incurred Loss'!F4</f>
        <v>1703633.0403</v>
      </c>
      <c r="G4" s="5">
        <f>'Incurred Loss'!G4</f>
        <v>1819224.3524</v>
      </c>
      <c r="H4" s="5">
        <f>'Incurred Loss'!H4</f>
        <v>1814195.5019</v>
      </c>
      <c r="I4" s="5">
        <f>'Incurred Loss'!I4</f>
        <v>1800500.416</v>
      </c>
      <c r="J4" s="5">
        <f>'Incurred Loss'!J4</f>
        <v>1797139.9227</v>
      </c>
      <c r="K4" s="5">
        <f>'Incurred Loss'!K4</f>
        <v>1801084.8669</v>
      </c>
      <c r="L4" s="5">
        <f>'Incurred Loss'!L4</f>
        <v>1797322.9116</v>
      </c>
      <c r="M4" s="5">
        <f>'Incurred Loss'!M4</f>
        <v>1783419.2233</v>
      </c>
      <c r="N4" s="5">
        <f>'Incurred Loss'!N4</f>
        <v>1774330.2012</v>
      </c>
      <c r="O4" s="5">
        <f>'Incurred Loss'!O4</f>
        <v>1774330.1088</v>
      </c>
      <c r="P4" s="5">
        <f>'Incurred Loss'!P4</f>
        <v>1774330.1088</v>
      </c>
      <c r="Q4" s="5">
        <f>'Incurred Loss'!Q4</f>
        <v>1774330.1088</v>
      </c>
      <c r="R4" s="5">
        <f>'Incurred Loss'!R4</f>
        <v>1778091.5758</v>
      </c>
      <c r="S4" s="5">
        <f>'Incurred Loss'!S4</f>
        <v>1778091.5758</v>
      </c>
      <c r="T4" s="5">
        <f>'Incurred Loss'!T4</f>
        <v>1778091.5758</v>
      </c>
      <c r="U4" s="5">
        <f>'Incurred Loss'!U4</f>
        <v>1778091.5758</v>
      </c>
      <c r="V4" s="5">
        <f>'Incurred Loss'!V4</f>
        <v>1778091.5758</v>
      </c>
      <c r="W4" s="5">
        <f>'Incurred Loss'!W4</f>
        <v>1778091.5758</v>
      </c>
    </row>
    <row r="5" spans="1:25">
      <c r="A5" s="4" t="s">
        <v>101</v>
      </c>
      <c r="B5" s="5">
        <f>'Incurred Loss'!B5</f>
        <v>706990.2156</v>
      </c>
      <c r="C5" s="5">
        <f>'Incurred Loss'!C5</f>
        <v>807081.8756</v>
      </c>
      <c r="D5" s="5">
        <f>'Incurred Loss'!D5</f>
        <v>891146.7297</v>
      </c>
      <c r="E5" s="5">
        <f>'Incurred Loss'!E5</f>
        <v>933370.1028</v>
      </c>
      <c r="F5" s="5">
        <f>'Incurred Loss'!F5</f>
        <v>1055143.9785</v>
      </c>
      <c r="G5" s="5">
        <f>'Incurred Loss'!G5</f>
        <v>1061000.4688</v>
      </c>
      <c r="H5" s="5">
        <f>'Incurred Loss'!H5</f>
        <v>1080582.0132</v>
      </c>
      <c r="I5" s="5">
        <f>'Incurred Loss'!I5</f>
        <v>1088885.0684</v>
      </c>
      <c r="J5" s="5">
        <f>'Incurred Loss'!J5</f>
        <v>1114748.9381</v>
      </c>
      <c r="K5" s="5">
        <f>'Incurred Loss'!K5</f>
        <v>1104800.7904</v>
      </c>
      <c r="L5" s="5">
        <f>'Incurred Loss'!L5</f>
        <v>1130298.0224</v>
      </c>
      <c r="M5" s="5">
        <f>'Incurred Loss'!M5</f>
        <v>1117525.6932</v>
      </c>
      <c r="N5" s="5">
        <f>'Incurred Loss'!N5</f>
        <v>1117975.6768</v>
      </c>
      <c r="O5" s="5">
        <f>'Incurred Loss'!O5</f>
        <v>1118300.2984</v>
      </c>
      <c r="P5" s="5">
        <f>'Incurred Loss'!P5</f>
        <v>1118299.6782</v>
      </c>
      <c r="Q5" s="5">
        <f>'Incurred Loss'!Q5</f>
        <v>1122581.0808</v>
      </c>
      <c r="R5" s="5">
        <f>'Incurred Loss'!R5</f>
        <v>1122581.0808</v>
      </c>
      <c r="S5" s="5">
        <f>'Incurred Loss'!S5</f>
        <v>1122581.0808</v>
      </c>
      <c r="T5" s="5">
        <f>'Incurred Loss'!T5</f>
        <v>1122581.0808</v>
      </c>
      <c r="U5" s="5">
        <f>'Incurred Loss'!U5</f>
        <v>1122614.7306</v>
      </c>
      <c r="V5" s="5">
        <f>'Incurred Loss'!V5</f>
        <v>1122614.7306</v>
      </c>
    </row>
    <row r="6" spans="1:25">
      <c r="A6" s="4" t="s">
        <v>102</v>
      </c>
      <c r="B6" s="5">
        <f>'Incurred Loss'!B6</f>
        <v>1249691.5508</v>
      </c>
      <c r="C6" s="5">
        <f>'Incurred Loss'!C6</f>
        <v>1628221.9514</v>
      </c>
      <c r="D6" s="5">
        <f>'Incurred Loss'!D6</f>
        <v>1779408.0616</v>
      </c>
      <c r="E6" s="5">
        <f>'Incurred Loss'!E6</f>
        <v>1735781.5973</v>
      </c>
      <c r="F6" s="5">
        <f>'Incurred Loss'!F6</f>
        <v>1800284.1468</v>
      </c>
      <c r="G6" s="5">
        <f>'Incurred Loss'!G6</f>
        <v>1829678.4347</v>
      </c>
      <c r="H6" s="5">
        <f>'Incurred Loss'!H6</f>
        <v>1866913.7991</v>
      </c>
      <c r="I6" s="5">
        <f>'Incurred Loss'!I6</f>
        <v>1877458.5247</v>
      </c>
      <c r="J6" s="5">
        <f>'Incurred Loss'!J6</f>
        <v>1901705.9108</v>
      </c>
      <c r="K6" s="5">
        <f>'Incurred Loss'!K6</f>
        <v>1953626.9848</v>
      </c>
      <c r="L6" s="5">
        <f>'Incurred Loss'!L6</f>
        <v>1976524.5916</v>
      </c>
      <c r="M6" s="5">
        <f>'Incurred Loss'!M6</f>
        <v>2212537.6908</v>
      </c>
      <c r="N6" s="5">
        <f>'Incurred Loss'!N6</f>
        <v>2212549.5672</v>
      </c>
      <c r="O6" s="5">
        <f>'Incurred Loss'!O6</f>
        <v>2171748.9472</v>
      </c>
      <c r="P6" s="5">
        <f>'Incurred Loss'!P6</f>
        <v>2193366.7399</v>
      </c>
      <c r="Q6" s="5">
        <f>'Incurred Loss'!Q6</f>
        <v>2208705.4536</v>
      </c>
      <c r="R6" s="5">
        <f>'Incurred Loss'!R6</f>
        <v>2242149.1321</v>
      </c>
      <c r="S6" s="5">
        <f>'Incurred Loss'!S6</f>
        <v>2242149.1321</v>
      </c>
      <c r="T6" s="5">
        <f>'Incurred Loss'!T6</f>
        <v>2242149.1321</v>
      </c>
      <c r="U6" s="5">
        <f>'Incurred Loss'!U6</f>
        <v>2242149.1321</v>
      </c>
    </row>
    <row r="7" spans="1:25">
      <c r="A7" s="4" t="s">
        <v>103</v>
      </c>
      <c r="B7" s="5">
        <f>'Incurred Loss'!B7</f>
        <v>765985.3353</v>
      </c>
      <c r="C7" s="5">
        <f>'Incurred Loss'!C7</f>
        <v>1158099.949</v>
      </c>
      <c r="D7" s="5">
        <f>'Incurred Loss'!D7</f>
        <v>1006637.0924</v>
      </c>
      <c r="E7" s="5">
        <f>'Incurred Loss'!E7</f>
        <v>1076536.2516</v>
      </c>
      <c r="F7" s="5">
        <f>'Incurred Loss'!F7</f>
        <v>1086240.5108</v>
      </c>
      <c r="G7" s="5">
        <f>'Incurred Loss'!G7</f>
        <v>1141033.2455</v>
      </c>
      <c r="H7" s="5">
        <f>'Incurred Loss'!H7</f>
        <v>1191316.1021</v>
      </c>
      <c r="I7" s="5">
        <f>'Incurred Loss'!I7</f>
        <v>1169378.0556</v>
      </c>
      <c r="J7" s="5">
        <f>'Incurred Loss'!J7</f>
        <v>1199839.2137</v>
      </c>
      <c r="K7" s="5">
        <f>'Incurred Loss'!K7</f>
        <v>1244365.6452</v>
      </c>
      <c r="L7" s="5">
        <f>'Incurred Loss'!L7</f>
        <v>1347851.3164</v>
      </c>
      <c r="M7" s="5">
        <f>'Incurred Loss'!M7</f>
        <v>1428877.3956</v>
      </c>
      <c r="N7" s="5">
        <f>'Incurred Loss'!N7</f>
        <v>1468194.3366</v>
      </c>
      <c r="O7" s="5">
        <f>'Incurred Loss'!O7</f>
        <v>1484004.1739</v>
      </c>
      <c r="P7" s="5">
        <f>'Incurred Loss'!P7</f>
        <v>1484861.9139</v>
      </c>
      <c r="Q7" s="5">
        <f>'Incurred Loss'!Q7</f>
        <v>1502016.7139</v>
      </c>
      <c r="R7" s="5">
        <f>'Incurred Loss'!R7</f>
        <v>1506635.3139</v>
      </c>
      <c r="S7" s="5">
        <f>'Incurred Loss'!S7</f>
        <v>1517636.7927</v>
      </c>
      <c r="T7" s="5">
        <f>'Incurred Loss'!T7</f>
        <v>1517636.7927</v>
      </c>
    </row>
    <row r="8" spans="1:25">
      <c r="A8" s="4" t="s">
        <v>104</v>
      </c>
      <c r="B8" s="5">
        <f>'Incurred Loss'!B8</f>
        <v>1724656.8811</v>
      </c>
      <c r="C8" s="5">
        <f>'Incurred Loss'!C8</f>
        <v>1877762.5606</v>
      </c>
      <c r="D8" s="5">
        <f>'Incurred Loss'!D8</f>
        <v>2045106.7768</v>
      </c>
      <c r="E8" s="5">
        <f>'Incurred Loss'!E8</f>
        <v>2291428.8419</v>
      </c>
      <c r="F8" s="5">
        <f>'Incurred Loss'!F8</f>
        <v>2554191.4604</v>
      </c>
      <c r="G8" s="5">
        <f>'Incurred Loss'!G8</f>
        <v>3049073.7774</v>
      </c>
      <c r="H8" s="5">
        <f>'Incurred Loss'!H8</f>
        <v>3243034.4444</v>
      </c>
      <c r="I8" s="5">
        <f>'Incurred Loss'!I8</f>
        <v>3598222.0844</v>
      </c>
      <c r="J8" s="5">
        <f>'Incurred Loss'!J8</f>
        <v>3855992.6032</v>
      </c>
      <c r="K8" s="5">
        <f>'Incurred Loss'!K8</f>
        <v>4247900.6072</v>
      </c>
      <c r="L8" s="5">
        <f>'Incurred Loss'!L8</f>
        <v>4378240.1384</v>
      </c>
      <c r="M8" s="5">
        <f>'Incurred Loss'!M8</f>
        <v>4504737.6146</v>
      </c>
      <c r="N8" s="5">
        <f>'Incurred Loss'!N8</f>
        <v>4577330.1566</v>
      </c>
      <c r="O8" s="5">
        <f>'Incurred Loss'!O8</f>
        <v>4581600.0523</v>
      </c>
      <c r="P8" s="5">
        <f>'Incurred Loss'!P8</f>
        <v>4781468.7005</v>
      </c>
      <c r="Q8" s="5">
        <f>'Incurred Loss'!Q8</f>
        <v>4781468.7005</v>
      </c>
      <c r="R8" s="5">
        <f>'Incurred Loss'!R8</f>
        <v>4798643.3473</v>
      </c>
      <c r="S8" s="5">
        <f>'Incurred Loss'!S8</f>
        <v>4810774.6148</v>
      </c>
    </row>
    <row r="9" spans="1:25">
      <c r="A9" s="4" t="s">
        <v>105</v>
      </c>
      <c r="B9" s="5">
        <f>'Incurred Loss'!B9</f>
        <v>556352.8875</v>
      </c>
      <c r="C9" s="5">
        <f>'Incurred Loss'!C9</f>
        <v>770915.0442</v>
      </c>
      <c r="D9" s="5">
        <f>'Incurred Loss'!D9</f>
        <v>933165.8683</v>
      </c>
      <c r="E9" s="5">
        <f>'Incurred Loss'!E9</f>
        <v>1298006.7782</v>
      </c>
      <c r="F9" s="5">
        <f>'Incurred Loss'!F9</f>
        <v>1258119.1102</v>
      </c>
      <c r="G9" s="5">
        <f>'Incurred Loss'!G9</f>
        <v>1279315.2512</v>
      </c>
      <c r="H9" s="5">
        <f>'Incurred Loss'!H9</f>
        <v>1286243.9166</v>
      </c>
      <c r="I9" s="5">
        <f>'Incurred Loss'!I9</f>
        <v>1303173.6192</v>
      </c>
      <c r="J9" s="5">
        <f>'Incurred Loss'!J9</f>
        <v>1310621.4416</v>
      </c>
      <c r="K9" s="5">
        <f>'Incurred Loss'!K9</f>
        <v>1356059.2284</v>
      </c>
      <c r="L9" s="5">
        <f>'Incurred Loss'!L9</f>
        <v>1362732.0233</v>
      </c>
      <c r="M9" s="5">
        <f>'Incurred Loss'!M9</f>
        <v>1362957.0151</v>
      </c>
      <c r="N9" s="5">
        <f>'Incurred Loss'!N9</f>
        <v>1343109.2414</v>
      </c>
      <c r="O9" s="5">
        <f>'Incurred Loss'!O9</f>
        <v>1343439.1414</v>
      </c>
      <c r="P9" s="5">
        <f>'Incurred Loss'!P9</f>
        <v>1343439.1414</v>
      </c>
      <c r="Q9" s="5">
        <f>'Incurred Loss'!Q9</f>
        <v>1350037.1414</v>
      </c>
      <c r="R9" s="5">
        <f>'Incurred Loss'!R9</f>
        <v>1378427.9395</v>
      </c>
    </row>
    <row r="10" spans="1:25">
      <c r="A10" s="4" t="s">
        <v>106</v>
      </c>
      <c r="B10" s="5">
        <f>'Incurred Loss'!B10</f>
        <v>357480.3922</v>
      </c>
      <c r="C10" s="5">
        <f>'Incurred Loss'!C10</f>
        <v>872537.4534</v>
      </c>
      <c r="D10" s="5">
        <f>'Incurred Loss'!D10</f>
        <v>822240.0416</v>
      </c>
      <c r="E10" s="5">
        <f>'Incurred Loss'!E10</f>
        <v>842753.923</v>
      </c>
      <c r="F10" s="5">
        <f>'Incurred Loss'!F10</f>
        <v>898761.0856</v>
      </c>
      <c r="G10" s="5">
        <f>'Incurred Loss'!G10</f>
        <v>944889.6302</v>
      </c>
      <c r="H10" s="5">
        <f>'Incurred Loss'!H10</f>
        <v>979272.5208</v>
      </c>
      <c r="I10" s="5">
        <f>'Incurred Loss'!I10</f>
        <v>1120353.596</v>
      </c>
      <c r="J10" s="5">
        <f>'Incurred Loss'!J10</f>
        <v>1120360.194</v>
      </c>
      <c r="K10" s="5">
        <f>'Incurred Loss'!K10</f>
        <v>1120361.8963</v>
      </c>
      <c r="L10" s="5">
        <f>'Incurred Loss'!L10</f>
        <v>1120361.8963</v>
      </c>
      <c r="M10" s="5">
        <f>'Incurred Loss'!M10</f>
        <v>1135537.2963</v>
      </c>
      <c r="N10" s="5">
        <f>'Incurred Loss'!N10</f>
        <v>1169581.0893</v>
      </c>
      <c r="O10" s="5">
        <f>'Incurred Loss'!O10</f>
        <v>1169581.0893</v>
      </c>
      <c r="P10" s="5">
        <f>'Incurred Loss'!P10</f>
        <v>1169581.0893</v>
      </c>
      <c r="Q10" s="5">
        <f>'Incurred Loss'!Q10</f>
        <v>1169581.0893</v>
      </c>
    </row>
    <row r="11" spans="1:25">
      <c r="A11" s="4" t="s">
        <v>107</v>
      </c>
      <c r="B11" s="5">
        <f>'Incurred Loss'!B11</f>
        <v>360030.44</v>
      </c>
      <c r="C11" s="5">
        <f>'Incurred Loss'!C11</f>
        <v>730590.3643</v>
      </c>
      <c r="D11" s="5">
        <f>'Incurred Loss'!D11</f>
        <v>951322.0996</v>
      </c>
      <c r="E11" s="5">
        <f>'Incurred Loss'!E11</f>
        <v>1105337.8676</v>
      </c>
      <c r="F11" s="5">
        <f>'Incurred Loss'!F11</f>
        <v>1236185.7351</v>
      </c>
      <c r="G11" s="5">
        <f>'Incurred Loss'!G11</f>
        <v>1222899.712</v>
      </c>
      <c r="H11" s="5">
        <f>'Incurred Loss'!H11</f>
        <v>1271367.3004</v>
      </c>
      <c r="I11" s="5">
        <f>'Incurred Loss'!I11</f>
        <v>1272863.7268</v>
      </c>
      <c r="J11" s="5">
        <f>'Incurred Loss'!J11</f>
        <v>1266822.057</v>
      </c>
      <c r="K11" s="5">
        <f>'Incurred Loss'!K11</f>
        <v>1267621.5366</v>
      </c>
      <c r="L11" s="5">
        <f>'Incurred Loss'!L11</f>
        <v>1268616.515</v>
      </c>
      <c r="M11" s="5">
        <f>'Incurred Loss'!M11</f>
        <v>1268690.4126</v>
      </c>
      <c r="N11" s="5">
        <f>'Incurred Loss'!N11</f>
        <v>1270339.9126</v>
      </c>
      <c r="O11" s="5">
        <f>'Incurred Loss'!O11</f>
        <v>1270069.2627</v>
      </c>
      <c r="P11" s="5">
        <f>'Incurred Loss'!P11</f>
        <v>1277672.0721</v>
      </c>
    </row>
    <row r="12" spans="1:25">
      <c r="A12" s="4" t="s">
        <v>108</v>
      </c>
      <c r="B12" s="5">
        <f>'Incurred Loss'!B12</f>
        <v>454047.3346</v>
      </c>
      <c r="C12" s="5">
        <f>'Incurred Loss'!C12</f>
        <v>886919.7606</v>
      </c>
      <c r="D12" s="5">
        <f>'Incurred Loss'!D12</f>
        <v>1308017.8708</v>
      </c>
      <c r="E12" s="5">
        <f>'Incurred Loss'!E12</f>
        <v>1510353.973</v>
      </c>
      <c r="F12" s="5">
        <f>'Incurred Loss'!F12</f>
        <v>1611539.0668</v>
      </c>
      <c r="G12" s="5">
        <f>'Incurred Loss'!G12</f>
        <v>1740504.8944</v>
      </c>
      <c r="H12" s="5">
        <f>'Incurred Loss'!H12</f>
        <v>1836702.4148</v>
      </c>
      <c r="I12" s="5">
        <f>'Incurred Loss'!I12</f>
        <v>1836817.6951</v>
      </c>
      <c r="J12" s="5">
        <f>'Incurred Loss'!J12</f>
        <v>1862143.4583</v>
      </c>
      <c r="K12" s="5">
        <f>'Incurred Loss'!K12</f>
        <v>1869290.4119</v>
      </c>
      <c r="L12" s="5">
        <f>'Incurred Loss'!L12</f>
        <v>1921985.9327</v>
      </c>
      <c r="M12" s="5">
        <f>'Incurred Loss'!M12</f>
        <v>1916081.5804</v>
      </c>
      <c r="N12" s="5">
        <f>'Incurred Loss'!N12</f>
        <v>1916081.5804</v>
      </c>
      <c r="O12" s="5">
        <f>'Incurred Loss'!O12</f>
        <v>1916081.5804</v>
      </c>
    </row>
    <row r="13" spans="1:25">
      <c r="A13" s="4" t="s">
        <v>109</v>
      </c>
      <c r="B13" s="5">
        <f>'Incurred Loss'!B13</f>
        <v>335887.1044</v>
      </c>
      <c r="C13" s="5">
        <f>'Incurred Loss'!C13</f>
        <v>682490.522</v>
      </c>
      <c r="D13" s="5">
        <f>'Incurred Loss'!D13</f>
        <v>892010.9489</v>
      </c>
      <c r="E13" s="5">
        <f>'Incurred Loss'!E13</f>
        <v>969399.2736</v>
      </c>
      <c r="F13" s="5">
        <f>'Incurred Loss'!F13</f>
        <v>966369.472</v>
      </c>
      <c r="G13" s="5">
        <f>'Incurred Loss'!G13</f>
        <v>974833.3864</v>
      </c>
      <c r="H13" s="5">
        <f>'Incurred Loss'!H13</f>
        <v>978738.6634</v>
      </c>
      <c r="I13" s="5">
        <f>'Incurred Loss'!I13</f>
        <v>1029196.2086</v>
      </c>
      <c r="J13" s="5">
        <f>'Incurred Loss'!J13</f>
        <v>1086698.5968</v>
      </c>
      <c r="K13" s="5">
        <f>'Incurred Loss'!K13</f>
        <v>1148149.3733</v>
      </c>
      <c r="L13" s="5">
        <f>'Incurred Loss'!L13</f>
        <v>1156726.7733</v>
      </c>
      <c r="M13" s="5">
        <f>'Incurred Loss'!M13</f>
        <v>1363753.3805</v>
      </c>
      <c r="N13" s="5">
        <f>'Incurred Loss'!N13</f>
        <v>1363753.3805</v>
      </c>
    </row>
    <row r="14" spans="1:25">
      <c r="A14" s="4" t="s">
        <v>110</v>
      </c>
      <c r="B14" s="5">
        <f>'Incurred Loss'!B14</f>
        <v>279096.7196</v>
      </c>
      <c r="C14" s="5">
        <f>'Incurred Loss'!C14</f>
        <v>509656.1495</v>
      </c>
      <c r="D14" s="5">
        <f>'Incurred Loss'!D14</f>
        <v>554121.1536</v>
      </c>
      <c r="E14" s="5">
        <f>'Incurred Loss'!E14</f>
        <v>668048.8196</v>
      </c>
      <c r="F14" s="5">
        <f>'Incurred Loss'!F14</f>
        <v>708646.3136</v>
      </c>
      <c r="G14" s="5">
        <f>'Incurred Loss'!G14</f>
        <v>706804.6403</v>
      </c>
      <c r="H14" s="5">
        <f>'Incurred Loss'!H14</f>
        <v>707153.1202</v>
      </c>
      <c r="I14" s="5">
        <f>'Incurred Loss'!I14</f>
        <v>707153.1202</v>
      </c>
      <c r="J14" s="5">
        <f>'Incurred Loss'!J14</f>
        <v>708518.7743</v>
      </c>
      <c r="K14" s="5">
        <f>'Incurred Loss'!K14</f>
        <v>708518.7743</v>
      </c>
      <c r="L14" s="5">
        <f>'Incurred Loss'!L14</f>
        <v>708529.9909</v>
      </c>
      <c r="M14" s="5">
        <f>'Incurred Loss'!M14</f>
        <v>708529.9909</v>
      </c>
    </row>
    <row r="15" spans="1:25">
      <c r="A15" s="4" t="s">
        <v>111</v>
      </c>
      <c r="B15" s="5">
        <f>'Incurred Loss'!B15</f>
        <v>579453.8975</v>
      </c>
      <c r="C15" s="5">
        <f>'Incurred Loss'!C15</f>
        <v>791674.226</v>
      </c>
      <c r="D15" s="5">
        <f>'Incurred Loss'!D15</f>
        <v>1117488.7444</v>
      </c>
      <c r="E15" s="5">
        <f>'Incurred Loss'!E15</f>
        <v>1292116.6908</v>
      </c>
      <c r="F15" s="5">
        <f>'Incurred Loss'!F15</f>
        <v>1310589.9427</v>
      </c>
      <c r="G15" s="5">
        <f>'Incurred Loss'!G15</f>
        <v>1355751.9331</v>
      </c>
      <c r="H15" s="5">
        <f>'Incurred Loss'!H15</f>
        <v>1316935.0942</v>
      </c>
      <c r="I15" s="5">
        <f>'Incurred Loss'!I15</f>
        <v>1316935.0942</v>
      </c>
      <c r="J15" s="5">
        <f>'Incurred Loss'!J15</f>
        <v>1371038.6942</v>
      </c>
      <c r="K15" s="5">
        <f>'Incurred Loss'!K15</f>
        <v>1399322.0241</v>
      </c>
      <c r="L15" s="5">
        <f>'Incurred Loss'!L15</f>
        <v>1389603.6847</v>
      </c>
    </row>
    <row r="16" spans="1:25">
      <c r="A16" s="4" t="s">
        <v>112</v>
      </c>
      <c r="B16" s="5">
        <f>'Incurred Loss'!B16</f>
        <v>538066.9</v>
      </c>
      <c r="C16" s="5">
        <f>'Incurred Loss'!C16</f>
        <v>1068443.1712</v>
      </c>
      <c r="D16" s="5">
        <f>'Incurred Loss'!D16</f>
        <v>1605602.1864</v>
      </c>
      <c r="E16" s="5">
        <f>'Incurred Loss'!E16</f>
        <v>2133023.2398</v>
      </c>
      <c r="F16" s="5">
        <f>'Incurred Loss'!F16</f>
        <v>2358964.558</v>
      </c>
      <c r="G16" s="5">
        <f>'Incurred Loss'!G16</f>
        <v>2680270.1351</v>
      </c>
      <c r="H16" s="5">
        <f>'Incurred Loss'!H16</f>
        <v>3055333.4055</v>
      </c>
      <c r="I16" s="5">
        <f>'Incurred Loss'!I16</f>
        <v>3076051.1255</v>
      </c>
      <c r="J16" s="5">
        <f>'Incurred Loss'!J16</f>
        <v>3086205.1704</v>
      </c>
      <c r="K16" s="5">
        <f>'Incurred Loss'!K16</f>
        <v>3382963.2581</v>
      </c>
    </row>
    <row r="17" spans="1:24">
      <c r="A17" s="4" t="s">
        <v>113</v>
      </c>
      <c r="B17" s="5">
        <f>'Incurred Loss'!B17</f>
        <v>687801.912</v>
      </c>
      <c r="C17" s="5">
        <f>'Incurred Loss'!C17</f>
        <v>1285960.7568</v>
      </c>
      <c r="D17" s="5">
        <f>'Incurred Loss'!D17</f>
        <v>1733469.988</v>
      </c>
      <c r="E17" s="5">
        <f>'Incurred Loss'!E17</f>
        <v>1884267.6211</v>
      </c>
      <c r="F17" s="5">
        <f>'Incurred Loss'!F17</f>
        <v>2152415.9626</v>
      </c>
      <c r="G17" s="5">
        <f>'Incurred Loss'!G17</f>
        <v>2220417.4843</v>
      </c>
      <c r="H17" s="5">
        <f>'Incurred Loss'!H17</f>
        <v>2503620.4692</v>
      </c>
      <c r="I17" s="5">
        <f>'Incurred Loss'!I17</f>
        <v>2503024.6434</v>
      </c>
      <c r="J17" s="5">
        <f>'Incurred Loss'!J17</f>
        <v>2506323.6434</v>
      </c>
    </row>
    <row r="18" spans="1:24">
      <c r="A18" s="4" t="s">
        <v>114</v>
      </c>
      <c r="B18" s="5">
        <f>'Incurred Loss'!B18</f>
        <v>461326.8816</v>
      </c>
      <c r="C18" s="5">
        <f>'Incurred Loss'!C18</f>
        <v>614872.6873</v>
      </c>
      <c r="D18" s="5">
        <f>'Incurred Loss'!D18</f>
        <v>635999.2061</v>
      </c>
      <c r="E18" s="5">
        <f>'Incurred Loss'!E18</f>
        <v>832770.2121</v>
      </c>
      <c r="F18" s="5">
        <f>'Incurred Loss'!F18</f>
        <v>895289.4819</v>
      </c>
      <c r="G18" s="5">
        <f>'Incurred Loss'!G18</f>
        <v>1014108.2981</v>
      </c>
      <c r="H18" s="5">
        <f>'Incurred Loss'!H18</f>
        <v>1168952.8937</v>
      </c>
      <c r="I18" s="5">
        <f>'Incurred Loss'!I18</f>
        <v>1205811.8289</v>
      </c>
    </row>
    <row r="19" spans="1:24">
      <c r="A19" s="4" t="s">
        <v>115</v>
      </c>
      <c r="B19" s="5">
        <f>'Incurred Loss'!B19</f>
        <v>507983.8204</v>
      </c>
      <c r="C19" s="5">
        <f>'Incurred Loss'!C19</f>
        <v>1168067.9171</v>
      </c>
      <c r="D19" s="5">
        <f>'Incurred Loss'!D19</f>
        <v>1668858.2021</v>
      </c>
      <c r="E19" s="5">
        <f>'Incurred Loss'!E19</f>
        <v>2316819.635</v>
      </c>
      <c r="F19" s="5">
        <f>'Incurred Loss'!F19</f>
        <v>2303518.1066</v>
      </c>
      <c r="G19" s="5">
        <f>'Incurred Loss'!G19</f>
        <v>2333675.3477</v>
      </c>
      <c r="H19" s="5">
        <f>'Incurred Loss'!H19</f>
        <v>2395448.4233</v>
      </c>
    </row>
    <row r="20" spans="1:24">
      <c r="A20" s="4" t="s">
        <v>116</v>
      </c>
      <c r="B20" s="5">
        <f>'Incurred Loss'!B20</f>
        <v>407914.8312</v>
      </c>
      <c r="C20" s="5">
        <f>'Incurred Loss'!C20</f>
        <v>1124607.0627</v>
      </c>
      <c r="D20" s="5">
        <f>'Incurred Loss'!D20</f>
        <v>1740054.5413</v>
      </c>
      <c r="E20" s="5">
        <f>'Incurred Loss'!E20</f>
        <v>2000563.0454</v>
      </c>
      <c r="F20" s="5">
        <f>'Incurred Loss'!F20</f>
        <v>2127378.6904</v>
      </c>
      <c r="G20" s="5">
        <f>'Incurred Loss'!G20</f>
        <v>2599882.8743</v>
      </c>
    </row>
    <row r="21" spans="1:24">
      <c r="A21" s="4" t="s">
        <v>117</v>
      </c>
      <c r="B21" s="5">
        <f>'Incurred Loss'!B21</f>
        <v>522102.6035</v>
      </c>
      <c r="C21" s="5">
        <f>'Incurred Loss'!C21</f>
        <v>931915.521</v>
      </c>
      <c r="D21" s="5">
        <f>'Incurred Loss'!D21</f>
        <v>916291.8001</v>
      </c>
      <c r="E21" s="5">
        <f>'Incurred Loss'!E21</f>
        <v>969468.3019</v>
      </c>
      <c r="F21" s="5">
        <f>'Incurred Loss'!F21</f>
        <v>978899.5095</v>
      </c>
    </row>
    <row r="22" spans="1:24">
      <c r="A22" s="4" t="s">
        <v>118</v>
      </c>
      <c r="B22" s="5">
        <f>'Incurred Loss'!B22</f>
        <v>549457.067</v>
      </c>
      <c r="C22" s="5">
        <f>'Incurred Loss'!C22</f>
        <v>800935.1524</v>
      </c>
      <c r="D22" s="5">
        <f>'Incurred Loss'!D22</f>
        <v>980316.7863</v>
      </c>
      <c r="E22" s="5">
        <f>'Incurred Loss'!E22</f>
        <v>1011313.2797</v>
      </c>
    </row>
    <row r="23" spans="1:24">
      <c r="A23" s="4" t="s">
        <v>119</v>
      </c>
      <c r="B23" s="5">
        <f>'Incurred Loss'!B23</f>
        <v>694623.0036</v>
      </c>
      <c r="C23" s="5">
        <f>'Incurred Loss'!C23</f>
        <v>851655.8786</v>
      </c>
      <c r="D23" s="5">
        <f>'Incurred Loss'!D23</f>
        <v>827416.1066</v>
      </c>
    </row>
    <row r="24" spans="1:24">
      <c r="A24" s="4" t="s">
        <v>120</v>
      </c>
      <c r="B24" s="5">
        <f>'Incurred Loss'!B24</f>
        <v>975000.3026</v>
      </c>
      <c r="C24" s="5">
        <f>'Incurred Loss'!C24</f>
        <v>1651756.6744</v>
      </c>
    </row>
    <row r="25" spans="1:24">
      <c r="A25" s="4" t="s">
        <v>121</v>
      </c>
      <c r="B25" s="5">
        <f>'Incurred Loss'!B25</f>
        <v>890155.2218</v>
      </c>
    </row>
    <row r="26" spans="1:24">
      <c r="A26" s="4"/>
    </row>
    <row r="27" spans="1:24">
      <c r="A27" s="4" t="s">
        <v>73</v>
      </c>
      <c r="B27" t="s">
        <v>122</v>
      </c>
      <c r="C27" t="s">
        <v>123</v>
      </c>
      <c r="D27" t="s">
        <v>124</v>
      </c>
      <c r="E27" t="s">
        <v>125</v>
      </c>
      <c r="F27" t="s">
        <v>126</v>
      </c>
      <c r="G27" t="s">
        <v>127</v>
      </c>
      <c r="H27" t="s">
        <v>128</v>
      </c>
      <c r="I27" t="s">
        <v>129</v>
      </c>
      <c r="J27" t="s">
        <v>130</v>
      </c>
      <c r="K27" t="s">
        <v>131</v>
      </c>
      <c r="L27" t="s">
        <v>132</v>
      </c>
      <c r="M27" t="s">
        <v>133</v>
      </c>
      <c r="N27" t="s">
        <v>134</v>
      </c>
      <c r="O27" t="s">
        <v>135</v>
      </c>
      <c r="P27" t="s">
        <v>136</v>
      </c>
      <c r="Q27" t="s">
        <v>137</v>
      </c>
      <c r="R27" t="s">
        <v>138</v>
      </c>
      <c r="S27" t="s">
        <v>139</v>
      </c>
      <c r="T27" t="s">
        <v>140</v>
      </c>
      <c r="U27" t="s">
        <v>141</v>
      </c>
      <c r="V27" t="s">
        <v>142</v>
      </c>
      <c r="W27" t="s">
        <v>143</v>
      </c>
      <c r="X27" t="s">
        <v>144</v>
      </c>
    </row>
    <row r="28" spans="1:24">
      <c r="A28" s="4" t="s">
        <v>98</v>
      </c>
      <c r="B28" s="5">
        <f>'Incurred Loss'!B28</f>
        <v>2.7399</v>
      </c>
      <c r="C28" s="5">
        <f>'Incurred Loss'!C28</f>
        <v>1.2238</v>
      </c>
      <c r="D28" s="5">
        <f>'Incurred Loss'!D28</f>
        <v>1.1005</v>
      </c>
      <c r="E28" s="5">
        <f>'Incurred Loss'!E28</f>
        <v>1.0751</v>
      </c>
      <c r="F28" s="5">
        <f>'Incurred Loss'!F28</f>
        <v>1.0677</v>
      </c>
      <c r="G28" s="5">
        <f>'Incurred Loss'!G28</f>
        <v>0.9976</v>
      </c>
      <c r="H28" s="5">
        <f>'Incurred Loss'!H28</f>
        <v>1.0093</v>
      </c>
      <c r="I28" s="5">
        <f>'Incurred Loss'!I28</f>
        <v>1.0073</v>
      </c>
      <c r="J28" s="5">
        <f>'Incurred Loss'!J28</f>
        <v>1.0084</v>
      </c>
      <c r="K28" s="5">
        <f>'Incurred Loss'!K28</f>
        <v>1.0214</v>
      </c>
      <c r="L28" s="5">
        <f>'Incurred Loss'!L28</f>
        <v>1.0208</v>
      </c>
      <c r="M28" s="5">
        <f>'Incurred Loss'!M28</f>
        <v>0.9989</v>
      </c>
      <c r="N28" s="5">
        <f>'Incurred Loss'!N28</f>
        <v>1.0229</v>
      </c>
      <c r="O28" s="5">
        <f>'Incurred Loss'!O28</f>
        <v>1.017</v>
      </c>
      <c r="P28" s="5">
        <f>'Incurred Loss'!P28</f>
        <v>1.0532</v>
      </c>
      <c r="Q28" s="5">
        <f>'Incurred Loss'!Q28</f>
        <v>1.0236</v>
      </c>
      <c r="R28" s="5">
        <f>'Incurred Loss'!R28</f>
        <v>1.0309</v>
      </c>
      <c r="S28" s="5">
        <f>'Incurred Loss'!S28</f>
        <v>1.018</v>
      </c>
      <c r="T28" s="5">
        <f>'Incurred Loss'!T28</f>
        <v>1</v>
      </c>
      <c r="U28" s="5">
        <f>'Incurred Loss'!U28</f>
        <v>1.0234</v>
      </c>
      <c r="V28" s="5">
        <f>'Incurred Loss'!V28</f>
        <v>1.0139</v>
      </c>
      <c r="W28" s="5">
        <f>'Incurred Loss'!W28</f>
        <v>1</v>
      </c>
      <c r="X28" s="5">
        <f>'Incurred Loss'!X28</f>
        <v>1.0119</v>
      </c>
    </row>
    <row r="29" spans="1:24">
      <c r="A29" s="4" t="s">
        <v>99</v>
      </c>
      <c r="B29" s="5">
        <f>'Incurred Loss'!B29</f>
        <v>1.4304</v>
      </c>
      <c r="C29" s="5">
        <f>'Incurred Loss'!C29</f>
        <v>1.0118</v>
      </c>
      <c r="D29" s="5">
        <f>'Incurred Loss'!D29</f>
        <v>1.1947</v>
      </c>
      <c r="E29" s="5">
        <f>'Incurred Loss'!E29</f>
        <v>1.0132</v>
      </c>
      <c r="F29" s="5">
        <f>'Incurred Loss'!F29</f>
        <v>1.0627</v>
      </c>
      <c r="G29" s="5">
        <f>'Incurred Loss'!G29</f>
        <v>1.019</v>
      </c>
      <c r="H29" s="5">
        <f>'Incurred Loss'!H29</f>
        <v>1.0002</v>
      </c>
      <c r="I29" s="5">
        <f>'Incurred Loss'!I29</f>
        <v>1.0219</v>
      </c>
      <c r="J29" s="5">
        <f>'Incurred Loss'!J29</f>
        <v>1.0096</v>
      </c>
      <c r="K29" s="5">
        <f>'Incurred Loss'!K29</f>
        <v>1.0103</v>
      </c>
      <c r="L29" s="5">
        <f>'Incurred Loss'!L29</f>
        <v>1.0339</v>
      </c>
      <c r="M29" s="5">
        <f>'Incurred Loss'!M29</f>
        <v>1.0013</v>
      </c>
      <c r="N29" s="5">
        <f>'Incurred Loss'!N29</f>
        <v>1.0401</v>
      </c>
      <c r="O29" s="5">
        <f>'Incurred Loss'!O29</f>
        <v>1.0264</v>
      </c>
      <c r="P29" s="5">
        <f>'Incurred Loss'!P29</f>
        <v>1.0147</v>
      </c>
      <c r="Q29" s="5">
        <f>'Incurred Loss'!Q29</f>
        <v>1.0529</v>
      </c>
      <c r="R29" s="5">
        <f>'Incurred Loss'!R29</f>
        <v>1.0011</v>
      </c>
      <c r="S29" s="5">
        <f>'Incurred Loss'!S29</f>
        <v>1</v>
      </c>
      <c r="T29" s="5">
        <f>'Incurred Loss'!T29</f>
        <v>1.0424</v>
      </c>
      <c r="U29" s="5">
        <f>'Incurred Loss'!U29</f>
        <v>0.9938</v>
      </c>
      <c r="V29" s="5">
        <f>'Incurred Loss'!V29</f>
        <v>1.0359</v>
      </c>
      <c r="W29" s="5">
        <f>'Incurred Loss'!W29</f>
        <v>1</v>
      </c>
    </row>
    <row r="30" spans="1:24">
      <c r="A30" s="4" t="s">
        <v>100</v>
      </c>
      <c r="B30" s="5">
        <f>'Incurred Loss'!B30</f>
        <v>1.4452</v>
      </c>
      <c r="C30" s="5">
        <f>'Incurred Loss'!C30</f>
        <v>1.0824</v>
      </c>
      <c r="D30" s="5">
        <f>'Incurred Loss'!D30</f>
        <v>1.1887</v>
      </c>
      <c r="E30" s="5">
        <f>'Incurred Loss'!E30</f>
        <v>0.9077</v>
      </c>
      <c r="F30" s="5">
        <f>'Incurred Loss'!F30</f>
        <v>1.0678</v>
      </c>
      <c r="G30" s="5">
        <f>'Incurred Loss'!G30</f>
        <v>0.9972</v>
      </c>
      <c r="H30" s="5">
        <f>'Incurred Loss'!H30</f>
        <v>0.9925</v>
      </c>
      <c r="I30" s="5">
        <f>'Incurred Loss'!I30</f>
        <v>0.9981</v>
      </c>
      <c r="J30" s="5">
        <f>'Incurred Loss'!J30</f>
        <v>1.0022</v>
      </c>
      <c r="K30" s="5">
        <f>'Incurred Loss'!K30</f>
        <v>0.9979</v>
      </c>
      <c r="L30" s="5">
        <f>'Incurred Loss'!L30</f>
        <v>0.9923</v>
      </c>
      <c r="M30" s="5">
        <f>'Incurred Loss'!M30</f>
        <v>0.9949</v>
      </c>
      <c r="N30" s="5">
        <f>'Incurred Loss'!N30</f>
        <v>1</v>
      </c>
      <c r="O30" s="5">
        <f>'Incurred Loss'!O30</f>
        <v>1</v>
      </c>
      <c r="P30" s="5">
        <f>'Incurred Loss'!P30</f>
        <v>1</v>
      </c>
      <c r="Q30" s="5">
        <f>'Incurred Loss'!Q30</f>
        <v>1.0021</v>
      </c>
      <c r="R30" s="5">
        <f>'Incurred Loss'!R30</f>
        <v>1</v>
      </c>
      <c r="S30" s="5">
        <f>'Incurred Loss'!S30</f>
        <v>1</v>
      </c>
      <c r="T30" s="5">
        <f>'Incurred Loss'!T30</f>
        <v>1</v>
      </c>
      <c r="U30" s="5">
        <f>'Incurred Loss'!U30</f>
        <v>1</v>
      </c>
      <c r="V30" s="5">
        <f>'Incurred Loss'!V30</f>
        <v>1</v>
      </c>
    </row>
    <row r="31" spans="1:24">
      <c r="A31" s="4" t="s">
        <v>101</v>
      </c>
      <c r="B31" s="5">
        <f>'Incurred Loss'!B31</f>
        <v>1.1416</v>
      </c>
      <c r="C31" s="5">
        <f>'Incurred Loss'!C31</f>
        <v>1.1042</v>
      </c>
      <c r="D31" s="5">
        <f>'Incurred Loss'!D31</f>
        <v>1.0474</v>
      </c>
      <c r="E31" s="5">
        <f>'Incurred Loss'!E31</f>
        <v>1.1305</v>
      </c>
      <c r="F31" s="5">
        <f>'Incurred Loss'!F31</f>
        <v>1.0056</v>
      </c>
      <c r="G31" s="5">
        <f>'Incurred Loss'!G31</f>
        <v>1.0185</v>
      </c>
      <c r="H31" s="5">
        <f>'Incurred Loss'!H31</f>
        <v>1.0077</v>
      </c>
      <c r="I31" s="5">
        <f>'Incurred Loss'!I31</f>
        <v>1.0238</v>
      </c>
      <c r="J31" s="5">
        <f>'Incurred Loss'!J31</f>
        <v>0.9911</v>
      </c>
      <c r="K31" s="5">
        <f>'Incurred Loss'!K31</f>
        <v>1.0231</v>
      </c>
      <c r="L31" s="5">
        <f>'Incurred Loss'!L31</f>
        <v>0.9887</v>
      </c>
      <c r="M31" s="5">
        <f>'Incurred Loss'!M31</f>
        <v>1.0004</v>
      </c>
      <c r="N31" s="5">
        <f>'Incurred Loss'!N31</f>
        <v>1.0003</v>
      </c>
      <c r="O31" s="5">
        <f>'Incurred Loss'!O31</f>
        <v>1</v>
      </c>
      <c r="P31" s="5">
        <f>'Incurred Loss'!P31</f>
        <v>1.0038</v>
      </c>
      <c r="Q31" s="5">
        <f>'Incurred Loss'!Q31</f>
        <v>1</v>
      </c>
      <c r="R31" s="5">
        <f>'Incurred Loss'!R31</f>
        <v>1</v>
      </c>
      <c r="S31" s="5">
        <f>'Incurred Loss'!S31</f>
        <v>1</v>
      </c>
      <c r="T31" s="5">
        <f>'Incurred Loss'!T31</f>
        <v>1</v>
      </c>
      <c r="U31" s="5">
        <f>'Incurred Loss'!U31</f>
        <v>1</v>
      </c>
    </row>
    <row r="32" spans="1:24">
      <c r="A32" s="4" t="s">
        <v>102</v>
      </c>
      <c r="B32" s="5">
        <f>'Incurred Loss'!B32</f>
        <v>1.3029</v>
      </c>
      <c r="C32" s="5">
        <f>'Incurred Loss'!C32</f>
        <v>1.0929</v>
      </c>
      <c r="D32" s="5">
        <f>'Incurred Loss'!D32</f>
        <v>0.9755</v>
      </c>
      <c r="E32" s="5">
        <f>'Incurred Loss'!E32</f>
        <v>1.0372</v>
      </c>
      <c r="F32" s="5">
        <f>'Incurred Loss'!F32</f>
        <v>1.0163</v>
      </c>
      <c r="G32" s="5">
        <f>'Incurred Loss'!G32</f>
        <v>1.0204</v>
      </c>
      <c r="H32" s="5">
        <f>'Incurred Loss'!H32</f>
        <v>1.0056</v>
      </c>
      <c r="I32" s="5">
        <f>'Incurred Loss'!I32</f>
        <v>1.0129</v>
      </c>
      <c r="J32" s="5">
        <f>'Incurred Loss'!J32</f>
        <v>1.0273</v>
      </c>
      <c r="K32" s="5">
        <f>'Incurred Loss'!K32</f>
        <v>1.0117</v>
      </c>
      <c r="L32" s="5">
        <f>'Incurred Loss'!L32</f>
        <v>1.1194</v>
      </c>
      <c r="M32" s="5">
        <f>'Incurred Loss'!M32</f>
        <v>1</v>
      </c>
      <c r="N32" s="5">
        <f>'Incurred Loss'!N32</f>
        <v>0.9816</v>
      </c>
      <c r="O32" s="5">
        <f>'Incurred Loss'!O32</f>
        <v>1.01</v>
      </c>
      <c r="P32" s="5">
        <f>'Incurred Loss'!P32</f>
        <v>1.007</v>
      </c>
      <c r="Q32" s="5">
        <f>'Incurred Loss'!Q32</f>
        <v>1.0151</v>
      </c>
      <c r="R32" s="5">
        <f>'Incurred Loss'!R32</f>
        <v>1</v>
      </c>
      <c r="S32" s="5">
        <f>'Incurred Loss'!S32</f>
        <v>1</v>
      </c>
      <c r="T32" s="5">
        <f>'Incurred Loss'!T32</f>
        <v>1</v>
      </c>
    </row>
    <row r="33" spans="1:19">
      <c r="A33" s="4" t="s">
        <v>103</v>
      </c>
      <c r="B33" s="5">
        <f>'Incurred Loss'!B33</f>
        <v>1.5119</v>
      </c>
      <c r="C33" s="5">
        <f>'Incurred Loss'!C33</f>
        <v>0.8692</v>
      </c>
      <c r="D33" s="5">
        <f>'Incurred Loss'!D33</f>
        <v>1.0694</v>
      </c>
      <c r="E33" s="5">
        <f>'Incurred Loss'!E33</f>
        <v>1.009</v>
      </c>
      <c r="F33" s="5">
        <f>'Incurred Loss'!F33</f>
        <v>1.0504</v>
      </c>
      <c r="G33" s="5">
        <f>'Incurred Loss'!G33</f>
        <v>1.0441</v>
      </c>
      <c r="H33" s="5">
        <f>'Incurred Loss'!H33</f>
        <v>0.9816</v>
      </c>
      <c r="I33" s="5">
        <f>'Incurred Loss'!I33</f>
        <v>1.026</v>
      </c>
      <c r="J33" s="5">
        <f>'Incurred Loss'!J33</f>
        <v>1.0371</v>
      </c>
      <c r="K33" s="5">
        <f>'Incurred Loss'!K33</f>
        <v>1.0832</v>
      </c>
      <c r="L33" s="5">
        <f>'Incurred Loss'!L33</f>
        <v>1.0601</v>
      </c>
      <c r="M33" s="5">
        <f>'Incurred Loss'!M33</f>
        <v>1.0275</v>
      </c>
      <c r="N33" s="5">
        <f>'Incurred Loss'!N33</f>
        <v>1.0108</v>
      </c>
      <c r="O33" s="5">
        <f>'Incurred Loss'!O33</f>
        <v>1.0006</v>
      </c>
      <c r="P33" s="5">
        <f>'Incurred Loss'!P33</f>
        <v>1.0116</v>
      </c>
      <c r="Q33" s="5">
        <f>'Incurred Loss'!Q33</f>
        <v>1.0031</v>
      </c>
      <c r="R33" s="5">
        <f>'Incurred Loss'!R33</f>
        <v>1.0073</v>
      </c>
      <c r="S33" s="5">
        <f>'Incurred Loss'!S33</f>
        <v>1</v>
      </c>
    </row>
    <row r="34" spans="1:19">
      <c r="A34" s="4" t="s">
        <v>104</v>
      </c>
      <c r="B34" s="5">
        <f>'Incurred Loss'!B34</f>
        <v>1.0888</v>
      </c>
      <c r="C34" s="5">
        <f>'Incurred Loss'!C34</f>
        <v>1.0891</v>
      </c>
      <c r="D34" s="5">
        <f>'Incurred Loss'!D34</f>
        <v>1.1204</v>
      </c>
      <c r="E34" s="5">
        <f>'Incurred Loss'!E34</f>
        <v>1.1147</v>
      </c>
      <c r="F34" s="5">
        <f>'Incurred Loss'!F34</f>
        <v>1.1938</v>
      </c>
      <c r="G34" s="5">
        <f>'Incurred Loss'!G34</f>
        <v>1.0636</v>
      </c>
      <c r="H34" s="5">
        <f>'Incurred Loss'!H34</f>
        <v>1.1095</v>
      </c>
      <c r="I34" s="5">
        <f>'Incurred Loss'!I34</f>
        <v>1.0716</v>
      </c>
      <c r="J34" s="5">
        <f>'Incurred Loss'!J34</f>
        <v>1.1016</v>
      </c>
      <c r="K34" s="5">
        <f>'Incurred Loss'!K34</f>
        <v>1.0307</v>
      </c>
      <c r="L34" s="5">
        <f>'Incurred Loss'!L34</f>
        <v>1.0289</v>
      </c>
      <c r="M34" s="5">
        <f>'Incurred Loss'!M34</f>
        <v>1.0161</v>
      </c>
      <c r="N34" s="5">
        <f>'Incurred Loss'!N34</f>
        <v>1.0009</v>
      </c>
      <c r="O34" s="5">
        <f>'Incurred Loss'!O34</f>
        <v>1.0436</v>
      </c>
      <c r="P34" s="5">
        <f>'Incurred Loss'!P34</f>
        <v>1</v>
      </c>
      <c r="Q34" s="5">
        <f>'Incurred Loss'!Q34</f>
        <v>1.0036</v>
      </c>
      <c r="R34" s="5">
        <f>'Incurred Loss'!R34</f>
        <v>1.0025</v>
      </c>
    </row>
    <row r="35" spans="1:19">
      <c r="A35" s="4" t="s">
        <v>105</v>
      </c>
      <c r="B35" s="5">
        <f>'Incurred Loss'!B35</f>
        <v>1.3857</v>
      </c>
      <c r="C35" s="5">
        <f>'Incurred Loss'!C35</f>
        <v>1.2105</v>
      </c>
      <c r="D35" s="5">
        <f>'Incurred Loss'!D35</f>
        <v>1.391</v>
      </c>
      <c r="E35" s="5">
        <f>'Incurred Loss'!E35</f>
        <v>0.9693</v>
      </c>
      <c r="F35" s="5">
        <f>'Incurred Loss'!F35</f>
        <v>1.0168</v>
      </c>
      <c r="G35" s="5">
        <f>'Incurred Loss'!G35</f>
        <v>1.0054</v>
      </c>
      <c r="H35" s="5">
        <f>'Incurred Loss'!H35</f>
        <v>1.0132</v>
      </c>
      <c r="I35" s="5">
        <f>'Incurred Loss'!I35</f>
        <v>1.0057</v>
      </c>
      <c r="J35" s="5">
        <f>'Incurred Loss'!J35</f>
        <v>1.0347</v>
      </c>
      <c r="K35" s="5">
        <f>'Incurred Loss'!K35</f>
        <v>1.0049</v>
      </c>
      <c r="L35" s="5">
        <f>'Incurred Loss'!L35</f>
        <v>1.0002</v>
      </c>
      <c r="M35" s="5">
        <f>'Incurred Loss'!M35</f>
        <v>0.9854</v>
      </c>
      <c r="N35" s="5">
        <f>'Incurred Loss'!N35</f>
        <v>1.0002</v>
      </c>
      <c r="O35" s="5">
        <f>'Incurred Loss'!O35</f>
        <v>1</v>
      </c>
      <c r="P35" s="5">
        <f>'Incurred Loss'!P35</f>
        <v>1.0049</v>
      </c>
      <c r="Q35" s="5">
        <f>'Incurred Loss'!Q35</f>
        <v>1.021</v>
      </c>
    </row>
    <row r="36" spans="1:19">
      <c r="A36" s="4" t="s">
        <v>106</v>
      </c>
      <c r="B36" s="5">
        <f>'Incurred Loss'!B36</f>
        <v>2.4408</v>
      </c>
      <c r="C36" s="5">
        <f>'Incurred Loss'!C36</f>
        <v>0.9424</v>
      </c>
      <c r="D36" s="5">
        <f>'Incurred Loss'!D36</f>
        <v>1.0249</v>
      </c>
      <c r="E36" s="5">
        <f>'Incurred Loss'!E36</f>
        <v>1.0665</v>
      </c>
      <c r="F36" s="5">
        <f>'Incurred Loss'!F36</f>
        <v>1.0513</v>
      </c>
      <c r="G36" s="5">
        <f>'Incurred Loss'!G36</f>
        <v>1.0364</v>
      </c>
      <c r="H36" s="5">
        <f>'Incurred Loss'!H36</f>
        <v>1.1441</v>
      </c>
      <c r="I36" s="5">
        <f>'Incurred Loss'!I36</f>
        <v>1</v>
      </c>
      <c r="J36" s="5">
        <f>'Incurred Loss'!J36</f>
        <v>1</v>
      </c>
      <c r="K36" s="5">
        <f>'Incurred Loss'!K36</f>
        <v>1</v>
      </c>
      <c r="L36" s="5">
        <f>'Incurred Loss'!L36</f>
        <v>1.0135</v>
      </c>
      <c r="M36" s="5">
        <f>'Incurred Loss'!M36</f>
        <v>1.03</v>
      </c>
      <c r="N36" s="5">
        <f>'Incurred Loss'!N36</f>
        <v>1</v>
      </c>
      <c r="O36" s="5">
        <f>'Incurred Loss'!O36</f>
        <v>1</v>
      </c>
      <c r="P36" s="5">
        <f>'Incurred Loss'!P36</f>
        <v>1</v>
      </c>
    </row>
    <row r="37" spans="1:19">
      <c r="A37" s="4" t="s">
        <v>107</v>
      </c>
      <c r="B37" s="5">
        <f>'Incurred Loss'!B37</f>
        <v>2.0292</v>
      </c>
      <c r="C37" s="5">
        <f>'Incurred Loss'!C37</f>
        <v>1.3021</v>
      </c>
      <c r="D37" s="5">
        <f>'Incurred Loss'!D37</f>
        <v>1.1619</v>
      </c>
      <c r="E37" s="5">
        <f>'Incurred Loss'!E37</f>
        <v>1.1184</v>
      </c>
      <c r="F37" s="5">
        <f>'Incurred Loss'!F37</f>
        <v>0.9893</v>
      </c>
      <c r="G37" s="5">
        <f>'Incurred Loss'!G37</f>
        <v>1.0396</v>
      </c>
      <c r="H37" s="5">
        <f>'Incurred Loss'!H37</f>
        <v>1.0012</v>
      </c>
      <c r="I37" s="5">
        <f>'Incurred Loss'!I37</f>
        <v>0.9953</v>
      </c>
      <c r="J37" s="5">
        <f>'Incurred Loss'!J37</f>
        <v>1.0006</v>
      </c>
      <c r="K37" s="5">
        <f>'Incurred Loss'!K37</f>
        <v>1.0008</v>
      </c>
      <c r="L37" s="5">
        <f>'Incurred Loss'!L37</f>
        <v>1.0001</v>
      </c>
      <c r="M37" s="5">
        <f>'Incurred Loss'!M37</f>
        <v>1.0013</v>
      </c>
      <c r="N37" s="5">
        <f>'Incurred Loss'!N37</f>
        <v>0.9998</v>
      </c>
      <c r="O37" s="5">
        <f>'Incurred Loss'!O37</f>
        <v>1.006</v>
      </c>
    </row>
    <row r="38" spans="1:19">
      <c r="A38" s="4" t="s">
        <v>108</v>
      </c>
      <c r="B38" s="5">
        <f>'Incurred Loss'!B38</f>
        <v>1.9534</v>
      </c>
      <c r="C38" s="5">
        <f>'Incurred Loss'!C38</f>
        <v>1.4748</v>
      </c>
      <c r="D38" s="5">
        <f>'Incurred Loss'!D38</f>
        <v>1.1547</v>
      </c>
      <c r="E38" s="5">
        <f>'Incurred Loss'!E38</f>
        <v>1.067</v>
      </c>
      <c r="F38" s="5">
        <f>'Incurred Loss'!F38</f>
        <v>1.08</v>
      </c>
      <c r="G38" s="5">
        <f>'Incurred Loss'!G38</f>
        <v>1.0553</v>
      </c>
      <c r="H38" s="5">
        <f>'Incurred Loss'!H38</f>
        <v>1.0001</v>
      </c>
      <c r="I38" s="5">
        <f>'Incurred Loss'!I38</f>
        <v>1.0138</v>
      </c>
      <c r="J38" s="5">
        <f>'Incurred Loss'!J38</f>
        <v>1.0038</v>
      </c>
      <c r="K38" s="5">
        <f>'Incurred Loss'!K38</f>
        <v>1.0282</v>
      </c>
      <c r="L38" s="5">
        <f>'Incurred Loss'!L38</f>
        <v>0.9969</v>
      </c>
      <c r="M38" s="5">
        <f>'Incurred Loss'!M38</f>
        <v>1</v>
      </c>
      <c r="N38" s="5">
        <f>'Incurred Loss'!N38</f>
        <v>1</v>
      </c>
    </row>
    <row r="39" spans="1:19">
      <c r="A39" s="4" t="s">
        <v>109</v>
      </c>
      <c r="B39" s="5">
        <f>'Incurred Loss'!B39</f>
        <v>2.0319</v>
      </c>
      <c r="C39" s="5">
        <f>'Incurred Loss'!C39</f>
        <v>1.307</v>
      </c>
      <c r="D39" s="5">
        <f>'Incurred Loss'!D39</f>
        <v>1.0868</v>
      </c>
      <c r="E39" s="5">
        <f>'Incurred Loss'!E39</f>
        <v>0.9969</v>
      </c>
      <c r="F39" s="5">
        <f>'Incurred Loss'!F39</f>
        <v>1.0088</v>
      </c>
      <c r="G39" s="5">
        <f>'Incurred Loss'!G39</f>
        <v>1.004</v>
      </c>
      <c r="H39" s="5">
        <f>'Incurred Loss'!H39</f>
        <v>1.0516</v>
      </c>
      <c r="I39" s="5">
        <f>'Incurred Loss'!I39</f>
        <v>1.0559</v>
      </c>
      <c r="J39" s="5">
        <f>'Incurred Loss'!J39</f>
        <v>1.0565</v>
      </c>
      <c r="K39" s="5">
        <f>'Incurred Loss'!K39</f>
        <v>1.0075</v>
      </c>
      <c r="L39" s="5">
        <f>'Incurred Loss'!L39</f>
        <v>1.179</v>
      </c>
      <c r="M39" s="5">
        <f>'Incurred Loss'!M39</f>
        <v>1</v>
      </c>
    </row>
    <row r="40" spans="1:19">
      <c r="A40" s="4" t="s">
        <v>110</v>
      </c>
      <c r="B40" s="5">
        <f>'Incurred Loss'!B40</f>
        <v>1.8261</v>
      </c>
      <c r="C40" s="5">
        <f>'Incurred Loss'!C40</f>
        <v>1.0872</v>
      </c>
      <c r="D40" s="5">
        <f>'Incurred Loss'!D40</f>
        <v>1.2056</v>
      </c>
      <c r="E40" s="5">
        <f>'Incurred Loss'!E40</f>
        <v>1.0608</v>
      </c>
      <c r="F40" s="5">
        <f>'Incurred Loss'!F40</f>
        <v>0.9974</v>
      </c>
      <c r="G40" s="5">
        <f>'Incurred Loss'!G40</f>
        <v>1.0005</v>
      </c>
      <c r="H40" s="5">
        <f>'Incurred Loss'!H40</f>
        <v>1</v>
      </c>
      <c r="I40" s="5">
        <f>'Incurred Loss'!I40</f>
        <v>1.0019</v>
      </c>
      <c r="J40" s="5">
        <f>'Incurred Loss'!J40</f>
        <v>1</v>
      </c>
      <c r="K40" s="5">
        <f>'Incurred Loss'!K40</f>
        <v>1</v>
      </c>
      <c r="L40" s="5">
        <f>'Incurred Loss'!L40</f>
        <v>1</v>
      </c>
    </row>
    <row r="41" spans="1:19">
      <c r="A41" s="4" t="s">
        <v>111</v>
      </c>
      <c r="B41" s="5">
        <f>'Incurred Loss'!B41</f>
        <v>1.3662</v>
      </c>
      <c r="C41" s="5">
        <f>'Incurred Loss'!C41</f>
        <v>1.4116</v>
      </c>
      <c r="D41" s="5">
        <f>'Incurred Loss'!D41</f>
        <v>1.1563</v>
      </c>
      <c r="E41" s="5">
        <f>'Incurred Loss'!E41</f>
        <v>1.0143</v>
      </c>
      <c r="F41" s="5">
        <f>'Incurred Loss'!F41</f>
        <v>1.0345</v>
      </c>
      <c r="G41" s="5">
        <f>'Incurred Loss'!G41</f>
        <v>0.9714</v>
      </c>
      <c r="H41" s="5">
        <f>'Incurred Loss'!H41</f>
        <v>1</v>
      </c>
      <c r="I41" s="5">
        <f>'Incurred Loss'!I41</f>
        <v>1.0411</v>
      </c>
      <c r="J41" s="5">
        <f>'Incurred Loss'!J41</f>
        <v>1.0206</v>
      </c>
      <c r="K41" s="5">
        <f>'Incurred Loss'!K41</f>
        <v>0.9931</v>
      </c>
    </row>
    <row r="42" spans="1:19">
      <c r="A42" s="4" t="s">
        <v>112</v>
      </c>
      <c r="B42" s="5">
        <f>'Incurred Loss'!B42</f>
        <v>1.9857</v>
      </c>
      <c r="C42" s="5">
        <f>'Incurred Loss'!C42</f>
        <v>1.5027</v>
      </c>
      <c r="D42" s="5">
        <f>'Incurred Loss'!D42</f>
        <v>1.3285</v>
      </c>
      <c r="E42" s="5">
        <f>'Incurred Loss'!E42</f>
        <v>1.1059</v>
      </c>
      <c r="F42" s="5">
        <f>'Incurred Loss'!F42</f>
        <v>1.1362</v>
      </c>
      <c r="G42" s="5">
        <f>'Incurred Loss'!G42</f>
        <v>1.1399</v>
      </c>
      <c r="H42" s="5">
        <f>'Incurred Loss'!H42</f>
        <v>1.0068</v>
      </c>
      <c r="I42" s="5">
        <f>'Incurred Loss'!I42</f>
        <v>1.0033</v>
      </c>
      <c r="J42" s="5">
        <f>'Incurred Loss'!J42</f>
        <v>1.0962</v>
      </c>
    </row>
    <row r="43" spans="1:19">
      <c r="A43" s="4" t="s">
        <v>113</v>
      </c>
      <c r="B43" s="5">
        <f>'Incurred Loss'!B43</f>
        <v>1.8697</v>
      </c>
      <c r="C43" s="5">
        <f>'Incurred Loss'!C43</f>
        <v>1.348</v>
      </c>
      <c r="D43" s="5">
        <f>'Incurred Loss'!D43</f>
        <v>1.087</v>
      </c>
      <c r="E43" s="5">
        <f>'Incurred Loss'!E43</f>
        <v>1.1423</v>
      </c>
      <c r="F43" s="5">
        <f>'Incurred Loss'!F43</f>
        <v>1.0316</v>
      </c>
      <c r="G43" s="5">
        <f>'Incurred Loss'!G43</f>
        <v>1.1275</v>
      </c>
      <c r="H43" s="5">
        <f>'Incurred Loss'!H43</f>
        <v>0.9998</v>
      </c>
      <c r="I43" s="5">
        <f>'Incurred Loss'!I43</f>
        <v>1.0013</v>
      </c>
    </row>
    <row r="44" spans="1:19">
      <c r="A44" s="4" t="s">
        <v>114</v>
      </c>
      <c r="B44" s="5">
        <f>'Incurred Loss'!B44</f>
        <v>1.3328</v>
      </c>
      <c r="C44" s="5">
        <f>'Incurred Loss'!C44</f>
        <v>1.0344</v>
      </c>
      <c r="D44" s="5">
        <f>'Incurred Loss'!D44</f>
        <v>1.3094</v>
      </c>
      <c r="E44" s="5">
        <f>'Incurred Loss'!E44</f>
        <v>1.0751</v>
      </c>
      <c r="F44" s="5">
        <f>'Incurred Loss'!F44</f>
        <v>1.1327</v>
      </c>
      <c r="G44" s="5">
        <f>'Incurred Loss'!G44</f>
        <v>1.1527</v>
      </c>
      <c r="H44" s="5">
        <f>'Incurred Loss'!H44</f>
        <v>1.0315</v>
      </c>
    </row>
    <row r="45" spans="1:19">
      <c r="A45" s="4" t="s">
        <v>115</v>
      </c>
      <c r="B45" s="5">
        <f>'Incurred Loss'!B45</f>
        <v>2.2994</v>
      </c>
      <c r="C45" s="5">
        <f>'Incurred Loss'!C45</f>
        <v>1.4287</v>
      </c>
      <c r="D45" s="5">
        <f>'Incurred Loss'!D45</f>
        <v>1.3883</v>
      </c>
      <c r="E45" s="5">
        <f>'Incurred Loss'!E45</f>
        <v>0.9943</v>
      </c>
      <c r="F45" s="5">
        <f>'Incurred Loss'!F45</f>
        <v>1.0131</v>
      </c>
      <c r="G45" s="5">
        <f>'Incurred Loss'!G45</f>
        <v>1.0265</v>
      </c>
    </row>
    <row r="46" spans="1:19">
      <c r="A46" s="4" t="s">
        <v>116</v>
      </c>
      <c r="B46" s="5">
        <f>'Incurred Loss'!B46</f>
        <v>2.757</v>
      </c>
      <c r="C46" s="5">
        <f>'Incurred Loss'!C46</f>
        <v>1.5473</v>
      </c>
      <c r="D46" s="5">
        <f>'Incurred Loss'!D46</f>
        <v>1.1497</v>
      </c>
      <c r="E46" s="5">
        <f>'Incurred Loss'!E46</f>
        <v>1.0634</v>
      </c>
      <c r="F46" s="5">
        <f>'Incurred Loss'!F46</f>
        <v>1.2221</v>
      </c>
    </row>
    <row r="47" spans="1:19">
      <c r="A47" s="4" t="s">
        <v>117</v>
      </c>
      <c r="B47" s="5">
        <f>'Incurred Loss'!B47</f>
        <v>1.7849</v>
      </c>
      <c r="C47" s="5">
        <f>'Incurred Loss'!C47</f>
        <v>0.9832</v>
      </c>
      <c r="D47" s="5">
        <f>'Incurred Loss'!D47</f>
        <v>1.058</v>
      </c>
      <c r="E47" s="5">
        <f>'Incurred Loss'!E47</f>
        <v>1.0097</v>
      </c>
    </row>
    <row r="48" spans="1:19">
      <c r="A48" s="4" t="s">
        <v>118</v>
      </c>
      <c r="B48" s="5">
        <f>'Incurred Loss'!B48</f>
        <v>1.4577</v>
      </c>
      <c r="C48" s="5">
        <f>'Incurred Loss'!C48</f>
        <v>1.224</v>
      </c>
      <c r="D48" s="5">
        <f>'Incurred Loss'!D48</f>
        <v>1.0316</v>
      </c>
    </row>
    <row r="49" spans="1:25">
      <c r="A49" s="4" t="s">
        <v>119</v>
      </c>
      <c r="B49" s="5">
        <f>'Incurred Loss'!B49</f>
        <v>1.2261</v>
      </c>
      <c r="C49" s="5">
        <f>'Incurred Loss'!C49</f>
        <v>0.9715</v>
      </c>
    </row>
    <row r="50" spans="1:25">
      <c r="A50" s="4" t="s">
        <v>120</v>
      </c>
      <c r="B50" s="5">
        <f>'Incurred Loss'!B50</f>
        <v>1.6941</v>
      </c>
    </row>
    <row r="51" spans="1:25">
      <c r="A51" s="4" t="s">
        <v>121</v>
      </c>
    </row>
    <row r="52" spans="1:25">
      <c r="A52" s="4"/>
    </row>
    <row r="53" spans="1:25">
      <c r="A53" s="4" t="s">
        <v>145</v>
      </c>
      <c r="B53" t="s">
        <v>122</v>
      </c>
      <c r="C53" t="s">
        <v>123</v>
      </c>
      <c r="D53" t="s">
        <v>124</v>
      </c>
      <c r="E53" t="s">
        <v>125</v>
      </c>
      <c r="F53" t="s">
        <v>126</v>
      </c>
      <c r="G53" t="s">
        <v>127</v>
      </c>
      <c r="H53" t="s">
        <v>128</v>
      </c>
      <c r="I53" t="s">
        <v>129</v>
      </c>
      <c r="J53" t="s">
        <v>130</v>
      </c>
      <c r="K53" t="s">
        <v>131</v>
      </c>
      <c r="L53" t="s">
        <v>132</v>
      </c>
      <c r="M53" t="s">
        <v>133</v>
      </c>
      <c r="N53" t="s">
        <v>134</v>
      </c>
      <c r="O53" t="s">
        <v>135</v>
      </c>
      <c r="P53" t="s">
        <v>136</v>
      </c>
      <c r="Q53" t="s">
        <v>137</v>
      </c>
      <c r="R53" t="s">
        <v>138</v>
      </c>
      <c r="S53" t="s">
        <v>139</v>
      </c>
      <c r="T53" t="s">
        <v>140</v>
      </c>
      <c r="U53" t="s">
        <v>141</v>
      </c>
      <c r="V53" t="s">
        <v>142</v>
      </c>
      <c r="W53" t="s">
        <v>143</v>
      </c>
      <c r="X53" t="s">
        <v>144</v>
      </c>
      <c r="Y53" t="s">
        <v>146</v>
      </c>
    </row>
    <row r="54" spans="1:25">
      <c r="A54" s="4" t="s">
        <v>147</v>
      </c>
      <c r="B54" s="5">
        <f>'Incurred Loss'!B54</f>
        <v>1.7435</v>
      </c>
      <c r="C54" s="5">
        <f>'Incurred Loss'!C54</f>
        <v>1.1931</v>
      </c>
      <c r="D54" s="5">
        <f>'Incurred Loss'!D54</f>
        <v>1.1538</v>
      </c>
      <c r="E54" s="5">
        <f>'Incurred Loss'!E54</f>
        <v>1.0486</v>
      </c>
      <c r="F54" s="5">
        <f>'Incurred Loss'!F54</f>
        <v>1.062</v>
      </c>
      <c r="G54" s="5">
        <f>'Incurred Loss'!G54</f>
        <v>1.04</v>
      </c>
      <c r="H54" s="5">
        <f>'Incurred Loss'!H54</f>
        <v>1.0209</v>
      </c>
      <c r="I54" s="5">
        <f>'Incurred Loss'!I54</f>
        <v>1.0175</v>
      </c>
      <c r="J54" s="5">
        <f>'Incurred Loss'!J54</f>
        <v>1.026</v>
      </c>
      <c r="K54" s="5">
        <f>'Incurred Loss'!K54</f>
        <v>1.0152</v>
      </c>
      <c r="L54" s="5">
        <f>'Incurred Loss'!L54</f>
        <v>1.0334</v>
      </c>
      <c r="M54" s="5">
        <f>'Incurred Loss'!M54</f>
        <v>1.0046</v>
      </c>
      <c r="N54" s="5">
        <f>'Incurred Loss'!N54</f>
        <v>1.0051</v>
      </c>
      <c r="O54" s="5">
        <f>'Incurred Loss'!O54</f>
        <v>1.0104</v>
      </c>
      <c r="P54" s="5">
        <f>'Incurred Loss'!P54</f>
        <v>1.0106</v>
      </c>
      <c r="Q54" s="5">
        <f>'Incurred Loss'!Q54</f>
        <v>1.0152</v>
      </c>
      <c r="R54" s="5">
        <f>'Incurred Loss'!R54</f>
        <v>1.006</v>
      </c>
      <c r="S54" s="5">
        <f>'Incurred Loss'!S54</f>
        <v>1.003</v>
      </c>
      <c r="T54" s="5">
        <f>'Incurred Loss'!T54</f>
        <v>1.0085</v>
      </c>
      <c r="U54" s="5">
        <f>'Incurred Loss'!U54</f>
        <v>1.0043</v>
      </c>
      <c r="V54" s="5">
        <f>'Incurred Loss'!V54</f>
        <v>1.0166</v>
      </c>
      <c r="W54" s="5">
        <f>'Incurred Loss'!W54</f>
        <v>1</v>
      </c>
      <c r="X54" s="5">
        <f>'Incurred Loss'!X54</f>
        <v>1.0119</v>
      </c>
    </row>
    <row r="55" spans="1:25">
      <c r="A55" s="4" t="s">
        <v>148</v>
      </c>
      <c r="B55" s="5">
        <f>'Incurred Loss'!B55</f>
        <v>1.6135</v>
      </c>
      <c r="C55" s="5">
        <f>'Incurred Loss'!C55</f>
        <v>1.1891</v>
      </c>
      <c r="D55" s="5">
        <f>'Incurred Loss'!D55</f>
        <v>1.153</v>
      </c>
      <c r="E55" s="5">
        <f>'Incurred Loss'!E55</f>
        <v>1.0492</v>
      </c>
      <c r="F55" s="5">
        <f>'Incurred Loss'!F55</f>
        <v>1.0736</v>
      </c>
      <c r="G55" s="5">
        <f>'Incurred Loss'!G55</f>
        <v>1.0457</v>
      </c>
      <c r="H55" s="5">
        <f>'Incurred Loss'!H55</f>
        <v>1.0221</v>
      </c>
      <c r="I55" s="5">
        <f>'Incurred Loss'!I55</f>
        <v>1.0195</v>
      </c>
      <c r="J55" s="5">
        <f>'Incurred Loss'!J55</f>
        <v>1.037</v>
      </c>
      <c r="K55" s="5">
        <f>'Incurred Loss'!K55</f>
        <v>1.0174</v>
      </c>
      <c r="L55" s="5">
        <f>'Incurred Loss'!L55</f>
        <v>1.0332</v>
      </c>
      <c r="M55" s="5">
        <f>'Incurred Loss'!M55</f>
        <v>1.0053</v>
      </c>
      <c r="N55" s="5">
        <f>'Incurred Loss'!N55</f>
        <v>1.0054</v>
      </c>
      <c r="O55" s="5">
        <f>'Incurred Loss'!O55</f>
        <v>1.0167</v>
      </c>
      <c r="P55" s="5">
        <f>'Incurred Loss'!P55</f>
        <v>1.0116</v>
      </c>
      <c r="Q55" s="5">
        <f>'Incurred Loss'!Q55</f>
        <v>1.0149</v>
      </c>
      <c r="R55" s="5">
        <f>'Incurred Loss'!R55</f>
        <v>1.0069</v>
      </c>
      <c r="S55" s="5">
        <f>'Incurred Loss'!S55</f>
        <v>1.0045</v>
      </c>
      <c r="T55" s="5">
        <f>'Incurred Loss'!T55</f>
        <v>1.0089</v>
      </c>
      <c r="U55" s="5">
        <f>'Incurred Loss'!U55</f>
        <v>1.0069</v>
      </c>
      <c r="V55" s="5">
        <f>'Incurred Loss'!V55</f>
        <v>1.0174</v>
      </c>
      <c r="W55" s="5">
        <f>'Incurred Loss'!W55</f>
        <v>1</v>
      </c>
      <c r="X55" s="5">
        <f>'Incurred Loss'!X55</f>
        <v>1.0119</v>
      </c>
    </row>
    <row r="56" spans="1:25">
      <c r="A56" s="4" t="s">
        <v>149</v>
      </c>
      <c r="B56" s="5">
        <f>'Incurred Loss'!B56</f>
        <v>1.7265</v>
      </c>
      <c r="C56" s="5">
        <f>'Incurred Loss'!C56</f>
        <v>1.1916</v>
      </c>
      <c r="D56" s="5">
        <f>'Incurred Loss'!D56</f>
        <v>1.1507</v>
      </c>
      <c r="E56" s="5">
        <f>'Incurred Loss'!E56</f>
        <v>1.0512</v>
      </c>
      <c r="F56" s="5">
        <f>'Incurred Loss'!F56</f>
        <v>1.0569</v>
      </c>
      <c r="G56" s="5">
        <f>'Incurred Loss'!G56</f>
        <v>1.0372</v>
      </c>
      <c r="H56" s="5">
        <f>'Incurred Loss'!H56</f>
        <v>1.0153</v>
      </c>
      <c r="I56" s="5">
        <f>'Incurred Loss'!I56</f>
        <v>1.0152</v>
      </c>
      <c r="J56" s="5">
        <f>'Incurred Loss'!J56</f>
        <v>1.0228</v>
      </c>
      <c r="K56" s="5">
        <f>'Incurred Loss'!K56</f>
        <v>1.0114</v>
      </c>
      <c r="L56" s="5">
        <f>'Incurred Loss'!L56</f>
        <v>1.0242</v>
      </c>
      <c r="M56" s="5">
        <f>'Incurred Loss'!M56</f>
        <v>1.004</v>
      </c>
      <c r="N56" s="5">
        <f>'Incurred Loss'!N56</f>
        <v>1.0039</v>
      </c>
      <c r="O56" s="5">
        <f>'Incurred Loss'!O56</f>
        <v>1.0075</v>
      </c>
      <c r="P56" s="5">
        <f>'Incurred Loss'!P56</f>
        <v>1.006</v>
      </c>
      <c r="Q56" s="5">
        <f>'Incurred Loss'!Q56</f>
        <v>1.0114</v>
      </c>
      <c r="R56" s="5">
        <f>'Incurred Loss'!R56</f>
        <v>1.0022</v>
      </c>
      <c r="S56" s="5">
        <f>'Incurred Loss'!S56</f>
        <v>1</v>
      </c>
      <c r="T56" s="5">
        <f>'Incurred Loss'!T56</f>
        <v>1</v>
      </c>
      <c r="U56" s="5">
        <f>'Incurred Loss'!U56</f>
        <v>1</v>
      </c>
      <c r="V56" s="5">
        <f>'Incurred Loss'!V56</f>
        <v>1.0139</v>
      </c>
      <c r="W56" s="5">
        <f>'Incurred Loss'!W56</f>
        <v>1</v>
      </c>
      <c r="X56" s="5">
        <f>'Incurred Loss'!X56</f>
        <v>1.0119</v>
      </c>
    </row>
    <row r="57" spans="1:25">
      <c r="A57" s="4" t="s">
        <v>150</v>
      </c>
      <c r="B57" s="5">
        <f>'Incurred Loss'!B57</f>
        <v>1.4593</v>
      </c>
      <c r="C57" s="5">
        <f>'Incurred Loss'!C57</f>
        <v>1.0596</v>
      </c>
      <c r="D57" s="5">
        <f>'Incurred Loss'!D57</f>
        <v>1.0798</v>
      </c>
      <c r="E57" s="5">
        <f>'Incurred Loss'!E57</f>
        <v>1.0225</v>
      </c>
      <c r="F57" s="5">
        <f>'Incurred Loss'!F57</f>
        <v>1.1226</v>
      </c>
      <c r="G57" s="5">
        <f>'Incurred Loss'!G57</f>
        <v>1.1022</v>
      </c>
      <c r="H57" s="5">
        <f>'Incurred Loss'!H57</f>
        <v>1.0127</v>
      </c>
      <c r="I57" s="5">
        <f>'Incurred Loss'!I57</f>
        <v>1.0152</v>
      </c>
      <c r="J57" s="5">
        <f>'Incurred Loss'!J57</f>
        <v>1.0389</v>
      </c>
      <c r="K57" s="5">
        <f>'Incurred Loss'!K57</f>
        <v>1.0002</v>
      </c>
      <c r="L57" s="5">
        <f>'Incurred Loss'!L57</f>
        <v>1.0586</v>
      </c>
      <c r="M57" s="5">
        <f>'Incurred Loss'!M57</f>
        <v>1.0004</v>
      </c>
      <c r="N57" s="5">
        <f>'Incurred Loss'!N57</f>
        <v>0.9999</v>
      </c>
      <c r="O57" s="5">
        <f>'Incurred Loss'!O57</f>
        <v>1.002</v>
      </c>
      <c r="P57" s="5">
        <f>'Incurred Loss'!P57</f>
        <v>1.0016</v>
      </c>
      <c r="Q57" s="5">
        <f>'Incurred Loss'!Q57</f>
        <v>1.0092</v>
      </c>
      <c r="R57" s="5">
        <f>'Incurred Loss'!R57</f>
        <v>1.0033</v>
      </c>
      <c r="S57" s="5">
        <f>'Incurred Loss'!S57</f>
        <v>1</v>
      </c>
      <c r="T57" s="5">
        <f>'Incurred Loss'!T57</f>
        <v>1</v>
      </c>
      <c r="U57" s="5">
        <f>'Incurred Loss'!U57</f>
        <v>0.9979</v>
      </c>
      <c r="V57" s="5">
        <f>'Incurred Loss'!V57</f>
        <v>1.0166</v>
      </c>
      <c r="W57" s="5">
        <f>'Incurred Loss'!W57</f>
        <v>1</v>
      </c>
      <c r="X57" s="5">
        <f>'Incurred Loss'!X57</f>
        <v>1.0119</v>
      </c>
    </row>
    <row r="58" spans="1:25">
      <c r="A58" s="4" t="s">
        <v>151</v>
      </c>
      <c r="B58" s="5">
        <f>'Incurred Loss'!B58</f>
        <v>1.4891</v>
      </c>
      <c r="C58" s="5">
        <f>'Incurred Loss'!C58</f>
        <v>1.054</v>
      </c>
      <c r="D58" s="5">
        <f>'Incurred Loss'!D58</f>
        <v>1.0948</v>
      </c>
      <c r="E58" s="5">
        <f>'Incurred Loss'!E58</f>
        <v>1.0233</v>
      </c>
      <c r="F58" s="5">
        <f>'Incurred Loss'!F58</f>
        <v>1.1167</v>
      </c>
      <c r="G58" s="5">
        <f>'Incurred Loss'!G58</f>
        <v>1.0898</v>
      </c>
      <c r="H58" s="5">
        <f>'Incurred Loss'!H58</f>
        <v>1.0085</v>
      </c>
      <c r="I58" s="5">
        <f>'Incurred Loss'!I58</f>
        <v>1.0098</v>
      </c>
      <c r="J58" s="5">
        <f>'Incurred Loss'!J58</f>
        <v>1.0629</v>
      </c>
      <c r="K58" s="5">
        <f>'Incurred Loss'!K58</f>
        <v>0.9997</v>
      </c>
      <c r="L58" s="5">
        <f>'Incurred Loss'!L58</f>
        <v>1.0531</v>
      </c>
      <c r="M58" s="5">
        <f>'Incurred Loss'!M58</f>
        <v>1.0004</v>
      </c>
      <c r="N58" s="5">
        <f>'Incurred Loss'!N58</f>
        <v>0.9999</v>
      </c>
      <c r="O58" s="5">
        <f>'Incurred Loss'!O58</f>
        <v>1.002</v>
      </c>
      <c r="P58" s="5">
        <f>'Incurred Loss'!P58</f>
        <v>1.0009</v>
      </c>
      <c r="Q58" s="5">
        <f>'Incurred Loss'!Q58</f>
        <v>1.0066</v>
      </c>
      <c r="R58" s="5">
        <f>'Incurred Loss'!R58</f>
        <v>1.0027</v>
      </c>
      <c r="S58" s="5">
        <f>'Incurred Loss'!S58</f>
        <v>1</v>
      </c>
      <c r="T58" s="5">
        <f>'Incurred Loss'!T58</f>
        <v>1</v>
      </c>
      <c r="U58" s="5">
        <f>'Incurred Loss'!U58</f>
        <v>0.9973</v>
      </c>
      <c r="V58" s="5">
        <f>'Incurred Loss'!V58</f>
        <v>1.0174</v>
      </c>
      <c r="W58" s="5">
        <f>'Incurred Loss'!W58</f>
        <v>1</v>
      </c>
      <c r="X58" s="5">
        <f>'Incurred Loss'!X58</f>
        <v>1.0119</v>
      </c>
    </row>
    <row r="59" spans="1:25">
      <c r="A59" s="4" t="s">
        <v>152</v>
      </c>
      <c r="B59" s="5">
        <f>'Incurred Loss'!B59</f>
        <v>1.4577</v>
      </c>
      <c r="C59" s="5">
        <f>'Incurred Loss'!C59</f>
        <v>0.9832</v>
      </c>
      <c r="D59" s="5">
        <f>'Incurred Loss'!D59</f>
        <v>1.058</v>
      </c>
      <c r="E59" s="5">
        <f>'Incurred Loss'!E59</f>
        <v>1.0097</v>
      </c>
      <c r="F59" s="5">
        <f>'Incurred Loss'!F59</f>
        <v>1.1327</v>
      </c>
      <c r="G59" s="5">
        <f>'Incurred Loss'!G59</f>
        <v>1.1275</v>
      </c>
      <c r="H59" s="5">
        <f>'Incurred Loss'!H59</f>
        <v>1.0068</v>
      </c>
      <c r="I59" s="5">
        <f>'Incurred Loss'!I59</f>
        <v>1.0033</v>
      </c>
      <c r="J59" s="5">
        <f>'Incurred Loss'!J59</f>
        <v>1.0206</v>
      </c>
      <c r="K59" s="5">
        <f>'Incurred Loss'!K59</f>
        <v>1</v>
      </c>
      <c r="L59" s="5">
        <f>'Incurred Loss'!L59</f>
        <v>1</v>
      </c>
      <c r="M59" s="5">
        <f>'Incurred Loss'!M59</f>
        <v>1</v>
      </c>
      <c r="N59" s="5">
        <f>'Incurred Loss'!N59</f>
        <v>1</v>
      </c>
      <c r="O59" s="5">
        <f>'Incurred Loss'!O59</f>
        <v>1</v>
      </c>
      <c r="P59" s="5">
        <f>'Incurred Loss'!P59</f>
        <v>1</v>
      </c>
      <c r="Q59" s="5">
        <f>'Incurred Loss'!Q59</f>
        <v>1.0036</v>
      </c>
      <c r="R59" s="5">
        <f>'Incurred Loss'!R59</f>
        <v>1.0025</v>
      </c>
      <c r="S59" s="5">
        <f>'Incurred Loss'!S59</f>
        <v>1</v>
      </c>
      <c r="T59" s="5">
        <f>'Incurred Loss'!T59</f>
        <v>1</v>
      </c>
      <c r="U59" s="5">
        <f>'Incurred Loss'!U59</f>
        <v>1</v>
      </c>
      <c r="V59" s="5">
        <f>'Incurred Loss'!V59</f>
        <v>1.0139</v>
      </c>
      <c r="W59" s="5">
        <f>'Incurred Loss'!W59</f>
        <v>1</v>
      </c>
      <c r="X59" s="5">
        <f>'Incurred Loss'!X59</f>
        <v>1.0119</v>
      </c>
    </row>
    <row r="60" spans="1:25">
      <c r="A60" s="4" t="s">
        <v>153</v>
      </c>
      <c r="B60" s="5">
        <f>'Incurred Loss'!B60</f>
        <v>1.784</v>
      </c>
      <c r="C60" s="5">
        <f>'Incurred Loss'!C60</f>
        <v>1.2309</v>
      </c>
      <c r="D60" s="5">
        <f>'Incurred Loss'!D60</f>
        <v>1.1874</v>
      </c>
      <c r="E60" s="5">
        <f>'Incurred Loss'!E60</f>
        <v>1.057</v>
      </c>
      <c r="F60" s="5">
        <f>'Incurred Loss'!F60</f>
        <v>1.1071</v>
      </c>
      <c r="G60" s="5">
        <f>'Incurred Loss'!G60</f>
        <v>1.0836</v>
      </c>
      <c r="H60" s="5">
        <f>'Incurred Loss'!H60</f>
        <v>1.0076</v>
      </c>
      <c r="I60" s="5">
        <f>'Incurred Loss'!I60</f>
        <v>1.0207</v>
      </c>
      <c r="J60" s="5">
        <f>'Incurred Loss'!J60</f>
        <v>1.0354</v>
      </c>
      <c r="K60" s="5">
        <f>'Incurred Loss'!K60</f>
        <v>1.0059</v>
      </c>
      <c r="L60" s="5">
        <f>'Incurred Loss'!L60</f>
        <v>1.0379</v>
      </c>
      <c r="M60" s="5">
        <f>'Incurred Loss'!M60</f>
        <v>1.0033</v>
      </c>
      <c r="N60" s="5">
        <f>'Incurred Loss'!N60</f>
        <v>1.0002</v>
      </c>
      <c r="O60" s="5">
        <f>'Incurred Loss'!O60</f>
        <v>1.01</v>
      </c>
      <c r="P60" s="5">
        <f>'Incurred Loss'!P60</f>
        <v>1.0047</v>
      </c>
      <c r="Q60" s="5">
        <f>'Incurred Loss'!Q60</f>
        <v>1.0086</v>
      </c>
      <c r="R60" s="5">
        <f>'Incurred Loss'!R60</f>
        <v>1.002</v>
      </c>
      <c r="S60" s="5">
        <f>'Incurred Loss'!S60</f>
        <v>1</v>
      </c>
      <c r="T60" s="5">
        <f>'Incurred Loss'!T60</f>
        <v>1.0085</v>
      </c>
      <c r="U60" s="5">
        <f>'Incurred Loss'!U60</f>
        <v>1.0043</v>
      </c>
      <c r="V60" s="5">
        <f>'Incurred Loss'!V60</f>
        <v>1.0166</v>
      </c>
      <c r="W60" s="5">
        <f>'Incurred Loss'!W60</f>
        <v>1</v>
      </c>
      <c r="X60" s="5">
        <f>'Incurred Loss'!X60</f>
        <v>1.0119</v>
      </c>
    </row>
    <row r="61" spans="1:25">
      <c r="A61" s="4" t="s">
        <v>154</v>
      </c>
      <c r="B61" s="5">
        <f>'Incurred Loss'!B61</f>
        <v>1.7024</v>
      </c>
      <c r="C61" s="5">
        <f>'Incurred Loss'!C61</f>
        <v>1.2575</v>
      </c>
      <c r="D61" s="5">
        <f>'Incurred Loss'!D61</f>
        <v>1.2002</v>
      </c>
      <c r="E61" s="5">
        <f>'Incurred Loss'!E61</f>
        <v>1.0567</v>
      </c>
      <c r="F61" s="5">
        <f>'Incurred Loss'!F61</f>
        <v>1.1027</v>
      </c>
      <c r="G61" s="5">
        <f>'Incurred Loss'!G61</f>
        <v>1.087</v>
      </c>
      <c r="H61" s="5">
        <f>'Incurred Loss'!H61</f>
        <v>1.0065</v>
      </c>
      <c r="I61" s="5">
        <f>'Incurred Loss'!I61</f>
        <v>1.0146</v>
      </c>
      <c r="J61" s="5">
        <f>'Incurred Loss'!J61</f>
        <v>1.0485</v>
      </c>
      <c r="K61" s="5">
        <f>'Incurred Loss'!K61</f>
        <v>1.0082</v>
      </c>
      <c r="L61" s="5">
        <f>'Incurred Loss'!L61</f>
        <v>1.035</v>
      </c>
      <c r="M61" s="5">
        <f>'Incurred Loss'!M61</f>
        <v>1.0022</v>
      </c>
      <c r="N61" s="5">
        <f>'Incurred Loss'!N61</f>
        <v>1.0004</v>
      </c>
      <c r="O61" s="5">
        <f>'Incurred Loss'!O61</f>
        <v>1.0211</v>
      </c>
      <c r="P61" s="5">
        <f>'Incurred Loss'!P61</f>
        <v>1.0036</v>
      </c>
      <c r="Q61" s="5">
        <f>'Incurred Loss'!Q61</f>
        <v>1.0076</v>
      </c>
      <c r="R61" s="5">
        <f>'Incurred Loss'!R61</f>
        <v>1.002</v>
      </c>
      <c r="S61" s="5">
        <f>'Incurred Loss'!S61</f>
        <v>1</v>
      </c>
      <c r="T61" s="5">
        <f>'Incurred Loss'!T61</f>
        <v>1.0089</v>
      </c>
      <c r="U61" s="5">
        <f>'Incurred Loss'!U61</f>
        <v>1.0069</v>
      </c>
      <c r="V61" s="5">
        <f>'Incurred Loss'!V61</f>
        <v>1.0174</v>
      </c>
      <c r="W61" s="5">
        <f>'Incurred Loss'!W61</f>
        <v>1</v>
      </c>
      <c r="X61" s="5">
        <f>'Incurred Loss'!X61</f>
        <v>1.0119</v>
      </c>
    </row>
    <row r="62" spans="1:25">
      <c r="A62" s="4" t="s">
        <v>155</v>
      </c>
      <c r="B62" s="5">
        <f>'Incurred Loss'!B62</f>
        <v>1.6456</v>
      </c>
      <c r="C62" s="5">
        <f>'Incurred Loss'!C62</f>
        <v>1.212</v>
      </c>
      <c r="D62" s="5">
        <f>'Incurred Loss'!D62</f>
        <v>1.1724</v>
      </c>
      <c r="E62" s="5">
        <f>'Incurred Loss'!E62</f>
        <v>1.0494</v>
      </c>
      <c r="F62" s="5">
        <f>'Incurred Loss'!F62</f>
        <v>1.1002</v>
      </c>
      <c r="G62" s="5">
        <f>'Incurred Loss'!G62</f>
        <v>1.098</v>
      </c>
      <c r="H62" s="5">
        <f>'Incurred Loss'!H62</f>
        <v>1.0023</v>
      </c>
      <c r="I62" s="5">
        <f>'Incurred Loss'!I62</f>
        <v>1.0154</v>
      </c>
      <c r="J62" s="5">
        <f>'Incurred Loss'!J62</f>
        <v>1.027</v>
      </c>
      <c r="K62" s="5">
        <f>'Incurred Loss'!K62</f>
        <v>1.0028</v>
      </c>
      <c r="L62" s="5">
        <f>'Incurred Loss'!L62</f>
        <v>1.0045</v>
      </c>
      <c r="M62" s="5">
        <f>'Incurred Loss'!M62</f>
        <v>1.0004</v>
      </c>
      <c r="N62" s="5">
        <f>'Incurred Loss'!N62</f>
        <v>1.0001</v>
      </c>
      <c r="O62" s="5">
        <f>'Incurred Loss'!O62</f>
        <v>1.0022</v>
      </c>
      <c r="P62" s="5">
        <f>'Incurred Loss'!P62</f>
        <v>1.004</v>
      </c>
      <c r="Q62" s="5">
        <f>'Incurred Loss'!Q62</f>
        <v>1.0073</v>
      </c>
      <c r="R62" s="5">
        <f>'Incurred Loss'!R62</f>
        <v>1.0008</v>
      </c>
      <c r="S62" s="5">
        <f>'Incurred Loss'!S62</f>
        <v>1</v>
      </c>
      <c r="T62" s="5">
        <f>'Incurred Loss'!T62</f>
        <v>1</v>
      </c>
      <c r="U62" s="5">
        <f>'Incurred Loss'!U62</f>
        <v>1</v>
      </c>
      <c r="V62" s="5">
        <f>'Incurred Loss'!V62</f>
        <v>1.0139</v>
      </c>
      <c r="W62" s="5">
        <f>'Incurred Loss'!W62</f>
        <v>1</v>
      </c>
      <c r="X62" s="5">
        <f>'Incurred Loss'!X62</f>
        <v>1.0119</v>
      </c>
    </row>
    <row r="63" spans="1:25">
      <c r="A63" s="4" t="s">
        <v>156</v>
      </c>
      <c r="B63" s="5">
        <f>'Incurred Loss'!B63</f>
        <v>1.7774</v>
      </c>
      <c r="C63" s="5">
        <f>'Incurred Loss'!C63</f>
        <v>1.2539</v>
      </c>
      <c r="D63" s="5">
        <f>'Incurred Loss'!D63</f>
        <v>1.1801</v>
      </c>
      <c r="E63" s="5">
        <f>'Incurred Loss'!E63</f>
        <v>1.053</v>
      </c>
      <c r="F63" s="5">
        <f>'Incurred Loss'!F63</f>
        <v>1.0646</v>
      </c>
      <c r="G63" s="5">
        <f>'Incurred Loss'!G63</f>
        <v>1.0554</v>
      </c>
      <c r="H63" s="5">
        <f>'Incurred Loss'!H63</f>
        <v>1.0248</v>
      </c>
      <c r="I63" s="5">
        <f>'Incurred Loss'!I63</f>
        <v>1.019</v>
      </c>
      <c r="J63" s="5">
        <f>'Incurred Loss'!J63</f>
        <v>1.0351</v>
      </c>
      <c r="K63" s="5">
        <f>'Incurred Loss'!K63</f>
        <v>1.016</v>
      </c>
      <c r="L63" s="5">
        <f>'Incurred Loss'!L63</f>
        <v>1.0387</v>
      </c>
      <c r="M63" s="5">
        <f>'Incurred Loss'!M63</f>
        <v>1.0056</v>
      </c>
      <c r="N63" s="5">
        <f>'Incurred Loss'!N63</f>
        <v>1.0034</v>
      </c>
      <c r="O63" s="5">
        <f>'Incurred Loss'!O63</f>
        <v>1.0104</v>
      </c>
      <c r="P63" s="5">
        <f>'Incurred Loss'!P63</f>
        <v>1.0106</v>
      </c>
      <c r="Q63" s="5">
        <f>'Incurred Loss'!Q63</f>
        <v>1.0152</v>
      </c>
      <c r="R63" s="5">
        <f>'Incurred Loss'!R63</f>
        <v>1.006</v>
      </c>
      <c r="S63" s="5">
        <f>'Incurred Loss'!S63</f>
        <v>1.003</v>
      </c>
      <c r="T63" s="5">
        <f>'Incurred Loss'!T63</f>
        <v>1.0085</v>
      </c>
      <c r="U63" s="5">
        <f>'Incurred Loss'!U63</f>
        <v>1.0043</v>
      </c>
      <c r="V63" s="5">
        <f>'Incurred Loss'!V63</f>
        <v>1.0166</v>
      </c>
      <c r="W63" s="5">
        <f>'Incurred Loss'!W63</f>
        <v>1</v>
      </c>
      <c r="X63" s="5">
        <f>'Incurred Loss'!X63</f>
        <v>1.0119</v>
      </c>
    </row>
    <row r="64" spans="1:25">
      <c r="A64" s="4" t="s">
        <v>157</v>
      </c>
      <c r="B64" s="5">
        <f>'Incurred Loss'!B64</f>
        <v>1.7371</v>
      </c>
      <c r="C64" s="5">
        <f>'Incurred Loss'!C64</f>
        <v>1.2877</v>
      </c>
      <c r="D64" s="5">
        <f>'Incurred Loss'!D64</f>
        <v>1.1886</v>
      </c>
      <c r="E64" s="5">
        <f>'Incurred Loss'!E64</f>
        <v>1.0574</v>
      </c>
      <c r="F64" s="5">
        <f>'Incurred Loss'!F64</f>
        <v>1.0752</v>
      </c>
      <c r="G64" s="5">
        <f>'Incurred Loss'!G64</f>
        <v>1.0671</v>
      </c>
      <c r="H64" s="5">
        <f>'Incurred Loss'!H64</f>
        <v>1.0177</v>
      </c>
      <c r="I64" s="5">
        <f>'Incurred Loss'!I64</f>
        <v>1.0231</v>
      </c>
      <c r="J64" s="5">
        <f>'Incurred Loss'!J64</f>
        <v>1.0519</v>
      </c>
      <c r="K64" s="5">
        <f>'Incurred Loss'!K64</f>
        <v>1.0194</v>
      </c>
      <c r="L64" s="5">
        <f>'Incurred Loss'!L64</f>
        <v>1.0395</v>
      </c>
      <c r="M64" s="5">
        <f>'Incurred Loss'!M64</f>
        <v>1.0066</v>
      </c>
      <c r="N64" s="5">
        <f>'Incurred Loss'!N64</f>
        <v>1.003</v>
      </c>
      <c r="O64" s="5">
        <f>'Incurred Loss'!O64</f>
        <v>1.0167</v>
      </c>
      <c r="P64" s="5">
        <f>'Incurred Loss'!P64</f>
        <v>1.0116</v>
      </c>
      <c r="Q64" s="5">
        <f>'Incurred Loss'!Q64</f>
        <v>1.0149</v>
      </c>
      <c r="R64" s="5">
        <f>'Incurred Loss'!R64</f>
        <v>1.0069</v>
      </c>
      <c r="S64" s="5">
        <f>'Incurred Loss'!S64</f>
        <v>1.0045</v>
      </c>
      <c r="T64" s="5">
        <f>'Incurred Loss'!T64</f>
        <v>1.0089</v>
      </c>
      <c r="U64" s="5">
        <f>'Incurred Loss'!U64</f>
        <v>1.0069</v>
      </c>
      <c r="V64" s="5">
        <f>'Incurred Loss'!V64</f>
        <v>1.0174</v>
      </c>
      <c r="W64" s="5">
        <f>'Incurred Loss'!W64</f>
        <v>1</v>
      </c>
      <c r="X64" s="5">
        <f>'Incurred Loss'!X64</f>
        <v>1.0119</v>
      </c>
    </row>
    <row r="65" spans="1:25">
      <c r="A65" s="4" t="s">
        <v>158</v>
      </c>
      <c r="B65" s="5">
        <f>'Incurred Loss'!B65</f>
        <v>1.7238</v>
      </c>
      <c r="C65" s="5">
        <f>'Incurred Loss'!C65</f>
        <v>1.2525</v>
      </c>
      <c r="D65" s="5">
        <f>'Incurred Loss'!D65</f>
        <v>1.1727</v>
      </c>
      <c r="E65" s="5">
        <f>'Incurred Loss'!E65</f>
        <v>1.0491</v>
      </c>
      <c r="F65" s="5">
        <f>'Incurred Loss'!F65</f>
        <v>1.0543</v>
      </c>
      <c r="G65" s="5">
        <f>'Incurred Loss'!G65</f>
        <v>1.0537</v>
      </c>
      <c r="H65" s="5">
        <f>'Incurred Loss'!H65</f>
        <v>1.013</v>
      </c>
      <c r="I65" s="5">
        <f>'Incurred Loss'!I65</f>
        <v>1.0154</v>
      </c>
      <c r="J65" s="5">
        <f>'Incurred Loss'!J65</f>
        <v>1.0312</v>
      </c>
      <c r="K65" s="5">
        <f>'Incurred Loss'!K65</f>
        <v>1.0105</v>
      </c>
      <c r="L65" s="5">
        <f>'Incurred Loss'!L65</f>
        <v>1.0274</v>
      </c>
      <c r="M65" s="5">
        <f>'Incurred Loss'!M65</f>
        <v>1.005</v>
      </c>
      <c r="N65" s="5">
        <f>'Incurred Loss'!N65</f>
        <v>1.0015</v>
      </c>
      <c r="O65" s="5">
        <f>'Incurred Loss'!O65</f>
        <v>1.0075</v>
      </c>
      <c r="P65" s="5">
        <f>'Incurred Loss'!P65</f>
        <v>1.006</v>
      </c>
      <c r="Q65" s="5">
        <f>'Incurred Loss'!Q65</f>
        <v>1.0114</v>
      </c>
      <c r="R65" s="5">
        <f>'Incurred Loss'!R65</f>
        <v>1.0022</v>
      </c>
      <c r="S65" s="5">
        <f>'Incurred Loss'!S65</f>
        <v>1</v>
      </c>
      <c r="T65" s="5">
        <f>'Incurred Loss'!T65</f>
        <v>1</v>
      </c>
      <c r="U65" s="5">
        <f>'Incurred Loss'!U65</f>
        <v>1</v>
      </c>
      <c r="V65" s="5">
        <f>'Incurred Loss'!V65</f>
        <v>1.0139</v>
      </c>
      <c r="W65" s="5">
        <f>'Incurred Loss'!W65</f>
        <v>1</v>
      </c>
      <c r="X65" s="5">
        <f>'Incurred Loss'!X65</f>
        <v>1.0119</v>
      </c>
    </row>
    <row r="66" spans="1:25">
      <c r="A66" s="4"/>
    </row>
    <row r="67" spans="1:25">
      <c r="A67" s="4"/>
      <c r="B67" t="s">
        <v>122</v>
      </c>
      <c r="C67" t="s">
        <v>123</v>
      </c>
      <c r="D67" t="s">
        <v>124</v>
      </c>
      <c r="E67" t="s">
        <v>125</v>
      </c>
      <c r="F67" t="s">
        <v>126</v>
      </c>
      <c r="G67" t="s">
        <v>127</v>
      </c>
      <c r="H67" t="s">
        <v>128</v>
      </c>
      <c r="I67" t="s">
        <v>129</v>
      </c>
      <c r="J67" t="s">
        <v>130</v>
      </c>
      <c r="K67" t="s">
        <v>131</v>
      </c>
      <c r="L67" t="s">
        <v>132</v>
      </c>
      <c r="M67" t="s">
        <v>133</v>
      </c>
      <c r="N67" t="s">
        <v>134</v>
      </c>
      <c r="O67" t="s">
        <v>135</v>
      </c>
      <c r="P67" t="s">
        <v>136</v>
      </c>
      <c r="Q67" t="s">
        <v>137</v>
      </c>
      <c r="R67" t="s">
        <v>138</v>
      </c>
      <c r="S67" t="s">
        <v>139</v>
      </c>
      <c r="T67" t="s">
        <v>140</v>
      </c>
      <c r="U67" t="s">
        <v>141</v>
      </c>
      <c r="V67" t="s">
        <v>142</v>
      </c>
      <c r="W67" t="s">
        <v>143</v>
      </c>
      <c r="X67" t="s">
        <v>144</v>
      </c>
    </row>
    <row r="68" spans="1:25">
      <c r="A68" s="4" t="s">
        <v>159</v>
      </c>
      <c r="B68" s="5">
        <f>IF('Incurred Loss'!B74&lt;&gt;"",'Incurred Loss'!B74,'Incurred Loss'!B68)</f>
        <v>1.514</v>
      </c>
      <c r="C68" s="5">
        <f>IF('Incurred Loss'!C74&lt;&gt;"",'Incurred Loss'!C74,'Incurred Loss'!C68)</f>
        <v>1.1916</v>
      </c>
      <c r="D68" s="5">
        <f>IF('Incurred Loss'!D74&lt;&gt;"",'Incurred Loss'!D74,'Incurred Loss'!D68)</f>
        <v>1.1507</v>
      </c>
      <c r="E68" s="5">
        <f>IF('Incurred Loss'!E74&lt;&gt;"",'Incurred Loss'!E74,'Incurred Loss'!E68)</f>
        <v>1.0512</v>
      </c>
      <c r="F68" s="5">
        <f>IF('Incurred Loss'!F74&lt;&gt;"",'Incurred Loss'!F74,'Incurred Loss'!F68)</f>
        <v>1.0569</v>
      </c>
      <c r="G68" s="5">
        <f>IF('Incurred Loss'!G74&lt;&gt;"",'Incurred Loss'!G74,'Incurred Loss'!G68)</f>
        <v>1.0372</v>
      </c>
      <c r="H68" s="5">
        <f>IF('Incurred Loss'!H74&lt;&gt;"",'Incurred Loss'!H74,'Incurred Loss'!H68)</f>
        <v>1.0153</v>
      </c>
      <c r="I68" s="5">
        <f>IF('Incurred Loss'!I74&lt;&gt;"",'Incurred Loss'!I74,'Incurred Loss'!I68)</f>
        <v>1.0152</v>
      </c>
      <c r="J68" s="5">
        <f>IF('Incurred Loss'!J74&lt;&gt;"",'Incurred Loss'!J74,'Incurred Loss'!J68)</f>
        <v>1.0228</v>
      </c>
      <c r="K68" s="5">
        <f>IF('Incurred Loss'!K74&lt;&gt;"",'Incurred Loss'!K74,'Incurred Loss'!K68)</f>
        <v>1.0114</v>
      </c>
      <c r="L68" s="5">
        <f>IF('Incurred Loss'!L74&lt;&gt;"",'Incurred Loss'!L74,'Incurred Loss'!L68)</f>
        <v>1.0242</v>
      </c>
      <c r="M68" s="5">
        <f>IF('Incurred Loss'!M74&lt;&gt;"",'Incurred Loss'!M74,'Incurred Loss'!M68)</f>
        <v>1.004</v>
      </c>
      <c r="N68" s="5">
        <f>IF('Incurred Loss'!N74&lt;&gt;"",'Incurred Loss'!N74,'Incurred Loss'!N68)</f>
        <v>1.0039</v>
      </c>
      <c r="O68" s="5">
        <f>IF('Incurred Loss'!O74&lt;&gt;"",'Incurred Loss'!O74,'Incurred Loss'!O68)</f>
        <v>1.0075</v>
      </c>
      <c r="P68" s="5">
        <f>IF('Incurred Loss'!P74&lt;&gt;"",'Incurred Loss'!P74,'Incurred Loss'!P68)</f>
        <v>1.006</v>
      </c>
      <c r="Q68" s="5">
        <f>IF('Incurred Loss'!Q74&lt;&gt;"",'Incurred Loss'!Q74,'Incurred Loss'!Q68)</f>
        <v>1.0114</v>
      </c>
      <c r="R68" s="5">
        <f>IF('Incurred Loss'!R74&lt;&gt;"",'Incurred Loss'!R74,'Incurred Loss'!R68)</f>
        <v>1.0022</v>
      </c>
      <c r="S68" s="5">
        <f>IF('Incurred Loss'!S74&lt;&gt;"",'Incurred Loss'!S74,'Incurred Loss'!S68)</f>
        <v>1</v>
      </c>
      <c r="T68" s="5">
        <f>IF('Incurred Loss'!T74&lt;&gt;"",'Incurred Loss'!T74,'Incurred Loss'!T68)</f>
        <v>1</v>
      </c>
      <c r="U68" s="5">
        <f>IF('Incurred Loss'!U74&lt;&gt;"",'Incurred Loss'!U74,'Incurred Loss'!U68)</f>
        <v>1.0139</v>
      </c>
      <c r="V68" s="5">
        <f>IF('Incurred Loss'!V74&lt;&gt;"",'Incurred Loss'!V74,'Incurred Loss'!V68)</f>
        <v>1</v>
      </c>
      <c r="W68" s="5">
        <f>IF('Incurred Loss'!W74&lt;&gt;"",'Incurred Loss'!W74,'Incurred Loss'!W68)</f>
        <v>1.0119</v>
      </c>
      <c r="X68" s="5">
        <f>IF('Incurred Loss'!X74&lt;&gt;"",'Incurred Loss'!X74,'Incurred Loss'!X68)</f>
        <v>1.0119</v>
      </c>
      <c r="Y68" s="5">
        <f>IF('Incurred Loss'!Y74&lt;&gt;"",'Incurred Loss'!Y74,'Incurred Loss'!Y68)</f>
        <v>0</v>
      </c>
    </row>
    <row r="69" spans="1:25">
      <c r="A69" s="4" t="s">
        <v>12</v>
      </c>
      <c r="B69" s="4">
        <f>IF('Incurred Loss'!B74&lt;&gt;"",'Incurred Loss'!B75,'Incurred Loss'!B69)</f>
        <v>1.514</v>
      </c>
      <c r="C69" s="4">
        <f>IF('Incurred Loss'!C74&lt;&gt;"",'Incurred Loss'!C75,'Incurred Loss'!C69)</f>
        <v>1.1916</v>
      </c>
      <c r="D69" s="4">
        <f>IF('Incurred Loss'!D74&lt;&gt;"",'Incurred Loss'!D75,'Incurred Loss'!D69)</f>
        <v>1.1507</v>
      </c>
      <c r="E69" s="4">
        <f>IF('Incurred Loss'!E74&lt;&gt;"",'Incurred Loss'!E75,'Incurred Loss'!E69)</f>
        <v>1.0512</v>
      </c>
      <c r="F69" s="4">
        <f>IF('Incurred Loss'!F74&lt;&gt;"",'Incurred Loss'!F75,'Incurred Loss'!F69)</f>
        <v>1.0569</v>
      </c>
      <c r="G69" s="4">
        <f>IF('Incurred Loss'!G74&lt;&gt;"",'Incurred Loss'!G75,'Incurred Loss'!G69)</f>
        <v>1.0372</v>
      </c>
      <c r="H69" s="4">
        <f>IF('Incurred Loss'!H74&lt;&gt;"",'Incurred Loss'!H75,'Incurred Loss'!H69)</f>
        <v>1.0153</v>
      </c>
      <c r="I69" s="4">
        <f>IF('Incurred Loss'!I74&lt;&gt;"",'Incurred Loss'!I75,'Incurred Loss'!I69)</f>
        <v>1.0152</v>
      </c>
      <c r="J69" s="4">
        <f>IF('Incurred Loss'!J74&lt;&gt;"",'Incurred Loss'!J75,'Incurred Loss'!J69)</f>
        <v>1.0228</v>
      </c>
      <c r="K69" s="4">
        <f>IF('Incurred Loss'!K74&lt;&gt;"",'Incurred Loss'!K75,'Incurred Loss'!K69)</f>
        <v>1.0114</v>
      </c>
      <c r="L69" s="4">
        <f>IF('Incurred Loss'!L74&lt;&gt;"",'Incurred Loss'!L75,'Incurred Loss'!L69)</f>
        <v>1.0242</v>
      </c>
      <c r="M69" s="4">
        <f>IF('Incurred Loss'!M74&lt;&gt;"",'Incurred Loss'!M75,'Incurred Loss'!M69)</f>
        <v>1.004</v>
      </c>
      <c r="N69" s="4">
        <f>IF('Incurred Loss'!N74&lt;&gt;"",'Incurred Loss'!N75,'Incurred Loss'!N69)</f>
        <v>1.0039</v>
      </c>
      <c r="O69" s="4">
        <f>IF('Incurred Loss'!O74&lt;&gt;"",'Incurred Loss'!O75,'Incurred Loss'!O69)</f>
        <v>1.0075</v>
      </c>
      <c r="P69" s="4">
        <f>IF('Incurred Loss'!P74&lt;&gt;"",'Incurred Loss'!P75,'Incurred Loss'!P69)</f>
        <v>1.006</v>
      </c>
      <c r="Q69" s="4">
        <f>IF('Incurred Loss'!Q74&lt;&gt;"",'Incurred Loss'!Q75,'Incurred Loss'!Q69)</f>
        <v>1.0114</v>
      </c>
      <c r="R69" s="4">
        <f>IF('Incurred Loss'!R74&lt;&gt;"",'Incurred Loss'!R75,'Incurred Loss'!R69)</f>
        <v>1.0022</v>
      </c>
      <c r="S69" s="4">
        <f>IF('Incurred Loss'!S74&lt;&gt;"",'Incurred Loss'!S75,'Incurred Loss'!S69)</f>
        <v>1</v>
      </c>
      <c r="T69" s="4">
        <f>IF('Incurred Loss'!T74&lt;&gt;"",'Incurred Loss'!T75,'Incurred Loss'!T69)</f>
        <v>1</v>
      </c>
      <c r="U69" s="4">
        <f>IF('Incurred Loss'!U74&lt;&gt;"",'Incurred Loss'!U75,'Incurred Loss'!U69)</f>
        <v>1.0139</v>
      </c>
      <c r="V69" s="4">
        <f>IF('Incurred Loss'!V74&lt;&gt;"",'Incurred Loss'!V75,'Incurred Loss'!V69)</f>
        <v>1</v>
      </c>
      <c r="W69" s="4">
        <f>IF('Incurred Loss'!W74&lt;&gt;"",'Incurred Loss'!W75,'Incurred Loss'!W69)</f>
        <v>1.0119</v>
      </c>
      <c r="X69" s="4">
        <f>IF('Incurred Loss'!X74&lt;&gt;"",'Incurred Loss'!X75,'Incurred Loss'!X69)</f>
        <v>1.0119</v>
      </c>
      <c r="Y69" s="4">
        <f>IF('Incurred Loss'!Y74&lt;&gt;"",'Incurred Loss'!Y75,'Incurred Loss'!Y69)</f>
        <v>0</v>
      </c>
    </row>
    <row r="70" spans="1:25">
      <c r="A70" s="4"/>
    </row>
    <row r="71" spans="1:25">
      <c r="A71" s="4"/>
    </row>
    <row r="72" spans="1:25">
      <c r="A72" s="4" t="s">
        <v>38</v>
      </c>
      <c r="B72" s="5">
        <f>IFERROR(B68*C72,1.000)</f>
        <v>0</v>
      </c>
      <c r="C72" s="5">
        <f>IFERROR(C68*D72,1.000)</f>
        <v>0</v>
      </c>
      <c r="D72" s="5">
        <f>IFERROR(D68*E72,1.000)</f>
        <v>0</v>
      </c>
      <c r="E72" s="5">
        <f>IFERROR(E68*F72,1.000)</f>
        <v>0</v>
      </c>
      <c r="F72" s="5">
        <f>IFERROR(F68*G72,1.000)</f>
        <v>0</v>
      </c>
      <c r="G72" s="5">
        <f>IFERROR(G68*H72,1.000)</f>
        <v>0</v>
      </c>
      <c r="H72" s="5">
        <f>IFERROR(H68*I72,1.000)</f>
        <v>0</v>
      </c>
      <c r="I72" s="5">
        <f>IFERROR(I68*J72,1.000)</f>
        <v>0</v>
      </c>
      <c r="J72" s="5">
        <f>IFERROR(J68*K72,1.000)</f>
        <v>0</v>
      </c>
      <c r="K72" s="5">
        <f>IFERROR(K68*L72,1.000)</f>
        <v>0</v>
      </c>
      <c r="L72" s="5">
        <f>IFERROR(L68*M72,1.000)</f>
        <v>0</v>
      </c>
      <c r="M72" s="5">
        <f>IFERROR(M68*N72,1.000)</f>
        <v>0</v>
      </c>
      <c r="N72" s="5">
        <f>IFERROR(N68*O72,1.000)</f>
        <v>0</v>
      </c>
      <c r="O72" s="5">
        <f>IFERROR(O68*P72,1.000)</f>
        <v>0</v>
      </c>
      <c r="P72" s="5">
        <f>IFERROR(P68*Q72,1.000)</f>
        <v>0</v>
      </c>
      <c r="Q72" s="5">
        <f>IFERROR(Q68*R72,1.000)</f>
        <v>0</v>
      </c>
      <c r="R72" s="5">
        <f>IFERROR(R68*S72,1.000)</f>
        <v>0</v>
      </c>
      <c r="S72" s="5">
        <f>IFERROR(S68*T72,1.000)</f>
        <v>0</v>
      </c>
      <c r="T72" s="5">
        <f>IFERROR(T68*U72,1.000)</f>
        <v>0</v>
      </c>
      <c r="U72" s="5">
        <f>IFERROR(U68*V72,1.000)</f>
        <v>0</v>
      </c>
      <c r="V72" s="5">
        <f>IFERROR(V68*W72,1.000)</f>
        <v>0</v>
      </c>
      <c r="W72" s="5">
        <f>IFERROR(W68*X72,1.000)</f>
        <v>0</v>
      </c>
      <c r="X72" s="5">
        <f>IFERROR(X68*Y72,1.000)</f>
        <v>0</v>
      </c>
      <c r="Y72" s="5">
        <f>IFERROR('Incurred Loss'!$X$2,1.000)</f>
        <v>1.0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Y72"/>
  <sheetViews>
    <sheetView workbookViewId="0"/>
  </sheetViews>
  <sheetFormatPr defaultRowHeight="15"/>
  <cols>
    <col min="1" max="1" width="25.7109375" customWidth="1"/>
    <col min="2" max="21" width="12.7109375" customWidth="1"/>
  </cols>
  <sheetData>
    <row r="1" spans="1:25">
      <c r="A1" s="4" t="s">
        <v>73</v>
      </c>
      <c r="B1" t="s">
        <v>74</v>
      </c>
      <c r="C1" t="s">
        <v>75</v>
      </c>
      <c r="D1" t="s">
        <v>76</v>
      </c>
      <c r="E1" t="s">
        <v>77</v>
      </c>
      <c r="F1" t="s">
        <v>78</v>
      </c>
      <c r="G1" t="s">
        <v>79</v>
      </c>
      <c r="H1" t="s">
        <v>80</v>
      </c>
      <c r="I1" t="s">
        <v>81</v>
      </c>
      <c r="J1" t="s">
        <v>82</v>
      </c>
      <c r="K1" t="s">
        <v>83</v>
      </c>
      <c r="L1" t="s">
        <v>84</v>
      </c>
      <c r="M1" t="s">
        <v>85</v>
      </c>
      <c r="N1" t="s">
        <v>86</v>
      </c>
      <c r="O1" t="s">
        <v>87</v>
      </c>
      <c r="P1" t="s">
        <v>88</v>
      </c>
      <c r="Q1" t="s">
        <v>89</v>
      </c>
      <c r="R1" t="s">
        <v>90</v>
      </c>
      <c r="S1" t="s">
        <v>91</v>
      </c>
      <c r="T1" t="s">
        <v>92</v>
      </c>
      <c r="U1" t="s">
        <v>93</v>
      </c>
      <c r="V1" t="s">
        <v>94</v>
      </c>
      <c r="W1" t="s">
        <v>95</v>
      </c>
      <c r="X1" t="s">
        <v>96</v>
      </c>
      <c r="Y1" t="s">
        <v>97</v>
      </c>
    </row>
    <row r="2" spans="1:25">
      <c r="A2" s="4" t="s">
        <v>98</v>
      </c>
      <c r="B2" s="5">
        <f>'Paid Loss'!B2</f>
        <v>326044.1288</v>
      </c>
      <c r="C2" s="5">
        <f>'Paid Loss'!C2</f>
        <v>1047371.7984</v>
      </c>
      <c r="D2" s="5">
        <f>'Paid Loss'!D2</f>
        <v>1545726.656</v>
      </c>
      <c r="E2" s="5">
        <f>'Paid Loss'!E2</f>
        <v>1910965.544</v>
      </c>
      <c r="F2" s="5">
        <f>'Paid Loss'!F2</f>
        <v>2224220.1096</v>
      </c>
      <c r="G2" s="5">
        <f>'Paid Loss'!G2</f>
        <v>2283775.9933</v>
      </c>
      <c r="H2" s="5">
        <f>'Paid Loss'!H2</f>
        <v>2261772.9961</v>
      </c>
      <c r="I2" s="5">
        <f>'Paid Loss'!I2</f>
        <v>2292314.1748</v>
      </c>
      <c r="J2" s="5">
        <f>'Paid Loss'!J2</f>
        <v>2314545.3704</v>
      </c>
      <c r="K2" s="5">
        <f>'Paid Loss'!K2</f>
        <v>2342384.5889</v>
      </c>
      <c r="L2" s="5">
        <f>'Paid Loss'!L2</f>
        <v>2398200.0136</v>
      </c>
      <c r="M2" s="5">
        <f>'Paid Loss'!M2</f>
        <v>2455705.4765</v>
      </c>
      <c r="N2" s="5">
        <f>'Paid Loss'!N2</f>
        <v>2495723.8508</v>
      </c>
      <c r="O2" s="5">
        <f>'Paid Loss'!O2</f>
        <v>2559116.709</v>
      </c>
      <c r="P2" s="5">
        <f>'Paid Loss'!P2</f>
        <v>2614164.5488</v>
      </c>
      <c r="Q2" s="5">
        <f>'Paid Loss'!Q2</f>
        <v>2694350.0428</v>
      </c>
      <c r="R2" s="5">
        <f>'Paid Loss'!R2</f>
        <v>2782412.2292</v>
      </c>
      <c r="S2" s="5">
        <f>'Paid Loss'!S2</f>
        <v>2857646.1353</v>
      </c>
      <c r="T2" s="5">
        <f>'Paid Loss'!T2</f>
        <v>2967071.854</v>
      </c>
      <c r="U2" s="5">
        <f>'Paid Loss'!U2</f>
        <v>2967071.854</v>
      </c>
      <c r="V2" s="5">
        <f>'Paid Loss'!V2</f>
        <v>2989162.0372</v>
      </c>
      <c r="W2" s="5">
        <f>'Paid Loss'!W2</f>
        <v>3011385.8034</v>
      </c>
      <c r="X2" s="5">
        <f>'Paid Loss'!X2</f>
        <v>3030381.2211</v>
      </c>
      <c r="Y2" s="5">
        <f>'Paid Loss'!Y2</f>
        <v>3042294.6623</v>
      </c>
    </row>
    <row r="3" spans="1:25">
      <c r="A3" s="4" t="s">
        <v>99</v>
      </c>
      <c r="B3" s="5">
        <f>'Paid Loss'!B3</f>
        <v>357360.876</v>
      </c>
      <c r="C3" s="5">
        <f>'Paid Loss'!C3</f>
        <v>911072.9536</v>
      </c>
      <c r="D3" s="5">
        <f>'Paid Loss'!D3</f>
        <v>1220370.0388</v>
      </c>
      <c r="E3" s="5">
        <f>'Paid Loss'!E3</f>
        <v>1318345.0604</v>
      </c>
      <c r="F3" s="5">
        <f>'Paid Loss'!F3</f>
        <v>1483442.0638</v>
      </c>
      <c r="G3" s="5">
        <f>'Paid Loss'!G3</f>
        <v>1621735.0882</v>
      </c>
      <c r="H3" s="5">
        <f>'Paid Loss'!H3</f>
        <v>1658328.8102</v>
      </c>
      <c r="I3" s="5">
        <f>'Paid Loss'!I3</f>
        <v>1687704.3334</v>
      </c>
      <c r="J3" s="5">
        <f>'Paid Loss'!J3</f>
        <v>1729579.7281</v>
      </c>
      <c r="K3" s="5">
        <f>'Paid Loss'!K3</f>
        <v>1750198.8871</v>
      </c>
      <c r="L3" s="5">
        <f>'Paid Loss'!L3</f>
        <v>1780997.2031</v>
      </c>
      <c r="M3" s="5">
        <f>'Paid Loss'!M3</f>
        <v>1814423.608</v>
      </c>
      <c r="N3" s="5">
        <f>'Paid Loss'!N3</f>
        <v>1856047.2362</v>
      </c>
      <c r="O3" s="5">
        <f>'Paid Loss'!O3</f>
        <v>1903391.04</v>
      </c>
      <c r="P3" s="5">
        <f>'Paid Loss'!P3</f>
        <v>1943619.046</v>
      </c>
      <c r="Q3" s="5">
        <f>'Paid Loss'!Q3</f>
        <v>1981569.4224</v>
      </c>
      <c r="R3" s="5">
        <f>'Paid Loss'!R3</f>
        <v>2038029.9204</v>
      </c>
      <c r="S3" s="5">
        <f>'Paid Loss'!S3</f>
        <v>2079212.9737</v>
      </c>
      <c r="T3" s="5">
        <f>'Paid Loss'!T3</f>
        <v>2112239.6718</v>
      </c>
      <c r="U3" s="5">
        <f>'Paid Loss'!U3</f>
        <v>2137830.2787</v>
      </c>
      <c r="V3" s="5">
        <f>'Paid Loss'!V3</f>
        <v>2159388.4123</v>
      </c>
      <c r="W3" s="5">
        <f>'Paid Loss'!W3</f>
        <v>2180051.1446</v>
      </c>
      <c r="X3" s="5">
        <f>'Paid Loss'!X3</f>
        <v>2199646.2281</v>
      </c>
    </row>
    <row r="4" spans="1:25">
      <c r="A4" s="4" t="s">
        <v>100</v>
      </c>
      <c r="B4" s="5">
        <f>'Paid Loss'!B4</f>
        <v>463735.1516</v>
      </c>
      <c r="C4" s="5">
        <f>'Paid Loss'!C4</f>
        <v>1151781.1896</v>
      </c>
      <c r="D4" s="5">
        <f>'Paid Loss'!D4</f>
        <v>1329665.9088</v>
      </c>
      <c r="E4" s="5">
        <f>'Paid Loss'!E4</f>
        <v>1449345.2757</v>
      </c>
      <c r="F4" s="5">
        <f>'Paid Loss'!F4</f>
        <v>1676909.3456</v>
      </c>
      <c r="G4" s="5">
        <f>'Paid Loss'!G4</f>
        <v>1760385.6185</v>
      </c>
      <c r="H4" s="5">
        <f>'Paid Loss'!H4</f>
        <v>1763038.7139</v>
      </c>
      <c r="I4" s="5">
        <f>'Paid Loss'!I4</f>
        <v>1775400.1197</v>
      </c>
      <c r="J4" s="5">
        <f>'Paid Loss'!J4</f>
        <v>1772848.0925</v>
      </c>
      <c r="K4" s="5">
        <f>'Paid Loss'!K4</f>
        <v>1777183.1896</v>
      </c>
      <c r="L4" s="5">
        <f>'Paid Loss'!L4</f>
        <v>1773811.5984</v>
      </c>
      <c r="M4" s="5">
        <f>'Paid Loss'!M4</f>
        <v>1774200.3262</v>
      </c>
      <c r="N4" s="5">
        <f>'Paid Loss'!N4</f>
        <v>1774330.2012</v>
      </c>
      <c r="O4" s="5">
        <f>'Paid Loss'!O4</f>
        <v>1774330.7158</v>
      </c>
      <c r="P4" s="5">
        <f>'Paid Loss'!P4</f>
        <v>1774330.7158</v>
      </c>
      <c r="Q4" s="5">
        <f>'Paid Loss'!Q4</f>
        <v>1774330.1088</v>
      </c>
      <c r="R4" s="5">
        <f>'Paid Loss'!R4</f>
        <v>1778091.5758</v>
      </c>
      <c r="S4" s="5">
        <f>'Paid Loss'!S4</f>
        <v>1778091.5758</v>
      </c>
      <c r="T4" s="5">
        <f>'Paid Loss'!T4</f>
        <v>1778091.5758</v>
      </c>
      <c r="U4" s="5">
        <f>'Paid Loss'!U4</f>
        <v>1778091.5758</v>
      </c>
      <c r="V4" s="5">
        <f>'Paid Loss'!V4</f>
        <v>1778091.5758</v>
      </c>
      <c r="W4" s="5">
        <f>'Paid Loss'!W4</f>
        <v>1778091.5758</v>
      </c>
    </row>
    <row r="5" spans="1:25">
      <c r="A5" s="4" t="s">
        <v>101</v>
      </c>
      <c r="B5" s="5">
        <f>'Paid Loss'!B5</f>
        <v>256887.8516</v>
      </c>
      <c r="C5" s="5">
        <f>'Paid Loss'!C5</f>
        <v>625982.6108</v>
      </c>
      <c r="D5" s="5">
        <f>'Paid Loss'!D5</f>
        <v>806963.7318</v>
      </c>
      <c r="E5" s="5">
        <f>'Paid Loss'!E5</f>
        <v>903626.9918</v>
      </c>
      <c r="F5" s="5">
        <f>'Paid Loss'!F5</f>
        <v>1055143.9785</v>
      </c>
      <c r="G5" s="5">
        <f>'Paid Loss'!G5</f>
        <v>1059021.0952</v>
      </c>
      <c r="H5" s="5">
        <f>'Paid Loss'!H5</f>
        <v>1076244.8971</v>
      </c>
      <c r="I5" s="5">
        <f>'Paid Loss'!I5</f>
        <v>1084642.2245</v>
      </c>
      <c r="J5" s="5">
        <f>'Paid Loss'!J5</f>
        <v>1104688.4001</v>
      </c>
      <c r="K5" s="5">
        <f>'Paid Loss'!K5</f>
        <v>1097915.1176</v>
      </c>
      <c r="L5" s="5">
        <f>'Paid Loss'!L5</f>
        <v>1101856.2482</v>
      </c>
      <c r="M5" s="5">
        <f>'Paid Loss'!M5</f>
        <v>1108902.1072</v>
      </c>
      <c r="N5" s="5">
        <f>'Paid Loss'!N5</f>
        <v>1109362.6476</v>
      </c>
      <c r="O5" s="5">
        <f>'Paid Loss'!O5</f>
        <v>1111377.6768</v>
      </c>
      <c r="P5" s="5">
        <f>'Paid Loss'!P5</f>
        <v>1112023.7134</v>
      </c>
      <c r="Q5" s="5">
        <f>'Paid Loss'!Q5</f>
        <v>1122581.0808</v>
      </c>
      <c r="R5" s="5">
        <f>'Paid Loss'!R5</f>
        <v>1122581.0808</v>
      </c>
      <c r="S5" s="5">
        <f>'Paid Loss'!S5</f>
        <v>1122581.0808</v>
      </c>
      <c r="T5" s="5">
        <f>'Paid Loss'!T5</f>
        <v>1122581.0808</v>
      </c>
      <c r="U5" s="5">
        <f>'Paid Loss'!U5</f>
        <v>1122614.7306</v>
      </c>
      <c r="V5" s="5">
        <f>'Paid Loss'!V5</f>
        <v>1122614.7306</v>
      </c>
    </row>
    <row r="6" spans="1:25">
      <c r="A6" s="4" t="s">
        <v>102</v>
      </c>
      <c r="B6" s="5">
        <f>'Paid Loss'!B6</f>
        <v>608992.7608</v>
      </c>
      <c r="C6" s="5">
        <f>'Paid Loss'!C6</f>
        <v>1236895.4952</v>
      </c>
      <c r="D6" s="5">
        <f>'Paid Loss'!D6</f>
        <v>1567631.4222</v>
      </c>
      <c r="E6" s="5">
        <f>'Paid Loss'!E6</f>
        <v>1636425.4164</v>
      </c>
      <c r="F6" s="5">
        <f>'Paid Loss'!F6</f>
        <v>1758637.9007</v>
      </c>
      <c r="G6" s="5">
        <f>'Paid Loss'!G6</f>
        <v>1795133.3653</v>
      </c>
      <c r="H6" s="5">
        <f>'Paid Loss'!H6</f>
        <v>1833000.6993</v>
      </c>
      <c r="I6" s="5">
        <f>'Paid Loss'!I6</f>
        <v>1852087.552</v>
      </c>
      <c r="J6" s="5">
        <f>'Paid Loss'!J6</f>
        <v>1859809.9304</v>
      </c>
      <c r="K6" s="5">
        <f>'Paid Loss'!K6</f>
        <v>1915619.628</v>
      </c>
      <c r="L6" s="5">
        <f>'Paid Loss'!L6</f>
        <v>1970034.7988</v>
      </c>
      <c r="M6" s="5">
        <f>'Paid Loss'!M6</f>
        <v>2009947.4204</v>
      </c>
      <c r="N6" s="5">
        <f>'Paid Loss'!N6</f>
        <v>2075716.2844</v>
      </c>
      <c r="O6" s="5">
        <f>'Paid Loss'!O6</f>
        <v>2114878.8058</v>
      </c>
      <c r="P6" s="5">
        <f>'Paid Loss'!P6</f>
        <v>2178586.6261</v>
      </c>
      <c r="Q6" s="5">
        <f>'Paid Loss'!Q6</f>
        <v>2195933.5863</v>
      </c>
      <c r="R6" s="5">
        <f>'Paid Loss'!R6</f>
        <v>2238397.7073</v>
      </c>
      <c r="S6" s="5">
        <f>'Paid Loss'!S6</f>
        <v>2242149.1321</v>
      </c>
      <c r="T6" s="5">
        <f>'Paid Loss'!T6</f>
        <v>2242149.1321</v>
      </c>
      <c r="U6" s="5">
        <f>'Paid Loss'!U6</f>
        <v>2242149.1321</v>
      </c>
    </row>
    <row r="7" spans="1:25">
      <c r="A7" s="4" t="s">
        <v>103</v>
      </c>
      <c r="B7" s="5">
        <f>'Paid Loss'!B7</f>
        <v>284786.4257</v>
      </c>
      <c r="C7" s="5">
        <f>'Paid Loss'!C7</f>
        <v>699582.2055</v>
      </c>
      <c r="D7" s="5">
        <f>'Paid Loss'!D7</f>
        <v>893260.3462</v>
      </c>
      <c r="E7" s="5">
        <f>'Paid Loss'!E7</f>
        <v>972843.9706</v>
      </c>
      <c r="F7" s="5">
        <f>'Paid Loss'!F7</f>
        <v>1032368.8569</v>
      </c>
      <c r="G7" s="5">
        <f>'Paid Loss'!G7</f>
        <v>1080435.6828</v>
      </c>
      <c r="H7" s="5">
        <f>'Paid Loss'!H7</f>
        <v>1125111.9944</v>
      </c>
      <c r="I7" s="5">
        <f>'Paid Loss'!I7</f>
        <v>1132751.238</v>
      </c>
      <c r="J7" s="5">
        <f>'Paid Loss'!J7</f>
        <v>1168539.0935</v>
      </c>
      <c r="K7" s="5">
        <f>'Paid Loss'!K7</f>
        <v>1216433.672</v>
      </c>
      <c r="L7" s="5">
        <f>'Paid Loss'!L7</f>
        <v>1328624.7444</v>
      </c>
      <c r="M7" s="5">
        <f>'Paid Loss'!M7</f>
        <v>1365342.6144</v>
      </c>
      <c r="N7" s="5">
        <f>'Paid Loss'!N7</f>
        <v>1379576.1499</v>
      </c>
      <c r="O7" s="5">
        <f>'Paid Loss'!O7</f>
        <v>1405359.4184</v>
      </c>
      <c r="P7" s="5">
        <f>'Paid Loss'!P7</f>
        <v>1414931.5329</v>
      </c>
      <c r="Q7" s="5">
        <f>'Paid Loss'!Q7</f>
        <v>1426750.1344</v>
      </c>
      <c r="R7" s="5">
        <f>'Paid Loss'!R7</f>
        <v>1443114.7447</v>
      </c>
      <c r="S7" s="5">
        <f>'Paid Loss'!S7</f>
        <v>1454133.0748</v>
      </c>
      <c r="T7" s="5">
        <f>'Paid Loss'!T7</f>
        <v>1462141.0279</v>
      </c>
    </row>
    <row r="8" spans="1:25">
      <c r="A8" s="4" t="s">
        <v>104</v>
      </c>
      <c r="B8" s="5">
        <f>'Paid Loss'!B8</f>
        <v>503577.874</v>
      </c>
      <c r="C8" s="5">
        <f>'Paid Loss'!C8</f>
        <v>1103237.7506</v>
      </c>
      <c r="D8" s="5">
        <f>'Paid Loss'!D8</f>
        <v>1428526.0389</v>
      </c>
      <c r="E8" s="5">
        <f>'Paid Loss'!E8</f>
        <v>1819136.8101</v>
      </c>
      <c r="F8" s="5">
        <f>'Paid Loss'!F8</f>
        <v>2157661.0559</v>
      </c>
      <c r="G8" s="5">
        <f>'Paid Loss'!G8</f>
        <v>2620801.9125</v>
      </c>
      <c r="H8" s="5">
        <f>'Paid Loss'!H8</f>
        <v>2924146.5064</v>
      </c>
      <c r="I8" s="5">
        <f>'Paid Loss'!I8</f>
        <v>3151184.5969</v>
      </c>
      <c r="J8" s="5">
        <f>'Paid Loss'!J8</f>
        <v>3405400.6676</v>
      </c>
      <c r="K8" s="5">
        <f>'Paid Loss'!K8</f>
        <v>3694439.2536</v>
      </c>
      <c r="L8" s="5">
        <f>'Paid Loss'!L8</f>
        <v>3998197.9776</v>
      </c>
      <c r="M8" s="5">
        <f>'Paid Loss'!M8</f>
        <v>4198107.2299</v>
      </c>
      <c r="N8" s="5">
        <f>'Paid Loss'!N8</f>
        <v>4370392.0813</v>
      </c>
      <c r="O8" s="5">
        <f>'Paid Loss'!O8</f>
        <v>4496731.0472</v>
      </c>
      <c r="P8" s="5">
        <f>'Paid Loss'!P8</f>
        <v>4617311.0543</v>
      </c>
      <c r="Q8" s="5">
        <f>'Paid Loss'!Q8</f>
        <v>4751466.0901</v>
      </c>
      <c r="R8" s="5">
        <f>'Paid Loss'!R8</f>
        <v>4781329.5223</v>
      </c>
      <c r="S8" s="5">
        <f>'Paid Loss'!S8</f>
        <v>4790693.1532</v>
      </c>
    </row>
    <row r="9" spans="1:25">
      <c r="A9" s="4" t="s">
        <v>105</v>
      </c>
      <c r="B9" s="5">
        <f>'Paid Loss'!B9</f>
        <v>353516.7624</v>
      </c>
      <c r="C9" s="5">
        <f>'Paid Loss'!C9</f>
        <v>646575.048</v>
      </c>
      <c r="D9" s="5">
        <f>'Paid Loss'!D9</f>
        <v>869637.4344</v>
      </c>
      <c r="E9" s="5">
        <f>'Paid Loss'!E9</f>
        <v>1188355.7378</v>
      </c>
      <c r="F9" s="5">
        <f>'Paid Loss'!F9</f>
        <v>1229852.5392</v>
      </c>
      <c r="G9" s="5">
        <f>'Paid Loss'!G9</f>
        <v>1267751.5964</v>
      </c>
      <c r="H9" s="5">
        <f>'Paid Loss'!H9</f>
        <v>1276615.5211</v>
      </c>
      <c r="I9" s="5">
        <f>'Paid Loss'!I9</f>
        <v>1284777.0756</v>
      </c>
      <c r="J9" s="5">
        <f>'Paid Loss'!J9</f>
        <v>1299869.3408</v>
      </c>
      <c r="K9" s="5">
        <f>'Paid Loss'!K9</f>
        <v>1317293.3392</v>
      </c>
      <c r="L9" s="5">
        <f>'Paid Loss'!L9</f>
        <v>1331381.9562</v>
      </c>
      <c r="M9" s="5">
        <f>'Paid Loss'!M9</f>
        <v>1333966.5248</v>
      </c>
      <c r="N9" s="5">
        <f>'Paid Loss'!N9</f>
        <v>1337060.2082</v>
      </c>
      <c r="O9" s="5">
        <f>'Paid Loss'!O9</f>
        <v>1338579.3845</v>
      </c>
      <c r="P9" s="5">
        <f>'Paid Loss'!P9</f>
        <v>1339456.8657</v>
      </c>
      <c r="Q9" s="5">
        <f>'Paid Loss'!Q9</f>
        <v>1343001.2058</v>
      </c>
      <c r="R9" s="5">
        <f>'Paid Loss'!R9</f>
        <v>1378427.9395</v>
      </c>
    </row>
    <row r="10" spans="1:25">
      <c r="A10" s="4" t="s">
        <v>106</v>
      </c>
      <c r="B10" s="5">
        <f>'Paid Loss'!B10</f>
        <v>228667.6382</v>
      </c>
      <c r="C10" s="5">
        <f>'Paid Loss'!C10</f>
        <v>742247.3016</v>
      </c>
      <c r="D10" s="5">
        <f>'Paid Loss'!D10</f>
        <v>811950.8169</v>
      </c>
      <c r="E10" s="5">
        <f>'Paid Loss'!E10</f>
        <v>834061.9289</v>
      </c>
      <c r="F10" s="5">
        <f>'Paid Loss'!F10</f>
        <v>894984.3904</v>
      </c>
      <c r="G10" s="5">
        <f>'Paid Loss'!G10</f>
        <v>941084.9331</v>
      </c>
      <c r="H10" s="5">
        <f>'Paid Loss'!H10</f>
        <v>969391.356</v>
      </c>
      <c r="I10" s="5">
        <f>'Paid Loss'!I10</f>
        <v>1018256.144</v>
      </c>
      <c r="J10" s="5">
        <f>'Paid Loss'!J10</f>
        <v>1055610.0612</v>
      </c>
      <c r="K10" s="5">
        <f>'Paid Loss'!K10</f>
        <v>1071106.0052</v>
      </c>
      <c r="L10" s="5">
        <f>'Paid Loss'!L10</f>
        <v>1081182.3785</v>
      </c>
      <c r="M10" s="5">
        <f>'Paid Loss'!M10</f>
        <v>1114205.6456</v>
      </c>
      <c r="N10" s="5">
        <f>'Paid Loss'!N10</f>
        <v>1169581.0893</v>
      </c>
      <c r="O10" s="5">
        <f>'Paid Loss'!O10</f>
        <v>1169581.0893</v>
      </c>
      <c r="P10" s="5">
        <f>'Paid Loss'!P10</f>
        <v>1169581.0893</v>
      </c>
      <c r="Q10" s="5">
        <f>'Paid Loss'!Q10</f>
        <v>1169581.0893</v>
      </c>
    </row>
    <row r="11" spans="1:25">
      <c r="A11" s="4" t="s">
        <v>107</v>
      </c>
      <c r="B11" s="5">
        <f>'Paid Loss'!B11</f>
        <v>243623.1532</v>
      </c>
      <c r="C11" s="5">
        <f>'Paid Loss'!C11</f>
        <v>673150.5647</v>
      </c>
      <c r="D11" s="5">
        <f>'Paid Loss'!D11</f>
        <v>915252.7734</v>
      </c>
      <c r="E11" s="5">
        <f>'Paid Loss'!E11</f>
        <v>1076920.2816</v>
      </c>
      <c r="F11" s="5">
        <f>'Paid Loss'!F11</f>
        <v>1176984.3356</v>
      </c>
      <c r="G11" s="5">
        <f>'Paid Loss'!G11</f>
        <v>1201535.388</v>
      </c>
      <c r="H11" s="5">
        <f>'Paid Loss'!H11</f>
        <v>1260309.0524</v>
      </c>
      <c r="I11" s="5">
        <f>'Paid Loss'!I11</f>
        <v>1262502.2276</v>
      </c>
      <c r="J11" s="5">
        <f>'Paid Loss'!J11</f>
        <v>1266822.057</v>
      </c>
      <c r="K11" s="5">
        <f>'Paid Loss'!K11</f>
        <v>1267621.5366</v>
      </c>
      <c r="L11" s="5">
        <f>'Paid Loss'!L11</f>
        <v>1268264.0499</v>
      </c>
      <c r="M11" s="5">
        <f>'Paid Loss'!M11</f>
        <v>1268337.9475</v>
      </c>
      <c r="N11" s="5">
        <f>'Paid Loss'!N11</f>
        <v>1269144.7773</v>
      </c>
      <c r="O11" s="5">
        <f>'Paid Loss'!O11</f>
        <v>1270069.2627</v>
      </c>
      <c r="P11" s="5">
        <f>'Paid Loss'!P11</f>
        <v>1277672.0721</v>
      </c>
    </row>
    <row r="12" spans="1:25">
      <c r="A12" s="4" t="s">
        <v>108</v>
      </c>
      <c r="B12" s="5">
        <f>'Paid Loss'!B12</f>
        <v>364078.0359</v>
      </c>
      <c r="C12" s="5">
        <f>'Paid Loss'!C12</f>
        <v>839046.0318</v>
      </c>
      <c r="D12" s="5">
        <f>'Paid Loss'!D12</f>
        <v>1308017.8708</v>
      </c>
      <c r="E12" s="5">
        <f>'Paid Loss'!E12</f>
        <v>1406826.3913</v>
      </c>
      <c r="F12" s="5">
        <f>'Paid Loss'!F12</f>
        <v>1523414.8592</v>
      </c>
      <c r="G12" s="5">
        <f>'Paid Loss'!G12</f>
        <v>1658815.0564</v>
      </c>
      <c r="H12" s="5">
        <f>'Paid Loss'!H12</f>
        <v>1822167.0208</v>
      </c>
      <c r="I12" s="5">
        <f>'Paid Loss'!I12</f>
        <v>1825756.0557</v>
      </c>
      <c r="J12" s="5">
        <f>'Paid Loss'!J12</f>
        <v>1834064.2045</v>
      </c>
      <c r="K12" s="5">
        <f>'Paid Loss'!K12</f>
        <v>1848125.5322</v>
      </c>
      <c r="L12" s="5">
        <f>'Paid Loss'!L12</f>
        <v>1857745.403</v>
      </c>
      <c r="M12" s="5">
        <f>'Paid Loss'!M12</f>
        <v>1876941.6374</v>
      </c>
      <c r="N12" s="5">
        <f>'Paid Loss'!N12</f>
        <v>1886612.5767</v>
      </c>
      <c r="O12" s="5">
        <f>'Paid Loss'!O12</f>
        <v>1892658.2977</v>
      </c>
    </row>
    <row r="13" spans="1:25">
      <c r="A13" s="4" t="s">
        <v>109</v>
      </c>
      <c r="B13" s="5">
        <f>'Paid Loss'!B13</f>
        <v>227809.9905</v>
      </c>
      <c r="C13" s="5">
        <f>'Paid Loss'!C13</f>
        <v>634577.1656</v>
      </c>
      <c r="D13" s="5">
        <f>'Paid Loss'!D13</f>
        <v>799343.7148</v>
      </c>
      <c r="E13" s="5">
        <f>'Paid Loss'!E13</f>
        <v>951570.158</v>
      </c>
      <c r="F13" s="5">
        <f>'Paid Loss'!F13</f>
        <v>961178.1656</v>
      </c>
      <c r="G13" s="5">
        <f>'Paid Loss'!G13</f>
        <v>967435.7088</v>
      </c>
      <c r="H13" s="5">
        <f>'Paid Loss'!H13</f>
        <v>977662.0018</v>
      </c>
      <c r="I13" s="5">
        <f>'Paid Loss'!I13</f>
        <v>1016181.6668</v>
      </c>
      <c r="J13" s="5">
        <f>'Paid Loss'!J13</f>
        <v>1048240.5835</v>
      </c>
      <c r="K13" s="5">
        <f>'Paid Loss'!K13</f>
        <v>1053040.6285</v>
      </c>
      <c r="L13" s="5">
        <f>'Paid Loss'!L13</f>
        <v>1084319.7934</v>
      </c>
      <c r="M13" s="5">
        <f>'Paid Loss'!M13</f>
        <v>1145575.5199</v>
      </c>
      <c r="N13" s="5">
        <f>'Paid Loss'!N13</f>
        <v>1194236.8783</v>
      </c>
    </row>
    <row r="14" spans="1:25">
      <c r="A14" s="4" t="s">
        <v>110</v>
      </c>
      <c r="B14" s="5">
        <f>'Paid Loss'!B14</f>
        <v>202558.6</v>
      </c>
      <c r="C14" s="5">
        <f>'Paid Loss'!C14</f>
        <v>466110.2601</v>
      </c>
      <c r="D14" s="5">
        <f>'Paid Loss'!D14</f>
        <v>544741.4368</v>
      </c>
      <c r="E14" s="5">
        <f>'Paid Loss'!E14</f>
        <v>597598.0148</v>
      </c>
      <c r="F14" s="5">
        <f>'Paid Loss'!F14</f>
        <v>708646.3136</v>
      </c>
      <c r="G14" s="5">
        <f>'Paid Loss'!G14</f>
        <v>706804.6403</v>
      </c>
      <c r="H14" s="5">
        <f>'Paid Loss'!H14</f>
        <v>707153.1202</v>
      </c>
      <c r="I14" s="5">
        <f>'Paid Loss'!I14</f>
        <v>707153.1202</v>
      </c>
      <c r="J14" s="5">
        <f>'Paid Loss'!J14</f>
        <v>708518.7743</v>
      </c>
      <c r="K14" s="5">
        <f>'Paid Loss'!K14</f>
        <v>708518.7743</v>
      </c>
      <c r="L14" s="5">
        <f>'Paid Loss'!L14</f>
        <v>708529.9909</v>
      </c>
      <c r="M14" s="5">
        <f>'Paid Loss'!M14</f>
        <v>708529.9909</v>
      </c>
    </row>
    <row r="15" spans="1:25">
      <c r="A15" s="4" t="s">
        <v>111</v>
      </c>
      <c r="B15" s="5">
        <f>'Paid Loss'!B15</f>
        <v>411721.1514</v>
      </c>
      <c r="C15" s="5">
        <f>'Paid Loss'!C15</f>
        <v>738237.024</v>
      </c>
      <c r="D15" s="5">
        <f>'Paid Loss'!D15</f>
        <v>926318.2924</v>
      </c>
      <c r="E15" s="5">
        <f>'Paid Loss'!E15</f>
        <v>1179532.3776</v>
      </c>
      <c r="F15" s="5">
        <f>'Paid Loss'!F15</f>
        <v>1258547.8747</v>
      </c>
      <c r="G15" s="5">
        <f>'Paid Loss'!G15</f>
        <v>1279437.0107</v>
      </c>
      <c r="H15" s="5">
        <f>'Paid Loss'!H15</f>
        <v>1287255.5747</v>
      </c>
      <c r="I15" s="5">
        <f>'Paid Loss'!I15</f>
        <v>1291077.2419</v>
      </c>
      <c r="J15" s="5">
        <f>'Paid Loss'!J15</f>
        <v>1299245.6846</v>
      </c>
      <c r="K15" s="5">
        <f>'Paid Loss'!K15</f>
        <v>1379318.0229</v>
      </c>
      <c r="L15" s="5">
        <f>'Paid Loss'!L15</f>
        <v>1389603.6847</v>
      </c>
    </row>
    <row r="16" spans="1:25">
      <c r="A16" s="4" t="s">
        <v>112</v>
      </c>
      <c r="B16" s="5">
        <f>'Paid Loss'!B16</f>
        <v>380424.8448</v>
      </c>
      <c r="C16" s="5">
        <f>'Paid Loss'!C16</f>
        <v>844695.754</v>
      </c>
      <c r="D16" s="5">
        <f>'Paid Loss'!D16</f>
        <v>1420142.9632</v>
      </c>
      <c r="E16" s="5">
        <f>'Paid Loss'!E16</f>
        <v>2080874.3633</v>
      </c>
      <c r="F16" s="5">
        <f>'Paid Loss'!F16</f>
        <v>2234622.0018</v>
      </c>
      <c r="G16" s="5">
        <f>'Paid Loss'!G16</f>
        <v>2488067.8351</v>
      </c>
      <c r="H16" s="5">
        <f>'Paid Loss'!H16</f>
        <v>2763681.6553</v>
      </c>
      <c r="I16" s="5">
        <f>'Paid Loss'!I16</f>
        <v>2914940.4622</v>
      </c>
      <c r="J16" s="5">
        <f>'Paid Loss'!J16</f>
        <v>2956733.3158</v>
      </c>
      <c r="K16" s="5">
        <f>'Paid Loss'!K16</f>
        <v>3364231.2985</v>
      </c>
    </row>
    <row r="17" spans="1:24">
      <c r="A17" s="4" t="s">
        <v>113</v>
      </c>
      <c r="B17" s="5">
        <f>'Paid Loss'!B17</f>
        <v>339622.8128</v>
      </c>
      <c r="C17" s="5">
        <f>'Paid Loss'!C17</f>
        <v>1125902.514</v>
      </c>
      <c r="D17" s="5">
        <f>'Paid Loss'!D17</f>
        <v>1591493.1288</v>
      </c>
      <c r="E17" s="5">
        <f>'Paid Loss'!E17</f>
        <v>1791123.5232</v>
      </c>
      <c r="F17" s="5">
        <f>'Paid Loss'!F17</f>
        <v>1925889.9033</v>
      </c>
      <c r="G17" s="5">
        <f>'Paid Loss'!G17</f>
        <v>2122828.5116</v>
      </c>
      <c r="H17" s="5">
        <f>'Paid Loss'!H17</f>
        <v>2419166.3463</v>
      </c>
      <c r="I17" s="5">
        <f>'Paid Loss'!I17</f>
        <v>2435189.8136</v>
      </c>
      <c r="J17" s="5">
        <f>'Paid Loss'!J17</f>
        <v>2462208.6764</v>
      </c>
    </row>
    <row r="18" spans="1:24">
      <c r="A18" s="4" t="s">
        <v>114</v>
      </c>
      <c r="B18" s="5">
        <f>'Paid Loss'!B18</f>
        <v>336652.3932</v>
      </c>
      <c r="C18" s="5">
        <f>'Paid Loss'!C18</f>
        <v>584790.2939</v>
      </c>
      <c r="D18" s="5">
        <f>'Paid Loss'!D18</f>
        <v>630127.1445</v>
      </c>
      <c r="E18" s="5">
        <f>'Paid Loss'!E18</f>
        <v>710567.1893</v>
      </c>
      <c r="F18" s="5">
        <f>'Paid Loss'!F18</f>
        <v>772675.5753</v>
      </c>
      <c r="G18" s="5">
        <f>'Paid Loss'!G18</f>
        <v>855730.1436</v>
      </c>
      <c r="H18" s="5">
        <f>'Paid Loss'!H18</f>
        <v>1105087.777</v>
      </c>
      <c r="I18" s="5">
        <f>'Paid Loss'!I18</f>
        <v>1205811.8289</v>
      </c>
    </row>
    <row r="19" spans="1:24">
      <c r="A19" s="4" t="s">
        <v>115</v>
      </c>
      <c r="B19" s="5">
        <f>'Paid Loss'!B19</f>
        <v>345419.169</v>
      </c>
      <c r="C19" s="5">
        <f>'Paid Loss'!C19</f>
        <v>993120.1129</v>
      </c>
      <c r="D19" s="5">
        <f>'Paid Loss'!D19</f>
        <v>1473722.3521</v>
      </c>
      <c r="E19" s="5">
        <f>'Paid Loss'!E19</f>
        <v>2024103.1787</v>
      </c>
      <c r="F19" s="5">
        <f>'Paid Loss'!F19</f>
        <v>2140405.0822</v>
      </c>
      <c r="G19" s="5">
        <f>'Paid Loss'!G19</f>
        <v>2260849.3157</v>
      </c>
      <c r="H19" s="5">
        <f>'Paid Loss'!H19</f>
        <v>2395448.4233</v>
      </c>
    </row>
    <row r="20" spans="1:24">
      <c r="A20" s="4" t="s">
        <v>116</v>
      </c>
      <c r="B20" s="5">
        <f>'Paid Loss'!B20</f>
        <v>289279.8617</v>
      </c>
      <c r="C20" s="5">
        <f>'Paid Loss'!C20</f>
        <v>773667.7694</v>
      </c>
      <c r="D20" s="5">
        <f>'Paid Loss'!D20</f>
        <v>1353683.4733</v>
      </c>
      <c r="E20" s="5">
        <f>'Paid Loss'!E20</f>
        <v>1600695.7816</v>
      </c>
      <c r="F20" s="5">
        <f>'Paid Loss'!F20</f>
        <v>1970840.4806</v>
      </c>
      <c r="G20" s="5">
        <f>'Paid Loss'!G20</f>
        <v>2395189.8345</v>
      </c>
    </row>
    <row r="21" spans="1:24">
      <c r="A21" s="4" t="s">
        <v>117</v>
      </c>
      <c r="B21" s="5">
        <f>'Paid Loss'!B21</f>
        <v>285916.1353</v>
      </c>
      <c r="C21" s="5">
        <f>'Paid Loss'!C21</f>
        <v>730087.9662</v>
      </c>
      <c r="D21" s="5">
        <f>'Paid Loss'!D21</f>
        <v>861703.8541</v>
      </c>
      <c r="E21" s="5">
        <f>'Paid Loss'!E21</f>
        <v>965936.0494</v>
      </c>
      <c r="F21" s="5">
        <f>'Paid Loss'!F21</f>
        <v>976050.8626</v>
      </c>
    </row>
    <row r="22" spans="1:24">
      <c r="A22" s="4" t="s">
        <v>118</v>
      </c>
      <c r="B22" s="5">
        <f>'Paid Loss'!B22</f>
        <v>273712.105</v>
      </c>
      <c r="C22" s="5">
        <f>'Paid Loss'!C22</f>
        <v>546911.8753</v>
      </c>
      <c r="D22" s="5">
        <f>'Paid Loss'!D22</f>
        <v>911379.2328</v>
      </c>
      <c r="E22" s="5">
        <f>'Paid Loss'!E22</f>
        <v>974979.4133</v>
      </c>
    </row>
    <row r="23" spans="1:24">
      <c r="A23" s="4" t="s">
        <v>119</v>
      </c>
      <c r="B23" s="5">
        <f>'Paid Loss'!B23</f>
        <v>307340.8838</v>
      </c>
      <c r="C23" s="5">
        <f>'Paid Loss'!C23</f>
        <v>746644.5651</v>
      </c>
      <c r="D23" s="5">
        <f>'Paid Loss'!D23</f>
        <v>791103.7101</v>
      </c>
    </row>
    <row r="24" spans="1:24">
      <c r="A24" s="4" t="s">
        <v>120</v>
      </c>
      <c r="B24" s="5">
        <f>'Paid Loss'!B24</f>
        <v>367267.232</v>
      </c>
      <c r="C24" s="5">
        <f>'Paid Loss'!C24</f>
        <v>1199242.0684</v>
      </c>
    </row>
    <row r="25" spans="1:24">
      <c r="A25" s="4" t="s">
        <v>121</v>
      </c>
      <c r="B25" s="5">
        <f>'Paid Loss'!B25</f>
        <v>355247.7609</v>
      </c>
    </row>
    <row r="26" spans="1:24">
      <c r="A26" s="4"/>
    </row>
    <row r="27" spans="1:24">
      <c r="A27" s="4" t="s">
        <v>73</v>
      </c>
      <c r="B27" t="s">
        <v>122</v>
      </c>
      <c r="C27" t="s">
        <v>123</v>
      </c>
      <c r="D27" t="s">
        <v>124</v>
      </c>
      <c r="E27" t="s">
        <v>125</v>
      </c>
      <c r="F27" t="s">
        <v>126</v>
      </c>
      <c r="G27" t="s">
        <v>127</v>
      </c>
      <c r="H27" t="s">
        <v>128</v>
      </c>
      <c r="I27" t="s">
        <v>129</v>
      </c>
      <c r="J27" t="s">
        <v>130</v>
      </c>
      <c r="K27" t="s">
        <v>131</v>
      </c>
      <c r="L27" t="s">
        <v>132</v>
      </c>
      <c r="M27" t="s">
        <v>133</v>
      </c>
      <c r="N27" t="s">
        <v>134</v>
      </c>
      <c r="O27" t="s">
        <v>135</v>
      </c>
      <c r="P27" t="s">
        <v>136</v>
      </c>
      <c r="Q27" t="s">
        <v>137</v>
      </c>
      <c r="R27" t="s">
        <v>138</v>
      </c>
      <c r="S27" t="s">
        <v>139</v>
      </c>
      <c r="T27" t="s">
        <v>140</v>
      </c>
      <c r="U27" t="s">
        <v>141</v>
      </c>
      <c r="V27" t="s">
        <v>142</v>
      </c>
      <c r="W27" t="s">
        <v>143</v>
      </c>
      <c r="X27" t="s">
        <v>144</v>
      </c>
    </row>
    <row r="28" spans="1:24">
      <c r="A28" s="4" t="s">
        <v>98</v>
      </c>
      <c r="B28" s="5">
        <f>'Paid Loss'!B28</f>
        <v>3.2124</v>
      </c>
      <c r="C28" s="5">
        <f>'Paid Loss'!C28</f>
        <v>1.4758</v>
      </c>
      <c r="D28" s="5">
        <f>'Paid Loss'!D28</f>
        <v>1.2363</v>
      </c>
      <c r="E28" s="5">
        <f>'Paid Loss'!E28</f>
        <v>1.1639</v>
      </c>
      <c r="F28" s="5">
        <f>'Paid Loss'!F28</f>
        <v>1.0268</v>
      </c>
      <c r="G28" s="5">
        <f>'Paid Loss'!G28</f>
        <v>0.9904</v>
      </c>
      <c r="H28" s="5">
        <f>'Paid Loss'!H28</f>
        <v>1.0135</v>
      </c>
      <c r="I28" s="5">
        <f>'Paid Loss'!I28</f>
        <v>1.0097</v>
      </c>
      <c r="J28" s="5">
        <f>'Paid Loss'!J28</f>
        <v>1.012</v>
      </c>
      <c r="K28" s="5">
        <f>'Paid Loss'!K28</f>
        <v>1.0238</v>
      </c>
      <c r="L28" s="5">
        <f>'Paid Loss'!L28</f>
        <v>1.024</v>
      </c>
      <c r="M28" s="5">
        <f>'Paid Loss'!M28</f>
        <v>1.0163</v>
      </c>
      <c r="N28" s="5">
        <f>'Paid Loss'!N28</f>
        <v>1.0254</v>
      </c>
      <c r="O28" s="5">
        <f>'Paid Loss'!O28</f>
        <v>1.0215</v>
      </c>
      <c r="P28" s="5">
        <f>'Paid Loss'!P28</f>
        <v>1.0307</v>
      </c>
      <c r="Q28" s="5">
        <f>'Paid Loss'!Q28</f>
        <v>1.0327</v>
      </c>
      <c r="R28" s="5">
        <f>'Paid Loss'!R28</f>
        <v>1.027</v>
      </c>
      <c r="S28" s="5">
        <f>'Paid Loss'!S28</f>
        <v>1.0383</v>
      </c>
      <c r="T28" s="5">
        <f>'Paid Loss'!T28</f>
        <v>1</v>
      </c>
      <c r="U28" s="5">
        <f>'Paid Loss'!U28</f>
        <v>1.0074</v>
      </c>
      <c r="V28" s="5">
        <f>'Paid Loss'!V28</f>
        <v>1.0074</v>
      </c>
      <c r="W28" s="5">
        <f>'Paid Loss'!W28</f>
        <v>1.0063</v>
      </c>
      <c r="X28" s="5">
        <f>'Paid Loss'!X28</f>
        <v>1.0039</v>
      </c>
    </row>
    <row r="29" spans="1:24">
      <c r="A29" s="4" t="s">
        <v>99</v>
      </c>
      <c r="B29" s="5">
        <f>'Paid Loss'!B29</f>
        <v>2.5494</v>
      </c>
      <c r="C29" s="5">
        <f>'Paid Loss'!C29</f>
        <v>1.3395</v>
      </c>
      <c r="D29" s="5">
        <f>'Paid Loss'!D29</f>
        <v>1.0803</v>
      </c>
      <c r="E29" s="5">
        <f>'Paid Loss'!E29</f>
        <v>1.1252</v>
      </c>
      <c r="F29" s="5">
        <f>'Paid Loss'!F29</f>
        <v>1.0932</v>
      </c>
      <c r="G29" s="5">
        <f>'Paid Loss'!G29</f>
        <v>1.0226</v>
      </c>
      <c r="H29" s="5">
        <f>'Paid Loss'!H29</f>
        <v>1.0177</v>
      </c>
      <c r="I29" s="5">
        <f>'Paid Loss'!I29</f>
        <v>1.0248</v>
      </c>
      <c r="J29" s="5">
        <f>'Paid Loss'!J29</f>
        <v>1.0119</v>
      </c>
      <c r="K29" s="5">
        <f>'Paid Loss'!K29</f>
        <v>1.0176</v>
      </c>
      <c r="L29" s="5">
        <f>'Paid Loss'!L29</f>
        <v>1.0188</v>
      </c>
      <c r="M29" s="5">
        <f>'Paid Loss'!M29</f>
        <v>1.0229</v>
      </c>
      <c r="N29" s="5">
        <f>'Paid Loss'!N29</f>
        <v>1.0255</v>
      </c>
      <c r="O29" s="5">
        <f>'Paid Loss'!O29</f>
        <v>1.0211</v>
      </c>
      <c r="P29" s="5">
        <f>'Paid Loss'!P29</f>
        <v>1.0195</v>
      </c>
      <c r="Q29" s="5">
        <f>'Paid Loss'!Q29</f>
        <v>1.0285</v>
      </c>
      <c r="R29" s="5">
        <f>'Paid Loss'!R29</f>
        <v>1.0202</v>
      </c>
      <c r="S29" s="5">
        <f>'Paid Loss'!S29</f>
        <v>1.0159</v>
      </c>
      <c r="T29" s="5">
        <f>'Paid Loss'!T29</f>
        <v>1.0121</v>
      </c>
      <c r="U29" s="5">
        <f>'Paid Loss'!U29</f>
        <v>1.0101</v>
      </c>
      <c r="V29" s="5">
        <f>'Paid Loss'!V29</f>
        <v>1.0096</v>
      </c>
      <c r="W29" s="5">
        <f>'Paid Loss'!W29</f>
        <v>1.009</v>
      </c>
    </row>
    <row r="30" spans="1:24">
      <c r="A30" s="4" t="s">
        <v>100</v>
      </c>
      <c r="B30" s="5">
        <f>'Paid Loss'!B30</f>
        <v>2.4837</v>
      </c>
      <c r="C30" s="5">
        <f>'Paid Loss'!C30</f>
        <v>1.1544</v>
      </c>
      <c r="D30" s="5">
        <f>'Paid Loss'!D30</f>
        <v>1.09</v>
      </c>
      <c r="E30" s="5">
        <f>'Paid Loss'!E30</f>
        <v>1.157</v>
      </c>
      <c r="F30" s="5">
        <f>'Paid Loss'!F30</f>
        <v>1.0498</v>
      </c>
      <c r="G30" s="5">
        <f>'Paid Loss'!G30</f>
        <v>1.0015</v>
      </c>
      <c r="H30" s="5">
        <f>'Paid Loss'!H30</f>
        <v>1.007</v>
      </c>
      <c r="I30" s="5">
        <f>'Paid Loss'!I30</f>
        <v>0.9986</v>
      </c>
      <c r="J30" s="5">
        <f>'Paid Loss'!J30</f>
        <v>1.0024</v>
      </c>
      <c r="K30" s="5">
        <f>'Paid Loss'!K30</f>
        <v>0.9981</v>
      </c>
      <c r="L30" s="5">
        <f>'Paid Loss'!L30</f>
        <v>1.0002</v>
      </c>
      <c r="M30" s="5">
        <f>'Paid Loss'!M30</f>
        <v>1.0001</v>
      </c>
      <c r="N30" s="5">
        <f>'Paid Loss'!N30</f>
        <v>1</v>
      </c>
      <c r="O30" s="5">
        <f>'Paid Loss'!O30</f>
        <v>1</v>
      </c>
      <c r="P30" s="5">
        <f>'Paid Loss'!P30</f>
        <v>1</v>
      </c>
      <c r="Q30" s="5">
        <f>'Paid Loss'!Q30</f>
        <v>1.0021</v>
      </c>
      <c r="R30" s="5">
        <f>'Paid Loss'!R30</f>
        <v>1</v>
      </c>
      <c r="S30" s="5">
        <f>'Paid Loss'!S30</f>
        <v>1</v>
      </c>
      <c r="T30" s="5">
        <f>'Paid Loss'!T30</f>
        <v>1</v>
      </c>
      <c r="U30" s="5">
        <f>'Paid Loss'!U30</f>
        <v>1</v>
      </c>
      <c r="V30" s="5">
        <f>'Paid Loss'!V30</f>
        <v>1</v>
      </c>
    </row>
    <row r="31" spans="1:24">
      <c r="A31" s="4" t="s">
        <v>101</v>
      </c>
      <c r="B31" s="5">
        <f>'Paid Loss'!B31</f>
        <v>2.4368</v>
      </c>
      <c r="C31" s="5">
        <f>'Paid Loss'!C31</f>
        <v>1.2891</v>
      </c>
      <c r="D31" s="5">
        <f>'Paid Loss'!D31</f>
        <v>1.1198</v>
      </c>
      <c r="E31" s="5">
        <f>'Paid Loss'!E31</f>
        <v>1.1677</v>
      </c>
      <c r="F31" s="5">
        <f>'Paid Loss'!F31</f>
        <v>1.0037</v>
      </c>
      <c r="G31" s="5">
        <f>'Paid Loss'!G31</f>
        <v>1.0163</v>
      </c>
      <c r="H31" s="5">
        <f>'Paid Loss'!H31</f>
        <v>1.0078</v>
      </c>
      <c r="I31" s="5">
        <f>'Paid Loss'!I31</f>
        <v>1.0185</v>
      </c>
      <c r="J31" s="5">
        <f>'Paid Loss'!J31</f>
        <v>0.9939</v>
      </c>
      <c r="K31" s="5">
        <f>'Paid Loss'!K31</f>
        <v>1.0036</v>
      </c>
      <c r="L31" s="5">
        <f>'Paid Loss'!L31</f>
        <v>1.0064</v>
      </c>
      <c r="M31" s="5">
        <f>'Paid Loss'!M31</f>
        <v>1.0004</v>
      </c>
      <c r="N31" s="5">
        <f>'Paid Loss'!N31</f>
        <v>1.0018</v>
      </c>
      <c r="O31" s="5">
        <f>'Paid Loss'!O31</f>
        <v>1.0006</v>
      </c>
      <c r="P31" s="5">
        <f>'Paid Loss'!P31</f>
        <v>1.0095</v>
      </c>
      <c r="Q31" s="5">
        <f>'Paid Loss'!Q31</f>
        <v>1</v>
      </c>
      <c r="R31" s="5">
        <f>'Paid Loss'!R31</f>
        <v>1</v>
      </c>
      <c r="S31" s="5">
        <f>'Paid Loss'!S31</f>
        <v>1</v>
      </c>
      <c r="T31" s="5">
        <f>'Paid Loss'!T31</f>
        <v>1</v>
      </c>
      <c r="U31" s="5">
        <f>'Paid Loss'!U31</f>
        <v>1</v>
      </c>
    </row>
    <row r="32" spans="1:24">
      <c r="A32" s="4" t="s">
        <v>102</v>
      </c>
      <c r="B32" s="5">
        <f>'Paid Loss'!B32</f>
        <v>2.0311</v>
      </c>
      <c r="C32" s="5">
        <f>'Paid Loss'!C32</f>
        <v>1.2674</v>
      </c>
      <c r="D32" s="5">
        <f>'Paid Loss'!D32</f>
        <v>1.0439</v>
      </c>
      <c r="E32" s="5">
        <f>'Paid Loss'!E32</f>
        <v>1.0747</v>
      </c>
      <c r="F32" s="5">
        <f>'Paid Loss'!F32</f>
        <v>1.0208</v>
      </c>
      <c r="G32" s="5">
        <f>'Paid Loss'!G32</f>
        <v>1.0211</v>
      </c>
      <c r="H32" s="5">
        <f>'Paid Loss'!H32</f>
        <v>1.0104</v>
      </c>
      <c r="I32" s="5">
        <f>'Paid Loss'!I32</f>
        <v>1.0042</v>
      </c>
      <c r="J32" s="5">
        <f>'Paid Loss'!J32</f>
        <v>1.03</v>
      </c>
      <c r="K32" s="5">
        <f>'Paid Loss'!K32</f>
        <v>1.0284</v>
      </c>
      <c r="L32" s="5">
        <f>'Paid Loss'!L32</f>
        <v>1.0203</v>
      </c>
      <c r="M32" s="5">
        <f>'Paid Loss'!M32</f>
        <v>1.0327</v>
      </c>
      <c r="N32" s="5">
        <f>'Paid Loss'!N32</f>
        <v>1.0189</v>
      </c>
      <c r="O32" s="5">
        <f>'Paid Loss'!O32</f>
        <v>1.0301</v>
      </c>
      <c r="P32" s="5">
        <f>'Paid Loss'!P32</f>
        <v>1.008</v>
      </c>
      <c r="Q32" s="5">
        <f>'Paid Loss'!Q32</f>
        <v>1.0193</v>
      </c>
      <c r="R32" s="5">
        <f>'Paid Loss'!R32</f>
        <v>1.0017</v>
      </c>
      <c r="S32" s="5">
        <f>'Paid Loss'!S32</f>
        <v>1</v>
      </c>
      <c r="T32" s="5">
        <f>'Paid Loss'!T32</f>
        <v>1</v>
      </c>
    </row>
    <row r="33" spans="1:19">
      <c r="A33" s="4" t="s">
        <v>103</v>
      </c>
      <c r="B33" s="5">
        <f>'Paid Loss'!B33</f>
        <v>2.4565</v>
      </c>
      <c r="C33" s="5">
        <f>'Paid Loss'!C33</f>
        <v>1.2768</v>
      </c>
      <c r="D33" s="5">
        <f>'Paid Loss'!D33</f>
        <v>1.0891</v>
      </c>
      <c r="E33" s="5">
        <f>'Paid Loss'!E33</f>
        <v>1.0612</v>
      </c>
      <c r="F33" s="5">
        <f>'Paid Loss'!F33</f>
        <v>1.0466</v>
      </c>
      <c r="G33" s="5">
        <f>'Paid Loss'!G33</f>
        <v>1.0414</v>
      </c>
      <c r="H33" s="5">
        <f>'Paid Loss'!H33</f>
        <v>1.0068</v>
      </c>
      <c r="I33" s="5">
        <f>'Paid Loss'!I33</f>
        <v>1.0316</v>
      </c>
      <c r="J33" s="5">
        <f>'Paid Loss'!J33</f>
        <v>1.041</v>
      </c>
      <c r="K33" s="5">
        <f>'Paid Loss'!K33</f>
        <v>1.0922</v>
      </c>
      <c r="L33" s="5">
        <f>'Paid Loss'!L33</f>
        <v>1.0276</v>
      </c>
      <c r="M33" s="5">
        <f>'Paid Loss'!M33</f>
        <v>1.0104</v>
      </c>
      <c r="N33" s="5">
        <f>'Paid Loss'!N33</f>
        <v>1.0187</v>
      </c>
      <c r="O33" s="5">
        <f>'Paid Loss'!O33</f>
        <v>1.0068</v>
      </c>
      <c r="P33" s="5">
        <f>'Paid Loss'!P33</f>
        <v>1.0084</v>
      </c>
      <c r="Q33" s="5">
        <f>'Paid Loss'!Q33</f>
        <v>1.0115</v>
      </c>
      <c r="R33" s="5">
        <f>'Paid Loss'!R33</f>
        <v>1.0076</v>
      </c>
      <c r="S33" s="5">
        <f>'Paid Loss'!S33</f>
        <v>1.0055</v>
      </c>
    </row>
    <row r="34" spans="1:19">
      <c r="A34" s="4" t="s">
        <v>104</v>
      </c>
      <c r="B34" s="5">
        <f>'Paid Loss'!B34</f>
        <v>2.1908</v>
      </c>
      <c r="C34" s="5">
        <f>'Paid Loss'!C34</f>
        <v>1.2948</v>
      </c>
      <c r="D34" s="5">
        <f>'Paid Loss'!D34</f>
        <v>1.2734</v>
      </c>
      <c r="E34" s="5">
        <f>'Paid Loss'!E34</f>
        <v>1.1861</v>
      </c>
      <c r="F34" s="5">
        <f>'Paid Loss'!F34</f>
        <v>1.2146</v>
      </c>
      <c r="G34" s="5">
        <f>'Paid Loss'!G34</f>
        <v>1.1157</v>
      </c>
      <c r="H34" s="5">
        <f>'Paid Loss'!H34</f>
        <v>1.0776</v>
      </c>
      <c r="I34" s="5">
        <f>'Paid Loss'!I34</f>
        <v>1.0807</v>
      </c>
      <c r="J34" s="5">
        <f>'Paid Loss'!J34</f>
        <v>1.0849</v>
      </c>
      <c r="K34" s="5">
        <f>'Paid Loss'!K34</f>
        <v>1.0822</v>
      </c>
      <c r="L34" s="5">
        <f>'Paid Loss'!L34</f>
        <v>1.05</v>
      </c>
      <c r="M34" s="5">
        <f>'Paid Loss'!M34</f>
        <v>1.041</v>
      </c>
      <c r="N34" s="5">
        <f>'Paid Loss'!N34</f>
        <v>1.0289</v>
      </c>
      <c r="O34" s="5">
        <f>'Paid Loss'!O34</f>
        <v>1.0268</v>
      </c>
      <c r="P34" s="5">
        <f>'Paid Loss'!P34</f>
        <v>1.0291</v>
      </c>
      <c r="Q34" s="5">
        <f>'Paid Loss'!Q34</f>
        <v>1.0063</v>
      </c>
      <c r="R34" s="5">
        <f>'Paid Loss'!R34</f>
        <v>1.002</v>
      </c>
    </row>
    <row r="35" spans="1:19">
      <c r="A35" s="4" t="s">
        <v>105</v>
      </c>
      <c r="B35" s="5">
        <f>'Paid Loss'!B35</f>
        <v>1.829</v>
      </c>
      <c r="C35" s="5">
        <f>'Paid Loss'!C35</f>
        <v>1.345</v>
      </c>
      <c r="D35" s="5">
        <f>'Paid Loss'!D35</f>
        <v>1.3665</v>
      </c>
      <c r="E35" s="5">
        <f>'Paid Loss'!E35</f>
        <v>1.0349</v>
      </c>
      <c r="F35" s="5">
        <f>'Paid Loss'!F35</f>
        <v>1.0308</v>
      </c>
      <c r="G35" s="5">
        <f>'Paid Loss'!G35</f>
        <v>1.007</v>
      </c>
      <c r="H35" s="5">
        <f>'Paid Loss'!H35</f>
        <v>1.0064</v>
      </c>
      <c r="I35" s="5">
        <f>'Paid Loss'!I35</f>
        <v>1.0117</v>
      </c>
      <c r="J35" s="5">
        <f>'Paid Loss'!J35</f>
        <v>1.0134</v>
      </c>
      <c r="K35" s="5">
        <f>'Paid Loss'!K35</f>
        <v>1.0107</v>
      </c>
      <c r="L35" s="5">
        <f>'Paid Loss'!L35</f>
        <v>1.0019</v>
      </c>
      <c r="M35" s="5">
        <f>'Paid Loss'!M35</f>
        <v>1.0023</v>
      </c>
      <c r="N35" s="5">
        <f>'Paid Loss'!N35</f>
        <v>1.0011</v>
      </c>
      <c r="O35" s="5">
        <f>'Paid Loss'!O35</f>
        <v>1.0007</v>
      </c>
      <c r="P35" s="5">
        <f>'Paid Loss'!P35</f>
        <v>1.0026</v>
      </c>
      <c r="Q35" s="5">
        <f>'Paid Loss'!Q35</f>
        <v>1.0264</v>
      </c>
    </row>
    <row r="36" spans="1:19">
      <c r="A36" s="4" t="s">
        <v>106</v>
      </c>
      <c r="B36" s="5">
        <f>'Paid Loss'!B36</f>
        <v>3.246</v>
      </c>
      <c r="C36" s="5">
        <f>'Paid Loss'!C36</f>
        <v>1.0939</v>
      </c>
      <c r="D36" s="5">
        <f>'Paid Loss'!D36</f>
        <v>1.0272</v>
      </c>
      <c r="E36" s="5">
        <f>'Paid Loss'!E36</f>
        <v>1.073</v>
      </c>
      <c r="F36" s="5">
        <f>'Paid Loss'!F36</f>
        <v>1.0515</v>
      </c>
      <c r="G36" s="5">
        <f>'Paid Loss'!G36</f>
        <v>1.0301</v>
      </c>
      <c r="H36" s="5">
        <f>'Paid Loss'!H36</f>
        <v>1.0504</v>
      </c>
      <c r="I36" s="5">
        <f>'Paid Loss'!I36</f>
        <v>1.0367</v>
      </c>
      <c r="J36" s="5">
        <f>'Paid Loss'!J36</f>
        <v>1.0147</v>
      </c>
      <c r="K36" s="5">
        <f>'Paid Loss'!K36</f>
        <v>1.0094</v>
      </c>
      <c r="L36" s="5">
        <f>'Paid Loss'!L36</f>
        <v>1.0305</v>
      </c>
      <c r="M36" s="5">
        <f>'Paid Loss'!M36</f>
        <v>1.0497</v>
      </c>
      <c r="N36" s="5">
        <f>'Paid Loss'!N36</f>
        <v>1</v>
      </c>
      <c r="O36" s="5">
        <f>'Paid Loss'!O36</f>
        <v>1</v>
      </c>
      <c r="P36" s="5">
        <f>'Paid Loss'!P36</f>
        <v>1</v>
      </c>
    </row>
    <row r="37" spans="1:19">
      <c r="A37" s="4" t="s">
        <v>107</v>
      </c>
      <c r="B37" s="5">
        <f>'Paid Loss'!B37</f>
        <v>2.7631</v>
      </c>
      <c r="C37" s="5">
        <f>'Paid Loss'!C37</f>
        <v>1.3597</v>
      </c>
      <c r="D37" s="5">
        <f>'Paid Loss'!D37</f>
        <v>1.1766</v>
      </c>
      <c r="E37" s="5">
        <f>'Paid Loss'!E37</f>
        <v>1.0929</v>
      </c>
      <c r="F37" s="5">
        <f>'Paid Loss'!F37</f>
        <v>1.0209</v>
      </c>
      <c r="G37" s="5">
        <f>'Paid Loss'!G37</f>
        <v>1.0489</v>
      </c>
      <c r="H37" s="5">
        <f>'Paid Loss'!H37</f>
        <v>1.0017</v>
      </c>
      <c r="I37" s="5">
        <f>'Paid Loss'!I37</f>
        <v>1.0034</v>
      </c>
      <c r="J37" s="5">
        <f>'Paid Loss'!J37</f>
        <v>1.0006</v>
      </c>
      <c r="K37" s="5">
        <f>'Paid Loss'!K37</f>
        <v>1.0005</v>
      </c>
      <c r="L37" s="5">
        <f>'Paid Loss'!L37</f>
        <v>1.0001</v>
      </c>
      <c r="M37" s="5">
        <f>'Paid Loss'!M37</f>
        <v>1.0006</v>
      </c>
      <c r="N37" s="5">
        <f>'Paid Loss'!N37</f>
        <v>1.0007</v>
      </c>
      <c r="O37" s="5">
        <f>'Paid Loss'!O37</f>
        <v>1.006</v>
      </c>
    </row>
    <row r="38" spans="1:19">
      <c r="A38" s="4" t="s">
        <v>108</v>
      </c>
      <c r="B38" s="5">
        <f>'Paid Loss'!B38</f>
        <v>2.3046</v>
      </c>
      <c r="C38" s="5">
        <f>'Paid Loss'!C38</f>
        <v>1.5589</v>
      </c>
      <c r="D38" s="5">
        <f>'Paid Loss'!D38</f>
        <v>1.0755</v>
      </c>
      <c r="E38" s="5">
        <f>'Paid Loss'!E38</f>
        <v>1.0829</v>
      </c>
      <c r="F38" s="5">
        <f>'Paid Loss'!F38</f>
        <v>1.0889</v>
      </c>
      <c r="G38" s="5">
        <f>'Paid Loss'!G38</f>
        <v>1.0985</v>
      </c>
      <c r="H38" s="5">
        <f>'Paid Loss'!H38</f>
        <v>1.002</v>
      </c>
      <c r="I38" s="5">
        <f>'Paid Loss'!I38</f>
        <v>1.0046</v>
      </c>
      <c r="J38" s="5">
        <f>'Paid Loss'!J38</f>
        <v>1.0077</v>
      </c>
      <c r="K38" s="5">
        <f>'Paid Loss'!K38</f>
        <v>1.0052</v>
      </c>
      <c r="L38" s="5">
        <f>'Paid Loss'!L38</f>
        <v>1.0103</v>
      </c>
      <c r="M38" s="5">
        <f>'Paid Loss'!M38</f>
        <v>1.0052</v>
      </c>
      <c r="N38" s="5">
        <f>'Paid Loss'!N38</f>
        <v>1.0032</v>
      </c>
    </row>
    <row r="39" spans="1:19">
      <c r="A39" s="4" t="s">
        <v>109</v>
      </c>
      <c r="B39" s="5">
        <f>'Paid Loss'!B39</f>
        <v>2.7856</v>
      </c>
      <c r="C39" s="5">
        <f>'Paid Loss'!C39</f>
        <v>1.2596</v>
      </c>
      <c r="D39" s="5">
        <f>'Paid Loss'!D39</f>
        <v>1.1904</v>
      </c>
      <c r="E39" s="5">
        <f>'Paid Loss'!E39</f>
        <v>1.0101</v>
      </c>
      <c r="F39" s="5">
        <f>'Paid Loss'!F39</f>
        <v>1.0065</v>
      </c>
      <c r="G39" s="5">
        <f>'Paid Loss'!G39</f>
        <v>1.0106</v>
      </c>
      <c r="H39" s="5">
        <f>'Paid Loss'!H39</f>
        <v>1.0394</v>
      </c>
      <c r="I39" s="5">
        <f>'Paid Loss'!I39</f>
        <v>1.0315</v>
      </c>
      <c r="J39" s="5">
        <f>'Paid Loss'!J39</f>
        <v>1.0046</v>
      </c>
      <c r="K39" s="5">
        <f>'Paid Loss'!K39</f>
        <v>1.0297</v>
      </c>
      <c r="L39" s="5">
        <f>'Paid Loss'!L39</f>
        <v>1.0565</v>
      </c>
      <c r="M39" s="5">
        <f>'Paid Loss'!M39</f>
        <v>1.0425</v>
      </c>
    </row>
    <row r="40" spans="1:19">
      <c r="A40" s="4" t="s">
        <v>110</v>
      </c>
      <c r="B40" s="5">
        <f>'Paid Loss'!B40</f>
        <v>2.3011</v>
      </c>
      <c r="C40" s="5">
        <f>'Paid Loss'!C40</f>
        <v>1.1687</v>
      </c>
      <c r="D40" s="5">
        <f>'Paid Loss'!D40</f>
        <v>1.097</v>
      </c>
      <c r="E40" s="5">
        <f>'Paid Loss'!E40</f>
        <v>1.1858</v>
      </c>
      <c r="F40" s="5">
        <f>'Paid Loss'!F40</f>
        <v>0.9974</v>
      </c>
      <c r="G40" s="5">
        <f>'Paid Loss'!G40</f>
        <v>1.0005</v>
      </c>
      <c r="H40" s="5">
        <f>'Paid Loss'!H40</f>
        <v>1</v>
      </c>
      <c r="I40" s="5">
        <f>'Paid Loss'!I40</f>
        <v>1.0019</v>
      </c>
      <c r="J40" s="5">
        <f>'Paid Loss'!J40</f>
        <v>1</v>
      </c>
      <c r="K40" s="5">
        <f>'Paid Loss'!K40</f>
        <v>1</v>
      </c>
      <c r="L40" s="5">
        <f>'Paid Loss'!L40</f>
        <v>1</v>
      </c>
    </row>
    <row r="41" spans="1:19">
      <c r="A41" s="4" t="s">
        <v>111</v>
      </c>
      <c r="B41" s="5">
        <f>'Paid Loss'!B41</f>
        <v>1.7931</v>
      </c>
      <c r="C41" s="5">
        <f>'Paid Loss'!C41</f>
        <v>1.2548</v>
      </c>
      <c r="D41" s="5">
        <f>'Paid Loss'!D41</f>
        <v>1.2734</v>
      </c>
      <c r="E41" s="5">
        <f>'Paid Loss'!E41</f>
        <v>1.067</v>
      </c>
      <c r="F41" s="5">
        <f>'Paid Loss'!F41</f>
        <v>1.0166</v>
      </c>
      <c r="G41" s="5">
        <f>'Paid Loss'!G41</f>
        <v>1.0061</v>
      </c>
      <c r="H41" s="5">
        <f>'Paid Loss'!H41</f>
        <v>1.003</v>
      </c>
      <c r="I41" s="5">
        <f>'Paid Loss'!I41</f>
        <v>1.0063</v>
      </c>
      <c r="J41" s="5">
        <f>'Paid Loss'!J41</f>
        <v>1.0616</v>
      </c>
      <c r="K41" s="5">
        <f>'Paid Loss'!K41</f>
        <v>1.0075</v>
      </c>
    </row>
    <row r="42" spans="1:19">
      <c r="A42" s="4" t="s">
        <v>112</v>
      </c>
      <c r="B42" s="5">
        <f>'Paid Loss'!B42</f>
        <v>2.2204</v>
      </c>
      <c r="C42" s="5">
        <f>'Paid Loss'!C42</f>
        <v>1.6812</v>
      </c>
      <c r="D42" s="5">
        <f>'Paid Loss'!D42</f>
        <v>1.4653</v>
      </c>
      <c r="E42" s="5">
        <f>'Paid Loss'!E42</f>
        <v>1.0739</v>
      </c>
      <c r="F42" s="5">
        <f>'Paid Loss'!F42</f>
        <v>1.1134</v>
      </c>
      <c r="G42" s="5">
        <f>'Paid Loss'!G42</f>
        <v>1.1108</v>
      </c>
      <c r="H42" s="5">
        <f>'Paid Loss'!H42</f>
        <v>1.0547</v>
      </c>
      <c r="I42" s="5">
        <f>'Paid Loss'!I42</f>
        <v>1.0143</v>
      </c>
      <c r="J42" s="5">
        <f>'Paid Loss'!J42</f>
        <v>1.1378</v>
      </c>
    </row>
    <row r="43" spans="1:19">
      <c r="A43" s="4" t="s">
        <v>113</v>
      </c>
      <c r="B43" s="5">
        <f>'Paid Loss'!B43</f>
        <v>3.3152</v>
      </c>
      <c r="C43" s="5">
        <f>'Paid Loss'!C43</f>
        <v>1.4135</v>
      </c>
      <c r="D43" s="5">
        <f>'Paid Loss'!D43</f>
        <v>1.1254</v>
      </c>
      <c r="E43" s="5">
        <f>'Paid Loss'!E43</f>
        <v>1.0752</v>
      </c>
      <c r="F43" s="5">
        <f>'Paid Loss'!F43</f>
        <v>1.1023</v>
      </c>
      <c r="G43" s="5">
        <f>'Paid Loss'!G43</f>
        <v>1.1396</v>
      </c>
      <c r="H43" s="5">
        <f>'Paid Loss'!H43</f>
        <v>1.0066</v>
      </c>
      <c r="I43" s="5">
        <f>'Paid Loss'!I43</f>
        <v>1.0111</v>
      </c>
    </row>
    <row r="44" spans="1:19">
      <c r="A44" s="4" t="s">
        <v>114</v>
      </c>
      <c r="B44" s="5">
        <f>'Paid Loss'!B44</f>
        <v>1.7371</v>
      </c>
      <c r="C44" s="5">
        <f>'Paid Loss'!C44</f>
        <v>1.0775</v>
      </c>
      <c r="D44" s="5">
        <f>'Paid Loss'!D44</f>
        <v>1.1277</v>
      </c>
      <c r="E44" s="5">
        <f>'Paid Loss'!E44</f>
        <v>1.0874</v>
      </c>
      <c r="F44" s="5">
        <f>'Paid Loss'!F44</f>
        <v>1.1075</v>
      </c>
      <c r="G44" s="5">
        <f>'Paid Loss'!G44</f>
        <v>1.2914</v>
      </c>
      <c r="H44" s="5">
        <f>'Paid Loss'!H44</f>
        <v>1.0911</v>
      </c>
    </row>
    <row r="45" spans="1:19">
      <c r="A45" s="4" t="s">
        <v>115</v>
      </c>
      <c r="B45" s="5">
        <f>'Paid Loss'!B45</f>
        <v>2.8751</v>
      </c>
      <c r="C45" s="5">
        <f>'Paid Loss'!C45</f>
        <v>1.4839</v>
      </c>
      <c r="D45" s="5">
        <f>'Paid Loss'!D45</f>
        <v>1.3735</v>
      </c>
      <c r="E45" s="5">
        <f>'Paid Loss'!E45</f>
        <v>1.0575</v>
      </c>
      <c r="F45" s="5">
        <f>'Paid Loss'!F45</f>
        <v>1.0563</v>
      </c>
      <c r="G45" s="5">
        <f>'Paid Loss'!G45</f>
        <v>1.0595</v>
      </c>
    </row>
    <row r="46" spans="1:19">
      <c r="A46" s="4" t="s">
        <v>116</v>
      </c>
      <c r="B46" s="5">
        <f>'Paid Loss'!B46</f>
        <v>2.6745</v>
      </c>
      <c r="C46" s="5">
        <f>'Paid Loss'!C46</f>
        <v>1.7497</v>
      </c>
      <c r="D46" s="5">
        <f>'Paid Loss'!D46</f>
        <v>1.1825</v>
      </c>
      <c r="E46" s="5">
        <f>'Paid Loss'!E46</f>
        <v>1.2312</v>
      </c>
      <c r="F46" s="5">
        <f>'Paid Loss'!F46</f>
        <v>1.2153</v>
      </c>
    </row>
    <row r="47" spans="1:19">
      <c r="A47" s="4" t="s">
        <v>117</v>
      </c>
      <c r="B47" s="5">
        <f>'Paid Loss'!B47</f>
        <v>2.5535</v>
      </c>
      <c r="C47" s="5">
        <f>'Paid Loss'!C47</f>
        <v>1.1803</v>
      </c>
      <c r="D47" s="5">
        <f>'Paid Loss'!D47</f>
        <v>1.121</v>
      </c>
      <c r="E47" s="5">
        <f>'Paid Loss'!E47</f>
        <v>1.0105</v>
      </c>
    </row>
    <row r="48" spans="1:19">
      <c r="A48" s="4" t="s">
        <v>118</v>
      </c>
      <c r="B48" s="5">
        <f>'Paid Loss'!B48</f>
        <v>1.9981</v>
      </c>
      <c r="C48" s="5">
        <f>'Paid Loss'!C48</f>
        <v>1.6664</v>
      </c>
      <c r="D48" s="5">
        <f>'Paid Loss'!D48</f>
        <v>1.0698</v>
      </c>
    </row>
    <row r="49" spans="1:25">
      <c r="A49" s="4" t="s">
        <v>119</v>
      </c>
      <c r="B49" s="5">
        <f>'Paid Loss'!B49</f>
        <v>2.4294</v>
      </c>
      <c r="C49" s="5">
        <f>'Paid Loss'!C49</f>
        <v>1.0595</v>
      </c>
    </row>
    <row r="50" spans="1:25">
      <c r="A50" s="4" t="s">
        <v>120</v>
      </c>
      <c r="B50" s="5">
        <f>'Paid Loss'!B50</f>
        <v>3.2653</v>
      </c>
    </row>
    <row r="51" spans="1:25">
      <c r="A51" s="4" t="s">
        <v>121</v>
      </c>
    </row>
    <row r="52" spans="1:25">
      <c r="A52" s="4"/>
    </row>
    <row r="53" spans="1:25">
      <c r="A53" s="4" t="s">
        <v>145</v>
      </c>
      <c r="B53" t="s">
        <v>122</v>
      </c>
      <c r="C53" t="s">
        <v>123</v>
      </c>
      <c r="D53" t="s">
        <v>124</v>
      </c>
      <c r="E53" t="s">
        <v>125</v>
      </c>
      <c r="F53" t="s">
        <v>126</v>
      </c>
      <c r="G53" t="s">
        <v>127</v>
      </c>
      <c r="H53" t="s">
        <v>128</v>
      </c>
      <c r="I53" t="s">
        <v>129</v>
      </c>
      <c r="J53" t="s">
        <v>130</v>
      </c>
      <c r="K53" t="s">
        <v>131</v>
      </c>
      <c r="L53" t="s">
        <v>132</v>
      </c>
      <c r="M53" t="s">
        <v>133</v>
      </c>
      <c r="N53" t="s">
        <v>134</v>
      </c>
      <c r="O53" t="s">
        <v>135</v>
      </c>
      <c r="P53" t="s">
        <v>136</v>
      </c>
      <c r="Q53" t="s">
        <v>137</v>
      </c>
      <c r="R53" t="s">
        <v>138</v>
      </c>
      <c r="S53" t="s">
        <v>139</v>
      </c>
      <c r="T53" t="s">
        <v>140</v>
      </c>
      <c r="U53" t="s">
        <v>141</v>
      </c>
      <c r="V53" t="s">
        <v>142</v>
      </c>
      <c r="W53" t="s">
        <v>143</v>
      </c>
      <c r="X53" t="s">
        <v>144</v>
      </c>
      <c r="Y53" t="s">
        <v>146</v>
      </c>
    </row>
    <row r="54" spans="1:25">
      <c r="A54" s="4" t="s">
        <v>147</v>
      </c>
      <c r="B54" s="5">
        <f>'Paid Loss'!B54</f>
        <v>2.4979</v>
      </c>
      <c r="C54" s="5">
        <f>'Paid Loss'!C54</f>
        <v>1.3387</v>
      </c>
      <c r="D54" s="5">
        <f>'Paid Loss'!D54</f>
        <v>1.1716</v>
      </c>
      <c r="E54" s="5">
        <f>'Paid Loss'!E54</f>
        <v>1.1009</v>
      </c>
      <c r="F54" s="5">
        <f>'Paid Loss'!F54</f>
        <v>1.0665</v>
      </c>
      <c r="G54" s="5">
        <f>'Paid Loss'!G54</f>
        <v>1.0562</v>
      </c>
      <c r="H54" s="5">
        <f>'Paid Loss'!H54</f>
        <v>1.0233</v>
      </c>
      <c r="I54" s="5">
        <f>'Paid Loss'!I54</f>
        <v>1.0181</v>
      </c>
      <c r="J54" s="5">
        <f>'Paid Loss'!J54</f>
        <v>1.0278</v>
      </c>
      <c r="K54" s="5">
        <f>'Paid Loss'!K54</f>
        <v>1.0221</v>
      </c>
      <c r="L54" s="5">
        <f>'Paid Loss'!L54</f>
        <v>1.019</v>
      </c>
      <c r="M54" s="5">
        <f>'Paid Loss'!M54</f>
        <v>1.0187</v>
      </c>
      <c r="N54" s="5">
        <f>'Paid Loss'!N54</f>
        <v>1.0113</v>
      </c>
      <c r="O54" s="5">
        <f>'Paid Loss'!O54</f>
        <v>1.0114</v>
      </c>
      <c r="P54" s="5">
        <f>'Paid Loss'!P54</f>
        <v>1.012</v>
      </c>
      <c r="Q54" s="5">
        <f>'Paid Loss'!Q54</f>
        <v>1.0158</v>
      </c>
      <c r="R54" s="5">
        <f>'Paid Loss'!R54</f>
        <v>1.0084</v>
      </c>
      <c r="S54" s="5">
        <f>'Paid Loss'!S54</f>
        <v>1.0099</v>
      </c>
      <c r="T54" s="5">
        <f>'Paid Loss'!T54</f>
        <v>1.0024</v>
      </c>
      <c r="U54" s="5">
        <f>'Paid Loss'!U54</f>
        <v>1.0044</v>
      </c>
      <c r="V54" s="5">
        <f>'Paid Loss'!V54</f>
        <v>1.0057</v>
      </c>
      <c r="W54" s="5">
        <f>'Paid Loss'!W54</f>
        <v>1.0076</v>
      </c>
      <c r="X54" s="5">
        <f>'Paid Loss'!X54</f>
        <v>1.0039</v>
      </c>
    </row>
    <row r="55" spans="1:25">
      <c r="A55" s="4" t="s">
        <v>148</v>
      </c>
      <c r="B55" s="5">
        <f>'Paid Loss'!B55</f>
        <v>2.4566</v>
      </c>
      <c r="C55" s="5">
        <f>'Paid Loss'!C55</f>
        <v>1.3437</v>
      </c>
      <c r="D55" s="5">
        <f>'Paid Loss'!D55</f>
        <v>1.1803</v>
      </c>
      <c r="E55" s="5">
        <f>'Paid Loss'!E55</f>
        <v>1.1038</v>
      </c>
      <c r="F55" s="5">
        <f>'Paid Loss'!F55</f>
        <v>1.0774</v>
      </c>
      <c r="G55" s="5">
        <f>'Paid Loss'!G55</f>
        <v>1.0591</v>
      </c>
      <c r="H55" s="5">
        <f>'Paid Loss'!H55</f>
        <v>1.026</v>
      </c>
      <c r="I55" s="5">
        <f>'Paid Loss'!I55</f>
        <v>1.0208</v>
      </c>
      <c r="J55" s="5">
        <f>'Paid Loss'!J55</f>
        <v>1.0394</v>
      </c>
      <c r="K55" s="5">
        <f>'Paid Loss'!K55</f>
        <v>1.0282</v>
      </c>
      <c r="L55" s="5">
        <f>'Paid Loss'!L55</f>
        <v>1.0226</v>
      </c>
      <c r="M55" s="5">
        <f>'Paid Loss'!M55</f>
        <v>1.0211</v>
      </c>
      <c r="N55" s="5">
        <f>'Paid Loss'!N55</f>
        <v>1.0151</v>
      </c>
      <c r="O55" s="5">
        <f>'Paid Loss'!O55</f>
        <v>1.0156</v>
      </c>
      <c r="P55" s="5">
        <f>'Paid Loss'!P55</f>
        <v>1.0163</v>
      </c>
      <c r="Q55" s="5">
        <f>'Paid Loss'!Q55</f>
        <v>1.0158</v>
      </c>
      <c r="R55" s="5">
        <f>'Paid Loss'!R55</f>
        <v>1.0087</v>
      </c>
      <c r="S55" s="5">
        <f>'Paid Loss'!S55</f>
        <v>1.013</v>
      </c>
      <c r="T55" s="5">
        <f>'Paid Loss'!T55</f>
        <v>1.0025</v>
      </c>
      <c r="U55" s="5">
        <f>'Paid Loss'!U55</f>
        <v>1.0054</v>
      </c>
      <c r="V55" s="5">
        <f>'Paid Loss'!V55</f>
        <v>1.0062</v>
      </c>
      <c r="W55" s="5">
        <f>'Paid Loss'!W55</f>
        <v>1.0074</v>
      </c>
      <c r="X55" s="5">
        <f>'Paid Loss'!X55</f>
        <v>1.0039</v>
      </c>
    </row>
    <row r="56" spans="1:25">
      <c r="A56" s="4" t="s">
        <v>149</v>
      </c>
      <c r="B56" s="5">
        <f>'Paid Loss'!B56</f>
        <v>2.4952</v>
      </c>
      <c r="C56" s="5">
        <f>'Paid Loss'!C56</f>
        <v>1.3321</v>
      </c>
      <c r="D56" s="5">
        <f>'Paid Loss'!D56</f>
        <v>1.1638</v>
      </c>
      <c r="E56" s="5">
        <f>'Paid Loss'!E56</f>
        <v>1.0987</v>
      </c>
      <c r="F56" s="5">
        <f>'Paid Loss'!F56</f>
        <v>1.0618</v>
      </c>
      <c r="G56" s="5">
        <f>'Paid Loss'!G56</f>
        <v>1.0456</v>
      </c>
      <c r="H56" s="5">
        <f>'Paid Loss'!H56</f>
        <v>1.0203</v>
      </c>
      <c r="I56" s="5">
        <f>'Paid Loss'!I56</f>
        <v>1.015</v>
      </c>
      <c r="J56" s="5">
        <f>'Paid Loss'!J56</f>
        <v>1.0219</v>
      </c>
      <c r="K56" s="5">
        <f>'Paid Loss'!K56</f>
        <v>1.0182</v>
      </c>
      <c r="L56" s="5">
        <f>'Paid Loss'!L56</f>
        <v>1.0173</v>
      </c>
      <c r="M56" s="5">
        <f>'Paid Loss'!M56</f>
        <v>1.0174</v>
      </c>
      <c r="N56" s="5">
        <f>'Paid Loss'!N56</f>
        <v>1.0106</v>
      </c>
      <c r="O56" s="5">
        <f>'Paid Loss'!O56</f>
        <v>1.0104</v>
      </c>
      <c r="P56" s="5">
        <f>'Paid Loss'!P56</f>
        <v>1.011</v>
      </c>
      <c r="Q56" s="5">
        <f>'Paid Loss'!Q56</f>
        <v>1.0157</v>
      </c>
      <c r="R56" s="5">
        <f>'Paid Loss'!R56</f>
        <v>1.0063</v>
      </c>
      <c r="S56" s="5">
        <f>'Paid Loss'!S56</f>
        <v>1.0054</v>
      </c>
      <c r="T56" s="5">
        <f>'Paid Loss'!T56</f>
        <v>1</v>
      </c>
      <c r="U56" s="5">
        <f>'Paid Loss'!U56</f>
        <v>1.0037</v>
      </c>
      <c r="V56" s="5">
        <f>'Paid Loss'!V56</f>
        <v>1.0074</v>
      </c>
      <c r="W56" s="5">
        <f>'Paid Loss'!W56</f>
        <v>1.0076</v>
      </c>
      <c r="X56" s="5">
        <f>'Paid Loss'!X56</f>
        <v>1.0039</v>
      </c>
    </row>
    <row r="57" spans="1:25">
      <c r="A57" s="4" t="s">
        <v>150</v>
      </c>
      <c r="B57" s="5">
        <f>'Paid Loss'!B57</f>
        <v>2.5643</v>
      </c>
      <c r="C57" s="5">
        <f>'Paid Loss'!C57</f>
        <v>1.3021</v>
      </c>
      <c r="D57" s="5">
        <f>'Paid Loss'!D57</f>
        <v>1.1244</v>
      </c>
      <c r="E57" s="5">
        <f>'Paid Loss'!E57</f>
        <v>1.0997</v>
      </c>
      <c r="F57" s="5">
        <f>'Paid Loss'!F57</f>
        <v>1.1264</v>
      </c>
      <c r="G57" s="5">
        <f>'Paid Loss'!G57</f>
        <v>1.1635</v>
      </c>
      <c r="H57" s="5">
        <f>'Paid Loss'!H57</f>
        <v>1.0508</v>
      </c>
      <c r="I57" s="5">
        <f>'Paid Loss'!I57</f>
        <v>1.0106</v>
      </c>
      <c r="J57" s="5">
        <f>'Paid Loss'!J57</f>
        <v>1.0665</v>
      </c>
      <c r="K57" s="5">
        <f>'Paid Loss'!K57</f>
        <v>1.0124</v>
      </c>
      <c r="L57" s="5">
        <f>'Paid Loss'!L57</f>
        <v>1.0223</v>
      </c>
      <c r="M57" s="5">
        <f>'Paid Loss'!M57</f>
        <v>1.0161</v>
      </c>
      <c r="N57" s="5">
        <f>'Paid Loss'!N57</f>
        <v>1.0013</v>
      </c>
      <c r="O57" s="5">
        <f>'Paid Loss'!O57</f>
        <v>1.0022</v>
      </c>
      <c r="P57" s="5">
        <f>'Paid Loss'!P57</f>
        <v>1.0106</v>
      </c>
      <c r="Q57" s="5">
        <f>'Paid Loss'!Q57</f>
        <v>1.0147</v>
      </c>
      <c r="R57" s="5">
        <f>'Paid Loss'!R57</f>
        <v>1.0038</v>
      </c>
      <c r="S57" s="5">
        <f>'Paid Loss'!S57</f>
        <v>1.0018</v>
      </c>
      <c r="T57" s="5">
        <f>'Paid Loss'!T57</f>
        <v>1</v>
      </c>
      <c r="U57" s="5">
        <f>'Paid Loss'!U57</f>
        <v>1.0034</v>
      </c>
      <c r="V57" s="5">
        <f>'Paid Loss'!V57</f>
        <v>1.0057</v>
      </c>
      <c r="W57" s="5">
        <f>'Paid Loss'!W57</f>
        <v>1.0076</v>
      </c>
      <c r="X57" s="5">
        <f>'Paid Loss'!X57</f>
        <v>1.0039</v>
      </c>
    </row>
    <row r="58" spans="1:25">
      <c r="A58" s="4" t="s">
        <v>151</v>
      </c>
      <c r="B58" s="5">
        <f>'Paid Loss'!B58</f>
        <v>2.6286</v>
      </c>
      <c r="C58" s="5">
        <f>'Paid Loss'!C58</f>
        <v>1.2671</v>
      </c>
      <c r="D58" s="5">
        <f>'Paid Loss'!D58</f>
        <v>1.1327</v>
      </c>
      <c r="E58" s="5">
        <f>'Paid Loss'!E58</f>
        <v>1.1082</v>
      </c>
      <c r="F58" s="5">
        <f>'Paid Loss'!F58</f>
        <v>1.1286</v>
      </c>
      <c r="G58" s="5">
        <f>'Paid Loss'!G58</f>
        <v>1.1298</v>
      </c>
      <c r="H58" s="5">
        <f>'Paid Loss'!H58</f>
        <v>1.0426</v>
      </c>
      <c r="I58" s="5">
        <f>'Paid Loss'!I58</f>
        <v>1.0116</v>
      </c>
      <c r="J58" s="5">
        <f>'Paid Loss'!J58</f>
        <v>1.0982</v>
      </c>
      <c r="K58" s="5">
        <f>'Paid Loss'!K58</f>
        <v>1.0133</v>
      </c>
      <c r="L58" s="5">
        <f>'Paid Loss'!L58</f>
        <v>1.022</v>
      </c>
      <c r="M58" s="5">
        <f>'Paid Loss'!M58</f>
        <v>1.0138</v>
      </c>
      <c r="N58" s="5">
        <f>'Paid Loss'!N58</f>
        <v>1.0016</v>
      </c>
      <c r="O58" s="5">
        <f>'Paid Loss'!O58</f>
        <v>1.0023</v>
      </c>
      <c r="P58" s="5">
        <f>'Paid Loss'!P58</f>
        <v>1.0193</v>
      </c>
      <c r="Q58" s="5">
        <f>'Paid Loss'!Q58</f>
        <v>1.0109</v>
      </c>
      <c r="R58" s="5">
        <f>'Paid Loss'!R58</f>
        <v>1.0029</v>
      </c>
      <c r="S58" s="5">
        <f>'Paid Loss'!S58</f>
        <v>1.0017</v>
      </c>
      <c r="T58" s="5">
        <f>'Paid Loss'!T58</f>
        <v>1</v>
      </c>
      <c r="U58" s="5">
        <f>'Paid Loss'!U58</f>
        <v>1.0043</v>
      </c>
      <c r="V58" s="5">
        <f>'Paid Loss'!V58</f>
        <v>1.0062</v>
      </c>
      <c r="W58" s="5">
        <f>'Paid Loss'!W58</f>
        <v>1.0074</v>
      </c>
      <c r="X58" s="5">
        <f>'Paid Loss'!X58</f>
        <v>1.0039</v>
      </c>
    </row>
    <row r="59" spans="1:25">
      <c r="A59" s="4" t="s">
        <v>152</v>
      </c>
      <c r="B59" s="5">
        <f>'Paid Loss'!B59</f>
        <v>2.4294</v>
      </c>
      <c r="C59" s="5">
        <f>'Paid Loss'!C59</f>
        <v>1.1803</v>
      </c>
      <c r="D59" s="5">
        <f>'Paid Loss'!D59</f>
        <v>1.121</v>
      </c>
      <c r="E59" s="5">
        <f>'Paid Loss'!E59</f>
        <v>1.0575</v>
      </c>
      <c r="F59" s="5">
        <f>'Paid Loss'!F59</f>
        <v>1.1075</v>
      </c>
      <c r="G59" s="5">
        <f>'Paid Loss'!G59</f>
        <v>1.1396</v>
      </c>
      <c r="H59" s="5">
        <f>'Paid Loss'!H59</f>
        <v>1.0547</v>
      </c>
      <c r="I59" s="5">
        <f>'Paid Loss'!I59</f>
        <v>1.0111</v>
      </c>
      <c r="J59" s="5">
        <f>'Paid Loss'!J59</f>
        <v>1.0616</v>
      </c>
      <c r="K59" s="5">
        <f>'Paid Loss'!K59</f>
        <v>1.0075</v>
      </c>
      <c r="L59" s="5">
        <f>'Paid Loss'!L59</f>
        <v>1.0103</v>
      </c>
      <c r="M59" s="5">
        <f>'Paid Loss'!M59</f>
        <v>1.0052</v>
      </c>
      <c r="N59" s="5">
        <f>'Paid Loss'!N59</f>
        <v>1.0007</v>
      </c>
      <c r="O59" s="5">
        <f>'Paid Loss'!O59</f>
        <v>1.0007</v>
      </c>
      <c r="P59" s="5">
        <f>'Paid Loss'!P59</f>
        <v>1.0026</v>
      </c>
      <c r="Q59" s="5">
        <f>'Paid Loss'!Q59</f>
        <v>1.0115</v>
      </c>
      <c r="R59" s="5">
        <f>'Paid Loss'!R59</f>
        <v>1.002</v>
      </c>
      <c r="S59" s="5">
        <f>'Paid Loss'!S59</f>
        <v>1</v>
      </c>
      <c r="T59" s="5">
        <f>'Paid Loss'!T59</f>
        <v>1</v>
      </c>
      <c r="U59" s="5">
        <f>'Paid Loss'!U59</f>
        <v>1</v>
      </c>
      <c r="V59" s="5">
        <f>'Paid Loss'!V59</f>
        <v>1.0074</v>
      </c>
      <c r="W59" s="5">
        <f>'Paid Loss'!W59</f>
        <v>1.0076</v>
      </c>
      <c r="X59" s="5">
        <f>'Paid Loss'!X59</f>
        <v>1.0039</v>
      </c>
    </row>
    <row r="60" spans="1:25">
      <c r="A60" s="4" t="s">
        <v>153</v>
      </c>
      <c r="B60" s="5">
        <f>'Paid Loss'!B60</f>
        <v>2.5842</v>
      </c>
      <c r="C60" s="5">
        <f>'Paid Loss'!C60</f>
        <v>1.428</v>
      </c>
      <c r="D60" s="5">
        <f>'Paid Loss'!D60</f>
        <v>1.1749</v>
      </c>
      <c r="E60" s="5">
        <f>'Paid Loss'!E60</f>
        <v>1.0924</v>
      </c>
      <c r="F60" s="5">
        <f>'Paid Loss'!F60</f>
        <v>1.119</v>
      </c>
      <c r="G60" s="5">
        <f>'Paid Loss'!G60</f>
        <v>1.1215</v>
      </c>
      <c r="H60" s="5">
        <f>'Paid Loss'!H60</f>
        <v>1.0311</v>
      </c>
      <c r="I60" s="5">
        <f>'Paid Loss'!I60</f>
        <v>1.013</v>
      </c>
      <c r="J60" s="5">
        <f>'Paid Loss'!J60</f>
        <v>1.0423</v>
      </c>
      <c r="K60" s="5">
        <f>'Paid Loss'!K60</f>
        <v>1.0086</v>
      </c>
      <c r="L60" s="5">
        <f>'Paid Loss'!L60</f>
        <v>1.0195</v>
      </c>
      <c r="M60" s="5">
        <f>'Paid Loss'!M60</f>
        <v>1.0201</v>
      </c>
      <c r="N60" s="5">
        <f>'Paid Loss'!N60</f>
        <v>1.0068</v>
      </c>
      <c r="O60" s="5">
        <f>'Paid Loss'!O60</f>
        <v>1.0081</v>
      </c>
      <c r="P60" s="5">
        <f>'Paid Loss'!P60</f>
        <v>1.0096</v>
      </c>
      <c r="Q60" s="5">
        <f>'Paid Loss'!Q60</f>
        <v>1.0127</v>
      </c>
      <c r="R60" s="5">
        <f>'Paid Loss'!R60</f>
        <v>1.0023</v>
      </c>
      <c r="S60" s="5">
        <f>'Paid Loss'!S60</f>
        <v>1.0043</v>
      </c>
      <c r="T60" s="5">
        <f>'Paid Loss'!T60</f>
        <v>1.0024</v>
      </c>
      <c r="U60" s="5">
        <f>'Paid Loss'!U60</f>
        <v>1.0044</v>
      </c>
      <c r="V60" s="5">
        <f>'Paid Loss'!V60</f>
        <v>1.0057</v>
      </c>
      <c r="W60" s="5">
        <f>'Paid Loss'!W60</f>
        <v>1.0076</v>
      </c>
      <c r="X60" s="5">
        <f>'Paid Loss'!X60</f>
        <v>1.0039</v>
      </c>
    </row>
    <row r="61" spans="1:25">
      <c r="A61" s="4" t="s">
        <v>154</v>
      </c>
      <c r="B61" s="5">
        <f>'Paid Loss'!B61</f>
        <v>2.6232</v>
      </c>
      <c r="C61" s="5">
        <f>'Paid Loss'!C61</f>
        <v>1.4224</v>
      </c>
      <c r="D61" s="5">
        <f>'Paid Loss'!D61</f>
        <v>1.1999</v>
      </c>
      <c r="E61" s="5">
        <f>'Paid Loss'!E61</f>
        <v>1.0978</v>
      </c>
      <c r="F61" s="5">
        <f>'Paid Loss'!F61</f>
        <v>1.1192</v>
      </c>
      <c r="G61" s="5">
        <f>'Paid Loss'!G61</f>
        <v>1.107</v>
      </c>
      <c r="H61" s="5">
        <f>'Paid Loss'!H61</f>
        <v>1.0328</v>
      </c>
      <c r="I61" s="5">
        <f>'Paid Loss'!I61</f>
        <v>1.0132</v>
      </c>
      <c r="J61" s="5">
        <f>'Paid Loss'!J61</f>
        <v>1.0645</v>
      </c>
      <c r="K61" s="5">
        <f>'Paid Loss'!K61</f>
        <v>1.0083</v>
      </c>
      <c r="L61" s="5">
        <f>'Paid Loss'!L61</f>
        <v>1.0189</v>
      </c>
      <c r="M61" s="5">
        <f>'Paid Loss'!M61</f>
        <v>1.0175</v>
      </c>
      <c r="N61" s="5">
        <f>'Paid Loss'!N61</f>
        <v>1.0134</v>
      </c>
      <c r="O61" s="5">
        <f>'Paid Loss'!O61</f>
        <v>1.0143</v>
      </c>
      <c r="P61" s="5">
        <f>'Paid Loss'!P61</f>
        <v>1.0156</v>
      </c>
      <c r="Q61" s="5">
        <f>'Paid Loss'!Q61</f>
        <v>1.0115</v>
      </c>
      <c r="R61" s="5">
        <f>'Paid Loss'!R61</f>
        <v>1.0021</v>
      </c>
      <c r="S61" s="5">
        <f>'Paid Loss'!S61</f>
        <v>1.0047</v>
      </c>
      <c r="T61" s="5">
        <f>'Paid Loss'!T61</f>
        <v>1.0025</v>
      </c>
      <c r="U61" s="5">
        <f>'Paid Loss'!U61</f>
        <v>1.0054</v>
      </c>
      <c r="V61" s="5">
        <f>'Paid Loss'!V61</f>
        <v>1.0062</v>
      </c>
      <c r="W61" s="5">
        <f>'Paid Loss'!W61</f>
        <v>1.0074</v>
      </c>
      <c r="X61" s="5">
        <f>'Paid Loss'!X61</f>
        <v>1.0039</v>
      </c>
    </row>
    <row r="62" spans="1:25">
      <c r="A62" s="4" t="s">
        <v>155</v>
      </c>
      <c r="B62" s="5">
        <f>'Paid Loss'!B62</f>
        <v>2.5525</v>
      </c>
      <c r="C62" s="5">
        <f>'Paid Loss'!C62</f>
        <v>1.4435</v>
      </c>
      <c r="D62" s="5">
        <f>'Paid Loss'!D62</f>
        <v>1.1437</v>
      </c>
      <c r="E62" s="5">
        <f>'Paid Loss'!E62</f>
        <v>1.0734</v>
      </c>
      <c r="F62" s="5">
        <f>'Paid Loss'!F62</f>
        <v>1.1077</v>
      </c>
      <c r="G62" s="5">
        <f>'Paid Loss'!G62</f>
        <v>1.1033</v>
      </c>
      <c r="H62" s="5">
        <f>'Paid Loss'!H62</f>
        <v>1.0214</v>
      </c>
      <c r="I62" s="5">
        <f>'Paid Loss'!I62</f>
        <v>1.0106</v>
      </c>
      <c r="J62" s="5">
        <f>'Paid Loss'!J62</f>
        <v>1.0246</v>
      </c>
      <c r="K62" s="5">
        <f>'Paid Loss'!K62</f>
        <v>1.0044</v>
      </c>
      <c r="L62" s="5">
        <f>'Paid Loss'!L62</f>
        <v>1.0136</v>
      </c>
      <c r="M62" s="5">
        <f>'Paid Loss'!M62</f>
        <v>1.0167</v>
      </c>
      <c r="N62" s="5">
        <f>'Paid Loss'!N62</f>
        <v>1.0017</v>
      </c>
      <c r="O62" s="5">
        <f>'Paid Loss'!O62</f>
        <v>1.0045</v>
      </c>
      <c r="P62" s="5">
        <f>'Paid Loss'!P62</f>
        <v>1.0063</v>
      </c>
      <c r="Q62" s="5">
        <f>'Paid Loss'!Q62</f>
        <v>1.0124</v>
      </c>
      <c r="R62" s="5">
        <f>'Paid Loss'!R62</f>
        <v>1.0012</v>
      </c>
      <c r="S62" s="5">
        <f>'Paid Loss'!S62</f>
        <v>1.0018</v>
      </c>
      <c r="T62" s="5">
        <f>'Paid Loss'!T62</f>
        <v>1</v>
      </c>
      <c r="U62" s="5">
        <f>'Paid Loss'!U62</f>
        <v>1.0037</v>
      </c>
      <c r="V62" s="5">
        <f>'Paid Loss'!V62</f>
        <v>1.0074</v>
      </c>
      <c r="W62" s="5">
        <f>'Paid Loss'!W62</f>
        <v>1.0076</v>
      </c>
      <c r="X62" s="5">
        <f>'Paid Loss'!X62</f>
        <v>1.0039</v>
      </c>
    </row>
    <row r="63" spans="1:25">
      <c r="A63" s="4" t="s">
        <v>156</v>
      </c>
      <c r="B63" s="5">
        <f>'Paid Loss'!B63</f>
        <v>2.4862</v>
      </c>
      <c r="C63" s="5">
        <f>'Paid Loss'!C63</f>
        <v>1.3735</v>
      </c>
      <c r="D63" s="5">
        <f>'Paid Loss'!D63</f>
        <v>1.2026</v>
      </c>
      <c r="E63" s="5">
        <f>'Paid Loss'!E63</f>
        <v>1.0882</v>
      </c>
      <c r="F63" s="5">
        <f>'Paid Loss'!F63</f>
        <v>1.0725</v>
      </c>
      <c r="G63" s="5">
        <f>'Paid Loss'!G63</f>
        <v>1.0796</v>
      </c>
      <c r="H63" s="5">
        <f>'Paid Loss'!H63</f>
        <v>1.0255</v>
      </c>
      <c r="I63" s="5">
        <f>'Paid Loss'!I63</f>
        <v>1.0202</v>
      </c>
      <c r="J63" s="5">
        <f>'Paid Loss'!J63</f>
        <v>1.0366</v>
      </c>
      <c r="K63" s="5">
        <f>'Paid Loss'!K63</f>
        <v>1.0266</v>
      </c>
      <c r="L63" s="5">
        <f>'Paid Loss'!L63</f>
        <v>1.0204</v>
      </c>
      <c r="M63" s="5">
        <f>'Paid Loss'!M63</f>
        <v>1.0185</v>
      </c>
      <c r="N63" s="5">
        <f>'Paid Loss'!N63</f>
        <v>1.0099</v>
      </c>
      <c r="O63" s="5">
        <f>'Paid Loss'!O63</f>
        <v>1.0114</v>
      </c>
      <c r="P63" s="5">
        <f>'Paid Loss'!P63</f>
        <v>1.012</v>
      </c>
      <c r="Q63" s="5">
        <f>'Paid Loss'!Q63</f>
        <v>1.0158</v>
      </c>
      <c r="R63" s="5">
        <f>'Paid Loss'!R63</f>
        <v>1.0084</v>
      </c>
      <c r="S63" s="5">
        <f>'Paid Loss'!S63</f>
        <v>1.0099</v>
      </c>
      <c r="T63" s="5">
        <f>'Paid Loss'!T63</f>
        <v>1.0024</v>
      </c>
      <c r="U63" s="5">
        <f>'Paid Loss'!U63</f>
        <v>1.0044</v>
      </c>
      <c r="V63" s="5">
        <f>'Paid Loss'!V63</f>
        <v>1.0057</v>
      </c>
      <c r="W63" s="5">
        <f>'Paid Loss'!W63</f>
        <v>1.0076</v>
      </c>
      <c r="X63" s="5">
        <f>'Paid Loss'!X63</f>
        <v>1.0039</v>
      </c>
    </row>
    <row r="64" spans="1:25">
      <c r="A64" s="4" t="s">
        <v>157</v>
      </c>
      <c r="B64" s="5">
        <f>'Paid Loss'!B64</f>
        <v>2.482</v>
      </c>
      <c r="C64" s="5">
        <f>'Paid Loss'!C64</f>
        <v>1.3913</v>
      </c>
      <c r="D64" s="5">
        <f>'Paid Loss'!D64</f>
        <v>1.2249</v>
      </c>
      <c r="E64" s="5">
        <f>'Paid Loss'!E64</f>
        <v>1.0874</v>
      </c>
      <c r="F64" s="5">
        <f>'Paid Loss'!F64</f>
        <v>1.0861</v>
      </c>
      <c r="G64" s="5">
        <f>'Paid Loss'!G64</f>
        <v>1.0846</v>
      </c>
      <c r="H64" s="5">
        <f>'Paid Loss'!H64</f>
        <v>1.0256</v>
      </c>
      <c r="I64" s="5">
        <f>'Paid Loss'!I64</f>
        <v>1.0254</v>
      </c>
      <c r="J64" s="5">
        <f>'Paid Loss'!J64</f>
        <v>1.0547</v>
      </c>
      <c r="K64" s="5">
        <f>'Paid Loss'!K64</f>
        <v>1.0353</v>
      </c>
      <c r="L64" s="5">
        <f>'Paid Loss'!L64</f>
        <v>1.0254</v>
      </c>
      <c r="M64" s="5">
        <f>'Paid Loss'!M64</f>
        <v>1.0215</v>
      </c>
      <c r="N64" s="5">
        <f>'Paid Loss'!N64</f>
        <v>1.0137</v>
      </c>
      <c r="O64" s="5">
        <f>'Paid Loss'!O64</f>
        <v>1.0156</v>
      </c>
      <c r="P64" s="5">
        <f>'Paid Loss'!P64</f>
        <v>1.0163</v>
      </c>
      <c r="Q64" s="5">
        <f>'Paid Loss'!Q64</f>
        <v>1.0158</v>
      </c>
      <c r="R64" s="5">
        <f>'Paid Loss'!R64</f>
        <v>1.0087</v>
      </c>
      <c r="S64" s="5">
        <f>'Paid Loss'!S64</f>
        <v>1.013</v>
      </c>
      <c r="T64" s="5">
        <f>'Paid Loss'!T64</f>
        <v>1.0025</v>
      </c>
      <c r="U64" s="5">
        <f>'Paid Loss'!U64</f>
        <v>1.0054</v>
      </c>
      <c r="V64" s="5">
        <f>'Paid Loss'!V64</f>
        <v>1.0062</v>
      </c>
      <c r="W64" s="5">
        <f>'Paid Loss'!W64</f>
        <v>1.0074</v>
      </c>
      <c r="X64" s="5">
        <f>'Paid Loss'!X64</f>
        <v>1.0039</v>
      </c>
    </row>
    <row r="65" spans="1:25">
      <c r="A65" s="4" t="s">
        <v>158</v>
      </c>
      <c r="B65" s="5">
        <f>'Paid Loss'!B65</f>
        <v>2.4762</v>
      </c>
      <c r="C65" s="5">
        <f>'Paid Loss'!C65</f>
        <v>1.3658</v>
      </c>
      <c r="D65" s="5">
        <f>'Paid Loss'!D65</f>
        <v>1.1864</v>
      </c>
      <c r="E65" s="5">
        <f>'Paid Loss'!E65</f>
        <v>1.08</v>
      </c>
      <c r="F65" s="5">
        <f>'Paid Loss'!F65</f>
        <v>1.064</v>
      </c>
      <c r="G65" s="5">
        <f>'Paid Loss'!G65</f>
        <v>1.063</v>
      </c>
      <c r="H65" s="5">
        <f>'Paid Loss'!H65</f>
        <v>1.0205</v>
      </c>
      <c r="I65" s="5">
        <f>'Paid Loss'!I65</f>
        <v>1.015</v>
      </c>
      <c r="J65" s="5">
        <f>'Paid Loss'!J65</f>
        <v>1.0286</v>
      </c>
      <c r="K65" s="5">
        <f>'Paid Loss'!K65</f>
        <v>1.0217</v>
      </c>
      <c r="L65" s="5">
        <f>'Paid Loss'!L65</f>
        <v>1.0184</v>
      </c>
      <c r="M65" s="5">
        <f>'Paid Loss'!M65</f>
        <v>1.0169</v>
      </c>
      <c r="N65" s="5">
        <f>'Paid Loss'!N65</f>
        <v>1.0087</v>
      </c>
      <c r="O65" s="5">
        <f>'Paid Loss'!O65</f>
        <v>1.0104</v>
      </c>
      <c r="P65" s="5">
        <f>'Paid Loss'!P65</f>
        <v>1.011</v>
      </c>
      <c r="Q65" s="5">
        <f>'Paid Loss'!Q65</f>
        <v>1.0157</v>
      </c>
      <c r="R65" s="5">
        <f>'Paid Loss'!R65</f>
        <v>1.0063</v>
      </c>
      <c r="S65" s="5">
        <f>'Paid Loss'!S65</f>
        <v>1.0054</v>
      </c>
      <c r="T65" s="5">
        <f>'Paid Loss'!T65</f>
        <v>1</v>
      </c>
      <c r="U65" s="5">
        <f>'Paid Loss'!U65</f>
        <v>1.0037</v>
      </c>
      <c r="V65" s="5">
        <f>'Paid Loss'!V65</f>
        <v>1.0074</v>
      </c>
      <c r="W65" s="5">
        <f>'Paid Loss'!W65</f>
        <v>1.0076</v>
      </c>
      <c r="X65" s="5">
        <f>'Paid Loss'!X65</f>
        <v>1.0039</v>
      </c>
    </row>
    <row r="66" spans="1:25">
      <c r="A66" s="4"/>
    </row>
    <row r="67" spans="1:25">
      <c r="A67" s="4"/>
      <c r="B67" t="s">
        <v>122</v>
      </c>
      <c r="C67" t="s">
        <v>123</v>
      </c>
      <c r="D67" t="s">
        <v>124</v>
      </c>
      <c r="E67" t="s">
        <v>125</v>
      </c>
      <c r="F67" t="s">
        <v>126</v>
      </c>
      <c r="G67" t="s">
        <v>127</v>
      </c>
      <c r="H67" t="s">
        <v>128</v>
      </c>
      <c r="I67" t="s">
        <v>129</v>
      </c>
      <c r="J67" t="s">
        <v>130</v>
      </c>
      <c r="K67" t="s">
        <v>131</v>
      </c>
      <c r="L67" t="s">
        <v>132</v>
      </c>
      <c r="M67" t="s">
        <v>133</v>
      </c>
      <c r="N67" t="s">
        <v>134</v>
      </c>
      <c r="O67" t="s">
        <v>135</v>
      </c>
      <c r="P67" t="s">
        <v>136</v>
      </c>
      <c r="Q67" t="s">
        <v>137</v>
      </c>
      <c r="R67" t="s">
        <v>138</v>
      </c>
      <c r="S67" t="s">
        <v>139</v>
      </c>
      <c r="T67" t="s">
        <v>140</v>
      </c>
      <c r="U67" t="s">
        <v>141</v>
      </c>
      <c r="V67" t="s">
        <v>142</v>
      </c>
      <c r="W67" t="s">
        <v>143</v>
      </c>
      <c r="X67" t="s">
        <v>144</v>
      </c>
    </row>
    <row r="68" spans="1:25">
      <c r="A68" s="4" t="s">
        <v>159</v>
      </c>
      <c r="B68" s="5">
        <f>IF('Paid Loss'!B74&lt;&gt;"",'Paid Loss'!B74,'Paid Loss'!B68)</f>
        <v>2.5525</v>
      </c>
      <c r="C68" s="5">
        <f>IF('Paid Loss'!C74&lt;&gt;"",'Paid Loss'!C74,'Paid Loss'!C68)</f>
        <v>1.4224</v>
      </c>
      <c r="D68" s="5">
        <f>IF('Paid Loss'!D74&lt;&gt;"",'Paid Loss'!D74,'Paid Loss'!D68)</f>
        <v>1.1864</v>
      </c>
      <c r="E68" s="5">
        <f>IF('Paid Loss'!E74&lt;&gt;"",'Paid Loss'!E74,'Paid Loss'!E68)</f>
        <v>1.0734</v>
      </c>
      <c r="F68" s="5">
        <f>IF('Paid Loss'!F74&lt;&gt;"",'Paid Loss'!F74,'Paid Loss'!F68)</f>
        <v>1.1077</v>
      </c>
      <c r="G68" s="5">
        <f>IF('Paid Loss'!G74&lt;&gt;"",'Paid Loss'!G74,'Paid Loss'!G68)</f>
        <v>1.063</v>
      </c>
      <c r="H68" s="5">
        <f>IF('Paid Loss'!H74&lt;&gt;"",'Paid Loss'!H74,'Paid Loss'!H68)</f>
        <v>1.0203</v>
      </c>
      <c r="I68" s="5">
        <f>IF('Paid Loss'!I74&lt;&gt;"",'Paid Loss'!I74,'Paid Loss'!I68)</f>
        <v>1.015</v>
      </c>
      <c r="J68" s="5">
        <f>IF('Paid Loss'!J74&lt;&gt;"",'Paid Loss'!J74,'Paid Loss'!J68)</f>
        <v>1.0246</v>
      </c>
      <c r="K68" s="5">
        <f>IF('Paid Loss'!K74&lt;&gt;"",'Paid Loss'!K74,'Paid Loss'!K68)</f>
        <v>1.0044</v>
      </c>
      <c r="L68" s="5">
        <f>IF('Paid Loss'!L74&lt;&gt;"",'Paid Loss'!L74,'Paid Loss'!L68)</f>
        <v>1.0173</v>
      </c>
      <c r="M68" s="5">
        <f>IF('Paid Loss'!M74&lt;&gt;"",'Paid Loss'!M74,'Paid Loss'!M68)</f>
        <v>1.0167</v>
      </c>
      <c r="N68" s="5">
        <f>IF('Paid Loss'!N74&lt;&gt;"",'Paid Loss'!N74,'Paid Loss'!N68)</f>
        <v>1.0017</v>
      </c>
      <c r="O68" s="5">
        <f>IF('Paid Loss'!O74&lt;&gt;"",'Paid Loss'!O74,'Paid Loss'!O68)</f>
        <v>1.0045</v>
      </c>
      <c r="P68" s="5">
        <f>IF('Paid Loss'!P74&lt;&gt;"",'Paid Loss'!P74,'Paid Loss'!P68)</f>
        <v>1.0063</v>
      </c>
      <c r="Q68" s="5">
        <f>IF('Paid Loss'!Q74&lt;&gt;"",'Paid Loss'!Q74,'Paid Loss'!Q68)</f>
        <v>1.0157</v>
      </c>
      <c r="R68" s="5">
        <f>IF('Paid Loss'!R74&lt;&gt;"",'Paid Loss'!R74,'Paid Loss'!R68)</f>
        <v>1.0012</v>
      </c>
      <c r="S68" s="5">
        <f>IF('Paid Loss'!S74&lt;&gt;"",'Paid Loss'!S74,'Paid Loss'!S68)</f>
        <v>1.0018</v>
      </c>
      <c r="T68" s="5">
        <f>IF('Paid Loss'!T74&lt;&gt;"",'Paid Loss'!T74,'Paid Loss'!T68)</f>
        <v>1</v>
      </c>
      <c r="U68" s="5">
        <f>IF('Paid Loss'!U74&lt;&gt;"",'Paid Loss'!U74,'Paid Loss'!U68)</f>
        <v>1.0037</v>
      </c>
      <c r="V68" s="5">
        <f>IF('Paid Loss'!V74&lt;&gt;"",'Paid Loss'!V74,'Paid Loss'!V68)</f>
        <v>1.0074</v>
      </c>
      <c r="W68" s="5">
        <f>IF('Paid Loss'!W74&lt;&gt;"",'Paid Loss'!W74,'Paid Loss'!W68)</f>
        <v>1.0076</v>
      </c>
      <c r="X68" s="5">
        <f>IF('Paid Loss'!X74&lt;&gt;"",'Paid Loss'!X74,'Paid Loss'!X68)</f>
        <v>1.0039</v>
      </c>
      <c r="Y68" s="5">
        <f>IF('Paid Loss'!Y74&lt;&gt;"",'Paid Loss'!Y74,'Paid Loss'!Y68)</f>
        <v>0</v>
      </c>
    </row>
    <row r="69" spans="1:25">
      <c r="A69" s="4" t="s">
        <v>12</v>
      </c>
      <c r="B69" s="4">
        <f>IF('Paid Loss'!B74&lt;&gt;"",'Paid Loss'!B75,'Paid Loss'!B69)</f>
        <v>2.5525</v>
      </c>
      <c r="C69" s="4">
        <f>IF('Paid Loss'!C74&lt;&gt;"",'Paid Loss'!C75,'Paid Loss'!C69)</f>
        <v>1.4224</v>
      </c>
      <c r="D69" s="4">
        <f>IF('Paid Loss'!D74&lt;&gt;"",'Paid Loss'!D75,'Paid Loss'!D69)</f>
        <v>1.1864</v>
      </c>
      <c r="E69" s="4">
        <f>IF('Paid Loss'!E74&lt;&gt;"",'Paid Loss'!E75,'Paid Loss'!E69)</f>
        <v>1.0734</v>
      </c>
      <c r="F69" s="4">
        <f>IF('Paid Loss'!F74&lt;&gt;"",'Paid Loss'!F75,'Paid Loss'!F69)</f>
        <v>1.1077</v>
      </c>
      <c r="G69" s="4">
        <f>IF('Paid Loss'!G74&lt;&gt;"",'Paid Loss'!G75,'Paid Loss'!G69)</f>
        <v>1.063</v>
      </c>
      <c r="H69" s="4">
        <f>IF('Paid Loss'!H74&lt;&gt;"",'Paid Loss'!H75,'Paid Loss'!H69)</f>
        <v>1.0203</v>
      </c>
      <c r="I69" s="4">
        <f>IF('Paid Loss'!I74&lt;&gt;"",'Paid Loss'!I75,'Paid Loss'!I69)</f>
        <v>1.015</v>
      </c>
      <c r="J69" s="4">
        <f>IF('Paid Loss'!J74&lt;&gt;"",'Paid Loss'!J75,'Paid Loss'!J69)</f>
        <v>1.0246</v>
      </c>
      <c r="K69" s="4">
        <f>IF('Paid Loss'!K74&lt;&gt;"",'Paid Loss'!K75,'Paid Loss'!K69)</f>
        <v>1.0044</v>
      </c>
      <c r="L69" s="4">
        <f>IF('Paid Loss'!L74&lt;&gt;"",'Paid Loss'!L75,'Paid Loss'!L69)</f>
        <v>1.0173</v>
      </c>
      <c r="M69" s="4">
        <f>IF('Paid Loss'!M74&lt;&gt;"",'Paid Loss'!M75,'Paid Loss'!M69)</f>
        <v>1.0167</v>
      </c>
      <c r="N69" s="4">
        <f>IF('Paid Loss'!N74&lt;&gt;"",'Paid Loss'!N75,'Paid Loss'!N69)</f>
        <v>1.0017</v>
      </c>
      <c r="O69" s="4">
        <f>IF('Paid Loss'!O74&lt;&gt;"",'Paid Loss'!O75,'Paid Loss'!O69)</f>
        <v>1.0045</v>
      </c>
      <c r="P69" s="4">
        <f>IF('Paid Loss'!P74&lt;&gt;"",'Paid Loss'!P75,'Paid Loss'!P69)</f>
        <v>1.0063</v>
      </c>
      <c r="Q69" s="4">
        <f>IF('Paid Loss'!Q74&lt;&gt;"",'Paid Loss'!Q75,'Paid Loss'!Q69)</f>
        <v>1.0157</v>
      </c>
      <c r="R69" s="4">
        <f>IF('Paid Loss'!R74&lt;&gt;"",'Paid Loss'!R75,'Paid Loss'!R69)</f>
        <v>1.0012</v>
      </c>
      <c r="S69" s="4">
        <f>IF('Paid Loss'!S74&lt;&gt;"",'Paid Loss'!S75,'Paid Loss'!S69)</f>
        <v>1.0018</v>
      </c>
      <c r="T69" s="4">
        <f>IF('Paid Loss'!T74&lt;&gt;"",'Paid Loss'!T75,'Paid Loss'!T69)</f>
        <v>1</v>
      </c>
      <c r="U69" s="4">
        <f>IF('Paid Loss'!U74&lt;&gt;"",'Paid Loss'!U75,'Paid Loss'!U69)</f>
        <v>1.0037</v>
      </c>
      <c r="V69" s="4">
        <f>IF('Paid Loss'!V74&lt;&gt;"",'Paid Loss'!V75,'Paid Loss'!V69)</f>
        <v>1.0074</v>
      </c>
      <c r="W69" s="4">
        <f>IF('Paid Loss'!W74&lt;&gt;"",'Paid Loss'!W75,'Paid Loss'!W69)</f>
        <v>1.0076</v>
      </c>
      <c r="X69" s="4">
        <f>IF('Paid Loss'!X74&lt;&gt;"",'Paid Loss'!X75,'Paid Loss'!X69)</f>
        <v>1.0039</v>
      </c>
      <c r="Y69" s="4">
        <f>IF('Paid Loss'!Y74&lt;&gt;"",'Paid Loss'!Y75,'Paid Loss'!Y69)</f>
        <v>0</v>
      </c>
    </row>
    <row r="70" spans="1:25">
      <c r="A70" s="4"/>
    </row>
    <row r="71" spans="1:25">
      <c r="A71" s="4"/>
    </row>
    <row r="72" spans="1:25">
      <c r="A72" s="4" t="s">
        <v>38</v>
      </c>
      <c r="B72" s="5">
        <f>IFERROR(B68*C72,1.000)</f>
        <v>0</v>
      </c>
      <c r="C72" s="5">
        <f>IFERROR(C68*D72,1.000)</f>
        <v>0</v>
      </c>
      <c r="D72" s="5">
        <f>IFERROR(D68*E72,1.000)</f>
        <v>0</v>
      </c>
      <c r="E72" s="5">
        <f>IFERROR(E68*F72,1.000)</f>
        <v>0</v>
      </c>
      <c r="F72" s="5">
        <f>IFERROR(F68*G72,1.000)</f>
        <v>0</v>
      </c>
      <c r="G72" s="5">
        <f>IFERROR(G68*H72,1.000)</f>
        <v>0</v>
      </c>
      <c r="H72" s="5">
        <f>IFERROR(H68*I72,1.000)</f>
        <v>0</v>
      </c>
      <c r="I72" s="5">
        <f>IFERROR(I68*J72,1.000)</f>
        <v>0</v>
      </c>
      <c r="J72" s="5">
        <f>IFERROR(J68*K72,1.000)</f>
        <v>0</v>
      </c>
      <c r="K72" s="5">
        <f>IFERROR(K68*L72,1.000)</f>
        <v>0</v>
      </c>
      <c r="L72" s="5">
        <f>IFERROR(L68*M72,1.000)</f>
        <v>0</v>
      </c>
      <c r="M72" s="5">
        <f>IFERROR(M68*N72,1.000)</f>
        <v>0</v>
      </c>
      <c r="N72" s="5">
        <f>IFERROR(N68*O72,1.000)</f>
        <v>0</v>
      </c>
      <c r="O72" s="5">
        <f>IFERROR(O68*P72,1.000)</f>
        <v>0</v>
      </c>
      <c r="P72" s="5">
        <f>IFERROR(P68*Q72,1.000)</f>
        <v>0</v>
      </c>
      <c r="Q72" s="5">
        <f>IFERROR(Q68*R72,1.000)</f>
        <v>0</v>
      </c>
      <c r="R72" s="5">
        <f>IFERROR(R68*S72,1.000)</f>
        <v>0</v>
      </c>
      <c r="S72" s="5">
        <f>IFERROR(S68*T72,1.000)</f>
        <v>0</v>
      </c>
      <c r="T72" s="5">
        <f>IFERROR(T68*U72,1.000)</f>
        <v>0</v>
      </c>
      <c r="U72" s="5">
        <f>IFERROR(U68*V72,1.000)</f>
        <v>0</v>
      </c>
      <c r="V72" s="5">
        <f>IFERROR(V68*W72,1.000)</f>
        <v>0</v>
      </c>
      <c r="W72" s="5">
        <f>IFERROR(W68*X72,1.000)</f>
        <v>0</v>
      </c>
      <c r="X72" s="5">
        <f>IFERROR(X68*Y72,1.000)</f>
        <v>0</v>
      </c>
      <c r="Y72" s="5">
        <f>IFERROR('Paid Loss'!$X$2,1.000)</f>
        <v>1.0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Y72"/>
  <sheetViews>
    <sheetView workbookViewId="0"/>
  </sheetViews>
  <sheetFormatPr defaultRowHeight="15"/>
  <cols>
    <col min="1" max="1" width="25.7109375" customWidth="1"/>
    <col min="2" max="21" width="12.7109375" customWidth="1"/>
  </cols>
  <sheetData>
    <row r="1" spans="1:25">
      <c r="A1" s="4" t="s">
        <v>73</v>
      </c>
      <c r="B1" t="s">
        <v>74</v>
      </c>
      <c r="C1" t="s">
        <v>75</v>
      </c>
      <c r="D1" t="s">
        <v>76</v>
      </c>
      <c r="E1" t="s">
        <v>77</v>
      </c>
      <c r="F1" t="s">
        <v>78</v>
      </c>
      <c r="G1" t="s">
        <v>79</v>
      </c>
      <c r="H1" t="s">
        <v>80</v>
      </c>
      <c r="I1" t="s">
        <v>81</v>
      </c>
      <c r="J1" t="s">
        <v>82</v>
      </c>
      <c r="K1" t="s">
        <v>83</v>
      </c>
      <c r="L1" t="s">
        <v>84</v>
      </c>
      <c r="M1" t="s">
        <v>85</v>
      </c>
      <c r="N1" t="s">
        <v>86</v>
      </c>
      <c r="O1" t="s">
        <v>87</v>
      </c>
      <c r="P1" t="s">
        <v>88</v>
      </c>
      <c r="Q1" t="s">
        <v>89</v>
      </c>
      <c r="R1" t="s">
        <v>90</v>
      </c>
      <c r="S1" t="s">
        <v>91</v>
      </c>
      <c r="T1" t="s">
        <v>92</v>
      </c>
      <c r="U1" t="s">
        <v>93</v>
      </c>
      <c r="V1" t="s">
        <v>94</v>
      </c>
      <c r="W1" t="s">
        <v>95</v>
      </c>
      <c r="X1" t="s">
        <v>96</v>
      </c>
      <c r="Y1" t="s">
        <v>97</v>
      </c>
    </row>
    <row r="2" spans="1:25">
      <c r="A2" s="4" t="s">
        <v>98</v>
      </c>
      <c r="B2" s="5">
        <f>'Reported Count'!B2</f>
        <v>637.3668</v>
      </c>
      <c r="C2" s="5">
        <f>'Reported Count'!C2</f>
        <v>682.2332</v>
      </c>
      <c r="D2" s="5">
        <f>'Reported Count'!D2</f>
        <v>683.5528</v>
      </c>
      <c r="E2" s="5">
        <f>'Reported Count'!E2</f>
        <v>683.5528</v>
      </c>
      <c r="F2" s="5">
        <f>'Reported Count'!F2</f>
        <v>683.5528</v>
      </c>
      <c r="G2" s="5">
        <f>'Reported Count'!G2</f>
        <v>683.5528</v>
      </c>
      <c r="H2" s="5">
        <f>'Reported Count'!H2</f>
        <v>700.7076</v>
      </c>
      <c r="I2" s="5">
        <f>'Reported Count'!I2</f>
        <v>700.7076</v>
      </c>
      <c r="J2" s="5">
        <f>'Reported Count'!J2</f>
        <v>700.7076</v>
      </c>
      <c r="K2" s="5">
        <f>'Reported Count'!K2</f>
        <v>700.7076</v>
      </c>
      <c r="L2" s="5">
        <f>'Reported Count'!L2</f>
        <v>700.7076</v>
      </c>
      <c r="M2" s="5">
        <f>'Reported Count'!M2</f>
        <v>700.7076</v>
      </c>
      <c r="N2" s="5">
        <f>'Reported Count'!N2</f>
        <v>700.7076</v>
      </c>
      <c r="O2" s="5">
        <f>'Reported Count'!O2</f>
        <v>700.7076</v>
      </c>
      <c r="P2" s="5">
        <f>'Reported Count'!P2</f>
        <v>700.7076</v>
      </c>
      <c r="Q2" s="5">
        <f>'Reported Count'!Q2</f>
        <v>700.7076</v>
      </c>
      <c r="R2" s="5">
        <f>'Reported Count'!R2</f>
        <v>700.7076</v>
      </c>
      <c r="S2" s="5">
        <f>'Reported Count'!S2</f>
        <v>700.7076</v>
      </c>
      <c r="T2" s="5">
        <f>'Reported Count'!T2</f>
        <v>700.7076</v>
      </c>
      <c r="U2" s="5">
        <f>'Reported Count'!U2</f>
        <v>700.7076</v>
      </c>
      <c r="V2" s="5">
        <f>'Reported Count'!V2</f>
        <v>700.7076</v>
      </c>
      <c r="W2" s="5">
        <f>'Reported Count'!W2</f>
        <v>700.7076</v>
      </c>
      <c r="X2" s="5">
        <f>'Reported Count'!X2</f>
        <v>700.7076</v>
      </c>
      <c r="Y2" s="5">
        <f>'Reported Count'!Y2</f>
        <v>700.7076</v>
      </c>
    </row>
    <row r="3" spans="1:25">
      <c r="A3" s="4" t="s">
        <v>99</v>
      </c>
      <c r="B3" s="5">
        <f>'Reported Count'!B3</f>
        <v>613.614</v>
      </c>
      <c r="C3" s="5">
        <f>'Reported Count'!C3</f>
        <v>634.7276</v>
      </c>
      <c r="D3" s="5">
        <f>'Reported Count'!D3</f>
        <v>634.7276</v>
      </c>
      <c r="E3" s="5">
        <f>'Reported Count'!E3</f>
        <v>634.7276</v>
      </c>
      <c r="F3" s="5">
        <f>'Reported Count'!F3</f>
        <v>634.7276</v>
      </c>
      <c r="G3" s="5">
        <f>'Reported Count'!G3</f>
        <v>651.8824</v>
      </c>
      <c r="H3" s="5">
        <f>'Reported Count'!H3</f>
        <v>651.8824</v>
      </c>
      <c r="I3" s="5">
        <f>'Reported Count'!I3</f>
        <v>651.8824</v>
      </c>
      <c r="J3" s="5">
        <f>'Reported Count'!J3</f>
        <v>651.8824</v>
      </c>
      <c r="K3" s="5">
        <f>'Reported Count'!K3</f>
        <v>651.8824</v>
      </c>
      <c r="L3" s="5">
        <f>'Reported Count'!L3</f>
        <v>651.8824</v>
      </c>
      <c r="M3" s="5">
        <f>'Reported Count'!M3</f>
        <v>651.8824</v>
      </c>
      <c r="N3" s="5">
        <f>'Reported Count'!N3</f>
        <v>651.8824</v>
      </c>
      <c r="O3" s="5">
        <f>'Reported Count'!O3</f>
        <v>651.8824</v>
      </c>
      <c r="P3" s="5">
        <f>'Reported Count'!P3</f>
        <v>651.8824</v>
      </c>
      <c r="Q3" s="5">
        <f>'Reported Count'!Q3</f>
        <v>651.8824</v>
      </c>
      <c r="R3" s="5">
        <f>'Reported Count'!R3</f>
        <v>651.8824</v>
      </c>
      <c r="S3" s="5">
        <f>'Reported Count'!S3</f>
        <v>651.8824</v>
      </c>
      <c r="T3" s="5">
        <f>'Reported Count'!T3</f>
        <v>651.8824</v>
      </c>
      <c r="U3" s="5">
        <f>'Reported Count'!U3</f>
        <v>651.8824</v>
      </c>
      <c r="V3" s="5">
        <f>'Reported Count'!V3</f>
        <v>651.8824</v>
      </c>
      <c r="W3" s="5">
        <f>'Reported Count'!W3</f>
        <v>651.8824</v>
      </c>
      <c r="X3" s="5">
        <f>'Reported Count'!X3</f>
        <v>651.8824</v>
      </c>
    </row>
    <row r="4" spans="1:25">
      <c r="A4" s="4" t="s">
        <v>100</v>
      </c>
      <c r="B4" s="5">
        <f>'Reported Count'!B4</f>
        <v>534.438</v>
      </c>
      <c r="C4" s="5">
        <f>'Reported Count'!C4</f>
        <v>552.9124</v>
      </c>
      <c r="D4" s="5">
        <f>'Reported Count'!D4</f>
        <v>552.9124</v>
      </c>
      <c r="E4" s="5">
        <f>'Reported Count'!E4</f>
        <v>552.9124</v>
      </c>
      <c r="F4" s="5">
        <f>'Reported Count'!F4</f>
        <v>550.2732</v>
      </c>
      <c r="G4" s="5">
        <f>'Reported Count'!G4</f>
        <v>550.2732</v>
      </c>
      <c r="H4" s="5">
        <f>'Reported Count'!H4</f>
        <v>551.5928</v>
      </c>
      <c r="I4" s="5">
        <f>'Reported Count'!I4</f>
        <v>551.5928</v>
      </c>
      <c r="J4" s="5">
        <f>'Reported Count'!J4</f>
        <v>551.5928</v>
      </c>
      <c r="K4" s="5">
        <f>'Reported Count'!K4</f>
        <v>551.5928</v>
      </c>
      <c r="L4" s="5">
        <f>'Reported Count'!L4</f>
        <v>551.5928</v>
      </c>
      <c r="M4" s="5">
        <f>'Reported Count'!M4</f>
        <v>551.5928</v>
      </c>
      <c r="N4" s="5">
        <f>'Reported Count'!N4</f>
        <v>551.5928</v>
      </c>
      <c r="O4" s="5">
        <f>'Reported Count'!O4</f>
        <v>551.5928</v>
      </c>
      <c r="P4" s="5">
        <f>'Reported Count'!P4</f>
        <v>551.5928</v>
      </c>
      <c r="Q4" s="5">
        <f>'Reported Count'!Q4</f>
        <v>551.5928</v>
      </c>
      <c r="R4" s="5">
        <f>'Reported Count'!R4</f>
        <v>551.5928</v>
      </c>
      <c r="S4" s="5">
        <f>'Reported Count'!S4</f>
        <v>551.5928</v>
      </c>
      <c r="T4" s="5">
        <f>'Reported Count'!T4</f>
        <v>551.5928</v>
      </c>
      <c r="U4" s="5">
        <f>'Reported Count'!U4</f>
        <v>551.5928</v>
      </c>
      <c r="V4" s="5">
        <f>'Reported Count'!V4</f>
        <v>551.5928</v>
      </c>
      <c r="W4" s="5">
        <f>'Reported Count'!W4</f>
        <v>551.5928</v>
      </c>
    </row>
    <row r="5" spans="1:25">
      <c r="A5" s="4" t="s">
        <v>101</v>
      </c>
      <c r="B5" s="5">
        <f>'Reported Count'!B5</f>
        <v>603.0572</v>
      </c>
      <c r="C5" s="5">
        <f>'Reported Count'!C5</f>
        <v>638.6864</v>
      </c>
      <c r="D5" s="5">
        <f>'Reported Count'!D5</f>
        <v>638.6864</v>
      </c>
      <c r="E5" s="5">
        <f>'Reported Count'!E5</f>
        <v>641.3256</v>
      </c>
      <c r="F5" s="5">
        <f>'Reported Count'!F5</f>
        <v>642.6452</v>
      </c>
      <c r="G5" s="5">
        <f>'Reported Count'!G5</f>
        <v>642.6452</v>
      </c>
      <c r="H5" s="5">
        <f>'Reported Count'!H5</f>
        <v>642.6452</v>
      </c>
      <c r="I5" s="5">
        <f>'Reported Count'!I5</f>
        <v>642.6452</v>
      </c>
      <c r="J5" s="5">
        <f>'Reported Count'!J5</f>
        <v>642.6452</v>
      </c>
      <c r="K5" s="5">
        <f>'Reported Count'!K5</f>
        <v>642.6452</v>
      </c>
      <c r="L5" s="5">
        <f>'Reported Count'!L5</f>
        <v>642.6452</v>
      </c>
      <c r="M5" s="5">
        <f>'Reported Count'!M5</f>
        <v>642.6452</v>
      </c>
      <c r="N5" s="5">
        <f>'Reported Count'!N5</f>
        <v>642.6452</v>
      </c>
      <c r="O5" s="5">
        <f>'Reported Count'!O5</f>
        <v>642.6452</v>
      </c>
      <c r="P5" s="5">
        <f>'Reported Count'!P5</f>
        <v>642.6452</v>
      </c>
      <c r="Q5" s="5">
        <f>'Reported Count'!Q5</f>
        <v>642.6452</v>
      </c>
      <c r="R5" s="5">
        <f>'Reported Count'!R5</f>
        <v>642.6452</v>
      </c>
      <c r="S5" s="5">
        <f>'Reported Count'!S5</f>
        <v>642.6452</v>
      </c>
      <c r="T5" s="5">
        <f>'Reported Count'!T5</f>
        <v>642.6452</v>
      </c>
      <c r="U5" s="5">
        <f>'Reported Count'!U5</f>
        <v>642.6452</v>
      </c>
      <c r="V5" s="5">
        <f>'Reported Count'!V5</f>
        <v>642.6452</v>
      </c>
    </row>
    <row r="6" spans="1:25">
      <c r="A6" s="4" t="s">
        <v>102</v>
      </c>
      <c r="B6" s="5">
        <f>'Reported Count'!B6</f>
        <v>626.81</v>
      </c>
      <c r="C6" s="5">
        <f>'Reported Count'!C6</f>
        <v>641.3256</v>
      </c>
      <c r="D6" s="5">
        <f>'Reported Count'!D6</f>
        <v>642.6452</v>
      </c>
      <c r="E6" s="5">
        <f>'Reported Count'!E6</f>
        <v>641.3256</v>
      </c>
      <c r="F6" s="5">
        <f>'Reported Count'!F6</f>
        <v>641.3256</v>
      </c>
      <c r="G6" s="5">
        <f>'Reported Count'!G6</f>
        <v>641.3256</v>
      </c>
      <c r="H6" s="5">
        <f>'Reported Count'!H6</f>
        <v>641.3256</v>
      </c>
      <c r="I6" s="5">
        <f>'Reported Count'!I6</f>
        <v>641.3256</v>
      </c>
      <c r="J6" s="5">
        <f>'Reported Count'!J6</f>
        <v>641.3256</v>
      </c>
      <c r="K6" s="5">
        <f>'Reported Count'!K6</f>
        <v>641.3256</v>
      </c>
      <c r="L6" s="5">
        <f>'Reported Count'!L6</f>
        <v>641.3256</v>
      </c>
      <c r="M6" s="5">
        <f>'Reported Count'!M6</f>
        <v>641.3256</v>
      </c>
      <c r="N6" s="5">
        <f>'Reported Count'!N6</f>
        <v>641.3256</v>
      </c>
      <c r="O6" s="5">
        <f>'Reported Count'!O6</f>
        <v>641.3256</v>
      </c>
      <c r="P6" s="5">
        <f>'Reported Count'!P6</f>
        <v>641.3256</v>
      </c>
      <c r="Q6" s="5">
        <f>'Reported Count'!Q6</f>
        <v>641.3256</v>
      </c>
      <c r="R6" s="5">
        <f>'Reported Count'!R6</f>
        <v>641.3256</v>
      </c>
      <c r="S6" s="5">
        <f>'Reported Count'!S6</f>
        <v>641.3256</v>
      </c>
      <c r="T6" s="5">
        <f>'Reported Count'!T6</f>
        <v>641.3256</v>
      </c>
      <c r="U6" s="5">
        <f>'Reported Count'!U6</f>
        <v>641.3256</v>
      </c>
    </row>
    <row r="7" spans="1:25">
      <c r="A7" s="4" t="s">
        <v>103</v>
      </c>
      <c r="B7" s="5">
        <f>'Reported Count'!B7</f>
        <v>479.0148</v>
      </c>
      <c r="C7" s="5">
        <f>'Reported Count'!C7</f>
        <v>497.4892</v>
      </c>
      <c r="D7" s="5">
        <f>'Reported Count'!D7</f>
        <v>497.4892</v>
      </c>
      <c r="E7" s="5">
        <f>'Reported Count'!E7</f>
        <v>497.4892</v>
      </c>
      <c r="F7" s="5">
        <f>'Reported Count'!F7</f>
        <v>497.4892</v>
      </c>
      <c r="G7" s="5">
        <f>'Reported Count'!G7</f>
        <v>497.4892</v>
      </c>
      <c r="H7" s="5">
        <f>'Reported Count'!H7</f>
        <v>497.4892</v>
      </c>
      <c r="I7" s="5">
        <f>'Reported Count'!I7</f>
        <v>497.4892</v>
      </c>
      <c r="J7" s="5">
        <f>'Reported Count'!J7</f>
        <v>497.4892</v>
      </c>
      <c r="K7" s="5">
        <f>'Reported Count'!K7</f>
        <v>497.4892</v>
      </c>
      <c r="L7" s="5">
        <f>'Reported Count'!L7</f>
        <v>497.4892</v>
      </c>
      <c r="M7" s="5">
        <f>'Reported Count'!M7</f>
        <v>497.4892</v>
      </c>
      <c r="N7" s="5">
        <f>'Reported Count'!N7</f>
        <v>497.4892</v>
      </c>
      <c r="O7" s="5">
        <f>'Reported Count'!O7</f>
        <v>497.4892</v>
      </c>
      <c r="P7" s="5">
        <f>'Reported Count'!P7</f>
        <v>497.4892</v>
      </c>
      <c r="Q7" s="5">
        <f>'Reported Count'!Q7</f>
        <v>497.4892</v>
      </c>
      <c r="R7" s="5">
        <f>'Reported Count'!R7</f>
        <v>497.4892</v>
      </c>
      <c r="S7" s="5">
        <f>'Reported Count'!S7</f>
        <v>497.4892</v>
      </c>
      <c r="T7" s="5">
        <f>'Reported Count'!T7</f>
        <v>497.4892</v>
      </c>
    </row>
    <row r="8" spans="1:25">
      <c r="A8" s="4" t="s">
        <v>104</v>
      </c>
      <c r="B8" s="5">
        <f>'Reported Count'!B8</f>
        <v>456.5816</v>
      </c>
      <c r="C8" s="5">
        <f>'Reported Count'!C8</f>
        <v>476.3756</v>
      </c>
      <c r="D8" s="5">
        <f>'Reported Count'!D8</f>
        <v>476.3756</v>
      </c>
      <c r="E8" s="5">
        <f>'Reported Count'!E8</f>
        <v>476.3756</v>
      </c>
      <c r="F8" s="5">
        <f>'Reported Count'!F8</f>
        <v>476.3756</v>
      </c>
      <c r="G8" s="5">
        <f>'Reported Count'!G8</f>
        <v>476.3756</v>
      </c>
      <c r="H8" s="5">
        <f>'Reported Count'!H8</f>
        <v>476.3756</v>
      </c>
      <c r="I8" s="5">
        <f>'Reported Count'!I8</f>
        <v>476.3756</v>
      </c>
      <c r="J8" s="5">
        <f>'Reported Count'!J8</f>
        <v>476.3756</v>
      </c>
      <c r="K8" s="5">
        <f>'Reported Count'!K8</f>
        <v>476.3756</v>
      </c>
      <c r="L8" s="5">
        <f>'Reported Count'!L8</f>
        <v>476.3756</v>
      </c>
      <c r="M8" s="5">
        <f>'Reported Count'!M8</f>
        <v>476.3756</v>
      </c>
      <c r="N8" s="5">
        <f>'Reported Count'!N8</f>
        <v>476.3756</v>
      </c>
      <c r="O8" s="5">
        <f>'Reported Count'!O8</f>
        <v>476.3756</v>
      </c>
      <c r="P8" s="5">
        <f>'Reported Count'!P8</f>
        <v>476.3756</v>
      </c>
      <c r="Q8" s="5">
        <f>'Reported Count'!Q8</f>
        <v>476.3756</v>
      </c>
      <c r="R8" s="5">
        <f>'Reported Count'!R8</f>
        <v>476.3756</v>
      </c>
      <c r="S8" s="5">
        <f>'Reported Count'!S8</f>
        <v>476.3756</v>
      </c>
    </row>
    <row r="9" spans="1:25">
      <c r="A9" s="4" t="s">
        <v>105</v>
      </c>
      <c r="B9" s="5">
        <f>'Reported Count'!B9</f>
        <v>307.4668</v>
      </c>
      <c r="C9" s="5">
        <f>'Reported Count'!C9</f>
        <v>327.2608</v>
      </c>
      <c r="D9" s="5">
        <f>'Reported Count'!D9</f>
        <v>328.5804</v>
      </c>
      <c r="E9" s="5">
        <f>'Reported Count'!E9</f>
        <v>328.5804</v>
      </c>
      <c r="F9" s="5">
        <f>'Reported Count'!F9</f>
        <v>328.5804</v>
      </c>
      <c r="G9" s="5">
        <f>'Reported Count'!G9</f>
        <v>328.5804</v>
      </c>
      <c r="H9" s="5">
        <f>'Reported Count'!H9</f>
        <v>328.5804</v>
      </c>
      <c r="I9" s="5">
        <f>'Reported Count'!I9</f>
        <v>328.5804</v>
      </c>
      <c r="J9" s="5">
        <f>'Reported Count'!J9</f>
        <v>328.5804</v>
      </c>
      <c r="K9" s="5">
        <f>'Reported Count'!K9</f>
        <v>328.5804</v>
      </c>
      <c r="L9" s="5">
        <f>'Reported Count'!L9</f>
        <v>328.5804</v>
      </c>
      <c r="M9" s="5">
        <f>'Reported Count'!M9</f>
        <v>328.5804</v>
      </c>
      <c r="N9" s="5">
        <f>'Reported Count'!N9</f>
        <v>328.5804</v>
      </c>
      <c r="O9" s="5">
        <f>'Reported Count'!O9</f>
        <v>328.5804</v>
      </c>
      <c r="P9" s="5">
        <f>'Reported Count'!P9</f>
        <v>328.5804</v>
      </c>
      <c r="Q9" s="5">
        <f>'Reported Count'!Q9</f>
        <v>328.5804</v>
      </c>
      <c r="R9" s="5">
        <f>'Reported Count'!R9</f>
        <v>328.5804</v>
      </c>
    </row>
    <row r="10" spans="1:25">
      <c r="A10" s="4" t="s">
        <v>106</v>
      </c>
      <c r="B10" s="5">
        <f>'Reported Count'!B10</f>
        <v>306.1472</v>
      </c>
      <c r="C10" s="5">
        <f>'Reported Count'!C10</f>
        <v>320.6628</v>
      </c>
      <c r="D10" s="5">
        <f>'Reported Count'!D10</f>
        <v>321.9824</v>
      </c>
      <c r="E10" s="5">
        <f>'Reported Count'!E10</f>
        <v>321.9824</v>
      </c>
      <c r="F10" s="5">
        <f>'Reported Count'!F10</f>
        <v>321.9824</v>
      </c>
      <c r="G10" s="5">
        <f>'Reported Count'!G10</f>
        <v>321.9824</v>
      </c>
      <c r="H10" s="5">
        <f>'Reported Count'!H10</f>
        <v>321.9824</v>
      </c>
      <c r="I10" s="5">
        <f>'Reported Count'!I10</f>
        <v>321.9824</v>
      </c>
      <c r="J10" s="5">
        <f>'Reported Count'!J10</f>
        <v>321.9824</v>
      </c>
      <c r="K10" s="5">
        <f>'Reported Count'!K10</f>
        <v>321.9824</v>
      </c>
      <c r="L10" s="5">
        <f>'Reported Count'!L10</f>
        <v>321.9824</v>
      </c>
      <c r="M10" s="5">
        <f>'Reported Count'!M10</f>
        <v>321.9824</v>
      </c>
      <c r="N10" s="5">
        <f>'Reported Count'!N10</f>
        <v>321.9824</v>
      </c>
      <c r="O10" s="5">
        <f>'Reported Count'!O10</f>
        <v>321.9824</v>
      </c>
      <c r="P10" s="5">
        <f>'Reported Count'!P10</f>
        <v>321.9824</v>
      </c>
      <c r="Q10" s="5">
        <f>'Reported Count'!Q10</f>
        <v>321.9824</v>
      </c>
    </row>
    <row r="11" spans="1:25">
      <c r="A11" s="4" t="s">
        <v>107</v>
      </c>
      <c r="B11" s="5">
        <f>'Reported Count'!B11</f>
        <v>259.9612</v>
      </c>
      <c r="C11" s="5">
        <f>'Reported Count'!C11</f>
        <v>271.8376</v>
      </c>
      <c r="D11" s="5">
        <f>'Reported Count'!D11</f>
        <v>271.8376</v>
      </c>
      <c r="E11" s="5">
        <f>'Reported Count'!E11</f>
        <v>271.8376</v>
      </c>
      <c r="F11" s="5">
        <f>'Reported Count'!F11</f>
        <v>271.8376</v>
      </c>
      <c r="G11" s="5">
        <f>'Reported Count'!G11</f>
        <v>271.8376</v>
      </c>
      <c r="H11" s="5">
        <f>'Reported Count'!H11</f>
        <v>271.8376</v>
      </c>
      <c r="I11" s="5">
        <f>'Reported Count'!I11</f>
        <v>271.8376</v>
      </c>
      <c r="J11" s="5">
        <f>'Reported Count'!J11</f>
        <v>271.8376</v>
      </c>
      <c r="K11" s="5">
        <f>'Reported Count'!K11</f>
        <v>271.8376</v>
      </c>
      <c r="L11" s="5">
        <f>'Reported Count'!L11</f>
        <v>271.8376</v>
      </c>
      <c r="M11" s="5">
        <f>'Reported Count'!M11</f>
        <v>271.8376</v>
      </c>
      <c r="N11" s="5">
        <f>'Reported Count'!N11</f>
        <v>271.8376</v>
      </c>
      <c r="O11" s="5">
        <f>'Reported Count'!O11</f>
        <v>271.8376</v>
      </c>
      <c r="P11" s="5">
        <f>'Reported Count'!P11</f>
        <v>271.8376</v>
      </c>
    </row>
    <row r="12" spans="1:25">
      <c r="A12" s="4" t="s">
        <v>108</v>
      </c>
      <c r="B12" s="5">
        <f>'Reported Count'!B12</f>
        <v>345.7352</v>
      </c>
      <c r="C12" s="5">
        <f>'Reported Count'!C12</f>
        <v>345.7352</v>
      </c>
      <c r="D12" s="5">
        <f>'Reported Count'!D12</f>
        <v>345.7352</v>
      </c>
      <c r="E12" s="5">
        <f>'Reported Count'!E12</f>
        <v>345.7352</v>
      </c>
      <c r="F12" s="5">
        <f>'Reported Count'!F12</f>
        <v>345.7352</v>
      </c>
      <c r="G12" s="5">
        <f>'Reported Count'!G12</f>
        <v>345.7352</v>
      </c>
      <c r="H12" s="5">
        <f>'Reported Count'!H12</f>
        <v>345.7352</v>
      </c>
      <c r="I12" s="5">
        <f>'Reported Count'!I12</f>
        <v>345.7352</v>
      </c>
      <c r="J12" s="5">
        <f>'Reported Count'!J12</f>
        <v>345.7352</v>
      </c>
      <c r="K12" s="5">
        <f>'Reported Count'!K12</f>
        <v>345.7352</v>
      </c>
      <c r="L12" s="5">
        <f>'Reported Count'!L12</f>
        <v>345.7352</v>
      </c>
      <c r="M12" s="5">
        <f>'Reported Count'!M12</f>
        <v>345.7352</v>
      </c>
      <c r="N12" s="5">
        <f>'Reported Count'!N12</f>
        <v>345.7352</v>
      </c>
      <c r="O12" s="5">
        <f>'Reported Count'!O12</f>
        <v>345.7352</v>
      </c>
    </row>
    <row r="13" spans="1:25">
      <c r="A13" s="4" t="s">
        <v>109</v>
      </c>
      <c r="B13" s="5">
        <f>'Reported Count'!B13</f>
        <v>245.4456</v>
      </c>
      <c r="C13" s="5">
        <f>'Reported Count'!C13</f>
        <v>261.2808</v>
      </c>
      <c r="D13" s="5">
        <f>'Reported Count'!D13</f>
        <v>261.2808</v>
      </c>
      <c r="E13" s="5">
        <f>'Reported Count'!E13</f>
        <v>261.2808</v>
      </c>
      <c r="F13" s="5">
        <f>'Reported Count'!F13</f>
        <v>261.2808</v>
      </c>
      <c r="G13" s="5">
        <f>'Reported Count'!G13</f>
        <v>261.2808</v>
      </c>
      <c r="H13" s="5">
        <f>'Reported Count'!H13</f>
        <v>261.2808</v>
      </c>
      <c r="I13" s="5">
        <f>'Reported Count'!I13</f>
        <v>261.2808</v>
      </c>
      <c r="J13" s="5">
        <f>'Reported Count'!J13</f>
        <v>261.2808</v>
      </c>
      <c r="K13" s="5">
        <f>'Reported Count'!K13</f>
        <v>261.2808</v>
      </c>
      <c r="L13" s="5">
        <f>'Reported Count'!L13</f>
        <v>261.2808</v>
      </c>
      <c r="M13" s="5">
        <f>'Reported Count'!M13</f>
        <v>261.2808</v>
      </c>
      <c r="N13" s="5">
        <f>'Reported Count'!N13</f>
        <v>261.2808</v>
      </c>
    </row>
    <row r="14" spans="1:25">
      <c r="A14" s="4" t="s">
        <v>110</v>
      </c>
      <c r="B14" s="5">
        <f>'Reported Count'!B14</f>
        <v>282.3944</v>
      </c>
      <c r="C14" s="5">
        <f>'Reported Count'!C14</f>
        <v>290.312</v>
      </c>
      <c r="D14" s="5">
        <f>'Reported Count'!D14</f>
        <v>290.312</v>
      </c>
      <c r="E14" s="5">
        <f>'Reported Count'!E14</f>
        <v>291.6316</v>
      </c>
      <c r="F14" s="5">
        <f>'Reported Count'!F14</f>
        <v>291.6316</v>
      </c>
      <c r="G14" s="5">
        <f>'Reported Count'!G14</f>
        <v>291.6316</v>
      </c>
      <c r="H14" s="5">
        <f>'Reported Count'!H14</f>
        <v>291.6316</v>
      </c>
      <c r="I14" s="5">
        <f>'Reported Count'!I14</f>
        <v>291.6316</v>
      </c>
      <c r="J14" s="5">
        <f>'Reported Count'!J14</f>
        <v>291.6316</v>
      </c>
      <c r="K14" s="5">
        <f>'Reported Count'!K14</f>
        <v>291.6316</v>
      </c>
      <c r="L14" s="5">
        <f>'Reported Count'!L14</f>
        <v>291.6316</v>
      </c>
      <c r="M14" s="5">
        <f>'Reported Count'!M14</f>
        <v>291.6316</v>
      </c>
    </row>
    <row r="15" spans="1:25">
      <c r="A15" s="4" t="s">
        <v>111</v>
      </c>
      <c r="B15" s="5">
        <f>'Reported Count'!B15</f>
        <v>434.1484</v>
      </c>
      <c r="C15" s="5">
        <f>'Reported Count'!C15</f>
        <v>453.9424</v>
      </c>
      <c r="D15" s="5">
        <f>'Reported Count'!D15</f>
        <v>455.262</v>
      </c>
      <c r="E15" s="5">
        <f>'Reported Count'!E15</f>
        <v>455.262</v>
      </c>
      <c r="F15" s="5">
        <f>'Reported Count'!F15</f>
        <v>455.262</v>
      </c>
      <c r="G15" s="5">
        <f>'Reported Count'!G15</f>
        <v>455.262</v>
      </c>
      <c r="H15" s="5">
        <f>'Reported Count'!H15</f>
        <v>455.262</v>
      </c>
      <c r="I15" s="5">
        <f>'Reported Count'!I15</f>
        <v>455.262</v>
      </c>
      <c r="J15" s="5">
        <f>'Reported Count'!J15</f>
        <v>455.262</v>
      </c>
      <c r="K15" s="5">
        <f>'Reported Count'!K15</f>
        <v>455.262</v>
      </c>
      <c r="L15" s="5">
        <f>'Reported Count'!L15</f>
        <v>455.262</v>
      </c>
    </row>
    <row r="16" spans="1:25">
      <c r="A16" s="4" t="s">
        <v>112</v>
      </c>
      <c r="B16" s="5">
        <f>'Reported Count'!B16</f>
        <v>321.9824</v>
      </c>
      <c r="C16" s="5">
        <f>'Reported Count'!C16</f>
        <v>332.5392</v>
      </c>
      <c r="D16" s="5">
        <f>'Reported Count'!D16</f>
        <v>337.8176</v>
      </c>
      <c r="E16" s="5">
        <f>'Reported Count'!E16</f>
        <v>337.8176</v>
      </c>
      <c r="F16" s="5">
        <f>'Reported Count'!F16</f>
        <v>337.8176</v>
      </c>
      <c r="G16" s="5">
        <f>'Reported Count'!G16</f>
        <v>337.8176</v>
      </c>
      <c r="H16" s="5">
        <f>'Reported Count'!H16</f>
        <v>337.8176</v>
      </c>
      <c r="I16" s="5">
        <f>'Reported Count'!I16</f>
        <v>337.8176</v>
      </c>
      <c r="J16" s="5">
        <f>'Reported Count'!J16</f>
        <v>337.8176</v>
      </c>
      <c r="K16" s="5">
        <f>'Reported Count'!K16</f>
        <v>333.8588</v>
      </c>
    </row>
    <row r="17" spans="1:24">
      <c r="A17" s="4" t="s">
        <v>113</v>
      </c>
      <c r="B17" s="5">
        <f>'Reported Count'!B17</f>
        <v>345.7352</v>
      </c>
      <c r="C17" s="5">
        <f>'Reported Count'!C17</f>
        <v>373.4468</v>
      </c>
      <c r="D17" s="5">
        <f>'Reported Count'!D17</f>
        <v>390.6016</v>
      </c>
      <c r="E17" s="5">
        <f>'Reported Count'!E17</f>
        <v>390.6016</v>
      </c>
      <c r="F17" s="5">
        <f>'Reported Count'!F17</f>
        <v>390.6016</v>
      </c>
      <c r="G17" s="5">
        <f>'Reported Count'!G17</f>
        <v>390.6016</v>
      </c>
      <c r="H17" s="5">
        <f>'Reported Count'!H17</f>
        <v>390.6016</v>
      </c>
      <c r="I17" s="5">
        <f>'Reported Count'!I17</f>
        <v>390.6016</v>
      </c>
      <c r="J17" s="5">
        <f>'Reported Count'!J17</f>
        <v>390.6016</v>
      </c>
    </row>
    <row r="18" spans="1:24">
      <c r="A18" s="4" t="s">
        <v>114</v>
      </c>
      <c r="B18" s="5">
        <f>'Reported Count'!B18</f>
        <v>275.7964</v>
      </c>
      <c r="C18" s="5">
        <f>'Reported Count'!C18</f>
        <v>310.106</v>
      </c>
      <c r="D18" s="5">
        <f>'Reported Count'!D18</f>
        <v>311.4256</v>
      </c>
      <c r="E18" s="5">
        <f>'Reported Count'!E18</f>
        <v>312.7452</v>
      </c>
      <c r="F18" s="5">
        <f>'Reported Count'!F18</f>
        <v>311.4256</v>
      </c>
      <c r="G18" s="5">
        <f>'Reported Count'!G18</f>
        <v>311.4256</v>
      </c>
      <c r="H18" s="5">
        <f>'Reported Count'!H18</f>
        <v>311.4256</v>
      </c>
      <c r="I18" s="5">
        <f>'Reported Count'!I18</f>
        <v>310.106</v>
      </c>
    </row>
    <row r="19" spans="1:24">
      <c r="A19" s="4" t="s">
        <v>115</v>
      </c>
      <c r="B19" s="5">
        <f>'Reported Count'!B19</f>
        <v>288.9924</v>
      </c>
      <c r="C19" s="5">
        <f>'Reported Count'!C19</f>
        <v>324.6216</v>
      </c>
      <c r="D19" s="5">
        <f>'Reported Count'!D19</f>
        <v>324.6216</v>
      </c>
      <c r="E19" s="5">
        <f>'Reported Count'!E19</f>
        <v>324.6216</v>
      </c>
      <c r="F19" s="5">
        <f>'Reported Count'!F19</f>
        <v>325.9412</v>
      </c>
      <c r="G19" s="5">
        <f>'Reported Count'!G19</f>
        <v>325.9412</v>
      </c>
      <c r="H19" s="5">
        <f>'Reported Count'!H19</f>
        <v>325.9412</v>
      </c>
    </row>
    <row r="20" spans="1:24">
      <c r="A20" s="4" t="s">
        <v>116</v>
      </c>
      <c r="B20" s="5">
        <f>'Reported Count'!B20</f>
        <v>314.0648</v>
      </c>
      <c r="C20" s="5">
        <f>'Reported Count'!C20</f>
        <v>358.9312</v>
      </c>
      <c r="D20" s="5">
        <f>'Reported Count'!D20</f>
        <v>358.9312</v>
      </c>
      <c r="E20" s="5">
        <f>'Reported Count'!E20</f>
        <v>358.9312</v>
      </c>
      <c r="F20" s="5">
        <f>'Reported Count'!F20</f>
        <v>358.9312</v>
      </c>
      <c r="G20" s="5">
        <f>'Reported Count'!G20</f>
        <v>357.6116</v>
      </c>
    </row>
    <row r="21" spans="1:24">
      <c r="A21" s="4" t="s">
        <v>117</v>
      </c>
      <c r="B21" s="5">
        <f>'Reported Count'!B21</f>
        <v>349.694</v>
      </c>
      <c r="C21" s="5">
        <f>'Reported Count'!C21</f>
        <v>370.8076</v>
      </c>
      <c r="D21" s="5">
        <f>'Reported Count'!D21</f>
        <v>370.8076</v>
      </c>
      <c r="E21" s="5">
        <f>'Reported Count'!E21</f>
        <v>370.8076</v>
      </c>
      <c r="F21" s="5">
        <f>'Reported Count'!F21</f>
        <v>370.8076</v>
      </c>
    </row>
    <row r="22" spans="1:24">
      <c r="A22" s="4" t="s">
        <v>118</v>
      </c>
      <c r="B22" s="5">
        <f>'Reported Count'!B22</f>
        <v>288.9924</v>
      </c>
      <c r="C22" s="5">
        <f>'Reported Count'!C22</f>
        <v>329.9</v>
      </c>
      <c r="D22" s="5">
        <f>'Reported Count'!D22</f>
        <v>329.9</v>
      </c>
      <c r="E22" s="5">
        <f>'Reported Count'!E22</f>
        <v>329.9</v>
      </c>
    </row>
    <row r="23" spans="1:24">
      <c r="A23" s="4" t="s">
        <v>119</v>
      </c>
      <c r="B23" s="5">
        <f>'Reported Count'!B23</f>
        <v>261.2808</v>
      </c>
      <c r="C23" s="5">
        <f>'Reported Count'!C23</f>
        <v>298.2296</v>
      </c>
      <c r="D23" s="5">
        <f>'Reported Count'!D23</f>
        <v>298.2296</v>
      </c>
    </row>
    <row r="24" spans="1:24">
      <c r="A24" s="4" t="s">
        <v>120</v>
      </c>
      <c r="B24" s="5">
        <f>'Reported Count'!B24</f>
        <v>273.1572</v>
      </c>
      <c r="C24" s="5">
        <f>'Reported Count'!C24</f>
        <v>304.8276</v>
      </c>
    </row>
    <row r="25" spans="1:24">
      <c r="A25" s="4" t="s">
        <v>121</v>
      </c>
      <c r="B25" s="5">
        <f>'Reported Count'!B25</f>
        <v>256.0024</v>
      </c>
    </row>
    <row r="26" spans="1:24">
      <c r="A26" s="4"/>
    </row>
    <row r="27" spans="1:24">
      <c r="A27" s="4" t="s">
        <v>73</v>
      </c>
      <c r="B27" t="s">
        <v>122</v>
      </c>
      <c r="C27" t="s">
        <v>123</v>
      </c>
      <c r="D27" t="s">
        <v>124</v>
      </c>
      <c r="E27" t="s">
        <v>125</v>
      </c>
      <c r="F27" t="s">
        <v>126</v>
      </c>
      <c r="G27" t="s">
        <v>127</v>
      </c>
      <c r="H27" t="s">
        <v>128</v>
      </c>
      <c r="I27" t="s">
        <v>129</v>
      </c>
      <c r="J27" t="s">
        <v>130</v>
      </c>
      <c r="K27" t="s">
        <v>131</v>
      </c>
      <c r="L27" t="s">
        <v>132</v>
      </c>
      <c r="M27" t="s">
        <v>133</v>
      </c>
      <c r="N27" t="s">
        <v>134</v>
      </c>
      <c r="O27" t="s">
        <v>135</v>
      </c>
      <c r="P27" t="s">
        <v>136</v>
      </c>
      <c r="Q27" t="s">
        <v>137</v>
      </c>
      <c r="R27" t="s">
        <v>138</v>
      </c>
      <c r="S27" t="s">
        <v>139</v>
      </c>
      <c r="T27" t="s">
        <v>140</v>
      </c>
      <c r="U27" t="s">
        <v>141</v>
      </c>
      <c r="V27" t="s">
        <v>142</v>
      </c>
      <c r="W27" t="s">
        <v>143</v>
      </c>
      <c r="X27" t="s">
        <v>144</v>
      </c>
    </row>
    <row r="28" spans="1:24">
      <c r="A28" s="4" t="s">
        <v>98</v>
      </c>
      <c r="B28" s="5">
        <f>'Reported Count'!B28</f>
        <v>1.0704</v>
      </c>
      <c r="C28" s="5">
        <f>'Reported Count'!C28</f>
        <v>1.0019</v>
      </c>
      <c r="D28" s="5">
        <f>'Reported Count'!D28</f>
        <v>1</v>
      </c>
      <c r="E28" s="5">
        <f>'Reported Count'!E28</f>
        <v>1</v>
      </c>
      <c r="F28" s="5">
        <f>'Reported Count'!F28</f>
        <v>1</v>
      </c>
      <c r="G28" s="5">
        <f>'Reported Count'!G28</f>
        <v>1.0251</v>
      </c>
      <c r="H28" s="5">
        <f>'Reported Count'!H28</f>
        <v>1</v>
      </c>
      <c r="I28" s="5">
        <f>'Reported Count'!I28</f>
        <v>1</v>
      </c>
      <c r="J28" s="5">
        <f>'Reported Count'!J28</f>
        <v>1</v>
      </c>
      <c r="K28" s="5">
        <f>'Reported Count'!K28</f>
        <v>1</v>
      </c>
      <c r="L28" s="5">
        <f>'Reported Count'!L28</f>
        <v>1</v>
      </c>
      <c r="M28" s="5">
        <f>'Reported Count'!M28</f>
        <v>1</v>
      </c>
      <c r="N28" s="5">
        <f>'Reported Count'!N28</f>
        <v>1</v>
      </c>
      <c r="O28" s="5">
        <f>'Reported Count'!O28</f>
        <v>1</v>
      </c>
      <c r="P28" s="5">
        <f>'Reported Count'!P28</f>
        <v>1</v>
      </c>
      <c r="Q28" s="5">
        <f>'Reported Count'!Q28</f>
        <v>1</v>
      </c>
      <c r="R28" s="5">
        <f>'Reported Count'!R28</f>
        <v>1</v>
      </c>
      <c r="S28" s="5">
        <f>'Reported Count'!S28</f>
        <v>1</v>
      </c>
      <c r="T28" s="5">
        <f>'Reported Count'!T28</f>
        <v>1</v>
      </c>
      <c r="U28" s="5">
        <f>'Reported Count'!U28</f>
        <v>1</v>
      </c>
      <c r="V28" s="5">
        <f>'Reported Count'!V28</f>
        <v>1</v>
      </c>
      <c r="W28" s="5">
        <f>'Reported Count'!W28</f>
        <v>1</v>
      </c>
      <c r="X28" s="5">
        <f>'Reported Count'!X28</f>
        <v>1</v>
      </c>
    </row>
    <row r="29" spans="1:24">
      <c r="A29" s="4" t="s">
        <v>99</v>
      </c>
      <c r="B29" s="5">
        <f>'Reported Count'!B29</f>
        <v>1.0344</v>
      </c>
      <c r="C29" s="5">
        <f>'Reported Count'!C29</f>
        <v>1</v>
      </c>
      <c r="D29" s="5">
        <f>'Reported Count'!D29</f>
        <v>1</v>
      </c>
      <c r="E29" s="5">
        <f>'Reported Count'!E29</f>
        <v>1</v>
      </c>
      <c r="F29" s="5">
        <f>'Reported Count'!F29</f>
        <v>1.027</v>
      </c>
      <c r="G29" s="5">
        <f>'Reported Count'!G29</f>
        <v>1</v>
      </c>
      <c r="H29" s="5">
        <f>'Reported Count'!H29</f>
        <v>1</v>
      </c>
      <c r="I29" s="5">
        <f>'Reported Count'!I29</f>
        <v>1</v>
      </c>
      <c r="J29" s="5">
        <f>'Reported Count'!J29</f>
        <v>1</v>
      </c>
      <c r="K29" s="5">
        <f>'Reported Count'!K29</f>
        <v>1</v>
      </c>
      <c r="L29" s="5">
        <f>'Reported Count'!L29</f>
        <v>1</v>
      </c>
      <c r="M29" s="5">
        <f>'Reported Count'!M29</f>
        <v>1</v>
      </c>
      <c r="N29" s="5">
        <f>'Reported Count'!N29</f>
        <v>1</v>
      </c>
      <c r="O29" s="5">
        <f>'Reported Count'!O29</f>
        <v>1</v>
      </c>
      <c r="P29" s="5">
        <f>'Reported Count'!P29</f>
        <v>1</v>
      </c>
      <c r="Q29" s="5">
        <f>'Reported Count'!Q29</f>
        <v>1</v>
      </c>
      <c r="R29" s="5">
        <f>'Reported Count'!R29</f>
        <v>1</v>
      </c>
      <c r="S29" s="5">
        <f>'Reported Count'!S29</f>
        <v>1</v>
      </c>
      <c r="T29" s="5">
        <f>'Reported Count'!T29</f>
        <v>1</v>
      </c>
      <c r="U29" s="5">
        <f>'Reported Count'!U29</f>
        <v>1</v>
      </c>
      <c r="V29" s="5">
        <f>'Reported Count'!V29</f>
        <v>1</v>
      </c>
      <c r="W29" s="5">
        <f>'Reported Count'!W29</f>
        <v>1</v>
      </c>
    </row>
    <row r="30" spans="1:24">
      <c r="A30" s="4" t="s">
        <v>100</v>
      </c>
      <c r="B30" s="5">
        <f>'Reported Count'!B30</f>
        <v>1.0346</v>
      </c>
      <c r="C30" s="5">
        <f>'Reported Count'!C30</f>
        <v>1</v>
      </c>
      <c r="D30" s="5">
        <f>'Reported Count'!D30</f>
        <v>1</v>
      </c>
      <c r="E30" s="5">
        <f>'Reported Count'!E30</f>
        <v>0.9952</v>
      </c>
      <c r="F30" s="5">
        <f>'Reported Count'!F30</f>
        <v>1</v>
      </c>
      <c r="G30" s="5">
        <f>'Reported Count'!G30</f>
        <v>1.0024</v>
      </c>
      <c r="H30" s="5">
        <f>'Reported Count'!H30</f>
        <v>1</v>
      </c>
      <c r="I30" s="5">
        <f>'Reported Count'!I30</f>
        <v>1</v>
      </c>
      <c r="J30" s="5">
        <f>'Reported Count'!J30</f>
        <v>1</v>
      </c>
      <c r="K30" s="5">
        <f>'Reported Count'!K30</f>
        <v>1</v>
      </c>
      <c r="L30" s="5">
        <f>'Reported Count'!L30</f>
        <v>1</v>
      </c>
      <c r="M30" s="5">
        <f>'Reported Count'!M30</f>
        <v>1</v>
      </c>
      <c r="N30" s="5">
        <f>'Reported Count'!N30</f>
        <v>1</v>
      </c>
      <c r="O30" s="5">
        <f>'Reported Count'!O30</f>
        <v>1</v>
      </c>
      <c r="P30" s="5">
        <f>'Reported Count'!P30</f>
        <v>1</v>
      </c>
      <c r="Q30" s="5">
        <f>'Reported Count'!Q30</f>
        <v>1</v>
      </c>
      <c r="R30" s="5">
        <f>'Reported Count'!R30</f>
        <v>1</v>
      </c>
      <c r="S30" s="5">
        <f>'Reported Count'!S30</f>
        <v>1</v>
      </c>
      <c r="T30" s="5">
        <f>'Reported Count'!T30</f>
        <v>1</v>
      </c>
      <c r="U30" s="5">
        <f>'Reported Count'!U30</f>
        <v>1</v>
      </c>
      <c r="V30" s="5">
        <f>'Reported Count'!V30</f>
        <v>1</v>
      </c>
    </row>
    <row r="31" spans="1:24">
      <c r="A31" s="4" t="s">
        <v>101</v>
      </c>
      <c r="B31" s="5">
        <f>'Reported Count'!B31</f>
        <v>1.0591</v>
      </c>
      <c r="C31" s="5">
        <f>'Reported Count'!C31</f>
        <v>1</v>
      </c>
      <c r="D31" s="5">
        <f>'Reported Count'!D31</f>
        <v>1.0041</v>
      </c>
      <c r="E31" s="5">
        <f>'Reported Count'!E31</f>
        <v>1.0021</v>
      </c>
      <c r="F31" s="5">
        <f>'Reported Count'!F31</f>
        <v>1</v>
      </c>
      <c r="G31" s="5">
        <f>'Reported Count'!G31</f>
        <v>1</v>
      </c>
      <c r="H31" s="5">
        <f>'Reported Count'!H31</f>
        <v>1</v>
      </c>
      <c r="I31" s="5">
        <f>'Reported Count'!I31</f>
        <v>1</v>
      </c>
      <c r="J31" s="5">
        <f>'Reported Count'!J31</f>
        <v>1</v>
      </c>
      <c r="K31" s="5">
        <f>'Reported Count'!K31</f>
        <v>1</v>
      </c>
      <c r="L31" s="5">
        <f>'Reported Count'!L31</f>
        <v>1</v>
      </c>
      <c r="M31" s="5">
        <f>'Reported Count'!M31</f>
        <v>1</v>
      </c>
      <c r="N31" s="5">
        <f>'Reported Count'!N31</f>
        <v>1</v>
      </c>
      <c r="O31" s="5">
        <f>'Reported Count'!O31</f>
        <v>1</v>
      </c>
      <c r="P31" s="5">
        <f>'Reported Count'!P31</f>
        <v>1</v>
      </c>
      <c r="Q31" s="5">
        <f>'Reported Count'!Q31</f>
        <v>1</v>
      </c>
      <c r="R31" s="5">
        <f>'Reported Count'!R31</f>
        <v>1</v>
      </c>
      <c r="S31" s="5">
        <f>'Reported Count'!S31</f>
        <v>1</v>
      </c>
      <c r="T31" s="5">
        <f>'Reported Count'!T31</f>
        <v>1</v>
      </c>
      <c r="U31" s="5">
        <f>'Reported Count'!U31</f>
        <v>1</v>
      </c>
    </row>
    <row r="32" spans="1:24">
      <c r="A32" s="4" t="s">
        <v>102</v>
      </c>
      <c r="B32" s="5">
        <f>'Reported Count'!B32</f>
        <v>1.0232</v>
      </c>
      <c r="C32" s="5">
        <f>'Reported Count'!C32</f>
        <v>1.0021</v>
      </c>
      <c r="D32" s="5">
        <f>'Reported Count'!D32</f>
        <v>0.9979</v>
      </c>
      <c r="E32" s="5">
        <f>'Reported Count'!E32</f>
        <v>1</v>
      </c>
      <c r="F32" s="5">
        <f>'Reported Count'!F32</f>
        <v>1</v>
      </c>
      <c r="G32" s="5">
        <f>'Reported Count'!G32</f>
        <v>1</v>
      </c>
      <c r="H32" s="5">
        <f>'Reported Count'!H32</f>
        <v>1</v>
      </c>
      <c r="I32" s="5">
        <f>'Reported Count'!I32</f>
        <v>1</v>
      </c>
      <c r="J32" s="5">
        <f>'Reported Count'!J32</f>
        <v>1</v>
      </c>
      <c r="K32" s="5">
        <f>'Reported Count'!K32</f>
        <v>1</v>
      </c>
      <c r="L32" s="5">
        <f>'Reported Count'!L32</f>
        <v>1</v>
      </c>
      <c r="M32" s="5">
        <f>'Reported Count'!M32</f>
        <v>1</v>
      </c>
      <c r="N32" s="5">
        <f>'Reported Count'!N32</f>
        <v>1</v>
      </c>
      <c r="O32" s="5">
        <f>'Reported Count'!O32</f>
        <v>1</v>
      </c>
      <c r="P32" s="5">
        <f>'Reported Count'!P32</f>
        <v>1</v>
      </c>
      <c r="Q32" s="5">
        <f>'Reported Count'!Q32</f>
        <v>1</v>
      </c>
      <c r="R32" s="5">
        <f>'Reported Count'!R32</f>
        <v>1</v>
      </c>
      <c r="S32" s="5">
        <f>'Reported Count'!S32</f>
        <v>1</v>
      </c>
      <c r="T32" s="5">
        <f>'Reported Count'!T32</f>
        <v>1</v>
      </c>
    </row>
    <row r="33" spans="1:19">
      <c r="A33" s="4" t="s">
        <v>103</v>
      </c>
      <c r="B33" s="5">
        <f>'Reported Count'!B33</f>
        <v>1.0386</v>
      </c>
      <c r="C33" s="5">
        <f>'Reported Count'!C33</f>
        <v>1</v>
      </c>
      <c r="D33" s="5">
        <f>'Reported Count'!D33</f>
        <v>1</v>
      </c>
      <c r="E33" s="5">
        <f>'Reported Count'!E33</f>
        <v>1</v>
      </c>
      <c r="F33" s="5">
        <f>'Reported Count'!F33</f>
        <v>1</v>
      </c>
      <c r="G33" s="5">
        <f>'Reported Count'!G33</f>
        <v>1</v>
      </c>
      <c r="H33" s="5">
        <f>'Reported Count'!H33</f>
        <v>1</v>
      </c>
      <c r="I33" s="5">
        <f>'Reported Count'!I33</f>
        <v>1</v>
      </c>
      <c r="J33" s="5">
        <f>'Reported Count'!J33</f>
        <v>1</v>
      </c>
      <c r="K33" s="5">
        <f>'Reported Count'!K33</f>
        <v>1</v>
      </c>
      <c r="L33" s="5">
        <f>'Reported Count'!L33</f>
        <v>1</v>
      </c>
      <c r="M33" s="5">
        <f>'Reported Count'!M33</f>
        <v>1</v>
      </c>
      <c r="N33" s="5">
        <f>'Reported Count'!N33</f>
        <v>1</v>
      </c>
      <c r="O33" s="5">
        <f>'Reported Count'!O33</f>
        <v>1</v>
      </c>
      <c r="P33" s="5">
        <f>'Reported Count'!P33</f>
        <v>1</v>
      </c>
      <c r="Q33" s="5">
        <f>'Reported Count'!Q33</f>
        <v>1</v>
      </c>
      <c r="R33" s="5">
        <f>'Reported Count'!R33</f>
        <v>1</v>
      </c>
      <c r="S33" s="5">
        <f>'Reported Count'!S33</f>
        <v>1</v>
      </c>
    </row>
    <row r="34" spans="1:19">
      <c r="A34" s="4" t="s">
        <v>104</v>
      </c>
      <c r="B34" s="5">
        <f>'Reported Count'!B34</f>
        <v>1.0434</v>
      </c>
      <c r="C34" s="5">
        <f>'Reported Count'!C34</f>
        <v>1</v>
      </c>
      <c r="D34" s="5">
        <f>'Reported Count'!D34</f>
        <v>1</v>
      </c>
      <c r="E34" s="5">
        <f>'Reported Count'!E34</f>
        <v>1</v>
      </c>
      <c r="F34" s="5">
        <f>'Reported Count'!F34</f>
        <v>1</v>
      </c>
      <c r="G34" s="5">
        <f>'Reported Count'!G34</f>
        <v>1</v>
      </c>
      <c r="H34" s="5">
        <f>'Reported Count'!H34</f>
        <v>1</v>
      </c>
      <c r="I34" s="5">
        <f>'Reported Count'!I34</f>
        <v>1</v>
      </c>
      <c r="J34" s="5">
        <f>'Reported Count'!J34</f>
        <v>1</v>
      </c>
      <c r="K34" s="5">
        <f>'Reported Count'!K34</f>
        <v>1</v>
      </c>
      <c r="L34" s="5">
        <f>'Reported Count'!L34</f>
        <v>1</v>
      </c>
      <c r="M34" s="5">
        <f>'Reported Count'!M34</f>
        <v>1</v>
      </c>
      <c r="N34" s="5">
        <f>'Reported Count'!N34</f>
        <v>1</v>
      </c>
      <c r="O34" s="5">
        <f>'Reported Count'!O34</f>
        <v>1</v>
      </c>
      <c r="P34" s="5">
        <f>'Reported Count'!P34</f>
        <v>1</v>
      </c>
      <c r="Q34" s="5">
        <f>'Reported Count'!Q34</f>
        <v>1</v>
      </c>
      <c r="R34" s="5">
        <f>'Reported Count'!R34</f>
        <v>1</v>
      </c>
    </row>
    <row r="35" spans="1:19">
      <c r="A35" s="4" t="s">
        <v>105</v>
      </c>
      <c r="B35" s="5">
        <f>'Reported Count'!B35</f>
        <v>1.0644</v>
      </c>
      <c r="C35" s="5">
        <f>'Reported Count'!C35</f>
        <v>1.004</v>
      </c>
      <c r="D35" s="5">
        <f>'Reported Count'!D35</f>
        <v>1</v>
      </c>
      <c r="E35" s="5">
        <f>'Reported Count'!E35</f>
        <v>1</v>
      </c>
      <c r="F35" s="5">
        <f>'Reported Count'!F35</f>
        <v>1</v>
      </c>
      <c r="G35" s="5">
        <f>'Reported Count'!G35</f>
        <v>1</v>
      </c>
      <c r="H35" s="5">
        <f>'Reported Count'!H35</f>
        <v>1</v>
      </c>
      <c r="I35" s="5">
        <f>'Reported Count'!I35</f>
        <v>1</v>
      </c>
      <c r="J35" s="5">
        <f>'Reported Count'!J35</f>
        <v>1</v>
      </c>
      <c r="K35" s="5">
        <f>'Reported Count'!K35</f>
        <v>1</v>
      </c>
      <c r="L35" s="5">
        <f>'Reported Count'!L35</f>
        <v>1</v>
      </c>
      <c r="M35" s="5">
        <f>'Reported Count'!M35</f>
        <v>1</v>
      </c>
      <c r="N35" s="5">
        <f>'Reported Count'!N35</f>
        <v>1</v>
      </c>
      <c r="O35" s="5">
        <f>'Reported Count'!O35</f>
        <v>1</v>
      </c>
      <c r="P35" s="5">
        <f>'Reported Count'!P35</f>
        <v>1</v>
      </c>
      <c r="Q35" s="5">
        <f>'Reported Count'!Q35</f>
        <v>1</v>
      </c>
    </row>
    <row r="36" spans="1:19">
      <c r="A36" s="4" t="s">
        <v>106</v>
      </c>
      <c r="B36" s="5">
        <f>'Reported Count'!B36</f>
        <v>1.0474</v>
      </c>
      <c r="C36" s="5">
        <f>'Reported Count'!C36</f>
        <v>1.0041</v>
      </c>
      <c r="D36" s="5">
        <f>'Reported Count'!D36</f>
        <v>1</v>
      </c>
      <c r="E36" s="5">
        <f>'Reported Count'!E36</f>
        <v>1</v>
      </c>
      <c r="F36" s="5">
        <f>'Reported Count'!F36</f>
        <v>1</v>
      </c>
      <c r="G36" s="5">
        <f>'Reported Count'!G36</f>
        <v>1</v>
      </c>
      <c r="H36" s="5">
        <f>'Reported Count'!H36</f>
        <v>1</v>
      </c>
      <c r="I36" s="5">
        <f>'Reported Count'!I36</f>
        <v>1</v>
      </c>
      <c r="J36" s="5">
        <f>'Reported Count'!J36</f>
        <v>1</v>
      </c>
      <c r="K36" s="5">
        <f>'Reported Count'!K36</f>
        <v>1</v>
      </c>
      <c r="L36" s="5">
        <f>'Reported Count'!L36</f>
        <v>1</v>
      </c>
      <c r="M36" s="5">
        <f>'Reported Count'!M36</f>
        <v>1</v>
      </c>
      <c r="N36" s="5">
        <f>'Reported Count'!N36</f>
        <v>1</v>
      </c>
      <c r="O36" s="5">
        <f>'Reported Count'!O36</f>
        <v>1</v>
      </c>
      <c r="P36" s="5">
        <f>'Reported Count'!P36</f>
        <v>1</v>
      </c>
    </row>
    <row r="37" spans="1:19">
      <c r="A37" s="4" t="s">
        <v>107</v>
      </c>
      <c r="B37" s="5">
        <f>'Reported Count'!B37</f>
        <v>1.0457</v>
      </c>
      <c r="C37" s="5">
        <f>'Reported Count'!C37</f>
        <v>1</v>
      </c>
      <c r="D37" s="5">
        <f>'Reported Count'!D37</f>
        <v>1</v>
      </c>
      <c r="E37" s="5">
        <f>'Reported Count'!E37</f>
        <v>1</v>
      </c>
      <c r="F37" s="5">
        <f>'Reported Count'!F37</f>
        <v>1</v>
      </c>
      <c r="G37" s="5">
        <f>'Reported Count'!G37</f>
        <v>1</v>
      </c>
      <c r="H37" s="5">
        <f>'Reported Count'!H37</f>
        <v>1</v>
      </c>
      <c r="I37" s="5">
        <f>'Reported Count'!I37</f>
        <v>1</v>
      </c>
      <c r="J37" s="5">
        <f>'Reported Count'!J37</f>
        <v>1</v>
      </c>
      <c r="K37" s="5">
        <f>'Reported Count'!K37</f>
        <v>1</v>
      </c>
      <c r="L37" s="5">
        <f>'Reported Count'!L37</f>
        <v>1</v>
      </c>
      <c r="M37" s="5">
        <f>'Reported Count'!M37</f>
        <v>1</v>
      </c>
      <c r="N37" s="5">
        <f>'Reported Count'!N37</f>
        <v>1</v>
      </c>
      <c r="O37" s="5">
        <f>'Reported Count'!O37</f>
        <v>1</v>
      </c>
    </row>
    <row r="38" spans="1:19">
      <c r="A38" s="4" t="s">
        <v>108</v>
      </c>
      <c r="B38" s="5">
        <f>'Reported Count'!B38</f>
        <v>1</v>
      </c>
      <c r="C38" s="5">
        <f>'Reported Count'!C38</f>
        <v>1</v>
      </c>
      <c r="D38" s="5">
        <f>'Reported Count'!D38</f>
        <v>1</v>
      </c>
      <c r="E38" s="5">
        <f>'Reported Count'!E38</f>
        <v>1</v>
      </c>
      <c r="F38" s="5">
        <f>'Reported Count'!F38</f>
        <v>1</v>
      </c>
      <c r="G38" s="5">
        <f>'Reported Count'!G38</f>
        <v>1</v>
      </c>
      <c r="H38" s="5">
        <f>'Reported Count'!H38</f>
        <v>1</v>
      </c>
      <c r="I38" s="5">
        <f>'Reported Count'!I38</f>
        <v>1</v>
      </c>
      <c r="J38" s="5">
        <f>'Reported Count'!J38</f>
        <v>1</v>
      </c>
      <c r="K38" s="5">
        <f>'Reported Count'!K38</f>
        <v>1</v>
      </c>
      <c r="L38" s="5">
        <f>'Reported Count'!L38</f>
        <v>1</v>
      </c>
      <c r="M38" s="5">
        <f>'Reported Count'!M38</f>
        <v>1</v>
      </c>
      <c r="N38" s="5">
        <f>'Reported Count'!N38</f>
        <v>1</v>
      </c>
    </row>
    <row r="39" spans="1:19">
      <c r="A39" s="4" t="s">
        <v>109</v>
      </c>
      <c r="B39" s="5">
        <f>'Reported Count'!B39</f>
        <v>1.0645</v>
      </c>
      <c r="C39" s="5">
        <f>'Reported Count'!C39</f>
        <v>1</v>
      </c>
      <c r="D39" s="5">
        <f>'Reported Count'!D39</f>
        <v>1</v>
      </c>
      <c r="E39" s="5">
        <f>'Reported Count'!E39</f>
        <v>1</v>
      </c>
      <c r="F39" s="5">
        <f>'Reported Count'!F39</f>
        <v>1</v>
      </c>
      <c r="G39" s="5">
        <f>'Reported Count'!G39</f>
        <v>1</v>
      </c>
      <c r="H39" s="5">
        <f>'Reported Count'!H39</f>
        <v>1</v>
      </c>
      <c r="I39" s="5">
        <f>'Reported Count'!I39</f>
        <v>1</v>
      </c>
      <c r="J39" s="5">
        <f>'Reported Count'!J39</f>
        <v>1</v>
      </c>
      <c r="K39" s="5">
        <f>'Reported Count'!K39</f>
        <v>1</v>
      </c>
      <c r="L39" s="5">
        <f>'Reported Count'!L39</f>
        <v>1</v>
      </c>
      <c r="M39" s="5">
        <f>'Reported Count'!M39</f>
        <v>1</v>
      </c>
    </row>
    <row r="40" spans="1:19">
      <c r="A40" s="4" t="s">
        <v>110</v>
      </c>
      <c r="B40" s="5">
        <f>'Reported Count'!B40</f>
        <v>1.028</v>
      </c>
      <c r="C40" s="5">
        <f>'Reported Count'!C40</f>
        <v>1</v>
      </c>
      <c r="D40" s="5">
        <f>'Reported Count'!D40</f>
        <v>1.0045</v>
      </c>
      <c r="E40" s="5">
        <f>'Reported Count'!E40</f>
        <v>1</v>
      </c>
      <c r="F40" s="5">
        <f>'Reported Count'!F40</f>
        <v>1</v>
      </c>
      <c r="G40" s="5">
        <f>'Reported Count'!G40</f>
        <v>1</v>
      </c>
      <c r="H40" s="5">
        <f>'Reported Count'!H40</f>
        <v>1</v>
      </c>
      <c r="I40" s="5">
        <f>'Reported Count'!I40</f>
        <v>1</v>
      </c>
      <c r="J40" s="5">
        <f>'Reported Count'!J40</f>
        <v>1</v>
      </c>
      <c r="K40" s="5">
        <f>'Reported Count'!K40</f>
        <v>1</v>
      </c>
      <c r="L40" s="5">
        <f>'Reported Count'!L40</f>
        <v>1</v>
      </c>
    </row>
    <row r="41" spans="1:19">
      <c r="A41" s="4" t="s">
        <v>111</v>
      </c>
      <c r="B41" s="5">
        <f>'Reported Count'!B41</f>
        <v>1.0456</v>
      </c>
      <c r="C41" s="5">
        <f>'Reported Count'!C41</f>
        <v>1.0029</v>
      </c>
      <c r="D41" s="5">
        <f>'Reported Count'!D41</f>
        <v>1</v>
      </c>
      <c r="E41" s="5">
        <f>'Reported Count'!E41</f>
        <v>1</v>
      </c>
      <c r="F41" s="5">
        <f>'Reported Count'!F41</f>
        <v>1</v>
      </c>
      <c r="G41" s="5">
        <f>'Reported Count'!G41</f>
        <v>1</v>
      </c>
      <c r="H41" s="5">
        <f>'Reported Count'!H41</f>
        <v>1</v>
      </c>
      <c r="I41" s="5">
        <f>'Reported Count'!I41</f>
        <v>1</v>
      </c>
      <c r="J41" s="5">
        <f>'Reported Count'!J41</f>
        <v>1</v>
      </c>
      <c r="K41" s="5">
        <f>'Reported Count'!K41</f>
        <v>1</v>
      </c>
    </row>
    <row r="42" spans="1:19">
      <c r="A42" s="4" t="s">
        <v>112</v>
      </c>
      <c r="B42" s="5">
        <f>'Reported Count'!B42</f>
        <v>1.0328</v>
      </c>
      <c r="C42" s="5">
        <f>'Reported Count'!C42</f>
        <v>1.0159</v>
      </c>
      <c r="D42" s="5">
        <f>'Reported Count'!D42</f>
        <v>1</v>
      </c>
      <c r="E42" s="5">
        <f>'Reported Count'!E42</f>
        <v>1</v>
      </c>
      <c r="F42" s="5">
        <f>'Reported Count'!F42</f>
        <v>1</v>
      </c>
      <c r="G42" s="5">
        <f>'Reported Count'!G42</f>
        <v>1</v>
      </c>
      <c r="H42" s="5">
        <f>'Reported Count'!H42</f>
        <v>1</v>
      </c>
      <c r="I42" s="5">
        <f>'Reported Count'!I42</f>
        <v>1</v>
      </c>
      <c r="J42" s="5">
        <f>'Reported Count'!J42</f>
        <v>0.9883</v>
      </c>
    </row>
    <row r="43" spans="1:19">
      <c r="A43" s="4" t="s">
        <v>113</v>
      </c>
      <c r="B43" s="5">
        <f>'Reported Count'!B43</f>
        <v>1.0802</v>
      </c>
      <c r="C43" s="5">
        <f>'Reported Count'!C43</f>
        <v>1.0459</v>
      </c>
      <c r="D43" s="5">
        <f>'Reported Count'!D43</f>
        <v>1</v>
      </c>
      <c r="E43" s="5">
        <f>'Reported Count'!E43</f>
        <v>1</v>
      </c>
      <c r="F43" s="5">
        <f>'Reported Count'!F43</f>
        <v>1</v>
      </c>
      <c r="G43" s="5">
        <f>'Reported Count'!G43</f>
        <v>1</v>
      </c>
      <c r="H43" s="5">
        <f>'Reported Count'!H43</f>
        <v>1</v>
      </c>
      <c r="I43" s="5">
        <f>'Reported Count'!I43</f>
        <v>1</v>
      </c>
    </row>
    <row r="44" spans="1:19">
      <c r="A44" s="4" t="s">
        <v>114</v>
      </c>
      <c r="B44" s="5">
        <f>'Reported Count'!B44</f>
        <v>1.1244</v>
      </c>
      <c r="C44" s="5">
        <f>'Reported Count'!C44</f>
        <v>1.0043</v>
      </c>
      <c r="D44" s="5">
        <f>'Reported Count'!D44</f>
        <v>1.0042</v>
      </c>
      <c r="E44" s="5">
        <f>'Reported Count'!E44</f>
        <v>0.9958</v>
      </c>
      <c r="F44" s="5">
        <f>'Reported Count'!F44</f>
        <v>1</v>
      </c>
      <c r="G44" s="5">
        <f>'Reported Count'!G44</f>
        <v>1</v>
      </c>
      <c r="H44" s="5">
        <f>'Reported Count'!H44</f>
        <v>0.9958</v>
      </c>
    </row>
    <row r="45" spans="1:19">
      <c r="A45" s="4" t="s">
        <v>115</v>
      </c>
      <c r="B45" s="5">
        <f>'Reported Count'!B45</f>
        <v>1.1233</v>
      </c>
      <c r="C45" s="5">
        <f>'Reported Count'!C45</f>
        <v>1</v>
      </c>
      <c r="D45" s="5">
        <f>'Reported Count'!D45</f>
        <v>1</v>
      </c>
      <c r="E45" s="5">
        <f>'Reported Count'!E45</f>
        <v>1.0041</v>
      </c>
      <c r="F45" s="5">
        <f>'Reported Count'!F45</f>
        <v>1</v>
      </c>
      <c r="G45" s="5">
        <f>'Reported Count'!G45</f>
        <v>1</v>
      </c>
    </row>
    <row r="46" spans="1:19">
      <c r="A46" s="4" t="s">
        <v>116</v>
      </c>
      <c r="B46" s="5">
        <f>'Reported Count'!B46</f>
        <v>1.1429</v>
      </c>
      <c r="C46" s="5">
        <f>'Reported Count'!C46</f>
        <v>1</v>
      </c>
      <c r="D46" s="5">
        <f>'Reported Count'!D46</f>
        <v>1</v>
      </c>
      <c r="E46" s="5">
        <f>'Reported Count'!E46</f>
        <v>1</v>
      </c>
      <c r="F46" s="5">
        <f>'Reported Count'!F46</f>
        <v>0.9963</v>
      </c>
    </row>
    <row r="47" spans="1:19">
      <c r="A47" s="4" t="s">
        <v>117</v>
      </c>
      <c r="B47" s="5">
        <f>'Reported Count'!B47</f>
        <v>1.0604</v>
      </c>
      <c r="C47" s="5">
        <f>'Reported Count'!C47</f>
        <v>1</v>
      </c>
      <c r="D47" s="5">
        <f>'Reported Count'!D47</f>
        <v>1</v>
      </c>
      <c r="E47" s="5">
        <f>'Reported Count'!E47</f>
        <v>1</v>
      </c>
    </row>
    <row r="48" spans="1:19">
      <c r="A48" s="4" t="s">
        <v>118</v>
      </c>
      <c r="B48" s="5">
        <f>'Reported Count'!B48</f>
        <v>1.1416</v>
      </c>
      <c r="C48" s="5">
        <f>'Reported Count'!C48</f>
        <v>1</v>
      </c>
      <c r="D48" s="5">
        <f>'Reported Count'!D48</f>
        <v>1</v>
      </c>
    </row>
    <row r="49" spans="1:25">
      <c r="A49" s="4" t="s">
        <v>119</v>
      </c>
      <c r="B49" s="5">
        <f>'Reported Count'!B49</f>
        <v>1.1414</v>
      </c>
      <c r="C49" s="5">
        <f>'Reported Count'!C49</f>
        <v>1</v>
      </c>
    </row>
    <row r="50" spans="1:25">
      <c r="A50" s="4" t="s">
        <v>120</v>
      </c>
      <c r="B50" s="5">
        <f>'Reported Count'!B50</f>
        <v>1.1159</v>
      </c>
    </row>
    <row r="51" spans="1:25">
      <c r="A51" s="4" t="s">
        <v>121</v>
      </c>
    </row>
    <row r="52" spans="1:25">
      <c r="A52" s="4"/>
    </row>
    <row r="53" spans="1:25">
      <c r="A53" s="4" t="s">
        <v>145</v>
      </c>
      <c r="B53" t="s">
        <v>122</v>
      </c>
      <c r="C53" t="s">
        <v>123</v>
      </c>
      <c r="D53" t="s">
        <v>124</v>
      </c>
      <c r="E53" t="s">
        <v>125</v>
      </c>
      <c r="F53" t="s">
        <v>126</v>
      </c>
      <c r="G53" t="s">
        <v>127</v>
      </c>
      <c r="H53" t="s">
        <v>128</v>
      </c>
      <c r="I53" t="s">
        <v>129</v>
      </c>
      <c r="J53" t="s">
        <v>130</v>
      </c>
      <c r="K53" t="s">
        <v>131</v>
      </c>
      <c r="L53" t="s">
        <v>132</v>
      </c>
      <c r="M53" t="s">
        <v>133</v>
      </c>
      <c r="N53" t="s">
        <v>134</v>
      </c>
      <c r="O53" t="s">
        <v>135</v>
      </c>
      <c r="P53" t="s">
        <v>136</v>
      </c>
      <c r="Q53" t="s">
        <v>137</v>
      </c>
      <c r="R53" t="s">
        <v>138</v>
      </c>
      <c r="S53" t="s">
        <v>139</v>
      </c>
      <c r="T53" t="s">
        <v>140</v>
      </c>
      <c r="U53" t="s">
        <v>141</v>
      </c>
      <c r="V53" t="s">
        <v>142</v>
      </c>
      <c r="W53" t="s">
        <v>143</v>
      </c>
      <c r="X53" t="s">
        <v>144</v>
      </c>
      <c r="Y53" t="s">
        <v>146</v>
      </c>
    </row>
    <row r="54" spans="1:25">
      <c r="A54" s="4" t="s">
        <v>147</v>
      </c>
      <c r="B54" s="5">
        <f>'Reported Count'!B54</f>
        <v>1.0679</v>
      </c>
      <c r="C54" s="5">
        <f>'Reported Count'!C54</f>
        <v>1.0037</v>
      </c>
      <c r="D54" s="5">
        <f>'Reported Count'!D54</f>
        <v>1.0005</v>
      </c>
      <c r="E54" s="5">
        <f>'Reported Count'!E54</f>
        <v>0.9999</v>
      </c>
      <c r="F54" s="5">
        <f>'Reported Count'!F54</f>
        <v>1.0012</v>
      </c>
      <c r="G54" s="5">
        <f>'Reported Count'!G54</f>
        <v>1.0015</v>
      </c>
      <c r="H54" s="5">
        <f>'Reported Count'!H54</f>
        <v>0.9998</v>
      </c>
      <c r="I54" s="5">
        <f>'Reported Count'!I54</f>
        <v>1</v>
      </c>
      <c r="J54" s="5">
        <f>'Reported Count'!J54</f>
        <v>0.9992</v>
      </c>
      <c r="K54" s="5">
        <f>'Reported Count'!K54</f>
        <v>1</v>
      </c>
      <c r="L54" s="5">
        <f>'Reported Count'!L54</f>
        <v>1</v>
      </c>
      <c r="M54" s="5">
        <f>'Reported Count'!M54</f>
        <v>1</v>
      </c>
      <c r="N54" s="5">
        <f>'Reported Count'!N54</f>
        <v>1</v>
      </c>
      <c r="O54" s="5">
        <f>'Reported Count'!O54</f>
        <v>1</v>
      </c>
      <c r="P54" s="5">
        <f>'Reported Count'!P54</f>
        <v>1</v>
      </c>
      <c r="Q54" s="5">
        <f>'Reported Count'!Q54</f>
        <v>1</v>
      </c>
      <c r="R54" s="5">
        <f>'Reported Count'!R54</f>
        <v>1</v>
      </c>
      <c r="S54" s="5">
        <f>'Reported Count'!S54</f>
        <v>1</v>
      </c>
      <c r="T54" s="5">
        <f>'Reported Count'!T54</f>
        <v>1</v>
      </c>
      <c r="U54" s="5">
        <f>'Reported Count'!U54</f>
        <v>1</v>
      </c>
      <c r="V54" s="5">
        <f>'Reported Count'!V54</f>
        <v>1</v>
      </c>
      <c r="W54" s="5">
        <f>'Reported Count'!W54</f>
        <v>1</v>
      </c>
      <c r="X54" s="5">
        <f>'Reported Count'!X54</f>
        <v>1</v>
      </c>
    </row>
    <row r="55" spans="1:25">
      <c r="A55" s="4" t="s">
        <v>148</v>
      </c>
      <c r="B55" s="5">
        <f>'Reported Count'!B55</f>
        <v>1.0617</v>
      </c>
      <c r="C55" s="5">
        <f>'Reported Count'!C55</f>
        <v>1.0033</v>
      </c>
      <c r="D55" s="5">
        <f>'Reported Count'!D55</f>
        <v>1.0004</v>
      </c>
      <c r="E55" s="5">
        <f>'Reported Count'!E55</f>
        <v>0.9998</v>
      </c>
      <c r="F55" s="5">
        <f>'Reported Count'!F55</f>
        <v>1.0019</v>
      </c>
      <c r="G55" s="5">
        <f>'Reported Count'!G55</f>
        <v>1.0024</v>
      </c>
      <c r="H55" s="5">
        <f>'Reported Count'!H55</f>
        <v>0.9998</v>
      </c>
      <c r="I55" s="5">
        <f>'Reported Count'!I55</f>
        <v>1</v>
      </c>
      <c r="J55" s="5">
        <f>'Reported Count'!J55</f>
        <v>0.9994</v>
      </c>
      <c r="K55" s="5">
        <f>'Reported Count'!K55</f>
        <v>1</v>
      </c>
      <c r="L55" s="5">
        <f>'Reported Count'!L55</f>
        <v>1</v>
      </c>
      <c r="M55" s="5">
        <f>'Reported Count'!M55</f>
        <v>1</v>
      </c>
      <c r="N55" s="5">
        <f>'Reported Count'!N55</f>
        <v>1</v>
      </c>
      <c r="O55" s="5">
        <f>'Reported Count'!O55</f>
        <v>1</v>
      </c>
      <c r="P55" s="5">
        <f>'Reported Count'!P55</f>
        <v>1</v>
      </c>
      <c r="Q55" s="5">
        <f>'Reported Count'!Q55</f>
        <v>1</v>
      </c>
      <c r="R55" s="5">
        <f>'Reported Count'!R55</f>
        <v>1</v>
      </c>
      <c r="S55" s="5">
        <f>'Reported Count'!S55</f>
        <v>1</v>
      </c>
      <c r="T55" s="5">
        <f>'Reported Count'!T55</f>
        <v>1</v>
      </c>
      <c r="U55" s="5">
        <f>'Reported Count'!U55</f>
        <v>1</v>
      </c>
      <c r="V55" s="5">
        <f>'Reported Count'!V55</f>
        <v>1</v>
      </c>
      <c r="W55" s="5">
        <f>'Reported Count'!W55</f>
        <v>1</v>
      </c>
      <c r="X55" s="5">
        <f>'Reported Count'!X55</f>
        <v>1</v>
      </c>
    </row>
    <row r="56" spans="1:25">
      <c r="A56" s="4" t="s">
        <v>149</v>
      </c>
      <c r="B56" s="5">
        <f>'Reported Count'!B56</f>
        <v>1.0676</v>
      </c>
      <c r="C56" s="5">
        <f>'Reported Count'!C56</f>
        <v>1.0018</v>
      </c>
      <c r="D56" s="5">
        <f>'Reported Count'!D56</f>
        <v>1.0004</v>
      </c>
      <c r="E56" s="5">
        <f>'Reported Count'!E56</f>
        <v>0.9999</v>
      </c>
      <c r="F56" s="5">
        <f>'Reported Count'!F56</f>
        <v>1</v>
      </c>
      <c r="G56" s="5">
        <f>'Reported Count'!G56</f>
        <v>1.0002</v>
      </c>
      <c r="H56" s="5">
        <f>'Reported Count'!H56</f>
        <v>1</v>
      </c>
      <c r="I56" s="5">
        <f>'Reported Count'!I56</f>
        <v>1</v>
      </c>
      <c r="J56" s="5">
        <f>'Reported Count'!J56</f>
        <v>1</v>
      </c>
      <c r="K56" s="5">
        <f>'Reported Count'!K56</f>
        <v>1</v>
      </c>
      <c r="L56" s="5">
        <f>'Reported Count'!L56</f>
        <v>1</v>
      </c>
      <c r="M56" s="5">
        <f>'Reported Count'!M56</f>
        <v>1</v>
      </c>
      <c r="N56" s="5">
        <f>'Reported Count'!N56</f>
        <v>1</v>
      </c>
      <c r="O56" s="5">
        <f>'Reported Count'!O56</f>
        <v>1</v>
      </c>
      <c r="P56" s="5">
        <f>'Reported Count'!P56</f>
        <v>1</v>
      </c>
      <c r="Q56" s="5">
        <f>'Reported Count'!Q56</f>
        <v>1</v>
      </c>
      <c r="R56" s="5">
        <f>'Reported Count'!R56</f>
        <v>1</v>
      </c>
      <c r="S56" s="5">
        <f>'Reported Count'!S56</f>
        <v>1</v>
      </c>
      <c r="T56" s="5">
        <f>'Reported Count'!T56</f>
        <v>1</v>
      </c>
      <c r="U56" s="5">
        <f>'Reported Count'!U56</f>
        <v>1</v>
      </c>
      <c r="V56" s="5">
        <f>'Reported Count'!V56</f>
        <v>1</v>
      </c>
      <c r="W56" s="5">
        <f>'Reported Count'!W56</f>
        <v>1</v>
      </c>
      <c r="X56" s="5">
        <f>'Reported Count'!X56</f>
        <v>1</v>
      </c>
    </row>
    <row r="57" spans="1:25">
      <c r="A57" s="4" t="s">
        <v>150</v>
      </c>
      <c r="B57" s="5">
        <f>'Reported Count'!B57</f>
        <v>1.133</v>
      </c>
      <c r="C57" s="5">
        <f>'Reported Count'!C57</f>
        <v>1</v>
      </c>
      <c r="D57" s="5">
        <f>'Reported Count'!D57</f>
        <v>1</v>
      </c>
      <c r="E57" s="5">
        <f>'Reported Count'!E57</f>
        <v>1.0014</v>
      </c>
      <c r="F57" s="5">
        <f>'Reported Count'!F57</f>
        <v>0.9988</v>
      </c>
      <c r="G57" s="5">
        <f>'Reported Count'!G57</f>
        <v>1</v>
      </c>
      <c r="H57" s="5">
        <f>'Reported Count'!H57</f>
        <v>0.9986</v>
      </c>
      <c r="I57" s="5">
        <f>'Reported Count'!I57</f>
        <v>1</v>
      </c>
      <c r="J57" s="5">
        <f>'Reported Count'!J57</f>
        <v>0.9961</v>
      </c>
      <c r="K57" s="5">
        <f>'Reported Count'!K57</f>
        <v>1</v>
      </c>
      <c r="L57" s="5">
        <f>'Reported Count'!L57</f>
        <v>1</v>
      </c>
      <c r="M57" s="5">
        <f>'Reported Count'!M57</f>
        <v>1</v>
      </c>
      <c r="N57" s="5">
        <f>'Reported Count'!N57</f>
        <v>1</v>
      </c>
      <c r="O57" s="5">
        <f>'Reported Count'!O57</f>
        <v>1</v>
      </c>
      <c r="P57" s="5">
        <f>'Reported Count'!P57</f>
        <v>1</v>
      </c>
      <c r="Q57" s="5">
        <f>'Reported Count'!Q57</f>
        <v>1</v>
      </c>
      <c r="R57" s="5">
        <f>'Reported Count'!R57</f>
        <v>1</v>
      </c>
      <c r="S57" s="5">
        <f>'Reported Count'!S57</f>
        <v>1</v>
      </c>
      <c r="T57" s="5">
        <f>'Reported Count'!T57</f>
        <v>1</v>
      </c>
      <c r="U57" s="5">
        <f>'Reported Count'!U57</f>
        <v>1</v>
      </c>
      <c r="V57" s="5">
        <f>'Reported Count'!V57</f>
        <v>1</v>
      </c>
      <c r="W57" s="5">
        <f>'Reported Count'!W57</f>
        <v>1</v>
      </c>
      <c r="X57" s="5">
        <f>'Reported Count'!X57</f>
        <v>1</v>
      </c>
    </row>
    <row r="58" spans="1:25">
      <c r="A58" s="4" t="s">
        <v>151</v>
      </c>
      <c r="B58" s="5">
        <f>'Reported Count'!B58</f>
        <v>1.133</v>
      </c>
      <c r="C58" s="5">
        <f>'Reported Count'!C58</f>
        <v>1</v>
      </c>
      <c r="D58" s="5">
        <f>'Reported Count'!D58</f>
        <v>1</v>
      </c>
      <c r="E58" s="5">
        <f>'Reported Count'!E58</f>
        <v>1.0013</v>
      </c>
      <c r="F58" s="5">
        <f>'Reported Count'!F58</f>
        <v>0.9987</v>
      </c>
      <c r="G58" s="5">
        <f>'Reported Count'!G58</f>
        <v>1</v>
      </c>
      <c r="H58" s="5">
        <f>'Reported Count'!H58</f>
        <v>0.9987</v>
      </c>
      <c r="I58" s="5">
        <f>'Reported Count'!I58</f>
        <v>1</v>
      </c>
      <c r="J58" s="5">
        <f>'Reported Count'!J58</f>
        <v>0.9964</v>
      </c>
      <c r="K58" s="5">
        <f>'Reported Count'!K58</f>
        <v>1</v>
      </c>
      <c r="L58" s="5">
        <f>'Reported Count'!L58</f>
        <v>1</v>
      </c>
      <c r="M58" s="5">
        <f>'Reported Count'!M58</f>
        <v>1</v>
      </c>
      <c r="N58" s="5">
        <f>'Reported Count'!N58</f>
        <v>1</v>
      </c>
      <c r="O58" s="5">
        <f>'Reported Count'!O58</f>
        <v>1</v>
      </c>
      <c r="P58" s="5">
        <f>'Reported Count'!P58</f>
        <v>1</v>
      </c>
      <c r="Q58" s="5">
        <f>'Reported Count'!Q58</f>
        <v>1</v>
      </c>
      <c r="R58" s="5">
        <f>'Reported Count'!R58</f>
        <v>1</v>
      </c>
      <c r="S58" s="5">
        <f>'Reported Count'!S58</f>
        <v>1</v>
      </c>
      <c r="T58" s="5">
        <f>'Reported Count'!T58</f>
        <v>1</v>
      </c>
      <c r="U58" s="5">
        <f>'Reported Count'!U58</f>
        <v>1</v>
      </c>
      <c r="V58" s="5">
        <f>'Reported Count'!V58</f>
        <v>1</v>
      </c>
      <c r="W58" s="5">
        <f>'Reported Count'!W58</f>
        <v>1</v>
      </c>
      <c r="X58" s="5">
        <f>'Reported Count'!X58</f>
        <v>1</v>
      </c>
    </row>
    <row r="59" spans="1:25">
      <c r="A59" s="4" t="s">
        <v>152</v>
      </c>
      <c r="B59" s="5">
        <f>'Reported Count'!B59</f>
        <v>1.1414</v>
      </c>
      <c r="C59" s="5">
        <f>'Reported Count'!C59</f>
        <v>1</v>
      </c>
      <c r="D59" s="5">
        <f>'Reported Count'!D59</f>
        <v>1</v>
      </c>
      <c r="E59" s="5">
        <f>'Reported Count'!E59</f>
        <v>1</v>
      </c>
      <c r="F59" s="5">
        <f>'Reported Count'!F59</f>
        <v>1</v>
      </c>
      <c r="G59" s="5">
        <f>'Reported Count'!G59</f>
        <v>1</v>
      </c>
      <c r="H59" s="5">
        <f>'Reported Count'!H59</f>
        <v>1</v>
      </c>
      <c r="I59" s="5">
        <f>'Reported Count'!I59</f>
        <v>1</v>
      </c>
      <c r="J59" s="5">
        <f>'Reported Count'!J59</f>
        <v>1</v>
      </c>
      <c r="K59" s="5">
        <f>'Reported Count'!K59</f>
        <v>1</v>
      </c>
      <c r="L59" s="5">
        <f>'Reported Count'!L59</f>
        <v>1</v>
      </c>
      <c r="M59" s="5">
        <f>'Reported Count'!M59</f>
        <v>1</v>
      </c>
      <c r="N59" s="5">
        <f>'Reported Count'!N59</f>
        <v>1</v>
      </c>
      <c r="O59" s="5">
        <f>'Reported Count'!O59</f>
        <v>1</v>
      </c>
      <c r="P59" s="5">
        <f>'Reported Count'!P59</f>
        <v>1</v>
      </c>
      <c r="Q59" s="5">
        <f>'Reported Count'!Q59</f>
        <v>1</v>
      </c>
      <c r="R59" s="5">
        <f>'Reported Count'!R59</f>
        <v>1</v>
      </c>
      <c r="S59" s="5">
        <f>'Reported Count'!S59</f>
        <v>1</v>
      </c>
      <c r="T59" s="5">
        <f>'Reported Count'!T59</f>
        <v>1</v>
      </c>
      <c r="U59" s="5">
        <f>'Reported Count'!U59</f>
        <v>1</v>
      </c>
      <c r="V59" s="5">
        <f>'Reported Count'!V59</f>
        <v>1</v>
      </c>
      <c r="W59" s="5">
        <f>'Reported Count'!W59</f>
        <v>1</v>
      </c>
      <c r="X59" s="5">
        <f>'Reported Count'!X59</f>
        <v>1</v>
      </c>
    </row>
    <row r="60" spans="1:25">
      <c r="A60" s="4" t="s">
        <v>153</v>
      </c>
      <c r="B60" s="5">
        <f>'Reported Count'!B60</f>
        <v>1.1204</v>
      </c>
      <c r="C60" s="5">
        <f>'Reported Count'!C60</f>
        <v>1</v>
      </c>
      <c r="D60" s="5">
        <f>'Reported Count'!D60</f>
        <v>1.0008</v>
      </c>
      <c r="E60" s="5">
        <f>'Reported Count'!E60</f>
        <v>1</v>
      </c>
      <c r="F60" s="5">
        <f>'Reported Count'!F60</f>
        <v>0.9993</v>
      </c>
      <c r="G60" s="5">
        <f>'Reported Count'!G60</f>
        <v>1</v>
      </c>
      <c r="H60" s="5">
        <f>'Reported Count'!H60</f>
        <v>0.9992</v>
      </c>
      <c r="I60" s="5">
        <f>'Reported Count'!I60</f>
        <v>1</v>
      </c>
      <c r="J60" s="5">
        <f>'Reported Count'!J60</f>
        <v>0.9977</v>
      </c>
      <c r="K60" s="5">
        <f>'Reported Count'!K60</f>
        <v>1</v>
      </c>
      <c r="L60" s="5">
        <f>'Reported Count'!L60</f>
        <v>1</v>
      </c>
      <c r="M60" s="5">
        <f>'Reported Count'!M60</f>
        <v>1</v>
      </c>
      <c r="N60" s="5">
        <f>'Reported Count'!N60</f>
        <v>1</v>
      </c>
      <c r="O60" s="5">
        <f>'Reported Count'!O60</f>
        <v>1</v>
      </c>
      <c r="P60" s="5">
        <f>'Reported Count'!P60</f>
        <v>1</v>
      </c>
      <c r="Q60" s="5">
        <f>'Reported Count'!Q60</f>
        <v>1</v>
      </c>
      <c r="R60" s="5">
        <f>'Reported Count'!R60</f>
        <v>1</v>
      </c>
      <c r="S60" s="5">
        <f>'Reported Count'!S60</f>
        <v>1</v>
      </c>
      <c r="T60" s="5">
        <f>'Reported Count'!T60</f>
        <v>1</v>
      </c>
      <c r="U60" s="5">
        <f>'Reported Count'!U60</f>
        <v>1</v>
      </c>
      <c r="V60" s="5">
        <f>'Reported Count'!V60</f>
        <v>1</v>
      </c>
      <c r="W60" s="5">
        <f>'Reported Count'!W60</f>
        <v>1</v>
      </c>
      <c r="X60" s="5">
        <f>'Reported Count'!X60</f>
        <v>1</v>
      </c>
    </row>
    <row r="61" spans="1:25">
      <c r="A61" s="4" t="s">
        <v>154</v>
      </c>
      <c r="B61" s="5">
        <f>'Reported Count'!B61</f>
        <v>1.118</v>
      </c>
      <c r="C61" s="5">
        <f>'Reported Count'!C61</f>
        <v>1</v>
      </c>
      <c r="D61" s="5">
        <f>'Reported Count'!D61</f>
        <v>1.0008</v>
      </c>
      <c r="E61" s="5">
        <f>'Reported Count'!E61</f>
        <v>1</v>
      </c>
      <c r="F61" s="5">
        <f>'Reported Count'!F61</f>
        <v>0.9992</v>
      </c>
      <c r="G61" s="5">
        <f>'Reported Count'!G61</f>
        <v>1</v>
      </c>
      <c r="H61" s="5">
        <f>'Reported Count'!H61</f>
        <v>0.9993</v>
      </c>
      <c r="I61" s="5">
        <f>'Reported Count'!I61</f>
        <v>1</v>
      </c>
      <c r="J61" s="5">
        <f>'Reported Count'!J61</f>
        <v>0.9977</v>
      </c>
      <c r="K61" s="5">
        <f>'Reported Count'!K61</f>
        <v>1</v>
      </c>
      <c r="L61" s="5">
        <f>'Reported Count'!L61</f>
        <v>1</v>
      </c>
      <c r="M61" s="5">
        <f>'Reported Count'!M61</f>
        <v>1</v>
      </c>
      <c r="N61" s="5">
        <f>'Reported Count'!N61</f>
        <v>1</v>
      </c>
      <c r="O61" s="5">
        <f>'Reported Count'!O61</f>
        <v>1</v>
      </c>
      <c r="P61" s="5">
        <f>'Reported Count'!P61</f>
        <v>1</v>
      </c>
      <c r="Q61" s="5">
        <f>'Reported Count'!Q61</f>
        <v>1</v>
      </c>
      <c r="R61" s="5">
        <f>'Reported Count'!R61</f>
        <v>1</v>
      </c>
      <c r="S61" s="5">
        <f>'Reported Count'!S61</f>
        <v>1</v>
      </c>
      <c r="T61" s="5">
        <f>'Reported Count'!T61</f>
        <v>1</v>
      </c>
      <c r="U61" s="5">
        <f>'Reported Count'!U61</f>
        <v>1</v>
      </c>
      <c r="V61" s="5">
        <f>'Reported Count'!V61</f>
        <v>1</v>
      </c>
      <c r="W61" s="5">
        <f>'Reported Count'!W61</f>
        <v>1</v>
      </c>
      <c r="X61" s="5">
        <f>'Reported Count'!X61</f>
        <v>1</v>
      </c>
    </row>
    <row r="62" spans="1:25">
      <c r="A62" s="4" t="s">
        <v>155</v>
      </c>
      <c r="B62" s="5">
        <f>'Reported Count'!B62</f>
        <v>1.133</v>
      </c>
      <c r="C62" s="5">
        <f>'Reported Count'!C62</f>
        <v>1</v>
      </c>
      <c r="D62" s="5">
        <f>'Reported Count'!D62</f>
        <v>1</v>
      </c>
      <c r="E62" s="5">
        <f>'Reported Count'!E62</f>
        <v>1</v>
      </c>
      <c r="F62" s="5">
        <f>'Reported Count'!F62</f>
        <v>1</v>
      </c>
      <c r="G62" s="5">
        <f>'Reported Count'!G62</f>
        <v>1</v>
      </c>
      <c r="H62" s="5">
        <f>'Reported Count'!H62</f>
        <v>1</v>
      </c>
      <c r="I62" s="5">
        <f>'Reported Count'!I62</f>
        <v>1</v>
      </c>
      <c r="J62" s="5">
        <f>'Reported Count'!J62</f>
        <v>1</v>
      </c>
      <c r="K62" s="5">
        <f>'Reported Count'!K62</f>
        <v>1</v>
      </c>
      <c r="L62" s="5">
        <f>'Reported Count'!L62</f>
        <v>1</v>
      </c>
      <c r="M62" s="5">
        <f>'Reported Count'!M62</f>
        <v>1</v>
      </c>
      <c r="N62" s="5">
        <f>'Reported Count'!N62</f>
        <v>1</v>
      </c>
      <c r="O62" s="5">
        <f>'Reported Count'!O62</f>
        <v>1</v>
      </c>
      <c r="P62" s="5">
        <f>'Reported Count'!P62</f>
        <v>1</v>
      </c>
      <c r="Q62" s="5">
        <f>'Reported Count'!Q62</f>
        <v>1</v>
      </c>
      <c r="R62" s="5">
        <f>'Reported Count'!R62</f>
        <v>1</v>
      </c>
      <c r="S62" s="5">
        <f>'Reported Count'!S62</f>
        <v>1</v>
      </c>
      <c r="T62" s="5">
        <f>'Reported Count'!T62</f>
        <v>1</v>
      </c>
      <c r="U62" s="5">
        <f>'Reported Count'!U62</f>
        <v>1</v>
      </c>
      <c r="V62" s="5">
        <f>'Reported Count'!V62</f>
        <v>1</v>
      </c>
      <c r="W62" s="5">
        <f>'Reported Count'!W62</f>
        <v>1</v>
      </c>
      <c r="X62" s="5">
        <f>'Reported Count'!X62</f>
        <v>1</v>
      </c>
    </row>
    <row r="63" spans="1:25">
      <c r="A63" s="4" t="s">
        <v>156</v>
      </c>
      <c r="B63" s="5">
        <f>'Reported Count'!B63</f>
        <v>1.1009</v>
      </c>
      <c r="C63" s="5">
        <f>'Reported Count'!C63</f>
        <v>1.0069</v>
      </c>
      <c r="D63" s="5">
        <f>'Reported Count'!D63</f>
        <v>1.0009</v>
      </c>
      <c r="E63" s="5">
        <f>'Reported Count'!E63</f>
        <v>1</v>
      </c>
      <c r="F63" s="5">
        <f>'Reported Count'!F63</f>
        <v>0.9996</v>
      </c>
      <c r="G63" s="5">
        <f>'Reported Count'!G63</f>
        <v>1</v>
      </c>
      <c r="H63" s="5">
        <f>'Reported Count'!H63</f>
        <v>0.9996</v>
      </c>
      <c r="I63" s="5">
        <f>'Reported Count'!I63</f>
        <v>1</v>
      </c>
      <c r="J63" s="5">
        <f>'Reported Count'!J63</f>
        <v>0.9988</v>
      </c>
      <c r="K63" s="5">
        <f>'Reported Count'!K63</f>
        <v>1</v>
      </c>
      <c r="L63" s="5">
        <f>'Reported Count'!L63</f>
        <v>1</v>
      </c>
      <c r="M63" s="5">
        <f>'Reported Count'!M63</f>
        <v>1</v>
      </c>
      <c r="N63" s="5">
        <f>'Reported Count'!N63</f>
        <v>1</v>
      </c>
      <c r="O63" s="5">
        <f>'Reported Count'!O63</f>
        <v>1</v>
      </c>
      <c r="P63" s="5">
        <f>'Reported Count'!P63</f>
        <v>1</v>
      </c>
      <c r="Q63" s="5">
        <f>'Reported Count'!Q63</f>
        <v>1</v>
      </c>
      <c r="R63" s="5">
        <f>'Reported Count'!R63</f>
        <v>1</v>
      </c>
      <c r="S63" s="5">
        <f>'Reported Count'!S63</f>
        <v>1</v>
      </c>
      <c r="T63" s="5">
        <f>'Reported Count'!T63</f>
        <v>1</v>
      </c>
      <c r="U63" s="5">
        <f>'Reported Count'!U63</f>
        <v>1</v>
      </c>
      <c r="V63" s="5">
        <f>'Reported Count'!V63</f>
        <v>1</v>
      </c>
      <c r="W63" s="5">
        <f>'Reported Count'!W63</f>
        <v>1</v>
      </c>
      <c r="X63" s="5">
        <f>'Reported Count'!X63</f>
        <v>1</v>
      </c>
    </row>
    <row r="64" spans="1:25">
      <c r="A64" s="4" t="s">
        <v>157</v>
      </c>
      <c r="B64" s="5">
        <f>'Reported Count'!B64</f>
        <v>1.0962</v>
      </c>
      <c r="C64" s="5">
        <f>'Reported Count'!C64</f>
        <v>1.0073</v>
      </c>
      <c r="D64" s="5">
        <f>'Reported Count'!D64</f>
        <v>1.0008</v>
      </c>
      <c r="E64" s="5">
        <f>'Reported Count'!E64</f>
        <v>1</v>
      </c>
      <c r="F64" s="5">
        <f>'Reported Count'!F64</f>
        <v>0.9996</v>
      </c>
      <c r="G64" s="5">
        <f>'Reported Count'!G64</f>
        <v>1</v>
      </c>
      <c r="H64" s="5">
        <f>'Reported Count'!H64</f>
        <v>0.9996</v>
      </c>
      <c r="I64" s="5">
        <f>'Reported Count'!I64</f>
        <v>1</v>
      </c>
      <c r="J64" s="5">
        <f>'Reported Count'!J64</f>
        <v>0.9989</v>
      </c>
      <c r="K64" s="5">
        <f>'Reported Count'!K64</f>
        <v>1</v>
      </c>
      <c r="L64" s="5">
        <f>'Reported Count'!L64</f>
        <v>1</v>
      </c>
      <c r="M64" s="5">
        <f>'Reported Count'!M64</f>
        <v>1</v>
      </c>
      <c r="N64" s="5">
        <f>'Reported Count'!N64</f>
        <v>1</v>
      </c>
      <c r="O64" s="5">
        <f>'Reported Count'!O64</f>
        <v>1</v>
      </c>
      <c r="P64" s="5">
        <f>'Reported Count'!P64</f>
        <v>1</v>
      </c>
      <c r="Q64" s="5">
        <f>'Reported Count'!Q64</f>
        <v>1</v>
      </c>
      <c r="R64" s="5">
        <f>'Reported Count'!R64</f>
        <v>1</v>
      </c>
      <c r="S64" s="5">
        <f>'Reported Count'!S64</f>
        <v>1</v>
      </c>
      <c r="T64" s="5">
        <f>'Reported Count'!T64</f>
        <v>1</v>
      </c>
      <c r="U64" s="5">
        <f>'Reported Count'!U64</f>
        <v>1</v>
      </c>
      <c r="V64" s="5">
        <f>'Reported Count'!V64</f>
        <v>1</v>
      </c>
      <c r="W64" s="5">
        <f>'Reported Count'!W64</f>
        <v>1</v>
      </c>
      <c r="X64" s="5">
        <f>'Reported Count'!X64</f>
        <v>1</v>
      </c>
    </row>
    <row r="65" spans="1:25">
      <c r="A65" s="4" t="s">
        <v>158</v>
      </c>
      <c r="B65" s="5">
        <f>'Reported Count'!B65</f>
        <v>1.1041</v>
      </c>
      <c r="C65" s="5">
        <f>'Reported Count'!C65</f>
        <v>1.0029</v>
      </c>
      <c r="D65" s="5">
        <f>'Reported Count'!D65</f>
        <v>1.0005</v>
      </c>
      <c r="E65" s="5">
        <f>'Reported Count'!E65</f>
        <v>1</v>
      </c>
      <c r="F65" s="5">
        <f>'Reported Count'!F65</f>
        <v>1</v>
      </c>
      <c r="G65" s="5">
        <f>'Reported Count'!G65</f>
        <v>1</v>
      </c>
      <c r="H65" s="5">
        <f>'Reported Count'!H65</f>
        <v>1</v>
      </c>
      <c r="I65" s="5">
        <f>'Reported Count'!I65</f>
        <v>1</v>
      </c>
      <c r="J65" s="5">
        <f>'Reported Count'!J65</f>
        <v>1</v>
      </c>
      <c r="K65" s="5">
        <f>'Reported Count'!K65</f>
        <v>1</v>
      </c>
      <c r="L65" s="5">
        <f>'Reported Count'!L65</f>
        <v>1</v>
      </c>
      <c r="M65" s="5">
        <f>'Reported Count'!M65</f>
        <v>1</v>
      </c>
      <c r="N65" s="5">
        <f>'Reported Count'!N65</f>
        <v>1</v>
      </c>
      <c r="O65" s="5">
        <f>'Reported Count'!O65</f>
        <v>1</v>
      </c>
      <c r="P65" s="5">
        <f>'Reported Count'!P65</f>
        <v>1</v>
      </c>
      <c r="Q65" s="5">
        <f>'Reported Count'!Q65</f>
        <v>1</v>
      </c>
      <c r="R65" s="5">
        <f>'Reported Count'!R65</f>
        <v>1</v>
      </c>
      <c r="S65" s="5">
        <f>'Reported Count'!S65</f>
        <v>1</v>
      </c>
      <c r="T65" s="5">
        <f>'Reported Count'!T65</f>
        <v>1</v>
      </c>
      <c r="U65" s="5">
        <f>'Reported Count'!U65</f>
        <v>1</v>
      </c>
      <c r="V65" s="5">
        <f>'Reported Count'!V65</f>
        <v>1</v>
      </c>
      <c r="W65" s="5">
        <f>'Reported Count'!W65</f>
        <v>1</v>
      </c>
      <c r="X65" s="5">
        <f>'Reported Count'!X65</f>
        <v>1</v>
      </c>
    </row>
    <row r="66" spans="1:25">
      <c r="A66" s="4"/>
    </row>
    <row r="67" spans="1:25">
      <c r="A67" s="4"/>
      <c r="B67" t="s">
        <v>122</v>
      </c>
      <c r="C67" t="s">
        <v>123</v>
      </c>
      <c r="D67" t="s">
        <v>124</v>
      </c>
      <c r="E67" t="s">
        <v>125</v>
      </c>
      <c r="F67" t="s">
        <v>126</v>
      </c>
      <c r="G67" t="s">
        <v>127</v>
      </c>
      <c r="H67" t="s">
        <v>128</v>
      </c>
      <c r="I67" t="s">
        <v>129</v>
      </c>
      <c r="J67" t="s">
        <v>130</v>
      </c>
      <c r="K67" t="s">
        <v>131</v>
      </c>
      <c r="L67" t="s">
        <v>132</v>
      </c>
      <c r="M67" t="s">
        <v>133</v>
      </c>
      <c r="N67" t="s">
        <v>134</v>
      </c>
      <c r="O67" t="s">
        <v>135</v>
      </c>
      <c r="P67" t="s">
        <v>136</v>
      </c>
      <c r="Q67" t="s">
        <v>137</v>
      </c>
      <c r="R67" t="s">
        <v>138</v>
      </c>
      <c r="S67" t="s">
        <v>139</v>
      </c>
      <c r="T67" t="s">
        <v>140</v>
      </c>
      <c r="U67" t="s">
        <v>141</v>
      </c>
      <c r="V67" t="s">
        <v>142</v>
      </c>
      <c r="W67" t="s">
        <v>143</v>
      </c>
      <c r="X67" t="s">
        <v>144</v>
      </c>
    </row>
    <row r="68" spans="1:25">
      <c r="A68" s="4" t="s">
        <v>159</v>
      </c>
      <c r="B68" s="5">
        <f>IF('Reported Count'!B74&lt;&gt;"",'Reported Count'!B74,'Reported Count'!B68)</f>
        <v>1.133</v>
      </c>
      <c r="C68" s="5">
        <f>IF('Reported Count'!C74&lt;&gt;"",'Reported Count'!C74,'Reported Count'!C68)</f>
        <v>1</v>
      </c>
      <c r="D68" s="5">
        <f>IF('Reported Count'!D74&lt;&gt;"",'Reported Count'!D74,'Reported Count'!D68)</f>
        <v>1.0005</v>
      </c>
      <c r="E68" s="5">
        <f>IF('Reported Count'!E74&lt;&gt;"",'Reported Count'!E74,'Reported Count'!E68)</f>
        <v>1</v>
      </c>
      <c r="F68" s="5">
        <f>IF('Reported Count'!F74&lt;&gt;"",'Reported Count'!F74,'Reported Count'!F68)</f>
        <v>1</v>
      </c>
      <c r="G68" s="5">
        <f>IF('Reported Count'!G74&lt;&gt;"",'Reported Count'!G74,'Reported Count'!G68)</f>
        <v>1.0002</v>
      </c>
      <c r="H68" s="5">
        <f>IF('Reported Count'!H74&lt;&gt;"",'Reported Count'!H74,'Reported Count'!H68)</f>
        <v>1</v>
      </c>
      <c r="I68" s="5">
        <f>IF('Reported Count'!I74&lt;&gt;"",'Reported Count'!I74,'Reported Count'!I68)</f>
        <v>1</v>
      </c>
      <c r="J68" s="5">
        <f>IF('Reported Count'!J74&lt;&gt;"",'Reported Count'!J74,'Reported Count'!J68)</f>
        <v>1</v>
      </c>
      <c r="K68" s="5">
        <f>IF('Reported Count'!K74&lt;&gt;"",'Reported Count'!K74,'Reported Count'!K68)</f>
        <v>1</v>
      </c>
      <c r="L68" s="5">
        <f>IF('Reported Count'!L74&lt;&gt;"",'Reported Count'!L74,'Reported Count'!L68)</f>
        <v>1</v>
      </c>
      <c r="M68" s="5">
        <f>IF('Reported Count'!M74&lt;&gt;"",'Reported Count'!M74,'Reported Count'!M68)</f>
        <v>1</v>
      </c>
      <c r="N68" s="5">
        <f>IF('Reported Count'!N74&lt;&gt;"",'Reported Count'!N74,'Reported Count'!N68)</f>
        <v>1</v>
      </c>
      <c r="O68" s="5">
        <f>IF('Reported Count'!O74&lt;&gt;"",'Reported Count'!O74,'Reported Count'!O68)</f>
        <v>1</v>
      </c>
      <c r="P68" s="5">
        <f>IF('Reported Count'!P74&lt;&gt;"",'Reported Count'!P74,'Reported Count'!P68)</f>
        <v>1</v>
      </c>
      <c r="Q68" s="5">
        <f>IF('Reported Count'!Q74&lt;&gt;"",'Reported Count'!Q74,'Reported Count'!Q68)</f>
        <v>1</v>
      </c>
      <c r="R68" s="5">
        <f>IF('Reported Count'!R74&lt;&gt;"",'Reported Count'!R74,'Reported Count'!R68)</f>
        <v>1</v>
      </c>
      <c r="S68" s="5">
        <f>IF('Reported Count'!S74&lt;&gt;"",'Reported Count'!S74,'Reported Count'!S68)</f>
        <v>1</v>
      </c>
      <c r="T68" s="5">
        <f>IF('Reported Count'!T74&lt;&gt;"",'Reported Count'!T74,'Reported Count'!T68)</f>
        <v>1</v>
      </c>
      <c r="U68" s="5">
        <f>IF('Reported Count'!U74&lt;&gt;"",'Reported Count'!U74,'Reported Count'!U68)</f>
        <v>1</v>
      </c>
      <c r="V68" s="5">
        <f>IF('Reported Count'!V74&lt;&gt;"",'Reported Count'!V74,'Reported Count'!V68)</f>
        <v>1</v>
      </c>
      <c r="W68" s="5">
        <f>IF('Reported Count'!W74&lt;&gt;"",'Reported Count'!W74,'Reported Count'!W68)</f>
        <v>1</v>
      </c>
      <c r="X68" s="5">
        <f>IF('Reported Count'!X74&lt;&gt;"",'Reported Count'!X74,'Reported Count'!X68)</f>
        <v>1</v>
      </c>
      <c r="Y68" s="5">
        <f>IF('Reported Count'!Y74&lt;&gt;"",'Reported Count'!Y74,'Reported Count'!Y68)</f>
        <v>0</v>
      </c>
    </row>
    <row r="69" spans="1:25">
      <c r="A69" s="4" t="s">
        <v>12</v>
      </c>
      <c r="B69" s="4">
        <f>IF('Reported Count'!B74&lt;&gt;"",'Reported Count'!B75,'Reported Count'!B69)</f>
        <v>1.133</v>
      </c>
      <c r="C69" s="4">
        <f>IF('Reported Count'!C74&lt;&gt;"",'Reported Count'!C75,'Reported Count'!C69)</f>
        <v>1</v>
      </c>
      <c r="D69" s="4">
        <f>IF('Reported Count'!D74&lt;&gt;"",'Reported Count'!D75,'Reported Count'!D69)</f>
        <v>1.0005</v>
      </c>
      <c r="E69" s="4">
        <f>IF('Reported Count'!E74&lt;&gt;"",'Reported Count'!E75,'Reported Count'!E69)</f>
        <v>1</v>
      </c>
      <c r="F69" s="4">
        <f>IF('Reported Count'!F74&lt;&gt;"",'Reported Count'!F75,'Reported Count'!F69)</f>
        <v>1</v>
      </c>
      <c r="G69" s="4">
        <f>IF('Reported Count'!G74&lt;&gt;"",'Reported Count'!G75,'Reported Count'!G69)</f>
        <v>1.0002</v>
      </c>
      <c r="H69" s="4">
        <f>IF('Reported Count'!H74&lt;&gt;"",'Reported Count'!H75,'Reported Count'!H69)</f>
        <v>1</v>
      </c>
      <c r="I69" s="4">
        <f>IF('Reported Count'!I74&lt;&gt;"",'Reported Count'!I75,'Reported Count'!I69)</f>
        <v>1</v>
      </c>
      <c r="J69" s="4">
        <f>IF('Reported Count'!J74&lt;&gt;"",'Reported Count'!J75,'Reported Count'!J69)</f>
        <v>1</v>
      </c>
      <c r="K69" s="4">
        <f>IF('Reported Count'!K74&lt;&gt;"",'Reported Count'!K75,'Reported Count'!K69)</f>
        <v>1</v>
      </c>
      <c r="L69" s="4">
        <f>IF('Reported Count'!L74&lt;&gt;"",'Reported Count'!L75,'Reported Count'!L69)</f>
        <v>1</v>
      </c>
      <c r="M69" s="4">
        <f>IF('Reported Count'!M74&lt;&gt;"",'Reported Count'!M75,'Reported Count'!M69)</f>
        <v>1</v>
      </c>
      <c r="N69" s="4">
        <f>IF('Reported Count'!N74&lt;&gt;"",'Reported Count'!N75,'Reported Count'!N69)</f>
        <v>1</v>
      </c>
      <c r="O69" s="4">
        <f>IF('Reported Count'!O74&lt;&gt;"",'Reported Count'!O75,'Reported Count'!O69)</f>
        <v>1</v>
      </c>
      <c r="P69" s="4">
        <f>IF('Reported Count'!P74&lt;&gt;"",'Reported Count'!P75,'Reported Count'!P69)</f>
        <v>1</v>
      </c>
      <c r="Q69" s="4">
        <f>IF('Reported Count'!Q74&lt;&gt;"",'Reported Count'!Q75,'Reported Count'!Q69)</f>
        <v>1</v>
      </c>
      <c r="R69" s="4">
        <f>IF('Reported Count'!R74&lt;&gt;"",'Reported Count'!R75,'Reported Count'!R69)</f>
        <v>1</v>
      </c>
      <c r="S69" s="4">
        <f>IF('Reported Count'!S74&lt;&gt;"",'Reported Count'!S75,'Reported Count'!S69)</f>
        <v>1</v>
      </c>
      <c r="T69" s="4">
        <f>IF('Reported Count'!T74&lt;&gt;"",'Reported Count'!T75,'Reported Count'!T69)</f>
        <v>1</v>
      </c>
      <c r="U69" s="4">
        <f>IF('Reported Count'!U74&lt;&gt;"",'Reported Count'!U75,'Reported Count'!U69)</f>
        <v>1</v>
      </c>
      <c r="V69" s="4">
        <f>IF('Reported Count'!V74&lt;&gt;"",'Reported Count'!V75,'Reported Count'!V69)</f>
        <v>1</v>
      </c>
      <c r="W69" s="4">
        <f>IF('Reported Count'!W74&lt;&gt;"",'Reported Count'!W75,'Reported Count'!W69)</f>
        <v>1</v>
      </c>
      <c r="X69" s="4">
        <f>IF('Reported Count'!X74&lt;&gt;"",'Reported Count'!X75,'Reported Count'!X69)</f>
        <v>1</v>
      </c>
      <c r="Y69" s="4">
        <f>IF('Reported Count'!Y74&lt;&gt;"",'Reported Count'!Y75,'Reported Count'!Y69)</f>
        <v>0</v>
      </c>
    </row>
    <row r="70" spans="1:25">
      <c r="A70" s="4"/>
    </row>
    <row r="71" spans="1:25">
      <c r="A71" s="4"/>
    </row>
    <row r="72" spans="1:25">
      <c r="A72" s="4" t="s">
        <v>38</v>
      </c>
      <c r="B72" s="5">
        <f>IFERROR(B68*C72,1.000)</f>
        <v>0</v>
      </c>
      <c r="C72" s="5">
        <f>IFERROR(C68*D72,1.000)</f>
        <v>0</v>
      </c>
      <c r="D72" s="5">
        <f>IFERROR(D68*E72,1.000)</f>
        <v>0</v>
      </c>
      <c r="E72" s="5">
        <f>IFERROR(E68*F72,1.000)</f>
        <v>0</v>
      </c>
      <c r="F72" s="5">
        <f>IFERROR(F68*G72,1.000)</f>
        <v>0</v>
      </c>
      <c r="G72" s="5">
        <f>IFERROR(G68*H72,1.000)</f>
        <v>0</v>
      </c>
      <c r="H72" s="5">
        <f>IFERROR(H68*I72,1.000)</f>
        <v>0</v>
      </c>
      <c r="I72" s="5">
        <f>IFERROR(I68*J72,1.000)</f>
        <v>0</v>
      </c>
      <c r="J72" s="5">
        <f>IFERROR(J68*K72,1.000)</f>
        <v>0</v>
      </c>
      <c r="K72" s="5">
        <f>IFERROR(K68*L72,1.000)</f>
        <v>0</v>
      </c>
      <c r="L72" s="5">
        <f>IFERROR(L68*M72,1.000)</f>
        <v>0</v>
      </c>
      <c r="M72" s="5">
        <f>IFERROR(M68*N72,1.000)</f>
        <v>0</v>
      </c>
      <c r="N72" s="5">
        <f>IFERROR(N68*O72,1.000)</f>
        <v>0</v>
      </c>
      <c r="O72" s="5">
        <f>IFERROR(O68*P72,1.000)</f>
        <v>0</v>
      </c>
      <c r="P72" s="5">
        <f>IFERROR(P68*Q72,1.000)</f>
        <v>0</v>
      </c>
      <c r="Q72" s="5">
        <f>IFERROR(Q68*R72,1.000)</f>
        <v>0</v>
      </c>
      <c r="R72" s="5">
        <f>IFERROR(R68*S72,1.000)</f>
        <v>0</v>
      </c>
      <c r="S72" s="5">
        <f>IFERROR(S68*T72,1.000)</f>
        <v>0</v>
      </c>
      <c r="T72" s="5">
        <f>IFERROR(T68*U72,1.000)</f>
        <v>0</v>
      </c>
      <c r="U72" s="5">
        <f>IFERROR(U68*V72,1.000)</f>
        <v>0</v>
      </c>
      <c r="V72" s="5">
        <f>IFERROR(V68*W72,1.000)</f>
        <v>0</v>
      </c>
      <c r="W72" s="5">
        <f>IFERROR(W68*X72,1.000)</f>
        <v>0</v>
      </c>
      <c r="X72" s="5">
        <f>IFERROR(X68*Y72,1.000)</f>
        <v>0</v>
      </c>
      <c r="Y72" s="5">
        <f>IFERROR('Reported Count'!$X$2,1.000)</f>
        <v>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B26"/>
  <sheetViews>
    <sheetView workbookViewId="0">
      <pane ySplit="2" topLeftCell="A3" activePane="bottomLeft" state="frozen"/>
      <selection pane="bottomLeft"/>
    </sheetView>
  </sheetViews>
  <sheetFormatPr defaultRowHeight="15"/>
  <cols>
    <col min="1" max="2" width="18.7109375" customWidth="1"/>
  </cols>
  <sheetData>
    <row r="1" spans="1:2">
      <c r="A1" s="7" t="s">
        <v>42</v>
      </c>
      <c r="B1" s="7"/>
    </row>
    <row r="2" spans="1:2">
      <c r="A2" s="1" t="s">
        <v>73</v>
      </c>
      <c r="B2" s="1" t="s">
        <v>42</v>
      </c>
    </row>
    <row r="3" spans="1:2">
      <c r="A3" s="3">
        <v>2001</v>
      </c>
      <c r="B3" s="3">
        <v>316377369.9688</v>
      </c>
    </row>
    <row r="4" spans="1:2">
      <c r="A4" s="3">
        <v>2002</v>
      </c>
      <c r="B4" s="3">
        <v>322704917.4</v>
      </c>
    </row>
    <row r="5" spans="1:2">
      <c r="A5" s="3">
        <v>2003</v>
      </c>
      <c r="B5" s="3">
        <v>329159015.7</v>
      </c>
    </row>
    <row r="6" spans="1:2">
      <c r="A6" s="3">
        <v>2004</v>
      </c>
      <c r="B6" s="3">
        <v>335742196</v>
      </c>
    </row>
    <row r="7" spans="1:2">
      <c r="A7" s="3">
        <v>2005</v>
      </c>
      <c r="B7" s="3">
        <v>342457040</v>
      </c>
    </row>
    <row r="8" spans="1:2">
      <c r="A8" s="3">
        <v>2006</v>
      </c>
      <c r="B8" s="3">
        <v>349306180.7</v>
      </c>
    </row>
    <row r="9" spans="1:2">
      <c r="A9" s="3">
        <v>2007</v>
      </c>
      <c r="B9" s="3">
        <v>356292304.4</v>
      </c>
    </row>
    <row r="10" spans="1:2">
      <c r="A10" s="3">
        <v>2008</v>
      </c>
      <c r="B10" s="3">
        <v>363418150.5</v>
      </c>
    </row>
    <row r="11" spans="1:2">
      <c r="A11" s="3">
        <v>2009</v>
      </c>
      <c r="B11" s="3">
        <v>370686513.5</v>
      </c>
    </row>
    <row r="12" spans="1:2">
      <c r="A12" s="3">
        <v>2010</v>
      </c>
      <c r="B12" s="3">
        <v>378100243.7</v>
      </c>
    </row>
    <row r="13" spans="1:2">
      <c r="A13" s="3">
        <v>2011</v>
      </c>
      <c r="B13" s="3">
        <v>385662248.6</v>
      </c>
    </row>
    <row r="14" spans="1:2">
      <c r="A14" s="3">
        <v>2012</v>
      </c>
      <c r="B14" s="3">
        <v>393375493.6</v>
      </c>
    </row>
    <row r="15" spans="1:2">
      <c r="A15" s="3">
        <v>2013</v>
      </c>
      <c r="B15" s="3">
        <v>401243003.4</v>
      </c>
    </row>
    <row r="16" spans="1:2">
      <c r="A16" s="3">
        <v>2014</v>
      </c>
      <c r="B16" s="3">
        <v>409267863.5</v>
      </c>
    </row>
    <row r="17" spans="1:2">
      <c r="A17" s="3">
        <v>2015</v>
      </c>
      <c r="B17" s="3">
        <v>417453220.8</v>
      </c>
    </row>
    <row r="18" spans="1:2">
      <c r="A18" s="3">
        <v>2016</v>
      </c>
      <c r="B18" s="3">
        <v>425802285.2</v>
      </c>
    </row>
    <row r="19" spans="1:2">
      <c r="A19" s="3">
        <v>2017</v>
      </c>
      <c r="B19" s="3">
        <v>434318330.9</v>
      </c>
    </row>
    <row r="20" spans="1:2">
      <c r="A20" s="3">
        <v>2018</v>
      </c>
      <c r="B20" s="3">
        <v>443004697.5</v>
      </c>
    </row>
    <row r="21" spans="1:2">
      <c r="A21" s="3">
        <v>2019</v>
      </c>
      <c r="B21" s="3">
        <v>451864791.5</v>
      </c>
    </row>
    <row r="22" spans="1:2">
      <c r="A22" s="3">
        <v>2020</v>
      </c>
      <c r="B22" s="3">
        <v>460902087.3</v>
      </c>
    </row>
    <row r="23" spans="1:2">
      <c r="A23" s="3">
        <v>2021</v>
      </c>
      <c r="B23" s="3">
        <v>470120129.1</v>
      </c>
    </row>
    <row r="24" spans="1:2">
      <c r="A24" s="3">
        <v>2022</v>
      </c>
      <c r="B24" s="3">
        <v>479522531.6</v>
      </c>
    </row>
    <row r="25" spans="1:2">
      <c r="A25" s="3">
        <v>2023</v>
      </c>
      <c r="B25" s="3">
        <v>489112982.3</v>
      </c>
    </row>
    <row r="26" spans="1:2">
      <c r="A26" s="3">
        <v>2024</v>
      </c>
      <c r="B26" s="3">
        <v>498895241.9</v>
      </c>
    </row>
  </sheetData>
  <mergeCells count="1">
    <mergeCell ref="A1:B1"/>
  </mergeCells>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26"/>
  <sheetViews>
    <sheetView workbookViewId="0">
      <pane ySplit="2" topLeftCell="A3" activePane="bottomLeft" state="frozen"/>
      <selection pane="bottomLeft"/>
    </sheetView>
  </sheetViews>
  <sheetFormatPr defaultRowHeight="15"/>
  <cols>
    <col min="1" max="4" width="18.7109375" customWidth="1"/>
  </cols>
  <sheetData>
    <row r="1" spans="1:4">
      <c r="A1" s="7" t="s">
        <v>160</v>
      </c>
      <c r="B1" s="7"/>
      <c r="C1" s="7"/>
      <c r="D1" s="7"/>
    </row>
    <row r="2" spans="1:4">
      <c r="A2" s="1" t="s">
        <v>0</v>
      </c>
      <c r="B2" s="1" t="s">
        <v>161</v>
      </c>
      <c r="C2" s="1" t="s">
        <v>162</v>
      </c>
      <c r="D2" s="1" t="s">
        <v>163</v>
      </c>
    </row>
    <row r="3" spans="1:4">
      <c r="A3" s="3">
        <v>2001</v>
      </c>
      <c r="B3" s="5">
        <v>4561.602617345264</v>
      </c>
      <c r="C3" s="5">
        <v>0.01010300000380942</v>
      </c>
      <c r="D3" s="5">
        <v>2.214791785104925E-06</v>
      </c>
    </row>
    <row r="4" spans="1:4">
      <c r="A4" s="3">
        <v>2002</v>
      </c>
      <c r="B4" s="5">
        <v>3650.510462048229</v>
      </c>
      <c r="C4" s="5">
        <v>0.007374212885173717</v>
      </c>
      <c r="D4" s="5">
        <v>2.020049788060651E-06</v>
      </c>
    </row>
    <row r="5" spans="1:4">
      <c r="A5" s="3">
        <v>2003</v>
      </c>
      <c r="B5" s="5">
        <v>3334.750031726463</v>
      </c>
      <c r="C5" s="5">
        <v>0.005588225393396084</v>
      </c>
      <c r="D5" s="5">
        <v>1.675755406021528E-06</v>
      </c>
    </row>
    <row r="6" spans="1:4">
      <c r="A6" s="3">
        <v>2004</v>
      </c>
      <c r="B6" s="5">
        <v>1807.098264996499</v>
      </c>
      <c r="C6" s="5">
        <v>0.00345899834407469</v>
      </c>
      <c r="D6" s="5">
        <v>1.91411746172054E-06</v>
      </c>
    </row>
    <row r="7" spans="1:4">
      <c r="A7" s="3">
        <v>2005</v>
      </c>
      <c r="B7" s="5">
        <v>3666.938346872904</v>
      </c>
      <c r="C7" s="5">
        <v>0.006867190027689312</v>
      </c>
      <c r="D7" s="5">
        <v>1.872731248275696E-06</v>
      </c>
    </row>
    <row r="8" spans="1:4">
      <c r="A8" s="3">
        <v>2006</v>
      </c>
      <c r="B8" s="5">
        <v>3199.662405274478</v>
      </c>
      <c r="C8" s="5">
        <v>0.004557033737021419</v>
      </c>
      <c r="D8" s="5">
        <v>1.424223296029414E-06</v>
      </c>
    </row>
    <row r="9" spans="1:4">
      <c r="A9" s="3">
        <v>2007</v>
      </c>
      <c r="B9" s="5">
        <v>10592.10210336286</v>
      </c>
      <c r="C9" s="5">
        <v>0.01416215151909411</v>
      </c>
      <c r="D9" s="5">
        <v>1.337048244143889E-06</v>
      </c>
    </row>
    <row r="10" spans="1:4">
      <c r="A10" s="3">
        <v>2008</v>
      </c>
      <c r="B10" s="5">
        <v>4409.791009799745</v>
      </c>
      <c r="C10" s="5">
        <v>0.003987057685496641</v>
      </c>
      <c r="D10" s="5">
        <v>9.041375604050904E-07</v>
      </c>
    </row>
    <row r="11" spans="1:4">
      <c r="A11" s="3">
        <v>2009</v>
      </c>
      <c r="B11" s="5">
        <v>3861.886079880738</v>
      </c>
      <c r="C11" s="5">
        <v>0.003354451901309865</v>
      </c>
      <c r="D11" s="5">
        <v>8.68604570907865E-07</v>
      </c>
    </row>
    <row r="12" spans="1:4">
      <c r="A12" s="3">
        <v>2010</v>
      </c>
      <c r="B12" s="5">
        <v>5026.920725426721</v>
      </c>
      <c r="C12" s="5">
        <v>0.003614168868624826</v>
      </c>
      <c r="D12" s="5">
        <v>7.189627738396509E-07</v>
      </c>
    </row>
    <row r="13" spans="1:4">
      <c r="A13" s="3">
        <v>2011</v>
      </c>
      <c r="B13" s="5">
        <v>5971.802279169317</v>
      </c>
      <c r="C13" s="5">
        <v>0.005353624648238385</v>
      </c>
      <c r="D13" s="5">
        <v>8.964839085367507E-07</v>
      </c>
    </row>
    <row r="14" spans="1:4">
      <c r="A14" s="3">
        <v>2012</v>
      </c>
      <c r="B14" s="5">
        <v>5646.263969687692</v>
      </c>
      <c r="C14" s="5">
        <v>0.003750248487772091</v>
      </c>
      <c r="D14" s="5">
        <v>6.641999927572508E-07</v>
      </c>
    </row>
    <row r="15" spans="1:4">
      <c r="A15" s="3">
        <v>2013</v>
      </c>
      <c r="B15" s="5">
        <v>2638.707540376505</v>
      </c>
      <c r="C15" s="5">
        <v>0.001917855946344958</v>
      </c>
      <c r="D15" s="5">
        <v>7.268164118223227E-07</v>
      </c>
    </row>
    <row r="16" spans="1:4">
      <c r="A16" s="3">
        <v>2014</v>
      </c>
      <c r="B16" s="5">
        <v>3395.325791855204</v>
      </c>
      <c r="C16" s="5">
        <v>0.003776881005952719</v>
      </c>
      <c r="D16" s="5">
        <v>1.112376613464546E-06</v>
      </c>
    </row>
    <row r="17" spans="1:4">
      <c r="A17" s="3">
        <v>2015</v>
      </c>
      <c r="B17" s="5">
        <v>11400.02569939496</v>
      </c>
      <c r="C17" s="5">
        <v>0.009117219344256643</v>
      </c>
      <c r="D17" s="5">
        <v>7.997542799171524E-07</v>
      </c>
    </row>
    <row r="18" spans="1:4">
      <c r="A18" s="3">
        <v>2016</v>
      </c>
      <c r="B18" s="5">
        <v>7383.606963645672</v>
      </c>
      <c r="C18" s="5">
        <v>0.006773183189107037</v>
      </c>
      <c r="D18" s="5">
        <v>9.17327157642037E-07</v>
      </c>
    </row>
    <row r="19" spans="1:4">
      <c r="A19" s="3">
        <v>2017</v>
      </c>
      <c r="B19" s="5">
        <v>4542.333688046177</v>
      </c>
      <c r="C19" s="5">
        <v>0.003243296448208928</v>
      </c>
      <c r="D19" s="5">
        <v>7.140154534978667E-07</v>
      </c>
    </row>
    <row r="20" spans="1:4">
      <c r="A20" s="3">
        <v>2018</v>
      </c>
      <c r="B20" s="5">
        <v>8716.834816223845</v>
      </c>
      <c r="C20" s="5">
        <v>0.006413397320690939</v>
      </c>
      <c r="D20" s="5">
        <v>7.357484059184271E-07</v>
      </c>
    </row>
    <row r="21" spans="1:4">
      <c r="A21" s="3">
        <v>2019</v>
      </c>
      <c r="B21" s="5">
        <v>8941.930468575263</v>
      </c>
      <c r="C21" s="5">
        <v>0.007078112192328222</v>
      </c>
      <c r="D21" s="5">
        <v>7.915642172798054E-07</v>
      </c>
    </row>
    <row r="22" spans="1:4">
      <c r="A22" s="3">
        <v>2020</v>
      </c>
      <c r="B22" s="5">
        <v>3431.711389128559</v>
      </c>
      <c r="C22" s="5">
        <v>0.002761439262416636</v>
      </c>
      <c r="D22" s="5">
        <v>8.046828387622275E-07</v>
      </c>
    </row>
    <row r="23" spans="1:4">
      <c r="A23" s="3">
        <v>2021</v>
      </c>
      <c r="B23" s="5">
        <v>4188.925781131618</v>
      </c>
      <c r="C23" s="5">
        <v>0.002940141794494372</v>
      </c>
      <c r="D23" s="5">
        <v>7.018844324570743E-07</v>
      </c>
    </row>
    <row r="24" spans="1:4">
      <c r="A24" s="3">
        <v>2022</v>
      </c>
      <c r="B24" s="5">
        <v>4360.341107090202</v>
      </c>
      <c r="C24" s="5">
        <v>0.002713741512120429</v>
      </c>
      <c r="D24" s="5">
        <v>6.223690866083173E-07</v>
      </c>
    </row>
    <row r="25" spans="1:4">
      <c r="A25" s="3">
        <v>2023</v>
      </c>
      <c r="B25" s="5">
        <v>10147.83267768161</v>
      </c>
      <c r="C25" s="5">
        <v>0.006328793125555113</v>
      </c>
      <c r="D25" s="5">
        <v>6.236595859009567E-07</v>
      </c>
    </row>
    <row r="26" spans="1:4">
      <c r="A26" s="3">
        <v>2024</v>
      </c>
      <c r="B26" s="5">
        <v>8701.6860292851</v>
      </c>
      <c r="C26" s="5">
        <v>0.005062514447684894</v>
      </c>
      <c r="D26" s="5">
        <v>5.817854644085352E-07</v>
      </c>
    </row>
  </sheetData>
  <mergeCells count="1">
    <mergeCell ref="A1:D1"/>
  </mergeCell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22"/>
  <sheetViews>
    <sheetView workbookViewId="0">
      <pane ySplit="7" topLeftCell="A8" activePane="bottomLeft" state="frozen"/>
      <selection pane="bottomLeft"/>
    </sheetView>
  </sheetViews>
  <sheetFormatPr defaultRowHeight="15"/>
  <cols>
    <col min="1" max="1" width="28.7109375" customWidth="1"/>
    <col min="2" max="2" width="80.7109375" customWidth="1"/>
  </cols>
  <sheetData>
    <row r="1" spans="1:2" ht="24" customHeight="1">
      <c r="A1" s="7" t="s">
        <v>164</v>
      </c>
      <c r="B1" s="7"/>
    </row>
    <row r="2" spans="1:2">
      <c r="A2" s="8" t="s">
        <v>165</v>
      </c>
      <c r="B2" s="8"/>
    </row>
    <row r="3" spans="1:2">
      <c r="A3" s="4" t="s">
        <v>166</v>
      </c>
      <c r="B3" s="4" t="s">
        <v>167</v>
      </c>
    </row>
    <row r="4" spans="1:2">
      <c r="A4" s="4" t="s">
        <v>168</v>
      </c>
      <c r="B4" s="4" t="s">
        <v>169</v>
      </c>
    </row>
    <row r="6" spans="1:2">
      <c r="A6" s="8" t="s">
        <v>170</v>
      </c>
      <c r="B6" s="8"/>
    </row>
    <row r="7" spans="1:2">
      <c r="A7" s="1" t="s">
        <v>171</v>
      </c>
      <c r="B7" s="1" t="s">
        <v>172</v>
      </c>
    </row>
    <row r="8" spans="1:2">
      <c r="A8" s="4" t="s">
        <v>173</v>
      </c>
      <c r="B8" s="4" t="s">
        <v>174</v>
      </c>
    </row>
    <row r="9" spans="1:2">
      <c r="A9" s="4" t="s">
        <v>4</v>
      </c>
      <c r="B9" s="4" t="s">
        <v>175</v>
      </c>
    </row>
    <row r="10" spans="1:2">
      <c r="A10" s="4" t="s">
        <v>5</v>
      </c>
      <c r="B10" s="4" t="s">
        <v>175</v>
      </c>
    </row>
    <row r="11" spans="1:2">
      <c r="A11" s="4" t="s">
        <v>7</v>
      </c>
      <c r="B11" s="4" t="s">
        <v>176</v>
      </c>
    </row>
    <row r="12" spans="1:2">
      <c r="A12" s="4" t="s">
        <v>8</v>
      </c>
      <c r="B12" s="4" t="s">
        <v>176</v>
      </c>
    </row>
    <row r="13" spans="1:2">
      <c r="A13" s="4" t="s">
        <v>177</v>
      </c>
      <c r="B13" s="4" t="s">
        <v>178</v>
      </c>
    </row>
    <row r="14" spans="1:2">
      <c r="A14" s="4" t="s">
        <v>179</v>
      </c>
      <c r="B14" s="4" t="s">
        <v>178</v>
      </c>
    </row>
    <row r="15" spans="1:2">
      <c r="A15" s="4" t="s">
        <v>180</v>
      </c>
      <c r="B15" s="4" t="s">
        <v>175</v>
      </c>
    </row>
    <row r="16" spans="1:2">
      <c r="A16" s="4" t="s">
        <v>46</v>
      </c>
      <c r="B16" s="4" t="s">
        <v>175</v>
      </c>
    </row>
    <row r="17" spans="1:2">
      <c r="A17" s="4" t="s">
        <v>47</v>
      </c>
      <c r="B17" s="4" t="s">
        <v>176</v>
      </c>
    </row>
    <row r="18" spans="1:2">
      <c r="A18" s="4" t="s">
        <v>2</v>
      </c>
      <c r="B18" s="4" t="s">
        <v>181</v>
      </c>
    </row>
    <row r="19" spans="1:2">
      <c r="A19" s="4" t="s">
        <v>3</v>
      </c>
      <c r="B19" s="4" t="s">
        <v>182</v>
      </c>
    </row>
    <row r="20" spans="1:2">
      <c r="A20" s="4" t="s">
        <v>45</v>
      </c>
      <c r="B20" s="4" t="s">
        <v>183</v>
      </c>
    </row>
    <row r="21" spans="1:2">
      <c r="A21" s="4" t="s">
        <v>42</v>
      </c>
      <c r="B21" s="4" t="s">
        <v>184</v>
      </c>
    </row>
    <row r="22" spans="1:2">
      <c r="A22" s="4" t="s">
        <v>185</v>
      </c>
      <c r="B22" s="4" t="s">
        <v>178</v>
      </c>
    </row>
  </sheetData>
  <mergeCells count="3">
    <mergeCell ref="A1:B1"/>
    <mergeCell ref="A2:B2"/>
    <mergeCell ref="A6:B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Loss Selection</vt:lpstr>
      <vt:lpstr>Incurred CL</vt:lpstr>
      <vt:lpstr>Paid CL</vt:lpstr>
      <vt:lpstr>Incurred BF</vt:lpstr>
      <vt:lpstr>Paid BF</vt:lpstr>
      <vt:lpstr>IE</vt:lpstr>
      <vt:lpstr>Count Selection</vt:lpstr>
      <vt:lpstr>Closed CL</vt:lpstr>
      <vt:lpstr>Reported CL</vt:lpstr>
      <vt:lpstr>Reported BF</vt:lpstr>
      <vt:lpstr>Incurred</vt:lpstr>
      <vt:lpstr>Paid</vt:lpstr>
      <vt:lpstr>Reported</vt:lpstr>
      <vt:lpstr>Exposure</vt:lpstr>
      <vt:lpstr>Summary Diagnostics</vt:lpstr>
      <vt:lpstr>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2026-04-29T13:57:53Z</dcterms:created>
  <dcterms:modified xsi:type="dcterms:W3CDTF">2026-04-29T13:57:53Z</dcterms:modified>
</cp:coreProperties>
</file>