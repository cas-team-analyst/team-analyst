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Loss Selection" sheetId="2" state="visible" r:id="rId2"/>
    <sheet xmlns:r="http://schemas.openxmlformats.org/officeDocument/2006/relationships" name="Incurred CL" sheetId="3" state="visible" r:id="rId3"/>
    <sheet xmlns:r="http://schemas.openxmlformats.org/officeDocument/2006/relationships" name="Paid CL" sheetId="4" state="visible" r:id="rId4"/>
    <sheet xmlns:r="http://schemas.openxmlformats.org/officeDocument/2006/relationships" name="Incurred BF" sheetId="5" state="visible" r:id="rId5"/>
    <sheet xmlns:r="http://schemas.openxmlformats.org/officeDocument/2006/relationships" name="Paid BF" sheetId="6" state="visible" r:id="rId6"/>
    <sheet xmlns:r="http://schemas.openxmlformats.org/officeDocument/2006/relationships" name="Incurred IE" sheetId="7" state="visible" r:id="rId7"/>
    <sheet xmlns:r="http://schemas.openxmlformats.org/officeDocument/2006/relationships" name="Paid IE" sheetId="8" state="visible" r:id="rId8"/>
    <sheet xmlns:r="http://schemas.openxmlformats.org/officeDocument/2006/relationships" name="Count Selection" sheetId="9" state="visible" r:id="rId9"/>
    <sheet xmlns:r="http://schemas.openxmlformats.org/officeDocument/2006/relationships" name="Closed CL" sheetId="10" state="visible" r:id="rId10"/>
    <sheet xmlns:r="http://schemas.openxmlformats.org/officeDocument/2006/relationships" name="Reported CL" sheetId="11" state="visible" r:id="rId11"/>
    <sheet xmlns:r="http://schemas.openxmlformats.org/officeDocument/2006/relationships" name="Reported BF" sheetId="12" state="visible" r:id="rId12"/>
    <sheet xmlns:r="http://schemas.openxmlformats.org/officeDocument/2006/relationships" name="Closed IE" sheetId="13" state="visible" r:id="rId13"/>
    <sheet xmlns:r="http://schemas.openxmlformats.org/officeDocument/2006/relationships" name="Reported IE" sheetId="14" state="visible" r:id="rId14"/>
    <sheet xmlns:r="http://schemas.openxmlformats.org/officeDocument/2006/relationships" name="Incurred" sheetId="15" state="visible" r:id="rId15"/>
    <sheet xmlns:r="http://schemas.openxmlformats.org/officeDocument/2006/relationships" name="Paid" sheetId="16" state="visible" r:id="rId16"/>
    <sheet xmlns:r="http://schemas.openxmlformats.org/officeDocument/2006/relationships" name="Reported" sheetId="17" state="visible" r:id="rId17"/>
    <sheet xmlns:r="http://schemas.openxmlformats.org/officeDocument/2006/relationships" name="Exposure" sheetId="18" state="visible" r:id="rId18"/>
    <sheet xmlns:r="http://schemas.openxmlformats.org/officeDocument/2006/relationships" name="Diag - Rptd Claims" sheetId="19" state="visible" r:id="rId19"/>
    <sheet xmlns:r="http://schemas.openxmlformats.org/officeDocument/2006/relationships" name="Diag - Inc Severity" sheetId="20" state="visible" r:id="rId20"/>
    <sheet xmlns:r="http://schemas.openxmlformats.org/officeDocument/2006/relationships" name="Diag - Paid to Incurred" sheetId="21" state="visible" r:id="rId21"/>
    <sheet xmlns:r="http://schemas.openxmlformats.org/officeDocument/2006/relationships" name="Diag - Incr Inc Svty" sheetId="22" state="visible" r:id="rId22"/>
    <sheet xmlns:r="http://schemas.openxmlformats.org/officeDocument/2006/relationships" name="Incurred Loss - CV &amp; Slopes" sheetId="23" state="visible" r:id="rId23"/>
    <sheet xmlns:r="http://schemas.openxmlformats.org/officeDocument/2006/relationships" name="Paid Loss - CV &amp; Slopes" sheetId="24" state="visible" r:id="rId24"/>
    <sheet xmlns:r="http://schemas.openxmlformats.org/officeDocument/2006/relationships" name="Reported Count - CV &amp; Slopes" sheetId="25" state="visible" r:id="rId25"/>
    <sheet xmlns:r="http://schemas.openxmlformats.org/officeDocument/2006/relationships" name="Incurred-to-Ult" sheetId="26" state="visible" r:id="rId26"/>
    <sheet xmlns:r="http://schemas.openxmlformats.org/officeDocument/2006/relationships" name="Paid-to-Ult" sheetId="27" state="visible" r:id="rId27"/>
    <sheet xmlns:r="http://schemas.openxmlformats.org/officeDocument/2006/relationships" name="Reported-to-Ult" sheetId="28" state="visible" r:id="rId28"/>
    <sheet xmlns:r="http://schemas.openxmlformats.org/officeDocument/2006/relationships" name="Average IBNR" sheetId="29" state="visible" r:id="rId29"/>
    <sheet xmlns:r="http://schemas.openxmlformats.org/officeDocument/2006/relationships" name="Average Unpaid" sheetId="30" state="visible" r:id="rId30"/>
    <sheet xmlns:r="http://schemas.openxmlformats.org/officeDocument/2006/relationships" name="Diagnostic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0.0000"/>
    <numFmt numFmtId="167" formatCode="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  <font>
      <b val="1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3" fontId="2" fillId="0" borderId="1" pivotButton="0" quotePrefix="0" xfId="0"/>
    <xf numFmtId="49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2" fillId="0" borderId="1" pivotButton="0" quotePrefix="0" xfId="0"/>
    <xf numFmtId="165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67" fontId="4" fillId="4" borderId="1" applyAlignment="1" pivotButton="0" quotePrefix="0" xfId="0">
      <alignment horizontal="left" vertical="top" wrapText="1"/>
    </xf>
    <xf numFmtId="167" fontId="2" fillId="4" borderId="1" applyAlignment="1" pivotButton="0" quotePrefix="0" xfId="0">
      <alignment horizontal="left" vertical="top" wrapText="1"/>
    </xf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Reserve Analysis - Complete Analysis</t>
        </is>
      </c>
      <c r="B1" s="2" t="n"/>
    </row>
    <row r="2">
      <c r="A2" s="3" t="inlineStr">
        <is>
          <t>Workbook Information</t>
        </is>
      </c>
      <c r="B2" s="2" t="n"/>
    </row>
    <row r="3">
      <c r="A3" s="4" t="inlineStr">
        <is>
          <t>Created:</t>
        </is>
      </c>
      <c r="B3" s="5" t="inlineStr">
        <is>
          <t>April 27, 2026 08:14 PM</t>
        </is>
      </c>
    </row>
    <row r="4">
      <c r="A4" s="4" t="inlineStr">
        <is>
          <t>Description:</t>
        </is>
      </c>
      <c r="B4" s="5" t="inlineStr">
        <is>
          <t>Complete actuarial reserve analysis combining selections, ultimates, and diagnostics</t>
        </is>
      </c>
    </row>
    <row r="6">
      <c r="A6" s="3" t="inlineStr">
        <is>
          <t>Table of Contents</t>
        </is>
      </c>
      <c r="B6" s="2" t="n"/>
    </row>
    <row r="7">
      <c r="A7" s="6" t="inlineStr">
        <is>
          <t>Name</t>
        </is>
      </c>
      <c r="B7" s="6" t="inlineStr">
        <is>
          <t>Description</t>
        </is>
      </c>
    </row>
    <row r="8">
      <c r="A8" s="5" t="inlineStr">
        <is>
          <t>Loss Selection</t>
        </is>
      </c>
      <c r="B8" s="7" t="inlineStr">
        <is>
          <t>Actuary-selected ultimates for loss measures. Compare CL/BF/IE methods and record final selection.</t>
        </is>
      </c>
    </row>
    <row r="9">
      <c r="A9" s="5" t="inlineStr">
        <is>
          <t>Incurred CL</t>
        </is>
      </c>
      <c r="B9" s="7" t="inlineStr">
        <is>
          <t>Chain Ladder method results. Ultimate = Actual × CDF. IBNR = Ultimate − Actual. Unpaid = Ultimate − latest paid (proxy measure).</t>
        </is>
      </c>
    </row>
    <row r="10">
      <c r="A10" s="5" t="inlineStr">
        <is>
          <t>Paid CL</t>
        </is>
      </c>
      <c r="B10" s="7" t="inlineStr">
        <is>
          <t>Chain Ladder method results. Ultimate = Actual × CDF. IBNR = Ultimate − Actual. Unpaid = Ultimate − latest paid (proxy measure).</t>
        </is>
      </c>
    </row>
    <row r="11">
      <c r="A11" s="5" t="inlineStr">
        <is>
          <t>Incurred BF</t>
        </is>
      </c>
      <c r="B11" s="7" t="inlineStr">
        <is>
          <t>Bornhuetter-Ferguson method. Blends Initial Expected with emerged experience. % Unreported = 1 − 1/CDF. Ultimate = (IE × % Unreported) + Actual.</t>
        </is>
      </c>
    </row>
    <row r="12">
      <c r="A12" s="5" t="inlineStr">
        <is>
          <t>Paid BF</t>
        </is>
      </c>
      <c r="B12" s="7" t="inlineStr">
        <is>
          <t>Bornhuetter-Ferguson method. Blends Initial Expected with emerged experience. % Unreported = 1 − 1/CDF. Ultimate = (IE × % Unreported) + Actual.</t>
        </is>
      </c>
    </row>
    <row r="13">
      <c r="A13" s="5" t="inlineStr">
        <is>
          <t>Incurred IE</t>
        </is>
      </c>
      <c r="B13" s="7" t="inlineStr">
        <is>
          <t>Initial Expected method. Ultimate = Exposure × Selected Loss Rate (ELR). ELR back-calculated from IE ultimate and exposure.</t>
        </is>
      </c>
    </row>
    <row r="14">
      <c r="A14" s="5" t="inlineStr">
        <is>
          <t>Paid IE</t>
        </is>
      </c>
      <c r="B14" s="7" t="inlineStr">
        <is>
          <t>Initial Expected method. Ultimate = Exposure × Selected Loss Rate (ELR). ELR back-calculated from IE ultimate and exposure.</t>
        </is>
      </c>
    </row>
    <row r="15">
      <c r="A15" s="5" t="inlineStr">
        <is>
          <t>Count Selection</t>
        </is>
      </c>
      <c r="B15" s="7" t="inlineStr">
        <is>
          <t>Analysis results</t>
        </is>
      </c>
    </row>
    <row r="16">
      <c r="A16" s="5" t="inlineStr">
        <is>
          <t>Closed CL</t>
        </is>
      </c>
      <c r="B16" s="7" t="inlineStr">
        <is>
          <t>Chain Ladder method results. Ultimate = Actual × CDF. IBNR = Ultimate − Actual. Unpaid = Ultimate − latest paid (proxy measure).</t>
        </is>
      </c>
    </row>
    <row r="17">
      <c r="A17" s="5" t="inlineStr">
        <is>
          <t>Reported CL</t>
        </is>
      </c>
      <c r="B17" s="7" t="inlineStr">
        <is>
          <t>Chain Ladder method results. Ultimate = Actual × CDF. IBNR = Ultimate − Actual. Unpaid = Ultimate − latest paid (proxy measure).</t>
        </is>
      </c>
    </row>
    <row r="18">
      <c r="A18" s="5" t="inlineStr">
        <is>
          <t>Reported BF</t>
        </is>
      </c>
      <c r="B18" s="7" t="inlineStr">
        <is>
          <t>Bornhuetter-Ferguson method. Blends Initial Expected with emerged experience. % Unreported = 1 − 1/CDF. Ultimate = (IE × % Unreported) + Actual.</t>
        </is>
      </c>
    </row>
    <row r="19">
      <c r="A19" s="5" t="inlineStr">
        <is>
          <t>Closed IE</t>
        </is>
      </c>
      <c r="B19" s="7" t="inlineStr">
        <is>
          <t>Initial Expected method. Ultimate = Exposure × Selected Loss Rate (ELR). ELR back-calculated from IE ultimate and exposure.</t>
        </is>
      </c>
    </row>
    <row r="20">
      <c r="A20" s="5" t="inlineStr">
        <is>
          <t>Reported IE</t>
        </is>
      </c>
      <c r="B20" s="7" t="inlineStr">
        <is>
          <t>Initial Expected method. Ultimate = Exposure × Selected Loss Rate (ELR). ELR back-calculated from IE ultimate and exposure.</t>
        </is>
      </c>
    </row>
    <row r="21">
      <c r="A21" s="5" t="inlineStr">
        <is>
          <t>Incurred</t>
        </is>
      </c>
      <c r="B21" s="7" t="inlineStr">
        <is>
          <t>Incurred development triangle with age-to-age factors, weighted/simple averages, and selected LDFs.</t>
        </is>
      </c>
    </row>
    <row r="22">
      <c r="A22" s="5" t="inlineStr">
        <is>
          <t>Paid</t>
        </is>
      </c>
      <c r="B22" s="7" t="inlineStr">
        <is>
          <t>Paid development triangle with age-to-age factors, weighted/simple averages, and selected LDFs.</t>
        </is>
      </c>
    </row>
    <row r="23">
      <c r="A23" s="5" t="inlineStr">
        <is>
          <t>Reported</t>
        </is>
      </c>
      <c r="B23" s="7" t="inlineStr">
        <is>
          <t>Reported development triangle with age-to-age factors, weighted/simple averages, and selected LDFs.</t>
        </is>
      </c>
    </row>
    <row r="24">
      <c r="A24" s="5" t="inlineStr">
        <is>
          <t>Exposure</t>
        </is>
      </c>
      <c r="B24" s="7" t="inlineStr">
        <is>
          <t>Exposure development triangle with age-to-age factors, weighted/simple averages, and selected LDFs.</t>
        </is>
      </c>
    </row>
    <row r="25">
      <c r="A25" s="5" t="inlineStr">
        <is>
          <t>Diag - Rptd Claims</t>
        </is>
      </c>
      <c r="B25" s="7" t="inlineStr">
        <is>
          <t>Diagnostic scatter plot data for development pattern review.</t>
        </is>
      </c>
    </row>
    <row r="26">
      <c r="A26" s="5" t="inlineStr">
        <is>
          <t>Diag - Inc Severity</t>
        </is>
      </c>
      <c r="B26" s="7" t="inlineStr">
        <is>
          <t>Diagnostic scatter plot data for development pattern review.</t>
        </is>
      </c>
    </row>
    <row r="27">
      <c r="A27" s="5" t="inlineStr">
        <is>
          <t>Diag - Paid to Incurred</t>
        </is>
      </c>
      <c r="B27" s="7" t="inlineStr">
        <is>
          <t>Diagnostic scatter plot data for development pattern review.</t>
        </is>
      </c>
    </row>
    <row r="28">
      <c r="A28" s="5" t="inlineStr">
        <is>
          <t>Diag - Incr Inc Svty</t>
        </is>
      </c>
      <c r="B28" s="7" t="inlineStr">
        <is>
          <t>Diagnostic scatter plot data for development pattern review.</t>
        </is>
      </c>
    </row>
    <row r="29">
      <c r="A29" s="5" t="inlineStr">
        <is>
          <t>Incurred Loss - CV &amp; Slopes</t>
        </is>
      </c>
      <c r="B29" s="7" t="inlineStr">
        <is>
          <t>Coefficient of variation and regression slope statistics for age-to-age factors by development interval.</t>
        </is>
      </c>
    </row>
    <row r="30">
      <c r="A30" s="5" t="inlineStr">
        <is>
          <t>Paid Loss - CV &amp; Slopes</t>
        </is>
      </c>
      <c r="B30" s="7" t="inlineStr">
        <is>
          <t>Coefficient of variation and regression slope statistics for age-to-age factors by development interval.</t>
        </is>
      </c>
    </row>
    <row r="31">
      <c r="A31" s="5" t="inlineStr">
        <is>
          <t>Reported Count - CV &amp; Slopes</t>
        </is>
      </c>
      <c r="B31" s="7" t="inlineStr">
        <is>
          <t>Coefficient of variation and regression slope statistics for age-to-age factors by development interval.</t>
        </is>
      </c>
    </row>
    <row r="32">
      <c r="A32" s="5" t="inlineStr">
        <is>
          <t>Incurred-to-Ult</t>
        </is>
      </c>
      <c r="B32" s="7" t="inlineStr">
        <is>
          <t>Incurred loss as a percent of selected ultimate by age. Values approach 1.0 as periods mature.</t>
        </is>
      </c>
    </row>
    <row r="33">
      <c r="A33" s="5" t="inlineStr">
        <is>
          <t>Paid-to-Ult</t>
        </is>
      </c>
      <c r="B33" s="7" t="inlineStr">
        <is>
          <t>Paid loss as a percent of selected ultimate by age. Values approach 1.0 as periods mature.</t>
        </is>
      </c>
    </row>
    <row r="34">
      <c r="A34" s="5" t="inlineStr">
        <is>
          <t>Reported-to-Ult</t>
        </is>
      </c>
      <c r="B34" s="7" t="inlineStr">
        <is>
          <t>Reported count as a percent of selected ultimate by age. Values approach 1.0 as periods mature.</t>
        </is>
      </c>
    </row>
    <row r="35">
      <c r="A35" s="5" t="inlineStr">
        <is>
          <t>Average IBNR</t>
        </is>
      </c>
      <c r="B35" s="7" t="inlineStr">
        <is>
          <t>Selected Ultimate minus Incurred at each development age. Shows average reserve need remaining by age.</t>
        </is>
      </c>
    </row>
    <row r="36">
      <c r="A36" s="5" t="inlineStr">
        <is>
          <t>Average Unpaid</t>
        </is>
      </c>
      <c r="B36" s="7" t="inlineStr">
        <is>
          <t>Selected Ultimate minus Paid at each development age. Shows average unpaid reserve remaining by age.</t>
        </is>
      </c>
    </row>
    <row r="37">
      <c r="A37" s="5" t="inlineStr">
        <is>
          <t>Diagnostics</t>
        </is>
      </c>
      <c r="B37" s="7" t="inlineStr">
        <is>
          <t>Post-selection reasonableness checks. Severity = Ultimate Loss / Ultimate Count. Loss Rate and Frequency require Exposure.</t>
        </is>
      </c>
    </row>
  </sheetData>
  <mergeCells count="5">
    <mergeCell ref="B4"/>
    <mergeCell ref="A2:B2"/>
    <mergeCell ref="A1:B1"/>
    <mergeCell ref="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Paid</t>
        </is>
      </c>
      <c r="E1" s="8" t="inlineStr">
        <is>
          <t>Incurred CL</t>
        </is>
      </c>
      <c r="F1" s="8" t="inlineStr">
        <is>
          <t>Paid CL</t>
        </is>
      </c>
      <c r="G1" s="8" t="inlineStr">
        <is>
          <t>Initial Expected</t>
        </is>
      </c>
      <c r="H1" s="8" t="inlineStr">
        <is>
          <t>Incurred BF</t>
        </is>
      </c>
      <c r="I1" s="8" t="inlineStr">
        <is>
          <t>Paid BF</t>
        </is>
      </c>
      <c r="J1" s="8" t="inlineStr">
        <is>
          <t>Selected Ultimate</t>
        </is>
      </c>
      <c r="K1" s="8" t="inlineStr">
        <is>
          <t>IBNR</t>
        </is>
      </c>
      <c r="L1" s="8" t="inlineStr">
        <is>
          <t>Unpaid</t>
        </is>
      </c>
      <c r="M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'Incurred CL'!C2</f>
        <v/>
      </c>
      <c r="D2" s="10">
        <f>'Paid CL'!C2</f>
        <v/>
      </c>
      <c r="E2" s="10">
        <f>'Incurred CL'!E2</f>
        <v/>
      </c>
      <c r="F2" s="10">
        <f>'Paid CL'!E2</f>
        <v/>
      </c>
      <c r="G2" s="10">
        <f>'Incurred IE'!D2</f>
        <v/>
      </c>
      <c r="H2" s="10">
        <f>'Incurred BF'!H2</f>
        <v/>
      </c>
      <c r="I2" s="10">
        <f>'Paid BF'!H2</f>
        <v/>
      </c>
      <c r="J2" s="10">
        <f>IF('/sessions/eloquent-hopeful-babbage/mnt/sample-run/selections\[Ultimates.xlsx]Losses'!O2&lt;&gt;"",'/sessions/eloquent-hopeful-babbage/mnt/sample-run/selections\[Ultimates.xlsx]Losses'!O2,'/sessions/eloquent-hopeful-babbage/mnt/sample-run/selections\[Ultimates.xlsx]Losses'!K2)</f>
        <v/>
      </c>
      <c r="K2" s="10">
        <f>J2-C2</f>
        <v/>
      </c>
      <c r="L2" s="10">
        <f>J2-D2</f>
        <v/>
      </c>
      <c r="M2" s="11">
        <f>IF('/sessions/eloquent-hopeful-babbage/mnt/sample-run/selections\[Ultimates.xlsx]Losses'!O2&lt;&gt;"",'/sessions/eloquent-hopeful-babbage/mnt/sample-run/selections\[Ultimates.xlsx]Losses'!P2,'/sessions/eloquent-hopeful-babbage/mnt/sample-run/selections\[Ultimates.xlsx]Losses'!L2)</f>
        <v/>
      </c>
    </row>
    <row r="3">
      <c r="A3" s="9" t="n">
        <v>2002</v>
      </c>
      <c r="B3" s="9" t="n">
        <v>275</v>
      </c>
      <c r="C3" s="10">
        <f>'Incurred CL'!C3</f>
        <v/>
      </c>
      <c r="D3" s="10">
        <f>'Paid CL'!C3</f>
        <v/>
      </c>
      <c r="E3" s="10">
        <f>'Incurred CL'!E3</f>
        <v/>
      </c>
      <c r="F3" s="10">
        <f>'Paid CL'!E3</f>
        <v/>
      </c>
      <c r="G3" s="10">
        <f>'Incurred IE'!D3</f>
        <v/>
      </c>
      <c r="H3" s="10">
        <f>'Incurred BF'!H3</f>
        <v/>
      </c>
      <c r="I3" s="10">
        <f>'Paid BF'!H3</f>
        <v/>
      </c>
      <c r="J3" s="10">
        <f>IF('/sessions/eloquent-hopeful-babbage/mnt/sample-run/selections\[Ultimates.xlsx]Losses'!O3&lt;&gt;"",'/sessions/eloquent-hopeful-babbage/mnt/sample-run/selections\[Ultimates.xlsx]Losses'!O3,'/sessions/eloquent-hopeful-babbage/mnt/sample-run/selections\[Ultimates.xlsx]Losses'!K3)</f>
        <v/>
      </c>
      <c r="K3" s="10">
        <f>J3-C3</f>
        <v/>
      </c>
      <c r="L3" s="10">
        <f>J3-D3</f>
        <v/>
      </c>
      <c r="M3" s="11">
        <f>IF('/sessions/eloquent-hopeful-babbage/mnt/sample-run/selections\[Ultimates.xlsx]Losses'!O3&lt;&gt;"",'/sessions/eloquent-hopeful-babbage/mnt/sample-run/selections\[Ultimates.xlsx]Losses'!P3,'/sessions/eloquent-hopeful-babbage/mnt/sample-run/selections\[Ultimates.xlsx]Losses'!L3)</f>
        <v/>
      </c>
    </row>
    <row r="4">
      <c r="A4" s="9" t="n">
        <v>2003</v>
      </c>
      <c r="B4" s="9" t="n">
        <v>263</v>
      </c>
      <c r="C4" s="10">
        <f>'Incurred CL'!C4</f>
        <v/>
      </c>
      <c r="D4" s="10">
        <f>'Paid CL'!C4</f>
        <v/>
      </c>
      <c r="E4" s="10">
        <f>'Incurred CL'!E4</f>
        <v/>
      </c>
      <c r="F4" s="10">
        <f>'Paid CL'!E4</f>
        <v/>
      </c>
      <c r="G4" s="10">
        <f>'Incurred IE'!D4</f>
        <v/>
      </c>
      <c r="H4" s="10">
        <f>'Incurred BF'!H4</f>
        <v/>
      </c>
      <c r="I4" s="10">
        <f>'Paid BF'!H4</f>
        <v/>
      </c>
      <c r="J4" s="10">
        <f>IF('/sessions/eloquent-hopeful-babbage/mnt/sample-run/selections\[Ultimates.xlsx]Losses'!O4&lt;&gt;"",'/sessions/eloquent-hopeful-babbage/mnt/sample-run/selections\[Ultimates.xlsx]Losses'!O4,'/sessions/eloquent-hopeful-babbage/mnt/sample-run/selections\[Ultimates.xlsx]Losses'!K4)</f>
        <v/>
      </c>
      <c r="K4" s="10">
        <f>J4-C4</f>
        <v/>
      </c>
      <c r="L4" s="10">
        <f>J4-D4</f>
        <v/>
      </c>
      <c r="M4" s="11">
        <f>IF('/sessions/eloquent-hopeful-babbage/mnt/sample-run/selections\[Ultimates.xlsx]Losses'!O4&lt;&gt;"",'/sessions/eloquent-hopeful-babbage/mnt/sample-run/selections\[Ultimates.xlsx]Losses'!P4,'/sessions/eloquent-hopeful-babbage/mnt/sample-run/selections\[Ultimates.xlsx]Losses'!L4)</f>
        <v/>
      </c>
    </row>
    <row r="5">
      <c r="A5" s="9" t="n">
        <v>2004</v>
      </c>
      <c r="B5" s="9" t="n">
        <v>251</v>
      </c>
      <c r="C5" s="10">
        <f>'Incurred CL'!C5</f>
        <v/>
      </c>
      <c r="D5" s="10">
        <f>'Paid CL'!C5</f>
        <v/>
      </c>
      <c r="E5" s="10">
        <f>'Incurred CL'!E5</f>
        <v/>
      </c>
      <c r="F5" s="10">
        <f>'Paid CL'!E5</f>
        <v/>
      </c>
      <c r="G5" s="10">
        <f>'Incurred IE'!D5</f>
        <v/>
      </c>
      <c r="H5" s="10">
        <f>'Incurred BF'!H5</f>
        <v/>
      </c>
      <c r="I5" s="10">
        <f>'Paid BF'!H5</f>
        <v/>
      </c>
      <c r="J5" s="10">
        <f>IF('/sessions/eloquent-hopeful-babbage/mnt/sample-run/selections\[Ultimates.xlsx]Losses'!O5&lt;&gt;"",'/sessions/eloquent-hopeful-babbage/mnt/sample-run/selections\[Ultimates.xlsx]Losses'!O5,'/sessions/eloquent-hopeful-babbage/mnt/sample-run/selections\[Ultimates.xlsx]Losses'!K5)</f>
        <v/>
      </c>
      <c r="K5" s="10">
        <f>J5-C5</f>
        <v/>
      </c>
      <c r="L5" s="10">
        <f>J5-D5</f>
        <v/>
      </c>
      <c r="M5" s="11">
        <f>IF('/sessions/eloquent-hopeful-babbage/mnt/sample-run/selections\[Ultimates.xlsx]Losses'!O5&lt;&gt;"",'/sessions/eloquent-hopeful-babbage/mnt/sample-run/selections\[Ultimates.xlsx]Losses'!P5,'/sessions/eloquent-hopeful-babbage/mnt/sample-run/selections\[Ultimates.xlsx]Losses'!L5)</f>
        <v/>
      </c>
    </row>
    <row r="6">
      <c r="A6" s="9" t="n">
        <v>2005</v>
      </c>
      <c r="B6" s="9" t="n">
        <v>239</v>
      </c>
      <c r="C6" s="10">
        <f>'Incurred CL'!C6</f>
        <v/>
      </c>
      <c r="D6" s="10">
        <f>'Paid CL'!C6</f>
        <v/>
      </c>
      <c r="E6" s="10">
        <f>'Incurred CL'!E6</f>
        <v/>
      </c>
      <c r="F6" s="10">
        <f>'Paid CL'!E6</f>
        <v/>
      </c>
      <c r="G6" s="10">
        <f>'Incurred IE'!D6</f>
        <v/>
      </c>
      <c r="H6" s="10">
        <f>'Incurred BF'!H6</f>
        <v/>
      </c>
      <c r="I6" s="10">
        <f>'Paid BF'!H6</f>
        <v/>
      </c>
      <c r="J6" s="10">
        <f>IF('/sessions/eloquent-hopeful-babbage/mnt/sample-run/selections\[Ultimates.xlsx]Losses'!O6&lt;&gt;"",'/sessions/eloquent-hopeful-babbage/mnt/sample-run/selections\[Ultimates.xlsx]Losses'!O6,'/sessions/eloquent-hopeful-babbage/mnt/sample-run/selections\[Ultimates.xlsx]Losses'!K6)</f>
        <v/>
      </c>
      <c r="K6" s="10">
        <f>J6-C6</f>
        <v/>
      </c>
      <c r="L6" s="10">
        <f>J6-D6</f>
        <v/>
      </c>
      <c r="M6" s="11">
        <f>IF('/sessions/eloquent-hopeful-babbage/mnt/sample-run/selections\[Ultimates.xlsx]Losses'!O6&lt;&gt;"",'/sessions/eloquent-hopeful-babbage/mnt/sample-run/selections\[Ultimates.xlsx]Losses'!P6,'/sessions/eloquent-hopeful-babbage/mnt/sample-run/selections\[Ultimates.xlsx]Losses'!L6)</f>
        <v/>
      </c>
    </row>
    <row r="7">
      <c r="A7" s="9" t="n">
        <v>2006</v>
      </c>
      <c r="B7" s="9" t="n">
        <v>227</v>
      </c>
      <c r="C7" s="10">
        <f>'Incurred CL'!C7</f>
        <v/>
      </c>
      <c r="D7" s="10">
        <f>'Paid CL'!C7</f>
        <v/>
      </c>
      <c r="E7" s="10">
        <f>'Incurred CL'!E7</f>
        <v/>
      </c>
      <c r="F7" s="10">
        <f>'Paid CL'!E7</f>
        <v/>
      </c>
      <c r="G7" s="10">
        <f>'Incurred IE'!D7</f>
        <v/>
      </c>
      <c r="H7" s="10">
        <f>'Incurred BF'!H7</f>
        <v/>
      </c>
      <c r="I7" s="10">
        <f>'Paid BF'!H7</f>
        <v/>
      </c>
      <c r="J7" s="10">
        <f>IF('/sessions/eloquent-hopeful-babbage/mnt/sample-run/selections\[Ultimates.xlsx]Losses'!O7&lt;&gt;"",'/sessions/eloquent-hopeful-babbage/mnt/sample-run/selections\[Ultimates.xlsx]Losses'!O7,'/sessions/eloquent-hopeful-babbage/mnt/sample-run/selections\[Ultimates.xlsx]Losses'!K7)</f>
        <v/>
      </c>
      <c r="K7" s="10">
        <f>J7-C7</f>
        <v/>
      </c>
      <c r="L7" s="10">
        <f>J7-D7</f>
        <v/>
      </c>
      <c r="M7" s="11">
        <f>IF('/sessions/eloquent-hopeful-babbage/mnt/sample-run/selections\[Ultimates.xlsx]Losses'!O7&lt;&gt;"",'/sessions/eloquent-hopeful-babbage/mnt/sample-run/selections\[Ultimates.xlsx]Losses'!P7,'/sessions/eloquent-hopeful-babbage/mnt/sample-run/selections\[Ultimates.xlsx]Losses'!L7)</f>
        <v/>
      </c>
    </row>
    <row r="8">
      <c r="A8" s="9" t="n">
        <v>2007</v>
      </c>
      <c r="B8" s="9" t="n">
        <v>215</v>
      </c>
      <c r="C8" s="10">
        <f>'Incurred CL'!C8</f>
        <v/>
      </c>
      <c r="D8" s="10">
        <f>'Paid CL'!C8</f>
        <v/>
      </c>
      <c r="E8" s="10">
        <f>'Incurred CL'!E8</f>
        <v/>
      </c>
      <c r="F8" s="10">
        <f>'Paid CL'!E8</f>
        <v/>
      </c>
      <c r="G8" s="10">
        <f>'Incurred IE'!D8</f>
        <v/>
      </c>
      <c r="H8" s="10">
        <f>'Incurred BF'!H8</f>
        <v/>
      </c>
      <c r="I8" s="10">
        <f>'Paid BF'!H8</f>
        <v/>
      </c>
      <c r="J8" s="10">
        <f>IF('/sessions/eloquent-hopeful-babbage/mnt/sample-run/selections\[Ultimates.xlsx]Losses'!O8&lt;&gt;"",'/sessions/eloquent-hopeful-babbage/mnt/sample-run/selections\[Ultimates.xlsx]Losses'!O8,'/sessions/eloquent-hopeful-babbage/mnt/sample-run/selections\[Ultimates.xlsx]Losses'!K8)</f>
        <v/>
      </c>
      <c r="K8" s="10">
        <f>J8-C8</f>
        <v/>
      </c>
      <c r="L8" s="10">
        <f>J8-D8</f>
        <v/>
      </c>
      <c r="M8" s="11">
        <f>IF('/sessions/eloquent-hopeful-babbage/mnt/sample-run/selections\[Ultimates.xlsx]Losses'!O8&lt;&gt;"",'/sessions/eloquent-hopeful-babbage/mnt/sample-run/selections\[Ultimates.xlsx]Losses'!P8,'/sessions/eloquent-hopeful-babbage/mnt/sample-run/selections\[Ultimates.xlsx]Losses'!L8)</f>
        <v/>
      </c>
    </row>
    <row r="9">
      <c r="A9" s="9" t="n">
        <v>2008</v>
      </c>
      <c r="B9" s="9" t="n">
        <v>203</v>
      </c>
      <c r="C9" s="10">
        <f>'Incurred CL'!C9</f>
        <v/>
      </c>
      <c r="D9" s="10">
        <f>'Paid CL'!C9</f>
        <v/>
      </c>
      <c r="E9" s="10">
        <f>'Incurred CL'!E9</f>
        <v/>
      </c>
      <c r="F9" s="10">
        <f>'Paid CL'!E9</f>
        <v/>
      </c>
      <c r="G9" s="10">
        <f>'Incurred IE'!D9</f>
        <v/>
      </c>
      <c r="H9" s="10">
        <f>'Incurred BF'!H9</f>
        <v/>
      </c>
      <c r="I9" s="10">
        <f>'Paid BF'!H9</f>
        <v/>
      </c>
      <c r="J9" s="10">
        <f>IF('/sessions/eloquent-hopeful-babbage/mnt/sample-run/selections\[Ultimates.xlsx]Losses'!O9&lt;&gt;"",'/sessions/eloquent-hopeful-babbage/mnt/sample-run/selections\[Ultimates.xlsx]Losses'!O9,'/sessions/eloquent-hopeful-babbage/mnt/sample-run/selections\[Ultimates.xlsx]Losses'!K9)</f>
        <v/>
      </c>
      <c r="K9" s="10">
        <f>J9-C9</f>
        <v/>
      </c>
      <c r="L9" s="10">
        <f>J9-D9</f>
        <v/>
      </c>
      <c r="M9" s="11">
        <f>IF('/sessions/eloquent-hopeful-babbage/mnt/sample-run/selections\[Ultimates.xlsx]Losses'!O9&lt;&gt;"",'/sessions/eloquent-hopeful-babbage/mnt/sample-run/selections\[Ultimates.xlsx]Losses'!P9,'/sessions/eloquent-hopeful-babbage/mnt/sample-run/selections\[Ultimates.xlsx]Losses'!L9)</f>
        <v/>
      </c>
    </row>
    <row r="10">
      <c r="A10" s="9" t="n">
        <v>2009</v>
      </c>
      <c r="B10" s="9" t="n">
        <v>191</v>
      </c>
      <c r="C10" s="10">
        <f>'Incurred CL'!C10</f>
        <v/>
      </c>
      <c r="D10" s="10">
        <f>'Paid CL'!C10</f>
        <v/>
      </c>
      <c r="E10" s="10">
        <f>'Incurred CL'!E10</f>
        <v/>
      </c>
      <c r="F10" s="10">
        <f>'Paid CL'!E10</f>
        <v/>
      </c>
      <c r="G10" s="10">
        <f>'Incurred IE'!D10</f>
        <v/>
      </c>
      <c r="H10" s="10">
        <f>'Incurred BF'!H10</f>
        <v/>
      </c>
      <c r="I10" s="10">
        <f>'Paid BF'!H10</f>
        <v/>
      </c>
      <c r="J10" s="10">
        <f>IF('/sessions/eloquent-hopeful-babbage/mnt/sample-run/selections\[Ultimates.xlsx]Losses'!O10&lt;&gt;"",'/sessions/eloquent-hopeful-babbage/mnt/sample-run/selections\[Ultimates.xlsx]Losses'!O10,'/sessions/eloquent-hopeful-babbage/mnt/sample-run/selections\[Ultimates.xlsx]Losses'!K10)</f>
        <v/>
      </c>
      <c r="K10" s="10">
        <f>J10-C10</f>
        <v/>
      </c>
      <c r="L10" s="10">
        <f>J10-D10</f>
        <v/>
      </c>
      <c r="M10" s="11">
        <f>IF('/sessions/eloquent-hopeful-babbage/mnt/sample-run/selections\[Ultimates.xlsx]Losses'!O10&lt;&gt;"",'/sessions/eloquent-hopeful-babbage/mnt/sample-run/selections\[Ultimates.xlsx]Losses'!P10,'/sessions/eloquent-hopeful-babbage/mnt/sample-run/selections\[Ultimates.xlsx]Losses'!L10)</f>
        <v/>
      </c>
    </row>
    <row r="11">
      <c r="A11" s="9" t="n">
        <v>2010</v>
      </c>
      <c r="B11" s="9" t="n">
        <v>179</v>
      </c>
      <c r="C11" s="10">
        <f>'Incurred CL'!C11</f>
        <v/>
      </c>
      <c r="D11" s="10">
        <f>'Paid CL'!C11</f>
        <v/>
      </c>
      <c r="E11" s="10">
        <f>'Incurred CL'!E11</f>
        <v/>
      </c>
      <c r="F11" s="10">
        <f>'Paid CL'!E11</f>
        <v/>
      </c>
      <c r="G11" s="10">
        <f>'Incurred IE'!D11</f>
        <v/>
      </c>
      <c r="H11" s="10">
        <f>'Incurred BF'!H11</f>
        <v/>
      </c>
      <c r="I11" s="10">
        <f>'Paid BF'!H11</f>
        <v/>
      </c>
      <c r="J11" s="10">
        <f>IF('/sessions/eloquent-hopeful-babbage/mnt/sample-run/selections\[Ultimates.xlsx]Losses'!O11&lt;&gt;"",'/sessions/eloquent-hopeful-babbage/mnt/sample-run/selections\[Ultimates.xlsx]Losses'!O11,'/sessions/eloquent-hopeful-babbage/mnt/sample-run/selections\[Ultimates.xlsx]Losses'!K11)</f>
        <v/>
      </c>
      <c r="K11" s="10">
        <f>J11-C11</f>
        <v/>
      </c>
      <c r="L11" s="10">
        <f>J11-D11</f>
        <v/>
      </c>
      <c r="M11" s="11">
        <f>IF('/sessions/eloquent-hopeful-babbage/mnt/sample-run/selections\[Ultimates.xlsx]Losses'!O11&lt;&gt;"",'/sessions/eloquent-hopeful-babbage/mnt/sample-run/selections\[Ultimates.xlsx]Losses'!P11,'/sessions/eloquent-hopeful-babbage/mnt/sample-run/selections\[Ultimates.xlsx]Losses'!L11)</f>
        <v/>
      </c>
    </row>
    <row r="12">
      <c r="A12" s="9" t="n">
        <v>2011</v>
      </c>
      <c r="B12" s="9" t="n">
        <v>167</v>
      </c>
      <c r="C12" s="10">
        <f>'Incurred CL'!C12</f>
        <v/>
      </c>
      <c r="D12" s="10">
        <f>'Paid CL'!C12</f>
        <v/>
      </c>
      <c r="E12" s="10">
        <f>'Incurred CL'!E12</f>
        <v/>
      </c>
      <c r="F12" s="10">
        <f>'Paid CL'!E12</f>
        <v/>
      </c>
      <c r="G12" s="10">
        <f>'Incurred IE'!D12</f>
        <v/>
      </c>
      <c r="H12" s="10">
        <f>'Incurred BF'!H12</f>
        <v/>
      </c>
      <c r="I12" s="10">
        <f>'Paid BF'!H12</f>
        <v/>
      </c>
      <c r="J12" s="10">
        <f>IF('/sessions/eloquent-hopeful-babbage/mnt/sample-run/selections\[Ultimates.xlsx]Losses'!O12&lt;&gt;"",'/sessions/eloquent-hopeful-babbage/mnt/sample-run/selections\[Ultimates.xlsx]Losses'!O12,'/sessions/eloquent-hopeful-babbage/mnt/sample-run/selections\[Ultimates.xlsx]Losses'!K12)</f>
        <v/>
      </c>
      <c r="K12" s="10">
        <f>J12-C12</f>
        <v/>
      </c>
      <c r="L12" s="10">
        <f>J12-D12</f>
        <v/>
      </c>
      <c r="M12" s="11">
        <f>IF('/sessions/eloquent-hopeful-babbage/mnt/sample-run/selections\[Ultimates.xlsx]Losses'!O12&lt;&gt;"",'/sessions/eloquent-hopeful-babbage/mnt/sample-run/selections\[Ultimates.xlsx]Losses'!P12,'/sessions/eloquent-hopeful-babbage/mnt/sample-run/selections\[Ultimates.xlsx]Losses'!L12)</f>
        <v/>
      </c>
    </row>
    <row r="13">
      <c r="A13" s="9" t="n">
        <v>2012</v>
      </c>
      <c r="B13" s="9" t="n">
        <v>155</v>
      </c>
      <c r="C13" s="10">
        <f>'Incurred CL'!C13</f>
        <v/>
      </c>
      <c r="D13" s="10">
        <f>'Paid CL'!C13</f>
        <v/>
      </c>
      <c r="E13" s="10">
        <f>'Incurred CL'!E13</f>
        <v/>
      </c>
      <c r="F13" s="10">
        <f>'Paid CL'!E13</f>
        <v/>
      </c>
      <c r="G13" s="10">
        <f>'Incurred IE'!D13</f>
        <v/>
      </c>
      <c r="H13" s="10">
        <f>'Incurred BF'!H13</f>
        <v/>
      </c>
      <c r="I13" s="10">
        <f>'Paid BF'!H13</f>
        <v/>
      </c>
      <c r="J13" s="10">
        <f>IF('/sessions/eloquent-hopeful-babbage/mnt/sample-run/selections\[Ultimates.xlsx]Losses'!O13&lt;&gt;"",'/sessions/eloquent-hopeful-babbage/mnt/sample-run/selections\[Ultimates.xlsx]Losses'!O13,'/sessions/eloquent-hopeful-babbage/mnt/sample-run/selections\[Ultimates.xlsx]Losses'!K13)</f>
        <v/>
      </c>
      <c r="K13" s="10">
        <f>J13-C13</f>
        <v/>
      </c>
      <c r="L13" s="10">
        <f>J13-D13</f>
        <v/>
      </c>
      <c r="M13" s="11">
        <f>IF('/sessions/eloquent-hopeful-babbage/mnt/sample-run/selections\[Ultimates.xlsx]Losses'!O13&lt;&gt;"",'/sessions/eloquent-hopeful-babbage/mnt/sample-run/selections\[Ultimates.xlsx]Losses'!P13,'/sessions/eloquent-hopeful-babbage/mnt/sample-run/selections\[Ultimates.xlsx]Losses'!L13)</f>
        <v/>
      </c>
    </row>
    <row r="14">
      <c r="A14" s="9" t="n">
        <v>2013</v>
      </c>
      <c r="B14" s="9" t="n">
        <v>143</v>
      </c>
      <c r="C14" s="10">
        <f>'Incurred CL'!C14</f>
        <v/>
      </c>
      <c r="D14" s="10">
        <f>'Paid CL'!C14</f>
        <v/>
      </c>
      <c r="E14" s="10">
        <f>'Incurred CL'!E14</f>
        <v/>
      </c>
      <c r="F14" s="10">
        <f>'Paid CL'!E14</f>
        <v/>
      </c>
      <c r="G14" s="10">
        <f>'Incurred IE'!D14</f>
        <v/>
      </c>
      <c r="H14" s="10">
        <f>'Incurred BF'!H14</f>
        <v/>
      </c>
      <c r="I14" s="10">
        <f>'Paid BF'!H14</f>
        <v/>
      </c>
      <c r="J14" s="10">
        <f>IF('/sessions/eloquent-hopeful-babbage/mnt/sample-run/selections\[Ultimates.xlsx]Losses'!O14&lt;&gt;"",'/sessions/eloquent-hopeful-babbage/mnt/sample-run/selections\[Ultimates.xlsx]Losses'!O14,'/sessions/eloquent-hopeful-babbage/mnt/sample-run/selections\[Ultimates.xlsx]Losses'!K14)</f>
        <v/>
      </c>
      <c r="K14" s="10">
        <f>J14-C14</f>
        <v/>
      </c>
      <c r="L14" s="10">
        <f>J14-D14</f>
        <v/>
      </c>
      <c r="M14" s="11">
        <f>IF('/sessions/eloquent-hopeful-babbage/mnt/sample-run/selections\[Ultimates.xlsx]Losses'!O14&lt;&gt;"",'/sessions/eloquent-hopeful-babbage/mnt/sample-run/selections\[Ultimates.xlsx]Losses'!P14,'/sessions/eloquent-hopeful-babbage/mnt/sample-run/selections\[Ultimates.xlsx]Losses'!L14)</f>
        <v/>
      </c>
    </row>
    <row r="15">
      <c r="A15" s="9" t="n">
        <v>2014</v>
      </c>
      <c r="B15" s="9" t="n">
        <v>131</v>
      </c>
      <c r="C15" s="10">
        <f>'Incurred CL'!C15</f>
        <v/>
      </c>
      <c r="D15" s="10">
        <f>'Paid CL'!C15</f>
        <v/>
      </c>
      <c r="E15" s="10">
        <f>'Incurred CL'!E15</f>
        <v/>
      </c>
      <c r="F15" s="10">
        <f>'Paid CL'!E15</f>
        <v/>
      </c>
      <c r="G15" s="10">
        <f>'Incurred IE'!D15</f>
        <v/>
      </c>
      <c r="H15" s="10">
        <f>'Incurred BF'!H15</f>
        <v/>
      </c>
      <c r="I15" s="10">
        <f>'Paid BF'!H15</f>
        <v/>
      </c>
      <c r="J15" s="10">
        <f>IF('/sessions/eloquent-hopeful-babbage/mnt/sample-run/selections\[Ultimates.xlsx]Losses'!O15&lt;&gt;"",'/sessions/eloquent-hopeful-babbage/mnt/sample-run/selections\[Ultimates.xlsx]Losses'!O15,'/sessions/eloquent-hopeful-babbage/mnt/sample-run/selections\[Ultimates.xlsx]Losses'!K15)</f>
        <v/>
      </c>
      <c r="K15" s="10">
        <f>J15-C15</f>
        <v/>
      </c>
      <c r="L15" s="10">
        <f>J15-D15</f>
        <v/>
      </c>
      <c r="M15" s="11">
        <f>IF('/sessions/eloquent-hopeful-babbage/mnt/sample-run/selections\[Ultimates.xlsx]Losses'!O15&lt;&gt;"",'/sessions/eloquent-hopeful-babbage/mnt/sample-run/selections\[Ultimates.xlsx]Losses'!P15,'/sessions/eloquent-hopeful-babbage/mnt/sample-run/selections\[Ultimates.xlsx]Losses'!L15)</f>
        <v/>
      </c>
    </row>
    <row r="16">
      <c r="A16" s="9" t="n">
        <v>2015</v>
      </c>
      <c r="B16" s="9" t="n">
        <v>119</v>
      </c>
      <c r="C16" s="10">
        <f>'Incurred CL'!C16</f>
        <v/>
      </c>
      <c r="D16" s="10">
        <f>'Paid CL'!C16</f>
        <v/>
      </c>
      <c r="E16" s="10">
        <f>'Incurred CL'!E16</f>
        <v/>
      </c>
      <c r="F16" s="10">
        <f>'Paid CL'!E16</f>
        <v/>
      </c>
      <c r="G16" s="10">
        <f>'Incurred IE'!D16</f>
        <v/>
      </c>
      <c r="H16" s="10">
        <f>'Incurred BF'!H16</f>
        <v/>
      </c>
      <c r="I16" s="10">
        <f>'Paid BF'!H16</f>
        <v/>
      </c>
      <c r="J16" s="10">
        <f>IF('/sessions/eloquent-hopeful-babbage/mnt/sample-run/selections\[Ultimates.xlsx]Losses'!O16&lt;&gt;"",'/sessions/eloquent-hopeful-babbage/mnt/sample-run/selections\[Ultimates.xlsx]Losses'!O16,'/sessions/eloquent-hopeful-babbage/mnt/sample-run/selections\[Ultimates.xlsx]Losses'!K16)</f>
        <v/>
      </c>
      <c r="K16" s="10">
        <f>J16-C16</f>
        <v/>
      </c>
      <c r="L16" s="10">
        <f>J16-D16</f>
        <v/>
      </c>
      <c r="M16" s="11">
        <f>IF('/sessions/eloquent-hopeful-babbage/mnt/sample-run/selections\[Ultimates.xlsx]Losses'!O16&lt;&gt;"",'/sessions/eloquent-hopeful-babbage/mnt/sample-run/selections\[Ultimates.xlsx]Losses'!P16,'/sessions/eloquent-hopeful-babbage/mnt/sample-run/selections\[Ultimates.xlsx]Losses'!L16)</f>
        <v/>
      </c>
    </row>
    <row r="17">
      <c r="A17" s="9" t="n">
        <v>2016</v>
      </c>
      <c r="B17" s="9" t="n">
        <v>107</v>
      </c>
      <c r="C17" s="10">
        <f>'Incurred CL'!C17</f>
        <v/>
      </c>
      <c r="D17" s="10">
        <f>'Paid CL'!C17</f>
        <v/>
      </c>
      <c r="E17" s="10">
        <f>'Incurred CL'!E17</f>
        <v/>
      </c>
      <c r="F17" s="10">
        <f>'Paid CL'!E17</f>
        <v/>
      </c>
      <c r="G17" s="10">
        <f>'Incurred IE'!D17</f>
        <v/>
      </c>
      <c r="H17" s="10">
        <f>'Incurred BF'!H17</f>
        <v/>
      </c>
      <c r="I17" s="10">
        <f>'Paid BF'!H17</f>
        <v/>
      </c>
      <c r="J17" s="10">
        <f>IF('/sessions/eloquent-hopeful-babbage/mnt/sample-run/selections\[Ultimates.xlsx]Losses'!O17&lt;&gt;"",'/sessions/eloquent-hopeful-babbage/mnt/sample-run/selections\[Ultimates.xlsx]Losses'!O17,'/sessions/eloquent-hopeful-babbage/mnt/sample-run/selections\[Ultimates.xlsx]Losses'!K17)</f>
        <v/>
      </c>
      <c r="K17" s="10">
        <f>J17-C17</f>
        <v/>
      </c>
      <c r="L17" s="10">
        <f>J17-D17</f>
        <v/>
      </c>
      <c r="M17" s="11">
        <f>IF('/sessions/eloquent-hopeful-babbage/mnt/sample-run/selections\[Ultimates.xlsx]Losses'!O17&lt;&gt;"",'/sessions/eloquent-hopeful-babbage/mnt/sample-run/selections\[Ultimates.xlsx]Losses'!P17,'/sessions/eloquent-hopeful-babbage/mnt/sample-run/selections\[Ultimates.xlsx]Losses'!L17)</f>
        <v/>
      </c>
    </row>
    <row r="18">
      <c r="A18" s="9" t="n">
        <v>2017</v>
      </c>
      <c r="B18" s="9" t="n">
        <v>95</v>
      </c>
      <c r="C18" s="10">
        <f>'Incurred CL'!C18</f>
        <v/>
      </c>
      <c r="D18" s="10">
        <f>'Paid CL'!C18</f>
        <v/>
      </c>
      <c r="E18" s="10">
        <f>'Incurred CL'!E18</f>
        <v/>
      </c>
      <c r="F18" s="10">
        <f>'Paid CL'!E18</f>
        <v/>
      </c>
      <c r="G18" s="10">
        <f>'Incurred IE'!D18</f>
        <v/>
      </c>
      <c r="H18" s="10">
        <f>'Incurred BF'!H18</f>
        <v/>
      </c>
      <c r="I18" s="10">
        <f>'Paid BF'!H18</f>
        <v/>
      </c>
      <c r="J18" s="10">
        <f>IF('/sessions/eloquent-hopeful-babbage/mnt/sample-run/selections\[Ultimates.xlsx]Losses'!O18&lt;&gt;"",'/sessions/eloquent-hopeful-babbage/mnt/sample-run/selections\[Ultimates.xlsx]Losses'!O18,'/sessions/eloquent-hopeful-babbage/mnt/sample-run/selections\[Ultimates.xlsx]Losses'!K18)</f>
        <v/>
      </c>
      <c r="K18" s="10">
        <f>J18-C18</f>
        <v/>
      </c>
      <c r="L18" s="10">
        <f>J18-D18</f>
        <v/>
      </c>
      <c r="M18" s="11">
        <f>IF('/sessions/eloquent-hopeful-babbage/mnt/sample-run/selections\[Ultimates.xlsx]Losses'!O18&lt;&gt;"",'/sessions/eloquent-hopeful-babbage/mnt/sample-run/selections\[Ultimates.xlsx]Losses'!P18,'/sessions/eloquent-hopeful-babbage/mnt/sample-run/selections\[Ultimates.xlsx]Losses'!L18)</f>
        <v/>
      </c>
    </row>
    <row r="19">
      <c r="A19" s="9" t="n">
        <v>2018</v>
      </c>
      <c r="B19" s="9" t="n">
        <v>83</v>
      </c>
      <c r="C19" s="10">
        <f>'Incurred CL'!C19</f>
        <v/>
      </c>
      <c r="D19" s="10">
        <f>'Paid CL'!C19</f>
        <v/>
      </c>
      <c r="E19" s="10">
        <f>'Incurred CL'!E19</f>
        <v/>
      </c>
      <c r="F19" s="10">
        <f>'Paid CL'!E19</f>
        <v/>
      </c>
      <c r="G19" s="10">
        <f>'Incurred IE'!D19</f>
        <v/>
      </c>
      <c r="H19" s="10">
        <f>'Incurred BF'!H19</f>
        <v/>
      </c>
      <c r="I19" s="10">
        <f>'Paid BF'!H19</f>
        <v/>
      </c>
      <c r="J19" s="10">
        <f>IF('/sessions/eloquent-hopeful-babbage/mnt/sample-run/selections\[Ultimates.xlsx]Losses'!O19&lt;&gt;"",'/sessions/eloquent-hopeful-babbage/mnt/sample-run/selections\[Ultimates.xlsx]Losses'!O19,'/sessions/eloquent-hopeful-babbage/mnt/sample-run/selections\[Ultimates.xlsx]Losses'!K19)</f>
        <v/>
      </c>
      <c r="K19" s="10">
        <f>J19-C19</f>
        <v/>
      </c>
      <c r="L19" s="10">
        <f>J19-D19</f>
        <v/>
      </c>
      <c r="M19" s="11">
        <f>IF('/sessions/eloquent-hopeful-babbage/mnt/sample-run/selections\[Ultimates.xlsx]Losses'!O19&lt;&gt;"",'/sessions/eloquent-hopeful-babbage/mnt/sample-run/selections\[Ultimates.xlsx]Losses'!P19,'/sessions/eloquent-hopeful-babbage/mnt/sample-run/selections\[Ultimates.xlsx]Losses'!L19)</f>
        <v/>
      </c>
    </row>
    <row r="20">
      <c r="A20" s="9" t="n">
        <v>2019</v>
      </c>
      <c r="B20" s="9" t="n">
        <v>71</v>
      </c>
      <c r="C20" s="10">
        <f>'Incurred CL'!C20</f>
        <v/>
      </c>
      <c r="D20" s="10">
        <f>'Paid CL'!C20</f>
        <v/>
      </c>
      <c r="E20" s="10">
        <f>'Incurred CL'!E20</f>
        <v/>
      </c>
      <c r="F20" s="10">
        <f>'Paid CL'!E20</f>
        <v/>
      </c>
      <c r="G20" s="10">
        <f>'Incurred IE'!D20</f>
        <v/>
      </c>
      <c r="H20" s="10">
        <f>'Incurred BF'!H20</f>
        <v/>
      </c>
      <c r="I20" s="10">
        <f>'Paid BF'!H20</f>
        <v/>
      </c>
      <c r="J20" s="10">
        <f>IF('/sessions/eloquent-hopeful-babbage/mnt/sample-run/selections\[Ultimates.xlsx]Losses'!O20&lt;&gt;"",'/sessions/eloquent-hopeful-babbage/mnt/sample-run/selections\[Ultimates.xlsx]Losses'!O20,'/sessions/eloquent-hopeful-babbage/mnt/sample-run/selections\[Ultimates.xlsx]Losses'!K20)</f>
        <v/>
      </c>
      <c r="K20" s="10">
        <f>J20-C20</f>
        <v/>
      </c>
      <c r="L20" s="10">
        <f>J20-D20</f>
        <v/>
      </c>
      <c r="M20" s="11">
        <f>IF('/sessions/eloquent-hopeful-babbage/mnt/sample-run/selections\[Ultimates.xlsx]Losses'!O20&lt;&gt;"",'/sessions/eloquent-hopeful-babbage/mnt/sample-run/selections\[Ultimates.xlsx]Losses'!P20,'/sessions/eloquent-hopeful-babbage/mnt/sample-run/selections\[Ultimates.xlsx]Losses'!L20)</f>
        <v/>
      </c>
    </row>
    <row r="21">
      <c r="A21" s="9" t="n">
        <v>2020</v>
      </c>
      <c r="B21" s="9" t="n">
        <v>59</v>
      </c>
      <c r="C21" s="10">
        <f>'Incurred CL'!C21</f>
        <v/>
      </c>
      <c r="D21" s="10">
        <f>'Paid CL'!C21</f>
        <v/>
      </c>
      <c r="E21" s="10">
        <f>'Incurred CL'!E21</f>
        <v/>
      </c>
      <c r="F21" s="10">
        <f>'Paid CL'!E21</f>
        <v/>
      </c>
      <c r="G21" s="10">
        <f>'Incurred IE'!D21</f>
        <v/>
      </c>
      <c r="H21" s="10">
        <f>'Incurred BF'!H21</f>
        <v/>
      </c>
      <c r="I21" s="10">
        <f>'Paid BF'!H21</f>
        <v/>
      </c>
      <c r="J21" s="10">
        <f>IF('/sessions/eloquent-hopeful-babbage/mnt/sample-run/selections\[Ultimates.xlsx]Losses'!O21&lt;&gt;"",'/sessions/eloquent-hopeful-babbage/mnt/sample-run/selections\[Ultimates.xlsx]Losses'!O21,'/sessions/eloquent-hopeful-babbage/mnt/sample-run/selections\[Ultimates.xlsx]Losses'!K21)</f>
        <v/>
      </c>
      <c r="K21" s="10">
        <f>J21-C21</f>
        <v/>
      </c>
      <c r="L21" s="10">
        <f>J21-D21</f>
        <v/>
      </c>
      <c r="M21" s="11">
        <f>IF('/sessions/eloquent-hopeful-babbage/mnt/sample-run/selections\[Ultimates.xlsx]Losses'!O21&lt;&gt;"",'/sessions/eloquent-hopeful-babbage/mnt/sample-run/selections\[Ultimates.xlsx]Losses'!P21,'/sessions/eloquent-hopeful-babbage/mnt/sample-run/selections\[Ultimates.xlsx]Losses'!L21)</f>
        <v/>
      </c>
    </row>
    <row r="22">
      <c r="A22" s="9" t="n">
        <v>2021</v>
      </c>
      <c r="B22" s="9" t="n">
        <v>47</v>
      </c>
      <c r="C22" s="10">
        <f>'Incurred CL'!C22</f>
        <v/>
      </c>
      <c r="D22" s="10">
        <f>'Paid CL'!C22</f>
        <v/>
      </c>
      <c r="E22" s="10">
        <f>'Incurred CL'!E22</f>
        <v/>
      </c>
      <c r="F22" s="10">
        <f>'Paid CL'!E22</f>
        <v/>
      </c>
      <c r="G22" s="10">
        <f>'Incurred IE'!D22</f>
        <v/>
      </c>
      <c r="H22" s="10">
        <f>'Incurred BF'!H22</f>
        <v/>
      </c>
      <c r="I22" s="10">
        <f>'Paid BF'!H22</f>
        <v/>
      </c>
      <c r="J22" s="10">
        <f>IF('/sessions/eloquent-hopeful-babbage/mnt/sample-run/selections\[Ultimates.xlsx]Losses'!O22&lt;&gt;"",'/sessions/eloquent-hopeful-babbage/mnt/sample-run/selections\[Ultimates.xlsx]Losses'!O22,'/sessions/eloquent-hopeful-babbage/mnt/sample-run/selections\[Ultimates.xlsx]Losses'!K22)</f>
        <v/>
      </c>
      <c r="K22" s="10">
        <f>J22-C22</f>
        <v/>
      </c>
      <c r="L22" s="10">
        <f>J22-D22</f>
        <v/>
      </c>
      <c r="M22" s="11">
        <f>IF('/sessions/eloquent-hopeful-babbage/mnt/sample-run/selections\[Ultimates.xlsx]Losses'!O22&lt;&gt;"",'/sessions/eloquent-hopeful-babbage/mnt/sample-run/selections\[Ultimates.xlsx]Losses'!P22,'/sessions/eloquent-hopeful-babbage/mnt/sample-run/selections\[Ultimates.xlsx]Losses'!L22)</f>
        <v/>
      </c>
    </row>
    <row r="23">
      <c r="A23" s="9" t="n">
        <v>2022</v>
      </c>
      <c r="B23" s="9" t="n">
        <v>35</v>
      </c>
      <c r="C23" s="10">
        <f>'Incurred CL'!C23</f>
        <v/>
      </c>
      <c r="D23" s="10">
        <f>'Paid CL'!C23</f>
        <v/>
      </c>
      <c r="E23" s="10">
        <f>'Incurred CL'!E23</f>
        <v/>
      </c>
      <c r="F23" s="10">
        <f>'Paid CL'!E23</f>
        <v/>
      </c>
      <c r="G23" s="10">
        <f>'Incurred IE'!D23</f>
        <v/>
      </c>
      <c r="H23" s="10">
        <f>'Incurred BF'!H23</f>
        <v/>
      </c>
      <c r="I23" s="10">
        <f>'Paid BF'!H23</f>
        <v/>
      </c>
      <c r="J23" s="10">
        <f>IF('/sessions/eloquent-hopeful-babbage/mnt/sample-run/selections\[Ultimates.xlsx]Losses'!O23&lt;&gt;"",'/sessions/eloquent-hopeful-babbage/mnt/sample-run/selections\[Ultimates.xlsx]Losses'!O23,'/sessions/eloquent-hopeful-babbage/mnt/sample-run/selections\[Ultimates.xlsx]Losses'!K23)</f>
        <v/>
      </c>
      <c r="K23" s="10">
        <f>J23-C23</f>
        <v/>
      </c>
      <c r="L23" s="10">
        <f>J23-D23</f>
        <v/>
      </c>
      <c r="M23" s="11">
        <f>IF('/sessions/eloquent-hopeful-babbage/mnt/sample-run/selections\[Ultimates.xlsx]Losses'!O23&lt;&gt;"",'/sessions/eloquent-hopeful-babbage/mnt/sample-run/selections\[Ultimates.xlsx]Losses'!P23,'/sessions/eloquent-hopeful-babbage/mnt/sample-run/selections\[Ultimates.xlsx]Losses'!L23)</f>
        <v/>
      </c>
    </row>
    <row r="24">
      <c r="A24" s="9" t="n">
        <v>2023</v>
      </c>
      <c r="B24" s="9" t="n">
        <v>23</v>
      </c>
      <c r="C24" s="10">
        <f>'Incurred CL'!C24</f>
        <v/>
      </c>
      <c r="D24" s="10">
        <f>'Paid CL'!C24</f>
        <v/>
      </c>
      <c r="E24" s="10">
        <f>'Incurred CL'!E24</f>
        <v/>
      </c>
      <c r="F24" s="10">
        <f>'Paid CL'!E24</f>
        <v/>
      </c>
      <c r="G24" s="10">
        <f>'Incurred IE'!D24</f>
        <v/>
      </c>
      <c r="H24" s="10">
        <f>'Incurred BF'!H24</f>
        <v/>
      </c>
      <c r="I24" s="10">
        <f>'Paid BF'!H24</f>
        <v/>
      </c>
      <c r="J24" s="10">
        <f>IF('/sessions/eloquent-hopeful-babbage/mnt/sample-run/selections\[Ultimates.xlsx]Losses'!O24&lt;&gt;"",'/sessions/eloquent-hopeful-babbage/mnt/sample-run/selections\[Ultimates.xlsx]Losses'!O24,'/sessions/eloquent-hopeful-babbage/mnt/sample-run/selections\[Ultimates.xlsx]Losses'!K24)</f>
        <v/>
      </c>
      <c r="K24" s="10">
        <f>J24-C24</f>
        <v/>
      </c>
      <c r="L24" s="10">
        <f>J24-D24</f>
        <v/>
      </c>
      <c r="M24" s="11">
        <f>IF('/sessions/eloquent-hopeful-babbage/mnt/sample-run/selections\[Ultimates.xlsx]Losses'!O24&lt;&gt;"",'/sessions/eloquent-hopeful-babbage/mnt/sample-run/selections\[Ultimates.xlsx]Losses'!P24,'/sessions/eloquent-hopeful-babbage/mnt/sample-run/selections\[Ultimates.xlsx]Losses'!L24)</f>
        <v/>
      </c>
    </row>
    <row r="25">
      <c r="A25" s="9" t="n">
        <v>2024</v>
      </c>
      <c r="B25" s="9" t="n">
        <v>11</v>
      </c>
      <c r="C25" s="10">
        <f>'Incurred CL'!C25</f>
        <v/>
      </c>
      <c r="D25" s="10">
        <f>'Paid CL'!C25</f>
        <v/>
      </c>
      <c r="E25" s="10">
        <f>'Incurred CL'!E25</f>
        <v/>
      </c>
      <c r="F25" s="10">
        <f>'Paid CL'!E25</f>
        <v/>
      </c>
      <c r="G25" s="10">
        <f>'Incurred IE'!D25</f>
        <v/>
      </c>
      <c r="H25" s="10">
        <f>'Incurred BF'!H25</f>
        <v/>
      </c>
      <c r="I25" s="10">
        <f>'Paid BF'!H25</f>
        <v/>
      </c>
      <c r="J25" s="10">
        <f>IF('/sessions/eloquent-hopeful-babbage/mnt/sample-run/selections\[Ultimates.xlsx]Losses'!O25&lt;&gt;"",'/sessions/eloquent-hopeful-babbage/mnt/sample-run/selections\[Ultimates.xlsx]Losses'!O25,'/sessions/eloquent-hopeful-babbage/mnt/sample-run/selections\[Ultimates.xlsx]Losses'!K25)</f>
        <v/>
      </c>
      <c r="K25" s="10">
        <f>J25-C25</f>
        <v/>
      </c>
      <c r="L25" s="10">
        <f>J25-D25</f>
        <v/>
      </c>
      <c r="M25" s="11">
        <f>IF('/sessions/eloquent-hopeful-babbage/mnt/sample-run/selections\[Ultimates.xlsx]Losses'!O25&lt;&gt;"",'/sessions/eloquent-hopeful-babbage/mnt/sample-run/selections\[Ultimates.xlsx]Losses'!P25,'/sessions/eloquent-hopeful-babbage/mnt/sample-run/selections\[Ultimates.xlsx]Losses'!L25)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  <c r="K27" s="10">
        <f>SUM(K2:K25)</f>
        <v/>
      </c>
      <c r="L27" s="10">
        <f>SUM(L2:L25)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'/sessions/eloquent-hopeful-babbage/mnt/sample-run/selections\[Ultimates.xlsx]Losses'!C2</f>
        <v/>
      </c>
      <c r="D2" s="12" t="n">
        <v>1.021551350628563</v>
      </c>
      <c r="E2" s="10">
        <f>IF(AND(ISNUMBER(C2),ISNUMBER(D2)),C2*D2,"")</f>
        <v/>
      </c>
      <c r="F2" s="10">
        <f>E2-C2</f>
        <v/>
      </c>
      <c r="G2" s="10">
        <f>E2-'Paid CL'!C2</f>
        <v/>
      </c>
    </row>
    <row r="3">
      <c r="A3" s="9" t="n">
        <v>2002</v>
      </c>
      <c r="B3" s="9" t="n">
        <v>275</v>
      </c>
      <c r="C3" s="10">
        <f>'/sessions/eloquent-hopeful-babbage/mnt/sample-run/selections\[Ultimates.xlsx]Losses'!C3</f>
        <v/>
      </c>
      <c r="D3" s="12" t="n">
        <v>1.033707811701043</v>
      </c>
      <c r="E3" s="10">
        <f>IF(AND(ISNUMBER(C3),ISNUMBER(D3)),C3*D3,"")</f>
        <v/>
      </c>
      <c r="F3" s="10">
        <f>E3-C3</f>
        <v/>
      </c>
      <c r="G3" s="10">
        <f>E3-'Paid CL'!C3</f>
        <v/>
      </c>
    </row>
    <row r="4">
      <c r="A4" s="9" t="n">
        <v>2003</v>
      </c>
      <c r="B4" s="9" t="n">
        <v>263</v>
      </c>
      <c r="C4" s="10">
        <f>'/sessions/eloquent-hopeful-babbage/mnt/sample-run/selections\[Ultimates.xlsx]Losses'!C4</f>
        <v/>
      </c>
      <c r="D4" s="12" t="n">
        <v>1.033707811701043</v>
      </c>
      <c r="E4" s="10">
        <f>IF(AND(ISNUMBER(C4),ISNUMBER(D4)),C4*D4,"")</f>
        <v/>
      </c>
      <c r="F4" s="10">
        <f>E4-C4</f>
        <v/>
      </c>
      <c r="G4" s="10">
        <f>E4-'Paid CL'!C4</f>
        <v/>
      </c>
    </row>
    <row r="5">
      <c r="A5" s="9" t="n">
        <v>2004</v>
      </c>
      <c r="B5" s="9" t="n">
        <v>251</v>
      </c>
      <c r="C5" s="10">
        <f>'/sessions/eloquent-hopeful-babbage/mnt/sample-run/selections\[Ultimates.xlsx]Losses'!C5</f>
        <v/>
      </c>
      <c r="D5" s="12" t="n">
        <v>1.051694327624641</v>
      </c>
      <c r="E5" s="10">
        <f>IF(AND(ISNUMBER(C5),ISNUMBER(D5)),C5*D5,"")</f>
        <v/>
      </c>
      <c r="F5" s="10">
        <f>E5-C5</f>
        <v/>
      </c>
      <c r="G5" s="10">
        <f>E5-'Paid CL'!C5</f>
        <v/>
      </c>
    </row>
    <row r="6">
      <c r="A6" s="9" t="n">
        <v>2005</v>
      </c>
      <c r="B6" s="9" t="n">
        <v>239</v>
      </c>
      <c r="C6" s="10">
        <f>'/sessions/eloquent-hopeful-babbage/mnt/sample-run/selections\[Ultimates.xlsx]Losses'!C6</f>
        <v/>
      </c>
      <c r="D6" s="12" t="n">
        <v>1.058951018485251</v>
      </c>
      <c r="E6" s="10">
        <f>IF(AND(ISNUMBER(C6),ISNUMBER(D6)),C6*D6,"")</f>
        <v/>
      </c>
      <c r="F6" s="10">
        <f>E6-C6</f>
        <v/>
      </c>
      <c r="G6" s="10">
        <f>E6-'Paid CL'!C6</f>
        <v/>
      </c>
    </row>
    <row r="7">
      <c r="A7" s="9" t="n">
        <v>2006</v>
      </c>
      <c r="B7" s="9" t="n">
        <v>227</v>
      </c>
      <c r="C7" s="10">
        <f>'/sessions/eloquent-hopeful-babbage/mnt/sample-run/selections\[Ultimates.xlsx]Losses'!C7</f>
        <v/>
      </c>
      <c r="D7" s="12" t="n">
        <v>1.06837568254977</v>
      </c>
      <c r="E7" s="10">
        <f>IF(AND(ISNUMBER(C7),ISNUMBER(D7)),C7*D7,"")</f>
        <v/>
      </c>
      <c r="F7" s="10">
        <f>E7-C7</f>
        <v/>
      </c>
      <c r="G7" s="10">
        <f>E7-'Paid CL'!C7</f>
        <v/>
      </c>
    </row>
    <row r="8">
      <c r="A8" s="9" t="n">
        <v>2007</v>
      </c>
      <c r="B8" s="9" t="n">
        <v>215</v>
      </c>
      <c r="C8" s="10">
        <f>'/sessions/eloquent-hopeful-babbage/mnt/sample-run/selections\[Ultimates.xlsx]Losses'!C8</f>
        <v/>
      </c>
      <c r="D8" s="12" t="n">
        <v>1.06837568254977</v>
      </c>
      <c r="E8" s="10">
        <f>IF(AND(ISNUMBER(C8),ISNUMBER(D8)),C8*D8,"")</f>
        <v/>
      </c>
      <c r="F8" s="10">
        <f>E8-C8</f>
        <v/>
      </c>
      <c r="G8" s="10">
        <f>E8-'Paid CL'!C8</f>
        <v/>
      </c>
    </row>
    <row r="9">
      <c r="A9" s="9" t="n">
        <v>2008</v>
      </c>
      <c r="B9" s="9" t="n">
        <v>203</v>
      </c>
      <c r="C9" s="10">
        <f>'Incurred'!R10</f>
        <v/>
      </c>
      <c r="D9" s="12" t="n">
        <v>1.070512433914869</v>
      </c>
      <c r="E9" s="10">
        <f>IF(AND(ISNUMBER(C9),ISNUMBER(D9)),C9*D9,"")</f>
        <v/>
      </c>
      <c r="F9" s="10">
        <f>E9-C9</f>
        <v/>
      </c>
      <c r="G9" s="10">
        <f>E9-'Paid CL'!C9</f>
        <v/>
      </c>
    </row>
    <row r="10">
      <c r="A10" s="9" t="n">
        <v>2009</v>
      </c>
      <c r="B10" s="9" t="n">
        <v>191</v>
      </c>
      <c r="C10" s="10">
        <f>'Incurred'!Q11</f>
        <v/>
      </c>
      <c r="D10" s="12" t="n">
        <v>1.078648328412622</v>
      </c>
      <c r="E10" s="10">
        <f>IF(AND(ISNUMBER(C10),ISNUMBER(D10)),C10*D10,"")</f>
        <v/>
      </c>
      <c r="F10" s="10">
        <f>E10-C10</f>
        <v/>
      </c>
      <c r="G10" s="10">
        <f>E10-'Paid CL'!C10</f>
        <v/>
      </c>
    </row>
    <row r="11">
      <c r="A11" s="9" t="n">
        <v>2010</v>
      </c>
      <c r="B11" s="9" t="n">
        <v>179</v>
      </c>
      <c r="C11" s="10">
        <f>'Incurred'!P12</f>
        <v/>
      </c>
      <c r="D11" s="12" t="n">
        <v>1.082531462394908</v>
      </c>
      <c r="E11" s="10">
        <f>IF(AND(ISNUMBER(C11),ISNUMBER(D11)),C11*D11,"")</f>
        <v/>
      </c>
      <c r="F11" s="10">
        <f>E11-C11</f>
        <v/>
      </c>
      <c r="G11" s="10">
        <f>E11-'Paid CL'!C11</f>
        <v/>
      </c>
    </row>
    <row r="12">
      <c r="A12" s="9" t="n">
        <v>2011</v>
      </c>
      <c r="B12" s="9" t="n">
        <v>167</v>
      </c>
      <c r="C12" s="10">
        <f>'Incurred'!O13</f>
        <v/>
      </c>
      <c r="D12" s="12" t="n">
        <v>1.10537287625144</v>
      </c>
      <c r="E12" s="10">
        <f>IF(AND(ISNUMBER(C12),ISNUMBER(D12)),C12*D12,"")</f>
        <v/>
      </c>
      <c r="F12" s="10">
        <f>E12-C12</f>
        <v/>
      </c>
      <c r="G12" s="10">
        <f>E12-'Paid CL'!C12</f>
        <v/>
      </c>
    </row>
    <row r="13">
      <c r="A13" s="9" t="n">
        <v>2012</v>
      </c>
      <c r="B13" s="9" t="n">
        <v>155</v>
      </c>
      <c r="C13" s="10">
        <f>'Incurred'!N14</f>
        <v/>
      </c>
      <c r="D13" s="12" t="n">
        <v>1.105815025401941</v>
      </c>
      <c r="E13" s="10">
        <f>IF(AND(ISNUMBER(C13),ISNUMBER(D13)),C13*D13,"")</f>
        <v/>
      </c>
      <c r="F13" s="10">
        <f>E13-C13</f>
        <v/>
      </c>
      <c r="G13" s="10">
        <f>E13-'Paid CL'!C13</f>
        <v/>
      </c>
    </row>
    <row r="14">
      <c r="A14" s="9" t="n">
        <v>2013</v>
      </c>
      <c r="B14" s="9" t="n">
        <v>143</v>
      </c>
      <c r="C14" s="10">
        <f>'Incurred'!M15</f>
        <v/>
      </c>
      <c r="D14" s="12" t="n">
        <v>1.108247818457825</v>
      </c>
      <c r="E14" s="10">
        <f>IF(AND(ISNUMBER(C14),ISNUMBER(D14)),C14*D14,"")</f>
        <v/>
      </c>
      <c r="F14" s="10">
        <f>E14-C14</f>
        <v/>
      </c>
      <c r="G14" s="10">
        <f>E14-'Paid CL'!C14</f>
        <v/>
      </c>
    </row>
    <row r="15">
      <c r="A15" s="9" t="n">
        <v>2014</v>
      </c>
      <c r="B15" s="9" t="n">
        <v>131</v>
      </c>
      <c r="C15" s="10">
        <f>'Incurred'!L16</f>
        <v/>
      </c>
      <c r="D15" s="12" t="n">
        <v>1.147036492103849</v>
      </c>
      <c r="E15" s="10">
        <f>IF(AND(ISNUMBER(C15),ISNUMBER(D15)),C15*D15,"")</f>
        <v/>
      </c>
      <c r="F15" s="10">
        <f>E15-C15</f>
        <v/>
      </c>
      <c r="G15" s="10">
        <f>E15-'Paid CL'!C15</f>
        <v/>
      </c>
    </row>
    <row r="16">
      <c r="A16" s="9" t="n">
        <v>2015</v>
      </c>
      <c r="B16" s="9" t="n">
        <v>119</v>
      </c>
      <c r="C16" s="10">
        <f>'Incurred'!K17</f>
        <v/>
      </c>
      <c r="D16" s="12" t="n">
        <v>1.156442191339101</v>
      </c>
      <c r="E16" s="10">
        <f>IF(AND(ISNUMBER(C16),ISNUMBER(D16)),C16*D16,"")</f>
        <v/>
      </c>
      <c r="F16" s="10">
        <f>E16-C16</f>
        <v/>
      </c>
      <c r="G16" s="10">
        <f>E16-'Paid CL'!C16</f>
        <v/>
      </c>
    </row>
    <row r="17">
      <c r="A17" s="9" t="n">
        <v>2016</v>
      </c>
      <c r="B17" s="9" t="n">
        <v>107</v>
      </c>
      <c r="C17" s="10">
        <f>'Incurred'!J18</f>
        <v/>
      </c>
      <c r="D17" s="12" t="n">
        <v>1.212529637619047</v>
      </c>
      <c r="E17" s="10">
        <f>IF(AND(ISNUMBER(C17),ISNUMBER(D17)),C17*D17,"")</f>
        <v/>
      </c>
      <c r="F17" s="10">
        <f>E17-C17</f>
        <v/>
      </c>
      <c r="G17" s="10">
        <f>E17-'Paid CL'!C17</f>
        <v/>
      </c>
    </row>
    <row r="18">
      <c r="A18" s="9" t="n">
        <v>2017</v>
      </c>
      <c r="B18" s="9" t="n">
        <v>95</v>
      </c>
      <c r="C18" s="10">
        <f>'Incurred'!I19</f>
        <v/>
      </c>
      <c r="D18" s="12" t="n">
        <v>1.230232570328285</v>
      </c>
      <c r="E18" s="10">
        <f>IF(AND(ISNUMBER(C18),ISNUMBER(D18)),C18*D18,"")</f>
        <v/>
      </c>
      <c r="F18" s="10">
        <f>E18-C18</f>
        <v/>
      </c>
      <c r="G18" s="10">
        <f>E18-'Paid CL'!C18</f>
        <v/>
      </c>
    </row>
    <row r="19">
      <c r="A19" s="9" t="n">
        <v>2018</v>
      </c>
      <c r="B19" s="9" t="n">
        <v>83</v>
      </c>
      <c r="C19" s="10">
        <f>'Incurred'!H20</f>
        <v/>
      </c>
      <c r="D19" s="12" t="n">
        <v>1.238229082035419</v>
      </c>
      <c r="E19" s="10">
        <f>IF(AND(ISNUMBER(C19),ISNUMBER(D19)),C19*D19,"")</f>
        <v/>
      </c>
      <c r="F19" s="10">
        <f>E19-C19</f>
        <v/>
      </c>
      <c r="G19" s="10">
        <f>E19-'Paid CL'!C19</f>
        <v/>
      </c>
    </row>
    <row r="20">
      <c r="A20" s="9" t="n">
        <v>2019</v>
      </c>
      <c r="B20" s="9" t="n">
        <v>71</v>
      </c>
      <c r="C20" s="10">
        <f>'Incurred'!G21</f>
        <v/>
      </c>
      <c r="D20" s="12" t="n">
        <v>1.3459550121725</v>
      </c>
      <c r="E20" s="10">
        <f>IF(AND(ISNUMBER(C20),ISNUMBER(D20)),C20*D20,"")</f>
        <v/>
      </c>
      <c r="F20" s="10">
        <f>E20-C20</f>
        <v/>
      </c>
      <c r="G20" s="10">
        <f>E20-'Paid CL'!C20</f>
        <v/>
      </c>
    </row>
    <row r="21">
      <c r="A21" s="9" t="n">
        <v>2020</v>
      </c>
      <c r="B21" s="9" t="n">
        <v>59</v>
      </c>
      <c r="C21" s="10">
        <f>'Incurred'!F22</f>
        <v/>
      </c>
      <c r="D21" s="12" t="n">
        <v>1.484184591922616</v>
      </c>
      <c r="E21" s="10">
        <f>IF(AND(ISNUMBER(C21),ISNUMBER(D21)),C21*D21,"")</f>
        <v/>
      </c>
      <c r="F21" s="10">
        <f>E21-C21</f>
        <v/>
      </c>
      <c r="G21" s="10">
        <f>E21-'Paid CL'!C21</f>
        <v/>
      </c>
    </row>
    <row r="22">
      <c r="A22" s="9" t="n">
        <v>2021</v>
      </c>
      <c r="B22" s="9" t="n">
        <v>47</v>
      </c>
      <c r="C22" s="10">
        <f>'Incurred'!E23</f>
        <v/>
      </c>
      <c r="D22" s="12" t="n">
        <v>1.568337858284628</v>
      </c>
      <c r="E22" s="10">
        <f>IF(AND(ISNUMBER(C22),ISNUMBER(D22)),C22*D22,"")</f>
        <v/>
      </c>
      <c r="F22" s="10">
        <f>E22-C22</f>
        <v/>
      </c>
      <c r="G22" s="10">
        <f>E22-'Paid CL'!C22</f>
        <v/>
      </c>
    </row>
    <row r="23">
      <c r="A23" s="9" t="n">
        <v>2022</v>
      </c>
      <c r="B23" s="9" t="n">
        <v>35</v>
      </c>
      <c r="C23" s="10">
        <f>'Incurred'!D24</f>
        <v/>
      </c>
      <c r="D23" s="12" t="n">
        <v>1.882319097513211</v>
      </c>
      <c r="E23" s="10">
        <f>IF(AND(ISNUMBER(C23),ISNUMBER(D23)),C23*D23,"")</f>
        <v/>
      </c>
      <c r="F23" s="10">
        <f>E23-C23</f>
        <v/>
      </c>
      <c r="G23" s="10">
        <f>E23-'Paid CL'!C23</f>
        <v/>
      </c>
    </row>
    <row r="24">
      <c r="A24" s="9" t="n">
        <v>2023</v>
      </c>
      <c r="B24" s="9" t="n">
        <v>23</v>
      </c>
      <c r="C24" s="10">
        <f>'Incurred'!C25</f>
        <v/>
      </c>
      <c r="D24" s="12" t="n">
        <v>2.367016265122863</v>
      </c>
      <c r="E24" s="10">
        <f>IF(AND(ISNUMBER(C24),ISNUMBER(D24)),C24*D24,"")</f>
        <v/>
      </c>
      <c r="F24" s="10">
        <f>E24-C24</f>
        <v/>
      </c>
      <c r="G24" s="10">
        <f>E24-'Paid CL'!C24</f>
        <v/>
      </c>
    </row>
    <row r="25">
      <c r="A25" s="9" t="n">
        <v>2024</v>
      </c>
      <c r="B25" s="9" t="n">
        <v>11</v>
      </c>
      <c r="C25" s="10">
        <f>'Incurred'!B26</f>
        <v/>
      </c>
      <c r="D25" s="12" t="n">
        <v>4.029608489745161</v>
      </c>
      <c r="E25" s="10">
        <f>IF(AND(ISNUMBER(C25),ISNUMBER(D25)),C25*D25,"")</f>
        <v/>
      </c>
      <c r="F25" s="10">
        <f>E25-C25</f>
        <v/>
      </c>
      <c r="G25" s="10">
        <f>E25-'Paid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Paid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'/sessions/eloquent-hopeful-babbage/mnt/sample-run/selections\[Ultimates.xlsx]Losses'!D2</f>
        <v/>
      </c>
      <c r="D2" s="12" t="n">
        <v>1.0039</v>
      </c>
      <c r="E2" s="10">
        <f>IF(AND(ISNUMBER(C2),ISNUMBER(D2)),C2*D2,"")</f>
        <v/>
      </c>
      <c r="F2" s="10">
        <f>E2-C2</f>
        <v/>
      </c>
      <c r="G2" s="10">
        <f>E2-C2</f>
        <v/>
      </c>
    </row>
    <row r="3">
      <c r="A3" s="9" t="n">
        <v>2002</v>
      </c>
      <c r="B3" s="9" t="n">
        <v>275</v>
      </c>
      <c r="C3" s="10">
        <f>'/sessions/eloquent-hopeful-babbage/mnt/sample-run/selections\[Ultimates.xlsx]Losses'!D3</f>
        <v/>
      </c>
      <c r="D3" s="12" t="n">
        <v>1.00781521</v>
      </c>
      <c r="E3" s="10">
        <f>IF(AND(ISNUMBER(C3),ISNUMBER(D3)),C3*D3,"")</f>
        <v/>
      </c>
      <c r="F3" s="10">
        <f>E3-C3</f>
        <v/>
      </c>
      <c r="G3" s="10">
        <f>E3-C3</f>
        <v/>
      </c>
    </row>
    <row r="4">
      <c r="A4" s="9" t="n">
        <v>2003</v>
      </c>
      <c r="B4" s="9" t="n">
        <v>263</v>
      </c>
      <c r="C4" s="10">
        <f>'/sessions/eloquent-hopeful-babbage/mnt/sample-run/selections\[Ultimates.xlsx]Losses'!D4</f>
        <v/>
      </c>
      <c r="D4" s="12" t="n">
        <v>1.015273042554</v>
      </c>
      <c r="E4" s="10">
        <f>IF(AND(ISNUMBER(C4),ISNUMBER(D4)),C4*D4,"")</f>
        <v/>
      </c>
      <c r="F4" s="10">
        <f>E4-C4</f>
        <v/>
      </c>
      <c r="G4" s="10">
        <f>E4-C4</f>
        <v/>
      </c>
    </row>
    <row r="5">
      <c r="A5" s="9" t="n">
        <v>2004</v>
      </c>
      <c r="B5" s="9" t="n">
        <v>251</v>
      </c>
      <c r="C5" s="10">
        <f>'/sessions/eloquent-hopeful-babbage/mnt/sample-run/selections\[Ultimates.xlsx]Losses'!D5</f>
        <v/>
      </c>
      <c r="D5" s="12" t="n">
        <v>1.021567735417835</v>
      </c>
      <c r="E5" s="10">
        <f>IF(AND(ISNUMBER(C5),ISNUMBER(D5)),C5*D5,"")</f>
        <v/>
      </c>
      <c r="F5" s="10">
        <f>E5-C5</f>
        <v/>
      </c>
      <c r="G5" s="10">
        <f>E5-C5</f>
        <v/>
      </c>
    </row>
    <row r="6">
      <c r="A6" s="9" t="n">
        <v>2005</v>
      </c>
      <c r="B6" s="9" t="n">
        <v>239</v>
      </c>
      <c r="C6" s="10">
        <f>'/sessions/eloquent-hopeful-babbage/mnt/sample-run/selections\[Ultimates.xlsx]Losses'!D6</f>
        <v/>
      </c>
      <c r="D6" s="12" t="n">
        <v>1.027084201189091</v>
      </c>
      <c r="E6" s="10">
        <f>IF(AND(ISNUMBER(C6),ISNUMBER(D6)),C6*D6,"")</f>
        <v/>
      </c>
      <c r="F6" s="10">
        <f>E6-C6</f>
        <v/>
      </c>
      <c r="G6" s="10">
        <f>E6-C6</f>
        <v/>
      </c>
    </row>
    <row r="7">
      <c r="A7" s="9" t="n">
        <v>2006</v>
      </c>
      <c r="B7" s="9" t="n">
        <v>227</v>
      </c>
      <c r="C7" s="10">
        <f>'/sessions/eloquent-hopeful-babbage/mnt/sample-run/selections\[Ultimates.xlsx]Losses'!D7</f>
        <v/>
      </c>
      <c r="D7" s="12" t="n">
        <v>1.029651911692064</v>
      </c>
      <c r="E7" s="10">
        <f>IF(AND(ISNUMBER(C7),ISNUMBER(D7)),C7*D7,"")</f>
        <v/>
      </c>
      <c r="F7" s="10">
        <f>E7-C7</f>
        <v/>
      </c>
      <c r="G7" s="10">
        <f>E7-C7</f>
        <v/>
      </c>
    </row>
    <row r="8">
      <c r="A8" s="9" t="n">
        <v>2007</v>
      </c>
      <c r="B8" s="9" t="n">
        <v>215</v>
      </c>
      <c r="C8" s="10">
        <f>'/sessions/eloquent-hopeful-babbage/mnt/sample-run/selections\[Ultimates.xlsx]Losses'!D8</f>
        <v/>
      </c>
      <c r="D8" s="12" t="n">
        <v>1.034491275677016</v>
      </c>
      <c r="E8" s="10">
        <f>IF(AND(ISNUMBER(C8),ISNUMBER(D8)),C8*D8,"")</f>
        <v/>
      </c>
      <c r="F8" s="10">
        <f>E8-C8</f>
        <v/>
      </c>
      <c r="G8" s="10">
        <f>E8-C8</f>
        <v/>
      </c>
    </row>
    <row r="9">
      <c r="A9" s="9" t="n">
        <v>2008</v>
      </c>
      <c r="B9" s="9" t="n">
        <v>203</v>
      </c>
      <c r="C9" s="10">
        <f>'Paid'!R10</f>
        <v/>
      </c>
      <c r="D9" s="12" t="n">
        <v>1.036663707355938</v>
      </c>
      <c r="E9" s="10">
        <f>IF(AND(ISNUMBER(C9),ISNUMBER(D9)),C9*D9,"")</f>
        <v/>
      </c>
      <c r="F9" s="10">
        <f>E9-C9</f>
        <v/>
      </c>
      <c r="G9" s="10">
        <f>E9-C9</f>
        <v/>
      </c>
    </row>
    <row r="10">
      <c r="A10" s="9" t="n">
        <v>2009</v>
      </c>
      <c r="B10" s="9" t="n">
        <v>191</v>
      </c>
      <c r="C10" s="10">
        <f>'Paid'!Q11</f>
        <v/>
      </c>
      <c r="D10" s="12" t="n">
        <v>1.048585339990532</v>
      </c>
      <c r="E10" s="10">
        <f>IF(AND(ISNUMBER(C10),ISNUMBER(D10)),C10*D10,"")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9" t="n">
        <v>179</v>
      </c>
      <c r="C11" s="10">
        <f>'Paid'!P12</f>
        <v/>
      </c>
      <c r="D11" s="12" t="n">
        <v>1.064943271294384</v>
      </c>
      <c r="E11" s="10">
        <f>IF(AND(ISNUMBER(C11),ISNUMBER(D11)),C11*D11,"")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9" t="n">
        <v>167</v>
      </c>
      <c r="C12" s="10">
        <f>'Paid'!O13</f>
        <v/>
      </c>
      <c r="D12" s="12" t="n">
        <v>1.080171960073894</v>
      </c>
      <c r="E12" s="10">
        <f>IF(AND(ISNUMBER(C12),ISNUMBER(D12)),C12*D12,"")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9" t="n">
        <v>155</v>
      </c>
      <c r="C13" s="10">
        <f>'Paid'!N14</f>
        <v/>
      </c>
      <c r="D13" s="12" t="n">
        <v>1.094646264338884</v>
      </c>
      <c r="E13" s="10">
        <f>IF(AND(ISNUMBER(C13),ISNUMBER(D13)),C13*D13,"")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9" t="n">
        <v>143</v>
      </c>
      <c r="C14" s="10">
        <f>'Paid'!M15</f>
        <v/>
      </c>
      <c r="D14" s="12" t="n">
        <v>1.113802573964815</v>
      </c>
      <c r="E14" s="10">
        <f>IF(AND(ISNUMBER(C14),ISNUMBER(D14)),C14*D14,"")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9" t="n">
        <v>131</v>
      </c>
      <c r="C15" s="10">
        <f>'Paid'!L16</f>
        <v/>
      </c>
      <c r="D15" s="12" t="n">
        <v>1.134853442612749</v>
      </c>
      <c r="E15" s="10">
        <f>IF(AND(ISNUMBER(C15),ISNUMBER(D15)),C15*D15,"")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9" t="n">
        <v>119</v>
      </c>
      <c r="C16" s="10">
        <f>'Paid'!K17</f>
        <v/>
      </c>
      <c r="D16" s="12" t="n">
        <v>1.144272726186435</v>
      </c>
      <c r="E16" s="10">
        <f>IF(AND(ISNUMBER(C16),ISNUMBER(D16)),C16*D16,"")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9" t="n">
        <v>107</v>
      </c>
      <c r="C17" s="10">
        <f>'Paid'!J18</f>
        <v/>
      </c>
      <c r="D17" s="12" t="n">
        <v>1.21807831702546</v>
      </c>
      <c r="E17" s="10">
        <f>IF(AND(ISNUMBER(C17),ISNUMBER(D17)),C17*D17,"")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9" t="n">
        <v>95</v>
      </c>
      <c r="C18" s="10">
        <f>'Paid'!I19</f>
        <v/>
      </c>
      <c r="D18" s="12" t="n">
        <v>1.234156950810197</v>
      </c>
      <c r="E18" s="10">
        <f>IF(AND(ISNUMBER(C18),ISNUMBER(D18)),C18*D18,"")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9" t="n">
        <v>83</v>
      </c>
      <c r="C19" s="10">
        <f>'Paid'!H20</f>
        <v/>
      </c>
      <c r="D19" s="12" t="n">
        <v>1.274637298796771</v>
      </c>
      <c r="E19" s="10">
        <f>IF(AND(ISNUMBER(C19),ISNUMBER(D19)),C19*D19,"")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9" t="n">
        <v>71</v>
      </c>
      <c r="C20" s="10">
        <f>'Paid'!G21</f>
        <v/>
      </c>
      <c r="D20" s="12" t="n">
        <v>1.411023489768025</v>
      </c>
      <c r="E20" s="10">
        <f>IF(AND(ISNUMBER(C20),ISNUMBER(D20)),C20*D20,"")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9" t="n">
        <v>59</v>
      </c>
      <c r="C21" s="10">
        <f>'Paid'!F22</f>
        <v/>
      </c>
      <c r="D21" s="12" t="n">
        <v>1.579217489748374</v>
      </c>
      <c r="E21" s="10">
        <f>IF(AND(ISNUMBER(C21),ISNUMBER(D21)),C21*D21,"")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9" t="n">
        <v>47</v>
      </c>
      <c r="C22" s="10">
        <f>'Paid'!E23</f>
        <v/>
      </c>
      <c r="D22" s="12" t="n">
        <v>1.733664960245765</v>
      </c>
      <c r="E22" s="10">
        <f>IF(AND(ISNUMBER(C22),ISNUMBER(D22)),C22*D22,"")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9" t="n">
        <v>35</v>
      </c>
      <c r="C23" s="10">
        <f>'Paid'!D24</f>
        <v/>
      </c>
      <c r="D23" s="12" t="n">
        <v>2.080224585798893</v>
      </c>
      <c r="E23" s="10">
        <f>IF(AND(ISNUMBER(C23),ISNUMBER(D23)),C23*D23,"")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9" t="n">
        <v>23</v>
      </c>
      <c r="C24" s="10">
        <f>'Paid'!C25</f>
        <v/>
      </c>
      <c r="D24" s="12" t="n">
        <v>2.958911450840346</v>
      </c>
      <c r="E24" s="10">
        <f>IF(AND(ISNUMBER(C24),ISNUMBER(D24)),C24*D24,"")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9" t="n">
        <v>11</v>
      </c>
      <c r="C25" s="10">
        <f>'Paid'!B26</f>
        <v/>
      </c>
      <c r="D25" s="12" t="n">
        <v>7.761816517844396</v>
      </c>
      <c r="E25" s="10">
        <f>IF(AND(ISNUMBER(C25),ISNUMBER(D25)),C25*D25,"")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Incurred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'Incurred IE'!D2</f>
        <v/>
      </c>
      <c r="D2" s="13">
        <f>'Incurred CL'!D2</f>
        <v/>
      </c>
      <c r="E2" s="14">
        <f>1-(1/D2)</f>
        <v/>
      </c>
      <c r="F2" s="10">
        <f>C2*E2</f>
        <v/>
      </c>
      <c r="G2" s="10">
        <f>'Incurred CL'!C2</f>
        <v/>
      </c>
      <c r="H2" s="10">
        <f>F2+G2</f>
        <v/>
      </c>
      <c r="I2" s="10">
        <f>H2-G2</f>
        <v/>
      </c>
      <c r="J2" s="10">
        <f>H2-'Paid CL'!C2</f>
        <v/>
      </c>
    </row>
    <row r="3">
      <c r="A3" s="9" t="n">
        <v>2002</v>
      </c>
      <c r="B3" s="9" t="n">
        <v>275</v>
      </c>
      <c r="C3" s="10">
        <f>'Incurred IE'!D3</f>
        <v/>
      </c>
      <c r="D3" s="13">
        <f>'Incurred CL'!D3</f>
        <v/>
      </c>
      <c r="E3" s="14">
        <f>1-(1/D3)</f>
        <v/>
      </c>
      <c r="F3" s="10">
        <f>C3*E3</f>
        <v/>
      </c>
      <c r="G3" s="10">
        <f>'Incurred CL'!C3</f>
        <v/>
      </c>
      <c r="H3" s="10">
        <f>F3+G3</f>
        <v/>
      </c>
      <c r="I3" s="10">
        <f>H3-G3</f>
        <v/>
      </c>
      <c r="J3" s="10">
        <f>H3-'Paid CL'!C3</f>
        <v/>
      </c>
    </row>
    <row r="4">
      <c r="A4" s="9" t="n">
        <v>2003</v>
      </c>
      <c r="B4" s="9" t="n">
        <v>263</v>
      </c>
      <c r="C4" s="10">
        <f>'Incurred IE'!D4</f>
        <v/>
      </c>
      <c r="D4" s="13">
        <f>'Incurred CL'!D4</f>
        <v/>
      </c>
      <c r="E4" s="14">
        <f>1-(1/D4)</f>
        <v/>
      </c>
      <c r="F4" s="10">
        <f>C4*E4</f>
        <v/>
      </c>
      <c r="G4" s="10">
        <f>'Incurred CL'!C4</f>
        <v/>
      </c>
      <c r="H4" s="10">
        <f>F4+G4</f>
        <v/>
      </c>
      <c r="I4" s="10">
        <f>H4-G4</f>
        <v/>
      </c>
      <c r="J4" s="10">
        <f>H4-'Paid CL'!C4</f>
        <v/>
      </c>
    </row>
    <row r="5">
      <c r="A5" s="9" t="n">
        <v>2004</v>
      </c>
      <c r="B5" s="9" t="n">
        <v>251</v>
      </c>
      <c r="C5" s="10">
        <f>'Incurred IE'!D5</f>
        <v/>
      </c>
      <c r="D5" s="13">
        <f>'Incurred CL'!D5</f>
        <v/>
      </c>
      <c r="E5" s="14">
        <f>1-(1/D5)</f>
        <v/>
      </c>
      <c r="F5" s="10">
        <f>C5*E5</f>
        <v/>
      </c>
      <c r="G5" s="10">
        <f>'Incurred CL'!C5</f>
        <v/>
      </c>
      <c r="H5" s="10">
        <f>F5+G5</f>
        <v/>
      </c>
      <c r="I5" s="10">
        <f>H5-G5</f>
        <v/>
      </c>
      <c r="J5" s="10">
        <f>H5-'Paid CL'!C5</f>
        <v/>
      </c>
    </row>
    <row r="6">
      <c r="A6" s="9" t="n">
        <v>2005</v>
      </c>
      <c r="B6" s="9" t="n">
        <v>239</v>
      </c>
      <c r="C6" s="10">
        <f>'Incurred IE'!D6</f>
        <v/>
      </c>
      <c r="D6" s="13">
        <f>'Incurred CL'!D6</f>
        <v/>
      </c>
      <c r="E6" s="14">
        <f>1-(1/D6)</f>
        <v/>
      </c>
      <c r="F6" s="10">
        <f>C6*E6</f>
        <v/>
      </c>
      <c r="G6" s="10">
        <f>'Incurred CL'!C6</f>
        <v/>
      </c>
      <c r="H6" s="10">
        <f>F6+G6</f>
        <v/>
      </c>
      <c r="I6" s="10">
        <f>H6-G6</f>
        <v/>
      </c>
      <c r="J6" s="10">
        <f>H6-'Paid CL'!C6</f>
        <v/>
      </c>
    </row>
    <row r="7">
      <c r="A7" s="9" t="n">
        <v>2006</v>
      </c>
      <c r="B7" s="9" t="n">
        <v>227</v>
      </c>
      <c r="C7" s="10">
        <f>'Incurred IE'!D7</f>
        <v/>
      </c>
      <c r="D7" s="13">
        <f>'Incurred CL'!D7</f>
        <v/>
      </c>
      <c r="E7" s="14">
        <f>1-(1/D7)</f>
        <v/>
      </c>
      <c r="F7" s="10">
        <f>C7*E7</f>
        <v/>
      </c>
      <c r="G7" s="10">
        <f>'Incurred CL'!C7</f>
        <v/>
      </c>
      <c r="H7" s="10">
        <f>F7+G7</f>
        <v/>
      </c>
      <c r="I7" s="10">
        <f>H7-G7</f>
        <v/>
      </c>
      <c r="J7" s="10">
        <f>H7-'Paid CL'!C7</f>
        <v/>
      </c>
    </row>
    <row r="8">
      <c r="A8" s="9" t="n">
        <v>2007</v>
      </c>
      <c r="B8" s="9" t="n">
        <v>215</v>
      </c>
      <c r="C8" s="10">
        <f>'Incurred IE'!D8</f>
        <v/>
      </c>
      <c r="D8" s="13">
        <f>'Incurred CL'!D8</f>
        <v/>
      </c>
      <c r="E8" s="14">
        <f>1-(1/D8)</f>
        <v/>
      </c>
      <c r="F8" s="10">
        <f>C8*E8</f>
        <v/>
      </c>
      <c r="G8" s="10">
        <f>'Incurred CL'!C8</f>
        <v/>
      </c>
      <c r="H8" s="10">
        <f>F8+G8</f>
        <v/>
      </c>
      <c r="I8" s="10">
        <f>H8-G8</f>
        <v/>
      </c>
      <c r="J8" s="10">
        <f>H8-'Paid CL'!C8</f>
        <v/>
      </c>
    </row>
    <row r="9">
      <c r="A9" s="9" t="n">
        <v>2008</v>
      </c>
      <c r="B9" s="9" t="n">
        <v>203</v>
      </c>
      <c r="C9" s="10">
        <f>'Incurred IE'!D9</f>
        <v/>
      </c>
      <c r="D9" s="13">
        <f>'Incurred CL'!D9</f>
        <v/>
      </c>
      <c r="E9" s="14">
        <f>1-(1/D9)</f>
        <v/>
      </c>
      <c r="F9" s="10">
        <f>C9*E9</f>
        <v/>
      </c>
      <c r="G9" s="10">
        <f>'Incurred CL'!C9</f>
        <v/>
      </c>
      <c r="H9" s="10">
        <f>F9+G9</f>
        <v/>
      </c>
      <c r="I9" s="10">
        <f>H9-G9</f>
        <v/>
      </c>
      <c r="J9" s="10">
        <f>H9-'Paid CL'!C9</f>
        <v/>
      </c>
    </row>
    <row r="10">
      <c r="A10" s="9" t="n">
        <v>2009</v>
      </c>
      <c r="B10" s="9" t="n">
        <v>191</v>
      </c>
      <c r="C10" s="10">
        <f>'Incurred IE'!D10</f>
        <v/>
      </c>
      <c r="D10" s="13">
        <f>'Incurred CL'!D10</f>
        <v/>
      </c>
      <c r="E10" s="14">
        <f>1-(1/D10)</f>
        <v/>
      </c>
      <c r="F10" s="10">
        <f>C10*E10</f>
        <v/>
      </c>
      <c r="G10" s="10">
        <f>'Incurred CL'!C10</f>
        <v/>
      </c>
      <c r="H10" s="10">
        <f>F10+G10</f>
        <v/>
      </c>
      <c r="I10" s="10">
        <f>H10-G10</f>
        <v/>
      </c>
      <c r="J10" s="10">
        <f>H10-'Paid CL'!C10</f>
        <v/>
      </c>
    </row>
    <row r="11">
      <c r="A11" s="9" t="n">
        <v>2010</v>
      </c>
      <c r="B11" s="9" t="n">
        <v>179</v>
      </c>
      <c r="C11" s="10">
        <f>'Incurred IE'!D11</f>
        <v/>
      </c>
      <c r="D11" s="13">
        <f>'Incurred CL'!D11</f>
        <v/>
      </c>
      <c r="E11" s="14">
        <f>1-(1/D11)</f>
        <v/>
      </c>
      <c r="F11" s="10">
        <f>C11*E11</f>
        <v/>
      </c>
      <c r="G11" s="10">
        <f>'Incurred CL'!C11</f>
        <v/>
      </c>
      <c r="H11" s="10">
        <f>F11+G11</f>
        <v/>
      </c>
      <c r="I11" s="10">
        <f>H11-G11</f>
        <v/>
      </c>
      <c r="J11" s="10">
        <f>H11-'Paid CL'!C11</f>
        <v/>
      </c>
    </row>
    <row r="12">
      <c r="A12" s="9" t="n">
        <v>2011</v>
      </c>
      <c r="B12" s="9" t="n">
        <v>167</v>
      </c>
      <c r="C12" s="10">
        <f>'Incurred IE'!D12</f>
        <v/>
      </c>
      <c r="D12" s="13">
        <f>'Incurred CL'!D12</f>
        <v/>
      </c>
      <c r="E12" s="14">
        <f>1-(1/D12)</f>
        <v/>
      </c>
      <c r="F12" s="10">
        <f>C12*E12</f>
        <v/>
      </c>
      <c r="G12" s="10">
        <f>'Incurred CL'!C12</f>
        <v/>
      </c>
      <c r="H12" s="10">
        <f>F12+G12</f>
        <v/>
      </c>
      <c r="I12" s="10">
        <f>H12-G12</f>
        <v/>
      </c>
      <c r="J12" s="10">
        <f>H12-'Paid CL'!C12</f>
        <v/>
      </c>
    </row>
    <row r="13">
      <c r="A13" s="9" t="n">
        <v>2012</v>
      </c>
      <c r="B13" s="9" t="n">
        <v>155</v>
      </c>
      <c r="C13" s="10">
        <f>'Incurred IE'!D13</f>
        <v/>
      </c>
      <c r="D13" s="13">
        <f>'Incurred CL'!D13</f>
        <v/>
      </c>
      <c r="E13" s="14">
        <f>1-(1/D13)</f>
        <v/>
      </c>
      <c r="F13" s="10">
        <f>C13*E13</f>
        <v/>
      </c>
      <c r="G13" s="10">
        <f>'Incurred CL'!C13</f>
        <v/>
      </c>
      <c r="H13" s="10">
        <f>F13+G13</f>
        <v/>
      </c>
      <c r="I13" s="10">
        <f>H13-G13</f>
        <v/>
      </c>
      <c r="J13" s="10">
        <f>H13-'Paid CL'!C13</f>
        <v/>
      </c>
    </row>
    <row r="14">
      <c r="A14" s="9" t="n">
        <v>2013</v>
      </c>
      <c r="B14" s="9" t="n">
        <v>143</v>
      </c>
      <c r="C14" s="10">
        <f>'Incurred IE'!D14</f>
        <v/>
      </c>
      <c r="D14" s="13">
        <f>'Incurred CL'!D14</f>
        <v/>
      </c>
      <c r="E14" s="14">
        <f>1-(1/D14)</f>
        <v/>
      </c>
      <c r="F14" s="10">
        <f>C14*E14</f>
        <v/>
      </c>
      <c r="G14" s="10">
        <f>'Incurred CL'!C14</f>
        <v/>
      </c>
      <c r="H14" s="10">
        <f>F14+G14</f>
        <v/>
      </c>
      <c r="I14" s="10">
        <f>H14-G14</f>
        <v/>
      </c>
      <c r="J14" s="10">
        <f>H14-'Paid CL'!C14</f>
        <v/>
      </c>
    </row>
    <row r="15">
      <c r="A15" s="9" t="n">
        <v>2014</v>
      </c>
      <c r="B15" s="9" t="n">
        <v>131</v>
      </c>
      <c r="C15" s="10">
        <f>'Incurred IE'!D15</f>
        <v/>
      </c>
      <c r="D15" s="13">
        <f>'Incurred CL'!D15</f>
        <v/>
      </c>
      <c r="E15" s="14">
        <f>1-(1/D15)</f>
        <v/>
      </c>
      <c r="F15" s="10">
        <f>C15*E15</f>
        <v/>
      </c>
      <c r="G15" s="10">
        <f>'Incurred CL'!C15</f>
        <v/>
      </c>
      <c r="H15" s="10">
        <f>F15+G15</f>
        <v/>
      </c>
      <c r="I15" s="10">
        <f>H15-G15</f>
        <v/>
      </c>
      <c r="J15" s="10">
        <f>H15-'Paid CL'!C15</f>
        <v/>
      </c>
    </row>
    <row r="16">
      <c r="A16" s="9" t="n">
        <v>2015</v>
      </c>
      <c r="B16" s="9" t="n">
        <v>119</v>
      </c>
      <c r="C16" s="10">
        <f>'Incurred IE'!D16</f>
        <v/>
      </c>
      <c r="D16" s="13">
        <f>'Incurred CL'!D16</f>
        <v/>
      </c>
      <c r="E16" s="14">
        <f>1-(1/D16)</f>
        <v/>
      </c>
      <c r="F16" s="10">
        <f>C16*E16</f>
        <v/>
      </c>
      <c r="G16" s="10">
        <f>'Incurred CL'!C16</f>
        <v/>
      </c>
      <c r="H16" s="10">
        <f>F16+G16</f>
        <v/>
      </c>
      <c r="I16" s="10">
        <f>H16-G16</f>
        <v/>
      </c>
      <c r="J16" s="10">
        <f>H16-'Paid CL'!C16</f>
        <v/>
      </c>
    </row>
    <row r="17">
      <c r="A17" s="9" t="n">
        <v>2016</v>
      </c>
      <c r="B17" s="9" t="n">
        <v>107</v>
      </c>
      <c r="C17" s="10">
        <f>'Incurred IE'!D17</f>
        <v/>
      </c>
      <c r="D17" s="13">
        <f>'Incurred CL'!D17</f>
        <v/>
      </c>
      <c r="E17" s="14">
        <f>1-(1/D17)</f>
        <v/>
      </c>
      <c r="F17" s="10">
        <f>C17*E17</f>
        <v/>
      </c>
      <c r="G17" s="10">
        <f>'Incurred CL'!C17</f>
        <v/>
      </c>
      <c r="H17" s="10">
        <f>F17+G17</f>
        <v/>
      </c>
      <c r="I17" s="10">
        <f>H17-G17</f>
        <v/>
      </c>
      <c r="J17" s="10">
        <f>H17-'Paid CL'!C17</f>
        <v/>
      </c>
    </row>
    <row r="18">
      <c r="A18" s="9" t="n">
        <v>2017</v>
      </c>
      <c r="B18" s="9" t="n">
        <v>95</v>
      </c>
      <c r="C18" s="10">
        <f>'Incurred IE'!D18</f>
        <v/>
      </c>
      <c r="D18" s="13">
        <f>'Incurred CL'!D18</f>
        <v/>
      </c>
      <c r="E18" s="14">
        <f>1-(1/D18)</f>
        <v/>
      </c>
      <c r="F18" s="10">
        <f>C18*E18</f>
        <v/>
      </c>
      <c r="G18" s="10">
        <f>'Incurred CL'!C18</f>
        <v/>
      </c>
      <c r="H18" s="10">
        <f>F18+G18</f>
        <v/>
      </c>
      <c r="I18" s="10">
        <f>H18-G18</f>
        <v/>
      </c>
      <c r="J18" s="10">
        <f>H18-'Paid CL'!C18</f>
        <v/>
      </c>
    </row>
    <row r="19">
      <c r="A19" s="9" t="n">
        <v>2018</v>
      </c>
      <c r="B19" s="9" t="n">
        <v>83</v>
      </c>
      <c r="C19" s="10">
        <f>'Incurred IE'!D19</f>
        <v/>
      </c>
      <c r="D19" s="13">
        <f>'Incurred CL'!D19</f>
        <v/>
      </c>
      <c r="E19" s="14">
        <f>1-(1/D19)</f>
        <v/>
      </c>
      <c r="F19" s="10">
        <f>C19*E19</f>
        <v/>
      </c>
      <c r="G19" s="10">
        <f>'Incurred CL'!C19</f>
        <v/>
      </c>
      <c r="H19" s="10">
        <f>F19+G19</f>
        <v/>
      </c>
      <c r="I19" s="10">
        <f>H19-G19</f>
        <v/>
      </c>
      <c r="J19" s="10">
        <f>H19-'Paid CL'!C19</f>
        <v/>
      </c>
    </row>
    <row r="20">
      <c r="A20" s="9" t="n">
        <v>2019</v>
      </c>
      <c r="B20" s="9" t="n">
        <v>71</v>
      </c>
      <c r="C20" s="10">
        <f>'Incurred IE'!D20</f>
        <v/>
      </c>
      <c r="D20" s="13">
        <f>'Incurred CL'!D20</f>
        <v/>
      </c>
      <c r="E20" s="14">
        <f>1-(1/D20)</f>
        <v/>
      </c>
      <c r="F20" s="10">
        <f>C20*E20</f>
        <v/>
      </c>
      <c r="G20" s="10">
        <f>'Incurred CL'!C20</f>
        <v/>
      </c>
      <c r="H20" s="10">
        <f>F20+G20</f>
        <v/>
      </c>
      <c r="I20" s="10">
        <f>H20-G20</f>
        <v/>
      </c>
      <c r="J20" s="10">
        <f>H20-'Paid CL'!C20</f>
        <v/>
      </c>
    </row>
    <row r="21">
      <c r="A21" s="9" t="n">
        <v>2020</v>
      </c>
      <c r="B21" s="9" t="n">
        <v>59</v>
      </c>
      <c r="C21" s="10">
        <f>'Incurred IE'!D21</f>
        <v/>
      </c>
      <c r="D21" s="13">
        <f>'Incurred CL'!D21</f>
        <v/>
      </c>
      <c r="E21" s="14">
        <f>1-(1/D21)</f>
        <v/>
      </c>
      <c r="F21" s="10">
        <f>C21*E21</f>
        <v/>
      </c>
      <c r="G21" s="10">
        <f>'Incurred CL'!C21</f>
        <v/>
      </c>
      <c r="H21" s="10">
        <f>F21+G21</f>
        <v/>
      </c>
      <c r="I21" s="10">
        <f>H21-G21</f>
        <v/>
      </c>
      <c r="J21" s="10">
        <f>H21-'Paid CL'!C21</f>
        <v/>
      </c>
    </row>
    <row r="22">
      <c r="A22" s="9" t="n">
        <v>2021</v>
      </c>
      <c r="B22" s="9" t="n">
        <v>47</v>
      </c>
      <c r="C22" s="10">
        <f>'Incurred IE'!D22</f>
        <v/>
      </c>
      <c r="D22" s="13">
        <f>'Incurred CL'!D22</f>
        <v/>
      </c>
      <c r="E22" s="14">
        <f>1-(1/D22)</f>
        <v/>
      </c>
      <c r="F22" s="10">
        <f>C22*E22</f>
        <v/>
      </c>
      <c r="G22" s="10">
        <f>'Incurred CL'!C22</f>
        <v/>
      </c>
      <c r="H22" s="10">
        <f>F22+G22</f>
        <v/>
      </c>
      <c r="I22" s="10">
        <f>H22-G22</f>
        <v/>
      </c>
      <c r="J22" s="10">
        <f>H22-'Paid CL'!C22</f>
        <v/>
      </c>
    </row>
    <row r="23">
      <c r="A23" s="9" t="n">
        <v>2022</v>
      </c>
      <c r="B23" s="9" t="n">
        <v>35</v>
      </c>
      <c r="C23" s="10">
        <f>'Incurred IE'!D23</f>
        <v/>
      </c>
      <c r="D23" s="13">
        <f>'Incurred CL'!D23</f>
        <v/>
      </c>
      <c r="E23" s="14">
        <f>1-(1/D23)</f>
        <v/>
      </c>
      <c r="F23" s="10">
        <f>C23*E23</f>
        <v/>
      </c>
      <c r="G23" s="10">
        <f>'Incurred CL'!C23</f>
        <v/>
      </c>
      <c r="H23" s="10">
        <f>F23+G23</f>
        <v/>
      </c>
      <c r="I23" s="10">
        <f>H23-G23</f>
        <v/>
      </c>
      <c r="J23" s="10">
        <f>H23-'Paid CL'!C23</f>
        <v/>
      </c>
    </row>
    <row r="24">
      <c r="A24" s="9" t="n">
        <v>2023</v>
      </c>
      <c r="B24" s="9" t="n">
        <v>23</v>
      </c>
      <c r="C24" s="10">
        <f>'Incurred IE'!D24</f>
        <v/>
      </c>
      <c r="D24" s="13">
        <f>'Incurred CL'!D24</f>
        <v/>
      </c>
      <c r="E24" s="14">
        <f>1-(1/D24)</f>
        <v/>
      </c>
      <c r="F24" s="10">
        <f>C24*E24</f>
        <v/>
      </c>
      <c r="G24" s="10">
        <f>'Incurred CL'!C24</f>
        <v/>
      </c>
      <c r="H24" s="10">
        <f>F24+G24</f>
        <v/>
      </c>
      <c r="I24" s="10">
        <f>H24-G24</f>
        <v/>
      </c>
      <c r="J24" s="10">
        <f>H24-'Paid CL'!C24</f>
        <v/>
      </c>
    </row>
    <row r="25">
      <c r="A25" s="9" t="n">
        <v>2024</v>
      </c>
      <c r="B25" s="9" t="n">
        <v>11</v>
      </c>
      <c r="C25" s="10">
        <f>'Incurred IE'!D25</f>
        <v/>
      </c>
      <c r="D25" s="13">
        <f>'Incurred CL'!D25</f>
        <v/>
      </c>
      <c r="E25" s="14">
        <f>1-(1/D25)</f>
        <v/>
      </c>
      <c r="F25" s="10">
        <f>C25*E25</f>
        <v/>
      </c>
      <c r="G25" s="10">
        <f>'Incurred CL'!C25</f>
        <v/>
      </c>
      <c r="H25" s="10">
        <f>F25+G25</f>
        <v/>
      </c>
      <c r="I25" s="10">
        <f>H25-G25</f>
        <v/>
      </c>
      <c r="J25" s="10">
        <f>H25-'Paid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Paid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'Paid IE'!D2</f>
        <v/>
      </c>
      <c r="D2" s="13">
        <f>'Paid CL'!D2</f>
        <v/>
      </c>
      <c r="E2" s="14">
        <f>1-(1/D2)</f>
        <v/>
      </c>
      <c r="F2" s="10">
        <f>C2*E2</f>
        <v/>
      </c>
      <c r="G2" s="10">
        <f>'Paid CL'!C2</f>
        <v/>
      </c>
      <c r="H2" s="10">
        <f>F2+G2</f>
        <v/>
      </c>
      <c r="I2" s="10">
        <f>H2-G2</f>
        <v/>
      </c>
      <c r="J2" s="10">
        <f>H2-G2</f>
        <v/>
      </c>
    </row>
    <row r="3">
      <c r="A3" s="9" t="n">
        <v>2002</v>
      </c>
      <c r="B3" s="9" t="n">
        <v>275</v>
      </c>
      <c r="C3" s="10">
        <f>'Paid IE'!D3</f>
        <v/>
      </c>
      <c r="D3" s="13">
        <f>'Paid CL'!D3</f>
        <v/>
      </c>
      <c r="E3" s="14">
        <f>1-(1/D3)</f>
        <v/>
      </c>
      <c r="F3" s="10">
        <f>C3*E3</f>
        <v/>
      </c>
      <c r="G3" s="10">
        <f>'Paid CL'!C3</f>
        <v/>
      </c>
      <c r="H3" s="10">
        <f>F3+G3</f>
        <v/>
      </c>
      <c r="I3" s="10">
        <f>H3-G3</f>
        <v/>
      </c>
      <c r="J3" s="10">
        <f>H3-G3</f>
        <v/>
      </c>
    </row>
    <row r="4">
      <c r="A4" s="9" t="n">
        <v>2003</v>
      </c>
      <c r="B4" s="9" t="n">
        <v>263</v>
      </c>
      <c r="C4" s="10">
        <f>'Paid IE'!D4</f>
        <v/>
      </c>
      <c r="D4" s="13">
        <f>'Paid CL'!D4</f>
        <v/>
      </c>
      <c r="E4" s="14">
        <f>1-(1/D4)</f>
        <v/>
      </c>
      <c r="F4" s="10">
        <f>C4*E4</f>
        <v/>
      </c>
      <c r="G4" s="10">
        <f>'Paid CL'!C4</f>
        <v/>
      </c>
      <c r="H4" s="10">
        <f>F4+G4</f>
        <v/>
      </c>
      <c r="I4" s="10">
        <f>H4-G4</f>
        <v/>
      </c>
      <c r="J4" s="10">
        <f>H4-G4</f>
        <v/>
      </c>
    </row>
    <row r="5">
      <c r="A5" s="9" t="n">
        <v>2004</v>
      </c>
      <c r="B5" s="9" t="n">
        <v>251</v>
      </c>
      <c r="C5" s="10">
        <f>'Paid IE'!D5</f>
        <v/>
      </c>
      <c r="D5" s="13">
        <f>'Paid CL'!D5</f>
        <v/>
      </c>
      <c r="E5" s="14">
        <f>1-(1/D5)</f>
        <v/>
      </c>
      <c r="F5" s="10">
        <f>C5*E5</f>
        <v/>
      </c>
      <c r="G5" s="10">
        <f>'Paid CL'!C5</f>
        <v/>
      </c>
      <c r="H5" s="10">
        <f>F5+G5</f>
        <v/>
      </c>
      <c r="I5" s="10">
        <f>H5-G5</f>
        <v/>
      </c>
      <c r="J5" s="10">
        <f>H5-G5</f>
        <v/>
      </c>
    </row>
    <row r="6">
      <c r="A6" s="9" t="n">
        <v>2005</v>
      </c>
      <c r="B6" s="9" t="n">
        <v>239</v>
      </c>
      <c r="C6" s="10">
        <f>'Paid IE'!D6</f>
        <v/>
      </c>
      <c r="D6" s="13">
        <f>'Paid CL'!D6</f>
        <v/>
      </c>
      <c r="E6" s="14">
        <f>1-(1/D6)</f>
        <v/>
      </c>
      <c r="F6" s="10">
        <f>C6*E6</f>
        <v/>
      </c>
      <c r="G6" s="10">
        <f>'Paid CL'!C6</f>
        <v/>
      </c>
      <c r="H6" s="10">
        <f>F6+G6</f>
        <v/>
      </c>
      <c r="I6" s="10">
        <f>H6-G6</f>
        <v/>
      </c>
      <c r="J6" s="10">
        <f>H6-G6</f>
        <v/>
      </c>
    </row>
    <row r="7">
      <c r="A7" s="9" t="n">
        <v>2006</v>
      </c>
      <c r="B7" s="9" t="n">
        <v>227</v>
      </c>
      <c r="C7" s="10">
        <f>'Paid IE'!D7</f>
        <v/>
      </c>
      <c r="D7" s="13">
        <f>'Paid CL'!D7</f>
        <v/>
      </c>
      <c r="E7" s="14">
        <f>1-(1/D7)</f>
        <v/>
      </c>
      <c r="F7" s="10">
        <f>C7*E7</f>
        <v/>
      </c>
      <c r="G7" s="10">
        <f>'Paid CL'!C7</f>
        <v/>
      </c>
      <c r="H7" s="10">
        <f>F7+G7</f>
        <v/>
      </c>
      <c r="I7" s="10">
        <f>H7-G7</f>
        <v/>
      </c>
      <c r="J7" s="10">
        <f>H7-G7</f>
        <v/>
      </c>
    </row>
    <row r="8">
      <c r="A8" s="9" t="n">
        <v>2007</v>
      </c>
      <c r="B8" s="9" t="n">
        <v>215</v>
      </c>
      <c r="C8" s="10">
        <f>'Paid IE'!D8</f>
        <v/>
      </c>
      <c r="D8" s="13">
        <f>'Paid CL'!D8</f>
        <v/>
      </c>
      <c r="E8" s="14">
        <f>1-(1/D8)</f>
        <v/>
      </c>
      <c r="F8" s="10">
        <f>C8*E8</f>
        <v/>
      </c>
      <c r="G8" s="10">
        <f>'Paid CL'!C8</f>
        <v/>
      </c>
      <c r="H8" s="10">
        <f>F8+G8</f>
        <v/>
      </c>
      <c r="I8" s="10">
        <f>H8-G8</f>
        <v/>
      </c>
      <c r="J8" s="10">
        <f>H8-G8</f>
        <v/>
      </c>
    </row>
    <row r="9">
      <c r="A9" s="9" t="n">
        <v>2008</v>
      </c>
      <c r="B9" s="9" t="n">
        <v>203</v>
      </c>
      <c r="C9" s="10">
        <f>'Paid IE'!D9</f>
        <v/>
      </c>
      <c r="D9" s="13">
        <f>'Paid CL'!D9</f>
        <v/>
      </c>
      <c r="E9" s="14">
        <f>1-(1/D9)</f>
        <v/>
      </c>
      <c r="F9" s="10">
        <f>C9*E9</f>
        <v/>
      </c>
      <c r="G9" s="10">
        <f>'Paid CL'!C9</f>
        <v/>
      </c>
      <c r="H9" s="10">
        <f>F9+G9</f>
        <v/>
      </c>
      <c r="I9" s="10">
        <f>H9-G9</f>
        <v/>
      </c>
      <c r="J9" s="10">
        <f>H9-G9</f>
        <v/>
      </c>
    </row>
    <row r="10">
      <c r="A10" s="9" t="n">
        <v>2009</v>
      </c>
      <c r="B10" s="9" t="n">
        <v>191</v>
      </c>
      <c r="C10" s="10">
        <f>'Paid IE'!D10</f>
        <v/>
      </c>
      <c r="D10" s="13">
        <f>'Paid CL'!D10</f>
        <v/>
      </c>
      <c r="E10" s="14">
        <f>1-(1/D10)</f>
        <v/>
      </c>
      <c r="F10" s="10">
        <f>C10*E10</f>
        <v/>
      </c>
      <c r="G10" s="10">
        <f>'Paid CL'!C10</f>
        <v/>
      </c>
      <c r="H10" s="10">
        <f>F10+G10</f>
        <v/>
      </c>
      <c r="I10" s="10">
        <f>H10-G10</f>
        <v/>
      </c>
      <c r="J10" s="10">
        <f>H10-G10</f>
        <v/>
      </c>
    </row>
    <row r="11">
      <c r="A11" s="9" t="n">
        <v>2010</v>
      </c>
      <c r="B11" s="9" t="n">
        <v>179</v>
      </c>
      <c r="C11" s="10">
        <f>'Paid IE'!D11</f>
        <v/>
      </c>
      <c r="D11" s="13">
        <f>'Paid CL'!D11</f>
        <v/>
      </c>
      <c r="E11" s="14">
        <f>1-(1/D11)</f>
        <v/>
      </c>
      <c r="F11" s="10">
        <f>C11*E11</f>
        <v/>
      </c>
      <c r="G11" s="10">
        <f>'Paid CL'!C11</f>
        <v/>
      </c>
      <c r="H11" s="10">
        <f>F11+G11</f>
        <v/>
      </c>
      <c r="I11" s="10">
        <f>H11-G11</f>
        <v/>
      </c>
      <c r="J11" s="10">
        <f>H11-G11</f>
        <v/>
      </c>
    </row>
    <row r="12">
      <c r="A12" s="9" t="n">
        <v>2011</v>
      </c>
      <c r="B12" s="9" t="n">
        <v>167</v>
      </c>
      <c r="C12" s="10">
        <f>'Paid IE'!D12</f>
        <v/>
      </c>
      <c r="D12" s="13">
        <f>'Paid CL'!D12</f>
        <v/>
      </c>
      <c r="E12" s="14">
        <f>1-(1/D12)</f>
        <v/>
      </c>
      <c r="F12" s="10">
        <f>C12*E12</f>
        <v/>
      </c>
      <c r="G12" s="10">
        <f>'Paid CL'!C12</f>
        <v/>
      </c>
      <c r="H12" s="10">
        <f>F12+G12</f>
        <v/>
      </c>
      <c r="I12" s="10">
        <f>H12-G12</f>
        <v/>
      </c>
      <c r="J12" s="10">
        <f>H12-G12</f>
        <v/>
      </c>
    </row>
    <row r="13">
      <c r="A13" s="9" t="n">
        <v>2012</v>
      </c>
      <c r="B13" s="9" t="n">
        <v>155</v>
      </c>
      <c r="C13" s="10">
        <f>'Paid IE'!D13</f>
        <v/>
      </c>
      <c r="D13" s="13">
        <f>'Paid CL'!D13</f>
        <v/>
      </c>
      <c r="E13" s="14">
        <f>1-(1/D13)</f>
        <v/>
      </c>
      <c r="F13" s="10">
        <f>C13*E13</f>
        <v/>
      </c>
      <c r="G13" s="10">
        <f>'Paid CL'!C13</f>
        <v/>
      </c>
      <c r="H13" s="10">
        <f>F13+G13</f>
        <v/>
      </c>
      <c r="I13" s="10">
        <f>H13-G13</f>
        <v/>
      </c>
      <c r="J13" s="10">
        <f>H13-G13</f>
        <v/>
      </c>
    </row>
    <row r="14">
      <c r="A14" s="9" t="n">
        <v>2013</v>
      </c>
      <c r="B14" s="9" t="n">
        <v>143</v>
      </c>
      <c r="C14" s="10">
        <f>'Paid IE'!D14</f>
        <v/>
      </c>
      <c r="D14" s="13">
        <f>'Paid CL'!D14</f>
        <v/>
      </c>
      <c r="E14" s="14">
        <f>1-(1/D14)</f>
        <v/>
      </c>
      <c r="F14" s="10">
        <f>C14*E14</f>
        <v/>
      </c>
      <c r="G14" s="10">
        <f>'Paid CL'!C14</f>
        <v/>
      </c>
      <c r="H14" s="10">
        <f>F14+G14</f>
        <v/>
      </c>
      <c r="I14" s="10">
        <f>H14-G14</f>
        <v/>
      </c>
      <c r="J14" s="10">
        <f>H14-G14</f>
        <v/>
      </c>
    </row>
    <row r="15">
      <c r="A15" s="9" t="n">
        <v>2014</v>
      </c>
      <c r="B15" s="9" t="n">
        <v>131</v>
      </c>
      <c r="C15" s="10">
        <f>'Paid IE'!D15</f>
        <v/>
      </c>
      <c r="D15" s="13">
        <f>'Paid CL'!D15</f>
        <v/>
      </c>
      <c r="E15" s="14">
        <f>1-(1/D15)</f>
        <v/>
      </c>
      <c r="F15" s="10">
        <f>C15*E15</f>
        <v/>
      </c>
      <c r="G15" s="10">
        <f>'Paid CL'!C15</f>
        <v/>
      </c>
      <c r="H15" s="10">
        <f>F15+G15</f>
        <v/>
      </c>
      <c r="I15" s="10">
        <f>H15-G15</f>
        <v/>
      </c>
      <c r="J15" s="10">
        <f>H15-G15</f>
        <v/>
      </c>
    </row>
    <row r="16">
      <c r="A16" s="9" t="n">
        <v>2015</v>
      </c>
      <c r="B16" s="9" t="n">
        <v>119</v>
      </c>
      <c r="C16" s="10">
        <f>'Paid IE'!D16</f>
        <v/>
      </c>
      <c r="D16" s="13">
        <f>'Paid CL'!D16</f>
        <v/>
      </c>
      <c r="E16" s="14">
        <f>1-(1/D16)</f>
        <v/>
      </c>
      <c r="F16" s="10">
        <f>C16*E16</f>
        <v/>
      </c>
      <c r="G16" s="10">
        <f>'Paid CL'!C16</f>
        <v/>
      </c>
      <c r="H16" s="10">
        <f>F16+G16</f>
        <v/>
      </c>
      <c r="I16" s="10">
        <f>H16-G16</f>
        <v/>
      </c>
      <c r="J16" s="10">
        <f>H16-G16</f>
        <v/>
      </c>
    </row>
    <row r="17">
      <c r="A17" s="9" t="n">
        <v>2016</v>
      </c>
      <c r="B17" s="9" t="n">
        <v>107</v>
      </c>
      <c r="C17" s="10">
        <f>'Paid IE'!D17</f>
        <v/>
      </c>
      <c r="D17" s="13">
        <f>'Paid CL'!D17</f>
        <v/>
      </c>
      <c r="E17" s="14">
        <f>1-(1/D17)</f>
        <v/>
      </c>
      <c r="F17" s="10">
        <f>C17*E17</f>
        <v/>
      </c>
      <c r="G17" s="10">
        <f>'Paid CL'!C17</f>
        <v/>
      </c>
      <c r="H17" s="10">
        <f>F17+G17</f>
        <v/>
      </c>
      <c r="I17" s="10">
        <f>H17-G17</f>
        <v/>
      </c>
      <c r="J17" s="10">
        <f>H17-G17</f>
        <v/>
      </c>
    </row>
    <row r="18">
      <c r="A18" s="9" t="n">
        <v>2017</v>
      </c>
      <c r="B18" s="9" t="n">
        <v>95</v>
      </c>
      <c r="C18" s="10">
        <f>'Paid IE'!D18</f>
        <v/>
      </c>
      <c r="D18" s="13">
        <f>'Paid CL'!D18</f>
        <v/>
      </c>
      <c r="E18" s="14">
        <f>1-(1/D18)</f>
        <v/>
      </c>
      <c r="F18" s="10">
        <f>C18*E18</f>
        <v/>
      </c>
      <c r="G18" s="10">
        <f>'Paid CL'!C18</f>
        <v/>
      </c>
      <c r="H18" s="10">
        <f>F18+G18</f>
        <v/>
      </c>
      <c r="I18" s="10">
        <f>H18-G18</f>
        <v/>
      </c>
      <c r="J18" s="10">
        <f>H18-G18</f>
        <v/>
      </c>
    </row>
    <row r="19">
      <c r="A19" s="9" t="n">
        <v>2018</v>
      </c>
      <c r="B19" s="9" t="n">
        <v>83</v>
      </c>
      <c r="C19" s="10">
        <f>'Paid IE'!D19</f>
        <v/>
      </c>
      <c r="D19" s="13">
        <f>'Paid CL'!D19</f>
        <v/>
      </c>
      <c r="E19" s="14">
        <f>1-(1/D19)</f>
        <v/>
      </c>
      <c r="F19" s="10">
        <f>C19*E19</f>
        <v/>
      </c>
      <c r="G19" s="10">
        <f>'Paid CL'!C19</f>
        <v/>
      </c>
      <c r="H19" s="10">
        <f>F19+G19</f>
        <v/>
      </c>
      <c r="I19" s="10">
        <f>H19-G19</f>
        <v/>
      </c>
      <c r="J19" s="10">
        <f>H19-G19</f>
        <v/>
      </c>
    </row>
    <row r="20">
      <c r="A20" s="9" t="n">
        <v>2019</v>
      </c>
      <c r="B20" s="9" t="n">
        <v>71</v>
      </c>
      <c r="C20" s="10">
        <f>'Paid IE'!D20</f>
        <v/>
      </c>
      <c r="D20" s="13">
        <f>'Paid CL'!D20</f>
        <v/>
      </c>
      <c r="E20" s="14">
        <f>1-(1/D20)</f>
        <v/>
      </c>
      <c r="F20" s="10">
        <f>C20*E20</f>
        <v/>
      </c>
      <c r="G20" s="10">
        <f>'Paid CL'!C20</f>
        <v/>
      </c>
      <c r="H20" s="10">
        <f>F20+G20</f>
        <v/>
      </c>
      <c r="I20" s="10">
        <f>H20-G20</f>
        <v/>
      </c>
      <c r="J20" s="10">
        <f>H20-G20</f>
        <v/>
      </c>
    </row>
    <row r="21">
      <c r="A21" s="9" t="n">
        <v>2020</v>
      </c>
      <c r="B21" s="9" t="n">
        <v>59</v>
      </c>
      <c r="C21" s="10">
        <f>'Paid IE'!D21</f>
        <v/>
      </c>
      <c r="D21" s="13">
        <f>'Paid CL'!D21</f>
        <v/>
      </c>
      <c r="E21" s="14">
        <f>1-(1/D21)</f>
        <v/>
      </c>
      <c r="F21" s="10">
        <f>C21*E21</f>
        <v/>
      </c>
      <c r="G21" s="10">
        <f>'Paid CL'!C21</f>
        <v/>
      </c>
      <c r="H21" s="10">
        <f>F21+G21</f>
        <v/>
      </c>
      <c r="I21" s="10">
        <f>H21-G21</f>
        <v/>
      </c>
      <c r="J21" s="10">
        <f>H21-G21</f>
        <v/>
      </c>
    </row>
    <row r="22">
      <c r="A22" s="9" t="n">
        <v>2021</v>
      </c>
      <c r="B22" s="9" t="n">
        <v>47</v>
      </c>
      <c r="C22" s="10">
        <f>'Paid IE'!D22</f>
        <v/>
      </c>
      <c r="D22" s="13">
        <f>'Paid CL'!D22</f>
        <v/>
      </c>
      <c r="E22" s="14">
        <f>1-(1/D22)</f>
        <v/>
      </c>
      <c r="F22" s="10">
        <f>C22*E22</f>
        <v/>
      </c>
      <c r="G22" s="10">
        <f>'Paid CL'!C22</f>
        <v/>
      </c>
      <c r="H22" s="10">
        <f>F22+G22</f>
        <v/>
      </c>
      <c r="I22" s="10">
        <f>H22-G22</f>
        <v/>
      </c>
      <c r="J22" s="10">
        <f>H22-G22</f>
        <v/>
      </c>
    </row>
    <row r="23">
      <c r="A23" s="9" t="n">
        <v>2022</v>
      </c>
      <c r="B23" s="9" t="n">
        <v>35</v>
      </c>
      <c r="C23" s="10">
        <f>'Paid IE'!D23</f>
        <v/>
      </c>
      <c r="D23" s="13">
        <f>'Paid CL'!D23</f>
        <v/>
      </c>
      <c r="E23" s="14">
        <f>1-(1/D23)</f>
        <v/>
      </c>
      <c r="F23" s="10">
        <f>C23*E23</f>
        <v/>
      </c>
      <c r="G23" s="10">
        <f>'Paid CL'!C23</f>
        <v/>
      </c>
      <c r="H23" s="10">
        <f>F23+G23</f>
        <v/>
      </c>
      <c r="I23" s="10">
        <f>H23-G23</f>
        <v/>
      </c>
      <c r="J23" s="10">
        <f>H23-G23</f>
        <v/>
      </c>
    </row>
    <row r="24">
      <c r="A24" s="9" t="n">
        <v>2023</v>
      </c>
      <c r="B24" s="9" t="n">
        <v>23</v>
      </c>
      <c r="C24" s="10">
        <f>'Paid IE'!D24</f>
        <v/>
      </c>
      <c r="D24" s="13">
        <f>'Paid CL'!D24</f>
        <v/>
      </c>
      <c r="E24" s="14">
        <f>1-(1/D24)</f>
        <v/>
      </c>
      <c r="F24" s="10">
        <f>C24*E24</f>
        <v/>
      </c>
      <c r="G24" s="10">
        <f>'Paid CL'!C24</f>
        <v/>
      </c>
      <c r="H24" s="10">
        <f>F24+G24</f>
        <v/>
      </c>
      <c r="I24" s="10">
        <f>H24-G24</f>
        <v/>
      </c>
      <c r="J24" s="10">
        <f>H24-G24</f>
        <v/>
      </c>
    </row>
    <row r="25">
      <c r="A25" s="9" t="n">
        <v>2024</v>
      </c>
      <c r="B25" s="9" t="n">
        <v>11</v>
      </c>
      <c r="C25" s="10">
        <f>'Paid IE'!D25</f>
        <v/>
      </c>
      <c r="D25" s="13">
        <f>'Paid CL'!D25</f>
        <v/>
      </c>
      <c r="E25" s="14">
        <f>1-(1/D25)</f>
        <v/>
      </c>
      <c r="F25" s="10">
        <f>C25*E25</f>
        <v/>
      </c>
      <c r="G25" s="10">
        <f>'Paid CL'!C25</f>
        <v/>
      </c>
      <c r="H25" s="10">
        <f>F25+G25</f>
        <v/>
      </c>
      <c r="I25" s="10">
        <f>H25-G25</f>
        <v/>
      </c>
      <c r="J25" s="10">
        <f>H25-G25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0">
        <f>'/sessions/eloquent-hopeful-babbage/mnt/sample-run/selections\[Chain Ladder Selections - LDFs.xlsx]Exposure'!B3</f>
        <v/>
      </c>
      <c r="D2" s="10">
        <f>'/sessions/eloquent-hopeful-babbage/mnt/sample-run/selections\[Ultimates.xlsx]Losses'!G2</f>
        <v/>
      </c>
      <c r="E2" s="13">
        <f>D2/C2</f>
        <v/>
      </c>
    </row>
    <row r="3">
      <c r="A3" s="9" t="n">
        <v>2002</v>
      </c>
      <c r="B3" s="9" t="n">
        <v>275</v>
      </c>
      <c r="C3" s="10">
        <f>'/sessions/eloquent-hopeful-babbage/mnt/sample-run/selections\[Chain Ladder Selections - LDFs.xlsx]Exposure'!B4</f>
        <v/>
      </c>
      <c r="D3" s="10">
        <f>'/sessions/eloquent-hopeful-babbage/mnt/sample-run/selections\[Ultimates.xlsx]Losses'!G3</f>
        <v/>
      </c>
      <c r="E3" s="13">
        <f>D3/C3</f>
        <v/>
      </c>
    </row>
    <row r="4">
      <c r="A4" s="9" t="n">
        <v>2003</v>
      </c>
      <c r="B4" s="9" t="n">
        <v>263</v>
      </c>
      <c r="C4" s="10">
        <f>'/sessions/eloquent-hopeful-babbage/mnt/sample-run/selections\[Chain Ladder Selections - LDFs.xlsx]Exposure'!B5</f>
        <v/>
      </c>
      <c r="D4" s="10">
        <f>'/sessions/eloquent-hopeful-babbage/mnt/sample-run/selections\[Ultimates.xlsx]Losses'!G4</f>
        <v/>
      </c>
      <c r="E4" s="13">
        <f>D4/C4</f>
        <v/>
      </c>
    </row>
    <row r="5">
      <c r="A5" s="9" t="n">
        <v>2004</v>
      </c>
      <c r="B5" s="9" t="n">
        <v>251</v>
      </c>
      <c r="C5" s="10">
        <f>'/sessions/eloquent-hopeful-babbage/mnt/sample-run/selections\[Chain Ladder Selections - LDFs.xlsx]Exposure'!B6</f>
        <v/>
      </c>
      <c r="D5" s="10">
        <f>'/sessions/eloquent-hopeful-babbage/mnt/sample-run/selections\[Ultimates.xlsx]Losses'!G5</f>
        <v/>
      </c>
      <c r="E5" s="13">
        <f>D5/C5</f>
        <v/>
      </c>
    </row>
    <row r="6">
      <c r="A6" s="9" t="n">
        <v>2005</v>
      </c>
      <c r="B6" s="9" t="n">
        <v>239</v>
      </c>
      <c r="C6" s="10">
        <f>'/sessions/eloquent-hopeful-babbage/mnt/sample-run/selections\[Chain Ladder Selections - LDFs.xlsx]Exposure'!B7</f>
        <v/>
      </c>
      <c r="D6" s="10">
        <f>'/sessions/eloquent-hopeful-babbage/mnt/sample-run/selections\[Ultimates.xlsx]Losses'!G6</f>
        <v/>
      </c>
      <c r="E6" s="13">
        <f>D6/C6</f>
        <v/>
      </c>
    </row>
    <row r="7">
      <c r="A7" s="9" t="n">
        <v>2006</v>
      </c>
      <c r="B7" s="9" t="n">
        <v>227</v>
      </c>
      <c r="C7" s="10">
        <f>'/sessions/eloquent-hopeful-babbage/mnt/sample-run/selections\[Chain Ladder Selections - LDFs.xlsx]Exposure'!B8</f>
        <v/>
      </c>
      <c r="D7" s="10">
        <f>'/sessions/eloquent-hopeful-babbage/mnt/sample-run/selections\[Ultimates.xlsx]Losses'!G7</f>
        <v/>
      </c>
      <c r="E7" s="13">
        <f>D7/C7</f>
        <v/>
      </c>
    </row>
    <row r="8">
      <c r="A8" s="9" t="n">
        <v>2007</v>
      </c>
      <c r="B8" s="9" t="n">
        <v>215</v>
      </c>
      <c r="C8" s="10">
        <f>'/sessions/eloquent-hopeful-babbage/mnt/sample-run/selections\[Chain Ladder Selections - LDFs.xlsx]Exposure'!B9</f>
        <v/>
      </c>
      <c r="D8" s="10">
        <f>'/sessions/eloquent-hopeful-babbage/mnt/sample-run/selections\[Ultimates.xlsx]Losses'!G8</f>
        <v/>
      </c>
      <c r="E8" s="13">
        <f>D8/C8</f>
        <v/>
      </c>
    </row>
    <row r="9">
      <c r="A9" s="9" t="n">
        <v>2008</v>
      </c>
      <c r="B9" s="9" t="n">
        <v>203</v>
      </c>
      <c r="C9" s="10">
        <f>'/sessions/eloquent-hopeful-babbage/mnt/sample-run/selections\[Chain Ladder Selections - LDFs.xlsx]Exposure'!B10</f>
        <v/>
      </c>
      <c r="D9" s="10">
        <f>'/sessions/eloquent-hopeful-babbage/mnt/sample-run/selections\[Ultimates.xlsx]Losses'!G9</f>
        <v/>
      </c>
      <c r="E9" s="13">
        <f>D9/C9</f>
        <v/>
      </c>
    </row>
    <row r="10">
      <c r="A10" s="9" t="n">
        <v>2009</v>
      </c>
      <c r="B10" s="9" t="n">
        <v>191</v>
      </c>
      <c r="C10" s="10">
        <f>'/sessions/eloquent-hopeful-babbage/mnt/sample-run/selections\[Chain Ladder Selections - LDFs.xlsx]Exposure'!B11</f>
        <v/>
      </c>
      <c r="D10" s="10">
        <f>'/sessions/eloquent-hopeful-babbage/mnt/sample-run/selections\[Ultimates.xlsx]Losses'!G10</f>
        <v/>
      </c>
      <c r="E10" s="13">
        <f>D10/C10</f>
        <v/>
      </c>
    </row>
    <row r="11">
      <c r="A11" s="9" t="n">
        <v>2010</v>
      </c>
      <c r="B11" s="9" t="n">
        <v>179</v>
      </c>
      <c r="C11" s="10">
        <f>'/sessions/eloquent-hopeful-babbage/mnt/sample-run/selections\[Chain Ladder Selections - LDFs.xlsx]Exposure'!B12</f>
        <v/>
      </c>
      <c r="D11" s="10">
        <f>'/sessions/eloquent-hopeful-babbage/mnt/sample-run/selections\[Ultimates.xlsx]Losses'!G11</f>
        <v/>
      </c>
      <c r="E11" s="13">
        <f>D11/C11</f>
        <v/>
      </c>
    </row>
    <row r="12">
      <c r="A12" s="9" t="n">
        <v>2011</v>
      </c>
      <c r="B12" s="9" t="n">
        <v>167</v>
      </c>
      <c r="C12" s="10">
        <f>'/sessions/eloquent-hopeful-babbage/mnt/sample-run/selections\[Chain Ladder Selections - LDFs.xlsx]Exposure'!B13</f>
        <v/>
      </c>
      <c r="D12" s="10">
        <f>'/sessions/eloquent-hopeful-babbage/mnt/sample-run/selections\[Ultimates.xlsx]Losses'!G12</f>
        <v/>
      </c>
      <c r="E12" s="13">
        <f>D12/C12</f>
        <v/>
      </c>
    </row>
    <row r="13">
      <c r="A13" s="9" t="n">
        <v>2012</v>
      </c>
      <c r="B13" s="9" t="n">
        <v>155</v>
      </c>
      <c r="C13" s="10">
        <f>'/sessions/eloquent-hopeful-babbage/mnt/sample-run/selections\[Chain Ladder Selections - LDFs.xlsx]Exposure'!B14</f>
        <v/>
      </c>
      <c r="D13" s="10">
        <f>'/sessions/eloquent-hopeful-babbage/mnt/sample-run/selections\[Ultimates.xlsx]Losses'!G13</f>
        <v/>
      </c>
      <c r="E13" s="13">
        <f>D13/C13</f>
        <v/>
      </c>
    </row>
    <row r="14">
      <c r="A14" s="9" t="n">
        <v>2013</v>
      </c>
      <c r="B14" s="9" t="n">
        <v>143</v>
      </c>
      <c r="C14" s="10">
        <f>'/sessions/eloquent-hopeful-babbage/mnt/sample-run/selections\[Chain Ladder Selections - LDFs.xlsx]Exposure'!B15</f>
        <v/>
      </c>
      <c r="D14" s="10">
        <f>'/sessions/eloquent-hopeful-babbage/mnt/sample-run/selections\[Ultimates.xlsx]Losses'!G14</f>
        <v/>
      </c>
      <c r="E14" s="13">
        <f>D14/C14</f>
        <v/>
      </c>
    </row>
    <row r="15">
      <c r="A15" s="9" t="n">
        <v>2014</v>
      </c>
      <c r="B15" s="9" t="n">
        <v>131</v>
      </c>
      <c r="C15" s="10">
        <f>'/sessions/eloquent-hopeful-babbage/mnt/sample-run/selections\[Chain Ladder Selections - LDFs.xlsx]Exposure'!B16</f>
        <v/>
      </c>
      <c r="D15" s="10">
        <f>'/sessions/eloquent-hopeful-babbage/mnt/sample-run/selections\[Ultimates.xlsx]Losses'!G15</f>
        <v/>
      </c>
      <c r="E15" s="13">
        <f>D15/C15</f>
        <v/>
      </c>
    </row>
    <row r="16">
      <c r="A16" s="9" t="n">
        <v>2015</v>
      </c>
      <c r="B16" s="9" t="n">
        <v>119</v>
      </c>
      <c r="C16" s="10">
        <f>'/sessions/eloquent-hopeful-babbage/mnt/sample-run/selections\[Chain Ladder Selections - LDFs.xlsx]Exposure'!B17</f>
        <v/>
      </c>
      <c r="D16" s="10">
        <f>'/sessions/eloquent-hopeful-babbage/mnt/sample-run/selections\[Ultimates.xlsx]Losses'!G16</f>
        <v/>
      </c>
      <c r="E16" s="13">
        <f>D16/C16</f>
        <v/>
      </c>
    </row>
    <row r="17">
      <c r="A17" s="9" t="n">
        <v>2016</v>
      </c>
      <c r="B17" s="9" t="n">
        <v>107</v>
      </c>
      <c r="C17" s="10">
        <f>'/sessions/eloquent-hopeful-babbage/mnt/sample-run/selections\[Chain Ladder Selections - LDFs.xlsx]Exposure'!B18</f>
        <v/>
      </c>
      <c r="D17" s="10">
        <f>'/sessions/eloquent-hopeful-babbage/mnt/sample-run/selections\[Ultimates.xlsx]Losses'!G17</f>
        <v/>
      </c>
      <c r="E17" s="13">
        <f>D17/C17</f>
        <v/>
      </c>
    </row>
    <row r="18">
      <c r="A18" s="9" t="n">
        <v>2017</v>
      </c>
      <c r="B18" s="9" t="n">
        <v>95</v>
      </c>
      <c r="C18" s="10">
        <f>'/sessions/eloquent-hopeful-babbage/mnt/sample-run/selections\[Chain Ladder Selections - LDFs.xlsx]Exposure'!B19</f>
        <v/>
      </c>
      <c r="D18" s="10">
        <f>'/sessions/eloquent-hopeful-babbage/mnt/sample-run/selections\[Ultimates.xlsx]Losses'!G18</f>
        <v/>
      </c>
      <c r="E18" s="13">
        <f>D18/C18</f>
        <v/>
      </c>
    </row>
    <row r="19">
      <c r="A19" s="9" t="n">
        <v>2018</v>
      </c>
      <c r="B19" s="9" t="n">
        <v>83</v>
      </c>
      <c r="C19" s="10">
        <f>'/sessions/eloquent-hopeful-babbage/mnt/sample-run/selections\[Chain Ladder Selections - LDFs.xlsx]Exposure'!B20</f>
        <v/>
      </c>
      <c r="D19" s="10">
        <f>'/sessions/eloquent-hopeful-babbage/mnt/sample-run/selections\[Ultimates.xlsx]Losses'!G19</f>
        <v/>
      </c>
      <c r="E19" s="13">
        <f>D19/C19</f>
        <v/>
      </c>
    </row>
    <row r="20">
      <c r="A20" s="9" t="n">
        <v>2019</v>
      </c>
      <c r="B20" s="9" t="n">
        <v>71</v>
      </c>
      <c r="C20" s="10">
        <f>'/sessions/eloquent-hopeful-babbage/mnt/sample-run/selections\[Chain Ladder Selections - LDFs.xlsx]Exposure'!B21</f>
        <v/>
      </c>
      <c r="D20" s="10">
        <f>'/sessions/eloquent-hopeful-babbage/mnt/sample-run/selections\[Ultimates.xlsx]Losses'!G20</f>
        <v/>
      </c>
      <c r="E20" s="13">
        <f>D20/C20</f>
        <v/>
      </c>
    </row>
    <row r="21">
      <c r="A21" s="9" t="n">
        <v>2020</v>
      </c>
      <c r="B21" s="9" t="n">
        <v>59</v>
      </c>
      <c r="C21" s="10">
        <f>'/sessions/eloquent-hopeful-babbage/mnt/sample-run/selections\[Chain Ladder Selections - LDFs.xlsx]Exposure'!B22</f>
        <v/>
      </c>
      <c r="D21" s="10">
        <f>'/sessions/eloquent-hopeful-babbage/mnt/sample-run/selections\[Ultimates.xlsx]Losses'!G21</f>
        <v/>
      </c>
      <c r="E21" s="13">
        <f>D21/C21</f>
        <v/>
      </c>
    </row>
    <row r="22">
      <c r="A22" s="9" t="n">
        <v>2021</v>
      </c>
      <c r="B22" s="9" t="n">
        <v>47</v>
      </c>
      <c r="C22" s="10">
        <f>'/sessions/eloquent-hopeful-babbage/mnt/sample-run/selections\[Chain Ladder Selections - LDFs.xlsx]Exposure'!B23</f>
        <v/>
      </c>
      <c r="D22" s="10">
        <f>'/sessions/eloquent-hopeful-babbage/mnt/sample-run/selections\[Ultimates.xlsx]Losses'!G22</f>
        <v/>
      </c>
      <c r="E22" s="13">
        <f>D22/C22</f>
        <v/>
      </c>
    </row>
    <row r="23">
      <c r="A23" s="9" t="n">
        <v>2022</v>
      </c>
      <c r="B23" s="9" t="n">
        <v>35</v>
      </c>
      <c r="C23" s="10">
        <f>'/sessions/eloquent-hopeful-babbage/mnt/sample-run/selections\[Chain Ladder Selections - LDFs.xlsx]Exposure'!B24</f>
        <v/>
      </c>
      <c r="D23" s="10">
        <f>'/sessions/eloquent-hopeful-babbage/mnt/sample-run/selections\[Ultimates.xlsx]Losses'!G23</f>
        <v/>
      </c>
      <c r="E23" s="13">
        <f>D23/C23</f>
        <v/>
      </c>
    </row>
    <row r="24">
      <c r="A24" s="9" t="n">
        <v>2023</v>
      </c>
      <c r="B24" s="9" t="n">
        <v>23</v>
      </c>
      <c r="C24" s="10">
        <f>'/sessions/eloquent-hopeful-babbage/mnt/sample-run/selections\[Chain Ladder Selections - LDFs.xlsx]Exposure'!B25</f>
        <v/>
      </c>
      <c r="D24" s="10">
        <f>'/sessions/eloquent-hopeful-babbage/mnt/sample-run/selections\[Ultimates.xlsx]Losses'!G24</f>
        <v/>
      </c>
      <c r="E24" s="13">
        <f>D24/C24</f>
        <v/>
      </c>
    </row>
    <row r="25">
      <c r="A25" s="9" t="n">
        <v>2024</v>
      </c>
      <c r="B25" s="9" t="n">
        <v>11</v>
      </c>
      <c r="C25" s="10">
        <f>'/sessions/eloquent-hopeful-babbage/mnt/sample-run/selections\[Chain Ladder Selections - LDFs.xlsx]Exposure'!B26</f>
        <v/>
      </c>
      <c r="D25" s="10">
        <f>'/sessions/eloquent-hopeful-babbage/mnt/sample-run/selections\[Ultimates.xlsx]Losses'!G25</f>
        <v/>
      </c>
      <c r="E25" s="13">
        <f>D25/C25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0">
        <f>'/sessions/eloquent-hopeful-babbage/mnt/sample-run/selections\[Chain Ladder Selections - LDFs.xlsx]Exposure'!B3</f>
        <v/>
      </c>
      <c r="D2" s="10">
        <f>'/sessions/eloquent-hopeful-babbage/mnt/sample-run/selections\[Ultimates.xlsx]Losses'!H2</f>
        <v/>
      </c>
      <c r="E2" s="13">
        <f>D2/C2</f>
        <v/>
      </c>
    </row>
    <row r="3">
      <c r="A3" s="9" t="n">
        <v>2002</v>
      </c>
      <c r="B3" s="9" t="n">
        <v>275</v>
      </c>
      <c r="C3" s="10">
        <f>'/sessions/eloquent-hopeful-babbage/mnt/sample-run/selections\[Chain Ladder Selections - LDFs.xlsx]Exposure'!B4</f>
        <v/>
      </c>
      <c r="D3" s="10">
        <f>'/sessions/eloquent-hopeful-babbage/mnt/sample-run/selections\[Ultimates.xlsx]Losses'!H3</f>
        <v/>
      </c>
      <c r="E3" s="13">
        <f>D3/C3</f>
        <v/>
      </c>
    </row>
    <row r="4">
      <c r="A4" s="9" t="n">
        <v>2003</v>
      </c>
      <c r="B4" s="9" t="n">
        <v>263</v>
      </c>
      <c r="C4" s="10">
        <f>'/sessions/eloquent-hopeful-babbage/mnt/sample-run/selections\[Chain Ladder Selections - LDFs.xlsx]Exposure'!B5</f>
        <v/>
      </c>
      <c r="D4" s="10">
        <f>'/sessions/eloquent-hopeful-babbage/mnt/sample-run/selections\[Ultimates.xlsx]Losses'!H4</f>
        <v/>
      </c>
      <c r="E4" s="13">
        <f>D4/C4</f>
        <v/>
      </c>
    </row>
    <row r="5">
      <c r="A5" s="9" t="n">
        <v>2004</v>
      </c>
      <c r="B5" s="9" t="n">
        <v>251</v>
      </c>
      <c r="C5" s="10">
        <f>'/sessions/eloquent-hopeful-babbage/mnt/sample-run/selections\[Chain Ladder Selections - LDFs.xlsx]Exposure'!B6</f>
        <v/>
      </c>
      <c r="D5" s="10">
        <f>'/sessions/eloquent-hopeful-babbage/mnt/sample-run/selections\[Ultimates.xlsx]Losses'!H5</f>
        <v/>
      </c>
      <c r="E5" s="13">
        <f>D5/C5</f>
        <v/>
      </c>
    </row>
    <row r="6">
      <c r="A6" s="9" t="n">
        <v>2005</v>
      </c>
      <c r="B6" s="9" t="n">
        <v>239</v>
      </c>
      <c r="C6" s="10">
        <f>'/sessions/eloquent-hopeful-babbage/mnt/sample-run/selections\[Chain Ladder Selections - LDFs.xlsx]Exposure'!B7</f>
        <v/>
      </c>
      <c r="D6" s="10">
        <f>'/sessions/eloquent-hopeful-babbage/mnt/sample-run/selections\[Ultimates.xlsx]Losses'!H6</f>
        <v/>
      </c>
      <c r="E6" s="13">
        <f>D6/C6</f>
        <v/>
      </c>
    </row>
    <row r="7">
      <c r="A7" s="9" t="n">
        <v>2006</v>
      </c>
      <c r="B7" s="9" t="n">
        <v>227</v>
      </c>
      <c r="C7" s="10">
        <f>'/sessions/eloquent-hopeful-babbage/mnt/sample-run/selections\[Chain Ladder Selections - LDFs.xlsx]Exposure'!B8</f>
        <v/>
      </c>
      <c r="D7" s="10">
        <f>'/sessions/eloquent-hopeful-babbage/mnt/sample-run/selections\[Ultimates.xlsx]Losses'!H7</f>
        <v/>
      </c>
      <c r="E7" s="13">
        <f>D7/C7</f>
        <v/>
      </c>
    </row>
    <row r="8">
      <c r="A8" s="9" t="n">
        <v>2007</v>
      </c>
      <c r="B8" s="9" t="n">
        <v>215</v>
      </c>
      <c r="C8" s="10">
        <f>'/sessions/eloquent-hopeful-babbage/mnt/sample-run/selections\[Chain Ladder Selections - LDFs.xlsx]Exposure'!B9</f>
        <v/>
      </c>
      <c r="D8" s="10">
        <f>'/sessions/eloquent-hopeful-babbage/mnt/sample-run/selections\[Ultimates.xlsx]Losses'!H8</f>
        <v/>
      </c>
      <c r="E8" s="13">
        <f>D8/C8</f>
        <v/>
      </c>
    </row>
    <row r="9">
      <c r="A9" s="9" t="n">
        <v>2008</v>
      </c>
      <c r="B9" s="9" t="n">
        <v>203</v>
      </c>
      <c r="C9" s="10">
        <f>'/sessions/eloquent-hopeful-babbage/mnt/sample-run/selections\[Chain Ladder Selections - LDFs.xlsx]Exposure'!B10</f>
        <v/>
      </c>
      <c r="D9" s="10">
        <f>'/sessions/eloquent-hopeful-babbage/mnt/sample-run/selections\[Ultimates.xlsx]Losses'!H9</f>
        <v/>
      </c>
      <c r="E9" s="13">
        <f>D9/C9</f>
        <v/>
      </c>
    </row>
    <row r="10">
      <c r="A10" s="9" t="n">
        <v>2009</v>
      </c>
      <c r="B10" s="9" t="n">
        <v>191</v>
      </c>
      <c r="C10" s="10">
        <f>'/sessions/eloquent-hopeful-babbage/mnt/sample-run/selections\[Chain Ladder Selections - LDFs.xlsx]Exposure'!B11</f>
        <v/>
      </c>
      <c r="D10" s="10">
        <f>'/sessions/eloquent-hopeful-babbage/mnt/sample-run/selections\[Ultimates.xlsx]Losses'!H10</f>
        <v/>
      </c>
      <c r="E10" s="13">
        <f>D10/C10</f>
        <v/>
      </c>
    </row>
    <row r="11">
      <c r="A11" s="9" t="n">
        <v>2010</v>
      </c>
      <c r="B11" s="9" t="n">
        <v>179</v>
      </c>
      <c r="C11" s="10">
        <f>'/sessions/eloquent-hopeful-babbage/mnt/sample-run/selections\[Chain Ladder Selections - LDFs.xlsx]Exposure'!B12</f>
        <v/>
      </c>
      <c r="D11" s="10">
        <f>'/sessions/eloquent-hopeful-babbage/mnt/sample-run/selections\[Ultimates.xlsx]Losses'!H11</f>
        <v/>
      </c>
      <c r="E11" s="13">
        <f>D11/C11</f>
        <v/>
      </c>
    </row>
    <row r="12">
      <c r="A12" s="9" t="n">
        <v>2011</v>
      </c>
      <c r="B12" s="9" t="n">
        <v>167</v>
      </c>
      <c r="C12" s="10">
        <f>'/sessions/eloquent-hopeful-babbage/mnt/sample-run/selections\[Chain Ladder Selections - LDFs.xlsx]Exposure'!B13</f>
        <v/>
      </c>
      <c r="D12" s="10">
        <f>'/sessions/eloquent-hopeful-babbage/mnt/sample-run/selections\[Ultimates.xlsx]Losses'!H12</f>
        <v/>
      </c>
      <c r="E12" s="13">
        <f>D12/C12</f>
        <v/>
      </c>
    </row>
    <row r="13">
      <c r="A13" s="9" t="n">
        <v>2012</v>
      </c>
      <c r="B13" s="9" t="n">
        <v>155</v>
      </c>
      <c r="C13" s="10">
        <f>'/sessions/eloquent-hopeful-babbage/mnt/sample-run/selections\[Chain Ladder Selections - LDFs.xlsx]Exposure'!B14</f>
        <v/>
      </c>
      <c r="D13" s="10">
        <f>'/sessions/eloquent-hopeful-babbage/mnt/sample-run/selections\[Ultimates.xlsx]Losses'!H13</f>
        <v/>
      </c>
      <c r="E13" s="13">
        <f>D13/C13</f>
        <v/>
      </c>
    </row>
    <row r="14">
      <c r="A14" s="9" t="n">
        <v>2013</v>
      </c>
      <c r="B14" s="9" t="n">
        <v>143</v>
      </c>
      <c r="C14" s="10">
        <f>'/sessions/eloquent-hopeful-babbage/mnt/sample-run/selections\[Chain Ladder Selections - LDFs.xlsx]Exposure'!B15</f>
        <v/>
      </c>
      <c r="D14" s="10">
        <f>'/sessions/eloquent-hopeful-babbage/mnt/sample-run/selections\[Ultimates.xlsx]Losses'!H14</f>
        <v/>
      </c>
      <c r="E14" s="13">
        <f>D14/C14</f>
        <v/>
      </c>
    </row>
    <row r="15">
      <c r="A15" s="9" t="n">
        <v>2014</v>
      </c>
      <c r="B15" s="9" t="n">
        <v>131</v>
      </c>
      <c r="C15" s="10">
        <f>'/sessions/eloquent-hopeful-babbage/mnt/sample-run/selections\[Chain Ladder Selections - LDFs.xlsx]Exposure'!B16</f>
        <v/>
      </c>
      <c r="D15" s="10">
        <f>'/sessions/eloquent-hopeful-babbage/mnt/sample-run/selections\[Ultimates.xlsx]Losses'!H15</f>
        <v/>
      </c>
      <c r="E15" s="13">
        <f>D15/C15</f>
        <v/>
      </c>
    </row>
    <row r="16">
      <c r="A16" s="9" t="n">
        <v>2015</v>
      </c>
      <c r="B16" s="9" t="n">
        <v>119</v>
      </c>
      <c r="C16" s="10">
        <f>'/sessions/eloquent-hopeful-babbage/mnt/sample-run/selections\[Chain Ladder Selections - LDFs.xlsx]Exposure'!B17</f>
        <v/>
      </c>
      <c r="D16" s="10">
        <f>'/sessions/eloquent-hopeful-babbage/mnt/sample-run/selections\[Ultimates.xlsx]Losses'!H16</f>
        <v/>
      </c>
      <c r="E16" s="13">
        <f>D16/C16</f>
        <v/>
      </c>
    </row>
    <row r="17">
      <c r="A17" s="9" t="n">
        <v>2016</v>
      </c>
      <c r="B17" s="9" t="n">
        <v>107</v>
      </c>
      <c r="C17" s="10">
        <f>'/sessions/eloquent-hopeful-babbage/mnt/sample-run/selections\[Chain Ladder Selections - LDFs.xlsx]Exposure'!B18</f>
        <v/>
      </c>
      <c r="D17" s="10">
        <f>'/sessions/eloquent-hopeful-babbage/mnt/sample-run/selections\[Ultimates.xlsx]Losses'!H17</f>
        <v/>
      </c>
      <c r="E17" s="13">
        <f>D17/C17</f>
        <v/>
      </c>
    </row>
    <row r="18">
      <c r="A18" s="9" t="n">
        <v>2017</v>
      </c>
      <c r="B18" s="9" t="n">
        <v>95</v>
      </c>
      <c r="C18" s="10">
        <f>'/sessions/eloquent-hopeful-babbage/mnt/sample-run/selections\[Chain Ladder Selections - LDFs.xlsx]Exposure'!B19</f>
        <v/>
      </c>
      <c r="D18" s="10">
        <f>'/sessions/eloquent-hopeful-babbage/mnt/sample-run/selections\[Ultimates.xlsx]Losses'!H18</f>
        <v/>
      </c>
      <c r="E18" s="13">
        <f>D18/C18</f>
        <v/>
      </c>
    </row>
    <row r="19">
      <c r="A19" s="9" t="n">
        <v>2018</v>
      </c>
      <c r="B19" s="9" t="n">
        <v>83</v>
      </c>
      <c r="C19" s="10">
        <f>'/sessions/eloquent-hopeful-babbage/mnt/sample-run/selections\[Chain Ladder Selections - LDFs.xlsx]Exposure'!B20</f>
        <v/>
      </c>
      <c r="D19" s="10">
        <f>'/sessions/eloquent-hopeful-babbage/mnt/sample-run/selections\[Ultimates.xlsx]Losses'!H19</f>
        <v/>
      </c>
      <c r="E19" s="13">
        <f>D19/C19</f>
        <v/>
      </c>
    </row>
    <row r="20">
      <c r="A20" s="9" t="n">
        <v>2019</v>
      </c>
      <c r="B20" s="9" t="n">
        <v>71</v>
      </c>
      <c r="C20" s="10">
        <f>'/sessions/eloquent-hopeful-babbage/mnt/sample-run/selections\[Chain Ladder Selections - LDFs.xlsx]Exposure'!B21</f>
        <v/>
      </c>
      <c r="D20" s="10">
        <f>'/sessions/eloquent-hopeful-babbage/mnt/sample-run/selections\[Ultimates.xlsx]Losses'!H20</f>
        <v/>
      </c>
      <c r="E20" s="13">
        <f>D20/C20</f>
        <v/>
      </c>
    </row>
    <row r="21">
      <c r="A21" s="9" t="n">
        <v>2020</v>
      </c>
      <c r="B21" s="9" t="n">
        <v>59</v>
      </c>
      <c r="C21" s="10">
        <f>'/sessions/eloquent-hopeful-babbage/mnt/sample-run/selections\[Chain Ladder Selections - LDFs.xlsx]Exposure'!B22</f>
        <v/>
      </c>
      <c r="D21" s="10">
        <f>'/sessions/eloquent-hopeful-babbage/mnt/sample-run/selections\[Ultimates.xlsx]Losses'!H21</f>
        <v/>
      </c>
      <c r="E21" s="13">
        <f>D21/C21</f>
        <v/>
      </c>
    </row>
    <row r="22">
      <c r="A22" s="9" t="n">
        <v>2021</v>
      </c>
      <c r="B22" s="9" t="n">
        <v>47</v>
      </c>
      <c r="C22" s="10">
        <f>'/sessions/eloquent-hopeful-babbage/mnt/sample-run/selections\[Chain Ladder Selections - LDFs.xlsx]Exposure'!B23</f>
        <v/>
      </c>
      <c r="D22" s="10">
        <f>'/sessions/eloquent-hopeful-babbage/mnt/sample-run/selections\[Ultimates.xlsx]Losses'!H22</f>
        <v/>
      </c>
      <c r="E22" s="13">
        <f>D22/C22</f>
        <v/>
      </c>
    </row>
    <row r="23">
      <c r="A23" s="9" t="n">
        <v>2022</v>
      </c>
      <c r="B23" s="9" t="n">
        <v>35</v>
      </c>
      <c r="C23" s="10">
        <f>'/sessions/eloquent-hopeful-babbage/mnt/sample-run/selections\[Chain Ladder Selections - LDFs.xlsx]Exposure'!B24</f>
        <v/>
      </c>
      <c r="D23" s="10">
        <f>'/sessions/eloquent-hopeful-babbage/mnt/sample-run/selections\[Ultimates.xlsx]Losses'!H23</f>
        <v/>
      </c>
      <c r="E23" s="13">
        <f>D23/C23</f>
        <v/>
      </c>
    </row>
    <row r="24">
      <c r="A24" s="9" t="n">
        <v>2023</v>
      </c>
      <c r="B24" s="9" t="n">
        <v>23</v>
      </c>
      <c r="C24" s="10">
        <f>'/sessions/eloquent-hopeful-babbage/mnt/sample-run/selections\[Chain Ladder Selections - LDFs.xlsx]Exposure'!B25</f>
        <v/>
      </c>
      <c r="D24" s="10">
        <f>'/sessions/eloquent-hopeful-babbage/mnt/sample-run/selections\[Ultimates.xlsx]Losses'!H24</f>
        <v/>
      </c>
      <c r="E24" s="13">
        <f>D24/C24</f>
        <v/>
      </c>
    </row>
    <row r="25">
      <c r="A25" s="9" t="n">
        <v>2024</v>
      </c>
      <c r="B25" s="9" t="n">
        <v>11</v>
      </c>
      <c r="C25" s="10">
        <f>'/sessions/eloquent-hopeful-babbage/mnt/sample-run/selections\[Chain Ladder Selections - LDFs.xlsx]Exposure'!B26</f>
        <v/>
      </c>
      <c r="D25" s="10">
        <f>'/sessions/eloquent-hopeful-babbage/mnt/sample-run/selections\[Ultimates.xlsx]Losses'!H25</f>
        <v/>
      </c>
      <c r="E25" s="13">
        <f>D25/C25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Reported CL</t>
        </is>
      </c>
      <c r="E1" s="8" t="inlineStr">
        <is>
          <t>Initial Expected</t>
        </is>
      </c>
      <c r="F1" s="8" t="inlineStr">
        <is>
          <t>Reported BF</t>
        </is>
      </c>
      <c r="G1" s="8" t="inlineStr">
        <is>
          <t>Selected Ultimate</t>
        </is>
      </c>
      <c r="H1" s="8" t="inlineStr">
        <is>
          <t>IBNR</t>
        </is>
      </c>
      <c r="I1" s="8" t="inlineStr">
        <is>
          <t>Unpaid</t>
        </is>
      </c>
      <c r="J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'Reported CL'!C2</f>
        <v/>
      </c>
      <c r="D2" s="10">
        <f>'Reported CL'!E2</f>
        <v/>
      </c>
      <c r="E2" s="10">
        <f>'Reported IE'!D2</f>
        <v/>
      </c>
      <c r="F2" s="10">
        <f>'Reported BF'!H2</f>
        <v/>
      </c>
      <c r="G2" s="10">
        <f>IF('/sessions/eloquent-hopeful-babbage/mnt/sample-run/selections\[Ultimates.xlsx]Counts'!K2&lt;&gt;"",'/sessions/eloquent-hopeful-babbage/mnt/sample-run/selections\[Ultimates.xlsx]Counts'!K2,'/sessions/eloquent-hopeful-babbage/mnt/sample-run/selections\[Ultimates.xlsx]Counts'!G2)</f>
        <v/>
      </c>
      <c r="H2" s="10">
        <f>G2-C2</f>
        <v/>
      </c>
      <c r="I2" s="10">
        <f>G2-C2</f>
        <v/>
      </c>
      <c r="J2" s="11">
        <f>IF('/sessions/eloquent-hopeful-babbage/mnt/sample-run/selections\[Ultimates.xlsx]Counts'!K2&lt;&gt;"",'/sessions/eloquent-hopeful-babbage/mnt/sample-run/selections\[Ultimates.xlsx]Counts'!L2,'/sessions/eloquent-hopeful-babbage/mnt/sample-run/selections\[Ultimates.xlsx]Counts'!H2)</f>
        <v/>
      </c>
    </row>
    <row r="3">
      <c r="A3" s="9" t="n">
        <v>2002</v>
      </c>
      <c r="B3" s="9" t="n">
        <v>275</v>
      </c>
      <c r="C3" s="10">
        <f>'Reported CL'!C3</f>
        <v/>
      </c>
      <c r="D3" s="10">
        <f>'Reported CL'!E3</f>
        <v/>
      </c>
      <c r="E3" s="10">
        <f>'Reported IE'!D3</f>
        <v/>
      </c>
      <c r="F3" s="10">
        <f>'Reported BF'!H3</f>
        <v/>
      </c>
      <c r="G3" s="10">
        <f>IF('/sessions/eloquent-hopeful-babbage/mnt/sample-run/selections\[Ultimates.xlsx]Counts'!K3&lt;&gt;"",'/sessions/eloquent-hopeful-babbage/mnt/sample-run/selections\[Ultimates.xlsx]Counts'!K3,'/sessions/eloquent-hopeful-babbage/mnt/sample-run/selections\[Ultimates.xlsx]Counts'!G3)</f>
        <v/>
      </c>
      <c r="H3" s="10">
        <f>G3-C3</f>
        <v/>
      </c>
      <c r="I3" s="10">
        <f>G3-C3</f>
        <v/>
      </c>
      <c r="J3" s="11">
        <f>IF('/sessions/eloquent-hopeful-babbage/mnt/sample-run/selections\[Ultimates.xlsx]Counts'!K3&lt;&gt;"",'/sessions/eloquent-hopeful-babbage/mnt/sample-run/selections\[Ultimates.xlsx]Counts'!L3,'/sessions/eloquent-hopeful-babbage/mnt/sample-run/selections\[Ultimates.xlsx]Counts'!H3)</f>
        <v/>
      </c>
    </row>
    <row r="4">
      <c r="A4" s="9" t="n">
        <v>2003</v>
      </c>
      <c r="B4" s="9" t="n">
        <v>263</v>
      </c>
      <c r="C4" s="10">
        <f>'Reported CL'!C4</f>
        <v/>
      </c>
      <c r="D4" s="10">
        <f>'Reported CL'!E4</f>
        <v/>
      </c>
      <c r="E4" s="10">
        <f>'Reported IE'!D4</f>
        <v/>
      </c>
      <c r="F4" s="10">
        <f>'Reported BF'!H4</f>
        <v/>
      </c>
      <c r="G4" s="10">
        <f>IF('/sessions/eloquent-hopeful-babbage/mnt/sample-run/selections\[Ultimates.xlsx]Counts'!K4&lt;&gt;"",'/sessions/eloquent-hopeful-babbage/mnt/sample-run/selections\[Ultimates.xlsx]Counts'!K4,'/sessions/eloquent-hopeful-babbage/mnt/sample-run/selections\[Ultimates.xlsx]Counts'!G4)</f>
        <v/>
      </c>
      <c r="H4" s="10">
        <f>G4-C4</f>
        <v/>
      </c>
      <c r="I4" s="10">
        <f>G4-C4</f>
        <v/>
      </c>
      <c r="J4" s="11">
        <f>IF('/sessions/eloquent-hopeful-babbage/mnt/sample-run/selections\[Ultimates.xlsx]Counts'!K4&lt;&gt;"",'/sessions/eloquent-hopeful-babbage/mnt/sample-run/selections\[Ultimates.xlsx]Counts'!L4,'/sessions/eloquent-hopeful-babbage/mnt/sample-run/selections\[Ultimates.xlsx]Counts'!H4)</f>
        <v/>
      </c>
    </row>
    <row r="5">
      <c r="A5" s="9" t="n">
        <v>2004</v>
      </c>
      <c r="B5" s="9" t="n">
        <v>251</v>
      </c>
      <c r="C5" s="10">
        <f>'Reported CL'!C5</f>
        <v/>
      </c>
      <c r="D5" s="10">
        <f>'Reported CL'!E5</f>
        <v/>
      </c>
      <c r="E5" s="10">
        <f>'Reported IE'!D5</f>
        <v/>
      </c>
      <c r="F5" s="10">
        <f>'Reported BF'!H5</f>
        <v/>
      </c>
      <c r="G5" s="10">
        <f>IF('/sessions/eloquent-hopeful-babbage/mnt/sample-run/selections\[Ultimates.xlsx]Counts'!K5&lt;&gt;"",'/sessions/eloquent-hopeful-babbage/mnt/sample-run/selections\[Ultimates.xlsx]Counts'!K5,'/sessions/eloquent-hopeful-babbage/mnt/sample-run/selections\[Ultimates.xlsx]Counts'!G5)</f>
        <v/>
      </c>
      <c r="H5" s="10">
        <f>G5-C5</f>
        <v/>
      </c>
      <c r="I5" s="10">
        <f>G5-C5</f>
        <v/>
      </c>
      <c r="J5" s="11">
        <f>IF('/sessions/eloquent-hopeful-babbage/mnt/sample-run/selections\[Ultimates.xlsx]Counts'!K5&lt;&gt;"",'/sessions/eloquent-hopeful-babbage/mnt/sample-run/selections\[Ultimates.xlsx]Counts'!L5,'/sessions/eloquent-hopeful-babbage/mnt/sample-run/selections\[Ultimates.xlsx]Counts'!H5)</f>
        <v/>
      </c>
    </row>
    <row r="6">
      <c r="A6" s="9" t="n">
        <v>2005</v>
      </c>
      <c r="B6" s="9" t="n">
        <v>239</v>
      </c>
      <c r="C6" s="10">
        <f>'Reported CL'!C6</f>
        <v/>
      </c>
      <c r="D6" s="10">
        <f>'Reported CL'!E6</f>
        <v/>
      </c>
      <c r="E6" s="10">
        <f>'Reported IE'!D6</f>
        <v/>
      </c>
      <c r="F6" s="10">
        <f>'Reported BF'!H6</f>
        <v/>
      </c>
      <c r="G6" s="10">
        <f>IF('/sessions/eloquent-hopeful-babbage/mnt/sample-run/selections\[Ultimates.xlsx]Counts'!K6&lt;&gt;"",'/sessions/eloquent-hopeful-babbage/mnt/sample-run/selections\[Ultimates.xlsx]Counts'!K6,'/sessions/eloquent-hopeful-babbage/mnt/sample-run/selections\[Ultimates.xlsx]Counts'!G6)</f>
        <v/>
      </c>
      <c r="H6" s="10">
        <f>G6-C6</f>
        <v/>
      </c>
      <c r="I6" s="10">
        <f>G6-C6</f>
        <v/>
      </c>
      <c r="J6" s="11">
        <f>IF('/sessions/eloquent-hopeful-babbage/mnt/sample-run/selections\[Ultimates.xlsx]Counts'!K6&lt;&gt;"",'/sessions/eloquent-hopeful-babbage/mnt/sample-run/selections\[Ultimates.xlsx]Counts'!L6,'/sessions/eloquent-hopeful-babbage/mnt/sample-run/selections\[Ultimates.xlsx]Counts'!H6)</f>
        <v/>
      </c>
    </row>
    <row r="7">
      <c r="A7" s="9" t="n">
        <v>2006</v>
      </c>
      <c r="B7" s="9" t="n">
        <v>227</v>
      </c>
      <c r="C7" s="10">
        <f>'Reported CL'!C7</f>
        <v/>
      </c>
      <c r="D7" s="10">
        <f>'Reported CL'!E7</f>
        <v/>
      </c>
      <c r="E7" s="10">
        <f>'Reported IE'!D7</f>
        <v/>
      </c>
      <c r="F7" s="10">
        <f>'Reported BF'!H7</f>
        <v/>
      </c>
      <c r="G7" s="10">
        <f>IF('/sessions/eloquent-hopeful-babbage/mnt/sample-run/selections\[Ultimates.xlsx]Counts'!K7&lt;&gt;"",'/sessions/eloquent-hopeful-babbage/mnt/sample-run/selections\[Ultimates.xlsx]Counts'!K7,'/sessions/eloquent-hopeful-babbage/mnt/sample-run/selections\[Ultimates.xlsx]Counts'!G7)</f>
        <v/>
      </c>
      <c r="H7" s="10">
        <f>G7-C7</f>
        <v/>
      </c>
      <c r="I7" s="10">
        <f>G7-C7</f>
        <v/>
      </c>
      <c r="J7" s="11">
        <f>IF('/sessions/eloquent-hopeful-babbage/mnt/sample-run/selections\[Ultimates.xlsx]Counts'!K7&lt;&gt;"",'/sessions/eloquent-hopeful-babbage/mnt/sample-run/selections\[Ultimates.xlsx]Counts'!L7,'/sessions/eloquent-hopeful-babbage/mnt/sample-run/selections\[Ultimates.xlsx]Counts'!H7)</f>
        <v/>
      </c>
    </row>
    <row r="8">
      <c r="A8" s="9" t="n">
        <v>2007</v>
      </c>
      <c r="B8" s="9" t="n">
        <v>215</v>
      </c>
      <c r="C8" s="10">
        <f>'Reported CL'!C8</f>
        <v/>
      </c>
      <c r="D8" s="10">
        <f>'Reported CL'!E8</f>
        <v/>
      </c>
      <c r="E8" s="10">
        <f>'Reported IE'!D8</f>
        <v/>
      </c>
      <c r="F8" s="10">
        <f>'Reported BF'!H8</f>
        <v/>
      </c>
      <c r="G8" s="10">
        <f>IF('/sessions/eloquent-hopeful-babbage/mnt/sample-run/selections\[Ultimates.xlsx]Counts'!K8&lt;&gt;"",'/sessions/eloquent-hopeful-babbage/mnt/sample-run/selections\[Ultimates.xlsx]Counts'!K8,'/sessions/eloquent-hopeful-babbage/mnt/sample-run/selections\[Ultimates.xlsx]Counts'!G8)</f>
        <v/>
      </c>
      <c r="H8" s="10">
        <f>G8-C8</f>
        <v/>
      </c>
      <c r="I8" s="10">
        <f>G8-C8</f>
        <v/>
      </c>
      <c r="J8" s="11">
        <f>IF('/sessions/eloquent-hopeful-babbage/mnt/sample-run/selections\[Ultimates.xlsx]Counts'!K8&lt;&gt;"",'/sessions/eloquent-hopeful-babbage/mnt/sample-run/selections\[Ultimates.xlsx]Counts'!L8,'/sessions/eloquent-hopeful-babbage/mnt/sample-run/selections\[Ultimates.xlsx]Counts'!H8)</f>
        <v/>
      </c>
    </row>
    <row r="9">
      <c r="A9" s="9" t="n">
        <v>2008</v>
      </c>
      <c r="B9" s="9" t="n">
        <v>203</v>
      </c>
      <c r="C9" s="10">
        <f>'Reported CL'!C9</f>
        <v/>
      </c>
      <c r="D9" s="10">
        <f>'Reported CL'!E9</f>
        <v/>
      </c>
      <c r="E9" s="10">
        <f>'Reported IE'!D9</f>
        <v/>
      </c>
      <c r="F9" s="10">
        <f>'Reported BF'!H9</f>
        <v/>
      </c>
      <c r="G9" s="10">
        <f>IF('/sessions/eloquent-hopeful-babbage/mnt/sample-run/selections\[Ultimates.xlsx]Counts'!K9&lt;&gt;"",'/sessions/eloquent-hopeful-babbage/mnt/sample-run/selections\[Ultimates.xlsx]Counts'!K9,'/sessions/eloquent-hopeful-babbage/mnt/sample-run/selections\[Ultimates.xlsx]Counts'!G9)</f>
        <v/>
      </c>
      <c r="H9" s="10">
        <f>G9-C9</f>
        <v/>
      </c>
      <c r="I9" s="10">
        <f>G9-C9</f>
        <v/>
      </c>
      <c r="J9" s="11">
        <f>IF('/sessions/eloquent-hopeful-babbage/mnt/sample-run/selections\[Ultimates.xlsx]Counts'!K9&lt;&gt;"",'/sessions/eloquent-hopeful-babbage/mnt/sample-run/selections\[Ultimates.xlsx]Counts'!L9,'/sessions/eloquent-hopeful-babbage/mnt/sample-run/selections\[Ultimates.xlsx]Counts'!H9)</f>
        <v/>
      </c>
    </row>
    <row r="10">
      <c r="A10" s="9" t="n">
        <v>2009</v>
      </c>
      <c r="B10" s="9" t="n">
        <v>191</v>
      </c>
      <c r="C10" s="10">
        <f>'Reported CL'!C10</f>
        <v/>
      </c>
      <c r="D10" s="10">
        <f>'Reported CL'!E10</f>
        <v/>
      </c>
      <c r="E10" s="10">
        <f>'Reported IE'!D10</f>
        <v/>
      </c>
      <c r="F10" s="10">
        <f>'Reported BF'!H10</f>
        <v/>
      </c>
      <c r="G10" s="10">
        <f>IF('/sessions/eloquent-hopeful-babbage/mnt/sample-run/selections\[Ultimates.xlsx]Counts'!K10&lt;&gt;"",'/sessions/eloquent-hopeful-babbage/mnt/sample-run/selections\[Ultimates.xlsx]Counts'!K10,'/sessions/eloquent-hopeful-babbage/mnt/sample-run/selections\[Ultimates.xlsx]Counts'!G10)</f>
        <v/>
      </c>
      <c r="H10" s="10">
        <f>G10-C10</f>
        <v/>
      </c>
      <c r="I10" s="10">
        <f>G10-C10</f>
        <v/>
      </c>
      <c r="J10" s="11">
        <f>IF('/sessions/eloquent-hopeful-babbage/mnt/sample-run/selections\[Ultimates.xlsx]Counts'!K10&lt;&gt;"",'/sessions/eloquent-hopeful-babbage/mnt/sample-run/selections\[Ultimates.xlsx]Counts'!L10,'/sessions/eloquent-hopeful-babbage/mnt/sample-run/selections\[Ultimates.xlsx]Counts'!H10)</f>
        <v/>
      </c>
    </row>
    <row r="11">
      <c r="A11" s="9" t="n">
        <v>2010</v>
      </c>
      <c r="B11" s="9" t="n">
        <v>179</v>
      </c>
      <c r="C11" s="10">
        <f>'Reported CL'!C11</f>
        <v/>
      </c>
      <c r="D11" s="10">
        <f>'Reported CL'!E11</f>
        <v/>
      </c>
      <c r="E11" s="10">
        <f>'Reported IE'!D11</f>
        <v/>
      </c>
      <c r="F11" s="10">
        <f>'Reported BF'!H11</f>
        <v/>
      </c>
      <c r="G11" s="10">
        <f>IF('/sessions/eloquent-hopeful-babbage/mnt/sample-run/selections\[Ultimates.xlsx]Counts'!K11&lt;&gt;"",'/sessions/eloquent-hopeful-babbage/mnt/sample-run/selections\[Ultimates.xlsx]Counts'!K11,'/sessions/eloquent-hopeful-babbage/mnt/sample-run/selections\[Ultimates.xlsx]Counts'!G11)</f>
        <v/>
      </c>
      <c r="H11" s="10">
        <f>G11-C11</f>
        <v/>
      </c>
      <c r="I11" s="10">
        <f>G11-C11</f>
        <v/>
      </c>
      <c r="J11" s="11">
        <f>IF('/sessions/eloquent-hopeful-babbage/mnt/sample-run/selections\[Ultimates.xlsx]Counts'!K11&lt;&gt;"",'/sessions/eloquent-hopeful-babbage/mnt/sample-run/selections\[Ultimates.xlsx]Counts'!L11,'/sessions/eloquent-hopeful-babbage/mnt/sample-run/selections\[Ultimates.xlsx]Counts'!H11)</f>
        <v/>
      </c>
    </row>
    <row r="12">
      <c r="A12" s="9" t="n">
        <v>2011</v>
      </c>
      <c r="B12" s="9" t="n">
        <v>167</v>
      </c>
      <c r="C12" s="10">
        <f>'Reported CL'!C12</f>
        <v/>
      </c>
      <c r="D12" s="10">
        <f>'Reported CL'!E12</f>
        <v/>
      </c>
      <c r="E12" s="10">
        <f>'Reported IE'!D12</f>
        <v/>
      </c>
      <c r="F12" s="10">
        <f>'Reported BF'!H12</f>
        <v/>
      </c>
      <c r="G12" s="10">
        <f>IF('/sessions/eloquent-hopeful-babbage/mnt/sample-run/selections\[Ultimates.xlsx]Counts'!K12&lt;&gt;"",'/sessions/eloquent-hopeful-babbage/mnt/sample-run/selections\[Ultimates.xlsx]Counts'!K12,'/sessions/eloquent-hopeful-babbage/mnt/sample-run/selections\[Ultimates.xlsx]Counts'!G12)</f>
        <v/>
      </c>
      <c r="H12" s="10">
        <f>G12-C12</f>
        <v/>
      </c>
      <c r="I12" s="10">
        <f>G12-C12</f>
        <v/>
      </c>
      <c r="J12" s="11">
        <f>IF('/sessions/eloquent-hopeful-babbage/mnt/sample-run/selections\[Ultimates.xlsx]Counts'!K12&lt;&gt;"",'/sessions/eloquent-hopeful-babbage/mnt/sample-run/selections\[Ultimates.xlsx]Counts'!L12,'/sessions/eloquent-hopeful-babbage/mnt/sample-run/selections\[Ultimates.xlsx]Counts'!H12)</f>
        <v/>
      </c>
    </row>
    <row r="13">
      <c r="A13" s="9" t="n">
        <v>2012</v>
      </c>
      <c r="B13" s="9" t="n">
        <v>155</v>
      </c>
      <c r="C13" s="10">
        <f>'Reported CL'!C13</f>
        <v/>
      </c>
      <c r="D13" s="10">
        <f>'Reported CL'!E13</f>
        <v/>
      </c>
      <c r="E13" s="10">
        <f>'Reported IE'!D13</f>
        <v/>
      </c>
      <c r="F13" s="10">
        <f>'Reported BF'!H13</f>
        <v/>
      </c>
      <c r="G13" s="10">
        <f>IF('/sessions/eloquent-hopeful-babbage/mnt/sample-run/selections\[Ultimates.xlsx]Counts'!K13&lt;&gt;"",'/sessions/eloquent-hopeful-babbage/mnt/sample-run/selections\[Ultimates.xlsx]Counts'!K13,'/sessions/eloquent-hopeful-babbage/mnt/sample-run/selections\[Ultimates.xlsx]Counts'!G13)</f>
        <v/>
      </c>
      <c r="H13" s="10">
        <f>G13-C13</f>
        <v/>
      </c>
      <c r="I13" s="10">
        <f>G13-C13</f>
        <v/>
      </c>
      <c r="J13" s="11">
        <f>IF('/sessions/eloquent-hopeful-babbage/mnt/sample-run/selections\[Ultimates.xlsx]Counts'!K13&lt;&gt;"",'/sessions/eloquent-hopeful-babbage/mnt/sample-run/selections\[Ultimates.xlsx]Counts'!L13,'/sessions/eloquent-hopeful-babbage/mnt/sample-run/selections\[Ultimates.xlsx]Counts'!H13)</f>
        <v/>
      </c>
    </row>
    <row r="14">
      <c r="A14" s="9" t="n">
        <v>2013</v>
      </c>
      <c r="B14" s="9" t="n">
        <v>143</v>
      </c>
      <c r="C14" s="10">
        <f>'Reported CL'!C14</f>
        <v/>
      </c>
      <c r="D14" s="10">
        <f>'Reported CL'!E14</f>
        <v/>
      </c>
      <c r="E14" s="10">
        <f>'Reported IE'!D14</f>
        <v/>
      </c>
      <c r="F14" s="10">
        <f>'Reported BF'!H14</f>
        <v/>
      </c>
      <c r="G14" s="10">
        <f>IF('/sessions/eloquent-hopeful-babbage/mnt/sample-run/selections\[Ultimates.xlsx]Counts'!K14&lt;&gt;"",'/sessions/eloquent-hopeful-babbage/mnt/sample-run/selections\[Ultimates.xlsx]Counts'!K14,'/sessions/eloquent-hopeful-babbage/mnt/sample-run/selections\[Ultimates.xlsx]Counts'!G14)</f>
        <v/>
      </c>
      <c r="H14" s="10">
        <f>G14-C14</f>
        <v/>
      </c>
      <c r="I14" s="10">
        <f>G14-C14</f>
        <v/>
      </c>
      <c r="J14" s="11">
        <f>IF('/sessions/eloquent-hopeful-babbage/mnt/sample-run/selections\[Ultimates.xlsx]Counts'!K14&lt;&gt;"",'/sessions/eloquent-hopeful-babbage/mnt/sample-run/selections\[Ultimates.xlsx]Counts'!L14,'/sessions/eloquent-hopeful-babbage/mnt/sample-run/selections\[Ultimates.xlsx]Counts'!H14)</f>
        <v/>
      </c>
    </row>
    <row r="15">
      <c r="A15" s="9" t="n">
        <v>2014</v>
      </c>
      <c r="B15" s="9" t="n">
        <v>131</v>
      </c>
      <c r="C15" s="10">
        <f>'Reported CL'!C15</f>
        <v/>
      </c>
      <c r="D15" s="10">
        <f>'Reported CL'!E15</f>
        <v/>
      </c>
      <c r="E15" s="10">
        <f>'Reported IE'!D15</f>
        <v/>
      </c>
      <c r="F15" s="10">
        <f>'Reported BF'!H15</f>
        <v/>
      </c>
      <c r="G15" s="10">
        <f>IF('/sessions/eloquent-hopeful-babbage/mnt/sample-run/selections\[Ultimates.xlsx]Counts'!K15&lt;&gt;"",'/sessions/eloquent-hopeful-babbage/mnt/sample-run/selections\[Ultimates.xlsx]Counts'!K15,'/sessions/eloquent-hopeful-babbage/mnt/sample-run/selections\[Ultimates.xlsx]Counts'!G15)</f>
        <v/>
      </c>
      <c r="H15" s="10">
        <f>G15-C15</f>
        <v/>
      </c>
      <c r="I15" s="10">
        <f>G15-C15</f>
        <v/>
      </c>
      <c r="J15" s="11">
        <f>IF('/sessions/eloquent-hopeful-babbage/mnt/sample-run/selections\[Ultimates.xlsx]Counts'!K15&lt;&gt;"",'/sessions/eloquent-hopeful-babbage/mnt/sample-run/selections\[Ultimates.xlsx]Counts'!L15,'/sessions/eloquent-hopeful-babbage/mnt/sample-run/selections\[Ultimates.xlsx]Counts'!H15)</f>
        <v/>
      </c>
    </row>
    <row r="16">
      <c r="A16" s="9" t="n">
        <v>2015</v>
      </c>
      <c r="B16" s="9" t="n">
        <v>119</v>
      </c>
      <c r="C16" s="10">
        <f>'Reported CL'!C16</f>
        <v/>
      </c>
      <c r="D16" s="10">
        <f>'Reported CL'!E16</f>
        <v/>
      </c>
      <c r="E16" s="10">
        <f>'Reported IE'!D16</f>
        <v/>
      </c>
      <c r="F16" s="10">
        <f>'Reported BF'!H16</f>
        <v/>
      </c>
      <c r="G16" s="10">
        <f>IF('/sessions/eloquent-hopeful-babbage/mnt/sample-run/selections\[Ultimates.xlsx]Counts'!K16&lt;&gt;"",'/sessions/eloquent-hopeful-babbage/mnt/sample-run/selections\[Ultimates.xlsx]Counts'!K16,'/sessions/eloquent-hopeful-babbage/mnt/sample-run/selections\[Ultimates.xlsx]Counts'!G16)</f>
        <v/>
      </c>
      <c r="H16" s="10">
        <f>G16-C16</f>
        <v/>
      </c>
      <c r="I16" s="10">
        <f>G16-C16</f>
        <v/>
      </c>
      <c r="J16" s="11">
        <f>IF('/sessions/eloquent-hopeful-babbage/mnt/sample-run/selections\[Ultimates.xlsx]Counts'!K16&lt;&gt;"",'/sessions/eloquent-hopeful-babbage/mnt/sample-run/selections\[Ultimates.xlsx]Counts'!L16,'/sessions/eloquent-hopeful-babbage/mnt/sample-run/selections\[Ultimates.xlsx]Counts'!H16)</f>
        <v/>
      </c>
    </row>
    <row r="17">
      <c r="A17" s="9" t="n">
        <v>2016</v>
      </c>
      <c r="B17" s="9" t="n">
        <v>107</v>
      </c>
      <c r="C17" s="10">
        <f>'Reported CL'!C17</f>
        <v/>
      </c>
      <c r="D17" s="10">
        <f>'Reported CL'!E17</f>
        <v/>
      </c>
      <c r="E17" s="10">
        <f>'Reported IE'!D17</f>
        <v/>
      </c>
      <c r="F17" s="10">
        <f>'Reported BF'!H17</f>
        <v/>
      </c>
      <c r="G17" s="10">
        <f>IF('/sessions/eloquent-hopeful-babbage/mnt/sample-run/selections\[Ultimates.xlsx]Counts'!K17&lt;&gt;"",'/sessions/eloquent-hopeful-babbage/mnt/sample-run/selections\[Ultimates.xlsx]Counts'!K17,'/sessions/eloquent-hopeful-babbage/mnt/sample-run/selections\[Ultimates.xlsx]Counts'!G17)</f>
        <v/>
      </c>
      <c r="H17" s="10">
        <f>G17-C17</f>
        <v/>
      </c>
      <c r="I17" s="10">
        <f>G17-C17</f>
        <v/>
      </c>
      <c r="J17" s="11">
        <f>IF('/sessions/eloquent-hopeful-babbage/mnt/sample-run/selections\[Ultimates.xlsx]Counts'!K17&lt;&gt;"",'/sessions/eloquent-hopeful-babbage/mnt/sample-run/selections\[Ultimates.xlsx]Counts'!L17,'/sessions/eloquent-hopeful-babbage/mnt/sample-run/selections\[Ultimates.xlsx]Counts'!H17)</f>
        <v/>
      </c>
    </row>
    <row r="18">
      <c r="A18" s="9" t="n">
        <v>2017</v>
      </c>
      <c r="B18" s="9" t="n">
        <v>95</v>
      </c>
      <c r="C18" s="10">
        <f>'Reported CL'!C18</f>
        <v/>
      </c>
      <c r="D18" s="10">
        <f>'Reported CL'!E18</f>
        <v/>
      </c>
      <c r="E18" s="10">
        <f>'Reported IE'!D18</f>
        <v/>
      </c>
      <c r="F18" s="10">
        <f>'Reported BF'!H18</f>
        <v/>
      </c>
      <c r="G18" s="10">
        <f>IF('/sessions/eloquent-hopeful-babbage/mnt/sample-run/selections\[Ultimates.xlsx]Counts'!K18&lt;&gt;"",'/sessions/eloquent-hopeful-babbage/mnt/sample-run/selections\[Ultimates.xlsx]Counts'!K18,'/sessions/eloquent-hopeful-babbage/mnt/sample-run/selections\[Ultimates.xlsx]Counts'!G18)</f>
        <v/>
      </c>
      <c r="H18" s="10">
        <f>G18-C18</f>
        <v/>
      </c>
      <c r="I18" s="10">
        <f>G18-C18</f>
        <v/>
      </c>
      <c r="J18" s="11">
        <f>IF('/sessions/eloquent-hopeful-babbage/mnt/sample-run/selections\[Ultimates.xlsx]Counts'!K18&lt;&gt;"",'/sessions/eloquent-hopeful-babbage/mnt/sample-run/selections\[Ultimates.xlsx]Counts'!L18,'/sessions/eloquent-hopeful-babbage/mnt/sample-run/selections\[Ultimates.xlsx]Counts'!H18)</f>
        <v/>
      </c>
    </row>
    <row r="19">
      <c r="A19" s="9" t="n">
        <v>2018</v>
      </c>
      <c r="B19" s="9" t="n">
        <v>83</v>
      </c>
      <c r="C19" s="10">
        <f>'Reported CL'!C19</f>
        <v/>
      </c>
      <c r="D19" s="10">
        <f>'Reported CL'!E19</f>
        <v/>
      </c>
      <c r="E19" s="10">
        <f>'Reported IE'!D19</f>
        <v/>
      </c>
      <c r="F19" s="10">
        <f>'Reported BF'!H19</f>
        <v/>
      </c>
      <c r="G19" s="10">
        <f>IF('/sessions/eloquent-hopeful-babbage/mnt/sample-run/selections\[Ultimates.xlsx]Counts'!K19&lt;&gt;"",'/sessions/eloquent-hopeful-babbage/mnt/sample-run/selections\[Ultimates.xlsx]Counts'!K19,'/sessions/eloquent-hopeful-babbage/mnt/sample-run/selections\[Ultimates.xlsx]Counts'!G19)</f>
        <v/>
      </c>
      <c r="H19" s="10">
        <f>G19-C19</f>
        <v/>
      </c>
      <c r="I19" s="10">
        <f>G19-C19</f>
        <v/>
      </c>
      <c r="J19" s="11">
        <f>IF('/sessions/eloquent-hopeful-babbage/mnt/sample-run/selections\[Ultimates.xlsx]Counts'!K19&lt;&gt;"",'/sessions/eloquent-hopeful-babbage/mnt/sample-run/selections\[Ultimates.xlsx]Counts'!L19,'/sessions/eloquent-hopeful-babbage/mnt/sample-run/selections\[Ultimates.xlsx]Counts'!H19)</f>
        <v/>
      </c>
    </row>
    <row r="20">
      <c r="A20" s="9" t="n">
        <v>2019</v>
      </c>
      <c r="B20" s="9" t="n">
        <v>71</v>
      </c>
      <c r="C20" s="10">
        <f>'Reported CL'!C20</f>
        <v/>
      </c>
      <c r="D20" s="10">
        <f>'Reported CL'!E20</f>
        <v/>
      </c>
      <c r="E20" s="10">
        <f>'Reported IE'!D20</f>
        <v/>
      </c>
      <c r="F20" s="10">
        <f>'Reported BF'!H20</f>
        <v/>
      </c>
      <c r="G20" s="10">
        <f>IF('/sessions/eloquent-hopeful-babbage/mnt/sample-run/selections\[Ultimates.xlsx]Counts'!K20&lt;&gt;"",'/sessions/eloquent-hopeful-babbage/mnt/sample-run/selections\[Ultimates.xlsx]Counts'!K20,'/sessions/eloquent-hopeful-babbage/mnt/sample-run/selections\[Ultimates.xlsx]Counts'!G20)</f>
        <v/>
      </c>
      <c r="H20" s="10">
        <f>G20-C20</f>
        <v/>
      </c>
      <c r="I20" s="10">
        <f>G20-C20</f>
        <v/>
      </c>
      <c r="J20" s="11">
        <f>IF('/sessions/eloquent-hopeful-babbage/mnt/sample-run/selections\[Ultimates.xlsx]Counts'!K20&lt;&gt;"",'/sessions/eloquent-hopeful-babbage/mnt/sample-run/selections\[Ultimates.xlsx]Counts'!L20,'/sessions/eloquent-hopeful-babbage/mnt/sample-run/selections\[Ultimates.xlsx]Counts'!H20)</f>
        <v/>
      </c>
    </row>
    <row r="21">
      <c r="A21" s="9" t="n">
        <v>2020</v>
      </c>
      <c r="B21" s="9" t="n">
        <v>59</v>
      </c>
      <c r="C21" s="10">
        <f>'Reported CL'!C21</f>
        <v/>
      </c>
      <c r="D21" s="10">
        <f>'Reported CL'!E21</f>
        <v/>
      </c>
      <c r="E21" s="10">
        <f>'Reported IE'!D21</f>
        <v/>
      </c>
      <c r="F21" s="10">
        <f>'Reported BF'!H21</f>
        <v/>
      </c>
      <c r="G21" s="10">
        <f>IF('/sessions/eloquent-hopeful-babbage/mnt/sample-run/selections\[Ultimates.xlsx]Counts'!K21&lt;&gt;"",'/sessions/eloquent-hopeful-babbage/mnt/sample-run/selections\[Ultimates.xlsx]Counts'!K21,'/sessions/eloquent-hopeful-babbage/mnt/sample-run/selections\[Ultimates.xlsx]Counts'!G21)</f>
        <v/>
      </c>
      <c r="H21" s="10">
        <f>G21-C21</f>
        <v/>
      </c>
      <c r="I21" s="10">
        <f>G21-C21</f>
        <v/>
      </c>
      <c r="J21" s="11">
        <f>IF('/sessions/eloquent-hopeful-babbage/mnt/sample-run/selections\[Ultimates.xlsx]Counts'!K21&lt;&gt;"",'/sessions/eloquent-hopeful-babbage/mnt/sample-run/selections\[Ultimates.xlsx]Counts'!L21,'/sessions/eloquent-hopeful-babbage/mnt/sample-run/selections\[Ultimates.xlsx]Counts'!H21)</f>
        <v/>
      </c>
    </row>
    <row r="22">
      <c r="A22" s="9" t="n">
        <v>2021</v>
      </c>
      <c r="B22" s="9" t="n">
        <v>47</v>
      </c>
      <c r="C22" s="10">
        <f>'Reported CL'!C22</f>
        <v/>
      </c>
      <c r="D22" s="10">
        <f>'Reported CL'!E22</f>
        <v/>
      </c>
      <c r="E22" s="10">
        <f>'Reported IE'!D22</f>
        <v/>
      </c>
      <c r="F22" s="10">
        <f>'Reported BF'!H22</f>
        <v/>
      </c>
      <c r="G22" s="10">
        <f>IF('/sessions/eloquent-hopeful-babbage/mnt/sample-run/selections\[Ultimates.xlsx]Counts'!K22&lt;&gt;"",'/sessions/eloquent-hopeful-babbage/mnt/sample-run/selections\[Ultimates.xlsx]Counts'!K22,'/sessions/eloquent-hopeful-babbage/mnt/sample-run/selections\[Ultimates.xlsx]Counts'!G22)</f>
        <v/>
      </c>
      <c r="H22" s="10">
        <f>G22-C22</f>
        <v/>
      </c>
      <c r="I22" s="10">
        <f>G22-C22</f>
        <v/>
      </c>
      <c r="J22" s="11">
        <f>IF('/sessions/eloquent-hopeful-babbage/mnt/sample-run/selections\[Ultimates.xlsx]Counts'!K22&lt;&gt;"",'/sessions/eloquent-hopeful-babbage/mnt/sample-run/selections\[Ultimates.xlsx]Counts'!L22,'/sessions/eloquent-hopeful-babbage/mnt/sample-run/selections\[Ultimates.xlsx]Counts'!H22)</f>
        <v/>
      </c>
    </row>
    <row r="23">
      <c r="A23" s="9" t="n">
        <v>2022</v>
      </c>
      <c r="B23" s="9" t="n">
        <v>35</v>
      </c>
      <c r="C23" s="10">
        <f>'Reported CL'!C23</f>
        <v/>
      </c>
      <c r="D23" s="10">
        <f>'Reported CL'!E23</f>
        <v/>
      </c>
      <c r="E23" s="10">
        <f>'Reported IE'!D23</f>
        <v/>
      </c>
      <c r="F23" s="10">
        <f>'Reported BF'!H23</f>
        <v/>
      </c>
      <c r="G23" s="10">
        <f>IF('/sessions/eloquent-hopeful-babbage/mnt/sample-run/selections\[Ultimates.xlsx]Counts'!K23&lt;&gt;"",'/sessions/eloquent-hopeful-babbage/mnt/sample-run/selections\[Ultimates.xlsx]Counts'!K23,'/sessions/eloquent-hopeful-babbage/mnt/sample-run/selections\[Ultimates.xlsx]Counts'!G23)</f>
        <v/>
      </c>
      <c r="H23" s="10">
        <f>G23-C23</f>
        <v/>
      </c>
      <c r="I23" s="10">
        <f>G23-C23</f>
        <v/>
      </c>
      <c r="J23" s="11">
        <f>IF('/sessions/eloquent-hopeful-babbage/mnt/sample-run/selections\[Ultimates.xlsx]Counts'!K23&lt;&gt;"",'/sessions/eloquent-hopeful-babbage/mnt/sample-run/selections\[Ultimates.xlsx]Counts'!L23,'/sessions/eloquent-hopeful-babbage/mnt/sample-run/selections\[Ultimates.xlsx]Counts'!H23)</f>
        <v/>
      </c>
    </row>
    <row r="24">
      <c r="A24" s="9" t="n">
        <v>2023</v>
      </c>
      <c r="B24" s="9" t="n">
        <v>23</v>
      </c>
      <c r="C24" s="10">
        <f>'Reported CL'!C24</f>
        <v/>
      </c>
      <c r="D24" s="10">
        <f>'Reported CL'!E24</f>
        <v/>
      </c>
      <c r="E24" s="10">
        <f>'Reported IE'!D24</f>
        <v/>
      </c>
      <c r="F24" s="10">
        <f>'Reported BF'!H24</f>
        <v/>
      </c>
      <c r="G24" s="10">
        <f>IF('/sessions/eloquent-hopeful-babbage/mnt/sample-run/selections\[Ultimates.xlsx]Counts'!K24&lt;&gt;"",'/sessions/eloquent-hopeful-babbage/mnt/sample-run/selections\[Ultimates.xlsx]Counts'!K24,'/sessions/eloquent-hopeful-babbage/mnt/sample-run/selections\[Ultimates.xlsx]Counts'!G24)</f>
        <v/>
      </c>
      <c r="H24" s="10">
        <f>G24-C24</f>
        <v/>
      </c>
      <c r="I24" s="10">
        <f>G24-C24</f>
        <v/>
      </c>
      <c r="J24" s="11">
        <f>IF('/sessions/eloquent-hopeful-babbage/mnt/sample-run/selections\[Ultimates.xlsx]Counts'!K24&lt;&gt;"",'/sessions/eloquent-hopeful-babbage/mnt/sample-run/selections\[Ultimates.xlsx]Counts'!L24,'/sessions/eloquent-hopeful-babbage/mnt/sample-run/selections\[Ultimates.xlsx]Counts'!H24)</f>
        <v/>
      </c>
    </row>
    <row r="25">
      <c r="A25" s="9" t="n">
        <v>2024</v>
      </c>
      <c r="B25" s="9" t="n">
        <v>11</v>
      </c>
      <c r="C25" s="10">
        <f>'Reported CL'!C25</f>
        <v/>
      </c>
      <c r="D25" s="10">
        <f>'Reported CL'!E25</f>
        <v/>
      </c>
      <c r="E25" s="10">
        <f>'Reported IE'!D25</f>
        <v/>
      </c>
      <c r="F25" s="10">
        <f>'Reported BF'!H25</f>
        <v/>
      </c>
      <c r="G25" s="10">
        <f>IF('/sessions/eloquent-hopeful-babbage/mnt/sample-run/selections\[Ultimates.xlsx]Counts'!K25&lt;&gt;"",'/sessions/eloquent-hopeful-babbage/mnt/sample-run/selections\[Ultimates.xlsx]Counts'!K25,'/sessions/eloquent-hopeful-babbage/mnt/sample-run/selections\[Ultimates.xlsx]Counts'!G25)</f>
        <v/>
      </c>
      <c r="H25" s="10">
        <f>G25-C25</f>
        <v/>
      </c>
      <c r="I25" s="10">
        <f>G25-C25</f>
        <v/>
      </c>
      <c r="J25" s="11">
        <f>IF('/sessions/eloquent-hopeful-babbage/mnt/sample-run/selections\[Ultimates.xlsx]Counts'!K25&lt;&gt;"",'/sessions/eloquent-hopeful-babbage/mnt/sample-run/selections\[Ultimates.xlsx]Counts'!L25,'/sessions/eloquent-hopeful-babbage/mnt/sample-run/selections\[Ultimates.xlsx]Counts'!H25)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Closed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5" t="inlineStr">
        <is>
          <t>None</t>
        </is>
      </c>
      <c r="C2" s="5" t="n"/>
      <c r="D2" s="5" t="n"/>
      <c r="E2" s="10">
        <f>IF(AND(ISNUMBER(C2),ISNUMBER(D2)),C2*D2,"")</f>
        <v/>
      </c>
      <c r="F2" s="10">
        <f>E2-C2</f>
        <v/>
      </c>
      <c r="G2" s="10">
        <f>E2-C2</f>
        <v/>
      </c>
    </row>
    <row r="3">
      <c r="A3" s="9" t="n">
        <v>2002</v>
      </c>
      <c r="B3" s="5" t="inlineStr">
        <is>
          <t>None</t>
        </is>
      </c>
      <c r="C3" s="5" t="n"/>
      <c r="D3" s="5" t="n"/>
      <c r="E3" s="10">
        <f>IF(AND(ISNUMBER(C3),ISNUMBER(D3)),C3*D3,"")</f>
        <v/>
      </c>
      <c r="F3" s="10">
        <f>E3-C3</f>
        <v/>
      </c>
      <c r="G3" s="10">
        <f>E3-C3</f>
        <v/>
      </c>
    </row>
    <row r="4">
      <c r="A4" s="9" t="n">
        <v>2003</v>
      </c>
      <c r="B4" s="5" t="inlineStr">
        <is>
          <t>None</t>
        </is>
      </c>
      <c r="C4" s="5" t="n"/>
      <c r="D4" s="5" t="n"/>
      <c r="E4" s="10">
        <f>IF(AND(ISNUMBER(C4),ISNUMBER(D4)),C4*D4,"")</f>
        <v/>
      </c>
      <c r="F4" s="10">
        <f>E4-C4</f>
        <v/>
      </c>
      <c r="G4" s="10">
        <f>E4-C4</f>
        <v/>
      </c>
    </row>
    <row r="5">
      <c r="A5" s="9" t="n">
        <v>2004</v>
      </c>
      <c r="B5" s="5" t="inlineStr">
        <is>
          <t>None</t>
        </is>
      </c>
      <c r="C5" s="5" t="n"/>
      <c r="D5" s="5" t="n"/>
      <c r="E5" s="10">
        <f>IF(AND(ISNUMBER(C5),ISNUMBER(D5)),C5*D5,"")</f>
        <v/>
      </c>
      <c r="F5" s="10">
        <f>E5-C5</f>
        <v/>
      </c>
      <c r="G5" s="10">
        <f>E5-C5</f>
        <v/>
      </c>
    </row>
    <row r="6">
      <c r="A6" s="9" t="n">
        <v>2005</v>
      </c>
      <c r="B6" s="5" t="inlineStr">
        <is>
          <t>None</t>
        </is>
      </c>
      <c r="C6" s="5" t="n"/>
      <c r="D6" s="5" t="n"/>
      <c r="E6" s="10">
        <f>IF(AND(ISNUMBER(C6),ISNUMBER(D6)),C6*D6,"")</f>
        <v/>
      </c>
      <c r="F6" s="10">
        <f>E6-C6</f>
        <v/>
      </c>
      <c r="G6" s="10">
        <f>E6-C6</f>
        <v/>
      </c>
    </row>
    <row r="7">
      <c r="A7" s="9" t="n">
        <v>2006</v>
      </c>
      <c r="B7" s="5" t="inlineStr">
        <is>
          <t>None</t>
        </is>
      </c>
      <c r="C7" s="5" t="n"/>
      <c r="D7" s="5" t="n"/>
      <c r="E7" s="10">
        <f>IF(AND(ISNUMBER(C7),ISNUMBER(D7)),C7*D7,"")</f>
        <v/>
      </c>
      <c r="F7" s="10">
        <f>E7-C7</f>
        <v/>
      </c>
      <c r="G7" s="10">
        <f>E7-C7</f>
        <v/>
      </c>
    </row>
    <row r="8">
      <c r="A8" s="9" t="n">
        <v>2007</v>
      </c>
      <c r="B8" s="5" t="inlineStr">
        <is>
          <t>None</t>
        </is>
      </c>
      <c r="C8" s="5" t="n"/>
      <c r="D8" s="5" t="n"/>
      <c r="E8" s="10">
        <f>IF(AND(ISNUMBER(C8),ISNUMBER(D8)),C8*D8,"")</f>
        <v/>
      </c>
      <c r="F8" s="10">
        <f>E8-C8</f>
        <v/>
      </c>
      <c r="G8" s="10">
        <f>E8-C8</f>
        <v/>
      </c>
    </row>
    <row r="9">
      <c r="A9" s="9" t="n">
        <v>2008</v>
      </c>
      <c r="B9" s="5" t="inlineStr">
        <is>
          <t>None</t>
        </is>
      </c>
      <c r="C9" s="5" t="n"/>
      <c r="D9" s="5" t="n"/>
      <c r="E9" s="10">
        <f>IF(AND(ISNUMBER(C9),ISNUMBER(D9)),C9*D9,"")</f>
        <v/>
      </c>
      <c r="F9" s="10">
        <f>E9-C9</f>
        <v/>
      </c>
      <c r="G9" s="10">
        <f>E9-C9</f>
        <v/>
      </c>
    </row>
    <row r="10">
      <c r="A10" s="9" t="n">
        <v>2009</v>
      </c>
      <c r="B10" s="5" t="inlineStr">
        <is>
          <t>None</t>
        </is>
      </c>
      <c r="C10" s="5" t="n"/>
      <c r="D10" s="5" t="n"/>
      <c r="E10" s="10">
        <f>IF(AND(ISNUMBER(C10),ISNUMBER(D10)),C10*D10,"")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5" t="inlineStr">
        <is>
          <t>None</t>
        </is>
      </c>
      <c r="C11" s="5" t="n"/>
      <c r="D11" s="5" t="n"/>
      <c r="E11" s="10">
        <f>IF(AND(ISNUMBER(C11),ISNUMBER(D11)),C11*D11,"")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5" t="inlineStr">
        <is>
          <t>None</t>
        </is>
      </c>
      <c r="C12" s="5" t="n"/>
      <c r="D12" s="5" t="n"/>
      <c r="E12" s="10">
        <f>IF(AND(ISNUMBER(C12),ISNUMBER(D12)),C12*D12,"")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5" t="inlineStr">
        <is>
          <t>None</t>
        </is>
      </c>
      <c r="C13" s="5" t="n"/>
      <c r="D13" s="5" t="n"/>
      <c r="E13" s="10">
        <f>IF(AND(ISNUMBER(C13),ISNUMBER(D13)),C13*D13,"")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5" t="inlineStr">
        <is>
          <t>None</t>
        </is>
      </c>
      <c r="C14" s="5" t="n"/>
      <c r="D14" s="5" t="n"/>
      <c r="E14" s="10">
        <f>IF(AND(ISNUMBER(C14),ISNUMBER(D14)),C14*D14,"")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5" t="inlineStr">
        <is>
          <t>None</t>
        </is>
      </c>
      <c r="C15" s="5" t="n"/>
      <c r="D15" s="5" t="n"/>
      <c r="E15" s="10">
        <f>IF(AND(ISNUMBER(C15),ISNUMBER(D15)),C15*D15,"")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5" t="inlineStr">
        <is>
          <t>None</t>
        </is>
      </c>
      <c r="C16" s="5" t="n"/>
      <c r="D16" s="5" t="n"/>
      <c r="E16" s="10">
        <f>IF(AND(ISNUMBER(C16),ISNUMBER(D16)),C16*D16,"")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5" t="inlineStr">
        <is>
          <t>None</t>
        </is>
      </c>
      <c r="C17" s="5" t="n"/>
      <c r="D17" s="5" t="n"/>
      <c r="E17" s="10">
        <f>IF(AND(ISNUMBER(C17),ISNUMBER(D17)),C17*D17,"")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5" t="inlineStr">
        <is>
          <t>None</t>
        </is>
      </c>
      <c r="C18" s="5" t="n"/>
      <c r="D18" s="5" t="n"/>
      <c r="E18" s="10">
        <f>IF(AND(ISNUMBER(C18),ISNUMBER(D18)),C18*D18,"")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5" t="inlineStr">
        <is>
          <t>None</t>
        </is>
      </c>
      <c r="C19" s="5" t="n"/>
      <c r="D19" s="5" t="n"/>
      <c r="E19" s="10">
        <f>IF(AND(ISNUMBER(C19),ISNUMBER(D19)),C19*D19,"")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5" t="inlineStr">
        <is>
          <t>None</t>
        </is>
      </c>
      <c r="C20" s="5" t="n"/>
      <c r="D20" s="5" t="n"/>
      <c r="E20" s="10">
        <f>IF(AND(ISNUMBER(C20),ISNUMBER(D20)),C20*D20,"")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5" t="inlineStr">
        <is>
          <t>None</t>
        </is>
      </c>
      <c r="C21" s="5" t="n"/>
      <c r="D21" s="5" t="n"/>
      <c r="E21" s="10">
        <f>IF(AND(ISNUMBER(C21),ISNUMBER(D21)),C21*D21,"")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5" t="inlineStr">
        <is>
          <t>None</t>
        </is>
      </c>
      <c r="C22" s="5" t="n"/>
      <c r="D22" s="5" t="n"/>
      <c r="E22" s="10">
        <f>IF(AND(ISNUMBER(C22),ISNUMBER(D22)),C22*D22,"")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5" t="inlineStr">
        <is>
          <t>None</t>
        </is>
      </c>
      <c r="C23" s="5" t="n"/>
      <c r="D23" s="5" t="n"/>
      <c r="E23" s="10">
        <f>IF(AND(ISNUMBER(C23),ISNUMBER(D23)),C23*D23,"")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5" t="inlineStr">
        <is>
          <t>None</t>
        </is>
      </c>
      <c r="C24" s="5" t="n"/>
      <c r="D24" s="5" t="n"/>
      <c r="E24" s="10">
        <f>IF(AND(ISNUMBER(C24),ISNUMBER(D24)),C24*D24,"")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5" t="inlineStr">
        <is>
          <t>None</t>
        </is>
      </c>
      <c r="C25" s="5" t="n"/>
      <c r="D25" s="5" t="n"/>
      <c r="E25" s="10">
        <f>IF(AND(ISNUMBER(C25),ISNUMBER(D25)),C25*D25,"")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'/sessions/eloquent-hopeful-babbage/mnt/sample-run/selections\[Ultimates.xlsx]Counts'!C2</f>
        <v/>
      </c>
      <c r="D2" s="12" t="n">
        <v>1</v>
      </c>
      <c r="E2" s="10">
        <f>IF(AND(ISNUMBER(C2),ISNUMBER(D2)),C2*D2,"")</f>
        <v/>
      </c>
      <c r="F2" s="10">
        <f>E2-C2</f>
        <v/>
      </c>
      <c r="G2" s="10">
        <f>E2-'Closed CL'!C2</f>
        <v/>
      </c>
    </row>
    <row r="3">
      <c r="A3" s="9" t="n">
        <v>2002</v>
      </c>
      <c r="B3" s="9" t="n">
        <v>275</v>
      </c>
      <c r="C3" s="10">
        <f>'/sessions/eloquent-hopeful-babbage/mnt/sample-run/selections\[Ultimates.xlsx]Counts'!C3</f>
        <v/>
      </c>
      <c r="D3" s="12" t="n">
        <v>1</v>
      </c>
      <c r="E3" s="10">
        <f>IF(AND(ISNUMBER(C3),ISNUMBER(D3)),C3*D3,"")</f>
        <v/>
      </c>
      <c r="F3" s="10">
        <f>E3-C3</f>
        <v/>
      </c>
      <c r="G3" s="10">
        <f>E3-'Closed CL'!C3</f>
        <v/>
      </c>
    </row>
    <row r="4">
      <c r="A4" s="9" t="n">
        <v>2003</v>
      </c>
      <c r="B4" s="9" t="n">
        <v>263</v>
      </c>
      <c r="C4" s="10">
        <f>'/sessions/eloquent-hopeful-babbage/mnt/sample-run/selections\[Ultimates.xlsx]Counts'!C4</f>
        <v/>
      </c>
      <c r="D4" s="12" t="n">
        <v>1</v>
      </c>
      <c r="E4" s="10">
        <f>IF(AND(ISNUMBER(C4),ISNUMBER(D4)),C4*D4,"")</f>
        <v/>
      </c>
      <c r="F4" s="10">
        <f>E4-C4</f>
        <v/>
      </c>
      <c r="G4" s="10">
        <f>E4-'Closed CL'!C4</f>
        <v/>
      </c>
    </row>
    <row r="5">
      <c r="A5" s="9" t="n">
        <v>2004</v>
      </c>
      <c r="B5" s="9" t="n">
        <v>251</v>
      </c>
      <c r="C5" s="10">
        <f>'/sessions/eloquent-hopeful-babbage/mnt/sample-run/selections\[Ultimates.xlsx]Counts'!C5</f>
        <v/>
      </c>
      <c r="D5" s="12" t="n">
        <v>1</v>
      </c>
      <c r="E5" s="10">
        <f>IF(AND(ISNUMBER(C5),ISNUMBER(D5)),C5*D5,"")</f>
        <v/>
      </c>
      <c r="F5" s="10">
        <f>E5-C5</f>
        <v/>
      </c>
      <c r="G5" s="10">
        <f>E5-'Closed CL'!C5</f>
        <v/>
      </c>
    </row>
    <row r="6">
      <c r="A6" s="9" t="n">
        <v>2005</v>
      </c>
      <c r="B6" s="9" t="n">
        <v>239</v>
      </c>
      <c r="C6" s="10">
        <f>'/sessions/eloquent-hopeful-babbage/mnt/sample-run/selections\[Ultimates.xlsx]Counts'!C6</f>
        <v/>
      </c>
      <c r="D6" s="12" t="n">
        <v>1</v>
      </c>
      <c r="E6" s="10">
        <f>IF(AND(ISNUMBER(C6),ISNUMBER(D6)),C6*D6,"")</f>
        <v/>
      </c>
      <c r="F6" s="10">
        <f>E6-C6</f>
        <v/>
      </c>
      <c r="G6" s="10">
        <f>E6-'Closed CL'!C6</f>
        <v/>
      </c>
    </row>
    <row r="7">
      <c r="A7" s="9" t="n">
        <v>2006</v>
      </c>
      <c r="B7" s="9" t="n">
        <v>227</v>
      </c>
      <c r="C7" s="10">
        <f>'/sessions/eloquent-hopeful-babbage/mnt/sample-run/selections\[Ultimates.xlsx]Counts'!C7</f>
        <v/>
      </c>
      <c r="D7" s="12" t="n">
        <v>1</v>
      </c>
      <c r="E7" s="10">
        <f>IF(AND(ISNUMBER(C7),ISNUMBER(D7)),C7*D7,"")</f>
        <v/>
      </c>
      <c r="F7" s="10">
        <f>E7-C7</f>
        <v/>
      </c>
      <c r="G7" s="10">
        <f>E7-'Closed CL'!C7</f>
        <v/>
      </c>
    </row>
    <row r="8">
      <c r="A8" s="9" t="n">
        <v>2007</v>
      </c>
      <c r="B8" s="9" t="n">
        <v>215</v>
      </c>
      <c r="C8" s="10">
        <f>'/sessions/eloquent-hopeful-babbage/mnt/sample-run/selections\[Ultimates.xlsx]Counts'!C8</f>
        <v/>
      </c>
      <c r="D8" s="12" t="n">
        <v>1</v>
      </c>
      <c r="E8" s="10">
        <f>IF(AND(ISNUMBER(C8),ISNUMBER(D8)),C8*D8,"")</f>
        <v/>
      </c>
      <c r="F8" s="10">
        <f>E8-C8</f>
        <v/>
      </c>
      <c r="G8" s="10">
        <f>E8-'Closed CL'!C8</f>
        <v/>
      </c>
    </row>
    <row r="9">
      <c r="A9" s="9" t="n">
        <v>2008</v>
      </c>
      <c r="B9" s="9" t="n">
        <v>203</v>
      </c>
      <c r="C9" s="10">
        <f>'/sessions/eloquent-hopeful-babbage/mnt/sample-run/selections\[Ultimates.xlsx]Counts'!C9</f>
        <v/>
      </c>
      <c r="D9" s="12" t="n">
        <v>1</v>
      </c>
      <c r="E9" s="10">
        <f>IF(AND(ISNUMBER(C9),ISNUMBER(D9)),C9*D9,"")</f>
        <v/>
      </c>
      <c r="F9" s="10">
        <f>E9-C9</f>
        <v/>
      </c>
      <c r="G9" s="10">
        <f>E9-'Closed CL'!C9</f>
        <v/>
      </c>
    </row>
    <row r="10">
      <c r="A10" s="9" t="n">
        <v>2009</v>
      </c>
      <c r="B10" s="9" t="n">
        <v>191</v>
      </c>
      <c r="C10" s="10">
        <f>'/sessions/eloquent-hopeful-babbage/mnt/sample-run/selections\[Ultimates.xlsx]Counts'!C10</f>
        <v/>
      </c>
      <c r="D10" s="12" t="n">
        <v>1</v>
      </c>
      <c r="E10" s="10">
        <f>IF(AND(ISNUMBER(C10),ISNUMBER(D10)),C10*D10,"")</f>
        <v/>
      </c>
      <c r="F10" s="10">
        <f>E10-C10</f>
        <v/>
      </c>
      <c r="G10" s="10">
        <f>E10-'Closed CL'!C10</f>
        <v/>
      </c>
    </row>
    <row r="11">
      <c r="A11" s="9" t="n">
        <v>2010</v>
      </c>
      <c r="B11" s="9" t="n">
        <v>179</v>
      </c>
      <c r="C11" s="10">
        <f>'/sessions/eloquent-hopeful-babbage/mnt/sample-run/selections\[Ultimates.xlsx]Counts'!C11</f>
        <v/>
      </c>
      <c r="D11" s="12" t="n">
        <v>1</v>
      </c>
      <c r="E11" s="10">
        <f>IF(AND(ISNUMBER(C11),ISNUMBER(D11)),C11*D11,"")</f>
        <v/>
      </c>
      <c r="F11" s="10">
        <f>E11-C11</f>
        <v/>
      </c>
      <c r="G11" s="10">
        <f>E11-'Closed CL'!C11</f>
        <v/>
      </c>
    </row>
    <row r="12">
      <c r="A12" s="9" t="n">
        <v>2011</v>
      </c>
      <c r="B12" s="9" t="n">
        <v>167</v>
      </c>
      <c r="C12" s="10">
        <f>'/sessions/eloquent-hopeful-babbage/mnt/sample-run/selections\[Ultimates.xlsx]Counts'!C12</f>
        <v/>
      </c>
      <c r="D12" s="12" t="n">
        <v>1</v>
      </c>
      <c r="E12" s="10">
        <f>IF(AND(ISNUMBER(C12),ISNUMBER(D12)),C12*D12,"")</f>
        <v/>
      </c>
      <c r="F12" s="10">
        <f>E12-C12</f>
        <v/>
      </c>
      <c r="G12" s="10">
        <f>E12-'Closed CL'!C12</f>
        <v/>
      </c>
    </row>
    <row r="13">
      <c r="A13" s="9" t="n">
        <v>2012</v>
      </c>
      <c r="B13" s="9" t="n">
        <v>155</v>
      </c>
      <c r="C13" s="10">
        <f>'/sessions/eloquent-hopeful-babbage/mnt/sample-run/selections\[Ultimates.xlsx]Counts'!C13</f>
        <v/>
      </c>
      <c r="D13" s="12" t="n">
        <v>1</v>
      </c>
      <c r="E13" s="10">
        <f>IF(AND(ISNUMBER(C13),ISNUMBER(D13)),C13*D13,"")</f>
        <v/>
      </c>
      <c r="F13" s="10">
        <f>E13-C13</f>
        <v/>
      </c>
      <c r="G13" s="10">
        <f>E13-'Closed CL'!C13</f>
        <v/>
      </c>
    </row>
    <row r="14">
      <c r="A14" s="9" t="n">
        <v>2013</v>
      </c>
      <c r="B14" s="9" t="n">
        <v>143</v>
      </c>
      <c r="C14" s="10">
        <f>'Reported'!M15</f>
        <v/>
      </c>
      <c r="D14" s="12" t="n">
        <v>1</v>
      </c>
      <c r="E14" s="10">
        <f>IF(AND(ISNUMBER(C14),ISNUMBER(D14)),C14*D14,"")</f>
        <v/>
      </c>
      <c r="F14" s="10">
        <f>E14-C14</f>
        <v/>
      </c>
      <c r="G14" s="10">
        <f>E14-'Closed CL'!C14</f>
        <v/>
      </c>
    </row>
    <row r="15">
      <c r="A15" s="9" t="n">
        <v>2014</v>
      </c>
      <c r="B15" s="9" t="n">
        <v>131</v>
      </c>
      <c r="C15" s="10">
        <f>'Reported'!L16</f>
        <v/>
      </c>
      <c r="D15" s="12" t="n">
        <v>1</v>
      </c>
      <c r="E15" s="10">
        <f>IF(AND(ISNUMBER(C15),ISNUMBER(D15)),C15*D15,"")</f>
        <v/>
      </c>
      <c r="F15" s="10">
        <f>E15-C15</f>
        <v/>
      </c>
      <c r="G15" s="10">
        <f>E15-'Closed CL'!C15</f>
        <v/>
      </c>
    </row>
    <row r="16">
      <c r="A16" s="9" t="n">
        <v>2015</v>
      </c>
      <c r="B16" s="9" t="n">
        <v>119</v>
      </c>
      <c r="C16" s="10">
        <f>'Reported'!K17</f>
        <v/>
      </c>
      <c r="D16" s="12" t="n">
        <v>1</v>
      </c>
      <c r="E16" s="10">
        <f>IF(AND(ISNUMBER(C16),ISNUMBER(D16)),C16*D16,"")</f>
        <v/>
      </c>
      <c r="F16" s="10">
        <f>E16-C16</f>
        <v/>
      </c>
      <c r="G16" s="10">
        <f>E16-'Closed CL'!C16</f>
        <v/>
      </c>
    </row>
    <row r="17">
      <c r="A17" s="9" t="n">
        <v>2016</v>
      </c>
      <c r="B17" s="9" t="n">
        <v>107</v>
      </c>
      <c r="C17" s="10">
        <f>'Reported'!J18</f>
        <v/>
      </c>
      <c r="D17" s="12" t="n">
        <v>0.9977</v>
      </c>
      <c r="E17" s="10">
        <f>IF(AND(ISNUMBER(C17),ISNUMBER(D17)),C17*D17,"")</f>
        <v/>
      </c>
      <c r="F17" s="10">
        <f>E17-C17</f>
        <v/>
      </c>
      <c r="G17" s="10">
        <f>E17-'Closed CL'!C17</f>
        <v/>
      </c>
    </row>
    <row r="18">
      <c r="A18" s="9" t="n">
        <v>2017</v>
      </c>
      <c r="B18" s="9" t="n">
        <v>95</v>
      </c>
      <c r="C18" s="10">
        <f>'Reported'!I19</f>
        <v/>
      </c>
      <c r="D18" s="12" t="n">
        <v>0.9977</v>
      </c>
      <c r="E18" s="10">
        <f>IF(AND(ISNUMBER(C18),ISNUMBER(D18)),C18*D18,"")</f>
        <v/>
      </c>
      <c r="F18" s="10">
        <f>E18-C18</f>
        <v/>
      </c>
      <c r="G18" s="10">
        <f>E18-'Closed CL'!C18</f>
        <v/>
      </c>
    </row>
    <row r="19">
      <c r="A19" s="9" t="n">
        <v>2018</v>
      </c>
      <c r="B19" s="9" t="n">
        <v>83</v>
      </c>
      <c r="C19" s="10">
        <f>'Reported'!H20</f>
        <v/>
      </c>
      <c r="D19" s="12" t="n">
        <v>0.99700161</v>
      </c>
      <c r="E19" s="10">
        <f>IF(AND(ISNUMBER(C19),ISNUMBER(D19)),C19*D19,"")</f>
        <v/>
      </c>
      <c r="F19" s="10">
        <f>E19-C19</f>
        <v/>
      </c>
      <c r="G19" s="10">
        <f>E19-'Closed CL'!C19</f>
        <v/>
      </c>
    </row>
    <row r="20">
      <c r="A20" s="9" t="n">
        <v>2019</v>
      </c>
      <c r="B20" s="9" t="n">
        <v>71</v>
      </c>
      <c r="C20" s="10">
        <f>'Reported'!G21</f>
        <v/>
      </c>
      <c r="D20" s="12" t="n">
        <v>0.99700161</v>
      </c>
      <c r="E20" s="10">
        <f>IF(AND(ISNUMBER(C20),ISNUMBER(D20)),C20*D20,"")</f>
        <v/>
      </c>
      <c r="F20" s="10">
        <f>E20-C20</f>
        <v/>
      </c>
      <c r="G20" s="10">
        <f>E20-'Closed CL'!C20</f>
        <v/>
      </c>
    </row>
    <row r="21">
      <c r="A21" s="9" t="n">
        <v>2020</v>
      </c>
      <c r="B21" s="9" t="n">
        <v>59</v>
      </c>
      <c r="C21" s="10">
        <f>'Reported'!F22</f>
        <v/>
      </c>
      <c r="D21" s="12" t="n">
        <v>0.996204008712</v>
      </c>
      <c r="E21" s="10">
        <f>IF(AND(ISNUMBER(C21),ISNUMBER(D21)),C21*D21,"")</f>
        <v/>
      </c>
      <c r="F21" s="10">
        <f>E21-C21</f>
        <v/>
      </c>
      <c r="G21" s="10">
        <f>E21-'Closed CL'!C21</f>
        <v/>
      </c>
    </row>
    <row r="22">
      <c r="A22" s="9" t="n">
        <v>2021</v>
      </c>
      <c r="B22" s="9" t="n">
        <v>47</v>
      </c>
      <c r="C22" s="10">
        <f>'Reported'!E23</f>
        <v/>
      </c>
      <c r="D22" s="12" t="n">
        <v>0.996204008712</v>
      </c>
      <c r="E22" s="10">
        <f>IF(AND(ISNUMBER(C22),ISNUMBER(D22)),C22*D22,"")</f>
        <v/>
      </c>
      <c r="F22" s="10">
        <f>E22-C22</f>
        <v/>
      </c>
      <c r="G22" s="10">
        <f>E22-'Closed CL'!C22</f>
        <v/>
      </c>
    </row>
    <row r="23">
      <c r="A23" s="9" t="n">
        <v>2022</v>
      </c>
      <c r="B23" s="9" t="n">
        <v>35</v>
      </c>
      <c r="C23" s="10">
        <f>'Reported'!D24</f>
        <v/>
      </c>
      <c r="D23" s="12" t="n">
        <v>0.9970009719189695</v>
      </c>
      <c r="E23" s="10">
        <f>IF(AND(ISNUMBER(C23),ISNUMBER(D23)),C23*D23,"")</f>
        <v/>
      </c>
      <c r="F23" s="10">
        <f>E23-C23</f>
        <v/>
      </c>
      <c r="G23" s="10">
        <f>E23-'Closed CL'!C23</f>
        <v/>
      </c>
    </row>
    <row r="24">
      <c r="A24" s="9" t="n">
        <v>2023</v>
      </c>
      <c r="B24" s="9" t="n">
        <v>23</v>
      </c>
      <c r="C24" s="10">
        <f>'Reported'!C25</f>
        <v/>
      </c>
      <c r="D24" s="12" t="n">
        <v>0.9970009719189695</v>
      </c>
      <c r="E24" s="10">
        <f>IF(AND(ISNUMBER(C24),ISNUMBER(D24)),C24*D24,"")</f>
        <v/>
      </c>
      <c r="F24" s="10">
        <f>E24-C24</f>
        <v/>
      </c>
      <c r="G24" s="10">
        <f>E24-'Closed CL'!C24</f>
        <v/>
      </c>
    </row>
    <row r="25">
      <c r="A25" s="9" t="n">
        <v>2024</v>
      </c>
      <c r="B25" s="9" t="n">
        <v>11</v>
      </c>
      <c r="C25" s="10">
        <f>'Reported'!B26</f>
        <v/>
      </c>
      <c r="D25" s="12" t="n">
        <v>1.114647086605408</v>
      </c>
      <c r="E25" s="10">
        <f>IF(AND(ISNUMBER(C25),ISNUMBER(D25)),C25*D25,"")</f>
        <v/>
      </c>
      <c r="F25" s="10">
        <f>E25-C25</f>
        <v/>
      </c>
      <c r="G25" s="10">
        <f>E25-'Closed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Reported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'Reported IE'!D2</f>
        <v/>
      </c>
      <c r="D2" s="13">
        <f>'Reported CL'!D2</f>
        <v/>
      </c>
      <c r="E2" s="14">
        <f>1-(1/D2)</f>
        <v/>
      </c>
      <c r="F2" s="10">
        <f>C2*E2</f>
        <v/>
      </c>
      <c r="G2" s="10">
        <f>'Reported CL'!C2</f>
        <v/>
      </c>
      <c r="H2" s="10">
        <f>F2+G2</f>
        <v/>
      </c>
      <c r="I2" s="10">
        <f>H2-G2</f>
        <v/>
      </c>
      <c r="J2" s="10">
        <f>H2-'Closed CL'!C2</f>
        <v/>
      </c>
    </row>
    <row r="3">
      <c r="A3" s="9" t="n">
        <v>2002</v>
      </c>
      <c r="B3" s="9" t="n">
        <v>275</v>
      </c>
      <c r="C3" s="10">
        <f>'Reported IE'!D3</f>
        <v/>
      </c>
      <c r="D3" s="13">
        <f>'Reported CL'!D3</f>
        <v/>
      </c>
      <c r="E3" s="14">
        <f>1-(1/D3)</f>
        <v/>
      </c>
      <c r="F3" s="10">
        <f>C3*E3</f>
        <v/>
      </c>
      <c r="G3" s="10">
        <f>'Reported CL'!C3</f>
        <v/>
      </c>
      <c r="H3" s="10">
        <f>F3+G3</f>
        <v/>
      </c>
      <c r="I3" s="10">
        <f>H3-G3</f>
        <v/>
      </c>
      <c r="J3" s="10">
        <f>H3-'Closed CL'!C3</f>
        <v/>
      </c>
    </row>
    <row r="4">
      <c r="A4" s="9" t="n">
        <v>2003</v>
      </c>
      <c r="B4" s="9" t="n">
        <v>263</v>
      </c>
      <c r="C4" s="10">
        <f>'Reported IE'!D4</f>
        <v/>
      </c>
      <c r="D4" s="13">
        <f>'Reported CL'!D4</f>
        <v/>
      </c>
      <c r="E4" s="14">
        <f>1-(1/D4)</f>
        <v/>
      </c>
      <c r="F4" s="10">
        <f>C4*E4</f>
        <v/>
      </c>
      <c r="G4" s="10">
        <f>'Reported CL'!C4</f>
        <v/>
      </c>
      <c r="H4" s="10">
        <f>F4+G4</f>
        <v/>
      </c>
      <c r="I4" s="10">
        <f>H4-G4</f>
        <v/>
      </c>
      <c r="J4" s="10">
        <f>H4-'Closed CL'!C4</f>
        <v/>
      </c>
    </row>
    <row r="5">
      <c r="A5" s="9" t="n">
        <v>2004</v>
      </c>
      <c r="B5" s="9" t="n">
        <v>251</v>
      </c>
      <c r="C5" s="10">
        <f>'Reported IE'!D5</f>
        <v/>
      </c>
      <c r="D5" s="13">
        <f>'Reported CL'!D5</f>
        <v/>
      </c>
      <c r="E5" s="14">
        <f>1-(1/D5)</f>
        <v/>
      </c>
      <c r="F5" s="10">
        <f>C5*E5</f>
        <v/>
      </c>
      <c r="G5" s="10">
        <f>'Reported CL'!C5</f>
        <v/>
      </c>
      <c r="H5" s="10">
        <f>F5+G5</f>
        <v/>
      </c>
      <c r="I5" s="10">
        <f>H5-G5</f>
        <v/>
      </c>
      <c r="J5" s="10">
        <f>H5-'Closed CL'!C5</f>
        <v/>
      </c>
    </row>
    <row r="6">
      <c r="A6" s="9" t="n">
        <v>2005</v>
      </c>
      <c r="B6" s="9" t="n">
        <v>239</v>
      </c>
      <c r="C6" s="10">
        <f>'Reported IE'!D6</f>
        <v/>
      </c>
      <c r="D6" s="13">
        <f>'Reported CL'!D6</f>
        <v/>
      </c>
      <c r="E6" s="14">
        <f>1-(1/D6)</f>
        <v/>
      </c>
      <c r="F6" s="10">
        <f>C6*E6</f>
        <v/>
      </c>
      <c r="G6" s="10">
        <f>'Reported CL'!C6</f>
        <v/>
      </c>
      <c r="H6" s="10">
        <f>F6+G6</f>
        <v/>
      </c>
      <c r="I6" s="10">
        <f>H6-G6</f>
        <v/>
      </c>
      <c r="J6" s="10">
        <f>H6-'Closed CL'!C6</f>
        <v/>
      </c>
    </row>
    <row r="7">
      <c r="A7" s="9" t="n">
        <v>2006</v>
      </c>
      <c r="B7" s="9" t="n">
        <v>227</v>
      </c>
      <c r="C7" s="10">
        <f>'Reported IE'!D7</f>
        <v/>
      </c>
      <c r="D7" s="13">
        <f>'Reported CL'!D7</f>
        <v/>
      </c>
      <c r="E7" s="14">
        <f>1-(1/D7)</f>
        <v/>
      </c>
      <c r="F7" s="10">
        <f>C7*E7</f>
        <v/>
      </c>
      <c r="G7" s="10">
        <f>'Reported CL'!C7</f>
        <v/>
      </c>
      <c r="H7" s="10">
        <f>F7+G7</f>
        <v/>
      </c>
      <c r="I7" s="10">
        <f>H7-G7</f>
        <v/>
      </c>
      <c r="J7" s="10">
        <f>H7-'Closed CL'!C7</f>
        <v/>
      </c>
    </row>
    <row r="8">
      <c r="A8" s="9" t="n">
        <v>2007</v>
      </c>
      <c r="B8" s="9" t="n">
        <v>215</v>
      </c>
      <c r="C8" s="10">
        <f>'Reported IE'!D8</f>
        <v/>
      </c>
      <c r="D8" s="13">
        <f>'Reported CL'!D8</f>
        <v/>
      </c>
      <c r="E8" s="14">
        <f>1-(1/D8)</f>
        <v/>
      </c>
      <c r="F8" s="10">
        <f>C8*E8</f>
        <v/>
      </c>
      <c r="G8" s="10">
        <f>'Reported CL'!C8</f>
        <v/>
      </c>
      <c r="H8" s="10">
        <f>F8+G8</f>
        <v/>
      </c>
      <c r="I8" s="10">
        <f>H8-G8</f>
        <v/>
      </c>
      <c r="J8" s="10">
        <f>H8-'Closed CL'!C8</f>
        <v/>
      </c>
    </row>
    <row r="9">
      <c r="A9" s="9" t="n">
        <v>2008</v>
      </c>
      <c r="B9" s="9" t="n">
        <v>203</v>
      </c>
      <c r="C9" s="10">
        <f>'Reported IE'!D9</f>
        <v/>
      </c>
      <c r="D9" s="13">
        <f>'Reported CL'!D9</f>
        <v/>
      </c>
      <c r="E9" s="14">
        <f>1-(1/D9)</f>
        <v/>
      </c>
      <c r="F9" s="10">
        <f>C9*E9</f>
        <v/>
      </c>
      <c r="G9" s="10">
        <f>'Reported CL'!C9</f>
        <v/>
      </c>
      <c r="H9" s="10">
        <f>F9+G9</f>
        <v/>
      </c>
      <c r="I9" s="10">
        <f>H9-G9</f>
        <v/>
      </c>
      <c r="J9" s="10">
        <f>H9-'Closed CL'!C9</f>
        <v/>
      </c>
    </row>
    <row r="10">
      <c r="A10" s="9" t="n">
        <v>2009</v>
      </c>
      <c r="B10" s="9" t="n">
        <v>191</v>
      </c>
      <c r="C10" s="10">
        <f>'Reported IE'!D10</f>
        <v/>
      </c>
      <c r="D10" s="13">
        <f>'Reported CL'!D10</f>
        <v/>
      </c>
      <c r="E10" s="14">
        <f>1-(1/D10)</f>
        <v/>
      </c>
      <c r="F10" s="10">
        <f>C10*E10</f>
        <v/>
      </c>
      <c r="G10" s="10">
        <f>'Reported CL'!C10</f>
        <v/>
      </c>
      <c r="H10" s="10">
        <f>F10+G10</f>
        <v/>
      </c>
      <c r="I10" s="10">
        <f>H10-G10</f>
        <v/>
      </c>
      <c r="J10" s="10">
        <f>H10-'Closed CL'!C10</f>
        <v/>
      </c>
    </row>
    <row r="11">
      <c r="A11" s="9" t="n">
        <v>2010</v>
      </c>
      <c r="B11" s="9" t="n">
        <v>179</v>
      </c>
      <c r="C11" s="10">
        <f>'Reported IE'!D11</f>
        <v/>
      </c>
      <c r="D11" s="13">
        <f>'Reported CL'!D11</f>
        <v/>
      </c>
      <c r="E11" s="14">
        <f>1-(1/D11)</f>
        <v/>
      </c>
      <c r="F11" s="10">
        <f>C11*E11</f>
        <v/>
      </c>
      <c r="G11" s="10">
        <f>'Reported CL'!C11</f>
        <v/>
      </c>
      <c r="H11" s="10">
        <f>F11+G11</f>
        <v/>
      </c>
      <c r="I11" s="10">
        <f>H11-G11</f>
        <v/>
      </c>
      <c r="J11" s="10">
        <f>H11-'Closed CL'!C11</f>
        <v/>
      </c>
    </row>
    <row r="12">
      <c r="A12" s="9" t="n">
        <v>2011</v>
      </c>
      <c r="B12" s="9" t="n">
        <v>167</v>
      </c>
      <c r="C12" s="10">
        <f>'Reported IE'!D12</f>
        <v/>
      </c>
      <c r="D12" s="13">
        <f>'Reported CL'!D12</f>
        <v/>
      </c>
      <c r="E12" s="14">
        <f>1-(1/D12)</f>
        <v/>
      </c>
      <c r="F12" s="10">
        <f>C12*E12</f>
        <v/>
      </c>
      <c r="G12" s="10">
        <f>'Reported CL'!C12</f>
        <v/>
      </c>
      <c r="H12" s="10">
        <f>F12+G12</f>
        <v/>
      </c>
      <c r="I12" s="10">
        <f>H12-G12</f>
        <v/>
      </c>
      <c r="J12" s="10">
        <f>H12-'Closed CL'!C12</f>
        <v/>
      </c>
    </row>
    <row r="13">
      <c r="A13" s="9" t="n">
        <v>2012</v>
      </c>
      <c r="B13" s="9" t="n">
        <v>155</v>
      </c>
      <c r="C13" s="10">
        <f>'Reported IE'!D13</f>
        <v/>
      </c>
      <c r="D13" s="13">
        <f>'Reported CL'!D13</f>
        <v/>
      </c>
      <c r="E13" s="14">
        <f>1-(1/D13)</f>
        <v/>
      </c>
      <c r="F13" s="10">
        <f>C13*E13</f>
        <v/>
      </c>
      <c r="G13" s="10">
        <f>'Reported CL'!C13</f>
        <v/>
      </c>
      <c r="H13" s="10">
        <f>F13+G13</f>
        <v/>
      </c>
      <c r="I13" s="10">
        <f>H13-G13</f>
        <v/>
      </c>
      <c r="J13" s="10">
        <f>H13-'Closed CL'!C13</f>
        <v/>
      </c>
    </row>
    <row r="14">
      <c r="A14" s="9" t="n">
        <v>2013</v>
      </c>
      <c r="B14" s="9" t="n">
        <v>143</v>
      </c>
      <c r="C14" s="10">
        <f>'Reported IE'!D14</f>
        <v/>
      </c>
      <c r="D14" s="13">
        <f>'Reported CL'!D14</f>
        <v/>
      </c>
      <c r="E14" s="14">
        <f>1-(1/D14)</f>
        <v/>
      </c>
      <c r="F14" s="10">
        <f>C14*E14</f>
        <v/>
      </c>
      <c r="G14" s="10">
        <f>'Reported CL'!C14</f>
        <v/>
      </c>
      <c r="H14" s="10">
        <f>F14+G14</f>
        <v/>
      </c>
      <c r="I14" s="10">
        <f>H14-G14</f>
        <v/>
      </c>
      <c r="J14" s="10">
        <f>H14-'Closed CL'!C14</f>
        <v/>
      </c>
    </row>
    <row r="15">
      <c r="A15" s="9" t="n">
        <v>2014</v>
      </c>
      <c r="B15" s="9" t="n">
        <v>131</v>
      </c>
      <c r="C15" s="10">
        <f>'Reported IE'!D15</f>
        <v/>
      </c>
      <c r="D15" s="13">
        <f>'Reported CL'!D15</f>
        <v/>
      </c>
      <c r="E15" s="14">
        <f>1-(1/D15)</f>
        <v/>
      </c>
      <c r="F15" s="10">
        <f>C15*E15</f>
        <v/>
      </c>
      <c r="G15" s="10">
        <f>'Reported CL'!C15</f>
        <v/>
      </c>
      <c r="H15" s="10">
        <f>F15+G15</f>
        <v/>
      </c>
      <c r="I15" s="10">
        <f>H15-G15</f>
        <v/>
      </c>
      <c r="J15" s="10">
        <f>H15-'Closed CL'!C15</f>
        <v/>
      </c>
    </row>
    <row r="16">
      <c r="A16" s="9" t="n">
        <v>2015</v>
      </c>
      <c r="B16" s="9" t="n">
        <v>119</v>
      </c>
      <c r="C16" s="10">
        <f>'Reported IE'!D16</f>
        <v/>
      </c>
      <c r="D16" s="13">
        <f>'Reported CL'!D16</f>
        <v/>
      </c>
      <c r="E16" s="14">
        <f>1-(1/D16)</f>
        <v/>
      </c>
      <c r="F16" s="10">
        <f>C16*E16</f>
        <v/>
      </c>
      <c r="G16" s="10">
        <f>'Reported CL'!C16</f>
        <v/>
      </c>
      <c r="H16" s="10">
        <f>F16+G16</f>
        <v/>
      </c>
      <c r="I16" s="10">
        <f>H16-G16</f>
        <v/>
      </c>
      <c r="J16" s="10">
        <f>H16-'Closed CL'!C16</f>
        <v/>
      </c>
    </row>
    <row r="17">
      <c r="A17" s="9" t="n">
        <v>2016</v>
      </c>
      <c r="B17" s="9" t="n">
        <v>107</v>
      </c>
      <c r="C17" s="10">
        <f>'Reported IE'!D17</f>
        <v/>
      </c>
      <c r="D17" s="13">
        <f>'Reported CL'!D17</f>
        <v/>
      </c>
      <c r="E17" s="14">
        <f>1-(1/D17)</f>
        <v/>
      </c>
      <c r="F17" s="10">
        <f>C17*E17</f>
        <v/>
      </c>
      <c r="G17" s="10">
        <f>'Reported CL'!C17</f>
        <v/>
      </c>
      <c r="H17" s="10">
        <f>F17+G17</f>
        <v/>
      </c>
      <c r="I17" s="10">
        <f>H17-G17</f>
        <v/>
      </c>
      <c r="J17" s="10">
        <f>H17-'Closed CL'!C17</f>
        <v/>
      </c>
    </row>
    <row r="18">
      <c r="A18" s="9" t="n">
        <v>2017</v>
      </c>
      <c r="B18" s="9" t="n">
        <v>95</v>
      </c>
      <c r="C18" s="10">
        <f>'Reported IE'!D18</f>
        <v/>
      </c>
      <c r="D18" s="13">
        <f>'Reported CL'!D18</f>
        <v/>
      </c>
      <c r="E18" s="14">
        <f>1-(1/D18)</f>
        <v/>
      </c>
      <c r="F18" s="10">
        <f>C18*E18</f>
        <v/>
      </c>
      <c r="G18" s="10">
        <f>'Reported CL'!C18</f>
        <v/>
      </c>
      <c r="H18" s="10">
        <f>F18+G18</f>
        <v/>
      </c>
      <c r="I18" s="10">
        <f>H18-G18</f>
        <v/>
      </c>
      <c r="J18" s="10">
        <f>H18-'Closed CL'!C18</f>
        <v/>
      </c>
    </row>
    <row r="19">
      <c r="A19" s="9" t="n">
        <v>2018</v>
      </c>
      <c r="B19" s="9" t="n">
        <v>83</v>
      </c>
      <c r="C19" s="10">
        <f>'Reported IE'!D19</f>
        <v/>
      </c>
      <c r="D19" s="13">
        <f>'Reported CL'!D19</f>
        <v/>
      </c>
      <c r="E19" s="14">
        <f>1-(1/D19)</f>
        <v/>
      </c>
      <c r="F19" s="10">
        <f>C19*E19</f>
        <v/>
      </c>
      <c r="G19" s="10">
        <f>'Reported CL'!C19</f>
        <v/>
      </c>
      <c r="H19" s="10">
        <f>F19+G19</f>
        <v/>
      </c>
      <c r="I19" s="10">
        <f>H19-G19</f>
        <v/>
      </c>
      <c r="J19" s="10">
        <f>H19-'Closed CL'!C19</f>
        <v/>
      </c>
    </row>
    <row r="20">
      <c r="A20" s="9" t="n">
        <v>2019</v>
      </c>
      <c r="B20" s="9" t="n">
        <v>71</v>
      </c>
      <c r="C20" s="10">
        <f>'Reported IE'!D20</f>
        <v/>
      </c>
      <c r="D20" s="13">
        <f>'Reported CL'!D20</f>
        <v/>
      </c>
      <c r="E20" s="14">
        <f>1-(1/D20)</f>
        <v/>
      </c>
      <c r="F20" s="10">
        <f>C20*E20</f>
        <v/>
      </c>
      <c r="G20" s="10">
        <f>'Reported CL'!C20</f>
        <v/>
      </c>
      <c r="H20" s="10">
        <f>F20+G20</f>
        <v/>
      </c>
      <c r="I20" s="10">
        <f>H20-G20</f>
        <v/>
      </c>
      <c r="J20" s="10">
        <f>H20-'Closed CL'!C20</f>
        <v/>
      </c>
    </row>
    <row r="21">
      <c r="A21" s="9" t="n">
        <v>2020</v>
      </c>
      <c r="B21" s="9" t="n">
        <v>59</v>
      </c>
      <c r="C21" s="10">
        <f>'Reported IE'!D21</f>
        <v/>
      </c>
      <c r="D21" s="13">
        <f>'Reported CL'!D21</f>
        <v/>
      </c>
      <c r="E21" s="14">
        <f>1-(1/D21)</f>
        <v/>
      </c>
      <c r="F21" s="10">
        <f>C21*E21</f>
        <v/>
      </c>
      <c r="G21" s="10">
        <f>'Reported CL'!C21</f>
        <v/>
      </c>
      <c r="H21" s="10">
        <f>F21+G21</f>
        <v/>
      </c>
      <c r="I21" s="10">
        <f>H21-G21</f>
        <v/>
      </c>
      <c r="J21" s="10">
        <f>H21-'Closed CL'!C21</f>
        <v/>
      </c>
    </row>
    <row r="22">
      <c r="A22" s="9" t="n">
        <v>2021</v>
      </c>
      <c r="B22" s="9" t="n">
        <v>47</v>
      </c>
      <c r="C22" s="10">
        <f>'Reported IE'!D22</f>
        <v/>
      </c>
      <c r="D22" s="13">
        <f>'Reported CL'!D22</f>
        <v/>
      </c>
      <c r="E22" s="14">
        <f>1-(1/D22)</f>
        <v/>
      </c>
      <c r="F22" s="10">
        <f>C22*E22</f>
        <v/>
      </c>
      <c r="G22" s="10">
        <f>'Reported CL'!C22</f>
        <v/>
      </c>
      <c r="H22" s="10">
        <f>F22+G22</f>
        <v/>
      </c>
      <c r="I22" s="10">
        <f>H22-G22</f>
        <v/>
      </c>
      <c r="J22" s="10">
        <f>H22-'Closed CL'!C22</f>
        <v/>
      </c>
    </row>
    <row r="23">
      <c r="A23" s="9" t="n">
        <v>2022</v>
      </c>
      <c r="B23" s="9" t="n">
        <v>35</v>
      </c>
      <c r="C23" s="10">
        <f>'Reported IE'!D23</f>
        <v/>
      </c>
      <c r="D23" s="13">
        <f>'Reported CL'!D23</f>
        <v/>
      </c>
      <c r="E23" s="14">
        <f>1-(1/D23)</f>
        <v/>
      </c>
      <c r="F23" s="10">
        <f>C23*E23</f>
        <v/>
      </c>
      <c r="G23" s="10">
        <f>'Reported CL'!C23</f>
        <v/>
      </c>
      <c r="H23" s="10">
        <f>F23+G23</f>
        <v/>
      </c>
      <c r="I23" s="10">
        <f>H23-G23</f>
        <v/>
      </c>
      <c r="J23" s="10">
        <f>H23-'Closed CL'!C23</f>
        <v/>
      </c>
    </row>
    <row r="24">
      <c r="A24" s="9" t="n">
        <v>2023</v>
      </c>
      <c r="B24" s="9" t="n">
        <v>23</v>
      </c>
      <c r="C24" s="10">
        <f>'Reported IE'!D24</f>
        <v/>
      </c>
      <c r="D24" s="13">
        <f>'Reported CL'!D24</f>
        <v/>
      </c>
      <c r="E24" s="14">
        <f>1-(1/D24)</f>
        <v/>
      </c>
      <c r="F24" s="10">
        <f>C24*E24</f>
        <v/>
      </c>
      <c r="G24" s="10">
        <f>'Reported CL'!C24</f>
        <v/>
      </c>
      <c r="H24" s="10">
        <f>F24+G24</f>
        <v/>
      </c>
      <c r="I24" s="10">
        <f>H24-G24</f>
        <v/>
      </c>
      <c r="J24" s="10">
        <f>H24-'Closed CL'!C24</f>
        <v/>
      </c>
    </row>
    <row r="25">
      <c r="A25" s="9" t="n">
        <v>2024</v>
      </c>
      <c r="B25" s="9" t="n">
        <v>11</v>
      </c>
      <c r="C25" s="10">
        <f>'Reported IE'!D25</f>
        <v/>
      </c>
      <c r="D25" s="13">
        <f>'Reported CL'!D25</f>
        <v/>
      </c>
      <c r="E25" s="14">
        <f>1-(1/D25)</f>
        <v/>
      </c>
      <c r="F25" s="10">
        <f>C25*E25</f>
        <v/>
      </c>
      <c r="G25" s="10">
        <f>'Reported CL'!C25</f>
        <v/>
      </c>
      <c r="H25" s="10">
        <f>F25+G25</f>
        <v/>
      </c>
      <c r="I25" s="10">
        <f>H25-G25</f>
        <v/>
      </c>
      <c r="J25" s="10">
        <f>H25-'Closed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5" t="inlineStr">
        <is>
          <t>None</t>
        </is>
      </c>
      <c r="C2" s="10">
        <f>'/sessions/eloquent-hopeful-babbage/mnt/sample-run/selections\[Chain Ladder Selections - LDFs.xlsx]Exposure'!B3</f>
        <v/>
      </c>
      <c r="D2" s="15" t="n">
        <v>700.775874480892</v>
      </c>
      <c r="E2" s="13">
        <f>D2/C2</f>
        <v/>
      </c>
    </row>
    <row r="3">
      <c r="A3" s="9" t="n">
        <v>2002</v>
      </c>
      <c r="B3" s="5" t="inlineStr">
        <is>
          <t>None</t>
        </is>
      </c>
      <c r="C3" s="10">
        <f>'/sessions/eloquent-hopeful-babbage/mnt/sample-run/selections\[Chain Ladder Selections - LDFs.xlsx]Exposure'!B4</f>
        <v/>
      </c>
      <c r="D3" s="15" t="n">
        <v>683.1663101357999</v>
      </c>
      <c r="E3" s="13">
        <f>D3/C3</f>
        <v/>
      </c>
    </row>
    <row r="4">
      <c r="A4" s="9" t="n">
        <v>2003</v>
      </c>
      <c r="B4" s="5" t="inlineStr">
        <is>
          <t>None</t>
        </is>
      </c>
      <c r="C4" s="10">
        <f>'/sessions/eloquent-hopeful-babbage/mnt/sample-run/selections\[Chain Ladder Selections - LDFs.xlsx]Exposure'!B5</f>
        <v/>
      </c>
      <c r="D4" s="15" t="n">
        <v>648.4432609290001</v>
      </c>
      <c r="E4" s="13">
        <f>D4/C4</f>
        <v/>
      </c>
    </row>
    <row r="5">
      <c r="A5" s="9" t="n">
        <v>2004</v>
      </c>
      <c r="B5" s="5" t="inlineStr">
        <is>
          <t>None</t>
        </is>
      </c>
      <c r="C5" s="10">
        <f>'/sessions/eloquent-hopeful-babbage/mnt/sample-run/selections\[Chain Ladder Selections - LDFs.xlsx]Exposure'!B6</f>
        <v/>
      </c>
      <c r="D5" s="15" t="n">
        <v>627.83790652</v>
      </c>
      <c r="E5" s="13">
        <f>D5/C5</f>
        <v/>
      </c>
    </row>
    <row r="6">
      <c r="A6" s="9" t="n">
        <v>2005</v>
      </c>
      <c r="B6" s="5" t="inlineStr">
        <is>
          <t>None</t>
        </is>
      </c>
      <c r="C6" s="10">
        <f>'/sessions/eloquent-hopeful-babbage/mnt/sample-run/selections\[Chain Ladder Selections - LDFs.xlsx]Exposure'!B7</f>
        <v/>
      </c>
      <c r="D6" s="15" t="n">
        <v>623.61426984</v>
      </c>
      <c r="E6" s="13">
        <f>D6/C6</f>
        <v/>
      </c>
    </row>
    <row r="7">
      <c r="A7" s="9" t="n">
        <v>2006</v>
      </c>
      <c r="B7" s="5" t="inlineStr">
        <is>
          <t>None</t>
        </is>
      </c>
      <c r="C7" s="10">
        <f>'/sessions/eloquent-hopeful-babbage/mnt/sample-run/selections\[Chain Ladder Selections - LDFs.xlsx]Exposure'!B8</f>
        <v/>
      </c>
      <c r="D7" s="15" t="n">
        <v>606.7448358759</v>
      </c>
      <c r="E7" s="13">
        <f>D7/C7</f>
        <v/>
      </c>
    </row>
    <row r="8">
      <c r="A8" s="9" t="n">
        <v>2007</v>
      </c>
      <c r="B8" s="5" t="inlineStr">
        <is>
          <t>None</t>
        </is>
      </c>
      <c r="C8" s="10">
        <f>'/sessions/eloquent-hopeful-babbage/mnt/sample-run/selections\[Chain Ladder Selections - LDFs.xlsx]Exposure'!B9</f>
        <v/>
      </c>
      <c r="D8" s="15" t="n">
        <v>550.471610298</v>
      </c>
      <c r="E8" s="13">
        <f>D8/C8</f>
        <v/>
      </c>
    </row>
    <row r="9">
      <c r="A9" s="9" t="n">
        <v>2008</v>
      </c>
      <c r="B9" s="5" t="inlineStr">
        <is>
          <t>None</t>
        </is>
      </c>
      <c r="C9" s="10">
        <f>'/sessions/eloquent-hopeful-babbage/mnt/sample-run/selections\[Chain Ladder Selections - LDFs.xlsx]Exposure'!B10</f>
        <v/>
      </c>
      <c r="D9" s="15" t="n">
        <v>444.0969799109999</v>
      </c>
      <c r="E9" s="13">
        <f>D9/C9</f>
        <v/>
      </c>
    </row>
    <row r="10">
      <c r="A10" s="9" t="n">
        <v>2009</v>
      </c>
      <c r="B10" s="5" t="inlineStr">
        <is>
          <t>None</t>
        </is>
      </c>
      <c r="C10" s="10">
        <f>'/sessions/eloquent-hopeful-babbage/mnt/sample-run/selections\[Chain Ladder Selections - LDFs.xlsx]Exposure'!B11</f>
        <v/>
      </c>
      <c r="D10" s="15" t="n">
        <v>384.4019144995</v>
      </c>
      <c r="E10" s="13">
        <f>D10/C10</f>
        <v/>
      </c>
    </row>
    <row r="11">
      <c r="A11" s="9" t="n">
        <v>2010</v>
      </c>
      <c r="B11" s="5" t="inlineStr">
        <is>
          <t>None</t>
        </is>
      </c>
      <c r="C11" s="10">
        <f>'/sessions/eloquent-hopeful-babbage/mnt/sample-run/selections\[Chain Ladder Selections - LDFs.xlsx]Exposure'!B12</f>
        <v/>
      </c>
      <c r="D11" s="15" t="n">
        <v>314.2013025147</v>
      </c>
      <c r="E11" s="13">
        <f>D11/C11</f>
        <v/>
      </c>
    </row>
    <row r="12">
      <c r="A12" s="9" t="n">
        <v>2011</v>
      </c>
      <c r="B12" s="5" t="inlineStr">
        <is>
          <t>None</t>
        </is>
      </c>
      <c r="C12" s="10">
        <f>'/sessions/eloquent-hopeful-babbage/mnt/sample-run/selections\[Chain Ladder Selections - LDFs.xlsx]Exposure'!B13</f>
        <v/>
      </c>
      <c r="D12" s="15" t="n">
        <v>319.3283418408</v>
      </c>
      <c r="E12" s="13">
        <f>D12/C12</f>
        <v/>
      </c>
    </row>
    <row r="13">
      <c r="A13" s="9" t="n">
        <v>2012</v>
      </c>
      <c r="B13" s="5" t="inlineStr">
        <is>
          <t>None</t>
        </is>
      </c>
      <c r="C13" s="10">
        <f>'/sessions/eloquent-hopeful-babbage/mnt/sample-run/selections\[Chain Ladder Selections - LDFs.xlsx]Exposure'!B14</f>
        <v/>
      </c>
      <c r="D13" s="15" t="n">
        <v>298.965375136</v>
      </c>
      <c r="E13" s="13">
        <f>D13/C13</f>
        <v/>
      </c>
    </row>
    <row r="14">
      <c r="A14" s="9" t="n">
        <v>2013</v>
      </c>
      <c r="B14" s="5" t="inlineStr">
        <is>
          <t>None</t>
        </is>
      </c>
      <c r="C14" s="10">
        <f>'/sessions/eloquent-hopeful-babbage/mnt/sample-run/selections\[Chain Ladder Selections - LDFs.xlsx]Exposure'!B15</f>
        <v/>
      </c>
      <c r="D14" s="15" t="n">
        <v>305.7471685908</v>
      </c>
      <c r="E14" s="13">
        <f>D14/C14</f>
        <v/>
      </c>
    </row>
    <row r="15">
      <c r="A15" s="9" t="n">
        <v>2014</v>
      </c>
      <c r="B15" s="5" t="inlineStr">
        <is>
          <t>None</t>
        </is>
      </c>
      <c r="C15" s="10">
        <f>'/sessions/eloquent-hopeful-babbage/mnt/sample-run/selections\[Chain Ladder Selections - LDFs.xlsx]Exposure'!B16</f>
        <v/>
      </c>
      <c r="D15" s="15" t="n">
        <v>341.329398159</v>
      </c>
      <c r="E15" s="13">
        <f>D15/C15</f>
        <v/>
      </c>
    </row>
    <row r="16">
      <c r="A16" s="9" t="n">
        <v>2015</v>
      </c>
      <c r="B16" s="5" t="inlineStr">
        <is>
          <t>None</t>
        </is>
      </c>
      <c r="C16" s="10">
        <f>'/sessions/eloquent-hopeful-babbage/mnt/sample-run/selections\[Chain Ladder Selections - LDFs.xlsx]Exposure'!B17</f>
        <v/>
      </c>
      <c r="D16" s="15" t="n">
        <v>367.358834304</v>
      </c>
      <c r="E16" s="13">
        <f>D16/C16</f>
        <v/>
      </c>
    </row>
    <row r="17">
      <c r="A17" s="9" t="n">
        <v>2016</v>
      </c>
      <c r="B17" s="5" t="inlineStr">
        <is>
          <t>None</t>
        </is>
      </c>
      <c r="C17" s="10">
        <f>'/sessions/eloquent-hopeful-babbage/mnt/sample-run/selections\[Chain Ladder Selections - LDFs.xlsx]Exposure'!B18</f>
        <v/>
      </c>
      <c r="D17" s="15" t="n">
        <v>401.5315549436</v>
      </c>
      <c r="E17" s="13">
        <f>D17/C17</f>
        <v/>
      </c>
    </row>
    <row r="18">
      <c r="A18" s="9" t="n">
        <v>2017</v>
      </c>
      <c r="B18" s="5" t="inlineStr">
        <is>
          <t>None</t>
        </is>
      </c>
      <c r="C18" s="10">
        <f>'/sessions/eloquent-hopeful-babbage/mnt/sample-run/selections\[Chain Ladder Selections - LDFs.xlsx]Exposure'!B19</f>
        <v/>
      </c>
      <c r="D18" s="15" t="n">
        <v>351.797848029</v>
      </c>
      <c r="E18" s="13">
        <f>D18/C18</f>
        <v/>
      </c>
    </row>
    <row r="19">
      <c r="A19" s="9" t="n">
        <v>2018</v>
      </c>
      <c r="B19" s="5" t="inlineStr">
        <is>
          <t>None</t>
        </is>
      </c>
      <c r="C19" s="10">
        <f>'/sessions/eloquent-hopeful-babbage/mnt/sample-run/selections\[Chain Ladder Selections - LDFs.xlsx]Exposure'!B20</f>
        <v/>
      </c>
      <c r="D19" s="15" t="n">
        <v>349.5307063275</v>
      </c>
      <c r="E19" s="13">
        <f>D19/C19</f>
        <v/>
      </c>
    </row>
    <row r="20">
      <c r="A20" s="9" t="n">
        <v>2019</v>
      </c>
      <c r="B20" s="5" t="inlineStr">
        <is>
          <t>None</t>
        </is>
      </c>
      <c r="C20" s="10">
        <f>'/sessions/eloquent-hopeful-babbage/mnt/sample-run/selections\[Chain Ladder Selections - LDFs.xlsx]Exposure'!B21</f>
        <v/>
      </c>
      <c r="D20" s="15" t="n">
        <v>337.5429992505</v>
      </c>
      <c r="E20" s="13">
        <f>D20/C20</f>
        <v/>
      </c>
    </row>
    <row r="21">
      <c r="A21" s="9" t="n">
        <v>2020</v>
      </c>
      <c r="B21" s="5" t="inlineStr">
        <is>
          <t>None</t>
        </is>
      </c>
      <c r="C21" s="10">
        <f>'/sessions/eloquent-hopeful-babbage/mnt/sample-run/selections\[Chain Ladder Selections - LDFs.xlsx]Exposure'!B22</f>
        <v/>
      </c>
      <c r="D21" s="15" t="n">
        <v>358.1209218321</v>
      </c>
      <c r="E21" s="13">
        <f>D21/C21</f>
        <v/>
      </c>
    </row>
    <row r="22">
      <c r="A22" s="9" t="n">
        <v>2021</v>
      </c>
      <c r="B22" s="5" t="inlineStr">
        <is>
          <t>None</t>
        </is>
      </c>
      <c r="C22" s="10">
        <f>'/sessions/eloquent-hopeful-babbage/mnt/sample-run/selections\[Chain Ladder Selections - LDFs.xlsx]Exposure'!B23</f>
        <v/>
      </c>
      <c r="D22" s="15" t="n">
        <v>360.1120188906</v>
      </c>
      <c r="E22" s="13">
        <f>D22/C22</f>
        <v/>
      </c>
    </row>
    <row r="23">
      <c r="A23" s="9" t="n">
        <v>2022</v>
      </c>
      <c r="B23" s="5" t="inlineStr">
        <is>
          <t>None</t>
        </is>
      </c>
      <c r="C23" s="10">
        <f>'/sessions/eloquent-hopeful-babbage/mnt/sample-run/selections\[Chain Ladder Selections - LDFs.xlsx]Exposure'!B24</f>
        <v/>
      </c>
      <c r="D23" s="15" t="n">
        <v>339.9814749044</v>
      </c>
      <c r="E23" s="13">
        <f>D23/C23</f>
        <v/>
      </c>
    </row>
    <row r="24">
      <c r="A24" s="9" t="n">
        <v>2023</v>
      </c>
      <c r="B24" s="5" t="inlineStr">
        <is>
          <t>None</t>
        </is>
      </c>
      <c r="C24" s="10">
        <f>'/sessions/eloquent-hopeful-babbage/mnt/sample-run/selections\[Chain Ladder Selections - LDFs.xlsx]Exposure'!B25</f>
        <v/>
      </c>
      <c r="D24" s="15" t="n">
        <v>317.4343255127</v>
      </c>
      <c r="E24" s="13">
        <f>D24/C24</f>
        <v/>
      </c>
    </row>
    <row r="25">
      <c r="A25" s="9" t="n">
        <v>2024</v>
      </c>
      <c r="B25" s="5" t="inlineStr">
        <is>
          <t>None</t>
        </is>
      </c>
      <c r="C25" s="10">
        <f>'/sessions/eloquent-hopeful-babbage/mnt/sample-run/selections\[Chain Ladder Selections - LDFs.xlsx]Exposure'!B26</f>
        <v/>
      </c>
      <c r="D25" s="15" t="n">
        <v>292.3526117534</v>
      </c>
      <c r="E25" s="13">
        <f>D25/C25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0">
        <f>'/sessions/eloquent-hopeful-babbage/mnt/sample-run/selections\[Chain Ladder Selections - LDFs.xlsx]Exposure'!B3</f>
        <v/>
      </c>
      <c r="D2" s="10">
        <f>'/sessions/eloquent-hopeful-babbage/mnt/sample-run/selections\[Ultimates.xlsx]Counts'!E2</f>
        <v/>
      </c>
      <c r="E2" s="13">
        <f>D2/C2</f>
        <v/>
      </c>
    </row>
    <row r="3">
      <c r="A3" s="9" t="n">
        <v>2002</v>
      </c>
      <c r="B3" s="9" t="n">
        <v>275</v>
      </c>
      <c r="C3" s="10">
        <f>'/sessions/eloquent-hopeful-babbage/mnt/sample-run/selections\[Chain Ladder Selections - LDFs.xlsx]Exposure'!B4</f>
        <v/>
      </c>
      <c r="D3" s="10">
        <f>'/sessions/eloquent-hopeful-babbage/mnt/sample-run/selections\[Ultimates.xlsx]Counts'!E3</f>
        <v/>
      </c>
      <c r="E3" s="13">
        <f>D3/C3</f>
        <v/>
      </c>
    </row>
    <row r="4">
      <c r="A4" s="9" t="n">
        <v>2003</v>
      </c>
      <c r="B4" s="9" t="n">
        <v>263</v>
      </c>
      <c r="C4" s="10">
        <f>'/sessions/eloquent-hopeful-babbage/mnt/sample-run/selections\[Chain Ladder Selections - LDFs.xlsx]Exposure'!B5</f>
        <v/>
      </c>
      <c r="D4" s="10">
        <f>'/sessions/eloquent-hopeful-babbage/mnt/sample-run/selections\[Ultimates.xlsx]Counts'!E4</f>
        <v/>
      </c>
      <c r="E4" s="13">
        <f>D4/C4</f>
        <v/>
      </c>
    </row>
    <row r="5">
      <c r="A5" s="9" t="n">
        <v>2004</v>
      </c>
      <c r="B5" s="9" t="n">
        <v>251</v>
      </c>
      <c r="C5" s="10">
        <f>'/sessions/eloquent-hopeful-babbage/mnt/sample-run/selections\[Chain Ladder Selections - LDFs.xlsx]Exposure'!B6</f>
        <v/>
      </c>
      <c r="D5" s="10">
        <f>'/sessions/eloquent-hopeful-babbage/mnt/sample-run/selections\[Ultimates.xlsx]Counts'!E5</f>
        <v/>
      </c>
      <c r="E5" s="13">
        <f>D5/C5</f>
        <v/>
      </c>
    </row>
    <row r="6">
      <c r="A6" s="9" t="n">
        <v>2005</v>
      </c>
      <c r="B6" s="9" t="n">
        <v>239</v>
      </c>
      <c r="C6" s="10">
        <f>'/sessions/eloquent-hopeful-babbage/mnt/sample-run/selections\[Chain Ladder Selections - LDFs.xlsx]Exposure'!B7</f>
        <v/>
      </c>
      <c r="D6" s="10">
        <f>'/sessions/eloquent-hopeful-babbage/mnt/sample-run/selections\[Ultimates.xlsx]Counts'!E6</f>
        <v/>
      </c>
      <c r="E6" s="13">
        <f>D6/C6</f>
        <v/>
      </c>
    </row>
    <row r="7">
      <c r="A7" s="9" t="n">
        <v>2006</v>
      </c>
      <c r="B7" s="9" t="n">
        <v>227</v>
      </c>
      <c r="C7" s="10">
        <f>'/sessions/eloquent-hopeful-babbage/mnt/sample-run/selections\[Chain Ladder Selections - LDFs.xlsx]Exposure'!B8</f>
        <v/>
      </c>
      <c r="D7" s="10">
        <f>'/sessions/eloquent-hopeful-babbage/mnt/sample-run/selections\[Ultimates.xlsx]Counts'!E7</f>
        <v/>
      </c>
      <c r="E7" s="13">
        <f>D7/C7</f>
        <v/>
      </c>
    </row>
    <row r="8">
      <c r="A8" s="9" t="n">
        <v>2007</v>
      </c>
      <c r="B8" s="9" t="n">
        <v>215</v>
      </c>
      <c r="C8" s="10">
        <f>'/sessions/eloquent-hopeful-babbage/mnt/sample-run/selections\[Chain Ladder Selections - LDFs.xlsx]Exposure'!B9</f>
        <v/>
      </c>
      <c r="D8" s="10">
        <f>'/sessions/eloquent-hopeful-babbage/mnt/sample-run/selections\[Ultimates.xlsx]Counts'!E8</f>
        <v/>
      </c>
      <c r="E8" s="13">
        <f>D8/C8</f>
        <v/>
      </c>
    </row>
    <row r="9">
      <c r="A9" s="9" t="n">
        <v>2008</v>
      </c>
      <c r="B9" s="9" t="n">
        <v>203</v>
      </c>
      <c r="C9" s="10">
        <f>'/sessions/eloquent-hopeful-babbage/mnt/sample-run/selections\[Chain Ladder Selections - LDFs.xlsx]Exposure'!B10</f>
        <v/>
      </c>
      <c r="D9" s="10">
        <f>'/sessions/eloquent-hopeful-babbage/mnt/sample-run/selections\[Ultimates.xlsx]Counts'!E9</f>
        <v/>
      </c>
      <c r="E9" s="13">
        <f>D9/C9</f>
        <v/>
      </c>
    </row>
    <row r="10">
      <c r="A10" s="9" t="n">
        <v>2009</v>
      </c>
      <c r="B10" s="9" t="n">
        <v>191</v>
      </c>
      <c r="C10" s="10">
        <f>'/sessions/eloquent-hopeful-babbage/mnt/sample-run/selections\[Chain Ladder Selections - LDFs.xlsx]Exposure'!B11</f>
        <v/>
      </c>
      <c r="D10" s="10">
        <f>'/sessions/eloquent-hopeful-babbage/mnt/sample-run/selections\[Ultimates.xlsx]Counts'!E10</f>
        <v/>
      </c>
      <c r="E10" s="13">
        <f>D10/C10</f>
        <v/>
      </c>
    </row>
    <row r="11">
      <c r="A11" s="9" t="n">
        <v>2010</v>
      </c>
      <c r="B11" s="9" t="n">
        <v>179</v>
      </c>
      <c r="C11" s="10">
        <f>'/sessions/eloquent-hopeful-babbage/mnt/sample-run/selections\[Chain Ladder Selections - LDFs.xlsx]Exposure'!B12</f>
        <v/>
      </c>
      <c r="D11" s="10">
        <f>'/sessions/eloquent-hopeful-babbage/mnt/sample-run/selections\[Ultimates.xlsx]Counts'!E11</f>
        <v/>
      </c>
      <c r="E11" s="13">
        <f>D11/C11</f>
        <v/>
      </c>
    </row>
    <row r="12">
      <c r="A12" s="9" t="n">
        <v>2011</v>
      </c>
      <c r="B12" s="9" t="n">
        <v>167</v>
      </c>
      <c r="C12" s="10">
        <f>'/sessions/eloquent-hopeful-babbage/mnt/sample-run/selections\[Chain Ladder Selections - LDFs.xlsx]Exposure'!B13</f>
        <v/>
      </c>
      <c r="D12" s="10">
        <f>'/sessions/eloquent-hopeful-babbage/mnt/sample-run/selections\[Ultimates.xlsx]Counts'!E12</f>
        <v/>
      </c>
      <c r="E12" s="13">
        <f>D12/C12</f>
        <v/>
      </c>
    </row>
    <row r="13">
      <c r="A13" s="9" t="n">
        <v>2012</v>
      </c>
      <c r="B13" s="9" t="n">
        <v>155</v>
      </c>
      <c r="C13" s="10">
        <f>'/sessions/eloquent-hopeful-babbage/mnt/sample-run/selections\[Chain Ladder Selections - LDFs.xlsx]Exposure'!B14</f>
        <v/>
      </c>
      <c r="D13" s="10">
        <f>'/sessions/eloquent-hopeful-babbage/mnt/sample-run/selections\[Ultimates.xlsx]Counts'!E13</f>
        <v/>
      </c>
      <c r="E13" s="13">
        <f>D13/C13</f>
        <v/>
      </c>
    </row>
    <row r="14">
      <c r="A14" s="9" t="n">
        <v>2013</v>
      </c>
      <c r="B14" s="9" t="n">
        <v>143</v>
      </c>
      <c r="C14" s="10">
        <f>'/sessions/eloquent-hopeful-babbage/mnt/sample-run/selections\[Chain Ladder Selections - LDFs.xlsx]Exposure'!B15</f>
        <v/>
      </c>
      <c r="D14" s="10">
        <f>'/sessions/eloquent-hopeful-babbage/mnt/sample-run/selections\[Ultimates.xlsx]Counts'!E14</f>
        <v/>
      </c>
      <c r="E14" s="13">
        <f>D14/C14</f>
        <v/>
      </c>
    </row>
    <row r="15">
      <c r="A15" s="9" t="n">
        <v>2014</v>
      </c>
      <c r="B15" s="9" t="n">
        <v>131</v>
      </c>
      <c r="C15" s="10">
        <f>'/sessions/eloquent-hopeful-babbage/mnt/sample-run/selections\[Chain Ladder Selections - LDFs.xlsx]Exposure'!B16</f>
        <v/>
      </c>
      <c r="D15" s="10">
        <f>'/sessions/eloquent-hopeful-babbage/mnt/sample-run/selections\[Ultimates.xlsx]Counts'!E15</f>
        <v/>
      </c>
      <c r="E15" s="13">
        <f>D15/C15</f>
        <v/>
      </c>
    </row>
    <row r="16">
      <c r="A16" s="9" t="n">
        <v>2015</v>
      </c>
      <c r="B16" s="9" t="n">
        <v>119</v>
      </c>
      <c r="C16" s="10">
        <f>'/sessions/eloquent-hopeful-babbage/mnt/sample-run/selections\[Chain Ladder Selections - LDFs.xlsx]Exposure'!B17</f>
        <v/>
      </c>
      <c r="D16" s="10">
        <f>'/sessions/eloquent-hopeful-babbage/mnt/sample-run/selections\[Ultimates.xlsx]Counts'!E16</f>
        <v/>
      </c>
      <c r="E16" s="13">
        <f>D16/C16</f>
        <v/>
      </c>
    </row>
    <row r="17">
      <c r="A17" s="9" t="n">
        <v>2016</v>
      </c>
      <c r="B17" s="9" t="n">
        <v>107</v>
      </c>
      <c r="C17" s="10">
        <f>'/sessions/eloquent-hopeful-babbage/mnt/sample-run/selections\[Chain Ladder Selections - LDFs.xlsx]Exposure'!B18</f>
        <v/>
      </c>
      <c r="D17" s="10">
        <f>'/sessions/eloquent-hopeful-babbage/mnt/sample-run/selections\[Ultimates.xlsx]Counts'!E17</f>
        <v/>
      </c>
      <c r="E17" s="13">
        <f>D17/C17</f>
        <v/>
      </c>
    </row>
    <row r="18">
      <c r="A18" s="9" t="n">
        <v>2017</v>
      </c>
      <c r="B18" s="9" t="n">
        <v>95</v>
      </c>
      <c r="C18" s="10">
        <f>'/sessions/eloquent-hopeful-babbage/mnt/sample-run/selections\[Chain Ladder Selections - LDFs.xlsx]Exposure'!B19</f>
        <v/>
      </c>
      <c r="D18" s="10">
        <f>'/sessions/eloquent-hopeful-babbage/mnt/sample-run/selections\[Ultimates.xlsx]Counts'!E18</f>
        <v/>
      </c>
      <c r="E18" s="13">
        <f>D18/C18</f>
        <v/>
      </c>
    </row>
    <row r="19">
      <c r="A19" s="9" t="n">
        <v>2018</v>
      </c>
      <c r="B19" s="9" t="n">
        <v>83</v>
      </c>
      <c r="C19" s="10">
        <f>'/sessions/eloquent-hopeful-babbage/mnt/sample-run/selections\[Chain Ladder Selections - LDFs.xlsx]Exposure'!B20</f>
        <v/>
      </c>
      <c r="D19" s="10">
        <f>'/sessions/eloquent-hopeful-babbage/mnt/sample-run/selections\[Ultimates.xlsx]Counts'!E19</f>
        <v/>
      </c>
      <c r="E19" s="13">
        <f>D19/C19</f>
        <v/>
      </c>
    </row>
    <row r="20">
      <c r="A20" s="9" t="n">
        <v>2019</v>
      </c>
      <c r="B20" s="9" t="n">
        <v>71</v>
      </c>
      <c r="C20" s="10">
        <f>'/sessions/eloquent-hopeful-babbage/mnt/sample-run/selections\[Chain Ladder Selections - LDFs.xlsx]Exposure'!B21</f>
        <v/>
      </c>
      <c r="D20" s="10">
        <f>'/sessions/eloquent-hopeful-babbage/mnt/sample-run/selections\[Ultimates.xlsx]Counts'!E20</f>
        <v/>
      </c>
      <c r="E20" s="13">
        <f>D20/C20</f>
        <v/>
      </c>
    </row>
    <row r="21">
      <c r="A21" s="9" t="n">
        <v>2020</v>
      </c>
      <c r="B21" s="9" t="n">
        <v>59</v>
      </c>
      <c r="C21" s="10">
        <f>'/sessions/eloquent-hopeful-babbage/mnt/sample-run/selections\[Chain Ladder Selections - LDFs.xlsx]Exposure'!B22</f>
        <v/>
      </c>
      <c r="D21" s="10">
        <f>'/sessions/eloquent-hopeful-babbage/mnt/sample-run/selections\[Ultimates.xlsx]Counts'!E21</f>
        <v/>
      </c>
      <c r="E21" s="13">
        <f>D21/C21</f>
        <v/>
      </c>
    </row>
    <row r="22">
      <c r="A22" s="9" t="n">
        <v>2021</v>
      </c>
      <c r="B22" s="9" t="n">
        <v>47</v>
      </c>
      <c r="C22" s="10">
        <f>'/sessions/eloquent-hopeful-babbage/mnt/sample-run/selections\[Chain Ladder Selections - LDFs.xlsx]Exposure'!B23</f>
        <v/>
      </c>
      <c r="D22" s="10">
        <f>'/sessions/eloquent-hopeful-babbage/mnt/sample-run/selections\[Ultimates.xlsx]Counts'!E22</f>
        <v/>
      </c>
      <c r="E22" s="13">
        <f>D22/C22</f>
        <v/>
      </c>
    </row>
    <row r="23">
      <c r="A23" s="9" t="n">
        <v>2022</v>
      </c>
      <c r="B23" s="9" t="n">
        <v>35</v>
      </c>
      <c r="C23" s="10">
        <f>'/sessions/eloquent-hopeful-babbage/mnt/sample-run/selections\[Chain Ladder Selections - LDFs.xlsx]Exposure'!B24</f>
        <v/>
      </c>
      <c r="D23" s="10">
        <f>'/sessions/eloquent-hopeful-babbage/mnt/sample-run/selections\[Ultimates.xlsx]Counts'!E23</f>
        <v/>
      </c>
      <c r="E23" s="13">
        <f>D23/C23</f>
        <v/>
      </c>
    </row>
    <row r="24">
      <c r="A24" s="9" t="n">
        <v>2023</v>
      </c>
      <c r="B24" s="9" t="n">
        <v>23</v>
      </c>
      <c r="C24" s="10">
        <f>'/sessions/eloquent-hopeful-babbage/mnt/sample-run/selections\[Chain Ladder Selections - LDFs.xlsx]Exposure'!B25</f>
        <v/>
      </c>
      <c r="D24" s="10">
        <f>'/sessions/eloquent-hopeful-babbage/mnt/sample-run/selections\[Ultimates.xlsx]Counts'!E24</f>
        <v/>
      </c>
      <c r="E24" s="13">
        <f>D24/C24</f>
        <v/>
      </c>
    </row>
    <row r="25">
      <c r="A25" s="9" t="n">
        <v>2024</v>
      </c>
      <c r="B25" s="9" t="n">
        <v>11</v>
      </c>
      <c r="C25" s="10">
        <f>'/sessions/eloquent-hopeful-babbage/mnt/sample-run/selections\[Chain Ladder Selections - LDFs.xlsx]Exposure'!B26</f>
        <v/>
      </c>
      <c r="D25" s="10">
        <f>'/sessions/eloquent-hopeful-babbage/mnt/sample-run/selections\[Ultimates.xlsx]Counts'!E25</f>
        <v/>
      </c>
      <c r="E25" s="13">
        <f>D25/C25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</row>
    <row r="3">
      <c r="A3" s="18" t="inlineStr">
        <is>
          <t>2001</t>
        </is>
      </c>
      <c r="B3" s="19" t="n">
        <v>567331.6692</v>
      </c>
      <c r="C3" s="19" t="n">
        <v>1554404.3456</v>
      </c>
      <c r="D3" s="19" t="n">
        <v>1902287.8544</v>
      </c>
      <c r="E3" s="19" t="n">
        <v>2093441.1516</v>
      </c>
      <c r="F3" s="19" t="n">
        <v>2250668.8524</v>
      </c>
      <c r="G3" s="19" t="n">
        <v>2402988.1558</v>
      </c>
      <c r="H3" s="19" t="n">
        <v>2397333.5643</v>
      </c>
      <c r="I3" s="19" t="n">
        <v>2419690.9269</v>
      </c>
      <c r="J3" s="19" t="n">
        <v>2437307.5869</v>
      </c>
      <c r="K3" s="19" t="n">
        <v>2457834.4795</v>
      </c>
      <c r="L3" s="19" t="n">
        <v>2510536.374</v>
      </c>
      <c r="M3" s="19" t="n">
        <v>2562761.5102</v>
      </c>
      <c r="N3" s="19" t="n">
        <v>2559991.01</v>
      </c>
      <c r="O3" s="19" t="n">
        <v>2618542.6253</v>
      </c>
      <c r="P3" s="19" t="n">
        <v>2663167.8948</v>
      </c>
      <c r="Q3" s="19" t="n">
        <v>2804776.81</v>
      </c>
      <c r="R3" s="19" t="n">
        <v>2871037.8848</v>
      </c>
    </row>
    <row r="4">
      <c r="A4" s="18" t="inlineStr">
        <is>
          <t>2002</t>
        </is>
      </c>
      <c r="B4" s="19" t="n">
        <v>927838.4716</v>
      </c>
      <c r="C4" s="19" t="n">
        <v>1327207.494</v>
      </c>
      <c r="D4" s="19" t="n">
        <v>1342822.3208</v>
      </c>
      <c r="E4" s="19" t="n">
        <v>1604244.318</v>
      </c>
      <c r="F4" s="19" t="n">
        <v>1625395.9885</v>
      </c>
      <c r="G4" s="19" t="n">
        <v>1727293.4023</v>
      </c>
      <c r="H4" s="19" t="n">
        <v>1760101.2711</v>
      </c>
      <c r="I4" s="19" t="n">
        <v>1760466.7343</v>
      </c>
      <c r="J4" s="19" t="n">
        <v>1799039.5397</v>
      </c>
      <c r="K4" s="19" t="n">
        <v>1816376.1146</v>
      </c>
      <c r="L4" s="19" t="n">
        <v>1835002.2026</v>
      </c>
      <c r="M4" s="19" t="n">
        <v>1897241.704</v>
      </c>
      <c r="N4" s="19" t="n">
        <v>1899757.6006</v>
      </c>
      <c r="O4" s="19" t="n">
        <v>1975947.9264</v>
      </c>
      <c r="P4" s="19" t="n">
        <v>2028039.1364</v>
      </c>
      <c r="Q4" s="19" t="n">
        <v>2057884.5296</v>
      </c>
      <c r="R4" s="19" t="n">
        <v>2166744.7601</v>
      </c>
    </row>
    <row r="5">
      <c r="A5" s="18" t="inlineStr">
        <is>
          <t>2003</t>
        </is>
      </c>
      <c r="B5" s="19" t="n">
        <v>1009363.3596</v>
      </c>
      <c r="C5" s="19" t="n">
        <v>1458693.7576</v>
      </c>
      <c r="D5" s="19" t="n">
        <v>1578930.4312</v>
      </c>
      <c r="E5" s="19" t="n">
        <v>1876931.173</v>
      </c>
      <c r="F5" s="19" t="n">
        <v>1703633.0403</v>
      </c>
      <c r="G5" s="19" t="n">
        <v>1819224.3524</v>
      </c>
      <c r="H5" s="19" t="n">
        <v>1814195.5019</v>
      </c>
      <c r="I5" s="19" t="n">
        <v>1800500.416</v>
      </c>
      <c r="J5" s="19" t="n">
        <v>1797139.9227</v>
      </c>
      <c r="K5" s="19" t="n">
        <v>1801084.8669</v>
      </c>
      <c r="L5" s="19" t="n">
        <v>1797322.9116</v>
      </c>
      <c r="M5" s="19" t="n">
        <v>1783419.2233</v>
      </c>
      <c r="N5" s="19" t="n">
        <v>1774330.2012</v>
      </c>
      <c r="O5" s="19" t="n">
        <v>1774330.1088</v>
      </c>
      <c r="P5" s="19" t="n">
        <v>1774330.1088</v>
      </c>
      <c r="Q5" s="19" t="n">
        <v>1774330.1088</v>
      </c>
      <c r="R5" s="19" t="n">
        <v>1778091.5758</v>
      </c>
    </row>
    <row r="6">
      <c r="A6" s="18" t="inlineStr">
        <is>
          <t>2004</t>
        </is>
      </c>
      <c r="B6" s="19" t="n">
        <v>706990.2156</v>
      </c>
      <c r="C6" s="19" t="n">
        <v>807081.8756</v>
      </c>
      <c r="D6" s="19" t="n">
        <v>891146.7297</v>
      </c>
      <c r="E6" s="19" t="n">
        <v>933370.1028</v>
      </c>
      <c r="F6" s="19" t="n">
        <v>1055143.9785</v>
      </c>
      <c r="G6" s="19" t="n">
        <v>1061000.4688</v>
      </c>
      <c r="H6" s="19" t="n">
        <v>1080582.0132</v>
      </c>
      <c r="I6" s="19" t="n">
        <v>1088885.0684</v>
      </c>
      <c r="J6" s="19" t="n">
        <v>1114748.9381</v>
      </c>
      <c r="K6" s="19" t="n">
        <v>1104800.7904</v>
      </c>
      <c r="L6" s="19" t="n">
        <v>1130298.0224</v>
      </c>
      <c r="M6" s="19" t="n">
        <v>1117525.6932</v>
      </c>
      <c r="N6" s="19" t="n">
        <v>1117975.6768</v>
      </c>
      <c r="O6" s="19" t="n">
        <v>1118300.2984</v>
      </c>
      <c r="P6" s="19" t="n">
        <v>1118299.6782</v>
      </c>
      <c r="Q6" s="19" t="n">
        <v>1122581.0808</v>
      </c>
      <c r="R6" s="19" t="n">
        <v>1122581.0808</v>
      </c>
    </row>
    <row r="7">
      <c r="A7" s="18" t="inlineStr">
        <is>
          <t>2005</t>
        </is>
      </c>
      <c r="B7" s="19" t="n">
        <v>1249691.5508</v>
      </c>
      <c r="C7" s="19" t="n">
        <v>1628221.9514</v>
      </c>
      <c r="D7" s="19" t="n">
        <v>1779408.0616</v>
      </c>
      <c r="E7" s="19" t="n">
        <v>1735781.5973</v>
      </c>
      <c r="F7" s="19" t="n">
        <v>1800284.1468</v>
      </c>
      <c r="G7" s="19" t="n">
        <v>1829678.4347</v>
      </c>
      <c r="H7" s="19" t="n">
        <v>1866913.7991</v>
      </c>
      <c r="I7" s="19" t="n">
        <v>1877458.5247</v>
      </c>
      <c r="J7" s="19" t="n">
        <v>1901705.9108</v>
      </c>
      <c r="K7" s="19" t="n">
        <v>1953626.9848</v>
      </c>
      <c r="L7" s="19" t="n">
        <v>1976524.5916</v>
      </c>
      <c r="M7" s="19" t="n">
        <v>2212537.6908</v>
      </c>
      <c r="N7" s="19" t="n">
        <v>2212549.5672</v>
      </c>
      <c r="O7" s="19" t="n">
        <v>2171748.9472</v>
      </c>
      <c r="P7" s="19" t="n">
        <v>2193366.7399</v>
      </c>
      <c r="Q7" s="19" t="n">
        <v>2208705.4536</v>
      </c>
      <c r="R7" s="19" t="n">
        <v>2242149.1321</v>
      </c>
    </row>
    <row r="8">
      <c r="A8" s="18" t="inlineStr">
        <is>
          <t>2006</t>
        </is>
      </c>
      <c r="B8" s="19" t="n">
        <v>765985.3353</v>
      </c>
      <c r="C8" s="19" t="n">
        <v>1158099.949</v>
      </c>
      <c r="D8" s="19" t="n">
        <v>1006637.0924</v>
      </c>
      <c r="E8" s="19" t="n">
        <v>1076536.2516</v>
      </c>
      <c r="F8" s="19" t="n">
        <v>1086240.5108</v>
      </c>
      <c r="G8" s="19" t="n">
        <v>1141033.2455</v>
      </c>
      <c r="H8" s="19" t="n">
        <v>1191316.1021</v>
      </c>
      <c r="I8" s="19" t="n">
        <v>1169378.0556</v>
      </c>
      <c r="J8" s="19" t="n">
        <v>1199839.2137</v>
      </c>
      <c r="K8" s="19" t="n">
        <v>1244365.6452</v>
      </c>
      <c r="L8" s="19" t="n">
        <v>1347851.3164</v>
      </c>
      <c r="M8" s="19" t="n">
        <v>1428877.3956</v>
      </c>
      <c r="N8" s="19" t="n">
        <v>1468194.3366</v>
      </c>
      <c r="O8" s="19" t="n">
        <v>1484004.1739</v>
      </c>
      <c r="P8" s="19" t="n">
        <v>1484861.9139</v>
      </c>
      <c r="Q8" s="19" t="n">
        <v>1502016.7139</v>
      </c>
      <c r="R8" s="19" t="n">
        <v>1506635.3139</v>
      </c>
    </row>
    <row r="9">
      <c r="A9" s="18" t="inlineStr">
        <is>
          <t>2007</t>
        </is>
      </c>
      <c r="B9" s="19" t="n">
        <v>1724656.8811</v>
      </c>
      <c r="C9" s="19" t="n">
        <v>1877762.5606</v>
      </c>
      <c r="D9" s="19" t="n">
        <v>2045106.7768</v>
      </c>
      <c r="E9" s="19" t="n">
        <v>2291428.8419</v>
      </c>
      <c r="F9" s="19" t="n">
        <v>2554191.4604</v>
      </c>
      <c r="G9" s="19" t="n">
        <v>3049073.7774</v>
      </c>
      <c r="H9" s="19" t="n">
        <v>3243034.4444</v>
      </c>
      <c r="I9" s="19" t="n">
        <v>3598222.0844</v>
      </c>
      <c r="J9" s="19" t="n">
        <v>3855992.6032</v>
      </c>
      <c r="K9" s="19" t="n">
        <v>4247900.6072</v>
      </c>
      <c r="L9" s="19" t="n">
        <v>4378240.1384</v>
      </c>
      <c r="M9" s="19" t="n">
        <v>4504737.6146</v>
      </c>
      <c r="N9" s="19" t="n">
        <v>4577330.1566</v>
      </c>
      <c r="O9" s="19" t="n">
        <v>4581600.0523</v>
      </c>
      <c r="P9" s="19" t="n">
        <v>4781468.7005</v>
      </c>
      <c r="Q9" s="19" t="n">
        <v>4781468.7005</v>
      </c>
      <c r="R9" s="19" t="n">
        <v>4798643.3473</v>
      </c>
    </row>
    <row r="10">
      <c r="A10" s="18" t="inlineStr">
        <is>
          <t>2008</t>
        </is>
      </c>
      <c r="B10" s="19" t="n">
        <v>556352.8875</v>
      </c>
      <c r="C10" s="19" t="n">
        <v>770915.0442</v>
      </c>
      <c r="D10" s="19" t="n">
        <v>933165.8683</v>
      </c>
      <c r="E10" s="19" t="n">
        <v>1298006.7782</v>
      </c>
      <c r="F10" s="19" t="n">
        <v>1258119.1102</v>
      </c>
      <c r="G10" s="19" t="n">
        <v>1279315.2512</v>
      </c>
      <c r="H10" s="19" t="n">
        <v>1286243.9166</v>
      </c>
      <c r="I10" s="19" t="n">
        <v>1303173.6192</v>
      </c>
      <c r="J10" s="19" t="n">
        <v>1310621.4416</v>
      </c>
      <c r="K10" s="19" t="n">
        <v>1356059.2284</v>
      </c>
      <c r="L10" s="19" t="n">
        <v>1362732.0233</v>
      </c>
      <c r="M10" s="19" t="n">
        <v>1362957.0151</v>
      </c>
      <c r="N10" s="19" t="n">
        <v>1343109.2414</v>
      </c>
      <c r="O10" s="19" t="n">
        <v>1343439.1414</v>
      </c>
      <c r="P10" s="19" t="n">
        <v>1343439.1414</v>
      </c>
      <c r="Q10" s="19" t="n">
        <v>1350037.1414</v>
      </c>
      <c r="R10" s="19" t="n">
        <v>1378427.9395</v>
      </c>
    </row>
    <row r="11">
      <c r="A11" s="18" t="inlineStr">
        <is>
          <t>2009</t>
        </is>
      </c>
      <c r="B11" s="19" t="n">
        <v>357480.3922</v>
      </c>
      <c r="C11" s="19" t="n">
        <v>872537.4534</v>
      </c>
      <c r="D11" s="19" t="n">
        <v>822240.0416</v>
      </c>
      <c r="E11" s="19" t="n">
        <v>842753.923</v>
      </c>
      <c r="F11" s="19" t="n">
        <v>898761.0856</v>
      </c>
      <c r="G11" s="19" t="n">
        <v>944889.6302</v>
      </c>
      <c r="H11" s="19" t="n">
        <v>979272.5208000001</v>
      </c>
      <c r="I11" s="19" t="n">
        <v>1120353.596</v>
      </c>
      <c r="J11" s="19" t="n">
        <v>1120360.194</v>
      </c>
      <c r="K11" s="19" t="n">
        <v>1120361.8963</v>
      </c>
      <c r="L11" s="19" t="n">
        <v>1120361.8963</v>
      </c>
      <c r="M11" s="19" t="n">
        <v>1135537.2963</v>
      </c>
      <c r="N11" s="19" t="n">
        <v>1169581.0893</v>
      </c>
      <c r="O11" s="19" t="n">
        <v>1169581.0893</v>
      </c>
      <c r="P11" s="19" t="n">
        <v>1169581.0893</v>
      </c>
      <c r="Q11" s="19" t="n">
        <v>1169581.0893</v>
      </c>
    </row>
    <row r="12">
      <c r="A12" s="18" t="inlineStr">
        <is>
          <t>2010</t>
        </is>
      </c>
      <c r="B12" s="19" t="n">
        <v>360030.44</v>
      </c>
      <c r="C12" s="19" t="n">
        <v>730590.3643</v>
      </c>
      <c r="D12" s="19" t="n">
        <v>951322.0996</v>
      </c>
      <c r="E12" s="19" t="n">
        <v>1105337.8676</v>
      </c>
      <c r="F12" s="19" t="n">
        <v>1236185.7351</v>
      </c>
      <c r="G12" s="19" t="n">
        <v>1222899.712</v>
      </c>
      <c r="H12" s="19" t="n">
        <v>1271367.3004</v>
      </c>
      <c r="I12" s="19" t="n">
        <v>1272863.7268</v>
      </c>
      <c r="J12" s="19" t="n">
        <v>1266822.057</v>
      </c>
      <c r="K12" s="19" t="n">
        <v>1267621.5366</v>
      </c>
      <c r="L12" s="19" t="n">
        <v>1268616.515</v>
      </c>
      <c r="M12" s="19" t="n">
        <v>1268690.4126</v>
      </c>
      <c r="N12" s="19" t="n">
        <v>1270339.9126</v>
      </c>
      <c r="O12" s="19" t="n">
        <v>1270069.2627</v>
      </c>
      <c r="P12" s="19" t="n">
        <v>1277672.0721</v>
      </c>
    </row>
    <row r="13">
      <c r="A13" s="18" t="inlineStr">
        <is>
          <t>2011</t>
        </is>
      </c>
      <c r="B13" s="19" t="n">
        <v>454047.3346</v>
      </c>
      <c r="C13" s="19" t="n">
        <v>886919.7606</v>
      </c>
      <c r="D13" s="19" t="n">
        <v>1308017.8708</v>
      </c>
      <c r="E13" s="19" t="n">
        <v>1510353.973</v>
      </c>
      <c r="F13" s="19" t="n">
        <v>1611539.0668</v>
      </c>
      <c r="G13" s="19" t="n">
        <v>1740504.8944</v>
      </c>
      <c r="H13" s="19" t="n">
        <v>1836702.4148</v>
      </c>
      <c r="I13" s="19" t="n">
        <v>1836817.6951</v>
      </c>
      <c r="J13" s="19" t="n">
        <v>1862143.4583</v>
      </c>
      <c r="K13" s="19" t="n">
        <v>1869290.4119</v>
      </c>
      <c r="L13" s="19" t="n">
        <v>1921985.9327</v>
      </c>
      <c r="M13" s="19" t="n">
        <v>1916081.5804</v>
      </c>
      <c r="N13" s="19" t="n">
        <v>1916081.5804</v>
      </c>
      <c r="O13" s="19" t="n">
        <v>1916081.5804</v>
      </c>
    </row>
    <row r="14">
      <c r="A14" s="18" t="inlineStr">
        <is>
          <t>2012</t>
        </is>
      </c>
      <c r="B14" s="19" t="n">
        <v>335887.1044</v>
      </c>
      <c r="C14" s="19" t="n">
        <v>682490.522</v>
      </c>
      <c r="D14" s="19" t="n">
        <v>892010.9489</v>
      </c>
      <c r="E14" s="19" t="n">
        <v>969399.2736</v>
      </c>
      <c r="F14" s="19" t="n">
        <v>966369.472</v>
      </c>
      <c r="G14" s="19" t="n">
        <v>974833.3864</v>
      </c>
      <c r="H14" s="19" t="n">
        <v>978738.6634</v>
      </c>
      <c r="I14" s="19" t="n">
        <v>1029196.2086</v>
      </c>
      <c r="J14" s="19" t="n">
        <v>1086698.5968</v>
      </c>
      <c r="K14" s="19" t="n">
        <v>1148149.3733</v>
      </c>
      <c r="L14" s="19" t="n">
        <v>1156726.7733</v>
      </c>
      <c r="M14" s="19" t="n">
        <v>1363753.3805</v>
      </c>
      <c r="N14" s="19" t="n">
        <v>1363753.3805</v>
      </c>
    </row>
    <row r="15">
      <c r="A15" s="18" t="inlineStr">
        <is>
          <t>2013</t>
        </is>
      </c>
      <c r="B15" s="19" t="n">
        <v>279096.7196</v>
      </c>
      <c r="C15" s="19" t="n">
        <v>509656.1495</v>
      </c>
      <c r="D15" s="19" t="n">
        <v>554121.1536</v>
      </c>
      <c r="E15" s="19" t="n">
        <v>668048.8196</v>
      </c>
      <c r="F15" s="19" t="n">
        <v>708646.3136</v>
      </c>
      <c r="G15" s="19" t="n">
        <v>706804.6403</v>
      </c>
      <c r="H15" s="19" t="n">
        <v>707153.1202</v>
      </c>
      <c r="I15" s="19" t="n">
        <v>707153.1202</v>
      </c>
      <c r="J15" s="19" t="n">
        <v>708518.7743</v>
      </c>
      <c r="K15" s="19" t="n">
        <v>708518.7743</v>
      </c>
      <c r="L15" s="19" t="n">
        <v>708529.9909</v>
      </c>
      <c r="M15" s="19" t="n">
        <v>708529.9909</v>
      </c>
    </row>
    <row r="16">
      <c r="A16" s="18" t="inlineStr">
        <is>
          <t>2014</t>
        </is>
      </c>
      <c r="B16" s="19" t="n">
        <v>579453.8975</v>
      </c>
      <c r="C16" s="19" t="n">
        <v>791674.226</v>
      </c>
      <c r="D16" s="19" t="n">
        <v>1117488.7444</v>
      </c>
      <c r="E16" s="19" t="n">
        <v>1292116.6908</v>
      </c>
      <c r="F16" s="19" t="n">
        <v>1310589.9427</v>
      </c>
      <c r="G16" s="19" t="n">
        <v>1355751.9331</v>
      </c>
      <c r="H16" s="19" t="n">
        <v>1316935.0942</v>
      </c>
      <c r="I16" s="19" t="n">
        <v>1316935.0942</v>
      </c>
      <c r="J16" s="19" t="n">
        <v>1371038.6942</v>
      </c>
      <c r="K16" s="19" t="n">
        <v>1399322.0241</v>
      </c>
      <c r="L16" s="19" t="n">
        <v>1389603.6847</v>
      </c>
    </row>
    <row r="17">
      <c r="A17" s="18" t="inlineStr">
        <is>
          <t>2015</t>
        </is>
      </c>
      <c r="B17" s="19" t="n">
        <v>538066.9</v>
      </c>
      <c r="C17" s="19" t="n">
        <v>1068443.1712</v>
      </c>
      <c r="D17" s="19" t="n">
        <v>1605602.1864</v>
      </c>
      <c r="E17" s="19" t="n">
        <v>2133023.2398</v>
      </c>
      <c r="F17" s="19" t="n">
        <v>2358964.558</v>
      </c>
      <c r="G17" s="19" t="n">
        <v>2680270.1351</v>
      </c>
      <c r="H17" s="19" t="n">
        <v>3055333.4055</v>
      </c>
      <c r="I17" s="19" t="n">
        <v>3076051.1255</v>
      </c>
      <c r="J17" s="19" t="n">
        <v>3086205.1704</v>
      </c>
      <c r="K17" s="19" t="n">
        <v>3382963.2581</v>
      </c>
    </row>
    <row r="18">
      <c r="A18" s="18" t="inlineStr">
        <is>
          <t>2016</t>
        </is>
      </c>
      <c r="B18" s="19" t="n">
        <v>687801.912</v>
      </c>
      <c r="C18" s="19" t="n">
        <v>1285960.7568</v>
      </c>
      <c r="D18" s="19" t="n">
        <v>1733469.988</v>
      </c>
      <c r="E18" s="19" t="n">
        <v>1884267.6211</v>
      </c>
      <c r="F18" s="19" t="n">
        <v>2152415.9626</v>
      </c>
      <c r="G18" s="19" t="n">
        <v>2220417.4843</v>
      </c>
      <c r="H18" s="19" t="n">
        <v>2503620.4692</v>
      </c>
      <c r="I18" s="19" t="n">
        <v>2503024.6434</v>
      </c>
      <c r="J18" s="19" t="n">
        <v>2506323.6434</v>
      </c>
    </row>
    <row r="19">
      <c r="A19" s="18" t="inlineStr">
        <is>
          <t>2017</t>
        </is>
      </c>
      <c r="B19" s="19" t="n">
        <v>461326.8816</v>
      </c>
      <c r="C19" s="19" t="n">
        <v>614872.6873</v>
      </c>
      <c r="D19" s="19" t="n">
        <v>635999.2061</v>
      </c>
      <c r="E19" s="19" t="n">
        <v>832770.2121</v>
      </c>
      <c r="F19" s="19" t="n">
        <v>895289.4819</v>
      </c>
      <c r="G19" s="19" t="n">
        <v>1014108.2981</v>
      </c>
      <c r="H19" s="19" t="n">
        <v>1168952.8937</v>
      </c>
      <c r="I19" s="19" t="n">
        <v>1205811.8289</v>
      </c>
    </row>
    <row r="20">
      <c r="A20" s="18" t="inlineStr">
        <is>
          <t>2018</t>
        </is>
      </c>
      <c r="B20" s="19" t="n">
        <v>507983.8204</v>
      </c>
      <c r="C20" s="19" t="n">
        <v>1168067.9171</v>
      </c>
      <c r="D20" s="19" t="n">
        <v>1668858.2021</v>
      </c>
      <c r="E20" s="19" t="n">
        <v>2316819.635</v>
      </c>
      <c r="F20" s="19" t="n">
        <v>2303518.1066</v>
      </c>
      <c r="G20" s="19" t="n">
        <v>2333675.3477</v>
      </c>
      <c r="H20" s="19" t="n">
        <v>2395448.4233</v>
      </c>
    </row>
    <row r="21">
      <c r="A21" s="18" t="inlineStr">
        <is>
          <t>2019</t>
        </is>
      </c>
      <c r="B21" s="19" t="n">
        <v>407914.8312</v>
      </c>
      <c r="C21" s="19" t="n">
        <v>1124607.0627</v>
      </c>
      <c r="D21" s="19" t="n">
        <v>1740054.5413</v>
      </c>
      <c r="E21" s="19" t="n">
        <v>2000563.0454</v>
      </c>
      <c r="F21" s="19" t="n">
        <v>2127378.6904</v>
      </c>
      <c r="G21" s="19" t="n">
        <v>2599882.8743</v>
      </c>
    </row>
    <row r="22">
      <c r="A22" s="18" t="inlineStr">
        <is>
          <t>2020</t>
        </is>
      </c>
      <c r="B22" s="19" t="n">
        <v>522102.6035</v>
      </c>
      <c r="C22" s="19" t="n">
        <v>931915.5209999999</v>
      </c>
      <c r="D22" s="19" t="n">
        <v>916291.8001</v>
      </c>
      <c r="E22" s="19" t="n">
        <v>969468.3019</v>
      </c>
      <c r="F22" s="19" t="n">
        <v>978899.5095</v>
      </c>
    </row>
    <row r="23">
      <c r="A23" s="18" t="inlineStr">
        <is>
          <t>2021</t>
        </is>
      </c>
      <c r="B23" s="19" t="n">
        <v>549457.067</v>
      </c>
      <c r="C23" s="19" t="n">
        <v>800935.1524</v>
      </c>
      <c r="D23" s="19" t="n">
        <v>980316.7863</v>
      </c>
      <c r="E23" s="19" t="n">
        <v>1011313.2797</v>
      </c>
    </row>
    <row r="24">
      <c r="A24" s="18" t="inlineStr">
        <is>
          <t>2022</t>
        </is>
      </c>
      <c r="B24" s="19" t="n">
        <v>694623.0036000001</v>
      </c>
      <c r="C24" s="19" t="n">
        <v>851655.8786000001</v>
      </c>
      <c r="D24" s="19" t="n">
        <v>827416.1066000001</v>
      </c>
    </row>
    <row r="25">
      <c r="A25" s="18" t="inlineStr">
        <is>
          <t>2023</t>
        </is>
      </c>
      <c r="B25" s="19" t="n">
        <v>975000.3026000001</v>
      </c>
      <c r="C25" s="19" t="n">
        <v>1651756.6744</v>
      </c>
    </row>
    <row r="26">
      <c r="A26" s="18" t="inlineStr">
        <is>
          <t>2024</t>
        </is>
      </c>
      <c r="B26" s="19" t="n">
        <v>890155.2218000001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143-155</t>
        </is>
      </c>
      <c r="N29" s="8" t="inlineStr">
        <is>
          <t>155-167</t>
        </is>
      </c>
      <c r="O29" s="8" t="inlineStr">
        <is>
          <t>167-179</t>
        </is>
      </c>
      <c r="P29" s="8" t="inlineStr">
        <is>
          <t>179-191</t>
        </is>
      </c>
      <c r="Q29" s="8" t="inlineStr">
        <is>
          <t>191-203</t>
        </is>
      </c>
      <c r="R29" s="8" t="inlineStr">
        <is>
          <t>203-Ult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>
        <f>IFERROR(IF(N3="","",N3/M3),"")</f>
        <v/>
      </c>
      <c r="N30" s="20">
        <f>IFERROR(IF(O3="","",O3/N3),"")</f>
        <v/>
      </c>
      <c r="O30" s="20">
        <f>IFERROR(IF(P3="","",P3/O3),"")</f>
        <v/>
      </c>
      <c r="P30" s="20">
        <f>IFERROR(IF(Q3="","",Q3/P3),"")</f>
        <v/>
      </c>
      <c r="Q30" s="20">
        <f>IFERROR(IF(R3="","",R3/Q3),"")</f>
        <v/>
      </c>
      <c r="R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>
        <f>IFERROR(IF(N4="","",N4/M4),"")</f>
        <v/>
      </c>
      <c r="N31" s="20">
        <f>IFERROR(IF(O4="","",O4/N4),"")</f>
        <v/>
      </c>
      <c r="O31" s="20">
        <f>IFERROR(IF(P4="","",P4/O4),"")</f>
        <v/>
      </c>
      <c r="P31" s="20">
        <f>IFERROR(IF(Q4="","",Q4/P4),"")</f>
        <v/>
      </c>
      <c r="Q31" s="20">
        <f>IFERROR(IF(R4="","",R4/Q4),"")</f>
        <v/>
      </c>
      <c r="R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>
        <f>IFERROR(IF(N5="","",N5/M5),"")</f>
        <v/>
      </c>
      <c r="N32" s="20">
        <f>IFERROR(IF(O5="","",O5/N5),"")</f>
        <v/>
      </c>
      <c r="O32" s="20">
        <f>IFERROR(IF(P5="","",P5/O5),"")</f>
        <v/>
      </c>
      <c r="P32" s="20">
        <f>IFERROR(IF(Q5="","",Q5/P5),"")</f>
        <v/>
      </c>
      <c r="Q32" s="20">
        <f>IFERROR(IF(R5="","",R5/Q5),"")</f>
        <v/>
      </c>
      <c r="R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>
        <f>IFERROR(IF(N6="","",N6/M6),"")</f>
        <v/>
      </c>
      <c r="N33" s="20">
        <f>IFERROR(IF(O6="","",O6/N6),"")</f>
        <v/>
      </c>
      <c r="O33" s="20">
        <f>IFERROR(IF(P6="","",P6/O6),"")</f>
        <v/>
      </c>
      <c r="P33" s="20">
        <f>IFERROR(IF(Q6="","",Q6/P6),"")</f>
        <v/>
      </c>
      <c r="Q33" s="20">
        <f>IFERROR(IF(R6="","",R6/Q6),"")</f>
        <v/>
      </c>
      <c r="R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>
        <f>IFERROR(IF(N7="","",N7/M7),"")</f>
        <v/>
      </c>
      <c r="N34" s="20">
        <f>IFERROR(IF(O7="","",O7/N7),"")</f>
        <v/>
      </c>
      <c r="O34" s="20">
        <f>IFERROR(IF(P7="","",P7/O7),"")</f>
        <v/>
      </c>
      <c r="P34" s="20">
        <f>IFERROR(IF(Q7="","",Q7/P7),"")</f>
        <v/>
      </c>
      <c r="Q34" s="20">
        <f>IFERROR(IF(R7="","",R7/Q7),"")</f>
        <v/>
      </c>
      <c r="R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>
        <f>IFERROR(IF(N8="","",N8/M8),"")</f>
        <v/>
      </c>
      <c r="N35" s="20">
        <f>IFERROR(IF(O8="","",O8/N8),"")</f>
        <v/>
      </c>
      <c r="O35" s="20">
        <f>IFERROR(IF(P8="","",P8/O8),"")</f>
        <v/>
      </c>
      <c r="P35" s="20">
        <f>IFERROR(IF(Q8="","",Q8/P8),"")</f>
        <v/>
      </c>
      <c r="Q35" s="20">
        <f>IFERROR(IF(R8="","",R8/Q8),"")</f>
        <v/>
      </c>
      <c r="R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>
        <f>IFERROR(IF(N9="","",N9/M9),"")</f>
        <v/>
      </c>
      <c r="N36" s="20">
        <f>IFERROR(IF(O9="","",O9/N9),"")</f>
        <v/>
      </c>
      <c r="O36" s="20">
        <f>IFERROR(IF(P9="","",P9/O9),"")</f>
        <v/>
      </c>
      <c r="P36" s="20">
        <f>IFERROR(IF(Q9="","",Q9/P9),"")</f>
        <v/>
      </c>
      <c r="Q36" s="20">
        <f>IFERROR(IF(R9="","",R9/Q9),"")</f>
        <v/>
      </c>
      <c r="R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>
        <f>IFERROR(IF(N10="","",N10/M10),"")</f>
        <v/>
      </c>
      <c r="N37" s="20">
        <f>IFERROR(IF(O10="","",O10/N10),"")</f>
        <v/>
      </c>
      <c r="O37" s="20">
        <f>IFERROR(IF(P10="","",P10/O10),"")</f>
        <v/>
      </c>
      <c r="P37" s="20">
        <f>IFERROR(IF(Q10="","",Q10/P10),"")</f>
        <v/>
      </c>
      <c r="Q37" s="20">
        <f>IFERROR(IF(R10="","",R10/Q10),"")</f>
        <v/>
      </c>
      <c r="R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>
        <f>IFERROR(IF(N11="","",N11/M11),"")</f>
        <v/>
      </c>
      <c r="N38" s="20">
        <f>IFERROR(IF(O11="","",O11/N11),"")</f>
        <v/>
      </c>
      <c r="O38" s="20">
        <f>IFERROR(IF(P11="","",P11/O11),"")</f>
        <v/>
      </c>
      <c r="P38" s="20">
        <f>IFERROR(IF(Q11="","",Q11/P11),"")</f>
        <v/>
      </c>
      <c r="Q38" s="20">
        <f>IFERROR(IF(R11="","",R11/Q11),"")</f>
        <v/>
      </c>
      <c r="R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>
        <f>IFERROR(IF(N12="","",N12/M12),"")</f>
        <v/>
      </c>
      <c r="N39" s="20">
        <f>IFERROR(IF(O12="","",O12/N12),"")</f>
        <v/>
      </c>
      <c r="O39" s="20">
        <f>IFERROR(IF(P12="","",P12/O12),"")</f>
        <v/>
      </c>
      <c r="P39" s="20">
        <f>IFERROR(IF(Q12="","",Q12/P12),"")</f>
        <v/>
      </c>
      <c r="Q39" s="20">
        <f>IFERROR(IF(R12="","",R12/Q12),"")</f>
        <v/>
      </c>
      <c r="R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>
        <f>IFERROR(IF(N13="","",N13/M13),"")</f>
        <v/>
      </c>
      <c r="N40" s="20">
        <f>IFERROR(IF(O13="","",O13/N13),"")</f>
        <v/>
      </c>
      <c r="O40" s="20">
        <f>IFERROR(IF(P13="","",P13/O13),"")</f>
        <v/>
      </c>
      <c r="P40" s="20">
        <f>IFERROR(IF(Q13="","",Q13/P13),"")</f>
        <v/>
      </c>
      <c r="Q40" s="20">
        <f>IFERROR(IF(R13="","",R13/Q13),"")</f>
        <v/>
      </c>
      <c r="R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>
        <f>IFERROR(IF(N14="","",N14/M14),"")</f>
        <v/>
      </c>
      <c r="N41" s="20">
        <f>IFERROR(IF(O14="","",O14/N14),"")</f>
        <v/>
      </c>
      <c r="O41" s="20">
        <f>IFERROR(IF(P14="","",P14/O14),"")</f>
        <v/>
      </c>
      <c r="P41" s="20">
        <f>IFERROR(IF(Q14="","",Q14/P14),"")</f>
        <v/>
      </c>
      <c r="Q41" s="20">
        <f>IFERROR(IF(R14="","",R14/Q14),"")</f>
        <v/>
      </c>
      <c r="R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>
        <f>IFERROR(IF(N15="","",N15/M15),"")</f>
        <v/>
      </c>
      <c r="N42" s="20">
        <f>IFERROR(IF(O15="","",O15/N15),"")</f>
        <v/>
      </c>
      <c r="O42" s="20">
        <f>IFERROR(IF(P15="","",P15/O15),"")</f>
        <v/>
      </c>
      <c r="P42" s="20">
        <f>IFERROR(IF(Q15="","",Q15/P15),"")</f>
        <v/>
      </c>
      <c r="Q42" s="20">
        <f>IFERROR(IF(R15="","",R15/Q15),"")</f>
        <v/>
      </c>
      <c r="R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>
        <f>IFERROR(IF(N16="","",N16/M16),"")</f>
        <v/>
      </c>
      <c r="N43" s="20">
        <f>IFERROR(IF(O16="","",O16/N16),"")</f>
        <v/>
      </c>
      <c r="O43" s="20">
        <f>IFERROR(IF(P16="","",P16/O16),"")</f>
        <v/>
      </c>
      <c r="P43" s="20">
        <f>IFERROR(IF(Q16="","",Q16/P16),"")</f>
        <v/>
      </c>
      <c r="Q43" s="20">
        <f>IFERROR(IF(R16="","",R16/Q16),"")</f>
        <v/>
      </c>
      <c r="R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>
        <f>IFERROR(IF(N17="","",N17/M17),"")</f>
        <v/>
      </c>
      <c r="N44" s="20">
        <f>IFERROR(IF(O17="","",O17/N17),"")</f>
        <v/>
      </c>
      <c r="O44" s="20">
        <f>IFERROR(IF(P17="","",P17/O17),"")</f>
        <v/>
      </c>
      <c r="P44" s="20">
        <f>IFERROR(IF(Q17="","",Q17/P17),"")</f>
        <v/>
      </c>
      <c r="Q44" s="20">
        <f>IFERROR(IF(R17="","",R17/Q17),"")</f>
        <v/>
      </c>
      <c r="R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>
        <f>IFERROR(IF(N18="","",N18/M18),"")</f>
        <v/>
      </c>
      <c r="N45" s="20">
        <f>IFERROR(IF(O18="","",O18/N18),"")</f>
        <v/>
      </c>
      <c r="O45" s="20">
        <f>IFERROR(IF(P18="","",P18/O18),"")</f>
        <v/>
      </c>
      <c r="P45" s="20">
        <f>IFERROR(IF(Q18="","",Q18/P18),"")</f>
        <v/>
      </c>
      <c r="Q45" s="20">
        <f>IFERROR(IF(R18="","",R18/Q18),"")</f>
        <v/>
      </c>
      <c r="R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>
        <f>IFERROR(IF(N19="","",N19/M19),"")</f>
        <v/>
      </c>
      <c r="N46" s="20">
        <f>IFERROR(IF(O19="","",O19/N19),"")</f>
        <v/>
      </c>
      <c r="O46" s="20">
        <f>IFERROR(IF(P19="","",P19/O19),"")</f>
        <v/>
      </c>
      <c r="P46" s="20">
        <f>IFERROR(IF(Q19="","",Q19/P19),"")</f>
        <v/>
      </c>
      <c r="Q46" s="20">
        <f>IFERROR(IF(R19="","",R19/Q19),"")</f>
        <v/>
      </c>
      <c r="R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>
        <f>IFERROR(IF(N20="","",N20/M20),"")</f>
        <v/>
      </c>
      <c r="N47" s="20">
        <f>IFERROR(IF(O20="","",O20/N20),"")</f>
        <v/>
      </c>
      <c r="O47" s="20">
        <f>IFERROR(IF(P20="","",P20/O20),"")</f>
        <v/>
      </c>
      <c r="P47" s="20">
        <f>IFERROR(IF(Q20="","",Q20/P20),"")</f>
        <v/>
      </c>
      <c r="Q47" s="20">
        <f>IFERROR(IF(R20="","",R20/Q20),"")</f>
        <v/>
      </c>
      <c r="R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>
        <f>IFERROR(IF(N21="","",N21/M21),"")</f>
        <v/>
      </c>
      <c r="N48" s="20">
        <f>IFERROR(IF(O21="","",O21/N21),"")</f>
        <v/>
      </c>
      <c r="O48" s="20">
        <f>IFERROR(IF(P21="","",P21/O21),"")</f>
        <v/>
      </c>
      <c r="P48" s="20">
        <f>IFERROR(IF(Q21="","",Q21/P21),"")</f>
        <v/>
      </c>
      <c r="Q48" s="20">
        <f>IFERROR(IF(R21="","",R21/Q21),"")</f>
        <v/>
      </c>
      <c r="R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>
        <f>IFERROR(IF(N22="","",N22/M22),"")</f>
        <v/>
      </c>
      <c r="N49" s="20">
        <f>IFERROR(IF(O22="","",O22/N22),"")</f>
        <v/>
      </c>
      <c r="O49" s="20">
        <f>IFERROR(IF(P22="","",P22/O22),"")</f>
        <v/>
      </c>
      <c r="P49" s="20">
        <f>IFERROR(IF(Q22="","",Q22/P22),"")</f>
        <v/>
      </c>
      <c r="Q49" s="20">
        <f>IFERROR(IF(R22="","",R22/Q22),"")</f>
        <v/>
      </c>
      <c r="R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>
        <f>IFERROR(IF(N23="","",N23/M23),"")</f>
        <v/>
      </c>
      <c r="N50" s="20">
        <f>IFERROR(IF(O23="","",O23/N23),"")</f>
        <v/>
      </c>
      <c r="O50" s="20">
        <f>IFERROR(IF(P23="","",P23/O23),"")</f>
        <v/>
      </c>
      <c r="P50" s="20">
        <f>IFERROR(IF(Q23="","",Q23/P23),"")</f>
        <v/>
      </c>
      <c r="Q50" s="20">
        <f>IFERROR(IF(R23="","",R23/Q23),"")</f>
        <v/>
      </c>
      <c r="R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>
        <f>IFERROR(IF(N24="","",N24/M24),"")</f>
        <v/>
      </c>
      <c r="N51" s="20">
        <f>IFERROR(IF(O24="","",O24/N24),"")</f>
        <v/>
      </c>
      <c r="O51" s="20">
        <f>IFERROR(IF(P24="","",P24/O24),"")</f>
        <v/>
      </c>
      <c r="P51" s="20">
        <f>IFERROR(IF(Q24="","",Q24/P24),"")</f>
        <v/>
      </c>
      <c r="Q51" s="20">
        <f>IFERROR(IF(R24="","",R24/Q24),"")</f>
        <v/>
      </c>
      <c r="R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>
        <f>IFERROR(IF(N25="","",N25/M25),"")</f>
        <v/>
      </c>
      <c r="N52" s="20">
        <f>IFERROR(IF(O25="","",O25/N25),"")</f>
        <v/>
      </c>
      <c r="O52" s="20">
        <f>IFERROR(IF(P25="","",P25/O25),"")</f>
        <v/>
      </c>
      <c r="P52" s="20">
        <f>IFERROR(IF(Q25="","",Q25/P25),"")</f>
        <v/>
      </c>
      <c r="Q52" s="20">
        <f>IFERROR(IF(R25="","",R25/Q25),"")</f>
        <v/>
      </c>
      <c r="R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>
        <f>IFERROR(IF(N26="","",N26/M26),"")</f>
        <v/>
      </c>
      <c r="N53" s="20">
        <f>IFERROR(IF(O26="","",O26/N26),"")</f>
        <v/>
      </c>
      <c r="O53" s="20">
        <f>IFERROR(IF(P26="","",P26/O26),"")</f>
        <v/>
      </c>
      <c r="P53" s="20">
        <f>IFERROR(IF(Q26="","",Q26/P26),"")</f>
        <v/>
      </c>
      <c r="Q53" s="20">
        <f>IFERROR(IF(R26="","",R26/Q26),"")</f>
        <v/>
      </c>
      <c r="R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143-155</t>
        </is>
      </c>
      <c r="N56" s="8" t="inlineStr">
        <is>
          <t>155-167</t>
        </is>
      </c>
      <c r="O56" s="8" t="inlineStr">
        <is>
          <t>167-179</t>
        </is>
      </c>
      <c r="P56" s="8" t="inlineStr">
        <is>
          <t>179-191</t>
        </is>
      </c>
      <c r="Q56" s="8" t="inlineStr">
        <is>
          <t>191-203</t>
        </is>
      </c>
      <c r="R56" s="8" t="inlineStr">
        <is>
          <t>203-Ult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>
        <f>IFERROR(AVERAGE(M30:M53),AVERAGE(M30:M53))</f>
        <v/>
      </c>
      <c r="N57" s="20">
        <f>IFERROR(AVERAGE(N30:N53),AVERAGE(N30:N53))</f>
        <v/>
      </c>
      <c r="O57" s="20">
        <f>IFERROR(AVERAGE(O30:O53),AVERAGE(O30:O53))</f>
        <v/>
      </c>
      <c r="P57" s="20">
        <f>IFERROR(AVERAGE(P30:P53),AVERAGE(P30:P53))</f>
        <v/>
      </c>
      <c r="Q57" s="20">
        <f>IFERROR(AVERAGE(Q30:Q53),AVERAGE(Q30:Q53))</f>
        <v/>
      </c>
      <c r="R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>
        <f>IFERROR(SUMPRODUCT(M30:M53,M3:M26)/SUMPRODUCT((M30:M53&lt;&gt;"")*M3:M26),SUMPRODUCT(M30:M53,M3:M26)/SUMPRODUCT((M30:M53&lt;&gt;"")*M3:M26))</f>
        <v/>
      </c>
      <c r="N58" s="20">
        <f>IFERROR(SUMPRODUCT(N30:N53,N3:N26)/SUMPRODUCT((N30:N53&lt;&gt;"")*N3:N26),SUMPRODUCT(N30:N53,N3:N26)/SUMPRODUCT((N30:N53&lt;&gt;"")*N3:N26))</f>
        <v/>
      </c>
      <c r="O58" s="20">
        <f>IFERROR(SUMPRODUCT(O30:O53,O3:O26)/SUMPRODUCT((O30:O53&lt;&gt;"")*O3:O26),SUMPRODUCT(O30:O53,O3:O26)/SUMPRODUCT((O30:O53&lt;&gt;"")*O3:O26))</f>
        <v/>
      </c>
      <c r="P58" s="20">
        <f>IFERROR(SUMPRODUCT(P30:P53,P3:P26)/SUMPRODUCT((P30:P53&lt;&gt;"")*P3:P26),SUMPRODUCT(P30:P53,P3:P26)/SUMPRODUCT((P30:P53&lt;&gt;"")*P3:P26))</f>
        <v/>
      </c>
      <c r="Q58" s="20">
        <f>IFERROR(SUMPRODUCT(Q30:Q53,Q3:Q26)/SUMPRODUCT((Q30:Q53&lt;&gt;"")*Q3:Q26),SUMPRODUCT(Q30:Q53,Q3:Q26)/SUMPRODUCT((Q30:Q53&lt;&gt;"")*Q3:Q26))</f>
        <v/>
      </c>
      <c r="R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>
        <f>IFERROR(TRIMMEAN(M30:M53,2/COUNT(M30:M53)),AVERAGE(M30:M53))</f>
        <v/>
      </c>
      <c r="N59" s="20">
        <f>IFERROR(TRIMMEAN(N30:N53,2/COUNT(N30:N53)),AVERAGE(N30:N53))</f>
        <v/>
      </c>
      <c r="O59" s="20">
        <f>IFERROR(TRIMMEAN(O30:O53,2/COUNT(O30:O53)),AVERAGE(O30:O53))</f>
        <v/>
      </c>
      <c r="P59" s="20">
        <f>IFERROR(TRIMMEAN(P30:P53,2/COUNT(P30:P53)),AVERAGE(P30:P53))</f>
        <v/>
      </c>
      <c r="Q59" s="20">
        <f>IFERROR(TRIMMEAN(Q30:Q53,2/COUNT(Q30:Q53)),AVERAGE(Q30:Q53))</f>
        <v/>
      </c>
      <c r="R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>
        <f>IFERROR(AVERAGE(M51:M53),AVERAGE(M30:M53))</f>
        <v/>
      </c>
      <c r="N60" s="20">
        <f>IFERROR(AVERAGE(N51:N53),AVERAGE(N30:N53))</f>
        <v/>
      </c>
      <c r="O60" s="20">
        <f>IFERROR(AVERAGE(O51:O53),AVERAGE(O30:O53))</f>
        <v/>
      </c>
      <c r="P60" s="20">
        <f>IFERROR(AVERAGE(P51:P53),AVERAGE(P30:P53))</f>
        <v/>
      </c>
      <c r="Q60" s="20">
        <f>IFERROR(AVERAGE(Q51:Q53),AVERAGE(Q30:Q53))</f>
        <v/>
      </c>
      <c r="R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>
        <f>IFERROR(SUMPRODUCT(M51:M53,M24:M26)/SUMPRODUCT((M51:M53&lt;&gt;"")*M24:M26),SUMPRODUCT(M30:M53,M3:M26)/SUMPRODUCT((M30:M53&lt;&gt;"")*M3:M26))</f>
        <v/>
      </c>
      <c r="N61" s="20">
        <f>IFERROR(SUMPRODUCT(N51:N53,N24:N26)/SUMPRODUCT((N51:N53&lt;&gt;"")*N24:N26),SUMPRODUCT(N30:N53,N3:N26)/SUMPRODUCT((N30:N53&lt;&gt;"")*N3:N26))</f>
        <v/>
      </c>
      <c r="O61" s="20">
        <f>IFERROR(SUMPRODUCT(O51:O53,O24:O26)/SUMPRODUCT((O51:O53&lt;&gt;"")*O24:O26),SUMPRODUCT(O30:O53,O3:O26)/SUMPRODUCT((O30:O53&lt;&gt;"")*O3:O26))</f>
        <v/>
      </c>
      <c r="P61" s="20">
        <f>IFERROR(SUMPRODUCT(P51:P53,P24:P26)/SUMPRODUCT((P51:P53&lt;&gt;"")*P24:P26),SUMPRODUCT(P30:P53,P3:P26)/SUMPRODUCT((P30:P53&lt;&gt;"")*P3:P26))</f>
        <v/>
      </c>
      <c r="Q61" s="20">
        <f>IFERROR(SUMPRODUCT(Q51:Q53,Q24:Q26)/SUMPRODUCT((Q51:Q53&lt;&gt;"")*Q24:Q26),SUMPRODUCT(Q30:Q53,Q3:Q26)/SUMPRODUCT((Q30:Q53&lt;&gt;"")*Q3:Q26))</f>
        <v/>
      </c>
      <c r="R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>
        <f>IFERROR(TRIMMEAN(M51:M53,2/COUNT(M51:M53)),AVERAGE(M30:M53))</f>
        <v/>
      </c>
      <c r="N62" s="20">
        <f>IFERROR(TRIMMEAN(N51:N53,2/COUNT(N51:N53)),AVERAGE(N30:N53))</f>
        <v/>
      </c>
      <c r="O62" s="20">
        <f>IFERROR(TRIMMEAN(O51:O53,2/COUNT(O51:O53)),AVERAGE(O30:O53))</f>
        <v/>
      </c>
      <c r="P62" s="20">
        <f>IFERROR(TRIMMEAN(P51:P53,2/COUNT(P51:P53)),AVERAGE(P30:P53))</f>
        <v/>
      </c>
      <c r="Q62" s="20">
        <f>IFERROR(TRIMMEAN(Q51:Q53,2/COUNT(Q51:Q53)),AVERAGE(Q30:Q53))</f>
        <v/>
      </c>
      <c r="R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>
        <f>IFERROR(AVERAGE(M49:M53),AVERAGE(M30:M53))</f>
        <v/>
      </c>
      <c r="N63" s="20">
        <f>IFERROR(AVERAGE(N49:N53),AVERAGE(N30:N53))</f>
        <v/>
      </c>
      <c r="O63" s="20">
        <f>IFERROR(AVERAGE(O49:O53),AVERAGE(O30:O53))</f>
        <v/>
      </c>
      <c r="P63" s="20">
        <f>IFERROR(AVERAGE(P49:P53),AVERAGE(P30:P53))</f>
        <v/>
      </c>
      <c r="Q63" s="20">
        <f>IFERROR(AVERAGE(Q49:Q53),AVERAGE(Q30:Q53))</f>
        <v/>
      </c>
      <c r="R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>
        <f>IFERROR(SUMPRODUCT(M49:M53,M22:M26)/SUMPRODUCT((M49:M53&lt;&gt;"")*M22:M26),SUMPRODUCT(M30:M53,M3:M26)/SUMPRODUCT((M30:M53&lt;&gt;"")*M3:M26))</f>
        <v/>
      </c>
      <c r="N64" s="20">
        <f>IFERROR(SUMPRODUCT(N49:N53,N22:N26)/SUMPRODUCT((N49:N53&lt;&gt;"")*N22:N26),SUMPRODUCT(N30:N53,N3:N26)/SUMPRODUCT((N30:N53&lt;&gt;"")*N3:N26))</f>
        <v/>
      </c>
      <c r="O64" s="20">
        <f>IFERROR(SUMPRODUCT(O49:O53,O22:O26)/SUMPRODUCT((O49:O53&lt;&gt;"")*O22:O26),SUMPRODUCT(O30:O53,O3:O26)/SUMPRODUCT((O30:O53&lt;&gt;"")*O3:O26))</f>
        <v/>
      </c>
      <c r="P64" s="20">
        <f>IFERROR(SUMPRODUCT(P49:P53,P22:P26)/SUMPRODUCT((P49:P53&lt;&gt;"")*P22:P26),SUMPRODUCT(P30:P53,P3:P26)/SUMPRODUCT((P30:P53&lt;&gt;"")*P3:P26))</f>
        <v/>
      </c>
      <c r="Q64" s="20">
        <f>IFERROR(SUMPRODUCT(Q49:Q53,Q22:Q26)/SUMPRODUCT((Q49:Q53&lt;&gt;"")*Q22:Q26),SUMPRODUCT(Q30:Q53,Q3:Q26)/SUMPRODUCT((Q30:Q53&lt;&gt;"")*Q3:Q26))</f>
        <v/>
      </c>
      <c r="R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>
        <f>IFERROR(TRIMMEAN(M49:M53,2/COUNT(M49:M53)),AVERAGE(M30:M53))</f>
        <v/>
      </c>
      <c r="N65" s="20">
        <f>IFERROR(TRIMMEAN(N49:N53,2/COUNT(N49:N53)),AVERAGE(N30:N53))</f>
        <v/>
      </c>
      <c r="O65" s="20">
        <f>IFERROR(TRIMMEAN(O49:O53,2/COUNT(O49:O53)),AVERAGE(O30:O53))</f>
        <v/>
      </c>
      <c r="P65" s="20">
        <f>IFERROR(TRIMMEAN(P49:P53,2/COUNT(P49:P53)),AVERAGE(P30:P53))</f>
        <v/>
      </c>
      <c r="Q65" s="20">
        <f>IFERROR(TRIMMEAN(Q49:Q53,2/COUNT(Q49:Q53)),AVERAGE(Q30:Q53))</f>
        <v/>
      </c>
      <c r="R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>
        <f>IFERROR(AVERAGE(M44:M53),AVERAGE(M30:M53))</f>
        <v/>
      </c>
      <c r="N66" s="20">
        <f>IFERROR(AVERAGE(N44:N53),AVERAGE(N30:N53))</f>
        <v/>
      </c>
      <c r="O66" s="20">
        <f>IFERROR(AVERAGE(O44:O53),AVERAGE(O30:O53))</f>
        <v/>
      </c>
      <c r="P66" s="20">
        <f>IFERROR(AVERAGE(P44:P53),AVERAGE(P30:P53))</f>
        <v/>
      </c>
      <c r="Q66" s="20">
        <f>IFERROR(AVERAGE(Q44:Q53),AVERAGE(Q30:Q53))</f>
        <v/>
      </c>
      <c r="R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>
        <f>IFERROR(SUMPRODUCT(M44:M53,M17:M26)/SUMPRODUCT((M44:M53&lt;&gt;"")*M17:M26),SUMPRODUCT(M30:M53,M3:M26)/SUMPRODUCT((M30:M53&lt;&gt;"")*M3:M26))</f>
        <v/>
      </c>
      <c r="N67" s="20">
        <f>IFERROR(SUMPRODUCT(N44:N53,N17:N26)/SUMPRODUCT((N44:N53&lt;&gt;"")*N17:N26),SUMPRODUCT(N30:N53,N3:N26)/SUMPRODUCT((N30:N53&lt;&gt;"")*N3:N26))</f>
        <v/>
      </c>
      <c r="O67" s="20">
        <f>IFERROR(SUMPRODUCT(O44:O53,O17:O26)/SUMPRODUCT((O44:O53&lt;&gt;"")*O17:O26),SUMPRODUCT(O30:O53,O3:O26)/SUMPRODUCT((O30:O53&lt;&gt;"")*O3:O26))</f>
        <v/>
      </c>
      <c r="P67" s="20">
        <f>IFERROR(SUMPRODUCT(P44:P53,P17:P26)/SUMPRODUCT((P44:P53&lt;&gt;"")*P17:P26),SUMPRODUCT(P30:P53,P3:P26)/SUMPRODUCT((P30:P53&lt;&gt;"")*P3:P26))</f>
        <v/>
      </c>
      <c r="Q67" s="20">
        <f>IFERROR(SUMPRODUCT(Q44:Q53,Q17:Q26)/SUMPRODUCT((Q44:Q53&lt;&gt;"")*Q17:Q26),SUMPRODUCT(Q30:Q53,Q3:Q26)/SUMPRODUCT((Q30:Q53&lt;&gt;"")*Q3:Q26))</f>
        <v/>
      </c>
      <c r="R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>
        <f>IFERROR(TRIMMEAN(M44:M53,2/COUNT(M44:M53)),AVERAGE(M30:M53))</f>
        <v/>
      </c>
      <c r="N68" s="20">
        <f>IFERROR(TRIMMEAN(N44:N53,2/COUNT(N44:N53)),AVERAGE(N30:N53))</f>
        <v/>
      </c>
      <c r="O68" s="20">
        <f>IFERROR(TRIMMEAN(O44:O53,2/COUNT(O44:O53)),AVERAGE(O30:O53))</f>
        <v/>
      </c>
      <c r="P68" s="20">
        <f>IFERROR(TRIMMEAN(P44:P53,2/COUNT(P44:P53)),AVERAGE(P30:P53))</f>
        <v/>
      </c>
      <c r="Q68" s="20">
        <f>IFERROR(TRIMMEAN(Q44:Q53,2/COUNT(Q44:Q53)),AVERAGE(Q30:Q53))</f>
        <v/>
      </c>
      <c r="R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143-155</t>
        </is>
      </c>
      <c r="N71" s="8" t="inlineStr">
        <is>
          <t>155-167</t>
        </is>
      </c>
      <c r="O71" s="8" t="inlineStr">
        <is>
          <t>167-179</t>
        </is>
      </c>
      <c r="P71" s="8" t="inlineStr">
        <is>
          <t>179-191</t>
        </is>
      </c>
      <c r="Q71" s="8" t="inlineStr">
        <is>
          <t>191-203</t>
        </is>
      </c>
      <c r="R71" s="8" t="inlineStr">
        <is>
          <t>203-Ult</t>
        </is>
      </c>
    </row>
    <row r="72">
      <c r="A72" s="23" t="inlineStr">
        <is>
          <t>Selected</t>
        </is>
      </c>
      <c r="B72" s="24" t="n">
        <v>1.7024</v>
      </c>
      <c r="C72" s="24" t="n">
        <v>1.2575</v>
      </c>
      <c r="D72" s="24" t="n">
        <v>1.2002</v>
      </c>
      <c r="E72" s="24" t="n">
        <v>1.0567</v>
      </c>
      <c r="F72" s="24" t="n">
        <v>1.1027</v>
      </c>
      <c r="G72" s="24" t="n">
        <v>1.087</v>
      </c>
      <c r="H72" s="24" t="n">
        <v>1.0065</v>
      </c>
      <c r="I72" s="24" t="n">
        <v>1.0146</v>
      </c>
      <c r="J72" s="24" t="n">
        <v>1.0485</v>
      </c>
      <c r="K72" s="24" t="n">
        <v>1.0082</v>
      </c>
      <c r="L72" s="24" t="n">
        <v>1.035</v>
      </c>
      <c r="M72" s="24" t="n">
        <v>1.0022</v>
      </c>
      <c r="N72" s="24" t="n">
        <v>1.0004</v>
      </c>
      <c r="O72" s="24" t="n">
        <v>1.0211</v>
      </c>
      <c r="P72" s="24" t="n">
        <v>1.0036</v>
      </c>
      <c r="Q72" s="24" t="n">
        <v>1.0076</v>
      </c>
      <c r="R72" s="25" t="n">
        <v>1.021551350628563</v>
      </c>
    </row>
    <row r="73">
      <c r="A73" s="26" t="inlineStr">
        <is>
          <t>Selected Reasoning</t>
        </is>
      </c>
      <c r="B73" s="27" t="inlineStr">
        <is>
          <t>Incurred Loss: 1.7024. CV_5yr 0.3284 (exceeds 0.20 threshold) triggers outlier caution. Apply exclusion of single high/low per framework. Weighted 5-year (1.7024) and simple 5-year (1.784) show 3.2% gap; weighted preferred to dampen outlier influence. All-year (1.6135) 5.5% below, suggesting old periods skew lower. Slope_5yr negative (-0.2685) signals potential regime shift. Incurred more volatile than paid at early maturity; Bayesian anchoring toward weighted 5-year appropriate. Asymmetric conservatism: 3-year (1.4891) substantially below 5-year, so moderate upward approach from lower bounds. Select weighted 5-year as primary anchor with outlier dampening.</t>
        </is>
      </c>
      <c r="C73" s="27" t="inlineStr">
        <is>
          <t>Incurred Loss: 1.2575. CV_5yr 0.2103 (at upper tolerance, &lt;0.20 marginal) applies standard averaging with caution. Weighted 5-year (1.2575) vs simple 5-year (1.2309) ~2.1% gap; weighted preferred. All-year (1.1891) 5.4% below 5-year, old-period influence present. Slope_5yr slightly negative (-0.1238), but not severe. 3-year (1.054) much lower (17% below 5-year), hinting at period-specific variance. Use weighted 5-year as stable compromise; incurred stabilizing but still elevated variance. Asymmetric: recent lower than historical, so use moderate conservatism toward middle ground.</t>
        </is>
      </c>
      <c r="D73" s="27" t="inlineStr">
        <is>
          <t>Incurred Loss: 1.2002. CV_5yr 0.1316 (acceptable, improving). Weighted 5-year (1.2002) and simple 5-year (1.1874) within 1.1%; all-year (1.153) ~5% below. Slope_5yr negative (-0.0886) but stabilizing. 3-year (1.0948) versus 5-year shows 8.5% gap, indicating period improvement. Recency preference toward 5-year justified; incurred converging toward paid patterns. Use weighted 5-year. Asymmetric: downward from prior → select 25-50% of gap per framework, but here prior unknown so use standard 5-year anchor.</t>
        </is>
      </c>
      <c r="E73" s="27" t="inlineStr">
        <is>
          <t>Incurred Loss: 1.0567. CV_5yr 0.0556 (good stability). Weighted 5-year (1.0567), simple 5-year (1.057), and all-year (1.0492) within 0.4%. Slope_5yr near zero (-0.0277). 3-year (1.0233) 3.2% below 5-year, but gap acceptable. Incurred and paid converging well at mid-maturity. Use weighted 5-year. No trend signal; development normal at this maturity.</t>
        </is>
      </c>
      <c r="F73" s="27" t="inlineStr">
        <is>
          <t>Incurred Loss: 1.1027. CV_5yr 0.0773 (low). Weighted 5-year (1.1027), simple 5-year (1.1071), and all-year (1.0736) show 3.2% divergence (5-year above all-year). Slope_5yr positive (0.0153) signals modest acceleration. 3-year (1.1167) ~0.8% above 5-year, recent data supporting higher selection. Paid LDF at 1.1192 is close (1.6% above incurred), consistent with paid-to-incurred pattern. Use weighted 5-year with acknowledgment of recent uptick. Development continuing steady.</t>
        </is>
      </c>
      <c r="G73" s="27" t="inlineStr">
        <is>
          <t>Incurred Loss: 1.087. CV_5yr 0.074 (moderate). Weighted 5-year (1.087), simple 5-year (1.0836), and all-year (1.0457) show divergence. Slope_5yr positive (0.0123) modest. 3-year (1.0898) very close to weighted 5-year (0.3%), confirming recent stability at higher level. Paid at 1.107 is 1.7% above incurred, within normal range. Use weighted 5-year. Incurred development accelerating at this interval per paid parallels.</t>
        </is>
      </c>
      <c r="H73" s="27" t="inlineStr">
        <is>
          <t>Incurred Loss: 1.0065. CV_5yr 0.0136 (very low). Weighted 5-year (1.0065), simple 5-year (1.0076), and all-year (1.0023) show tight convergence within 0.5%. Slope_5yr near zero (0.0063). Development stabilizing. Paid (1.0328) is notably higher, likely due to case reserve dynamics. Use weighted 5-year for incurred consistency. Late-maturity behavior normalizing.</t>
        </is>
      </c>
      <c r="I73" s="27" t="inlineStr">
        <is>
          <t>Incurred Loss: 1.0146. CV_5yr 0.0254 (low). Weighted 5-year (1.0146), simple 5-year (1.0207), and all-year (1.0195) show 0.6% range. Slope_5yr near zero (-0.0108). All averages cluster tightly. Paid (1.0132) slightly below, within expected divergence. Use weighted 5-year. Very late maturity, minimal development expected.</t>
        </is>
      </c>
      <c r="J73" s="27" t="inlineStr">
        <is>
          <t>Incurred Loss: 1.0485. CV_5yr 0.0393 (low). Weighted 5-year (1.0485), simple 5-year (1.0354), and all-year (1.037) show divergence (weighted 1.3% above simple). Slope_5yr positive (0.0149). 3-year (1.0629) 1.4% above 5-year, recent activity elevated. Paid (1.0645) higher by 1.5%, consistent with paid-to-incurred differential at this depth. Use weighted 5-year as stable anchor with recency confirmation. Late-maturity activity persisting.</t>
        </is>
      </c>
      <c r="K73" s="27" t="inlineStr">
        <is>
          <t>Incurred Loss: 1.0082. CV_5yr 0.0134 (very low). Weighted 5-year (1.0082), simple 5-year (1.0059), and all-year (1.0174) show tight band (0.4%). Slope_5yr near zero (-0.0044). Paid (1.0083) nearly identical, confirming convergence. Use weighted 5-year. Very late development minimal and stable.</t>
        </is>
      </c>
      <c r="L73" s="27" t="inlineStr">
        <is>
          <t>Incurred Loss: 1.035. CV_5yr 0.0762 (moderate, elevated for this maturity). Weighted 5-year (1.035), simple 5-year (1.0379), and all-year (1.0332) within 0.5%. Slope_5yr near zero (0.0152). 3-year (1.0531) 2.4% above 5-year, suggesting recent acceleration. Paid (1.0189) significantly below, indicating paid-incurred divergence (likely case reserving). Use weighted 5-year. Incurred showing slightly elevated late-tail development relative to paid.</t>
        </is>
      </c>
      <c r="M73" s="27" t="inlineStr">
        <is>
          <t>Incurred Loss: 1.0022. CV_5yr 0.0162 (low). Weighted 5-year (1.0022), simple 5-year (1.0033), and all-year (1.0053) within 0.3%. Slope_5yr near zero (-0.0001). All converge tightly. Paid (1.0175) much higher, paid-incurred divergence notable. Use weighted 5-year for incurred. Late tail nearly complete.</t>
        </is>
      </c>
      <c r="N73" s="27" t="inlineStr">
        <is>
          <t>Incurred Loss: 1.0004. CV_5yr 0.0004 (essentially zero variability). Weighted 5-year (1.0004), simple 5-year (1.0002), and all-year (1.0054) show excellent convergence on 1.0004. Slope_5yr near zero (-0.0002). Paid (1.0134) much higher again, paid-incurred gap persistent. Use converged 1.0004. Ultra-final tail at completion.</t>
        </is>
      </c>
      <c r="O73" s="27" t="inlineStr">
        <is>
          <t>Incurred Loss: 1.0211. CV_5yr 0.0187 (very low). Weighted 5-year (1.0211), simple 5-year (1.01), and all-year (1.0167) show divergence. Slope_5yr near zero (-0.0033). Weighted 5-year preferred for stability. Paid (1.0143) lower, paid-incurred gap. Use weighted 5-year. Very late tail with minimal, stable development.</t>
        </is>
      </c>
      <c r="P73" s="27" t="inlineStr">
        <is>
          <t>Incurred Loss: 1.0036. CV_5yr 0.0049 (minimal). Weighted 5-year (1.0036), simple 5-year (1.0047), and all-year (1.0116) show tight 5-year convergence (0.1%). Slope_5yr near zero (-0.0021). Paid (1.0156) higher, gap continuing. Use weighted 5-year. Ultimate tail development minimal.</t>
        </is>
      </c>
      <c r="Q73" s="27" t="inlineStr">
        <is>
          <t>Incurred Loss: 1.0076. CV_5yr 0.0089 (very low). Weighted 5-year (1.0076), simple 5-year (1.0086), and all-year (1.0149) show tight 5-year band (0.1%). Slope_5yr near zero (0.003). Paid (1.0115) slightly higher. Use weighted 5-year. Final tail showing consistent minimal development.</t>
        </is>
      </c>
      <c r="R73" s="27" t="inlineStr">
        <is>
          <t>Incurred Loss triangle expects medium tail, materially longer than Reported Count but shorter than Paid Loss. Starting age 203 selected: monotonicity check fails (slope_sign_changes=5) but improves significantly from age 143 (9 sign changes), CV=0.0112 (excellent), n_factors=7 meeting minimum. Double exponential provides superior fit diagnostics: R²=0.8862 (well above 0.85 threshold), LOO std dev=0.0037 (stable), gap to last observed=3.2e-05 (immaterial, gap_flag=False). Tail materiality ~0.71% of CDF warrants careful method selection; double_exp balances good fit quality with economical tail estimate. Residual analysis shows sparse anomalies without systematic bias. Bondy (tail=1.0119) rejected due to materiality &gt;0.1%; Bondy and modified variants immaterial rationale not applicable. McClenahan trivial tail (1.0) undershoots observed development. Alternative methods (exp_dev_quick R²=0.32, mcclenahan tail=1.0) lack fit quality or economic substance. Selection reflects ASOP 43 requirement for documented method choice and fit validation.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>
        <f>IFERROR(M72*N74,"")</f>
        <v/>
      </c>
      <c r="N74" s="13">
        <f>IFERROR(N72*O74,"")</f>
        <v/>
      </c>
      <c r="O74" s="13">
        <f>IFERROR(O72*P74,"")</f>
        <v/>
      </c>
      <c r="P74" s="13">
        <f>IFERROR(P72*Q74,"")</f>
        <v/>
      </c>
      <c r="Q74" s="13">
        <f>IFERROR(Q72*R74,"")</f>
        <v/>
      </c>
      <c r="R74" s="13" t="n">
        <v>1.021551350628563</v>
      </c>
    </row>
    <row r="7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</row>
    <row r="3">
      <c r="A3" s="18" t="inlineStr">
        <is>
          <t>2001</t>
        </is>
      </c>
      <c r="B3" s="19" t="n">
        <v>326044.1288</v>
      </c>
      <c r="C3" s="19" t="n">
        <v>1047371.7984</v>
      </c>
      <c r="D3" s="19" t="n">
        <v>1545726.656</v>
      </c>
      <c r="E3" s="19" t="n">
        <v>1910965.544</v>
      </c>
      <c r="F3" s="19" t="n">
        <v>2224220.1096</v>
      </c>
      <c r="G3" s="19" t="n">
        <v>2283775.9933</v>
      </c>
      <c r="H3" s="19" t="n">
        <v>2261772.9961</v>
      </c>
      <c r="I3" s="19" t="n">
        <v>2292314.1748</v>
      </c>
      <c r="J3" s="19" t="n">
        <v>2314545.3704</v>
      </c>
      <c r="K3" s="19" t="n">
        <v>2342384.5889</v>
      </c>
      <c r="L3" s="19" t="n">
        <v>2398200.0136</v>
      </c>
      <c r="M3" s="19" t="n">
        <v>2455705.4765</v>
      </c>
      <c r="N3" s="19" t="n">
        <v>2495723.8508</v>
      </c>
      <c r="O3" s="19" t="n">
        <v>2559116.709</v>
      </c>
      <c r="P3" s="19" t="n">
        <v>2614164.5488</v>
      </c>
      <c r="Q3" s="19" t="n">
        <v>2694350.0428</v>
      </c>
      <c r="R3" s="19" t="n">
        <v>2782412.2292</v>
      </c>
    </row>
    <row r="4">
      <c r="A4" s="18" t="inlineStr">
        <is>
          <t>2002</t>
        </is>
      </c>
      <c r="B4" s="19" t="n">
        <v>357360.876</v>
      </c>
      <c r="C4" s="19" t="n">
        <v>911072.9536</v>
      </c>
      <c r="D4" s="19" t="n">
        <v>1220370.0388</v>
      </c>
      <c r="E4" s="19" t="n">
        <v>1318345.0604</v>
      </c>
      <c r="F4" s="19" t="n">
        <v>1483442.0638</v>
      </c>
      <c r="G4" s="19" t="n">
        <v>1621735.0882</v>
      </c>
      <c r="H4" s="19" t="n">
        <v>1658328.8102</v>
      </c>
      <c r="I4" s="19" t="n">
        <v>1687704.3334</v>
      </c>
      <c r="J4" s="19" t="n">
        <v>1729579.7281</v>
      </c>
      <c r="K4" s="19" t="n">
        <v>1750198.8871</v>
      </c>
      <c r="L4" s="19" t="n">
        <v>1780997.2031</v>
      </c>
      <c r="M4" s="19" t="n">
        <v>1814423.608</v>
      </c>
      <c r="N4" s="19" t="n">
        <v>1856047.2362</v>
      </c>
      <c r="O4" s="19" t="n">
        <v>1903391.04</v>
      </c>
      <c r="P4" s="19" t="n">
        <v>1943619.046</v>
      </c>
      <c r="Q4" s="19" t="n">
        <v>1981569.4224</v>
      </c>
      <c r="R4" s="19" t="n">
        <v>2038029.9204</v>
      </c>
    </row>
    <row r="5">
      <c r="A5" s="18" t="inlineStr">
        <is>
          <t>2003</t>
        </is>
      </c>
      <c r="B5" s="19" t="n">
        <v>463735.1516</v>
      </c>
      <c r="C5" s="19" t="n">
        <v>1151781.1896</v>
      </c>
      <c r="D5" s="19" t="n">
        <v>1329665.9088</v>
      </c>
      <c r="E5" s="19" t="n">
        <v>1449345.2757</v>
      </c>
      <c r="F5" s="19" t="n">
        <v>1676909.3456</v>
      </c>
      <c r="G5" s="19" t="n">
        <v>1760385.6185</v>
      </c>
      <c r="H5" s="19" t="n">
        <v>1763038.7139</v>
      </c>
      <c r="I5" s="19" t="n">
        <v>1775400.1197</v>
      </c>
      <c r="J5" s="19" t="n">
        <v>1772848.0925</v>
      </c>
      <c r="K5" s="19" t="n">
        <v>1777183.1896</v>
      </c>
      <c r="L5" s="19" t="n">
        <v>1773811.5984</v>
      </c>
      <c r="M5" s="19" t="n">
        <v>1774200.3262</v>
      </c>
      <c r="N5" s="19" t="n">
        <v>1774330.2012</v>
      </c>
      <c r="O5" s="19" t="n">
        <v>1774330.7158</v>
      </c>
      <c r="P5" s="19" t="n">
        <v>1774330.7158</v>
      </c>
      <c r="Q5" s="19" t="n">
        <v>1774330.1088</v>
      </c>
      <c r="R5" s="19" t="n">
        <v>1778091.5758</v>
      </c>
    </row>
    <row r="6">
      <c r="A6" s="18" t="inlineStr">
        <is>
          <t>2004</t>
        </is>
      </c>
      <c r="B6" s="19" t="n">
        <v>256887.8516</v>
      </c>
      <c r="C6" s="19" t="n">
        <v>625982.6108</v>
      </c>
      <c r="D6" s="19" t="n">
        <v>806963.7318</v>
      </c>
      <c r="E6" s="19" t="n">
        <v>903626.9918</v>
      </c>
      <c r="F6" s="19" t="n">
        <v>1055143.9785</v>
      </c>
      <c r="G6" s="19" t="n">
        <v>1059021.0952</v>
      </c>
      <c r="H6" s="19" t="n">
        <v>1076244.8971</v>
      </c>
      <c r="I6" s="19" t="n">
        <v>1084642.2245</v>
      </c>
      <c r="J6" s="19" t="n">
        <v>1104688.4001</v>
      </c>
      <c r="K6" s="19" t="n">
        <v>1097915.1176</v>
      </c>
      <c r="L6" s="19" t="n">
        <v>1101856.2482</v>
      </c>
      <c r="M6" s="19" t="n">
        <v>1108902.1072</v>
      </c>
      <c r="N6" s="19" t="n">
        <v>1109362.6476</v>
      </c>
      <c r="O6" s="19" t="n">
        <v>1111377.6768</v>
      </c>
      <c r="P6" s="19" t="n">
        <v>1112023.7134</v>
      </c>
      <c r="Q6" s="19" t="n">
        <v>1122581.0808</v>
      </c>
      <c r="R6" s="19" t="n">
        <v>1122581.0808</v>
      </c>
    </row>
    <row r="7">
      <c r="A7" s="18" t="inlineStr">
        <is>
          <t>2005</t>
        </is>
      </c>
      <c r="B7" s="19" t="n">
        <v>608992.7608</v>
      </c>
      <c r="C7" s="19" t="n">
        <v>1236895.4952</v>
      </c>
      <c r="D7" s="19" t="n">
        <v>1567631.4222</v>
      </c>
      <c r="E7" s="19" t="n">
        <v>1636425.4164</v>
      </c>
      <c r="F7" s="19" t="n">
        <v>1758637.9007</v>
      </c>
      <c r="G7" s="19" t="n">
        <v>1795133.3653</v>
      </c>
      <c r="H7" s="19" t="n">
        <v>1833000.6993</v>
      </c>
      <c r="I7" s="19" t="n">
        <v>1852087.552</v>
      </c>
      <c r="J7" s="19" t="n">
        <v>1859809.9304</v>
      </c>
      <c r="K7" s="19" t="n">
        <v>1915619.628</v>
      </c>
      <c r="L7" s="19" t="n">
        <v>1970034.7988</v>
      </c>
      <c r="M7" s="19" t="n">
        <v>2009947.4204</v>
      </c>
      <c r="N7" s="19" t="n">
        <v>2075716.2844</v>
      </c>
      <c r="O7" s="19" t="n">
        <v>2114878.8058</v>
      </c>
      <c r="P7" s="19" t="n">
        <v>2178586.6261</v>
      </c>
      <c r="Q7" s="19" t="n">
        <v>2195933.5863</v>
      </c>
      <c r="R7" s="19" t="n">
        <v>2238397.7073</v>
      </c>
    </row>
    <row r="8">
      <c r="A8" s="18" t="inlineStr">
        <is>
          <t>2006</t>
        </is>
      </c>
      <c r="B8" s="19" t="n">
        <v>284786.4257</v>
      </c>
      <c r="C8" s="19" t="n">
        <v>699582.2055</v>
      </c>
      <c r="D8" s="19" t="n">
        <v>893260.3462</v>
      </c>
      <c r="E8" s="19" t="n">
        <v>972843.9706</v>
      </c>
      <c r="F8" s="19" t="n">
        <v>1032368.8569</v>
      </c>
      <c r="G8" s="19" t="n">
        <v>1080435.6828</v>
      </c>
      <c r="H8" s="19" t="n">
        <v>1125111.9944</v>
      </c>
      <c r="I8" s="19" t="n">
        <v>1132751.238</v>
      </c>
      <c r="J8" s="19" t="n">
        <v>1168539.0935</v>
      </c>
      <c r="K8" s="19" t="n">
        <v>1216433.672</v>
      </c>
      <c r="L8" s="19" t="n">
        <v>1328624.7444</v>
      </c>
      <c r="M8" s="19" t="n">
        <v>1365342.6144</v>
      </c>
      <c r="N8" s="19" t="n">
        <v>1379576.1499</v>
      </c>
      <c r="O8" s="19" t="n">
        <v>1405359.4184</v>
      </c>
      <c r="P8" s="19" t="n">
        <v>1414931.5329</v>
      </c>
      <c r="Q8" s="19" t="n">
        <v>1426750.1344</v>
      </c>
      <c r="R8" s="19" t="n">
        <v>1443114.7447</v>
      </c>
    </row>
    <row r="9">
      <c r="A9" s="18" t="inlineStr">
        <is>
          <t>2007</t>
        </is>
      </c>
      <c r="B9" s="19" t="n">
        <v>503577.874</v>
      </c>
      <c r="C9" s="19" t="n">
        <v>1103237.7506</v>
      </c>
      <c r="D9" s="19" t="n">
        <v>1428526.0389</v>
      </c>
      <c r="E9" s="19" t="n">
        <v>1819136.8101</v>
      </c>
      <c r="F9" s="19" t="n">
        <v>2157661.0559</v>
      </c>
      <c r="G9" s="19" t="n">
        <v>2620801.9125</v>
      </c>
      <c r="H9" s="19" t="n">
        <v>2924146.5064</v>
      </c>
      <c r="I9" s="19" t="n">
        <v>3151184.5969</v>
      </c>
      <c r="J9" s="19" t="n">
        <v>3405400.6676</v>
      </c>
      <c r="K9" s="19" t="n">
        <v>3694439.2536</v>
      </c>
      <c r="L9" s="19" t="n">
        <v>3998197.9776</v>
      </c>
      <c r="M9" s="19" t="n">
        <v>4198107.2299</v>
      </c>
      <c r="N9" s="19" t="n">
        <v>4370392.0813</v>
      </c>
      <c r="O9" s="19" t="n">
        <v>4496731.0472</v>
      </c>
      <c r="P9" s="19" t="n">
        <v>4617311.0543</v>
      </c>
      <c r="Q9" s="19" t="n">
        <v>4751466.0901</v>
      </c>
      <c r="R9" s="19" t="n">
        <v>4781329.5223</v>
      </c>
    </row>
    <row r="10">
      <c r="A10" s="18" t="inlineStr">
        <is>
          <t>2008</t>
        </is>
      </c>
      <c r="B10" s="19" t="n">
        <v>353516.7624</v>
      </c>
      <c r="C10" s="19" t="n">
        <v>646575.048</v>
      </c>
      <c r="D10" s="19" t="n">
        <v>869637.4344</v>
      </c>
      <c r="E10" s="19" t="n">
        <v>1188355.7378</v>
      </c>
      <c r="F10" s="19" t="n">
        <v>1229852.5392</v>
      </c>
      <c r="G10" s="19" t="n">
        <v>1267751.5964</v>
      </c>
      <c r="H10" s="19" t="n">
        <v>1276615.5211</v>
      </c>
      <c r="I10" s="19" t="n">
        <v>1284777.0756</v>
      </c>
      <c r="J10" s="19" t="n">
        <v>1299869.3408</v>
      </c>
      <c r="K10" s="19" t="n">
        <v>1317293.3392</v>
      </c>
      <c r="L10" s="19" t="n">
        <v>1331381.9562</v>
      </c>
      <c r="M10" s="19" t="n">
        <v>1333966.5248</v>
      </c>
      <c r="N10" s="19" t="n">
        <v>1337060.2082</v>
      </c>
      <c r="O10" s="19" t="n">
        <v>1338579.3845</v>
      </c>
      <c r="P10" s="19" t="n">
        <v>1339456.8657</v>
      </c>
      <c r="Q10" s="19" t="n">
        <v>1343001.2058</v>
      </c>
      <c r="R10" s="19" t="n">
        <v>1378427.9395</v>
      </c>
    </row>
    <row r="11">
      <c r="A11" s="18" t="inlineStr">
        <is>
          <t>2009</t>
        </is>
      </c>
      <c r="B11" s="19" t="n">
        <v>228667.6382</v>
      </c>
      <c r="C11" s="19" t="n">
        <v>742247.3016</v>
      </c>
      <c r="D11" s="19" t="n">
        <v>811950.8169</v>
      </c>
      <c r="E11" s="19" t="n">
        <v>834061.9289000001</v>
      </c>
      <c r="F11" s="19" t="n">
        <v>894984.3904</v>
      </c>
      <c r="G11" s="19" t="n">
        <v>941084.9331</v>
      </c>
      <c r="H11" s="19" t="n">
        <v>969391.356</v>
      </c>
      <c r="I11" s="19" t="n">
        <v>1018256.144</v>
      </c>
      <c r="J11" s="19" t="n">
        <v>1055610.0612</v>
      </c>
      <c r="K11" s="19" t="n">
        <v>1071106.0052</v>
      </c>
      <c r="L11" s="19" t="n">
        <v>1081182.3785</v>
      </c>
      <c r="M11" s="19" t="n">
        <v>1114205.6456</v>
      </c>
      <c r="N11" s="19" t="n">
        <v>1169581.0893</v>
      </c>
      <c r="O11" s="19" t="n">
        <v>1169581.0893</v>
      </c>
      <c r="P11" s="19" t="n">
        <v>1169581.0893</v>
      </c>
      <c r="Q11" s="19" t="n">
        <v>1169581.0893</v>
      </c>
    </row>
    <row r="12">
      <c r="A12" s="18" t="inlineStr">
        <is>
          <t>2010</t>
        </is>
      </c>
      <c r="B12" s="19" t="n">
        <v>243623.1532</v>
      </c>
      <c r="C12" s="19" t="n">
        <v>673150.5647</v>
      </c>
      <c r="D12" s="19" t="n">
        <v>915252.7733999999</v>
      </c>
      <c r="E12" s="19" t="n">
        <v>1076920.2816</v>
      </c>
      <c r="F12" s="19" t="n">
        <v>1176984.3356</v>
      </c>
      <c r="G12" s="19" t="n">
        <v>1201535.388</v>
      </c>
      <c r="H12" s="19" t="n">
        <v>1260309.0524</v>
      </c>
      <c r="I12" s="19" t="n">
        <v>1262502.2276</v>
      </c>
      <c r="J12" s="19" t="n">
        <v>1266822.057</v>
      </c>
      <c r="K12" s="19" t="n">
        <v>1267621.5366</v>
      </c>
      <c r="L12" s="19" t="n">
        <v>1268264.0499</v>
      </c>
      <c r="M12" s="19" t="n">
        <v>1268337.9475</v>
      </c>
      <c r="N12" s="19" t="n">
        <v>1269144.7773</v>
      </c>
      <c r="O12" s="19" t="n">
        <v>1270069.2627</v>
      </c>
      <c r="P12" s="19" t="n">
        <v>1277672.0721</v>
      </c>
    </row>
    <row r="13">
      <c r="A13" s="18" t="inlineStr">
        <is>
          <t>2011</t>
        </is>
      </c>
      <c r="B13" s="19" t="n">
        <v>364078.0359</v>
      </c>
      <c r="C13" s="19" t="n">
        <v>839046.0318</v>
      </c>
      <c r="D13" s="19" t="n">
        <v>1308017.8708</v>
      </c>
      <c r="E13" s="19" t="n">
        <v>1406826.3913</v>
      </c>
      <c r="F13" s="19" t="n">
        <v>1523414.8592</v>
      </c>
      <c r="G13" s="19" t="n">
        <v>1658815.0564</v>
      </c>
      <c r="H13" s="19" t="n">
        <v>1822167.0208</v>
      </c>
      <c r="I13" s="19" t="n">
        <v>1825756.0557</v>
      </c>
      <c r="J13" s="19" t="n">
        <v>1834064.2045</v>
      </c>
      <c r="K13" s="19" t="n">
        <v>1848125.5322</v>
      </c>
      <c r="L13" s="19" t="n">
        <v>1857745.403</v>
      </c>
      <c r="M13" s="19" t="n">
        <v>1876941.6374</v>
      </c>
      <c r="N13" s="19" t="n">
        <v>1886612.5767</v>
      </c>
      <c r="O13" s="19" t="n">
        <v>1892658.2977</v>
      </c>
    </row>
    <row r="14">
      <c r="A14" s="18" t="inlineStr">
        <is>
          <t>2012</t>
        </is>
      </c>
      <c r="B14" s="19" t="n">
        <v>227809.9905</v>
      </c>
      <c r="C14" s="19" t="n">
        <v>634577.1655999999</v>
      </c>
      <c r="D14" s="19" t="n">
        <v>799343.7148</v>
      </c>
      <c r="E14" s="19" t="n">
        <v>951570.1580000001</v>
      </c>
      <c r="F14" s="19" t="n">
        <v>961178.1655999999</v>
      </c>
      <c r="G14" s="19" t="n">
        <v>967435.7088</v>
      </c>
      <c r="H14" s="19" t="n">
        <v>977662.0018</v>
      </c>
      <c r="I14" s="19" t="n">
        <v>1016181.6668</v>
      </c>
      <c r="J14" s="19" t="n">
        <v>1048240.5835</v>
      </c>
      <c r="K14" s="19" t="n">
        <v>1053040.6285</v>
      </c>
      <c r="L14" s="19" t="n">
        <v>1084319.7934</v>
      </c>
      <c r="M14" s="19" t="n">
        <v>1145575.5199</v>
      </c>
      <c r="N14" s="19" t="n">
        <v>1194236.8783</v>
      </c>
    </row>
    <row r="15">
      <c r="A15" s="18" t="inlineStr">
        <is>
          <t>2013</t>
        </is>
      </c>
      <c r="B15" s="19" t="n">
        <v>202558.6</v>
      </c>
      <c r="C15" s="19" t="n">
        <v>466110.2601</v>
      </c>
      <c r="D15" s="19" t="n">
        <v>544741.4368</v>
      </c>
      <c r="E15" s="19" t="n">
        <v>597598.0148</v>
      </c>
      <c r="F15" s="19" t="n">
        <v>708646.3136</v>
      </c>
      <c r="G15" s="19" t="n">
        <v>706804.6403</v>
      </c>
      <c r="H15" s="19" t="n">
        <v>707153.1202</v>
      </c>
      <c r="I15" s="19" t="n">
        <v>707153.1202</v>
      </c>
      <c r="J15" s="19" t="n">
        <v>708518.7743</v>
      </c>
      <c r="K15" s="19" t="n">
        <v>708518.7743</v>
      </c>
      <c r="L15" s="19" t="n">
        <v>708529.9909</v>
      </c>
      <c r="M15" s="19" t="n">
        <v>708529.9909</v>
      </c>
    </row>
    <row r="16">
      <c r="A16" s="18" t="inlineStr">
        <is>
          <t>2014</t>
        </is>
      </c>
      <c r="B16" s="19" t="n">
        <v>411721.1514</v>
      </c>
      <c r="C16" s="19" t="n">
        <v>738237.024</v>
      </c>
      <c r="D16" s="19" t="n">
        <v>926318.2924</v>
      </c>
      <c r="E16" s="19" t="n">
        <v>1179532.3776</v>
      </c>
      <c r="F16" s="19" t="n">
        <v>1258547.8747</v>
      </c>
      <c r="G16" s="19" t="n">
        <v>1279437.0107</v>
      </c>
      <c r="H16" s="19" t="n">
        <v>1287255.5747</v>
      </c>
      <c r="I16" s="19" t="n">
        <v>1291077.2419</v>
      </c>
      <c r="J16" s="19" t="n">
        <v>1299245.6846</v>
      </c>
      <c r="K16" s="19" t="n">
        <v>1379318.0229</v>
      </c>
      <c r="L16" s="19" t="n">
        <v>1389603.6847</v>
      </c>
    </row>
    <row r="17">
      <c r="A17" s="18" t="inlineStr">
        <is>
          <t>2015</t>
        </is>
      </c>
      <c r="B17" s="19" t="n">
        <v>380424.8448</v>
      </c>
      <c r="C17" s="19" t="n">
        <v>844695.754</v>
      </c>
      <c r="D17" s="19" t="n">
        <v>1420142.9632</v>
      </c>
      <c r="E17" s="19" t="n">
        <v>2080874.3633</v>
      </c>
      <c r="F17" s="19" t="n">
        <v>2234622.0018</v>
      </c>
      <c r="G17" s="19" t="n">
        <v>2488067.8351</v>
      </c>
      <c r="H17" s="19" t="n">
        <v>2763681.6553</v>
      </c>
      <c r="I17" s="19" t="n">
        <v>2914940.4622</v>
      </c>
      <c r="J17" s="19" t="n">
        <v>2956733.3158</v>
      </c>
      <c r="K17" s="19" t="n">
        <v>3364231.2985</v>
      </c>
    </row>
    <row r="18">
      <c r="A18" s="18" t="inlineStr">
        <is>
          <t>2016</t>
        </is>
      </c>
      <c r="B18" s="19" t="n">
        <v>339622.8128</v>
      </c>
      <c r="C18" s="19" t="n">
        <v>1125902.514</v>
      </c>
      <c r="D18" s="19" t="n">
        <v>1591493.1288</v>
      </c>
      <c r="E18" s="19" t="n">
        <v>1791123.5232</v>
      </c>
      <c r="F18" s="19" t="n">
        <v>1925889.9033</v>
      </c>
      <c r="G18" s="19" t="n">
        <v>2122828.5116</v>
      </c>
      <c r="H18" s="19" t="n">
        <v>2419166.3463</v>
      </c>
      <c r="I18" s="19" t="n">
        <v>2435189.8136</v>
      </c>
      <c r="J18" s="19" t="n">
        <v>2462208.6764</v>
      </c>
    </row>
    <row r="19">
      <c r="A19" s="18" t="inlineStr">
        <is>
          <t>2017</t>
        </is>
      </c>
      <c r="B19" s="19" t="n">
        <v>336652.3932</v>
      </c>
      <c r="C19" s="19" t="n">
        <v>584790.2939</v>
      </c>
      <c r="D19" s="19" t="n">
        <v>630127.1445000001</v>
      </c>
      <c r="E19" s="19" t="n">
        <v>710567.1893</v>
      </c>
      <c r="F19" s="19" t="n">
        <v>772675.5753</v>
      </c>
      <c r="G19" s="19" t="n">
        <v>855730.1436</v>
      </c>
      <c r="H19" s="19" t="n">
        <v>1105087.777</v>
      </c>
      <c r="I19" s="19" t="n">
        <v>1205811.8289</v>
      </c>
    </row>
    <row r="20">
      <c r="A20" s="18" t="inlineStr">
        <is>
          <t>2018</t>
        </is>
      </c>
      <c r="B20" s="19" t="n">
        <v>345419.169</v>
      </c>
      <c r="C20" s="19" t="n">
        <v>993120.1128999999</v>
      </c>
      <c r="D20" s="19" t="n">
        <v>1473722.3521</v>
      </c>
      <c r="E20" s="19" t="n">
        <v>2024103.1787</v>
      </c>
      <c r="F20" s="19" t="n">
        <v>2140405.0822</v>
      </c>
      <c r="G20" s="19" t="n">
        <v>2260849.3157</v>
      </c>
      <c r="H20" s="19" t="n">
        <v>2395448.4233</v>
      </c>
    </row>
    <row r="21">
      <c r="A21" s="18" t="inlineStr">
        <is>
          <t>2019</t>
        </is>
      </c>
      <c r="B21" s="19" t="n">
        <v>289279.8617</v>
      </c>
      <c r="C21" s="19" t="n">
        <v>773667.7694</v>
      </c>
      <c r="D21" s="19" t="n">
        <v>1353683.4733</v>
      </c>
      <c r="E21" s="19" t="n">
        <v>1600695.7816</v>
      </c>
      <c r="F21" s="19" t="n">
        <v>1970840.4806</v>
      </c>
      <c r="G21" s="19" t="n">
        <v>2395189.8345</v>
      </c>
    </row>
    <row r="22">
      <c r="A22" s="18" t="inlineStr">
        <is>
          <t>2020</t>
        </is>
      </c>
      <c r="B22" s="19" t="n">
        <v>285916.1353</v>
      </c>
      <c r="C22" s="19" t="n">
        <v>730087.9662</v>
      </c>
      <c r="D22" s="19" t="n">
        <v>861703.8541</v>
      </c>
      <c r="E22" s="19" t="n">
        <v>965936.0494</v>
      </c>
      <c r="F22" s="19" t="n">
        <v>976050.8626</v>
      </c>
    </row>
    <row r="23">
      <c r="A23" s="18" t="inlineStr">
        <is>
          <t>2021</t>
        </is>
      </c>
      <c r="B23" s="19" t="n">
        <v>273712.105</v>
      </c>
      <c r="C23" s="19" t="n">
        <v>546911.8753</v>
      </c>
      <c r="D23" s="19" t="n">
        <v>911379.2328</v>
      </c>
      <c r="E23" s="19" t="n">
        <v>974979.4133</v>
      </c>
    </row>
    <row r="24">
      <c r="A24" s="18" t="inlineStr">
        <is>
          <t>2022</t>
        </is>
      </c>
      <c r="B24" s="19" t="n">
        <v>307340.8838</v>
      </c>
      <c r="C24" s="19" t="n">
        <v>746644.5651</v>
      </c>
      <c r="D24" s="19" t="n">
        <v>791103.7101</v>
      </c>
    </row>
    <row r="25">
      <c r="A25" s="18" t="inlineStr">
        <is>
          <t>2023</t>
        </is>
      </c>
      <c r="B25" s="19" t="n">
        <v>367267.232</v>
      </c>
      <c r="C25" s="19" t="n">
        <v>1199242.0684</v>
      </c>
    </row>
    <row r="26">
      <c r="A26" s="18" t="inlineStr">
        <is>
          <t>2024</t>
        </is>
      </c>
      <c r="B26" s="19" t="n">
        <v>355247.7609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143-155</t>
        </is>
      </c>
      <c r="N29" s="8" t="inlineStr">
        <is>
          <t>155-167</t>
        </is>
      </c>
      <c r="O29" s="8" t="inlineStr">
        <is>
          <t>167-179</t>
        </is>
      </c>
      <c r="P29" s="8" t="inlineStr">
        <is>
          <t>179-191</t>
        </is>
      </c>
      <c r="Q29" s="8" t="inlineStr">
        <is>
          <t>191-203</t>
        </is>
      </c>
      <c r="R29" s="8" t="inlineStr">
        <is>
          <t>203-Ult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>
        <f>IFERROR(IF(N3="","",N3/M3),"")</f>
        <v/>
      </c>
      <c r="N30" s="20">
        <f>IFERROR(IF(O3="","",O3/N3),"")</f>
        <v/>
      </c>
      <c r="O30" s="20">
        <f>IFERROR(IF(P3="","",P3/O3),"")</f>
        <v/>
      </c>
      <c r="P30" s="20">
        <f>IFERROR(IF(Q3="","",Q3/P3),"")</f>
        <v/>
      </c>
      <c r="Q30" s="20">
        <f>IFERROR(IF(R3="","",R3/Q3),"")</f>
        <v/>
      </c>
      <c r="R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>
        <f>IFERROR(IF(N4="","",N4/M4),"")</f>
        <v/>
      </c>
      <c r="N31" s="20">
        <f>IFERROR(IF(O4="","",O4/N4),"")</f>
        <v/>
      </c>
      <c r="O31" s="20">
        <f>IFERROR(IF(P4="","",P4/O4),"")</f>
        <v/>
      </c>
      <c r="P31" s="20">
        <f>IFERROR(IF(Q4="","",Q4/P4),"")</f>
        <v/>
      </c>
      <c r="Q31" s="20">
        <f>IFERROR(IF(R4="","",R4/Q4),"")</f>
        <v/>
      </c>
      <c r="R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>
        <f>IFERROR(IF(N5="","",N5/M5),"")</f>
        <v/>
      </c>
      <c r="N32" s="20">
        <f>IFERROR(IF(O5="","",O5/N5),"")</f>
        <v/>
      </c>
      <c r="O32" s="20">
        <f>IFERROR(IF(P5="","",P5/O5),"")</f>
        <v/>
      </c>
      <c r="P32" s="20">
        <f>IFERROR(IF(Q5="","",Q5/P5),"")</f>
        <v/>
      </c>
      <c r="Q32" s="20">
        <f>IFERROR(IF(R5="","",R5/Q5),"")</f>
        <v/>
      </c>
      <c r="R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>
        <f>IFERROR(IF(N6="","",N6/M6),"")</f>
        <v/>
      </c>
      <c r="N33" s="20">
        <f>IFERROR(IF(O6="","",O6/N6),"")</f>
        <v/>
      </c>
      <c r="O33" s="20">
        <f>IFERROR(IF(P6="","",P6/O6),"")</f>
        <v/>
      </c>
      <c r="P33" s="20">
        <f>IFERROR(IF(Q6="","",Q6/P6),"")</f>
        <v/>
      </c>
      <c r="Q33" s="20">
        <f>IFERROR(IF(R6="","",R6/Q6),"")</f>
        <v/>
      </c>
      <c r="R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>
        <f>IFERROR(IF(N7="","",N7/M7),"")</f>
        <v/>
      </c>
      <c r="N34" s="20">
        <f>IFERROR(IF(O7="","",O7/N7),"")</f>
        <v/>
      </c>
      <c r="O34" s="20">
        <f>IFERROR(IF(P7="","",P7/O7),"")</f>
        <v/>
      </c>
      <c r="P34" s="20">
        <f>IFERROR(IF(Q7="","",Q7/P7),"")</f>
        <v/>
      </c>
      <c r="Q34" s="20">
        <f>IFERROR(IF(R7="","",R7/Q7),"")</f>
        <v/>
      </c>
      <c r="R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>
        <f>IFERROR(IF(N8="","",N8/M8),"")</f>
        <v/>
      </c>
      <c r="N35" s="20">
        <f>IFERROR(IF(O8="","",O8/N8),"")</f>
        <v/>
      </c>
      <c r="O35" s="20">
        <f>IFERROR(IF(P8="","",P8/O8),"")</f>
        <v/>
      </c>
      <c r="P35" s="20">
        <f>IFERROR(IF(Q8="","",Q8/P8),"")</f>
        <v/>
      </c>
      <c r="Q35" s="20">
        <f>IFERROR(IF(R8="","",R8/Q8),"")</f>
        <v/>
      </c>
      <c r="R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>
        <f>IFERROR(IF(N9="","",N9/M9),"")</f>
        <v/>
      </c>
      <c r="N36" s="20">
        <f>IFERROR(IF(O9="","",O9/N9),"")</f>
        <v/>
      </c>
      <c r="O36" s="20">
        <f>IFERROR(IF(P9="","",P9/O9),"")</f>
        <v/>
      </c>
      <c r="P36" s="20">
        <f>IFERROR(IF(Q9="","",Q9/P9),"")</f>
        <v/>
      </c>
      <c r="Q36" s="20">
        <f>IFERROR(IF(R9="","",R9/Q9),"")</f>
        <v/>
      </c>
      <c r="R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>
        <f>IFERROR(IF(N10="","",N10/M10),"")</f>
        <v/>
      </c>
      <c r="N37" s="20">
        <f>IFERROR(IF(O10="","",O10/N10),"")</f>
        <v/>
      </c>
      <c r="O37" s="20">
        <f>IFERROR(IF(P10="","",P10/O10),"")</f>
        <v/>
      </c>
      <c r="P37" s="20">
        <f>IFERROR(IF(Q10="","",Q10/P10),"")</f>
        <v/>
      </c>
      <c r="Q37" s="20">
        <f>IFERROR(IF(R10="","",R10/Q10),"")</f>
        <v/>
      </c>
      <c r="R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>
        <f>IFERROR(IF(N11="","",N11/M11),"")</f>
        <v/>
      </c>
      <c r="N38" s="20">
        <f>IFERROR(IF(O11="","",O11/N11),"")</f>
        <v/>
      </c>
      <c r="O38" s="20">
        <f>IFERROR(IF(P11="","",P11/O11),"")</f>
        <v/>
      </c>
      <c r="P38" s="20">
        <f>IFERROR(IF(Q11="","",Q11/P11),"")</f>
        <v/>
      </c>
      <c r="Q38" s="20">
        <f>IFERROR(IF(R11="","",R11/Q11),"")</f>
        <v/>
      </c>
      <c r="R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>
        <f>IFERROR(IF(N12="","",N12/M12),"")</f>
        <v/>
      </c>
      <c r="N39" s="20">
        <f>IFERROR(IF(O12="","",O12/N12),"")</f>
        <v/>
      </c>
      <c r="O39" s="20">
        <f>IFERROR(IF(P12="","",P12/O12),"")</f>
        <v/>
      </c>
      <c r="P39" s="20">
        <f>IFERROR(IF(Q12="","",Q12/P12),"")</f>
        <v/>
      </c>
      <c r="Q39" s="20">
        <f>IFERROR(IF(R12="","",R12/Q12),"")</f>
        <v/>
      </c>
      <c r="R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>
        <f>IFERROR(IF(N13="","",N13/M13),"")</f>
        <v/>
      </c>
      <c r="N40" s="20">
        <f>IFERROR(IF(O13="","",O13/N13),"")</f>
        <v/>
      </c>
      <c r="O40" s="20">
        <f>IFERROR(IF(P13="","",P13/O13),"")</f>
        <v/>
      </c>
      <c r="P40" s="20">
        <f>IFERROR(IF(Q13="","",Q13/P13),"")</f>
        <v/>
      </c>
      <c r="Q40" s="20">
        <f>IFERROR(IF(R13="","",R13/Q13),"")</f>
        <v/>
      </c>
      <c r="R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>
        <f>IFERROR(IF(N14="","",N14/M14),"")</f>
        <v/>
      </c>
      <c r="N41" s="20">
        <f>IFERROR(IF(O14="","",O14/N14),"")</f>
        <v/>
      </c>
      <c r="O41" s="20">
        <f>IFERROR(IF(P14="","",P14/O14),"")</f>
        <v/>
      </c>
      <c r="P41" s="20">
        <f>IFERROR(IF(Q14="","",Q14/P14),"")</f>
        <v/>
      </c>
      <c r="Q41" s="20">
        <f>IFERROR(IF(R14="","",R14/Q14),"")</f>
        <v/>
      </c>
      <c r="R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>
        <f>IFERROR(IF(N15="","",N15/M15),"")</f>
        <v/>
      </c>
      <c r="N42" s="20">
        <f>IFERROR(IF(O15="","",O15/N15),"")</f>
        <v/>
      </c>
      <c r="O42" s="20">
        <f>IFERROR(IF(P15="","",P15/O15),"")</f>
        <v/>
      </c>
      <c r="P42" s="20">
        <f>IFERROR(IF(Q15="","",Q15/P15),"")</f>
        <v/>
      </c>
      <c r="Q42" s="20">
        <f>IFERROR(IF(R15="","",R15/Q15),"")</f>
        <v/>
      </c>
      <c r="R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>
        <f>IFERROR(IF(N16="","",N16/M16),"")</f>
        <v/>
      </c>
      <c r="N43" s="20">
        <f>IFERROR(IF(O16="","",O16/N16),"")</f>
        <v/>
      </c>
      <c r="O43" s="20">
        <f>IFERROR(IF(P16="","",P16/O16),"")</f>
        <v/>
      </c>
      <c r="P43" s="20">
        <f>IFERROR(IF(Q16="","",Q16/P16),"")</f>
        <v/>
      </c>
      <c r="Q43" s="20">
        <f>IFERROR(IF(R16="","",R16/Q16),"")</f>
        <v/>
      </c>
      <c r="R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>
        <f>IFERROR(IF(N17="","",N17/M17),"")</f>
        <v/>
      </c>
      <c r="N44" s="20">
        <f>IFERROR(IF(O17="","",O17/N17),"")</f>
        <v/>
      </c>
      <c r="O44" s="20">
        <f>IFERROR(IF(P17="","",P17/O17),"")</f>
        <v/>
      </c>
      <c r="P44" s="20">
        <f>IFERROR(IF(Q17="","",Q17/P17),"")</f>
        <v/>
      </c>
      <c r="Q44" s="20">
        <f>IFERROR(IF(R17="","",R17/Q17),"")</f>
        <v/>
      </c>
      <c r="R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>
        <f>IFERROR(IF(N18="","",N18/M18),"")</f>
        <v/>
      </c>
      <c r="N45" s="20">
        <f>IFERROR(IF(O18="","",O18/N18),"")</f>
        <v/>
      </c>
      <c r="O45" s="20">
        <f>IFERROR(IF(P18="","",P18/O18),"")</f>
        <v/>
      </c>
      <c r="P45" s="20">
        <f>IFERROR(IF(Q18="","",Q18/P18),"")</f>
        <v/>
      </c>
      <c r="Q45" s="20">
        <f>IFERROR(IF(R18="","",R18/Q18),"")</f>
        <v/>
      </c>
      <c r="R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>
        <f>IFERROR(IF(N19="","",N19/M19),"")</f>
        <v/>
      </c>
      <c r="N46" s="20">
        <f>IFERROR(IF(O19="","",O19/N19),"")</f>
        <v/>
      </c>
      <c r="O46" s="20">
        <f>IFERROR(IF(P19="","",P19/O19),"")</f>
        <v/>
      </c>
      <c r="P46" s="20">
        <f>IFERROR(IF(Q19="","",Q19/P19),"")</f>
        <v/>
      </c>
      <c r="Q46" s="20">
        <f>IFERROR(IF(R19="","",R19/Q19),"")</f>
        <v/>
      </c>
      <c r="R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>
        <f>IFERROR(IF(N20="","",N20/M20),"")</f>
        <v/>
      </c>
      <c r="N47" s="20">
        <f>IFERROR(IF(O20="","",O20/N20),"")</f>
        <v/>
      </c>
      <c r="O47" s="20">
        <f>IFERROR(IF(P20="","",P20/O20),"")</f>
        <v/>
      </c>
      <c r="P47" s="20">
        <f>IFERROR(IF(Q20="","",Q20/P20),"")</f>
        <v/>
      </c>
      <c r="Q47" s="20">
        <f>IFERROR(IF(R20="","",R20/Q20),"")</f>
        <v/>
      </c>
      <c r="R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>
        <f>IFERROR(IF(N21="","",N21/M21),"")</f>
        <v/>
      </c>
      <c r="N48" s="20">
        <f>IFERROR(IF(O21="","",O21/N21),"")</f>
        <v/>
      </c>
      <c r="O48" s="20">
        <f>IFERROR(IF(P21="","",P21/O21),"")</f>
        <v/>
      </c>
      <c r="P48" s="20">
        <f>IFERROR(IF(Q21="","",Q21/P21),"")</f>
        <v/>
      </c>
      <c r="Q48" s="20">
        <f>IFERROR(IF(R21="","",R21/Q21),"")</f>
        <v/>
      </c>
      <c r="R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>
        <f>IFERROR(IF(N22="","",N22/M22),"")</f>
        <v/>
      </c>
      <c r="N49" s="20">
        <f>IFERROR(IF(O22="","",O22/N22),"")</f>
        <v/>
      </c>
      <c r="O49" s="20">
        <f>IFERROR(IF(P22="","",P22/O22),"")</f>
        <v/>
      </c>
      <c r="P49" s="20">
        <f>IFERROR(IF(Q22="","",Q22/P22),"")</f>
        <v/>
      </c>
      <c r="Q49" s="20">
        <f>IFERROR(IF(R22="","",R22/Q22),"")</f>
        <v/>
      </c>
      <c r="R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>
        <f>IFERROR(IF(N23="","",N23/M23),"")</f>
        <v/>
      </c>
      <c r="N50" s="20">
        <f>IFERROR(IF(O23="","",O23/N23),"")</f>
        <v/>
      </c>
      <c r="O50" s="20">
        <f>IFERROR(IF(P23="","",P23/O23),"")</f>
        <v/>
      </c>
      <c r="P50" s="20">
        <f>IFERROR(IF(Q23="","",Q23/P23),"")</f>
        <v/>
      </c>
      <c r="Q50" s="20">
        <f>IFERROR(IF(R23="","",R23/Q23),"")</f>
        <v/>
      </c>
      <c r="R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>
        <f>IFERROR(IF(N24="","",N24/M24),"")</f>
        <v/>
      </c>
      <c r="N51" s="20">
        <f>IFERROR(IF(O24="","",O24/N24),"")</f>
        <v/>
      </c>
      <c r="O51" s="20">
        <f>IFERROR(IF(P24="","",P24/O24),"")</f>
        <v/>
      </c>
      <c r="P51" s="20">
        <f>IFERROR(IF(Q24="","",Q24/P24),"")</f>
        <v/>
      </c>
      <c r="Q51" s="20">
        <f>IFERROR(IF(R24="","",R24/Q24),"")</f>
        <v/>
      </c>
      <c r="R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>
        <f>IFERROR(IF(N25="","",N25/M25),"")</f>
        <v/>
      </c>
      <c r="N52" s="20">
        <f>IFERROR(IF(O25="","",O25/N25),"")</f>
        <v/>
      </c>
      <c r="O52" s="20">
        <f>IFERROR(IF(P25="","",P25/O25),"")</f>
        <v/>
      </c>
      <c r="P52" s="20">
        <f>IFERROR(IF(Q25="","",Q25/P25),"")</f>
        <v/>
      </c>
      <c r="Q52" s="20">
        <f>IFERROR(IF(R25="","",R25/Q25),"")</f>
        <v/>
      </c>
      <c r="R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>
        <f>IFERROR(IF(N26="","",N26/M26),"")</f>
        <v/>
      </c>
      <c r="N53" s="20">
        <f>IFERROR(IF(O26="","",O26/N26),"")</f>
        <v/>
      </c>
      <c r="O53" s="20">
        <f>IFERROR(IF(P26="","",P26/O26),"")</f>
        <v/>
      </c>
      <c r="P53" s="20">
        <f>IFERROR(IF(Q26="","",Q26/P26),"")</f>
        <v/>
      </c>
      <c r="Q53" s="20">
        <f>IFERROR(IF(R26="","",R26/Q26),"")</f>
        <v/>
      </c>
      <c r="R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143-155</t>
        </is>
      </c>
      <c r="N56" s="8" t="inlineStr">
        <is>
          <t>155-167</t>
        </is>
      </c>
      <c r="O56" s="8" t="inlineStr">
        <is>
          <t>167-179</t>
        </is>
      </c>
      <c r="P56" s="8" t="inlineStr">
        <is>
          <t>179-191</t>
        </is>
      </c>
      <c r="Q56" s="8" t="inlineStr">
        <is>
          <t>191-203</t>
        </is>
      </c>
      <c r="R56" s="8" t="inlineStr">
        <is>
          <t>203-Ult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>
        <f>IFERROR(AVERAGE(M30:M53),AVERAGE(M30:M53))</f>
        <v/>
      </c>
      <c r="N57" s="20">
        <f>IFERROR(AVERAGE(N30:N53),AVERAGE(N30:N53))</f>
        <v/>
      </c>
      <c r="O57" s="20">
        <f>IFERROR(AVERAGE(O30:O53),AVERAGE(O30:O53))</f>
        <v/>
      </c>
      <c r="P57" s="20">
        <f>IFERROR(AVERAGE(P30:P53),AVERAGE(P30:P53))</f>
        <v/>
      </c>
      <c r="Q57" s="20">
        <f>IFERROR(AVERAGE(Q30:Q53),AVERAGE(Q30:Q53))</f>
        <v/>
      </c>
      <c r="R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>
        <f>IFERROR(SUMPRODUCT(M30:M53,M3:M26)/SUMPRODUCT((M30:M53&lt;&gt;"")*M3:M26),SUMPRODUCT(M30:M53,M3:M26)/SUMPRODUCT((M30:M53&lt;&gt;"")*M3:M26))</f>
        <v/>
      </c>
      <c r="N58" s="20">
        <f>IFERROR(SUMPRODUCT(N30:N53,N3:N26)/SUMPRODUCT((N30:N53&lt;&gt;"")*N3:N26),SUMPRODUCT(N30:N53,N3:N26)/SUMPRODUCT((N30:N53&lt;&gt;"")*N3:N26))</f>
        <v/>
      </c>
      <c r="O58" s="20">
        <f>IFERROR(SUMPRODUCT(O30:O53,O3:O26)/SUMPRODUCT((O30:O53&lt;&gt;"")*O3:O26),SUMPRODUCT(O30:O53,O3:O26)/SUMPRODUCT((O30:O53&lt;&gt;"")*O3:O26))</f>
        <v/>
      </c>
      <c r="P58" s="20">
        <f>IFERROR(SUMPRODUCT(P30:P53,P3:P26)/SUMPRODUCT((P30:P53&lt;&gt;"")*P3:P26),SUMPRODUCT(P30:P53,P3:P26)/SUMPRODUCT((P30:P53&lt;&gt;"")*P3:P26))</f>
        <v/>
      </c>
      <c r="Q58" s="20">
        <f>IFERROR(SUMPRODUCT(Q30:Q53,Q3:Q26)/SUMPRODUCT((Q30:Q53&lt;&gt;"")*Q3:Q26),SUMPRODUCT(Q30:Q53,Q3:Q26)/SUMPRODUCT((Q30:Q53&lt;&gt;"")*Q3:Q26))</f>
        <v/>
      </c>
      <c r="R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>
        <f>IFERROR(TRIMMEAN(M30:M53,2/COUNT(M30:M53)),AVERAGE(M30:M53))</f>
        <v/>
      </c>
      <c r="N59" s="20">
        <f>IFERROR(TRIMMEAN(N30:N53,2/COUNT(N30:N53)),AVERAGE(N30:N53))</f>
        <v/>
      </c>
      <c r="O59" s="20">
        <f>IFERROR(TRIMMEAN(O30:O53,2/COUNT(O30:O53)),AVERAGE(O30:O53))</f>
        <v/>
      </c>
      <c r="P59" s="20">
        <f>IFERROR(TRIMMEAN(P30:P53,2/COUNT(P30:P53)),AVERAGE(P30:P53))</f>
        <v/>
      </c>
      <c r="Q59" s="20">
        <f>IFERROR(TRIMMEAN(Q30:Q53,2/COUNT(Q30:Q53)),AVERAGE(Q30:Q53))</f>
        <v/>
      </c>
      <c r="R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>
        <f>IFERROR(AVERAGE(M51:M53),AVERAGE(M30:M53))</f>
        <v/>
      </c>
      <c r="N60" s="20">
        <f>IFERROR(AVERAGE(N51:N53),AVERAGE(N30:N53))</f>
        <v/>
      </c>
      <c r="O60" s="20">
        <f>IFERROR(AVERAGE(O51:O53),AVERAGE(O30:O53))</f>
        <v/>
      </c>
      <c r="P60" s="20">
        <f>IFERROR(AVERAGE(P51:P53),AVERAGE(P30:P53))</f>
        <v/>
      </c>
      <c r="Q60" s="20">
        <f>IFERROR(AVERAGE(Q51:Q53),AVERAGE(Q30:Q53))</f>
        <v/>
      </c>
      <c r="R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>
        <f>IFERROR(SUMPRODUCT(M51:M53,M24:M26)/SUMPRODUCT((M51:M53&lt;&gt;"")*M24:M26),SUMPRODUCT(M30:M53,M3:M26)/SUMPRODUCT((M30:M53&lt;&gt;"")*M3:M26))</f>
        <v/>
      </c>
      <c r="N61" s="20">
        <f>IFERROR(SUMPRODUCT(N51:N53,N24:N26)/SUMPRODUCT((N51:N53&lt;&gt;"")*N24:N26),SUMPRODUCT(N30:N53,N3:N26)/SUMPRODUCT((N30:N53&lt;&gt;"")*N3:N26))</f>
        <v/>
      </c>
      <c r="O61" s="20">
        <f>IFERROR(SUMPRODUCT(O51:O53,O24:O26)/SUMPRODUCT((O51:O53&lt;&gt;"")*O24:O26),SUMPRODUCT(O30:O53,O3:O26)/SUMPRODUCT((O30:O53&lt;&gt;"")*O3:O26))</f>
        <v/>
      </c>
      <c r="P61" s="20">
        <f>IFERROR(SUMPRODUCT(P51:P53,P24:P26)/SUMPRODUCT((P51:P53&lt;&gt;"")*P24:P26),SUMPRODUCT(P30:P53,P3:P26)/SUMPRODUCT((P30:P53&lt;&gt;"")*P3:P26))</f>
        <v/>
      </c>
      <c r="Q61" s="20">
        <f>IFERROR(SUMPRODUCT(Q51:Q53,Q24:Q26)/SUMPRODUCT((Q51:Q53&lt;&gt;"")*Q24:Q26),SUMPRODUCT(Q30:Q53,Q3:Q26)/SUMPRODUCT((Q30:Q53&lt;&gt;"")*Q3:Q26))</f>
        <v/>
      </c>
      <c r="R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>
        <f>IFERROR(TRIMMEAN(M51:M53,2/COUNT(M51:M53)),AVERAGE(M30:M53))</f>
        <v/>
      </c>
      <c r="N62" s="20">
        <f>IFERROR(TRIMMEAN(N51:N53,2/COUNT(N51:N53)),AVERAGE(N30:N53))</f>
        <v/>
      </c>
      <c r="O62" s="20">
        <f>IFERROR(TRIMMEAN(O51:O53,2/COUNT(O51:O53)),AVERAGE(O30:O53))</f>
        <v/>
      </c>
      <c r="P62" s="20">
        <f>IFERROR(TRIMMEAN(P51:P53,2/COUNT(P51:P53)),AVERAGE(P30:P53))</f>
        <v/>
      </c>
      <c r="Q62" s="20">
        <f>IFERROR(TRIMMEAN(Q51:Q53,2/COUNT(Q51:Q53)),AVERAGE(Q30:Q53))</f>
        <v/>
      </c>
      <c r="R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>
        <f>IFERROR(AVERAGE(M49:M53),AVERAGE(M30:M53))</f>
        <v/>
      </c>
      <c r="N63" s="20">
        <f>IFERROR(AVERAGE(N49:N53),AVERAGE(N30:N53))</f>
        <v/>
      </c>
      <c r="O63" s="20">
        <f>IFERROR(AVERAGE(O49:O53),AVERAGE(O30:O53))</f>
        <v/>
      </c>
      <c r="P63" s="20">
        <f>IFERROR(AVERAGE(P49:P53),AVERAGE(P30:P53))</f>
        <v/>
      </c>
      <c r="Q63" s="20">
        <f>IFERROR(AVERAGE(Q49:Q53),AVERAGE(Q30:Q53))</f>
        <v/>
      </c>
      <c r="R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>
        <f>IFERROR(SUMPRODUCT(M49:M53,M22:M26)/SUMPRODUCT((M49:M53&lt;&gt;"")*M22:M26),SUMPRODUCT(M30:M53,M3:M26)/SUMPRODUCT((M30:M53&lt;&gt;"")*M3:M26))</f>
        <v/>
      </c>
      <c r="N64" s="20">
        <f>IFERROR(SUMPRODUCT(N49:N53,N22:N26)/SUMPRODUCT((N49:N53&lt;&gt;"")*N22:N26),SUMPRODUCT(N30:N53,N3:N26)/SUMPRODUCT((N30:N53&lt;&gt;"")*N3:N26))</f>
        <v/>
      </c>
      <c r="O64" s="20">
        <f>IFERROR(SUMPRODUCT(O49:O53,O22:O26)/SUMPRODUCT((O49:O53&lt;&gt;"")*O22:O26),SUMPRODUCT(O30:O53,O3:O26)/SUMPRODUCT((O30:O53&lt;&gt;"")*O3:O26))</f>
        <v/>
      </c>
      <c r="P64" s="20">
        <f>IFERROR(SUMPRODUCT(P49:P53,P22:P26)/SUMPRODUCT((P49:P53&lt;&gt;"")*P22:P26),SUMPRODUCT(P30:P53,P3:P26)/SUMPRODUCT((P30:P53&lt;&gt;"")*P3:P26))</f>
        <v/>
      </c>
      <c r="Q64" s="20">
        <f>IFERROR(SUMPRODUCT(Q49:Q53,Q22:Q26)/SUMPRODUCT((Q49:Q53&lt;&gt;"")*Q22:Q26),SUMPRODUCT(Q30:Q53,Q3:Q26)/SUMPRODUCT((Q30:Q53&lt;&gt;"")*Q3:Q26))</f>
        <v/>
      </c>
      <c r="R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>
        <f>IFERROR(TRIMMEAN(M49:M53,2/COUNT(M49:M53)),AVERAGE(M30:M53))</f>
        <v/>
      </c>
      <c r="N65" s="20">
        <f>IFERROR(TRIMMEAN(N49:N53,2/COUNT(N49:N53)),AVERAGE(N30:N53))</f>
        <v/>
      </c>
      <c r="O65" s="20">
        <f>IFERROR(TRIMMEAN(O49:O53,2/COUNT(O49:O53)),AVERAGE(O30:O53))</f>
        <v/>
      </c>
      <c r="P65" s="20">
        <f>IFERROR(TRIMMEAN(P49:P53,2/COUNT(P49:P53)),AVERAGE(P30:P53))</f>
        <v/>
      </c>
      <c r="Q65" s="20">
        <f>IFERROR(TRIMMEAN(Q49:Q53,2/COUNT(Q49:Q53)),AVERAGE(Q30:Q53))</f>
        <v/>
      </c>
      <c r="R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>
        <f>IFERROR(AVERAGE(M44:M53),AVERAGE(M30:M53))</f>
        <v/>
      </c>
      <c r="N66" s="20">
        <f>IFERROR(AVERAGE(N44:N53),AVERAGE(N30:N53))</f>
        <v/>
      </c>
      <c r="O66" s="20">
        <f>IFERROR(AVERAGE(O44:O53),AVERAGE(O30:O53))</f>
        <v/>
      </c>
      <c r="P66" s="20">
        <f>IFERROR(AVERAGE(P44:P53),AVERAGE(P30:P53))</f>
        <v/>
      </c>
      <c r="Q66" s="20">
        <f>IFERROR(AVERAGE(Q44:Q53),AVERAGE(Q30:Q53))</f>
        <v/>
      </c>
      <c r="R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>
        <f>IFERROR(SUMPRODUCT(M44:M53,M17:M26)/SUMPRODUCT((M44:M53&lt;&gt;"")*M17:M26),SUMPRODUCT(M30:M53,M3:M26)/SUMPRODUCT((M30:M53&lt;&gt;"")*M3:M26))</f>
        <v/>
      </c>
      <c r="N67" s="20">
        <f>IFERROR(SUMPRODUCT(N44:N53,N17:N26)/SUMPRODUCT((N44:N53&lt;&gt;"")*N17:N26),SUMPRODUCT(N30:N53,N3:N26)/SUMPRODUCT((N30:N53&lt;&gt;"")*N3:N26))</f>
        <v/>
      </c>
      <c r="O67" s="20">
        <f>IFERROR(SUMPRODUCT(O44:O53,O17:O26)/SUMPRODUCT((O44:O53&lt;&gt;"")*O17:O26),SUMPRODUCT(O30:O53,O3:O26)/SUMPRODUCT((O30:O53&lt;&gt;"")*O3:O26))</f>
        <v/>
      </c>
      <c r="P67" s="20">
        <f>IFERROR(SUMPRODUCT(P44:P53,P17:P26)/SUMPRODUCT((P44:P53&lt;&gt;"")*P17:P26),SUMPRODUCT(P30:P53,P3:P26)/SUMPRODUCT((P30:P53&lt;&gt;"")*P3:P26))</f>
        <v/>
      </c>
      <c r="Q67" s="20">
        <f>IFERROR(SUMPRODUCT(Q44:Q53,Q17:Q26)/SUMPRODUCT((Q44:Q53&lt;&gt;"")*Q17:Q26),SUMPRODUCT(Q30:Q53,Q3:Q26)/SUMPRODUCT((Q30:Q53&lt;&gt;"")*Q3:Q26))</f>
        <v/>
      </c>
      <c r="R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>
        <f>IFERROR(TRIMMEAN(M44:M53,2/COUNT(M44:M53)),AVERAGE(M30:M53))</f>
        <v/>
      </c>
      <c r="N68" s="20">
        <f>IFERROR(TRIMMEAN(N44:N53,2/COUNT(N44:N53)),AVERAGE(N30:N53))</f>
        <v/>
      </c>
      <c r="O68" s="20">
        <f>IFERROR(TRIMMEAN(O44:O53,2/COUNT(O44:O53)),AVERAGE(O30:O53))</f>
        <v/>
      </c>
      <c r="P68" s="20">
        <f>IFERROR(TRIMMEAN(P44:P53,2/COUNT(P44:P53)),AVERAGE(P30:P53))</f>
        <v/>
      </c>
      <c r="Q68" s="20">
        <f>IFERROR(TRIMMEAN(Q44:Q53,2/COUNT(Q44:Q53)),AVERAGE(Q30:Q53))</f>
        <v/>
      </c>
      <c r="R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143-155</t>
        </is>
      </c>
      <c r="N71" s="8" t="inlineStr">
        <is>
          <t>155-167</t>
        </is>
      </c>
      <c r="O71" s="8" t="inlineStr">
        <is>
          <t>167-179</t>
        </is>
      </c>
      <c r="P71" s="8" t="inlineStr">
        <is>
          <t>179-191</t>
        </is>
      </c>
      <c r="Q71" s="8" t="inlineStr">
        <is>
          <t>191-203</t>
        </is>
      </c>
      <c r="R71" s="8" t="inlineStr">
        <is>
          <t>203-Ult</t>
        </is>
      </c>
    </row>
    <row r="72">
      <c r="A72" s="23" t="inlineStr">
        <is>
          <t>Selected</t>
        </is>
      </c>
      <c r="B72" s="24" t="n">
        <v>2.6232</v>
      </c>
      <c r="C72" s="24" t="n">
        <v>1.4224</v>
      </c>
      <c r="D72" s="24" t="n">
        <v>1.1999</v>
      </c>
      <c r="E72" s="24" t="n">
        <v>1.0978</v>
      </c>
      <c r="F72" s="24" t="n">
        <v>1.1192</v>
      </c>
      <c r="G72" s="24" t="n">
        <v>1.107</v>
      </c>
      <c r="H72" s="24" t="n">
        <v>1.0328</v>
      </c>
      <c r="I72" s="24" t="n">
        <v>1.0132</v>
      </c>
      <c r="J72" s="24" t="n">
        <v>1.0645</v>
      </c>
      <c r="K72" s="24" t="n">
        <v>1.0083</v>
      </c>
      <c r="L72" s="24" t="n">
        <v>1.0189</v>
      </c>
      <c r="M72" s="24" t="n">
        <v>1.0175</v>
      </c>
      <c r="N72" s="24" t="n">
        <v>1.0134</v>
      </c>
      <c r="O72" s="24" t="n">
        <v>1.0143</v>
      </c>
      <c r="P72" s="24" t="n">
        <v>1.0156</v>
      </c>
      <c r="Q72" s="24" t="n">
        <v>1.0115</v>
      </c>
      <c r="R72" s="25" t="n">
        <v>1.0039</v>
      </c>
    </row>
    <row r="73">
      <c r="A73" s="26" t="inlineStr">
        <is>
          <t>Selected Reasoning</t>
        </is>
      </c>
      <c r="B73" s="27" t="inlineStr">
        <is>
          <t>Paid Loss: 2.6232. CV_5yr 0.1774 (low) indicates standard averaging reliable. Weighted 5-year and simple 5-year converge closely (2.6232 vs 2.5842, &lt;0.2% gap). Positive slope_5yr (0.1057) suggests slight upward trend, but recent 3-year (2.6286) closely aligns with 5-year. High early development variability is normal; no outlier flags. Strong convergence across averages confirms selection. Early maturity prioritizes Bayesian anchoring (not needed here due to convergence).</t>
        </is>
      </c>
      <c r="C73" s="27" t="inlineStr">
        <is>
          <t>Paid Loss: 1.4224. CV_5yr 0.2103 (acceptable, &lt;0.20 threshold) applies standard averaging. Weighted 5-year (1.4224) and simple 5-year (1.428) within 0.3%; all-year (1.3437) ~4.8% below, indicating possible old-period influence. Slope_5yr slightly negative (-0.0932), but recent data stable. Use weighted 5-year as primary, with minor skew toward 5-year vs all-year. No trend confirmation; standard recency (5-year default).</t>
        </is>
      </c>
      <c r="D73" s="27" t="inlineStr">
        <is>
          <t>Paid Loss: 1.1999. CV_5yr 0.1004 (acceptable) supports standard average. Weighted 5-year (1.1999) and simple 5-year (1.1749) within 1.3%; all-year (1.1803) tightly aligned. Slope_5yr slightly negative (-0.0368) but minimal. No outlier risk at this maturity. Solid convergence across all averages. 5-year window appropriate; no trend signal. Select upper-middle range (weighted 5-year) for mild conservatism.</t>
        </is>
      </c>
      <c r="E73" s="27" t="inlineStr">
        <is>
          <t>Paid Loss: 1.0978. CV_5yr 0.0759 (very low) confirms excellent stability. Weighted 5-year (1.0978), simple 5-year (1.0924), and all-year (1.1038) all within 0.5% band. Slope_5yr near zero (0.0014). Strong convergence signal across all windows. Standard 5-year average applies. No adjustments needed; development stabilizing at mid-range maturity.</t>
        </is>
      </c>
      <c r="F73" s="27" t="inlineStr">
        <is>
          <t>Paid Loss: 1.1192. CV_5yr 0.0522 (excellent) indicates highly predictable development. Weighted 5-year (1.1192), simple 5-year (1.119), and all-year (1.0774) show 3% divergence between 5-year and all-year. Positive slope_5yr (0.0158) is modest; 3-year (1.1286) slightly above 5-year. Weight recent years: use weighted 5-year. No sparse data caution. Development persisting at expected pace.</t>
        </is>
      </c>
      <c r="G73" s="27" t="inlineStr">
        <is>
          <t>Paid Loss: 1.107. CV_5yr 0.0961 (moderate) applies standard averaging. Weighted 5-year (1.107), simple 5-year (1.1215), and all-year (1.0591) show 5.8% gap between 5-year and all-year. Slope_5yr positive (0.0287); 3-year (1.1298) notably above 5-year, suggesting recent acceleration. Use 5-year anchor with slight confidence boost toward 3-year behavior. Select weighted 5-year as reliable compromise.</t>
        </is>
      </c>
      <c r="H73" s="27" t="inlineStr">
        <is>
          <t>Paid Loss: 1.0328. CV_5yr 0.0391 (very low) supports tight averaging. Weighted 5-year (1.0328), simple 5-year (1.0311), and all-year (1.026) all converge within 0.3%. Slope_5yr near zero (0.0186). Excellent stability; development slowing appropriately. Standard 5-year applies. No trend or outlier concerns. Late-maturity behavior normalizing.</t>
        </is>
      </c>
      <c r="I73" s="27" t="inlineStr">
        <is>
          <t>Paid Loss: 1.0132. CV_5yr 0.0112 (excellent) confirms tight predictability. Weighted 5-year (1.0132), simple 5-year (1.013), and all-year (1.0208) within 0.4%. Slope_5yr negligible (-0.0028). All averages converge tightly. Late-maturity stability confirmed. Use weighted 5-year as most credible. Development near stabilization.</t>
        </is>
      </c>
      <c r="J73" s="27" t="inlineStr">
        <is>
          <t>Paid Loss: 1.0645. CV_5yr 0.0566 (low) indicates reliable averaging. Weighted 5-year (1.0645), simple 5-year (1.0423), and all-year (1.0394) show divergence: weighted 5-year 2.4% above simple. 3-year (1.0982) elevated, suggesting recent activity. Positive slope_5yr (0.0317) confirms pattern. Use weighted 5-year as best balance; late-maturity data still developing.</t>
        </is>
      </c>
      <c r="K73" s="27" t="inlineStr">
        <is>
          <t>Paid Loss: 1.0083. CV_5yr 0.0121 (excellent) supports convergence. Weighted 5-year (1.0083), simple 5-year (1.0086), and all-year (1.0282) show slight divergence (weighted vs all ~2%). Slope_5yr near zero (-0.0009). All averages point toward minimal development. Use weighted 5-year. Very late maturity, limited incremental activity expected.</t>
        </is>
      </c>
      <c r="L73" s="27" t="inlineStr">
        <is>
          <t>Paid Loss: 1.0189. CV_5yr 0.0237 (low) confirms stable averaging. Weighted 5-year (1.0189), simple 5-year (1.0195), and all-year (1.0226) all within 0.4%. Slope_5yr near zero (-0.0005). Excellent convergence across windows. Use weighted 5-year. Late tail showing consistent near-flat development.</t>
        </is>
      </c>
      <c r="M73" s="27" t="inlineStr">
        <is>
          <t>Paid Loss: 1.0175. CV_5yr 0.0235 (low) indicates tight predictability. Weighted 5-year (1.0175), simple 5-year (1.0201), and all-year (1.0211) converge within 0.4%. Slope_5yr near zero (0.0036). All-year and 5-year overlap closely. Use weighted 5-year for consistency. Tail development stabilizing at minimal increment.</t>
        </is>
      </c>
      <c r="N73" s="27" t="inlineStr">
        <is>
          <t>Paid Loss: 1.0134. CV_5yr 0.0123 (excellent) shows strong stability. Weighted 5-year (1.0134), simple 5-year (1.0068), and all-year (1.0151) within 0.5%. Slope_5yr near zero (-0.0052). All averages converge tightly. Use weighted 5-year. Very late tail development minimal and consistent.</t>
        </is>
      </c>
      <c r="O73" s="27" t="inlineStr">
        <is>
          <t>Paid Loss: 1.0143. CV_5yr 0.0108 (excellent) confirms reliable averaging. Weighted 5-year (1.0143), simple 5-year (1.0081), and all-year (1.0156) within 0.4%. Slope_5yr near zero (-0.0028). Strong convergence across all windows. Use weighted 5-year. Tail showing stable, minimal development.</t>
        </is>
      </c>
      <c r="P73" s="27" t="inlineStr">
        <is>
          <t>Paid Loss: 1.0156. CV_5yr 0.0114 (excellent) supports tight averaging. Weighted 5-year (1.0156), simple 5-year (1.0096), and all-year (1.0163) within 0.3%. Slope_5yr near zero (-0.0022). All averages tightly aligned. Use weighted 5-year. Very late maturity showing consistent minimal increments.</t>
        </is>
      </c>
      <c r="Q73" s="27" t="inlineStr">
        <is>
          <t>Paid Loss: 1.0115. CV_5yr 0.0103 (excellent) indicates strong stability. Weighted 5-year (1.0115), simple 5-year (1.0127), and all-year (1.0158) within 0.4%. Slope_5yr near zero (0.004). All averages very close. Use weighted 5-year. Late tail development showing consistent pattern.</t>
        </is>
      </c>
      <c r="R73" s="27" t="inlineStr">
        <is>
          <t>Paid Loss triangle expects longest tail among dollar measures; however, diagnostics reveal materially immaterial tail development. Starting age 203 selected over age 143: slope_sign_changes reduce from 6 to 3, CV=0.0108 (low), n_factors=7 meeting minimum. Bondy method selected based on materiality anchor: pct_of_cdf=0.058% is well below 0.1% immateriality threshold, indicating tail contributes negligibly to CDF. Gap to last observed factor minimal (gap_flag=False). Curve fits (exp_dev_quick R²=0.354, double_exp LOO std dev=0.0465) lack quality diagnostics and are rejected: exp_dev_quick fails R²&gt;0.85 requirement; double_exp shows unstable LOO performance. McClenahan and modified Bondy variants also rejected—neither improves on immateriality anchor or fit. Skurnick extreme outlier (tail=1.329) inconsistent with observed monotonic decay and rejected. Bondy method (last observed factor=1.0039 at age 203) is appropriate default when immateriality applies, following hierarchy that prioritizes materiality over complex curve fits. Selection ASOP 43 compliant: documented method choice with materiality justification; no curve fit required where tail immaterial.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>
        <f>IFERROR(M72*N74,"")</f>
        <v/>
      </c>
      <c r="N74" s="13">
        <f>IFERROR(N72*O74,"")</f>
        <v/>
      </c>
      <c r="O74" s="13">
        <f>IFERROR(O72*P74,"")</f>
        <v/>
      </c>
      <c r="P74" s="13">
        <f>IFERROR(P72*Q74,"")</f>
        <v/>
      </c>
      <c r="Q74" s="13">
        <f>IFERROR(Q72*R74,"")</f>
        <v/>
      </c>
      <c r="R74" s="13" t="n">
        <v>1.0039</v>
      </c>
    </row>
    <row r="7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</row>
    <row r="3">
      <c r="A3" s="18" t="inlineStr">
        <is>
          <t>2001</t>
        </is>
      </c>
      <c r="B3" s="19" t="n">
        <v>637.3668</v>
      </c>
      <c r="C3" s="19" t="n">
        <v>682.2332</v>
      </c>
      <c r="D3" s="19" t="n">
        <v>683.5528</v>
      </c>
      <c r="E3" s="19" t="n">
        <v>683.5528</v>
      </c>
      <c r="F3" s="19" t="n">
        <v>683.5528</v>
      </c>
      <c r="G3" s="19" t="n">
        <v>683.5528</v>
      </c>
      <c r="H3" s="19" t="n">
        <v>700.7076</v>
      </c>
      <c r="I3" s="19" t="n">
        <v>700.7076</v>
      </c>
      <c r="J3" s="19" t="n">
        <v>700.7076</v>
      </c>
      <c r="K3" s="19" t="n">
        <v>700.7076</v>
      </c>
      <c r="L3" s="19" t="n">
        <v>700.7076</v>
      </c>
      <c r="M3" s="19" t="n">
        <v>700.7076</v>
      </c>
    </row>
    <row r="4">
      <c r="A4" s="18" t="inlineStr">
        <is>
          <t>2002</t>
        </is>
      </c>
      <c r="B4" s="19" t="n">
        <v>613.614</v>
      </c>
      <c r="C4" s="19" t="n">
        <v>634.7276000000001</v>
      </c>
      <c r="D4" s="19" t="n">
        <v>634.7276000000001</v>
      </c>
      <c r="E4" s="19" t="n">
        <v>634.7276000000001</v>
      </c>
      <c r="F4" s="19" t="n">
        <v>634.7276000000001</v>
      </c>
      <c r="G4" s="19" t="n">
        <v>651.8824</v>
      </c>
      <c r="H4" s="19" t="n">
        <v>651.8824</v>
      </c>
      <c r="I4" s="19" t="n">
        <v>651.8824</v>
      </c>
      <c r="J4" s="19" t="n">
        <v>651.8824</v>
      </c>
      <c r="K4" s="19" t="n">
        <v>651.8824</v>
      </c>
      <c r="L4" s="19" t="n">
        <v>651.8824</v>
      </c>
      <c r="M4" s="19" t="n">
        <v>651.8824</v>
      </c>
    </row>
    <row r="5">
      <c r="A5" s="18" t="inlineStr">
        <is>
          <t>2003</t>
        </is>
      </c>
      <c r="B5" s="19" t="n">
        <v>534.438</v>
      </c>
      <c r="C5" s="19" t="n">
        <v>552.9124</v>
      </c>
      <c r="D5" s="19" t="n">
        <v>552.9124</v>
      </c>
      <c r="E5" s="19" t="n">
        <v>552.9124</v>
      </c>
      <c r="F5" s="19" t="n">
        <v>550.2732</v>
      </c>
      <c r="G5" s="19" t="n">
        <v>550.2732</v>
      </c>
      <c r="H5" s="19" t="n">
        <v>551.5928</v>
      </c>
      <c r="I5" s="19" t="n">
        <v>551.5928</v>
      </c>
      <c r="J5" s="19" t="n">
        <v>551.5928</v>
      </c>
      <c r="K5" s="19" t="n">
        <v>551.5928</v>
      </c>
      <c r="L5" s="19" t="n">
        <v>551.5928</v>
      </c>
      <c r="M5" s="19" t="n">
        <v>551.5928</v>
      </c>
    </row>
    <row r="6">
      <c r="A6" s="18" t="inlineStr">
        <is>
          <t>2004</t>
        </is>
      </c>
      <c r="B6" s="19" t="n">
        <v>603.0572</v>
      </c>
      <c r="C6" s="19" t="n">
        <v>638.6864</v>
      </c>
      <c r="D6" s="19" t="n">
        <v>638.6864</v>
      </c>
      <c r="E6" s="19" t="n">
        <v>641.3256</v>
      </c>
      <c r="F6" s="19" t="n">
        <v>642.6452</v>
      </c>
      <c r="G6" s="19" t="n">
        <v>642.6452</v>
      </c>
      <c r="H6" s="19" t="n">
        <v>642.6452</v>
      </c>
      <c r="I6" s="19" t="n">
        <v>642.6452</v>
      </c>
      <c r="J6" s="19" t="n">
        <v>642.6452</v>
      </c>
      <c r="K6" s="19" t="n">
        <v>642.6452</v>
      </c>
      <c r="L6" s="19" t="n">
        <v>642.6452</v>
      </c>
      <c r="M6" s="19" t="n">
        <v>642.6452</v>
      </c>
    </row>
    <row r="7">
      <c r="A7" s="18" t="inlineStr">
        <is>
          <t>2005</t>
        </is>
      </c>
      <c r="B7" s="19" t="n">
        <v>626.8099999999999</v>
      </c>
      <c r="C7" s="19" t="n">
        <v>641.3256</v>
      </c>
      <c r="D7" s="19" t="n">
        <v>642.6452</v>
      </c>
      <c r="E7" s="19" t="n">
        <v>641.3256</v>
      </c>
      <c r="F7" s="19" t="n">
        <v>641.3256</v>
      </c>
      <c r="G7" s="19" t="n">
        <v>641.3256</v>
      </c>
      <c r="H7" s="19" t="n">
        <v>641.3256</v>
      </c>
      <c r="I7" s="19" t="n">
        <v>641.3256</v>
      </c>
      <c r="J7" s="19" t="n">
        <v>641.3256</v>
      </c>
      <c r="K7" s="19" t="n">
        <v>641.3256</v>
      </c>
      <c r="L7" s="19" t="n">
        <v>641.3256</v>
      </c>
      <c r="M7" s="19" t="n">
        <v>641.3256</v>
      </c>
    </row>
    <row r="8">
      <c r="A8" s="18" t="inlineStr">
        <is>
          <t>2006</t>
        </is>
      </c>
      <c r="B8" s="19" t="n">
        <v>479.0148</v>
      </c>
      <c r="C8" s="19" t="n">
        <v>497.4892</v>
      </c>
      <c r="D8" s="19" t="n">
        <v>497.4892</v>
      </c>
      <c r="E8" s="19" t="n">
        <v>497.4892</v>
      </c>
      <c r="F8" s="19" t="n">
        <v>497.4892</v>
      </c>
      <c r="G8" s="19" t="n">
        <v>497.4892</v>
      </c>
      <c r="H8" s="19" t="n">
        <v>497.4892</v>
      </c>
      <c r="I8" s="19" t="n">
        <v>497.4892</v>
      </c>
      <c r="J8" s="19" t="n">
        <v>497.4892</v>
      </c>
      <c r="K8" s="19" t="n">
        <v>497.4892</v>
      </c>
      <c r="L8" s="19" t="n">
        <v>497.4892</v>
      </c>
      <c r="M8" s="19" t="n">
        <v>497.4892</v>
      </c>
    </row>
    <row r="9">
      <c r="A9" s="18" t="inlineStr">
        <is>
          <t>2007</t>
        </is>
      </c>
      <c r="B9" s="19" t="n">
        <v>456.5816</v>
      </c>
      <c r="C9" s="19" t="n">
        <v>476.3756</v>
      </c>
      <c r="D9" s="19" t="n">
        <v>476.3756</v>
      </c>
      <c r="E9" s="19" t="n">
        <v>476.3756</v>
      </c>
      <c r="F9" s="19" t="n">
        <v>476.3756</v>
      </c>
      <c r="G9" s="19" t="n">
        <v>476.3756</v>
      </c>
      <c r="H9" s="19" t="n">
        <v>476.3756</v>
      </c>
      <c r="I9" s="19" t="n">
        <v>476.3756</v>
      </c>
      <c r="J9" s="19" t="n">
        <v>476.3756</v>
      </c>
      <c r="K9" s="19" t="n">
        <v>476.3756</v>
      </c>
      <c r="L9" s="19" t="n">
        <v>476.3756</v>
      </c>
      <c r="M9" s="19" t="n">
        <v>476.3756</v>
      </c>
    </row>
    <row r="10">
      <c r="A10" s="18" t="inlineStr">
        <is>
          <t>2008</t>
        </is>
      </c>
      <c r="B10" s="19" t="n">
        <v>307.4668</v>
      </c>
      <c r="C10" s="19" t="n">
        <v>327.2608</v>
      </c>
      <c r="D10" s="19" t="n">
        <v>328.5804</v>
      </c>
      <c r="E10" s="19" t="n">
        <v>328.5804</v>
      </c>
      <c r="F10" s="19" t="n">
        <v>328.5804</v>
      </c>
      <c r="G10" s="19" t="n">
        <v>328.5804</v>
      </c>
      <c r="H10" s="19" t="n">
        <v>328.5804</v>
      </c>
      <c r="I10" s="19" t="n">
        <v>328.5804</v>
      </c>
      <c r="J10" s="19" t="n">
        <v>328.5804</v>
      </c>
      <c r="K10" s="19" t="n">
        <v>328.5804</v>
      </c>
      <c r="L10" s="19" t="n">
        <v>328.5804</v>
      </c>
      <c r="M10" s="19" t="n">
        <v>328.5804</v>
      </c>
    </row>
    <row r="11">
      <c r="A11" s="18" t="inlineStr">
        <is>
          <t>2009</t>
        </is>
      </c>
      <c r="B11" s="19" t="n">
        <v>306.1472</v>
      </c>
      <c r="C11" s="19" t="n">
        <v>320.6628</v>
      </c>
      <c r="D11" s="19" t="n">
        <v>321.9824</v>
      </c>
      <c r="E11" s="19" t="n">
        <v>321.9824</v>
      </c>
      <c r="F11" s="19" t="n">
        <v>321.9824</v>
      </c>
      <c r="G11" s="19" t="n">
        <v>321.9824</v>
      </c>
      <c r="H11" s="19" t="n">
        <v>321.9824</v>
      </c>
      <c r="I11" s="19" t="n">
        <v>321.9824</v>
      </c>
      <c r="J11" s="19" t="n">
        <v>321.9824</v>
      </c>
      <c r="K11" s="19" t="n">
        <v>321.9824</v>
      </c>
      <c r="L11" s="19" t="n">
        <v>321.9824</v>
      </c>
      <c r="M11" s="19" t="n">
        <v>321.9824</v>
      </c>
    </row>
    <row r="12">
      <c r="A12" s="18" t="inlineStr">
        <is>
          <t>2010</t>
        </is>
      </c>
      <c r="B12" s="19" t="n">
        <v>259.9612</v>
      </c>
      <c r="C12" s="19" t="n">
        <v>271.8376</v>
      </c>
      <c r="D12" s="19" t="n">
        <v>271.8376</v>
      </c>
      <c r="E12" s="19" t="n">
        <v>271.8376</v>
      </c>
      <c r="F12" s="19" t="n">
        <v>271.8376</v>
      </c>
      <c r="G12" s="19" t="n">
        <v>271.8376</v>
      </c>
      <c r="H12" s="19" t="n">
        <v>271.8376</v>
      </c>
      <c r="I12" s="19" t="n">
        <v>271.8376</v>
      </c>
      <c r="J12" s="19" t="n">
        <v>271.8376</v>
      </c>
      <c r="K12" s="19" t="n">
        <v>271.8376</v>
      </c>
      <c r="L12" s="19" t="n">
        <v>271.8376</v>
      </c>
      <c r="M12" s="19" t="n">
        <v>271.8376</v>
      </c>
    </row>
    <row r="13">
      <c r="A13" s="18" t="inlineStr">
        <is>
          <t>2011</t>
        </is>
      </c>
      <c r="B13" s="19" t="n">
        <v>345.7352</v>
      </c>
      <c r="C13" s="19" t="n">
        <v>345.7352</v>
      </c>
      <c r="D13" s="19" t="n">
        <v>345.7352</v>
      </c>
      <c r="E13" s="19" t="n">
        <v>345.7352</v>
      </c>
      <c r="F13" s="19" t="n">
        <v>345.7352</v>
      </c>
      <c r="G13" s="19" t="n">
        <v>345.7352</v>
      </c>
      <c r="H13" s="19" t="n">
        <v>345.7352</v>
      </c>
      <c r="I13" s="19" t="n">
        <v>345.7352</v>
      </c>
      <c r="J13" s="19" t="n">
        <v>345.7352</v>
      </c>
      <c r="K13" s="19" t="n">
        <v>345.7352</v>
      </c>
      <c r="L13" s="19" t="n">
        <v>345.7352</v>
      </c>
      <c r="M13" s="19" t="n">
        <v>345.7352</v>
      </c>
    </row>
    <row r="14">
      <c r="A14" s="18" t="inlineStr">
        <is>
          <t>2012</t>
        </is>
      </c>
      <c r="B14" s="19" t="n">
        <v>245.4456</v>
      </c>
      <c r="C14" s="19" t="n">
        <v>261.2808</v>
      </c>
      <c r="D14" s="19" t="n">
        <v>261.2808</v>
      </c>
      <c r="E14" s="19" t="n">
        <v>261.2808</v>
      </c>
      <c r="F14" s="19" t="n">
        <v>261.2808</v>
      </c>
      <c r="G14" s="19" t="n">
        <v>261.2808</v>
      </c>
      <c r="H14" s="19" t="n">
        <v>261.2808</v>
      </c>
      <c r="I14" s="19" t="n">
        <v>261.2808</v>
      </c>
      <c r="J14" s="19" t="n">
        <v>261.2808</v>
      </c>
      <c r="K14" s="19" t="n">
        <v>261.2808</v>
      </c>
      <c r="L14" s="19" t="n">
        <v>261.2808</v>
      </c>
      <c r="M14" s="19" t="n">
        <v>261.2808</v>
      </c>
    </row>
    <row r="15">
      <c r="A15" s="18" t="inlineStr">
        <is>
          <t>2013</t>
        </is>
      </c>
      <c r="B15" s="19" t="n">
        <v>282.3944</v>
      </c>
      <c r="C15" s="19" t="n">
        <v>290.312</v>
      </c>
      <c r="D15" s="19" t="n">
        <v>290.312</v>
      </c>
      <c r="E15" s="19" t="n">
        <v>291.6316</v>
      </c>
      <c r="F15" s="19" t="n">
        <v>291.6316</v>
      </c>
      <c r="G15" s="19" t="n">
        <v>291.6316</v>
      </c>
      <c r="H15" s="19" t="n">
        <v>291.6316</v>
      </c>
      <c r="I15" s="19" t="n">
        <v>291.6316</v>
      </c>
      <c r="J15" s="19" t="n">
        <v>291.6316</v>
      </c>
      <c r="K15" s="19" t="n">
        <v>291.6316</v>
      </c>
      <c r="L15" s="19" t="n">
        <v>291.6316</v>
      </c>
      <c r="M15" s="19" t="n">
        <v>291.6316</v>
      </c>
    </row>
    <row r="16">
      <c r="A16" s="18" t="inlineStr">
        <is>
          <t>2014</t>
        </is>
      </c>
      <c r="B16" s="19" t="n">
        <v>434.1484</v>
      </c>
      <c r="C16" s="19" t="n">
        <v>453.9424</v>
      </c>
      <c r="D16" s="19" t="n">
        <v>455.262</v>
      </c>
      <c r="E16" s="19" t="n">
        <v>455.262</v>
      </c>
      <c r="F16" s="19" t="n">
        <v>455.262</v>
      </c>
      <c r="G16" s="19" t="n">
        <v>455.262</v>
      </c>
      <c r="H16" s="19" t="n">
        <v>455.262</v>
      </c>
      <c r="I16" s="19" t="n">
        <v>455.262</v>
      </c>
      <c r="J16" s="19" t="n">
        <v>455.262</v>
      </c>
      <c r="K16" s="19" t="n">
        <v>455.262</v>
      </c>
      <c r="L16" s="19" t="n">
        <v>455.262</v>
      </c>
    </row>
    <row r="17">
      <c r="A17" s="18" t="inlineStr">
        <is>
          <t>2015</t>
        </is>
      </c>
      <c r="B17" s="19" t="n">
        <v>321.9824</v>
      </c>
      <c r="C17" s="19" t="n">
        <v>332.5392</v>
      </c>
      <c r="D17" s="19" t="n">
        <v>337.8176</v>
      </c>
      <c r="E17" s="19" t="n">
        <v>337.8176</v>
      </c>
      <c r="F17" s="19" t="n">
        <v>337.8176</v>
      </c>
      <c r="G17" s="19" t="n">
        <v>337.8176</v>
      </c>
      <c r="H17" s="19" t="n">
        <v>337.8176</v>
      </c>
      <c r="I17" s="19" t="n">
        <v>337.8176</v>
      </c>
      <c r="J17" s="19" t="n">
        <v>337.8176</v>
      </c>
      <c r="K17" s="19" t="n">
        <v>333.8588</v>
      </c>
    </row>
    <row r="18">
      <c r="A18" s="18" t="inlineStr">
        <is>
          <t>2016</t>
        </is>
      </c>
      <c r="B18" s="19" t="n">
        <v>345.7352</v>
      </c>
      <c r="C18" s="19" t="n">
        <v>373.4468</v>
      </c>
      <c r="D18" s="19" t="n">
        <v>390.6016</v>
      </c>
      <c r="E18" s="19" t="n">
        <v>390.6016</v>
      </c>
      <c r="F18" s="19" t="n">
        <v>390.6016</v>
      </c>
      <c r="G18" s="19" t="n">
        <v>390.6016</v>
      </c>
      <c r="H18" s="19" t="n">
        <v>390.6016</v>
      </c>
      <c r="I18" s="19" t="n">
        <v>390.6016</v>
      </c>
      <c r="J18" s="19" t="n">
        <v>390.6016</v>
      </c>
    </row>
    <row r="19">
      <c r="A19" s="18" t="inlineStr">
        <is>
          <t>2017</t>
        </is>
      </c>
      <c r="B19" s="19" t="n">
        <v>275.7964</v>
      </c>
      <c r="C19" s="19" t="n">
        <v>310.106</v>
      </c>
      <c r="D19" s="19" t="n">
        <v>311.4256</v>
      </c>
      <c r="E19" s="19" t="n">
        <v>312.7452</v>
      </c>
      <c r="F19" s="19" t="n">
        <v>311.4256</v>
      </c>
      <c r="G19" s="19" t="n">
        <v>311.4256</v>
      </c>
      <c r="H19" s="19" t="n">
        <v>311.4256</v>
      </c>
      <c r="I19" s="19" t="n">
        <v>310.106</v>
      </c>
    </row>
    <row r="20">
      <c r="A20" s="18" t="inlineStr">
        <is>
          <t>2018</t>
        </is>
      </c>
      <c r="B20" s="19" t="n">
        <v>288.9924</v>
      </c>
      <c r="C20" s="19" t="n">
        <v>324.6216</v>
      </c>
      <c r="D20" s="19" t="n">
        <v>324.6216</v>
      </c>
      <c r="E20" s="19" t="n">
        <v>324.6216</v>
      </c>
      <c r="F20" s="19" t="n">
        <v>325.9412</v>
      </c>
      <c r="G20" s="19" t="n">
        <v>325.9412</v>
      </c>
      <c r="H20" s="19" t="n">
        <v>325.9412</v>
      </c>
    </row>
    <row r="21">
      <c r="A21" s="18" t="inlineStr">
        <is>
          <t>2019</t>
        </is>
      </c>
      <c r="B21" s="19" t="n">
        <v>314.0648</v>
      </c>
      <c r="C21" s="19" t="n">
        <v>358.9312</v>
      </c>
      <c r="D21" s="19" t="n">
        <v>358.9312</v>
      </c>
      <c r="E21" s="19" t="n">
        <v>358.9312</v>
      </c>
      <c r="F21" s="19" t="n">
        <v>358.9312</v>
      </c>
      <c r="G21" s="19" t="n">
        <v>357.6116</v>
      </c>
    </row>
    <row r="22">
      <c r="A22" s="18" t="inlineStr">
        <is>
          <t>2020</t>
        </is>
      </c>
      <c r="B22" s="19" t="n">
        <v>349.694</v>
      </c>
      <c r="C22" s="19" t="n">
        <v>370.8076</v>
      </c>
      <c r="D22" s="19" t="n">
        <v>370.8076</v>
      </c>
      <c r="E22" s="19" t="n">
        <v>370.8076</v>
      </c>
      <c r="F22" s="19" t="n">
        <v>370.8076</v>
      </c>
    </row>
    <row r="23">
      <c r="A23" s="18" t="inlineStr">
        <is>
          <t>2021</t>
        </is>
      </c>
      <c r="B23" s="19" t="n">
        <v>288.9924</v>
      </c>
      <c r="C23" s="19" t="n">
        <v>329.9</v>
      </c>
      <c r="D23" s="19" t="n">
        <v>329.9</v>
      </c>
      <c r="E23" s="19" t="n">
        <v>329.9</v>
      </c>
    </row>
    <row r="24">
      <c r="A24" s="18" t="inlineStr">
        <is>
          <t>2022</t>
        </is>
      </c>
      <c r="B24" s="19" t="n">
        <v>261.2808</v>
      </c>
      <c r="C24" s="19" t="n">
        <v>298.2296</v>
      </c>
      <c r="D24" s="19" t="n">
        <v>298.2296</v>
      </c>
    </row>
    <row r="25">
      <c r="A25" s="18" t="inlineStr">
        <is>
          <t>2023</t>
        </is>
      </c>
      <c r="B25" s="19" t="n">
        <v>273.1572</v>
      </c>
      <c r="C25" s="19" t="n">
        <v>304.8276</v>
      </c>
    </row>
    <row r="26">
      <c r="A26" s="18" t="inlineStr">
        <is>
          <t>2024</t>
        </is>
      </c>
      <c r="B26" s="19" t="n">
        <v>256.0024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143-Ult</t>
        </is>
      </c>
    </row>
    <row r="72">
      <c r="A72" s="23" t="inlineStr">
        <is>
          <t>Selected</t>
        </is>
      </c>
      <c r="B72" s="24" t="n">
        <v>1.118</v>
      </c>
      <c r="C72" s="24" t="n">
        <v>1</v>
      </c>
      <c r="D72" s="24" t="n">
        <v>1.0008</v>
      </c>
      <c r="E72" s="24" t="n">
        <v>1</v>
      </c>
      <c r="F72" s="24" t="n">
        <v>0.9992</v>
      </c>
      <c r="G72" s="24" t="n">
        <v>1</v>
      </c>
      <c r="H72" s="24" t="n">
        <v>0.9993</v>
      </c>
      <c r="I72" s="24" t="n">
        <v>1</v>
      </c>
      <c r="J72" s="24" t="n">
        <v>0.9977</v>
      </c>
      <c r="K72" s="24" t="n">
        <v>1</v>
      </c>
      <c r="L72" s="24" t="n">
        <v>1</v>
      </c>
      <c r="M72" s="25" t="n">
        <v>1</v>
      </c>
    </row>
    <row r="73">
      <c r="A73" s="26" t="inlineStr">
        <is>
          <t>Selected Reasoning</t>
        </is>
      </c>
      <c r="B73" s="27" t="inlineStr">
        <is>
          <t>Reported Count: 1.118. CV_5yr 0.0316 (low, excellent for count data). Weighted 5-year (1.118), simple 5-year (1.1204), and all-year (1.0617) show divergence: weighted/simple at 1.118-1.120 vs all-year 5.3% below. Slope_5yr near zero (0.0027) shows stability. 3-year (1.133) 1.2% above 5-year, recent counts elevated. Reported count stability high; use weighted 5-year as primary anchor with confidence. Early maturity count reporting strong. Frequency-related development normal; no severity shock signals (paid/incurred LDFs independently high, separate drivers).</t>
        </is>
      </c>
      <c r="C73" s="27" t="inlineStr">
        <is>
          <t>Reported Count: 1.0. CV_5yr 0.0 (zero variability). All averages (weighted 5-year, simple 5-year, all-year) equal 1.0 exactly. Perfect convergence signal (§8). Slope_5yr near zero (-0.0). Count development completely flat at this maturity; virtually no incremental reported claims. Use converged 1.0. Counts solidifying after early reporting spike.</t>
        </is>
      </c>
      <c r="D73" s="27" t="inlineStr">
        <is>
          <t>Reported Count: 1.0008. CV_5yr 0.0019 (minimal). All averages (weighted 5-year 1.0008, simple 5-year 1.0008, all-year 1.0004) converge extremely tightly within 0.04%. Slope_5yr near zero (-0.0008). Perfect alignment signal. Count development negligible at this interval. Use converged 1.0008. Counts essentially finalized by this depth.</t>
        </is>
      </c>
      <c r="E73" s="27" t="inlineStr">
        <is>
          <t>Reported Count: 1.0. CV_5yr 0.0029 (minimal). Weighted 5-year (1.0), simple 5-year (1.0), and all-year (0.9998) show convergence at 1.0 for recent windows. Slope_5yr near zero (0.0004). All main averages align at 1.0. Count development flat. Use 1.0. Counts fully crystallized by mid-tail.</t>
        </is>
      </c>
      <c r="F73" s="27" t="inlineStr">
        <is>
          <t>Reported Count: 0.9992. CV_5yr 0.0017 (minimal). Weighted 5-year (0.9992), simple 5-year (0.9993), and all-year (1.0019) converge on 5-year at ~0.9992. Slope_5yr near zero (-0.0007). All-year 0.27% above 5-year. Count development showing minimal closure activity (LDF &lt;1.0 indicates claim closure without new reports). Use weighted 5-year. Count finalization in progress, slight decline normal.</t>
        </is>
      </c>
      <c r="G73" s="27" t="inlineStr">
        <is>
          <t>Reported Count: 1.0. CV_5yr 0.0 (zero variability). All averages (weighted 5-year, simple 5-year, all-year) equal 1.0 exactly. Perfect convergence. Slope_5yr near zero (0.0). Count development flat at this maturity. Use 1.0. Counts stable and final.</t>
        </is>
      </c>
      <c r="H73" s="27" t="inlineStr">
        <is>
          <t>Reported Count: 0.9993. CV_5yr 0.0019 (minimal). Weighted 5-year (0.9993), simple 5-year (0.9992), and all-year (0.9998) converge tightly on 5-year at ~0.9993. Slope_5yr near zero (-0.0008). Convergence signal (§8). Count development showing slight closure dynamic (&lt;1.0). Use weighted 5-year. Counts declining slightly through settlement.</t>
        </is>
      </c>
      <c r="I73" s="27" t="inlineStr">
        <is>
          <t>Reported Count: 1.0. CV_5yr 0.0 (zero variability). All averages equal 1.0 exactly. Perfect convergence across all windows. Slope_5yr 0.0. Count development flat. Use 1.0. Counts static at this maturity.</t>
        </is>
      </c>
      <c r="J73" s="27" t="inlineStr">
        <is>
          <t>Reported Count: 0.9977. CV_5yr 0.0052 (low). Weighted 5-year (0.9977), simple 5-year (0.9977), and all-year (0.9994) show convergence on 5-year at 0.9977. Slope_5yr near zero (-0.0023). All-year 0.17% above 5-year. Count development showing mild closure/retirement activity. Use weighted 5-year. Late counts declining through normal closure process.</t>
        </is>
      </c>
      <c r="K73" s="27" t="inlineStr">
        <is>
          <t>Reported Count: 1.0. CV_5yr 0.0 (zero variability). All averages (weighted 5-year, simple 5-year, all-year) equal 1.0 exactly. Perfect convergence. Slope_5yr 0.0. Count development flat. Use 1.0. Counts finalized and static.</t>
        </is>
      </c>
      <c r="L73" s="27" t="inlineStr">
        <is>
          <t>Reported Count: 1.0. CV_5yr 0.0 (zero variability). All averages equal 1.0 exactly. Perfect convergence across all windows. Slope_5yr 0.0. Count development completely flat at this very late maturity. Use 1.0. Counts at ultimate closure.</t>
        </is>
      </c>
      <c r="M73" s="27" t="inlineStr">
        <is>
          <t>Reported Count triangle exhibits shortest tail of all measures — factors are 1.0 from age 143 onward (zero development). Starting age 143 satisfies monotonicity (is_monotone_from_here=True), zero CV, zero slope sign changes, and 12 factors in fit. No curve fit diagnostics required. Tail immateriality anchor applies: pct_of_cdf not evaluated due to zero development (tail immaterial). Bondy method (last observed factor = 1.0) is appropriate default for reported count where development has ceased. Gap to last observed negligible (gap_flag=False). ASOP 43 compliant: tail selection reflects completed reporting pattern; no future development expected in reported counts.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 t="n">
        <v>1</v>
      </c>
    </row>
    <row r="7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Exposure</t>
        </is>
      </c>
      <c r="B1" s="2" t="n"/>
    </row>
    <row r="2">
      <c r="A2" s="8" t="inlineStr">
        <is>
          <t>Period</t>
        </is>
      </c>
      <c r="B2" s="8" t="inlineStr">
        <is>
          <t>Exposure</t>
        </is>
      </c>
    </row>
    <row r="3">
      <c r="A3" s="9" t="n">
        <v>2001</v>
      </c>
      <c r="B3" s="15" t="n">
        <v>316377369.9688</v>
      </c>
    </row>
    <row r="4">
      <c r="A4" s="9" t="n">
        <v>2002</v>
      </c>
      <c r="B4" s="15" t="n">
        <v>322704917.4</v>
      </c>
    </row>
    <row r="5">
      <c r="A5" s="9" t="n">
        <v>2003</v>
      </c>
      <c r="B5" s="15" t="n">
        <v>329159015.7</v>
      </c>
    </row>
    <row r="6">
      <c r="A6" s="9" t="n">
        <v>2004</v>
      </c>
      <c r="B6" s="15" t="n">
        <v>335742196</v>
      </c>
    </row>
    <row r="7">
      <c r="A7" s="9" t="n">
        <v>2005</v>
      </c>
      <c r="B7" s="15" t="n">
        <v>342457040</v>
      </c>
    </row>
    <row r="8">
      <c r="A8" s="9" t="n">
        <v>2006</v>
      </c>
      <c r="B8" s="15" t="n">
        <v>349306180.7</v>
      </c>
    </row>
    <row r="9">
      <c r="A9" s="9" t="n">
        <v>2007</v>
      </c>
      <c r="B9" s="15" t="n">
        <v>356292304.4</v>
      </c>
    </row>
    <row r="10">
      <c r="A10" s="9" t="n">
        <v>2008</v>
      </c>
      <c r="B10" s="15" t="n">
        <v>363418150.5</v>
      </c>
    </row>
    <row r="11">
      <c r="A11" s="9" t="n">
        <v>2009</v>
      </c>
      <c r="B11" s="15" t="n">
        <v>370686513.5</v>
      </c>
    </row>
    <row r="12">
      <c r="A12" s="9" t="n">
        <v>2010</v>
      </c>
      <c r="B12" s="15" t="n">
        <v>378100243.7</v>
      </c>
    </row>
    <row r="13">
      <c r="A13" s="9" t="n">
        <v>2011</v>
      </c>
      <c r="B13" s="15" t="n">
        <v>385662248.6</v>
      </c>
    </row>
    <row r="14">
      <c r="A14" s="9" t="n">
        <v>2012</v>
      </c>
      <c r="B14" s="15" t="n">
        <v>393375493.6</v>
      </c>
    </row>
    <row r="15">
      <c r="A15" s="9" t="n">
        <v>2013</v>
      </c>
      <c r="B15" s="15" t="n">
        <v>401243003.4</v>
      </c>
    </row>
    <row r="16">
      <c r="A16" s="9" t="n">
        <v>2014</v>
      </c>
      <c r="B16" s="15" t="n">
        <v>409267863.5</v>
      </c>
    </row>
    <row r="17">
      <c r="A17" s="9" t="n">
        <v>2015</v>
      </c>
      <c r="B17" s="15" t="n">
        <v>417453220.8</v>
      </c>
    </row>
    <row r="18">
      <c r="A18" s="9" t="n">
        <v>2016</v>
      </c>
      <c r="B18" s="15" t="n">
        <v>425802285.2</v>
      </c>
    </row>
    <row r="19">
      <c r="A19" s="9" t="n">
        <v>2017</v>
      </c>
      <c r="B19" s="15" t="n">
        <v>434318330.9</v>
      </c>
    </row>
    <row r="20">
      <c r="A20" s="9" t="n">
        <v>2018</v>
      </c>
      <c r="B20" s="15" t="n">
        <v>443004697.5</v>
      </c>
    </row>
    <row r="21">
      <c r="A21" s="9" t="n">
        <v>2019</v>
      </c>
      <c r="B21" s="15" t="n">
        <v>451864791.5</v>
      </c>
    </row>
    <row r="22">
      <c r="A22" s="9" t="n">
        <v>2020</v>
      </c>
      <c r="B22" s="15" t="n">
        <v>460902087.3</v>
      </c>
    </row>
    <row r="23">
      <c r="A23" s="9" t="n">
        <v>2021</v>
      </c>
      <c r="B23" s="15" t="n">
        <v>470120129.1</v>
      </c>
    </row>
    <row r="24">
      <c r="A24" s="9" t="n">
        <v>2022</v>
      </c>
      <c r="B24" s="15" t="n">
        <v>479522531.6</v>
      </c>
    </row>
    <row r="25">
      <c r="A25" s="9" t="n">
        <v>2023</v>
      </c>
      <c r="B25" s="15" t="n">
        <v>489112982.3</v>
      </c>
    </row>
    <row r="26">
      <c r="A26" s="9" t="n">
        <v>2024</v>
      </c>
      <c r="B26" s="15" t="n">
        <v>498895241.9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Claims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637.3668</v>
      </c>
      <c r="C3" s="19" t="n">
        <v>682.2332</v>
      </c>
      <c r="D3" s="19" t="n">
        <v>683.5528</v>
      </c>
      <c r="E3" s="19" t="n">
        <v>683.5528</v>
      </c>
      <c r="F3" s="19" t="n">
        <v>683.5528</v>
      </c>
      <c r="G3" s="19" t="n">
        <v>683.5528</v>
      </c>
      <c r="H3" s="19" t="n">
        <v>700.7076</v>
      </c>
      <c r="I3" s="19" t="n">
        <v>700.7076</v>
      </c>
      <c r="J3" s="19" t="n">
        <v>700.7076</v>
      </c>
      <c r="K3" s="19" t="n">
        <v>700.7076</v>
      </c>
      <c r="L3" s="19" t="n">
        <v>700.7076</v>
      </c>
      <c r="M3" s="19" t="n">
        <v>700.7076</v>
      </c>
      <c r="N3" s="19" t="n">
        <v>700.7076</v>
      </c>
      <c r="O3" s="19" t="n">
        <v>700.7076</v>
      </c>
      <c r="P3" s="19" t="n">
        <v>700.7076</v>
      </c>
      <c r="Q3" s="19" t="n">
        <v>700.7076</v>
      </c>
      <c r="R3" s="19" t="n">
        <v>700.7076</v>
      </c>
      <c r="S3" s="19" t="n">
        <v>700.7076</v>
      </c>
      <c r="T3" s="19" t="n">
        <v>700.7076</v>
      </c>
      <c r="U3" s="19" t="n">
        <v>700.7076</v>
      </c>
      <c r="V3" s="19" t="n">
        <v>700.7076</v>
      </c>
      <c r="W3" s="19" t="n">
        <v>700.7076</v>
      </c>
      <c r="X3" s="19" t="n">
        <v>700.7076</v>
      </c>
      <c r="Y3" s="19" t="n">
        <v>700.7076</v>
      </c>
    </row>
    <row r="4">
      <c r="A4" s="18" t="inlineStr">
        <is>
          <t>2002</t>
        </is>
      </c>
      <c r="B4" s="19" t="n">
        <v>613.614</v>
      </c>
      <c r="C4" s="19" t="n">
        <v>634.7276000000001</v>
      </c>
      <c r="D4" s="19" t="n">
        <v>634.7276000000001</v>
      </c>
      <c r="E4" s="19" t="n">
        <v>634.7276000000001</v>
      </c>
      <c r="F4" s="19" t="n">
        <v>634.7276000000001</v>
      </c>
      <c r="G4" s="19" t="n">
        <v>651.8824</v>
      </c>
      <c r="H4" s="19" t="n">
        <v>651.8824</v>
      </c>
      <c r="I4" s="19" t="n">
        <v>651.8824</v>
      </c>
      <c r="J4" s="19" t="n">
        <v>651.8824</v>
      </c>
      <c r="K4" s="19" t="n">
        <v>651.8824</v>
      </c>
      <c r="L4" s="19" t="n">
        <v>651.8824</v>
      </c>
      <c r="M4" s="19" t="n">
        <v>651.8824</v>
      </c>
      <c r="N4" s="19" t="n">
        <v>651.8824</v>
      </c>
      <c r="O4" s="19" t="n">
        <v>651.8824</v>
      </c>
      <c r="P4" s="19" t="n">
        <v>651.8824</v>
      </c>
      <c r="Q4" s="19" t="n">
        <v>651.8824</v>
      </c>
      <c r="R4" s="19" t="n">
        <v>651.8824</v>
      </c>
      <c r="S4" s="19" t="n">
        <v>651.8824</v>
      </c>
      <c r="T4" s="19" t="n">
        <v>651.8824</v>
      </c>
      <c r="U4" s="19" t="n">
        <v>651.8824</v>
      </c>
      <c r="V4" s="19" t="n">
        <v>651.8824</v>
      </c>
      <c r="W4" s="19" t="n">
        <v>651.8824</v>
      </c>
      <c r="X4" s="19" t="n">
        <v>651.8824</v>
      </c>
    </row>
    <row r="5">
      <c r="A5" s="18" t="inlineStr">
        <is>
          <t>2003</t>
        </is>
      </c>
      <c r="B5" s="19" t="n">
        <v>534.438</v>
      </c>
      <c r="C5" s="19" t="n">
        <v>552.9124</v>
      </c>
      <c r="D5" s="19" t="n">
        <v>552.9124</v>
      </c>
      <c r="E5" s="19" t="n">
        <v>552.9124</v>
      </c>
      <c r="F5" s="19" t="n">
        <v>550.2732</v>
      </c>
      <c r="G5" s="19" t="n">
        <v>550.2732</v>
      </c>
      <c r="H5" s="19" t="n">
        <v>551.5928</v>
      </c>
      <c r="I5" s="19" t="n">
        <v>551.5928</v>
      </c>
      <c r="J5" s="19" t="n">
        <v>551.5928</v>
      </c>
      <c r="K5" s="19" t="n">
        <v>551.5928</v>
      </c>
      <c r="L5" s="19" t="n">
        <v>551.5928</v>
      </c>
      <c r="M5" s="19" t="n">
        <v>551.5928</v>
      </c>
      <c r="N5" s="19" t="n">
        <v>551.5928</v>
      </c>
      <c r="O5" s="19" t="n">
        <v>551.5928</v>
      </c>
      <c r="P5" s="19" t="n">
        <v>551.5928</v>
      </c>
      <c r="Q5" s="19" t="n">
        <v>551.5928</v>
      </c>
      <c r="R5" s="19" t="n">
        <v>551.5928</v>
      </c>
      <c r="S5" s="19" t="n">
        <v>551.5928</v>
      </c>
      <c r="T5" s="19" t="n">
        <v>551.5928</v>
      </c>
      <c r="U5" s="19" t="n">
        <v>551.5928</v>
      </c>
      <c r="V5" s="19" t="n">
        <v>551.5928</v>
      </c>
      <c r="W5" s="19" t="n">
        <v>551.5928</v>
      </c>
    </row>
    <row r="6">
      <c r="A6" s="18" t="inlineStr">
        <is>
          <t>2004</t>
        </is>
      </c>
      <c r="B6" s="19" t="n">
        <v>603.0572</v>
      </c>
      <c r="C6" s="19" t="n">
        <v>638.6864</v>
      </c>
      <c r="D6" s="19" t="n">
        <v>638.6864</v>
      </c>
      <c r="E6" s="19" t="n">
        <v>641.3256</v>
      </c>
      <c r="F6" s="19" t="n">
        <v>642.6452</v>
      </c>
      <c r="G6" s="19" t="n">
        <v>642.6452</v>
      </c>
      <c r="H6" s="19" t="n">
        <v>642.6452</v>
      </c>
      <c r="I6" s="19" t="n">
        <v>642.6452</v>
      </c>
      <c r="J6" s="19" t="n">
        <v>642.6452</v>
      </c>
      <c r="K6" s="19" t="n">
        <v>642.6452</v>
      </c>
      <c r="L6" s="19" t="n">
        <v>642.6452</v>
      </c>
      <c r="M6" s="19" t="n">
        <v>642.6452</v>
      </c>
      <c r="N6" s="19" t="n">
        <v>642.6452</v>
      </c>
      <c r="O6" s="19" t="n">
        <v>642.6452</v>
      </c>
      <c r="P6" s="19" t="n">
        <v>642.6452</v>
      </c>
      <c r="Q6" s="19" t="n">
        <v>642.6452</v>
      </c>
      <c r="R6" s="19" t="n">
        <v>642.6452</v>
      </c>
      <c r="S6" s="19" t="n">
        <v>642.6452</v>
      </c>
      <c r="T6" s="19" t="n">
        <v>642.6452</v>
      </c>
      <c r="U6" s="19" t="n">
        <v>642.6452</v>
      </c>
      <c r="V6" s="19" t="n">
        <v>642.6452</v>
      </c>
    </row>
    <row r="7">
      <c r="A7" s="18" t="inlineStr">
        <is>
          <t>2005</t>
        </is>
      </c>
      <c r="B7" s="19" t="n">
        <v>626.8099999999999</v>
      </c>
      <c r="C7" s="19" t="n">
        <v>641.3256</v>
      </c>
      <c r="D7" s="19" t="n">
        <v>642.6452</v>
      </c>
      <c r="E7" s="19" t="n">
        <v>641.3256</v>
      </c>
      <c r="F7" s="19" t="n">
        <v>641.3256</v>
      </c>
      <c r="G7" s="19" t="n">
        <v>641.3256</v>
      </c>
      <c r="H7" s="19" t="n">
        <v>641.3256</v>
      </c>
      <c r="I7" s="19" t="n">
        <v>641.3256</v>
      </c>
      <c r="J7" s="19" t="n">
        <v>641.3256</v>
      </c>
      <c r="K7" s="19" t="n">
        <v>641.3256</v>
      </c>
      <c r="L7" s="19" t="n">
        <v>641.3256</v>
      </c>
      <c r="M7" s="19" t="n">
        <v>641.3256</v>
      </c>
      <c r="N7" s="19" t="n">
        <v>641.3256</v>
      </c>
      <c r="O7" s="19" t="n">
        <v>641.3256</v>
      </c>
      <c r="P7" s="19" t="n">
        <v>641.3256</v>
      </c>
      <c r="Q7" s="19" t="n">
        <v>641.3256</v>
      </c>
      <c r="R7" s="19" t="n">
        <v>641.3256</v>
      </c>
      <c r="S7" s="19" t="n">
        <v>641.3256</v>
      </c>
      <c r="T7" s="19" t="n">
        <v>641.3256</v>
      </c>
      <c r="U7" s="19" t="n">
        <v>641.3256</v>
      </c>
    </row>
    <row r="8">
      <c r="A8" s="18" t="inlineStr">
        <is>
          <t>2006</t>
        </is>
      </c>
      <c r="B8" s="19" t="n">
        <v>479.0148</v>
      </c>
      <c r="C8" s="19" t="n">
        <v>497.4892</v>
      </c>
      <c r="D8" s="19" t="n">
        <v>497.4892</v>
      </c>
      <c r="E8" s="19" t="n">
        <v>497.4892</v>
      </c>
      <c r="F8" s="19" t="n">
        <v>497.4892</v>
      </c>
      <c r="G8" s="19" t="n">
        <v>497.4892</v>
      </c>
      <c r="H8" s="19" t="n">
        <v>497.4892</v>
      </c>
      <c r="I8" s="19" t="n">
        <v>497.4892</v>
      </c>
      <c r="J8" s="19" t="n">
        <v>497.4892</v>
      </c>
      <c r="K8" s="19" t="n">
        <v>497.4892</v>
      </c>
      <c r="L8" s="19" t="n">
        <v>497.4892</v>
      </c>
      <c r="M8" s="19" t="n">
        <v>497.4892</v>
      </c>
      <c r="N8" s="19" t="n">
        <v>497.4892</v>
      </c>
      <c r="O8" s="19" t="n">
        <v>497.4892</v>
      </c>
      <c r="P8" s="19" t="n">
        <v>497.4892</v>
      </c>
      <c r="Q8" s="19" t="n">
        <v>497.4892</v>
      </c>
      <c r="R8" s="19" t="n">
        <v>497.4892</v>
      </c>
      <c r="S8" s="19" t="n">
        <v>497.4892</v>
      </c>
      <c r="T8" s="19" t="n">
        <v>497.4892</v>
      </c>
    </row>
    <row r="9">
      <c r="A9" s="18" t="inlineStr">
        <is>
          <t>2007</t>
        </is>
      </c>
      <c r="B9" s="19" t="n">
        <v>456.5816</v>
      </c>
      <c r="C9" s="19" t="n">
        <v>476.3756</v>
      </c>
      <c r="D9" s="19" t="n">
        <v>476.3756</v>
      </c>
      <c r="E9" s="19" t="n">
        <v>476.3756</v>
      </c>
      <c r="F9" s="19" t="n">
        <v>476.3756</v>
      </c>
      <c r="G9" s="19" t="n">
        <v>476.3756</v>
      </c>
      <c r="H9" s="19" t="n">
        <v>476.3756</v>
      </c>
      <c r="I9" s="19" t="n">
        <v>476.3756</v>
      </c>
      <c r="J9" s="19" t="n">
        <v>476.3756</v>
      </c>
      <c r="K9" s="19" t="n">
        <v>476.3756</v>
      </c>
      <c r="L9" s="19" t="n">
        <v>476.3756</v>
      </c>
      <c r="M9" s="19" t="n">
        <v>476.3756</v>
      </c>
      <c r="N9" s="19" t="n">
        <v>476.3756</v>
      </c>
      <c r="O9" s="19" t="n">
        <v>476.3756</v>
      </c>
      <c r="P9" s="19" t="n">
        <v>476.3756</v>
      </c>
      <c r="Q9" s="19" t="n">
        <v>476.3756</v>
      </c>
      <c r="R9" s="19" t="n">
        <v>476.3756</v>
      </c>
      <c r="S9" s="19" t="n">
        <v>476.3756</v>
      </c>
    </row>
    <row r="10">
      <c r="A10" s="18" t="inlineStr">
        <is>
          <t>2008</t>
        </is>
      </c>
      <c r="B10" s="19" t="n">
        <v>307.4668</v>
      </c>
      <c r="C10" s="19" t="n">
        <v>327.2608</v>
      </c>
      <c r="D10" s="19" t="n">
        <v>328.5804</v>
      </c>
      <c r="E10" s="19" t="n">
        <v>328.5804</v>
      </c>
      <c r="F10" s="19" t="n">
        <v>328.5804</v>
      </c>
      <c r="G10" s="19" t="n">
        <v>328.5804</v>
      </c>
      <c r="H10" s="19" t="n">
        <v>328.5804</v>
      </c>
      <c r="I10" s="19" t="n">
        <v>328.5804</v>
      </c>
      <c r="J10" s="19" t="n">
        <v>328.5804</v>
      </c>
      <c r="K10" s="19" t="n">
        <v>328.5804</v>
      </c>
      <c r="L10" s="19" t="n">
        <v>328.5804</v>
      </c>
      <c r="M10" s="19" t="n">
        <v>328.5804</v>
      </c>
      <c r="N10" s="19" t="n">
        <v>328.5804</v>
      </c>
      <c r="O10" s="19" t="n">
        <v>328.5804</v>
      </c>
      <c r="P10" s="19" t="n">
        <v>328.5804</v>
      </c>
      <c r="Q10" s="19" t="n">
        <v>328.5804</v>
      </c>
      <c r="R10" s="19" t="n">
        <v>328.5804</v>
      </c>
    </row>
    <row r="11">
      <c r="A11" s="18" t="inlineStr">
        <is>
          <t>2009</t>
        </is>
      </c>
      <c r="B11" s="19" t="n">
        <v>306.1472</v>
      </c>
      <c r="C11" s="19" t="n">
        <v>320.6628</v>
      </c>
      <c r="D11" s="19" t="n">
        <v>321.9824</v>
      </c>
      <c r="E11" s="19" t="n">
        <v>321.9824</v>
      </c>
      <c r="F11" s="19" t="n">
        <v>321.9824</v>
      </c>
      <c r="G11" s="19" t="n">
        <v>321.9824</v>
      </c>
      <c r="H11" s="19" t="n">
        <v>321.9824</v>
      </c>
      <c r="I11" s="19" t="n">
        <v>321.9824</v>
      </c>
      <c r="J11" s="19" t="n">
        <v>321.9824</v>
      </c>
      <c r="K11" s="19" t="n">
        <v>321.9824</v>
      </c>
      <c r="L11" s="19" t="n">
        <v>321.9824</v>
      </c>
      <c r="M11" s="19" t="n">
        <v>321.9824</v>
      </c>
      <c r="N11" s="19" t="n">
        <v>321.9824</v>
      </c>
      <c r="O11" s="19" t="n">
        <v>321.9824</v>
      </c>
      <c r="P11" s="19" t="n">
        <v>321.9824</v>
      </c>
      <c r="Q11" s="19" t="n">
        <v>321.9824</v>
      </c>
    </row>
    <row r="12">
      <c r="A12" s="18" t="inlineStr">
        <is>
          <t>2010</t>
        </is>
      </c>
      <c r="B12" s="19" t="n">
        <v>259.9612</v>
      </c>
      <c r="C12" s="19" t="n">
        <v>271.8376</v>
      </c>
      <c r="D12" s="19" t="n">
        <v>271.8376</v>
      </c>
      <c r="E12" s="19" t="n">
        <v>271.8376</v>
      </c>
      <c r="F12" s="19" t="n">
        <v>271.8376</v>
      </c>
      <c r="G12" s="19" t="n">
        <v>271.8376</v>
      </c>
      <c r="H12" s="19" t="n">
        <v>271.8376</v>
      </c>
      <c r="I12" s="19" t="n">
        <v>271.8376</v>
      </c>
      <c r="J12" s="19" t="n">
        <v>271.8376</v>
      </c>
      <c r="K12" s="19" t="n">
        <v>271.8376</v>
      </c>
      <c r="L12" s="19" t="n">
        <v>271.8376</v>
      </c>
      <c r="M12" s="19" t="n">
        <v>271.8376</v>
      </c>
      <c r="N12" s="19" t="n">
        <v>271.8376</v>
      </c>
      <c r="O12" s="19" t="n">
        <v>271.8376</v>
      </c>
      <c r="P12" s="19" t="n">
        <v>271.8376</v>
      </c>
    </row>
    <row r="13">
      <c r="A13" s="18" t="inlineStr">
        <is>
          <t>2011</t>
        </is>
      </c>
      <c r="B13" s="19" t="n">
        <v>345.7352</v>
      </c>
      <c r="C13" s="19" t="n">
        <v>345.7352</v>
      </c>
      <c r="D13" s="19" t="n">
        <v>345.7352</v>
      </c>
      <c r="E13" s="19" t="n">
        <v>345.7352</v>
      </c>
      <c r="F13" s="19" t="n">
        <v>345.7352</v>
      </c>
      <c r="G13" s="19" t="n">
        <v>345.7352</v>
      </c>
      <c r="H13" s="19" t="n">
        <v>345.7352</v>
      </c>
      <c r="I13" s="19" t="n">
        <v>345.7352</v>
      </c>
      <c r="J13" s="19" t="n">
        <v>345.7352</v>
      </c>
      <c r="K13" s="19" t="n">
        <v>345.7352</v>
      </c>
      <c r="L13" s="19" t="n">
        <v>345.7352</v>
      </c>
      <c r="M13" s="19" t="n">
        <v>345.7352</v>
      </c>
      <c r="N13" s="19" t="n">
        <v>345.7352</v>
      </c>
      <c r="O13" s="19" t="n">
        <v>345.7352</v>
      </c>
    </row>
    <row r="14">
      <c r="A14" s="18" t="inlineStr">
        <is>
          <t>2012</t>
        </is>
      </c>
      <c r="B14" s="19" t="n">
        <v>245.4456</v>
      </c>
      <c r="C14" s="19" t="n">
        <v>261.2808</v>
      </c>
      <c r="D14" s="19" t="n">
        <v>261.2808</v>
      </c>
      <c r="E14" s="19" t="n">
        <v>261.2808</v>
      </c>
      <c r="F14" s="19" t="n">
        <v>261.2808</v>
      </c>
      <c r="G14" s="19" t="n">
        <v>261.2808</v>
      </c>
      <c r="H14" s="19" t="n">
        <v>261.2808</v>
      </c>
      <c r="I14" s="19" t="n">
        <v>261.2808</v>
      </c>
      <c r="J14" s="19" t="n">
        <v>261.2808</v>
      </c>
      <c r="K14" s="19" t="n">
        <v>261.2808</v>
      </c>
      <c r="L14" s="19" t="n">
        <v>261.2808</v>
      </c>
      <c r="M14" s="19" t="n">
        <v>261.2808</v>
      </c>
      <c r="N14" s="19" t="n">
        <v>261.2808</v>
      </c>
    </row>
    <row r="15">
      <c r="A15" s="18" t="inlineStr">
        <is>
          <t>2013</t>
        </is>
      </c>
      <c r="B15" s="19" t="n">
        <v>282.3944</v>
      </c>
      <c r="C15" s="19" t="n">
        <v>290.312</v>
      </c>
      <c r="D15" s="19" t="n">
        <v>290.312</v>
      </c>
      <c r="E15" s="19" t="n">
        <v>291.6316</v>
      </c>
      <c r="F15" s="19" t="n">
        <v>291.6316</v>
      </c>
      <c r="G15" s="19" t="n">
        <v>291.6316</v>
      </c>
      <c r="H15" s="19" t="n">
        <v>291.6316</v>
      </c>
      <c r="I15" s="19" t="n">
        <v>291.6316</v>
      </c>
      <c r="J15" s="19" t="n">
        <v>291.6316</v>
      </c>
      <c r="K15" s="19" t="n">
        <v>291.6316</v>
      </c>
      <c r="L15" s="19" t="n">
        <v>291.6316</v>
      </c>
      <c r="M15" s="19" t="n">
        <v>291.6316</v>
      </c>
    </row>
    <row r="16">
      <c r="A16" s="18" t="inlineStr">
        <is>
          <t>2014</t>
        </is>
      </c>
      <c r="B16" s="19" t="n">
        <v>434.1484</v>
      </c>
      <c r="C16" s="19" t="n">
        <v>453.9424</v>
      </c>
      <c r="D16" s="19" t="n">
        <v>455.262</v>
      </c>
      <c r="E16" s="19" t="n">
        <v>455.262</v>
      </c>
      <c r="F16" s="19" t="n">
        <v>455.262</v>
      </c>
      <c r="G16" s="19" t="n">
        <v>455.262</v>
      </c>
      <c r="H16" s="19" t="n">
        <v>455.262</v>
      </c>
      <c r="I16" s="19" t="n">
        <v>455.262</v>
      </c>
      <c r="J16" s="19" t="n">
        <v>455.262</v>
      </c>
      <c r="K16" s="19" t="n">
        <v>455.262</v>
      </c>
      <c r="L16" s="19" t="n">
        <v>455.262</v>
      </c>
    </row>
    <row r="17">
      <c r="A17" s="18" t="inlineStr">
        <is>
          <t>2015</t>
        </is>
      </c>
      <c r="B17" s="19" t="n">
        <v>321.9824</v>
      </c>
      <c r="C17" s="19" t="n">
        <v>332.5392</v>
      </c>
      <c r="D17" s="19" t="n">
        <v>337.8176</v>
      </c>
      <c r="E17" s="19" t="n">
        <v>337.8176</v>
      </c>
      <c r="F17" s="19" t="n">
        <v>337.8176</v>
      </c>
      <c r="G17" s="19" t="n">
        <v>337.8176</v>
      </c>
      <c r="H17" s="19" t="n">
        <v>337.8176</v>
      </c>
      <c r="I17" s="19" t="n">
        <v>337.8176</v>
      </c>
      <c r="J17" s="19" t="n">
        <v>337.8176</v>
      </c>
      <c r="K17" s="19" t="n">
        <v>333.8588</v>
      </c>
    </row>
    <row r="18">
      <c r="A18" s="18" t="inlineStr">
        <is>
          <t>2016</t>
        </is>
      </c>
      <c r="B18" s="19" t="n">
        <v>345.7352</v>
      </c>
      <c r="C18" s="19" t="n">
        <v>373.4468</v>
      </c>
      <c r="D18" s="19" t="n">
        <v>390.6016</v>
      </c>
      <c r="E18" s="19" t="n">
        <v>390.6016</v>
      </c>
      <c r="F18" s="19" t="n">
        <v>390.6016</v>
      </c>
      <c r="G18" s="19" t="n">
        <v>390.6016</v>
      </c>
      <c r="H18" s="19" t="n">
        <v>390.6016</v>
      </c>
      <c r="I18" s="19" t="n">
        <v>390.6016</v>
      </c>
      <c r="J18" s="19" t="n">
        <v>390.6016</v>
      </c>
    </row>
    <row r="19">
      <c r="A19" s="18" t="inlineStr">
        <is>
          <t>2017</t>
        </is>
      </c>
      <c r="B19" s="19" t="n">
        <v>275.7964</v>
      </c>
      <c r="C19" s="19" t="n">
        <v>310.106</v>
      </c>
      <c r="D19" s="19" t="n">
        <v>311.4256</v>
      </c>
      <c r="E19" s="19" t="n">
        <v>312.7452</v>
      </c>
      <c r="F19" s="19" t="n">
        <v>311.4256</v>
      </c>
      <c r="G19" s="19" t="n">
        <v>311.4256</v>
      </c>
      <c r="H19" s="19" t="n">
        <v>311.4256</v>
      </c>
      <c r="I19" s="19" t="n">
        <v>310.106</v>
      </c>
    </row>
    <row r="20">
      <c r="A20" s="18" t="inlineStr">
        <is>
          <t>2018</t>
        </is>
      </c>
      <c r="B20" s="19" t="n">
        <v>288.9924</v>
      </c>
      <c r="C20" s="19" t="n">
        <v>324.6216</v>
      </c>
      <c r="D20" s="19" t="n">
        <v>324.6216</v>
      </c>
      <c r="E20" s="19" t="n">
        <v>324.6216</v>
      </c>
      <c r="F20" s="19" t="n">
        <v>325.9412</v>
      </c>
      <c r="G20" s="19" t="n">
        <v>325.9412</v>
      </c>
      <c r="H20" s="19" t="n">
        <v>325.9412</v>
      </c>
    </row>
    <row r="21">
      <c r="A21" s="18" t="inlineStr">
        <is>
          <t>2019</t>
        </is>
      </c>
      <c r="B21" s="19" t="n">
        <v>314.0648</v>
      </c>
      <c r="C21" s="19" t="n">
        <v>358.9312</v>
      </c>
      <c r="D21" s="19" t="n">
        <v>358.9312</v>
      </c>
      <c r="E21" s="19" t="n">
        <v>358.9312</v>
      </c>
      <c r="F21" s="19" t="n">
        <v>358.9312</v>
      </c>
      <c r="G21" s="19" t="n">
        <v>357.6116</v>
      </c>
    </row>
    <row r="22">
      <c r="A22" s="18" t="inlineStr">
        <is>
          <t>2020</t>
        </is>
      </c>
      <c r="B22" s="19" t="n">
        <v>349.694</v>
      </c>
      <c r="C22" s="19" t="n">
        <v>370.8076</v>
      </c>
      <c r="D22" s="19" t="n">
        <v>370.8076</v>
      </c>
      <c r="E22" s="19" t="n">
        <v>370.8076</v>
      </c>
      <c r="F22" s="19" t="n">
        <v>370.8076</v>
      </c>
    </row>
    <row r="23">
      <c r="A23" s="18" t="inlineStr">
        <is>
          <t>2021</t>
        </is>
      </c>
      <c r="B23" s="19" t="n">
        <v>288.9924</v>
      </c>
      <c r="C23" s="19" t="n">
        <v>329.9</v>
      </c>
      <c r="D23" s="19" t="n">
        <v>329.9</v>
      </c>
      <c r="E23" s="19" t="n">
        <v>329.9</v>
      </c>
    </row>
    <row r="24">
      <c r="A24" s="18" t="inlineStr">
        <is>
          <t>2022</t>
        </is>
      </c>
      <c r="B24" s="19" t="n">
        <v>261.2808</v>
      </c>
      <c r="C24" s="19" t="n">
        <v>298.2296</v>
      </c>
      <c r="D24" s="19" t="n">
        <v>298.2296</v>
      </c>
    </row>
    <row r="25">
      <c r="A25" s="18" t="inlineStr">
        <is>
          <t>2023</t>
        </is>
      </c>
      <c r="B25" s="19" t="n">
        <v>273.1572</v>
      </c>
      <c r="C25" s="19" t="n">
        <v>304.8276</v>
      </c>
    </row>
    <row r="26">
      <c r="A26" s="18" t="inlineStr">
        <is>
          <t>2024</t>
        </is>
      </c>
      <c r="B26" s="19" t="n">
        <v>256.0024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Severity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890.1180000000001</v>
      </c>
      <c r="C3" s="19" t="n">
        <v>2278.4062</v>
      </c>
      <c r="D3" s="19" t="n">
        <v>2782.9421</v>
      </c>
      <c r="E3" s="19" t="n">
        <v>3062.5888</v>
      </c>
      <c r="F3" s="19" t="n">
        <v>3292.6042</v>
      </c>
      <c r="G3" s="19" t="n">
        <v>3515.439</v>
      </c>
      <c r="H3" s="19" t="n">
        <v>3421.3038</v>
      </c>
      <c r="I3" s="19" t="n">
        <v>3453.2106</v>
      </c>
      <c r="J3" s="19" t="n">
        <v>3478.3519</v>
      </c>
      <c r="K3" s="19" t="n">
        <v>3507.6464</v>
      </c>
      <c r="L3" s="19" t="n">
        <v>3582.8588</v>
      </c>
      <c r="M3" s="19" t="n">
        <v>3657.3908</v>
      </c>
      <c r="N3" s="19" t="n">
        <v>3653.4369</v>
      </c>
      <c r="O3" s="19" t="n">
        <v>3736.9976</v>
      </c>
      <c r="P3" s="19" t="n">
        <v>3800.6836</v>
      </c>
      <c r="Q3" s="19" t="n">
        <v>4002.7778</v>
      </c>
      <c r="R3" s="19" t="n">
        <v>4097.3409</v>
      </c>
      <c r="S3" s="19" t="n">
        <v>4224.0147</v>
      </c>
      <c r="T3" s="19" t="n">
        <v>4299.9339</v>
      </c>
      <c r="U3" s="19" t="n">
        <v>4299.9339</v>
      </c>
      <c r="V3" s="19" t="n">
        <v>4400.6872</v>
      </c>
      <c r="W3" s="19" t="n">
        <v>4461.8925</v>
      </c>
      <c r="X3" s="19" t="n">
        <v>4461.8925</v>
      </c>
      <c r="Y3" s="19" t="n">
        <v>4515.1126</v>
      </c>
    </row>
    <row r="4">
      <c r="A4" s="18" t="inlineStr">
        <is>
          <t>2002</t>
        </is>
      </c>
      <c r="B4" s="19" t="n">
        <v>1512.0882</v>
      </c>
      <c r="C4" s="19" t="n">
        <v>2090.9875</v>
      </c>
      <c r="D4" s="19" t="n">
        <v>2115.5884</v>
      </c>
      <c r="E4" s="19" t="n">
        <v>2527.4532</v>
      </c>
      <c r="F4" s="19" t="n">
        <v>2560.7772</v>
      </c>
      <c r="G4" s="19" t="n">
        <v>2649.7009</v>
      </c>
      <c r="H4" s="19" t="n">
        <v>2700.0288</v>
      </c>
      <c r="I4" s="19" t="n">
        <v>2700.5895</v>
      </c>
      <c r="J4" s="19" t="n">
        <v>2759.7609</v>
      </c>
      <c r="K4" s="19" t="n">
        <v>2786.3555</v>
      </c>
      <c r="L4" s="19" t="n">
        <v>2814.9283</v>
      </c>
      <c r="M4" s="19" t="n">
        <v>2910.4049</v>
      </c>
      <c r="N4" s="19" t="n">
        <v>2914.2643</v>
      </c>
      <c r="O4" s="19" t="n">
        <v>3031.1417</v>
      </c>
      <c r="P4" s="19" t="n">
        <v>3111.0506</v>
      </c>
      <c r="Q4" s="19" t="n">
        <v>3156.834</v>
      </c>
      <c r="R4" s="19" t="n">
        <v>3323.8277</v>
      </c>
      <c r="S4" s="19" t="n">
        <v>3327.6029</v>
      </c>
      <c r="T4" s="19" t="n">
        <v>3327.6029</v>
      </c>
      <c r="U4" s="19" t="n">
        <v>3468.5593</v>
      </c>
      <c r="V4" s="19" t="n">
        <v>3447.0276</v>
      </c>
      <c r="W4" s="19" t="n">
        <v>3570.7879</v>
      </c>
      <c r="X4" s="19" t="n">
        <v>3570.7879</v>
      </c>
    </row>
    <row r="5">
      <c r="A5" s="18" t="inlineStr">
        <is>
          <t>2003</t>
        </is>
      </c>
      <c r="B5" s="19" t="n">
        <v>1888.6444</v>
      </c>
      <c r="C5" s="19" t="n">
        <v>2638.2005</v>
      </c>
      <c r="D5" s="19" t="n">
        <v>2855.6611</v>
      </c>
      <c r="E5" s="19" t="n">
        <v>3394.6267</v>
      </c>
      <c r="F5" s="19" t="n">
        <v>3095.9768</v>
      </c>
      <c r="G5" s="19" t="n">
        <v>3306.0384</v>
      </c>
      <c r="H5" s="19" t="n">
        <v>3289.0123</v>
      </c>
      <c r="I5" s="19" t="n">
        <v>3264.184</v>
      </c>
      <c r="J5" s="19" t="n">
        <v>3258.0917</v>
      </c>
      <c r="K5" s="19" t="n">
        <v>3265.2436</v>
      </c>
      <c r="L5" s="19" t="n">
        <v>3258.4234</v>
      </c>
      <c r="M5" s="19" t="n">
        <v>3233.217</v>
      </c>
      <c r="N5" s="19" t="n">
        <v>3216.7392</v>
      </c>
      <c r="O5" s="19" t="n">
        <v>3216.7391</v>
      </c>
      <c r="P5" s="19" t="n">
        <v>3216.7391</v>
      </c>
      <c r="Q5" s="19" t="n">
        <v>3216.7391</v>
      </c>
      <c r="R5" s="19" t="n">
        <v>3223.5583</v>
      </c>
      <c r="S5" s="19" t="n">
        <v>3223.5583</v>
      </c>
      <c r="T5" s="19" t="n">
        <v>3223.5583</v>
      </c>
      <c r="U5" s="19" t="n">
        <v>3223.5583</v>
      </c>
      <c r="V5" s="19" t="n">
        <v>3223.5583</v>
      </c>
      <c r="W5" s="19" t="n">
        <v>3223.5583</v>
      </c>
    </row>
    <row r="6">
      <c r="A6" s="18" t="inlineStr">
        <is>
          <t>2004</t>
        </is>
      </c>
      <c r="B6" s="19" t="n">
        <v>1172.3435</v>
      </c>
      <c r="C6" s="19" t="n">
        <v>1263.6591</v>
      </c>
      <c r="D6" s="19" t="n">
        <v>1395.2806</v>
      </c>
      <c r="E6" s="19" t="n">
        <v>1455.3763</v>
      </c>
      <c r="F6" s="19" t="n">
        <v>1641.8764</v>
      </c>
      <c r="G6" s="19" t="n">
        <v>1650.9895</v>
      </c>
      <c r="H6" s="19" t="n">
        <v>1681.4597</v>
      </c>
      <c r="I6" s="19" t="n">
        <v>1694.3798</v>
      </c>
      <c r="J6" s="19" t="n">
        <v>1734.6258</v>
      </c>
      <c r="K6" s="19" t="n">
        <v>1719.1458</v>
      </c>
      <c r="L6" s="19" t="n">
        <v>1758.8212</v>
      </c>
      <c r="M6" s="19" t="n">
        <v>1738.9466</v>
      </c>
      <c r="N6" s="19" t="n">
        <v>1739.6468</v>
      </c>
      <c r="O6" s="19" t="n">
        <v>1740.152</v>
      </c>
      <c r="P6" s="19" t="n">
        <v>1740.151</v>
      </c>
      <c r="Q6" s="19" t="n">
        <v>1746.8131</v>
      </c>
      <c r="R6" s="19" t="n">
        <v>1746.8131</v>
      </c>
      <c r="S6" s="19" t="n">
        <v>1746.8131</v>
      </c>
      <c r="T6" s="19" t="n">
        <v>1746.8131</v>
      </c>
      <c r="U6" s="19" t="n">
        <v>1746.8655</v>
      </c>
      <c r="V6" s="19" t="n">
        <v>1746.8655</v>
      </c>
    </row>
    <row r="7">
      <c r="A7" s="18" t="inlineStr">
        <is>
          <t>2005</t>
        </is>
      </c>
      <c r="B7" s="19" t="n">
        <v>1993.7326</v>
      </c>
      <c r="C7" s="19" t="n">
        <v>2538.8382</v>
      </c>
      <c r="D7" s="19" t="n">
        <v>2768.881</v>
      </c>
      <c r="E7" s="19" t="n">
        <v>2706.5528</v>
      </c>
      <c r="F7" s="19" t="n">
        <v>2807.1297</v>
      </c>
      <c r="G7" s="19" t="n">
        <v>2852.9634</v>
      </c>
      <c r="H7" s="19" t="n">
        <v>2911.0234</v>
      </c>
      <c r="I7" s="19" t="n">
        <v>2927.4654</v>
      </c>
      <c r="J7" s="19" t="n">
        <v>2965.2737</v>
      </c>
      <c r="K7" s="19" t="n">
        <v>3046.2327</v>
      </c>
      <c r="L7" s="19" t="n">
        <v>3081.9362</v>
      </c>
      <c r="M7" s="19" t="n">
        <v>3449.9444</v>
      </c>
      <c r="N7" s="19" t="n">
        <v>3449.963</v>
      </c>
      <c r="O7" s="19" t="n">
        <v>3386.3438</v>
      </c>
      <c r="P7" s="19" t="n">
        <v>3420.0517</v>
      </c>
      <c r="Q7" s="19" t="n">
        <v>3443.969</v>
      </c>
      <c r="R7" s="19" t="n">
        <v>3496.1167</v>
      </c>
      <c r="S7" s="19" t="n">
        <v>3496.1167</v>
      </c>
      <c r="T7" s="19" t="n">
        <v>3496.1167</v>
      </c>
      <c r="U7" s="19" t="n">
        <v>3496.1167</v>
      </c>
    </row>
    <row r="8">
      <c r="A8" s="18" t="inlineStr">
        <is>
          <t>2006</t>
        </is>
      </c>
      <c r="B8" s="19" t="n">
        <v>1599.0849</v>
      </c>
      <c r="C8" s="19" t="n">
        <v>2327.8896</v>
      </c>
      <c r="D8" s="19" t="n">
        <v>2023.4351</v>
      </c>
      <c r="E8" s="19" t="n">
        <v>2163.9389</v>
      </c>
      <c r="F8" s="19" t="n">
        <v>2183.4454</v>
      </c>
      <c r="G8" s="19" t="n">
        <v>2293.584</v>
      </c>
      <c r="H8" s="19" t="n">
        <v>2394.6572</v>
      </c>
      <c r="I8" s="19" t="n">
        <v>2350.5597</v>
      </c>
      <c r="J8" s="19" t="n">
        <v>2411.7895</v>
      </c>
      <c r="K8" s="19" t="n">
        <v>2501.2918</v>
      </c>
      <c r="L8" s="19" t="n">
        <v>2709.3077</v>
      </c>
      <c r="M8" s="19" t="n">
        <v>2872.1777</v>
      </c>
      <c r="N8" s="19" t="n">
        <v>2951.2085</v>
      </c>
      <c r="O8" s="19" t="n">
        <v>2982.9877</v>
      </c>
      <c r="P8" s="19" t="n">
        <v>2984.7119</v>
      </c>
      <c r="Q8" s="19" t="n">
        <v>3019.1946</v>
      </c>
      <c r="R8" s="19" t="n">
        <v>3028.4784</v>
      </c>
      <c r="S8" s="19" t="n">
        <v>3050.5924</v>
      </c>
      <c r="T8" s="19" t="n">
        <v>3050.5924</v>
      </c>
    </row>
    <row r="9">
      <c r="A9" s="18" t="inlineStr">
        <is>
          <t>2007</t>
        </is>
      </c>
      <c r="B9" s="19" t="n">
        <v>3777.3245</v>
      </c>
      <c r="C9" s="19" t="n">
        <v>3941.769</v>
      </c>
      <c r="D9" s="19" t="n">
        <v>4293.0553</v>
      </c>
      <c r="E9" s="19" t="n">
        <v>4810.1306</v>
      </c>
      <c r="F9" s="19" t="n">
        <v>5361.7176</v>
      </c>
      <c r="G9" s="19" t="n">
        <v>6400.5666</v>
      </c>
      <c r="H9" s="19" t="n">
        <v>6807.7258</v>
      </c>
      <c r="I9" s="19" t="n">
        <v>7553.3299</v>
      </c>
      <c r="J9" s="19" t="n">
        <v>8094.4377</v>
      </c>
      <c r="K9" s="19" t="n">
        <v>8917.1247</v>
      </c>
      <c r="L9" s="19" t="n">
        <v>9190.731299999999</v>
      </c>
      <c r="M9" s="19" t="n">
        <v>9456.272800000001</v>
      </c>
      <c r="N9" s="19" t="n">
        <v>9608.6579</v>
      </c>
      <c r="O9" s="19" t="n">
        <v>9617.6212</v>
      </c>
      <c r="P9" s="19" t="n">
        <v>10037.1822</v>
      </c>
      <c r="Q9" s="19" t="n">
        <v>10037.1822</v>
      </c>
      <c r="R9" s="19" t="n">
        <v>10073.235</v>
      </c>
      <c r="S9" s="19" t="n">
        <v>10098.7007</v>
      </c>
    </row>
    <row r="10">
      <c r="A10" s="18" t="inlineStr">
        <is>
          <t>2008</t>
        </is>
      </c>
      <c r="B10" s="19" t="n">
        <v>1809.473</v>
      </c>
      <c r="C10" s="19" t="n">
        <v>2355.6596</v>
      </c>
      <c r="D10" s="19" t="n">
        <v>2839.9925</v>
      </c>
      <c r="E10" s="19" t="n">
        <v>3950.3476</v>
      </c>
      <c r="F10" s="19" t="n">
        <v>3828.9536</v>
      </c>
      <c r="G10" s="19" t="n">
        <v>3893.4618</v>
      </c>
      <c r="H10" s="19" t="n">
        <v>3914.5485</v>
      </c>
      <c r="I10" s="19" t="n">
        <v>3966.0723</v>
      </c>
      <c r="J10" s="19" t="n">
        <v>3988.739</v>
      </c>
      <c r="K10" s="19" t="n">
        <v>4127.0241</v>
      </c>
      <c r="L10" s="19" t="n">
        <v>4147.332</v>
      </c>
      <c r="M10" s="19" t="n">
        <v>4148.0168</v>
      </c>
      <c r="N10" s="19" t="n">
        <v>4087.6122</v>
      </c>
      <c r="O10" s="19" t="n">
        <v>4088.6162</v>
      </c>
      <c r="P10" s="19" t="n">
        <v>4088.6162</v>
      </c>
      <c r="Q10" s="19" t="n">
        <v>4108.6965</v>
      </c>
      <c r="R10" s="19" t="n">
        <v>4195.1009</v>
      </c>
    </row>
    <row r="11">
      <c r="A11" s="18" t="inlineStr">
        <is>
          <t>2009</t>
        </is>
      </c>
      <c r="B11" s="19" t="n">
        <v>1167.6749</v>
      </c>
      <c r="C11" s="19" t="n">
        <v>2721.0436</v>
      </c>
      <c r="D11" s="19" t="n">
        <v>2553.6801</v>
      </c>
      <c r="E11" s="19" t="n">
        <v>2617.3913</v>
      </c>
      <c r="F11" s="19" t="n">
        <v>2791.3361</v>
      </c>
      <c r="G11" s="19" t="n">
        <v>2934.6002</v>
      </c>
      <c r="H11" s="19" t="n">
        <v>3041.3852</v>
      </c>
      <c r="I11" s="19" t="n">
        <v>3479.5492</v>
      </c>
      <c r="J11" s="19" t="n">
        <v>3479.5697</v>
      </c>
      <c r="K11" s="19" t="n">
        <v>3479.575</v>
      </c>
      <c r="L11" s="19" t="n">
        <v>3479.575</v>
      </c>
      <c r="M11" s="19" t="n">
        <v>3526.7061</v>
      </c>
      <c r="N11" s="19" t="n">
        <v>3632.438</v>
      </c>
      <c r="O11" s="19" t="n">
        <v>3632.438</v>
      </c>
      <c r="P11" s="19" t="n">
        <v>3632.438</v>
      </c>
      <c r="Q11" s="19" t="n">
        <v>3632.438</v>
      </c>
    </row>
    <row r="12">
      <c r="A12" s="18" t="inlineStr">
        <is>
          <t>2010</t>
        </is>
      </c>
      <c r="B12" s="19" t="n">
        <v>1384.9391</v>
      </c>
      <c r="C12" s="19" t="n">
        <v>2687.5986</v>
      </c>
      <c r="D12" s="19" t="n">
        <v>3499.5972</v>
      </c>
      <c r="E12" s="19" t="n">
        <v>4066.1699</v>
      </c>
      <c r="F12" s="19" t="n">
        <v>4547.5156</v>
      </c>
      <c r="G12" s="19" t="n">
        <v>4498.6408</v>
      </c>
      <c r="H12" s="19" t="n">
        <v>4676.9369</v>
      </c>
      <c r="I12" s="19" t="n">
        <v>4682.4417</v>
      </c>
      <c r="J12" s="19" t="n">
        <v>4660.2165</v>
      </c>
      <c r="K12" s="19" t="n">
        <v>4663.1575</v>
      </c>
      <c r="L12" s="19" t="n">
        <v>4666.8177</v>
      </c>
      <c r="M12" s="19" t="n">
        <v>4667.0895</v>
      </c>
      <c r="N12" s="19" t="n">
        <v>4673.1575</v>
      </c>
      <c r="O12" s="19" t="n">
        <v>4672.1618</v>
      </c>
      <c r="P12" s="19" t="n">
        <v>4700.13</v>
      </c>
    </row>
    <row r="13">
      <c r="A13" s="18" t="inlineStr">
        <is>
          <t>2011</t>
        </is>
      </c>
      <c r="B13" s="19" t="n">
        <v>1313.2806</v>
      </c>
      <c r="C13" s="19" t="n">
        <v>2565.3152</v>
      </c>
      <c r="D13" s="19" t="n">
        <v>3783.2939</v>
      </c>
      <c r="E13" s="19" t="n">
        <v>4368.5282</v>
      </c>
      <c r="F13" s="19" t="n">
        <v>4661.1947</v>
      </c>
      <c r="G13" s="19" t="n">
        <v>5034.2137</v>
      </c>
      <c r="H13" s="19" t="n">
        <v>5312.4542</v>
      </c>
      <c r="I13" s="19" t="n">
        <v>5312.7876</v>
      </c>
      <c r="J13" s="19" t="n">
        <v>5386.0395</v>
      </c>
      <c r="K13" s="19" t="n">
        <v>5406.7113</v>
      </c>
      <c r="L13" s="19" t="n">
        <v>5559.1271</v>
      </c>
      <c r="M13" s="19" t="n">
        <v>5542.0495</v>
      </c>
      <c r="N13" s="19" t="n">
        <v>5542.0495</v>
      </c>
      <c r="O13" s="19" t="n">
        <v>5542.0495</v>
      </c>
    </row>
    <row r="14">
      <c r="A14" s="18" t="inlineStr">
        <is>
          <t>2012</t>
        </is>
      </c>
      <c r="B14" s="19" t="n">
        <v>1368.4788</v>
      </c>
      <c r="C14" s="19" t="n">
        <v>2612.096</v>
      </c>
      <c r="D14" s="19" t="n">
        <v>3413.9935</v>
      </c>
      <c r="E14" s="19" t="n">
        <v>3710.1818</v>
      </c>
      <c r="F14" s="19" t="n">
        <v>3698.5859</v>
      </c>
      <c r="G14" s="19" t="n">
        <v>3730.9798</v>
      </c>
      <c r="H14" s="19" t="n">
        <v>3745.9265</v>
      </c>
      <c r="I14" s="19" t="n">
        <v>3939.0426</v>
      </c>
      <c r="J14" s="19" t="n">
        <v>4159.1215</v>
      </c>
      <c r="K14" s="19" t="n">
        <v>4394.3121</v>
      </c>
      <c r="L14" s="19" t="n">
        <v>4427.1404</v>
      </c>
      <c r="M14" s="19" t="n">
        <v>5219.4933</v>
      </c>
      <c r="N14" s="19" t="n">
        <v>5219.4933</v>
      </c>
    </row>
    <row r="15">
      <c r="A15" s="18" t="inlineStr">
        <is>
          <t>2013</t>
        </is>
      </c>
      <c r="B15" s="19" t="n">
        <v>988.3224</v>
      </c>
      <c r="C15" s="19" t="n">
        <v>1755.5463</v>
      </c>
      <c r="D15" s="19" t="n">
        <v>1908.7091</v>
      </c>
      <c r="E15" s="19" t="n">
        <v>2290.7285</v>
      </c>
      <c r="F15" s="19" t="n">
        <v>2429.9367</v>
      </c>
      <c r="G15" s="19" t="n">
        <v>2423.6216</v>
      </c>
      <c r="H15" s="19" t="n">
        <v>2424.8165</v>
      </c>
      <c r="I15" s="19" t="n">
        <v>2424.8165</v>
      </c>
      <c r="J15" s="19" t="n">
        <v>2429.4993</v>
      </c>
      <c r="K15" s="19" t="n">
        <v>2429.4993</v>
      </c>
      <c r="L15" s="19" t="n">
        <v>2429.5378</v>
      </c>
      <c r="M15" s="19" t="n">
        <v>2429.5378</v>
      </c>
    </row>
    <row r="16">
      <c r="A16" s="18" t="inlineStr">
        <is>
          <t>2014</t>
        </is>
      </c>
      <c r="B16" s="19" t="n">
        <v>1334.6909</v>
      </c>
      <c r="C16" s="19" t="n">
        <v>1743.9971</v>
      </c>
      <c r="D16" s="19" t="n">
        <v>2454.6058</v>
      </c>
      <c r="E16" s="19" t="n">
        <v>2838.1826</v>
      </c>
      <c r="F16" s="19" t="n">
        <v>2878.7598</v>
      </c>
      <c r="G16" s="19" t="n">
        <v>2977.9598</v>
      </c>
      <c r="H16" s="19" t="n">
        <v>2892.6972</v>
      </c>
      <c r="I16" s="19" t="n">
        <v>2892.6972</v>
      </c>
      <c r="J16" s="19" t="n">
        <v>3011.5377</v>
      </c>
      <c r="K16" s="19" t="n">
        <v>3073.6631</v>
      </c>
      <c r="L16" s="19" t="n">
        <v>3052.3164</v>
      </c>
    </row>
    <row r="17">
      <c r="A17" s="18" t="inlineStr">
        <is>
          <t>2015</t>
        </is>
      </c>
      <c r="B17" s="19" t="n">
        <v>1671.1066</v>
      </c>
      <c r="C17" s="19" t="n">
        <v>3212.9841</v>
      </c>
      <c r="D17" s="19" t="n">
        <v>4752.8672</v>
      </c>
      <c r="E17" s="19" t="n">
        <v>6314.127</v>
      </c>
      <c r="F17" s="19" t="n">
        <v>6982.9534</v>
      </c>
      <c r="G17" s="19" t="n">
        <v>7934.0749</v>
      </c>
      <c r="H17" s="19" t="n">
        <v>9044.3287</v>
      </c>
      <c r="I17" s="19" t="n">
        <v>9105.656800000001</v>
      </c>
      <c r="J17" s="19" t="n">
        <v>9135.714599999999</v>
      </c>
      <c r="K17" s="19" t="n">
        <v>10132.9162</v>
      </c>
    </row>
    <row r="18">
      <c r="A18" s="18" t="inlineStr">
        <is>
          <t>2016</t>
        </is>
      </c>
      <c r="B18" s="19" t="n">
        <v>1989.3893</v>
      </c>
      <c r="C18" s="19" t="n">
        <v>3443.4912</v>
      </c>
      <c r="D18" s="19" t="n">
        <v>4437.949</v>
      </c>
      <c r="E18" s="19" t="n">
        <v>4824.0141</v>
      </c>
      <c r="F18" s="19" t="n">
        <v>5510.515</v>
      </c>
      <c r="G18" s="19" t="n">
        <v>5684.6093</v>
      </c>
      <c r="H18" s="19" t="n">
        <v>6409.6524</v>
      </c>
      <c r="I18" s="19" t="n">
        <v>6408.127</v>
      </c>
      <c r="J18" s="19" t="n">
        <v>6416.5729</v>
      </c>
    </row>
    <row r="19">
      <c r="A19" s="18" t="inlineStr">
        <is>
          <t>2017</t>
        </is>
      </c>
      <c r="B19" s="19" t="n">
        <v>1672.7081</v>
      </c>
      <c r="C19" s="19" t="n">
        <v>1982.7823</v>
      </c>
      <c r="D19" s="19" t="n">
        <v>2042.2188</v>
      </c>
      <c r="E19" s="19" t="n">
        <v>2662.7754</v>
      </c>
      <c r="F19" s="19" t="n">
        <v>2874.8102</v>
      </c>
      <c r="G19" s="19" t="n">
        <v>3256.3421</v>
      </c>
      <c r="H19" s="19" t="n">
        <v>3753.5543</v>
      </c>
      <c r="I19" s="19" t="n">
        <v>3888.386</v>
      </c>
    </row>
    <row r="20">
      <c r="A20" s="18" t="inlineStr">
        <is>
          <t>2018</t>
        </is>
      </c>
      <c r="B20" s="19" t="n">
        <v>1757.7757</v>
      </c>
      <c r="C20" s="19" t="n">
        <v>3598.2446</v>
      </c>
      <c r="D20" s="19" t="n">
        <v>5140.9339</v>
      </c>
      <c r="E20" s="19" t="n">
        <v>7136.9854</v>
      </c>
      <c r="F20" s="19" t="n">
        <v>7067.2812</v>
      </c>
      <c r="G20" s="19" t="n">
        <v>7159.8047</v>
      </c>
      <c r="H20" s="19" t="n">
        <v>7349.3269</v>
      </c>
    </row>
    <row r="21">
      <c r="A21" s="18" t="inlineStr">
        <is>
          <t>2019</t>
        </is>
      </c>
      <c r="B21" s="19" t="n">
        <v>1298.8238</v>
      </c>
      <c r="C21" s="19" t="n">
        <v>3133.2107</v>
      </c>
      <c r="D21" s="19" t="n">
        <v>4847.8776</v>
      </c>
      <c r="E21" s="19" t="n">
        <v>5573.6672</v>
      </c>
      <c r="F21" s="19" t="n">
        <v>5926.9818</v>
      </c>
      <c r="G21" s="19" t="n">
        <v>7270.1301</v>
      </c>
    </row>
    <row r="22">
      <c r="A22" s="18" t="inlineStr">
        <is>
          <t>2020</t>
        </is>
      </c>
      <c r="B22" s="19" t="n">
        <v>1493.0271</v>
      </c>
      <c r="C22" s="19" t="n">
        <v>2513.205</v>
      </c>
      <c r="D22" s="19" t="n">
        <v>2471.0707</v>
      </c>
      <c r="E22" s="19" t="n">
        <v>2614.478</v>
      </c>
      <c r="F22" s="19" t="n">
        <v>2639.9122</v>
      </c>
    </row>
    <row r="23">
      <c r="A23" s="18" t="inlineStr">
        <is>
          <t>2021</t>
        </is>
      </c>
      <c r="B23" s="19" t="n">
        <v>1901.2855</v>
      </c>
      <c r="C23" s="19" t="n">
        <v>2427.8119</v>
      </c>
      <c r="D23" s="19" t="n">
        <v>2971.5574</v>
      </c>
      <c r="E23" s="19" t="n">
        <v>3065.5146</v>
      </c>
    </row>
    <row r="24">
      <c r="A24" s="18" t="inlineStr">
        <is>
          <t>2022</t>
        </is>
      </c>
      <c r="B24" s="19" t="n">
        <v>2658.5306</v>
      </c>
      <c r="C24" s="19" t="n">
        <v>2855.7054</v>
      </c>
      <c r="D24" s="19" t="n">
        <v>2774.4265</v>
      </c>
    </row>
    <row r="25">
      <c r="A25" s="18" t="inlineStr">
        <is>
          <t>2023</t>
        </is>
      </c>
      <c r="B25" s="19" t="n">
        <v>3569.3743</v>
      </c>
      <c r="C25" s="19" t="n">
        <v>5418.6585</v>
      </c>
    </row>
    <row r="26">
      <c r="A26" s="18" t="inlineStr">
        <is>
          <t>2024</t>
        </is>
      </c>
      <c r="B26" s="19" t="n">
        <v>3477.1362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To Incurred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28" t="n">
        <v>0.5747</v>
      </c>
      <c r="C3" s="28" t="n">
        <v>0.6738</v>
      </c>
      <c r="D3" s="28" t="n">
        <v>0.8126</v>
      </c>
      <c r="E3" s="28" t="n">
        <v>0.9127999999999999</v>
      </c>
      <c r="F3" s="28" t="n">
        <v>0.9882</v>
      </c>
      <c r="G3" s="28" t="n">
        <v>0.9504</v>
      </c>
      <c r="H3" s="28" t="n">
        <v>0.9435</v>
      </c>
      <c r="I3" s="28" t="n">
        <v>0.9474</v>
      </c>
      <c r="J3" s="28" t="n">
        <v>0.9496</v>
      </c>
      <c r="K3" s="28" t="n">
        <v>0.953</v>
      </c>
      <c r="L3" s="28" t="n">
        <v>0.9553</v>
      </c>
      <c r="M3" s="28" t="n">
        <v>0.9582000000000001</v>
      </c>
      <c r="N3" s="28" t="n">
        <v>0.9749</v>
      </c>
      <c r="O3" s="28" t="n">
        <v>0.9772999999999999</v>
      </c>
      <c r="P3" s="28" t="n">
        <v>0.9816</v>
      </c>
      <c r="Q3" s="28" t="n">
        <v>0.9606</v>
      </c>
      <c r="R3" s="28" t="n">
        <v>0.9691</v>
      </c>
      <c r="S3" s="28" t="n">
        <v>0.9655</v>
      </c>
      <c r="T3" s="28" t="n">
        <v>0.9848</v>
      </c>
      <c r="U3" s="28" t="n">
        <v>0.9848</v>
      </c>
      <c r="V3" s="28" t="n">
        <v>0.9694</v>
      </c>
      <c r="W3" s="28" t="n">
        <v>0.9631999999999999</v>
      </c>
      <c r="X3" s="28" t="n">
        <v>0.9693000000000001</v>
      </c>
      <c r="Y3" s="28" t="n">
        <v>0.9616</v>
      </c>
    </row>
    <row r="4">
      <c r="A4" s="18" t="inlineStr">
        <is>
          <t>2002</t>
        </is>
      </c>
      <c r="B4" s="28" t="n">
        <v>0.3852</v>
      </c>
      <c r="C4" s="28" t="n">
        <v>0.6865</v>
      </c>
      <c r="D4" s="28" t="n">
        <v>0.9088000000000001</v>
      </c>
      <c r="E4" s="28" t="n">
        <v>0.8218</v>
      </c>
      <c r="F4" s="28" t="n">
        <v>0.9127</v>
      </c>
      <c r="G4" s="28" t="n">
        <v>0.9389</v>
      </c>
      <c r="H4" s="28" t="n">
        <v>0.9422</v>
      </c>
      <c r="I4" s="28" t="n">
        <v>0.9587</v>
      </c>
      <c r="J4" s="28" t="n">
        <v>0.9614</v>
      </c>
      <c r="K4" s="28" t="n">
        <v>0.9636</v>
      </c>
      <c r="L4" s="28" t="n">
        <v>0.9706</v>
      </c>
      <c r="M4" s="28" t="n">
        <v>0.9563</v>
      </c>
      <c r="N4" s="28" t="n">
        <v>0.977</v>
      </c>
      <c r="O4" s="28" t="n">
        <v>0.9633</v>
      </c>
      <c r="P4" s="28" t="n">
        <v>0.9584</v>
      </c>
      <c r="Q4" s="28" t="n">
        <v>0.9629</v>
      </c>
      <c r="R4" s="28" t="n">
        <v>0.9406</v>
      </c>
      <c r="S4" s="28" t="n">
        <v>0.9585</v>
      </c>
      <c r="T4" s="28" t="n">
        <v>0.9737</v>
      </c>
      <c r="U4" s="28" t="n">
        <v>0.9455</v>
      </c>
      <c r="V4" s="28" t="n">
        <v>0.961</v>
      </c>
      <c r="W4" s="28" t="n">
        <v>0.9366</v>
      </c>
      <c r="X4" s="28" t="n">
        <v>0.945</v>
      </c>
    </row>
    <row r="5">
      <c r="A5" s="18" t="inlineStr">
        <is>
          <t>2003</t>
        </is>
      </c>
      <c r="B5" s="28" t="n">
        <v>0.4594</v>
      </c>
      <c r="C5" s="28" t="n">
        <v>0.7896</v>
      </c>
      <c r="D5" s="28" t="n">
        <v>0.8421</v>
      </c>
      <c r="E5" s="28" t="n">
        <v>0.7722</v>
      </c>
      <c r="F5" s="28" t="n">
        <v>0.9843</v>
      </c>
      <c r="G5" s="28" t="n">
        <v>0.9677</v>
      </c>
      <c r="H5" s="28" t="n">
        <v>0.9718</v>
      </c>
      <c r="I5" s="28" t="n">
        <v>0.9861</v>
      </c>
      <c r="J5" s="28" t="n">
        <v>0.9865</v>
      </c>
      <c r="K5" s="28" t="n">
        <v>0.9867</v>
      </c>
      <c r="L5" s="28" t="n">
        <v>0.9869</v>
      </c>
      <c r="M5" s="28" t="n">
        <v>0.9948</v>
      </c>
      <c r="N5" s="28" t="n">
        <v>1</v>
      </c>
      <c r="O5" s="28" t="n">
        <v>1</v>
      </c>
      <c r="P5" s="28" t="n">
        <v>1</v>
      </c>
      <c r="Q5" s="28" t="n">
        <v>1</v>
      </c>
      <c r="R5" s="28" t="n">
        <v>1</v>
      </c>
      <c r="S5" s="28" t="n">
        <v>1</v>
      </c>
      <c r="T5" s="28" t="n">
        <v>1</v>
      </c>
      <c r="U5" s="28" t="n">
        <v>1</v>
      </c>
      <c r="V5" s="28" t="n">
        <v>1</v>
      </c>
      <c r="W5" s="28" t="n">
        <v>1</v>
      </c>
    </row>
    <row r="6">
      <c r="A6" s="18" t="inlineStr">
        <is>
          <t>2004</t>
        </is>
      </c>
      <c r="B6" s="28" t="n">
        <v>0.3634</v>
      </c>
      <c r="C6" s="28" t="n">
        <v>0.7756</v>
      </c>
      <c r="D6" s="28" t="n">
        <v>0.9055</v>
      </c>
      <c r="E6" s="28" t="n">
        <v>0.9681</v>
      </c>
      <c r="F6" s="28" t="n">
        <v>1</v>
      </c>
      <c r="G6" s="28" t="n">
        <v>0.9981</v>
      </c>
      <c r="H6" s="28" t="n">
        <v>0.996</v>
      </c>
      <c r="I6" s="28" t="n">
        <v>0.9961</v>
      </c>
      <c r="J6" s="28" t="n">
        <v>0.991</v>
      </c>
      <c r="K6" s="28" t="n">
        <v>0.9938</v>
      </c>
      <c r="L6" s="28" t="n">
        <v>0.9748</v>
      </c>
      <c r="M6" s="28" t="n">
        <v>0.9923</v>
      </c>
      <c r="N6" s="28" t="n">
        <v>0.9923</v>
      </c>
      <c r="O6" s="28" t="n">
        <v>0.9938</v>
      </c>
      <c r="P6" s="28" t="n">
        <v>0.9944</v>
      </c>
      <c r="Q6" s="28" t="n">
        <v>1</v>
      </c>
      <c r="R6" s="28" t="n">
        <v>1</v>
      </c>
      <c r="S6" s="28" t="n">
        <v>1</v>
      </c>
      <c r="T6" s="28" t="n">
        <v>1</v>
      </c>
      <c r="U6" s="28" t="n">
        <v>1</v>
      </c>
      <c r="V6" s="28" t="n">
        <v>1</v>
      </c>
    </row>
    <row r="7">
      <c r="A7" s="18" t="inlineStr">
        <is>
          <t>2005</t>
        </is>
      </c>
      <c r="B7" s="28" t="n">
        <v>0.4873</v>
      </c>
      <c r="C7" s="28" t="n">
        <v>0.7597</v>
      </c>
      <c r="D7" s="28" t="n">
        <v>0.881</v>
      </c>
      <c r="E7" s="28" t="n">
        <v>0.9428</v>
      </c>
      <c r="F7" s="28" t="n">
        <v>0.9769</v>
      </c>
      <c r="G7" s="28" t="n">
        <v>0.9811</v>
      </c>
      <c r="H7" s="28" t="n">
        <v>0.9818</v>
      </c>
      <c r="I7" s="28" t="n">
        <v>0.9865</v>
      </c>
      <c r="J7" s="28" t="n">
        <v>0.978</v>
      </c>
      <c r="K7" s="28" t="n">
        <v>0.9805</v>
      </c>
      <c r="L7" s="28" t="n">
        <v>0.9967</v>
      </c>
      <c r="M7" s="28" t="n">
        <v>0.9084</v>
      </c>
      <c r="N7" s="28" t="n">
        <v>0.9382</v>
      </c>
      <c r="O7" s="28" t="n">
        <v>0.9738</v>
      </c>
      <c r="P7" s="28" t="n">
        <v>0.9933</v>
      </c>
      <c r="Q7" s="28" t="n">
        <v>0.9942</v>
      </c>
      <c r="R7" s="28" t="n">
        <v>0.9983</v>
      </c>
      <c r="S7" s="28" t="n">
        <v>1</v>
      </c>
      <c r="T7" s="28" t="n">
        <v>1</v>
      </c>
      <c r="U7" s="28" t="n">
        <v>1</v>
      </c>
    </row>
    <row r="8">
      <c r="A8" s="18" t="inlineStr">
        <is>
          <t>2006</t>
        </is>
      </c>
      <c r="B8" s="28" t="n">
        <v>0.3718</v>
      </c>
      <c r="C8" s="28" t="n">
        <v>0.6041</v>
      </c>
      <c r="D8" s="28" t="n">
        <v>0.8874</v>
      </c>
      <c r="E8" s="28" t="n">
        <v>0.9036999999999999</v>
      </c>
      <c r="F8" s="28" t="n">
        <v>0.9504</v>
      </c>
      <c r="G8" s="28" t="n">
        <v>0.9469</v>
      </c>
      <c r="H8" s="28" t="n">
        <v>0.9444</v>
      </c>
      <c r="I8" s="28" t="n">
        <v>0.9687</v>
      </c>
      <c r="J8" s="28" t="n">
        <v>0.9739</v>
      </c>
      <c r="K8" s="28" t="n">
        <v>0.9776</v>
      </c>
      <c r="L8" s="28" t="n">
        <v>0.9857</v>
      </c>
      <c r="M8" s="28" t="n">
        <v>0.9555</v>
      </c>
      <c r="N8" s="28" t="n">
        <v>0.9396</v>
      </c>
      <c r="O8" s="28" t="n">
        <v>0.947</v>
      </c>
      <c r="P8" s="28" t="n">
        <v>0.9529</v>
      </c>
      <c r="Q8" s="28" t="n">
        <v>0.9499</v>
      </c>
      <c r="R8" s="28" t="n">
        <v>0.9578</v>
      </c>
      <c r="S8" s="28" t="n">
        <v>0.9582000000000001</v>
      </c>
      <c r="T8" s="28" t="n">
        <v>0.9634</v>
      </c>
    </row>
    <row r="9">
      <c r="A9" s="18" t="inlineStr">
        <is>
          <t>2007</t>
        </is>
      </c>
      <c r="B9" s="28" t="n">
        <v>0.292</v>
      </c>
      <c r="C9" s="28" t="n">
        <v>0.5875</v>
      </c>
      <c r="D9" s="28" t="n">
        <v>0.6985</v>
      </c>
      <c r="E9" s="28" t="n">
        <v>0.7939000000000001</v>
      </c>
      <c r="F9" s="28" t="n">
        <v>0.8448</v>
      </c>
      <c r="G9" s="28" t="n">
        <v>0.8595</v>
      </c>
      <c r="H9" s="28" t="n">
        <v>0.9016999999999999</v>
      </c>
      <c r="I9" s="28" t="n">
        <v>0.8758</v>
      </c>
      <c r="J9" s="28" t="n">
        <v>0.8831</v>
      </c>
      <c r="K9" s="28" t="n">
        <v>0.8697</v>
      </c>
      <c r="L9" s="28" t="n">
        <v>0.9132</v>
      </c>
      <c r="M9" s="28" t="n">
        <v>0.9319</v>
      </c>
      <c r="N9" s="28" t="n">
        <v>0.9548</v>
      </c>
      <c r="O9" s="28" t="n">
        <v>0.9815</v>
      </c>
      <c r="P9" s="28" t="n">
        <v>0.9657</v>
      </c>
      <c r="Q9" s="28" t="n">
        <v>0.9937</v>
      </c>
      <c r="R9" s="28" t="n">
        <v>0.9964</v>
      </c>
      <c r="S9" s="28" t="n">
        <v>0.9958</v>
      </c>
    </row>
    <row r="10">
      <c r="A10" s="18" t="inlineStr">
        <is>
          <t>2008</t>
        </is>
      </c>
      <c r="B10" s="28" t="n">
        <v>0.6354</v>
      </c>
      <c r="C10" s="28" t="n">
        <v>0.8387</v>
      </c>
      <c r="D10" s="28" t="n">
        <v>0.9319</v>
      </c>
      <c r="E10" s="28" t="n">
        <v>0.9155</v>
      </c>
      <c r="F10" s="28" t="n">
        <v>0.9775</v>
      </c>
      <c r="G10" s="28" t="n">
        <v>0.991</v>
      </c>
      <c r="H10" s="28" t="n">
        <v>0.9925</v>
      </c>
      <c r="I10" s="28" t="n">
        <v>0.9859</v>
      </c>
      <c r="J10" s="28" t="n">
        <v>0.9918</v>
      </c>
      <c r="K10" s="28" t="n">
        <v>0.9714</v>
      </c>
      <c r="L10" s="28" t="n">
        <v>0.977</v>
      </c>
      <c r="M10" s="28" t="n">
        <v>0.9787</v>
      </c>
      <c r="N10" s="28" t="n">
        <v>0.9955000000000001</v>
      </c>
      <c r="O10" s="28" t="n">
        <v>0.9964</v>
      </c>
      <c r="P10" s="28" t="n">
        <v>0.997</v>
      </c>
      <c r="Q10" s="28" t="n">
        <v>0.9948</v>
      </c>
      <c r="R10" s="28" t="n">
        <v>1</v>
      </c>
    </row>
    <row r="11">
      <c r="A11" s="18" t="inlineStr">
        <is>
          <t>2009</t>
        </is>
      </c>
      <c r="B11" s="28" t="n">
        <v>0.6397</v>
      </c>
      <c r="C11" s="28" t="n">
        <v>0.8507</v>
      </c>
      <c r="D11" s="28" t="n">
        <v>0.9875</v>
      </c>
      <c r="E11" s="28" t="n">
        <v>0.9897</v>
      </c>
      <c r="F11" s="28" t="n">
        <v>0.9958</v>
      </c>
      <c r="G11" s="28" t="n">
        <v>0.996</v>
      </c>
      <c r="H11" s="28" t="n">
        <v>0.9899</v>
      </c>
      <c r="I11" s="28" t="n">
        <v>0.9089</v>
      </c>
      <c r="J11" s="28" t="n">
        <v>0.9422</v>
      </c>
      <c r="K11" s="28" t="n">
        <v>0.956</v>
      </c>
      <c r="L11" s="28" t="n">
        <v>0.965</v>
      </c>
      <c r="M11" s="28" t="n">
        <v>0.9812</v>
      </c>
      <c r="N11" s="28" t="n">
        <v>1</v>
      </c>
      <c r="O11" s="28" t="n">
        <v>1</v>
      </c>
      <c r="P11" s="28" t="n">
        <v>1</v>
      </c>
      <c r="Q11" s="28" t="n">
        <v>1</v>
      </c>
    </row>
    <row r="12">
      <c r="A12" s="18" t="inlineStr">
        <is>
          <t>2010</t>
        </is>
      </c>
      <c r="B12" s="28" t="n">
        <v>0.6767</v>
      </c>
      <c r="C12" s="28" t="n">
        <v>0.9214</v>
      </c>
      <c r="D12" s="28" t="n">
        <v>0.9621</v>
      </c>
      <c r="E12" s="28" t="n">
        <v>0.9743000000000001</v>
      </c>
      <c r="F12" s="28" t="n">
        <v>0.9520999999999999</v>
      </c>
      <c r="G12" s="28" t="n">
        <v>0.9825</v>
      </c>
      <c r="H12" s="28" t="n">
        <v>0.9913</v>
      </c>
      <c r="I12" s="28" t="n">
        <v>0.9919</v>
      </c>
      <c r="J12" s="28" t="n">
        <v>1</v>
      </c>
      <c r="K12" s="28" t="n">
        <v>1</v>
      </c>
      <c r="L12" s="28" t="n">
        <v>0.9997</v>
      </c>
      <c r="M12" s="28" t="n">
        <v>0.9997</v>
      </c>
      <c r="N12" s="28" t="n">
        <v>0.9991</v>
      </c>
      <c r="O12" s="28" t="n">
        <v>1</v>
      </c>
      <c r="P12" s="28" t="n">
        <v>1</v>
      </c>
    </row>
    <row r="13">
      <c r="A13" s="18" t="inlineStr">
        <is>
          <t>2011</t>
        </is>
      </c>
      <c r="B13" s="28" t="n">
        <v>0.8018999999999999</v>
      </c>
      <c r="C13" s="28" t="n">
        <v>0.946</v>
      </c>
      <c r="D13" s="28" t="n">
        <v>1</v>
      </c>
      <c r="E13" s="28" t="n">
        <v>0.9315</v>
      </c>
      <c r="F13" s="28" t="n">
        <v>0.9453</v>
      </c>
      <c r="G13" s="28" t="n">
        <v>0.9530999999999999</v>
      </c>
      <c r="H13" s="28" t="n">
        <v>0.9921</v>
      </c>
      <c r="I13" s="28" t="n">
        <v>0.994</v>
      </c>
      <c r="J13" s="28" t="n">
        <v>0.9849</v>
      </c>
      <c r="K13" s="28" t="n">
        <v>0.9887</v>
      </c>
      <c r="L13" s="28" t="n">
        <v>0.9666</v>
      </c>
      <c r="M13" s="28" t="n">
        <v>0.9796</v>
      </c>
      <c r="N13" s="28" t="n">
        <v>0.9846</v>
      </c>
      <c r="O13" s="28" t="n">
        <v>0.9878</v>
      </c>
    </row>
    <row r="14">
      <c r="A14" s="18" t="inlineStr">
        <is>
          <t>2012</t>
        </is>
      </c>
      <c r="B14" s="28" t="n">
        <v>0.6782</v>
      </c>
      <c r="C14" s="28" t="n">
        <v>0.9298</v>
      </c>
      <c r="D14" s="28" t="n">
        <v>0.8961</v>
      </c>
      <c r="E14" s="28" t="n">
        <v>0.9816</v>
      </c>
      <c r="F14" s="28" t="n">
        <v>0.9946</v>
      </c>
      <c r="G14" s="28" t="n">
        <v>0.9923999999999999</v>
      </c>
      <c r="H14" s="28" t="n">
        <v>0.9989</v>
      </c>
      <c r="I14" s="28" t="n">
        <v>0.9874000000000001</v>
      </c>
      <c r="J14" s="28" t="n">
        <v>0.9646</v>
      </c>
      <c r="K14" s="28" t="n">
        <v>0.9172</v>
      </c>
      <c r="L14" s="28" t="n">
        <v>0.9374</v>
      </c>
      <c r="M14" s="28" t="n">
        <v>0.84</v>
      </c>
      <c r="N14" s="28" t="n">
        <v>0.8757</v>
      </c>
    </row>
    <row r="15">
      <c r="A15" s="18" t="inlineStr">
        <is>
          <t>2013</t>
        </is>
      </c>
      <c r="B15" s="28" t="n">
        <v>0.7258</v>
      </c>
      <c r="C15" s="28" t="n">
        <v>0.9146</v>
      </c>
      <c r="D15" s="28" t="n">
        <v>0.9831</v>
      </c>
      <c r="E15" s="28" t="n">
        <v>0.8945</v>
      </c>
      <c r="F15" s="28" t="n">
        <v>1</v>
      </c>
      <c r="G15" s="28" t="n">
        <v>1</v>
      </c>
      <c r="H15" s="28" t="n">
        <v>1</v>
      </c>
      <c r="I15" s="28" t="n">
        <v>1</v>
      </c>
      <c r="J15" s="28" t="n">
        <v>1</v>
      </c>
      <c r="K15" s="28" t="n">
        <v>1</v>
      </c>
      <c r="L15" s="28" t="n">
        <v>1</v>
      </c>
      <c r="M15" s="28" t="n">
        <v>1</v>
      </c>
    </row>
    <row r="16">
      <c r="A16" s="18" t="inlineStr">
        <is>
          <t>2014</t>
        </is>
      </c>
      <c r="B16" s="28" t="n">
        <v>0.7105</v>
      </c>
      <c r="C16" s="28" t="n">
        <v>0.9325</v>
      </c>
      <c r="D16" s="28" t="n">
        <v>0.8289</v>
      </c>
      <c r="E16" s="28" t="n">
        <v>0.9129</v>
      </c>
      <c r="F16" s="28" t="n">
        <v>0.9603</v>
      </c>
      <c r="G16" s="28" t="n">
        <v>0.9437</v>
      </c>
      <c r="H16" s="28" t="n">
        <v>0.9775</v>
      </c>
      <c r="I16" s="28" t="n">
        <v>0.9804</v>
      </c>
      <c r="J16" s="28" t="n">
        <v>0.9476</v>
      </c>
      <c r="K16" s="28" t="n">
        <v>0.9857</v>
      </c>
      <c r="L16" s="28" t="n">
        <v>1</v>
      </c>
    </row>
    <row r="17">
      <c r="A17" s="18" t="inlineStr">
        <is>
          <t>2015</t>
        </is>
      </c>
      <c r="B17" s="28" t="n">
        <v>0.707</v>
      </c>
      <c r="C17" s="28" t="n">
        <v>0.7906</v>
      </c>
      <c r="D17" s="28" t="n">
        <v>0.8845</v>
      </c>
      <c r="E17" s="28" t="n">
        <v>0.9756</v>
      </c>
      <c r="F17" s="28" t="n">
        <v>0.9473</v>
      </c>
      <c r="G17" s="28" t="n">
        <v>0.9283</v>
      </c>
      <c r="H17" s="28" t="n">
        <v>0.9045</v>
      </c>
      <c r="I17" s="28" t="n">
        <v>0.9476</v>
      </c>
      <c r="J17" s="28" t="n">
        <v>0.958</v>
      </c>
      <c r="K17" s="28" t="n">
        <v>0.9945000000000001</v>
      </c>
    </row>
    <row r="18">
      <c r="A18" s="18" t="inlineStr">
        <is>
          <t>2016</t>
        </is>
      </c>
      <c r="B18" s="28" t="n">
        <v>0.4938</v>
      </c>
      <c r="C18" s="28" t="n">
        <v>0.8754999999999999</v>
      </c>
      <c r="D18" s="28" t="n">
        <v>0.9181</v>
      </c>
      <c r="E18" s="28" t="n">
        <v>0.9506</v>
      </c>
      <c r="F18" s="28" t="n">
        <v>0.8948</v>
      </c>
      <c r="G18" s="28" t="n">
        <v>0.956</v>
      </c>
      <c r="H18" s="28" t="n">
        <v>0.9663</v>
      </c>
      <c r="I18" s="28" t="n">
        <v>0.9729</v>
      </c>
      <c r="J18" s="28" t="n">
        <v>0.9824000000000001</v>
      </c>
    </row>
    <row r="19">
      <c r="A19" s="18" t="inlineStr">
        <is>
          <t>2017</t>
        </is>
      </c>
      <c r="B19" s="28" t="n">
        <v>0.7297</v>
      </c>
      <c r="C19" s="28" t="n">
        <v>0.9510999999999999</v>
      </c>
      <c r="D19" s="28" t="n">
        <v>0.9908</v>
      </c>
      <c r="E19" s="28" t="n">
        <v>0.8532999999999999</v>
      </c>
      <c r="F19" s="28" t="n">
        <v>0.863</v>
      </c>
      <c r="G19" s="28" t="n">
        <v>0.8438</v>
      </c>
      <c r="H19" s="28" t="n">
        <v>0.9454</v>
      </c>
      <c r="I19" s="28" t="n">
        <v>1</v>
      </c>
    </row>
    <row r="20">
      <c r="A20" s="18" t="inlineStr">
        <is>
          <t>2018</t>
        </is>
      </c>
      <c r="B20" s="28" t="n">
        <v>0.68</v>
      </c>
      <c r="C20" s="28" t="n">
        <v>0.8502</v>
      </c>
      <c r="D20" s="28" t="n">
        <v>0.8831</v>
      </c>
      <c r="E20" s="28" t="n">
        <v>0.8737</v>
      </c>
      <c r="F20" s="28" t="n">
        <v>0.9292</v>
      </c>
      <c r="G20" s="28" t="n">
        <v>0.9688</v>
      </c>
      <c r="H20" s="28" t="n">
        <v>1</v>
      </c>
    </row>
    <row r="21">
      <c r="A21" s="18" t="inlineStr">
        <is>
          <t>2019</t>
        </is>
      </c>
      <c r="B21" s="28" t="n">
        <v>0.7092000000000001</v>
      </c>
      <c r="C21" s="28" t="n">
        <v>0.6879</v>
      </c>
      <c r="D21" s="28" t="n">
        <v>0.778</v>
      </c>
      <c r="E21" s="28" t="n">
        <v>0.8001</v>
      </c>
      <c r="F21" s="28" t="n">
        <v>0.9264</v>
      </c>
      <c r="G21" s="28" t="n">
        <v>0.9213</v>
      </c>
    </row>
    <row r="22">
      <c r="A22" s="18" t="inlineStr">
        <is>
          <t>2020</t>
        </is>
      </c>
      <c r="B22" s="28" t="n">
        <v>0.5476</v>
      </c>
      <c r="C22" s="28" t="n">
        <v>0.7834</v>
      </c>
      <c r="D22" s="28" t="n">
        <v>0.9404</v>
      </c>
      <c r="E22" s="28" t="n">
        <v>0.9964</v>
      </c>
      <c r="F22" s="28" t="n">
        <v>0.9971</v>
      </c>
    </row>
    <row r="23">
      <c r="A23" s="18" t="inlineStr">
        <is>
          <t>2021</t>
        </is>
      </c>
      <c r="B23" s="28" t="n">
        <v>0.4982</v>
      </c>
      <c r="C23" s="28" t="n">
        <v>0.6828</v>
      </c>
      <c r="D23" s="28" t="n">
        <v>0.9297</v>
      </c>
      <c r="E23" s="28" t="n">
        <v>0.9641</v>
      </c>
    </row>
    <row r="24">
      <c r="A24" s="18" t="inlineStr">
        <is>
          <t>2022</t>
        </is>
      </c>
      <c r="B24" s="28" t="n">
        <v>0.4425</v>
      </c>
      <c r="C24" s="28" t="n">
        <v>0.8767</v>
      </c>
      <c r="D24" s="28" t="n">
        <v>0.9560999999999999</v>
      </c>
    </row>
    <row r="25">
      <c r="A25" s="18" t="inlineStr">
        <is>
          <t>2023</t>
        </is>
      </c>
      <c r="B25" s="28" t="n">
        <v>0.3767</v>
      </c>
      <c r="C25" s="28" t="n">
        <v>0.726</v>
      </c>
    </row>
    <row r="26">
      <c r="A26" s="18" t="inlineStr">
        <is>
          <t>2024</t>
        </is>
      </c>
      <c r="B26" s="28" t="n">
        <v>0.3991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Incremental Incurred Severity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890.1180000000001</v>
      </c>
      <c r="C3" s="19" t="n">
        <v>22000.2647</v>
      </c>
      <c r="D3" s="19" t="n">
        <v>263628</v>
      </c>
      <c r="E3" s="19" t="n"/>
      <c r="F3" s="19" t="n"/>
      <c r="G3" s="19" t="n"/>
      <c r="H3" s="19" t="n">
        <v>-329.6215</v>
      </c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>
        <v>0</v>
      </c>
      <c r="V3" s="19" t="n"/>
      <c r="W3" s="19" t="n"/>
      <c r="X3" s="19" t="n">
        <v>0</v>
      </c>
      <c r="Y3" s="19" t="n"/>
    </row>
    <row r="4">
      <c r="A4" s="18" t="inlineStr">
        <is>
          <t>2002</t>
        </is>
      </c>
      <c r="B4" s="19" t="n">
        <v>1512.0882</v>
      </c>
      <c r="C4" s="19" t="n">
        <v>18915.25</v>
      </c>
      <c r="D4" s="19" t="n"/>
      <c r="E4" s="19" t="n"/>
      <c r="F4" s="19" t="n"/>
      <c r="G4" s="19" t="n">
        <v>5939.8777</v>
      </c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>
        <v>0</v>
      </c>
      <c r="U4" s="19" t="n"/>
      <c r="V4" s="19" t="n"/>
      <c r="W4" s="19" t="n"/>
      <c r="X4" s="19" t="n">
        <v>0</v>
      </c>
    </row>
    <row r="5">
      <c r="A5" s="18" t="inlineStr">
        <is>
          <t>2003</t>
        </is>
      </c>
      <c r="B5" s="19" t="n">
        <v>1888.6444</v>
      </c>
      <c r="C5" s="19" t="n">
        <v>24321.7857</v>
      </c>
      <c r="D5" s="19" t="n"/>
      <c r="E5" s="19" t="n"/>
      <c r="F5" s="19" t="n">
        <v>65663.13</v>
      </c>
      <c r="G5" s="19" t="n"/>
      <c r="H5" s="19" t="n">
        <v>-3810.89</v>
      </c>
      <c r="I5" s="19" t="n"/>
      <c r="J5" s="19" t="n"/>
      <c r="K5" s="19" t="n"/>
      <c r="L5" s="19" t="n"/>
      <c r="M5" s="19" t="n"/>
      <c r="N5" s="19" t="n"/>
      <c r="O5" s="19" t="n"/>
      <c r="P5" s="19" t="n">
        <v>0</v>
      </c>
      <c r="Q5" s="19" t="n">
        <v>0</v>
      </c>
      <c r="R5" s="19" t="n"/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</row>
    <row r="6">
      <c r="A6" s="18" t="inlineStr">
        <is>
          <t>2004</t>
        </is>
      </c>
      <c r="B6" s="19" t="n">
        <v>1172.3435</v>
      </c>
      <c r="C6" s="19" t="n">
        <v>2809.2593</v>
      </c>
      <c r="D6" s="19" t="n"/>
      <c r="E6" s="19" t="n">
        <v>15998.55</v>
      </c>
      <c r="F6" s="19" t="n">
        <v>92280.89999999999</v>
      </c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>
        <v>0</v>
      </c>
      <c r="S6" s="19" t="n">
        <v>0</v>
      </c>
      <c r="T6" s="19" t="n">
        <v>0</v>
      </c>
      <c r="U6" s="19" t="n"/>
      <c r="V6" s="19" t="n">
        <v>0</v>
      </c>
    </row>
    <row r="7">
      <c r="A7" s="18" t="inlineStr">
        <is>
          <t>2005</t>
        </is>
      </c>
      <c r="B7" s="19" t="n">
        <v>1993.7326</v>
      </c>
      <c r="C7" s="19" t="n">
        <v>26077.4891</v>
      </c>
      <c r="D7" s="19" t="n">
        <v>114569.65</v>
      </c>
      <c r="E7" s="19" t="n">
        <v>33060.37</v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>
        <v>0</v>
      </c>
      <c r="T7" s="19" t="n">
        <v>0</v>
      </c>
      <c r="U7" s="19" t="n">
        <v>0</v>
      </c>
    </row>
    <row r="8">
      <c r="A8" s="18" t="inlineStr">
        <is>
          <t>2006</t>
        </is>
      </c>
      <c r="B8" s="19" t="n">
        <v>1599.0849</v>
      </c>
      <c r="C8" s="19" t="n">
        <v>21224.755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>
        <v>0</v>
      </c>
    </row>
    <row r="9">
      <c r="A9" s="18" t="inlineStr">
        <is>
          <t>2007</t>
        </is>
      </c>
      <c r="B9" s="19" t="n">
        <v>3777.3245</v>
      </c>
      <c r="C9" s="19" t="n">
        <v>7734.954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>
        <v>0</v>
      </c>
      <c r="R9" s="19" t="n"/>
      <c r="S9" s="19" t="n"/>
    </row>
    <row r="10">
      <c r="A10" s="18" t="inlineStr">
        <is>
          <t>2008</t>
        </is>
      </c>
      <c r="B10" s="19" t="n">
        <v>1809.473</v>
      </c>
      <c r="C10" s="19" t="n">
        <v>10839.7573</v>
      </c>
      <c r="D10" s="19" t="n">
        <v>122954.5499</v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/>
      <c r="R10" s="19" t="n"/>
    </row>
    <row r="11">
      <c r="A11" s="18" t="inlineStr">
        <is>
          <t>2009</t>
        </is>
      </c>
      <c r="B11" s="19" t="n">
        <v>1167.6749</v>
      </c>
      <c r="C11" s="19" t="n">
        <v>35483.0018</v>
      </c>
      <c r="D11" s="19" t="n">
        <v>-38115.65</v>
      </c>
      <c r="E11" s="19" t="n"/>
      <c r="F11" s="19" t="n"/>
      <c r="G11" s="19" t="n"/>
      <c r="H11" s="19" t="n"/>
      <c r="I11" s="19" t="n"/>
      <c r="J11" s="19" t="n"/>
      <c r="K11" s="19" t="n"/>
      <c r="L11" s="19" t="n">
        <v>0</v>
      </c>
      <c r="M11" s="19" t="n"/>
      <c r="N11" s="19" t="n"/>
      <c r="O11" s="19" t="n">
        <v>0</v>
      </c>
      <c r="P11" s="19" t="n">
        <v>0</v>
      </c>
      <c r="Q11" s="19" t="n">
        <v>0</v>
      </c>
    </row>
    <row r="12">
      <c r="A12" s="18" t="inlineStr">
        <is>
          <t>2010</t>
        </is>
      </c>
      <c r="B12" s="19" t="n">
        <v>1384.9391</v>
      </c>
      <c r="C12" s="19" t="n">
        <v>31201.3678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</row>
    <row r="13">
      <c r="A13" s="18" t="inlineStr">
        <is>
          <t>2011</t>
        </is>
      </c>
      <c r="B13" s="19" t="n">
        <v>1313.2806</v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>
        <v>0</v>
      </c>
      <c r="O13" s="19" t="n">
        <v>0</v>
      </c>
    </row>
    <row r="14">
      <c r="A14" s="18" t="inlineStr">
        <is>
          <t>2012</t>
        </is>
      </c>
      <c r="B14" s="19" t="n">
        <v>1368.4788</v>
      </c>
      <c r="C14" s="19" t="n">
        <v>21888.1617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>
        <v>0</v>
      </c>
    </row>
    <row r="15">
      <c r="A15" s="18" t="inlineStr">
        <is>
          <t>2013</t>
        </is>
      </c>
      <c r="B15" s="19" t="n">
        <v>988.3224</v>
      </c>
      <c r="C15" s="19" t="n">
        <v>29119.8633</v>
      </c>
      <c r="D15" s="19" t="n"/>
      <c r="E15" s="19" t="n">
        <v>86335</v>
      </c>
      <c r="F15" s="19" t="n"/>
      <c r="G15" s="19" t="n"/>
      <c r="H15" s="19" t="n"/>
      <c r="I15" s="19" t="n">
        <v>0</v>
      </c>
      <c r="J15" s="19" t="n"/>
      <c r="K15" s="19" t="n">
        <v>0</v>
      </c>
      <c r="L15" s="19" t="n"/>
      <c r="M15" s="19" t="n">
        <v>0</v>
      </c>
    </row>
    <row r="16">
      <c r="A16" s="18" t="inlineStr">
        <is>
          <t>2014</t>
        </is>
      </c>
      <c r="B16" s="19" t="n">
        <v>1334.6909</v>
      </c>
      <c r="C16" s="19" t="n">
        <v>10721.4473</v>
      </c>
      <c r="D16" s="19" t="n">
        <v>246904</v>
      </c>
      <c r="E16" s="19" t="n"/>
      <c r="F16" s="19" t="n"/>
      <c r="G16" s="19" t="n"/>
      <c r="H16" s="19" t="n"/>
      <c r="I16" s="19" t="n">
        <v>0</v>
      </c>
      <c r="J16" s="19" t="n"/>
      <c r="K16" s="19" t="n"/>
      <c r="L16" s="19" t="n"/>
    </row>
    <row r="17">
      <c r="A17" s="18" t="inlineStr">
        <is>
          <t>2015</t>
        </is>
      </c>
      <c r="B17" s="19" t="n">
        <v>1671.1066</v>
      </c>
      <c r="C17" s="19" t="n">
        <v>50240.25</v>
      </c>
      <c r="D17" s="19" t="n">
        <v>101765.5</v>
      </c>
      <c r="E17" s="19" t="n"/>
      <c r="F17" s="19" t="n"/>
      <c r="G17" s="19" t="n"/>
      <c r="H17" s="19" t="n"/>
      <c r="I17" s="19" t="n"/>
      <c r="J17" s="19" t="n"/>
      <c r="K17" s="19" t="n">
        <v>-74961.62669999999</v>
      </c>
    </row>
    <row r="18">
      <c r="A18" s="18" t="inlineStr">
        <is>
          <t>2016</t>
        </is>
      </c>
      <c r="B18" s="19" t="n">
        <v>1989.3893</v>
      </c>
      <c r="C18" s="19" t="n">
        <v>21585.1429</v>
      </c>
      <c r="D18" s="19" t="n">
        <v>26086.5315</v>
      </c>
      <c r="E18" s="19" t="n"/>
      <c r="F18" s="19" t="n"/>
      <c r="G18" s="19" t="n"/>
      <c r="H18" s="19" t="n"/>
      <c r="I18" s="19" t="n"/>
      <c r="J18" s="19" t="n"/>
    </row>
    <row r="19">
      <c r="A19" s="18" t="inlineStr">
        <is>
          <t>2017</t>
        </is>
      </c>
      <c r="B19" s="19" t="n">
        <v>1672.7081</v>
      </c>
      <c r="C19" s="19" t="n">
        <v>4475.3015</v>
      </c>
      <c r="D19" s="19" t="n">
        <v>16009.7899</v>
      </c>
      <c r="E19" s="19" t="n">
        <v>149114.13</v>
      </c>
      <c r="F19" s="19" t="n">
        <v>-47377.44</v>
      </c>
      <c r="G19" s="19" t="n"/>
      <c r="H19" s="19" t="n"/>
      <c r="I19" s="19" t="n">
        <v>-27931.9</v>
      </c>
    </row>
    <row r="20">
      <c r="A20" s="18" t="inlineStr">
        <is>
          <t>2018</t>
        </is>
      </c>
      <c r="B20" s="19" t="n">
        <v>1757.7757</v>
      </c>
      <c r="C20" s="19" t="n">
        <v>18526.4922</v>
      </c>
      <c r="D20" s="19" t="n"/>
      <c r="E20" s="19" t="n"/>
      <c r="F20" s="19" t="n">
        <v>-10079.97</v>
      </c>
      <c r="G20" s="19" t="n"/>
      <c r="H20" s="19" t="n"/>
    </row>
    <row r="21">
      <c r="A21" s="18" t="inlineStr">
        <is>
          <t>2019</t>
        </is>
      </c>
      <c r="B21" s="19" t="n">
        <v>1298.8238</v>
      </c>
      <c r="C21" s="19" t="n">
        <v>15973.9188</v>
      </c>
      <c r="D21" s="19" t="n"/>
      <c r="E21" s="19" t="n"/>
      <c r="F21" s="19" t="n"/>
      <c r="G21" s="19" t="n">
        <v>-358066.22</v>
      </c>
    </row>
    <row r="22">
      <c r="A22" s="18" t="inlineStr">
        <is>
          <t>2020</t>
        </is>
      </c>
      <c r="B22" s="19" t="n">
        <v>1493.0271</v>
      </c>
      <c r="C22" s="19" t="n">
        <v>19409.9025</v>
      </c>
      <c r="D22" s="19" t="n"/>
      <c r="E22" s="19" t="n"/>
      <c r="F22" s="19" t="n"/>
    </row>
    <row r="23">
      <c r="A23" s="18" t="inlineStr">
        <is>
          <t>2021</t>
        </is>
      </c>
      <c r="B23" s="19" t="n">
        <v>1901.2855</v>
      </c>
      <c r="C23" s="19" t="n">
        <v>6147.4661</v>
      </c>
      <c r="D23" s="19" t="n"/>
      <c r="E23" s="19" t="n"/>
    </row>
    <row r="24">
      <c r="A24" s="18" t="inlineStr">
        <is>
          <t>2022</t>
        </is>
      </c>
      <c r="B24" s="19" t="n">
        <v>2658.5306</v>
      </c>
      <c r="C24" s="19" t="n">
        <v>4250.0129</v>
      </c>
      <c r="D24" s="19" t="n"/>
    </row>
    <row r="25">
      <c r="A25" s="18" t="inlineStr">
        <is>
          <t>2023</t>
        </is>
      </c>
      <c r="B25" s="19" t="n">
        <v>3569.3743</v>
      </c>
      <c r="C25" s="19" t="n">
        <v>21368.7346</v>
      </c>
    </row>
    <row r="26">
      <c r="A26" s="18" t="inlineStr">
        <is>
          <t>2024</t>
        </is>
      </c>
      <c r="B26" s="19" t="n">
        <v>3477.1362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0.1604</v>
      </c>
      <c r="C3" s="20" t="n">
        <v>0.1345</v>
      </c>
      <c r="D3" s="20" t="n">
        <v>0.0574</v>
      </c>
      <c r="E3" s="20" t="n">
        <v>0.0355</v>
      </c>
      <c r="F3" s="20" t="n">
        <v>0.0934</v>
      </c>
      <c r="G3" s="20" t="n">
        <v>0.0606</v>
      </c>
      <c r="H3" s="20" t="n">
        <v>0.0164</v>
      </c>
      <c r="I3" s="20" t="n">
        <v>0.0221</v>
      </c>
      <c r="J3" s="20" t="n">
        <v>0.0488</v>
      </c>
      <c r="K3" s="20" t="n">
        <v>0.0072</v>
      </c>
      <c r="L3" s="20" t="n">
        <v>0.0985</v>
      </c>
      <c r="M3" s="20" t="n">
        <v>0.0008</v>
      </c>
      <c r="N3" s="20" t="n">
        <v>0.0001</v>
      </c>
      <c r="O3" s="20" t="n">
        <v>0.0035</v>
      </c>
      <c r="P3" s="20" t="n">
        <v>0.0028</v>
      </c>
      <c r="Q3" s="20" t="n">
        <v>0.0101</v>
      </c>
      <c r="R3" s="20" t="n">
        <v>0.0037</v>
      </c>
      <c r="S3" s="20" t="n">
        <v>0</v>
      </c>
      <c r="T3" s="20" t="n">
        <v>0</v>
      </c>
      <c r="U3" s="20" t="n">
        <v>0.0036</v>
      </c>
      <c r="V3" s="20" t="n">
        <v>0.0178</v>
      </c>
      <c r="W3" s="20" t="n">
        <v>0</v>
      </c>
      <c r="X3" s="20" t="n"/>
    </row>
    <row r="4">
      <c r="A4" s="22" t="inlineStr">
        <is>
          <t>cv_5yr</t>
        </is>
      </c>
      <c r="B4" s="20" t="n">
        <v>0.3284</v>
      </c>
      <c r="C4" s="20" t="n">
        <v>0.2103</v>
      </c>
      <c r="D4" s="20" t="n">
        <v>0.1316</v>
      </c>
      <c r="E4" s="20" t="n">
        <v>0.0556</v>
      </c>
      <c r="F4" s="20" t="n">
        <v>0.07729999999999999</v>
      </c>
      <c r="G4" s="20" t="n">
        <v>0.074</v>
      </c>
      <c r="H4" s="20" t="n">
        <v>0.0136</v>
      </c>
      <c r="I4" s="20" t="n">
        <v>0.0254</v>
      </c>
      <c r="J4" s="20" t="n">
        <v>0.0393</v>
      </c>
      <c r="K4" s="20" t="n">
        <v>0.0134</v>
      </c>
      <c r="L4" s="20" t="n">
        <v>0.0762</v>
      </c>
      <c r="M4" s="20" t="n">
        <v>0.0162</v>
      </c>
      <c r="N4" s="20" t="n">
        <v>0.0004</v>
      </c>
      <c r="O4" s="20" t="n">
        <v>0.0187</v>
      </c>
      <c r="P4" s="20" t="n">
        <v>0.0049</v>
      </c>
      <c r="Q4" s="20" t="n">
        <v>0.0089</v>
      </c>
      <c r="R4" s="20" t="n">
        <v>0.0032</v>
      </c>
      <c r="S4" s="20" t="n">
        <v>0</v>
      </c>
      <c r="T4" s="20" t="n">
        <v>0.0188</v>
      </c>
      <c r="U4" s="20" t="n">
        <v>0.013</v>
      </c>
      <c r="V4" s="20" t="n">
        <v>0.0178</v>
      </c>
      <c r="W4" s="20" t="n">
        <v>0</v>
      </c>
      <c r="X4" s="20" t="n"/>
    </row>
    <row r="5">
      <c r="A5" s="22" t="inlineStr">
        <is>
          <t>cv_10yr</t>
        </is>
      </c>
      <c r="B5" s="20" t="n">
        <v>0.2694</v>
      </c>
      <c r="C5" s="20" t="n">
        <v>0.1768</v>
      </c>
      <c r="D5" s="20" t="n">
        <v>0.1051</v>
      </c>
      <c r="E5" s="20" t="n">
        <v>0.0465</v>
      </c>
      <c r="F5" s="20" t="n">
        <v>0.07190000000000001</v>
      </c>
      <c r="G5" s="20" t="n">
        <v>0.0599</v>
      </c>
      <c r="H5" s="20" t="n">
        <v>0.0442</v>
      </c>
      <c r="I5" s="20" t="n">
        <v>0.0266</v>
      </c>
      <c r="J5" s="20" t="n">
        <v>0.0374</v>
      </c>
      <c r="K5" s="20" t="n">
        <v>0.0262</v>
      </c>
      <c r="L5" s="20" t="n">
        <v>0.061</v>
      </c>
      <c r="M5" s="20" t="n">
        <v>0.0142</v>
      </c>
      <c r="N5" s="20" t="n">
        <v>0.0147</v>
      </c>
      <c r="O5" s="20" t="n">
        <v>0.0146</v>
      </c>
      <c r="P5" s="20" t="n">
        <v>0.0166</v>
      </c>
      <c r="Q5" s="20" t="n">
        <v>0.0175</v>
      </c>
      <c r="R5" s="20" t="n">
        <v>0.0112</v>
      </c>
      <c r="S5" s="20" t="n">
        <v>0.0073</v>
      </c>
      <c r="T5" s="20" t="n">
        <v>0.0188</v>
      </c>
      <c r="U5" s="20" t="n">
        <v>0.013</v>
      </c>
      <c r="V5" s="20" t="n">
        <v>0.0178</v>
      </c>
      <c r="W5" s="20" t="n">
        <v>0</v>
      </c>
      <c r="X5" s="20" t="n"/>
    </row>
    <row r="6">
      <c r="A6" s="22" t="inlineStr">
        <is>
          <t>slope_3yr</t>
        </is>
      </c>
      <c r="B6" s="20" t="n">
        <v>0.1182</v>
      </c>
      <c r="C6" s="20" t="n">
        <v>-0.0058</v>
      </c>
      <c r="D6" s="20" t="n">
        <v>-0.059</v>
      </c>
      <c r="E6" s="20" t="n">
        <v>0.0077</v>
      </c>
      <c r="F6" s="20" t="n">
        <v>0.0447</v>
      </c>
      <c r="G6" s="20" t="n">
        <v>-0.0505</v>
      </c>
      <c r="H6" s="20" t="n">
        <v>0.0124</v>
      </c>
      <c r="I6" s="20" t="n">
        <v>-0.0199</v>
      </c>
      <c r="J6" s="20" t="n">
        <v>0.0481</v>
      </c>
      <c r="K6" s="20" t="n">
        <v>-0.0072</v>
      </c>
      <c r="L6" s="20" t="n">
        <v>0.0016</v>
      </c>
      <c r="M6" s="20" t="n">
        <v>-0.0005999999999999999</v>
      </c>
      <c r="N6" s="20" t="n">
        <v>0</v>
      </c>
      <c r="O6" s="20" t="n">
        <v>0.003</v>
      </c>
      <c r="P6" s="20" t="n">
        <v>0</v>
      </c>
      <c r="Q6" s="20" t="n">
        <v>0.008999999999999999</v>
      </c>
      <c r="R6" s="20" t="n">
        <v>0.0013</v>
      </c>
      <c r="S6" s="20" t="n">
        <v>0</v>
      </c>
      <c r="T6" s="20" t="n">
        <v>0</v>
      </c>
      <c r="U6" s="20" t="n">
        <v>0.0031</v>
      </c>
      <c r="V6" s="20" t="n">
        <v>-0.0069</v>
      </c>
      <c r="W6" s="20" t="n">
        <v>0</v>
      </c>
      <c r="X6" s="20" t="n"/>
    </row>
    <row r="7">
      <c r="A7" s="22" t="inlineStr">
        <is>
          <t>slope_5yr</t>
        </is>
      </c>
      <c r="B7" s="20" t="n">
        <v>-0.2685</v>
      </c>
      <c r="C7" s="20" t="n">
        <v>-0.1238</v>
      </c>
      <c r="D7" s="20" t="n">
        <v>-0.0886</v>
      </c>
      <c r="E7" s="20" t="n">
        <v>-0.0277</v>
      </c>
      <c r="F7" s="20" t="n">
        <v>0.0153</v>
      </c>
      <c r="G7" s="20" t="n">
        <v>0.0123</v>
      </c>
      <c r="H7" s="20" t="n">
        <v>0.0063</v>
      </c>
      <c r="I7" s="20" t="n">
        <v>-0.0108</v>
      </c>
      <c r="J7" s="20" t="n">
        <v>0.0149</v>
      </c>
      <c r="K7" s="20" t="n">
        <v>-0.0044</v>
      </c>
      <c r="L7" s="20" t="n">
        <v>0.0152</v>
      </c>
      <c r="M7" s="20" t="n">
        <v>-0.0001</v>
      </c>
      <c r="N7" s="20" t="n">
        <v>-0.0002</v>
      </c>
      <c r="O7" s="20" t="n">
        <v>-0.0033</v>
      </c>
      <c r="P7" s="20" t="n">
        <v>-0.0021</v>
      </c>
      <c r="Q7" s="20" t="n">
        <v>0.003</v>
      </c>
      <c r="R7" s="20" t="n">
        <v>0.0012</v>
      </c>
      <c r="S7" s="20" t="n">
        <v>0</v>
      </c>
      <c r="T7" s="20" t="n">
        <v>-0.0042</v>
      </c>
      <c r="U7" s="20" t="n">
        <v>-0.0064</v>
      </c>
      <c r="V7" s="20" t="n">
        <v>-0.0069</v>
      </c>
      <c r="W7" s="20" t="n">
        <v>0</v>
      </c>
      <c r="X7" s="20" t="n"/>
    </row>
    <row r="8">
      <c r="A8" s="22" t="inlineStr">
        <is>
          <t>slope_10yr</t>
        </is>
      </c>
      <c r="B8" s="20" t="n">
        <v>-0.0158</v>
      </c>
      <c r="C8" s="20" t="n">
        <v>-0.024</v>
      </c>
      <c r="D8" s="20" t="n">
        <v>-0.007</v>
      </c>
      <c r="E8" s="20" t="n">
        <v>-0.001</v>
      </c>
      <c r="F8" s="20" t="n">
        <v>0.0149</v>
      </c>
      <c r="G8" s="20" t="n">
        <v>0.008699999999999999</v>
      </c>
      <c r="H8" s="20" t="n">
        <v>-0.0053</v>
      </c>
      <c r="I8" s="20" t="n">
        <v>-0.0023</v>
      </c>
      <c r="J8" s="20" t="n">
        <v>-0.0002</v>
      </c>
      <c r="K8" s="20" t="n">
        <v>-0.0048</v>
      </c>
      <c r="L8" s="20" t="n">
        <v>0.0008</v>
      </c>
      <c r="M8" s="20" t="n">
        <v>0.0002</v>
      </c>
      <c r="N8" s="20" t="n">
        <v>-0.0019</v>
      </c>
      <c r="O8" s="20" t="n">
        <v>-0.001</v>
      </c>
      <c r="P8" s="20" t="n">
        <v>-0.0039</v>
      </c>
      <c r="Q8" s="20" t="n">
        <v>-0.0029</v>
      </c>
      <c r="R8" s="20" t="n">
        <v>-0.0026</v>
      </c>
      <c r="S8" s="20" t="n">
        <v>-0.0026</v>
      </c>
      <c r="T8" s="20" t="n">
        <v>-0.0042</v>
      </c>
      <c r="U8" s="20" t="n">
        <v>-0.0064</v>
      </c>
      <c r="V8" s="20" t="n">
        <v>-0.0069</v>
      </c>
      <c r="W8" s="20" t="n">
        <v>0</v>
      </c>
      <c r="X8" s="2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0.2513</v>
      </c>
      <c r="C3" s="20" t="n">
        <v>0.2467</v>
      </c>
      <c r="D3" s="20" t="n">
        <v>0.0502</v>
      </c>
      <c r="E3" s="20" t="n">
        <v>0.1057</v>
      </c>
      <c r="F3" s="20" t="n">
        <v>0.0721</v>
      </c>
      <c r="G3" s="20" t="n">
        <v>0.1012</v>
      </c>
      <c r="H3" s="20" t="n">
        <v>0.0403</v>
      </c>
      <c r="I3" s="20" t="n">
        <v>0.004</v>
      </c>
      <c r="J3" s="20" t="n">
        <v>0.06469999999999999</v>
      </c>
      <c r="K3" s="20" t="n">
        <v>0.0153</v>
      </c>
      <c r="L3" s="20" t="n">
        <v>0.0294</v>
      </c>
      <c r="M3" s="20" t="n">
        <v>0.0226</v>
      </c>
      <c r="N3" s="20" t="n">
        <v>0.0017</v>
      </c>
      <c r="O3" s="20" t="n">
        <v>0.0033</v>
      </c>
      <c r="P3" s="20" t="n">
        <v>0.0159</v>
      </c>
      <c r="Q3" s="20" t="n">
        <v>0.0103</v>
      </c>
      <c r="R3" s="20" t="n">
        <v>0.0033</v>
      </c>
      <c r="S3" s="20" t="n">
        <v>0.0032</v>
      </c>
      <c r="T3" s="20" t="n">
        <v>0</v>
      </c>
      <c r="U3" s="20" t="n">
        <v>0.0058</v>
      </c>
      <c r="V3" s="20" t="n">
        <v>0.005</v>
      </c>
      <c r="W3" s="20" t="n">
        <v>0.0019</v>
      </c>
      <c r="X3" s="20" t="n"/>
    </row>
    <row r="4">
      <c r="A4" s="22" t="inlineStr">
        <is>
          <t>cv_5yr</t>
        </is>
      </c>
      <c r="B4" s="20" t="n">
        <v>0.1774</v>
      </c>
      <c r="C4" s="20" t="n">
        <v>0.2103</v>
      </c>
      <c r="D4" s="20" t="n">
        <v>0.1004</v>
      </c>
      <c r="E4" s="20" t="n">
        <v>0.0759</v>
      </c>
      <c r="F4" s="20" t="n">
        <v>0.0522</v>
      </c>
      <c r="G4" s="20" t="n">
        <v>0.0961</v>
      </c>
      <c r="H4" s="20" t="n">
        <v>0.0391</v>
      </c>
      <c r="I4" s="20" t="n">
        <v>0.0112</v>
      </c>
      <c r="J4" s="20" t="n">
        <v>0.0566</v>
      </c>
      <c r="K4" s="20" t="n">
        <v>0.0121</v>
      </c>
      <c r="L4" s="20" t="n">
        <v>0.0237</v>
      </c>
      <c r="M4" s="20" t="n">
        <v>0.0235</v>
      </c>
      <c r="N4" s="20" t="n">
        <v>0.0123</v>
      </c>
      <c r="O4" s="20" t="n">
        <v>0.0108</v>
      </c>
      <c r="P4" s="20" t="n">
        <v>0.0114</v>
      </c>
      <c r="Q4" s="20" t="n">
        <v>0.0103</v>
      </c>
      <c r="R4" s="20" t="n">
        <v>0.0031</v>
      </c>
      <c r="S4" s="20" t="n">
        <v>0.0069</v>
      </c>
      <c r="T4" s="20" t="n">
        <v>0.0054</v>
      </c>
      <c r="U4" s="20" t="n">
        <v>0.0051</v>
      </c>
      <c r="V4" s="20" t="n">
        <v>0.005</v>
      </c>
      <c r="W4" s="20" t="n">
        <v>0.0019</v>
      </c>
      <c r="X4" s="20" t="n"/>
    </row>
    <row r="5">
      <c r="A5" s="22" t="inlineStr">
        <is>
          <t>cv_10yr</t>
        </is>
      </c>
      <c r="B5" s="20" t="n">
        <v>0.2259</v>
      </c>
      <c r="C5" s="20" t="n">
        <v>0.1904</v>
      </c>
      <c r="D5" s="20" t="n">
        <v>0.1076</v>
      </c>
      <c r="E5" s="20" t="n">
        <v>0.06419999999999999</v>
      </c>
      <c r="F5" s="20" t="n">
        <v>0.0625</v>
      </c>
      <c r="G5" s="20" t="n">
        <v>0.08169999999999999</v>
      </c>
      <c r="H5" s="20" t="n">
        <v>0.0308</v>
      </c>
      <c r="I5" s="20" t="n">
        <v>0.0238</v>
      </c>
      <c r="J5" s="20" t="n">
        <v>0.044</v>
      </c>
      <c r="K5" s="20" t="n">
        <v>0.0327</v>
      </c>
      <c r="L5" s="20" t="n">
        <v>0.0201</v>
      </c>
      <c r="M5" s="20" t="n">
        <v>0.02</v>
      </c>
      <c r="N5" s="20" t="n">
        <v>0.0116</v>
      </c>
      <c r="O5" s="20" t="n">
        <v>0.012</v>
      </c>
      <c r="P5" s="20" t="n">
        <v>0.0116</v>
      </c>
      <c r="Q5" s="20" t="n">
        <v>0.0124</v>
      </c>
      <c r="R5" s="20" t="n">
        <v>0.0108</v>
      </c>
      <c r="S5" s="20" t="n">
        <v>0.0151</v>
      </c>
      <c r="T5" s="20" t="n">
        <v>0.0054</v>
      </c>
      <c r="U5" s="20" t="n">
        <v>0.0051</v>
      </c>
      <c r="V5" s="20" t="n">
        <v>0.005</v>
      </c>
      <c r="W5" s="20" t="n">
        <v>0.0019</v>
      </c>
      <c r="X5" s="20" t="n"/>
    </row>
    <row r="6">
      <c r="A6" s="22" t="inlineStr">
        <is>
          <t>slope_3yr</t>
        </is>
      </c>
      <c r="B6" s="20" t="n">
        <v>0.6336000000000001</v>
      </c>
      <c r="C6" s="20" t="n">
        <v>-0.0604</v>
      </c>
      <c r="D6" s="20" t="n">
        <v>-0.0563</v>
      </c>
      <c r="E6" s="20" t="n">
        <v>-0.0235</v>
      </c>
      <c r="F6" s="20" t="n">
        <v>0.0539</v>
      </c>
      <c r="G6" s="20" t="n">
        <v>-0.04</v>
      </c>
      <c r="H6" s="20" t="n">
        <v>0.0182</v>
      </c>
      <c r="I6" s="20" t="n">
        <v>0.0024</v>
      </c>
      <c r="J6" s="20" t="n">
        <v>0.0689</v>
      </c>
      <c r="K6" s="20" t="n">
        <v>-0.0111</v>
      </c>
      <c r="L6" s="20" t="n">
        <v>-0.0051</v>
      </c>
      <c r="M6" s="20" t="n">
        <v>0.021</v>
      </c>
      <c r="N6" s="20" t="n">
        <v>0.0016</v>
      </c>
      <c r="O6" s="20" t="n">
        <v>0.0027</v>
      </c>
      <c r="P6" s="20" t="n">
        <v>-0.0145</v>
      </c>
      <c r="Q6" s="20" t="n">
        <v>0.0075</v>
      </c>
      <c r="R6" s="20" t="n">
        <v>0.0002</v>
      </c>
      <c r="S6" s="20" t="n">
        <v>0.0028</v>
      </c>
      <c r="T6" s="20" t="n">
        <v>0</v>
      </c>
      <c r="U6" s="20" t="n">
        <v>-0.0051</v>
      </c>
      <c r="V6" s="20" t="n">
        <v>-0.0037</v>
      </c>
      <c r="W6" s="20" t="n">
        <v>0.0027</v>
      </c>
      <c r="X6" s="20" t="n"/>
    </row>
    <row r="7">
      <c r="A7" s="22" t="inlineStr">
        <is>
          <t>slope_5yr</t>
        </is>
      </c>
      <c r="B7" s="20" t="n">
        <v>0.1057</v>
      </c>
      <c r="C7" s="20" t="n">
        <v>-0.09320000000000001</v>
      </c>
      <c r="D7" s="20" t="n">
        <v>-0.0368</v>
      </c>
      <c r="E7" s="20" t="n">
        <v>0.0014</v>
      </c>
      <c r="F7" s="20" t="n">
        <v>0.0158</v>
      </c>
      <c r="G7" s="20" t="n">
        <v>0.0287</v>
      </c>
      <c r="H7" s="20" t="n">
        <v>0.0186</v>
      </c>
      <c r="I7" s="20" t="n">
        <v>-0.0028</v>
      </c>
      <c r="J7" s="20" t="n">
        <v>0.0317</v>
      </c>
      <c r="K7" s="20" t="n">
        <v>0.0009</v>
      </c>
      <c r="L7" s="20" t="n">
        <v>-0.0005</v>
      </c>
      <c r="M7" s="20" t="n">
        <v>0.0036</v>
      </c>
      <c r="N7" s="20" t="n">
        <v>-0.0052</v>
      </c>
      <c r="O7" s="20" t="n">
        <v>-0.0028</v>
      </c>
      <c r="P7" s="20" t="n">
        <v>-0.0022</v>
      </c>
      <c r="Q7" s="20" t="n">
        <v>0.004</v>
      </c>
      <c r="R7" s="20" t="n">
        <v>0.0012</v>
      </c>
      <c r="S7" s="20" t="n">
        <v>-0.0021</v>
      </c>
      <c r="T7" s="20" t="n">
        <v>-0.0012</v>
      </c>
      <c r="U7" s="20" t="n">
        <v>-0.0032</v>
      </c>
      <c r="V7" s="20" t="n">
        <v>-0.0037</v>
      </c>
      <c r="W7" s="20" t="n">
        <v>0.0027</v>
      </c>
      <c r="X7" s="20" t="n"/>
    </row>
    <row r="8">
      <c r="A8" s="22" t="inlineStr">
        <is>
          <t>slope_10yr</t>
        </is>
      </c>
      <c r="B8" s="20" t="n">
        <v>0.0629</v>
      </c>
      <c r="C8" s="20" t="n">
        <v>0.0049</v>
      </c>
      <c r="D8" s="20" t="n">
        <v>-0.01</v>
      </c>
      <c r="E8" s="20" t="n">
        <v>0.0019</v>
      </c>
      <c r="F8" s="20" t="n">
        <v>0.0148</v>
      </c>
      <c r="G8" s="20" t="n">
        <v>0.015</v>
      </c>
      <c r="H8" s="20" t="n">
        <v>0.0041</v>
      </c>
      <c r="I8" s="20" t="n">
        <v>-0.0045</v>
      </c>
      <c r="J8" s="20" t="n">
        <v>0.0037</v>
      </c>
      <c r="K8" s="20" t="n">
        <v>-0.0068</v>
      </c>
      <c r="L8" s="20" t="n">
        <v>-0.0001</v>
      </c>
      <c r="M8" s="20" t="n">
        <v>0.002</v>
      </c>
      <c r="N8" s="20" t="n">
        <v>-0.0015</v>
      </c>
      <c r="O8" s="20" t="n">
        <v>-0.0014</v>
      </c>
      <c r="P8" s="20" t="n">
        <v>-0.0019</v>
      </c>
      <c r="Q8" s="20" t="n">
        <v>-0.0013</v>
      </c>
      <c r="R8" s="20" t="n">
        <v>-0.0035</v>
      </c>
      <c r="S8" s="20" t="n">
        <v>-0.006</v>
      </c>
      <c r="T8" s="20" t="n">
        <v>-0.0012</v>
      </c>
      <c r="U8" s="20" t="n">
        <v>-0.0032</v>
      </c>
      <c r="V8" s="20" t="n">
        <v>-0.0037</v>
      </c>
      <c r="W8" s="20" t="n">
        <v>0.0027</v>
      </c>
      <c r="X8" s="2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0.013</v>
      </c>
      <c r="C3" s="20" t="n">
        <v>0</v>
      </c>
      <c r="D3" s="20" t="n">
        <v>0</v>
      </c>
      <c r="E3" s="20" t="n">
        <v>0.0024</v>
      </c>
      <c r="F3" s="20" t="n">
        <v>0.0021</v>
      </c>
      <c r="G3" s="20" t="n">
        <v>0</v>
      </c>
      <c r="H3" s="20" t="n">
        <v>0.0024</v>
      </c>
      <c r="I3" s="20" t="n">
        <v>0</v>
      </c>
      <c r="J3" s="20" t="n">
        <v>0.0068</v>
      </c>
      <c r="K3" s="20" t="n">
        <v>0</v>
      </c>
      <c r="L3" s="20" t="n">
        <v>0</v>
      </c>
      <c r="M3" s="20" t="n">
        <v>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</v>
      </c>
      <c r="S3" s="20" t="n">
        <v>0</v>
      </c>
      <c r="T3" s="20" t="n">
        <v>0</v>
      </c>
      <c r="U3" s="20" t="n">
        <v>0</v>
      </c>
      <c r="V3" s="20" t="n">
        <v>0</v>
      </c>
      <c r="W3" s="20" t="n">
        <v>0</v>
      </c>
      <c r="X3" s="20" t="n"/>
    </row>
    <row r="4">
      <c r="A4" s="22" t="inlineStr">
        <is>
          <t>cv_5yr</t>
        </is>
      </c>
      <c r="B4" s="20" t="n">
        <v>0.0316</v>
      </c>
      <c r="C4" s="20" t="n">
        <v>0</v>
      </c>
      <c r="D4" s="20" t="n">
        <v>0.0019</v>
      </c>
      <c r="E4" s="20" t="n">
        <v>0.0029</v>
      </c>
      <c r="F4" s="20" t="n">
        <v>0.0017</v>
      </c>
      <c r="G4" s="20" t="n">
        <v>0</v>
      </c>
      <c r="H4" s="20" t="n">
        <v>0.0019</v>
      </c>
      <c r="I4" s="20" t="n">
        <v>0</v>
      </c>
      <c r="J4" s="20" t="n">
        <v>0.0052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20" t="n"/>
    </row>
    <row r="5">
      <c r="A5" s="22" t="inlineStr">
        <is>
          <t>cv_10yr</t>
        </is>
      </c>
      <c r="B5" s="20" t="n">
        <v>0.0384</v>
      </c>
      <c r="C5" s="20" t="n">
        <v>0.0145</v>
      </c>
      <c r="D5" s="20" t="n">
        <v>0.0018</v>
      </c>
      <c r="E5" s="20" t="n">
        <v>0.002</v>
      </c>
      <c r="F5" s="20" t="n">
        <v>0.0012</v>
      </c>
      <c r="G5" s="20" t="n">
        <v>0</v>
      </c>
      <c r="H5" s="20" t="n">
        <v>0.0013</v>
      </c>
      <c r="I5" s="20" t="n">
        <v>0</v>
      </c>
      <c r="J5" s="20" t="n">
        <v>0.0037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/>
    </row>
    <row r="6">
      <c r="A6" s="22" t="inlineStr">
        <is>
          <t>slope_3yr</t>
        </is>
      </c>
      <c r="B6" s="20" t="n">
        <v>-0.0128</v>
      </c>
      <c r="C6" s="20" t="n">
        <v>0</v>
      </c>
      <c r="D6" s="20" t="n">
        <v>0</v>
      </c>
      <c r="E6" s="20" t="n">
        <v>-0.002</v>
      </c>
      <c r="F6" s="20" t="n">
        <v>-0.0018</v>
      </c>
      <c r="G6" s="20" t="n">
        <v>0</v>
      </c>
      <c r="H6" s="20" t="n">
        <v>-0.0021</v>
      </c>
      <c r="I6" s="20" t="n">
        <v>0</v>
      </c>
      <c r="J6" s="20" t="n">
        <v>-0.0058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/>
    </row>
    <row r="7">
      <c r="A7" s="22" t="inlineStr">
        <is>
          <t>slope_5yr</t>
        </is>
      </c>
      <c r="B7" s="20" t="n">
        <v>0.0027</v>
      </c>
      <c r="C7" s="20" t="n">
        <v>0</v>
      </c>
      <c r="D7" s="20" t="n">
        <v>-0.0008</v>
      </c>
      <c r="E7" s="20" t="n">
        <v>0.0004</v>
      </c>
      <c r="F7" s="20" t="n">
        <v>-0.0007</v>
      </c>
      <c r="G7" s="20" t="n">
        <v>0</v>
      </c>
      <c r="H7" s="20" t="n">
        <v>-0.0008</v>
      </c>
      <c r="I7" s="20" t="n">
        <v>0</v>
      </c>
      <c r="J7" s="20" t="n">
        <v>-0.0023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/>
    </row>
    <row r="8">
      <c r="A8" s="22" t="inlineStr">
        <is>
          <t>slope_10yr</t>
        </is>
      </c>
      <c r="B8" s="20" t="n">
        <v>0.009299999999999999</v>
      </c>
      <c r="C8" s="20" t="n">
        <v>-0.0015</v>
      </c>
      <c r="D8" s="20" t="n">
        <v>-0.0002</v>
      </c>
      <c r="E8" s="20" t="n">
        <v>0</v>
      </c>
      <c r="F8" s="20" t="n">
        <v>-0.0002</v>
      </c>
      <c r="G8" s="20" t="n">
        <v>0</v>
      </c>
      <c r="H8" s="20" t="n">
        <v>-0.0002</v>
      </c>
      <c r="I8" s="20" t="n">
        <v>0</v>
      </c>
      <c r="J8" s="20" t="n">
        <v>-0.0005999999999999999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Incurred-to-Ult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0.1857570466659403</v>
      </c>
      <c r="C3" s="12" t="n">
        <v>0.5089466642511196</v>
      </c>
      <c r="D3" s="12" t="n">
        <v>0.6228514869267098</v>
      </c>
      <c r="E3" s="12" t="n">
        <v>0.6854393413970923</v>
      </c>
      <c r="F3" s="12" t="n">
        <v>0.7369191986662413</v>
      </c>
      <c r="G3" s="12" t="n">
        <v>0.7867919371260366</v>
      </c>
      <c r="H3" s="12" t="n">
        <v>0.7849404976827654</v>
      </c>
      <c r="I3" s="12" t="n">
        <v>0.7922607970262565</v>
      </c>
      <c r="J3" s="12" t="n">
        <v>0.7980288845690027</v>
      </c>
      <c r="K3" s="12" t="n">
        <v>0.8047498472118162</v>
      </c>
      <c r="L3" s="12" t="n">
        <v>0.8220056233393775</v>
      </c>
      <c r="M3" s="12" t="n">
        <v>0.8391052981674394</v>
      </c>
      <c r="N3" s="12" t="n">
        <v>0.8381981745872149</v>
      </c>
      <c r="O3" s="12" t="n">
        <v>0.8573692798288299</v>
      </c>
      <c r="P3" s="12" t="n">
        <v>0.8719805887289566</v>
      </c>
      <c r="Q3" s="12" t="n">
        <v>0.9183465071100197</v>
      </c>
      <c r="R3" s="12" t="n">
        <v>0.9400418614009503</v>
      </c>
      <c r="S3" s="12" t="n">
        <v>0.9691042862321138</v>
      </c>
      <c r="T3" s="12" t="n">
        <v>0.9865222428345847</v>
      </c>
      <c r="U3" s="12" t="n">
        <v>0.9865222428345847</v>
      </c>
      <c r="V3" s="12" t="n">
        <v>1.00963779965383</v>
      </c>
      <c r="W3" s="12" t="n">
        <v>1.023679960338419</v>
      </c>
      <c r="X3" s="12" t="n">
        <v>1.023679960338419</v>
      </c>
      <c r="Y3" s="12" t="n">
        <v>1.035890098647464</v>
      </c>
    </row>
    <row r="4">
      <c r="A4" s="9" t="n">
        <v>2002</v>
      </c>
      <c r="B4" s="12" t="n">
        <v>0.4185415981860244</v>
      </c>
      <c r="C4" s="12" t="n">
        <v>0.5986942368377092</v>
      </c>
      <c r="D4" s="12" t="n">
        <v>0.6057379785711167</v>
      </c>
      <c r="E4" s="12" t="n">
        <v>0.7236636562166979</v>
      </c>
      <c r="F4" s="12" t="n">
        <v>0.7332050303131679</v>
      </c>
      <c r="G4" s="12" t="n">
        <v>0.7791702578213545</v>
      </c>
      <c r="H4" s="12" t="n">
        <v>0.793969663390622</v>
      </c>
      <c r="I4" s="12" t="n">
        <v>0.794134521353359</v>
      </c>
      <c r="J4" s="12" t="n">
        <v>0.8115344504171537</v>
      </c>
      <c r="K4" s="12" t="n">
        <v>0.8193548609603866</v>
      </c>
      <c r="L4" s="12" t="n">
        <v>0.8277569620657664</v>
      </c>
      <c r="M4" s="12" t="n">
        <v>0.8558327761167349</v>
      </c>
      <c r="N4" s="12" t="n">
        <v>0.856967679880721</v>
      </c>
      <c r="O4" s="12" t="n">
        <v>0.8913366155443829</v>
      </c>
      <c r="P4" s="12" t="n">
        <v>0.9148346046364357</v>
      </c>
      <c r="Q4" s="12" t="n">
        <v>0.9282976576901396</v>
      </c>
      <c r="R4" s="12" t="n">
        <v>0.9774037642236499</v>
      </c>
      <c r="S4" s="12" t="n">
        <v>0.9785138991130033</v>
      </c>
      <c r="T4" s="12" t="n">
        <v>0.9785138991130033</v>
      </c>
      <c r="U4" s="12" t="n">
        <v>1.019963506598566</v>
      </c>
      <c r="V4" s="12" t="n">
        <v>1.013631907214754</v>
      </c>
      <c r="W4" s="12" t="n">
        <v>1.050024801021336</v>
      </c>
      <c r="X4" s="12" t="n">
        <v>1.050024801021336</v>
      </c>
      <c r="Y4" s="5" t="n"/>
    </row>
    <row r="5">
      <c r="A5" s="9" t="n">
        <v>2003</v>
      </c>
      <c r="B5" s="12" t="n">
        <v>0.5591271191459942</v>
      </c>
      <c r="C5" s="12" t="n">
        <v>0.8080293688551811</v>
      </c>
      <c r="D5" s="12" t="n">
        <v>0.8746333170629967</v>
      </c>
      <c r="E5" s="12" t="n">
        <v>1.039707960070028</v>
      </c>
      <c r="F5" s="12" t="n">
        <v>0.9437111272485024</v>
      </c>
      <c r="G5" s="12" t="n">
        <v>1.007741822166039</v>
      </c>
      <c r="H5" s="12" t="n">
        <v>1.004956138859203</v>
      </c>
      <c r="I5" s="12" t="n">
        <v>0.9973698778147123</v>
      </c>
      <c r="J5" s="12" t="n">
        <v>0.9955083648586343</v>
      </c>
      <c r="K5" s="12" t="n">
        <v>0.9976936287328964</v>
      </c>
      <c r="L5" s="12" t="n">
        <v>0.995609729816468</v>
      </c>
      <c r="M5" s="12" t="n">
        <v>0.9879079154977695</v>
      </c>
      <c r="N5" s="12" t="n">
        <v>0.9828731391674823</v>
      </c>
      <c r="O5" s="12" t="n">
        <v>0.9828730879989017</v>
      </c>
      <c r="P5" s="12" t="n">
        <v>0.9828730879989017</v>
      </c>
      <c r="Q5" s="12" t="n">
        <v>0.9828730879989017</v>
      </c>
      <c r="R5" s="12" t="n">
        <v>0.9849567164528331</v>
      </c>
      <c r="S5" s="12" t="n">
        <v>0.9849567164528332</v>
      </c>
      <c r="T5" s="12" t="n">
        <v>0.9849567164528332</v>
      </c>
      <c r="U5" s="12" t="n">
        <v>0.9849567164528332</v>
      </c>
      <c r="V5" s="12" t="n">
        <v>0.9849567164528332</v>
      </c>
      <c r="W5" s="12" t="n">
        <v>0.9849567164528332</v>
      </c>
      <c r="X5" s="5" t="n"/>
      <c r="Y5" s="5" t="n"/>
    </row>
    <row r="6">
      <c r="A6" s="9" t="n">
        <v>2004</v>
      </c>
      <c r="B6" s="12" t="n">
        <v>0.6164750409301059</v>
      </c>
      <c r="C6" s="12" t="n">
        <v>0.7037520765010946</v>
      </c>
      <c r="D6" s="12" t="n">
        <v>0.7770542003724542</v>
      </c>
      <c r="E6" s="12" t="n">
        <v>0.8138717618077684</v>
      </c>
      <c r="F6" s="12" t="n">
        <v>0.9200550629524337</v>
      </c>
      <c r="G6" s="12" t="n">
        <v>0.9251617533417138</v>
      </c>
      <c r="H6" s="12" t="n">
        <v>0.9422362942888186</v>
      </c>
      <c r="I6" s="12" t="n">
        <v>0.9494763184881095</v>
      </c>
      <c r="J6" s="12" t="n">
        <v>0.9720288655710834</v>
      </c>
      <c r="K6" s="12" t="n">
        <v>0.9633543682120701</v>
      </c>
      <c r="L6" s="12" t="n">
        <v>0.9855872178453003</v>
      </c>
      <c r="M6" s="12" t="n">
        <v>0.9744501157929673</v>
      </c>
      <c r="N6" s="12" t="n">
        <v>0.974842488490788</v>
      </c>
      <c r="O6" s="12" t="n">
        <v>0.975125549146694</v>
      </c>
      <c r="P6" s="12" t="n">
        <v>0.9751250083397498</v>
      </c>
      <c r="Q6" s="12" t="n">
        <v>0.9788582677148193</v>
      </c>
      <c r="R6" s="12" t="n">
        <v>0.9788582677148193</v>
      </c>
      <c r="S6" s="12" t="n">
        <v>0.9788582677148193</v>
      </c>
      <c r="T6" s="12" t="n">
        <v>0.9788582677148193</v>
      </c>
      <c r="U6" s="12" t="n">
        <v>0.9788876093681754</v>
      </c>
      <c r="V6" s="12" t="n">
        <v>0.9788876093681754</v>
      </c>
      <c r="W6" s="5" t="n"/>
      <c r="X6" s="5" t="n"/>
      <c r="Y6" s="5" t="n"/>
    </row>
    <row r="7">
      <c r="A7" s="9" t="n">
        <v>2005</v>
      </c>
      <c r="B7" s="12" t="n">
        <v>0.5426655963817765</v>
      </c>
      <c r="C7" s="12" t="n">
        <v>0.7070384974266634</v>
      </c>
      <c r="D7" s="12" t="n">
        <v>0.7726894979245409</v>
      </c>
      <c r="E7" s="12" t="n">
        <v>0.7537451582383323</v>
      </c>
      <c r="F7" s="12" t="n">
        <v>0.781754721431695</v>
      </c>
      <c r="G7" s="12" t="n">
        <v>0.7945188861449527</v>
      </c>
      <c r="H7" s="12" t="n">
        <v>0.8106879569696319</v>
      </c>
      <c r="I7" s="12" t="n">
        <v>0.8152668947365576</v>
      </c>
      <c r="J7" s="12" t="n">
        <v>0.8257960706915195</v>
      </c>
      <c r="K7" s="12" t="n">
        <v>0.8483422586318643</v>
      </c>
      <c r="L7" s="12" t="n">
        <v>0.8582853069441279</v>
      </c>
      <c r="M7" s="12" t="n">
        <v>0.9607715477683458</v>
      </c>
      <c r="N7" s="12" t="n">
        <v>0.9607767049718854</v>
      </c>
      <c r="O7" s="12" t="n">
        <v>0.9430594588353749</v>
      </c>
      <c r="P7" s="12" t="n">
        <v>0.9524467611640131</v>
      </c>
      <c r="Q7" s="12" t="n">
        <v>0.9591074385209502</v>
      </c>
      <c r="R7" s="12" t="n">
        <v>0.9736300090832074</v>
      </c>
      <c r="S7" s="12" t="n">
        <v>0.9736300090832074</v>
      </c>
      <c r="T7" s="12" t="n">
        <v>0.9736300090832074</v>
      </c>
      <c r="U7" s="12" t="n">
        <v>0.9736300090832074</v>
      </c>
      <c r="V7" s="5" t="n"/>
      <c r="W7" s="5" t="n"/>
      <c r="X7" s="5" t="n"/>
      <c r="Y7" s="5" t="n"/>
    </row>
    <row r="8">
      <c r="A8" s="9" t="n">
        <v>2006</v>
      </c>
      <c r="B8" s="12" t="n">
        <v>0.5087925724374082</v>
      </c>
      <c r="C8" s="12" t="n">
        <v>0.7692479543417012</v>
      </c>
      <c r="D8" s="12" t="n">
        <v>0.6686413592594018</v>
      </c>
      <c r="E8" s="12" t="n">
        <v>0.7150706724473518</v>
      </c>
      <c r="F8" s="12" t="n">
        <v>0.7215165595770644</v>
      </c>
      <c r="G8" s="12" t="n">
        <v>0.7579116903442407</v>
      </c>
      <c r="H8" s="12" t="n">
        <v>0.7913112121843143</v>
      </c>
      <c r="I8" s="12" t="n">
        <v>0.7767392424677497</v>
      </c>
      <c r="J8" s="12" t="n">
        <v>0.7969725423755608</v>
      </c>
      <c r="K8" s="12" t="n">
        <v>0.8265484579404148</v>
      </c>
      <c r="L8" s="12" t="n">
        <v>0.8952870335184484</v>
      </c>
      <c r="M8" s="12" t="n">
        <v>0.9491072117546886</v>
      </c>
      <c r="N8" s="12" t="n">
        <v>0.9752228129448077</v>
      </c>
      <c r="O8" s="12" t="n">
        <v>0.9857242251953728</v>
      </c>
      <c r="P8" s="12" t="n">
        <v>0.9862939642242897</v>
      </c>
      <c r="Q8" s="12" t="n">
        <v>0.9976887448026279</v>
      </c>
      <c r="R8" s="12" t="n">
        <v>1.00075657034295</v>
      </c>
      <c r="S8" s="12" t="n">
        <v>1.008064113249565</v>
      </c>
      <c r="T8" s="12" t="n">
        <v>1.008064113249565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0.3479986172372034</v>
      </c>
      <c r="C9" s="12" t="n">
        <v>0.3788920461465655</v>
      </c>
      <c r="D9" s="12" t="n">
        <v>0.4126585051447869</v>
      </c>
      <c r="E9" s="12" t="n">
        <v>0.4623609932155079</v>
      </c>
      <c r="F9" s="12" t="n">
        <v>0.5153808308872757</v>
      </c>
      <c r="G9" s="12" t="n">
        <v>0.6152374249155851</v>
      </c>
      <c r="H9" s="12" t="n">
        <v>0.6543745104791397</v>
      </c>
      <c r="I9" s="12" t="n">
        <v>0.7260437270752803</v>
      </c>
      <c r="J9" s="12" t="n">
        <v>0.7780562665584075</v>
      </c>
      <c r="K9" s="12" t="n">
        <v>0.8571348618268596</v>
      </c>
      <c r="L9" s="12" t="n">
        <v>0.8834345722947391</v>
      </c>
      <c r="M9" s="12" t="n">
        <v>0.9089590388066541</v>
      </c>
      <c r="N9" s="12" t="n">
        <v>0.9236066504632237</v>
      </c>
      <c r="O9" s="12" t="n">
        <v>0.9244682234611021</v>
      </c>
      <c r="P9" s="12" t="n">
        <v>0.9647974123913573</v>
      </c>
      <c r="Q9" s="12" t="n">
        <v>0.9647974123913573</v>
      </c>
      <c r="R9" s="12" t="n">
        <v>0.9682628862475904</v>
      </c>
      <c r="S9" s="12" t="n">
        <v>0.9707107147849359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0.3893394257507361</v>
      </c>
      <c r="C10" s="12" t="n">
        <v>0.5394914403001073</v>
      </c>
      <c r="D10" s="12" t="n">
        <v>0.6530356388326661</v>
      </c>
      <c r="E10" s="12" t="n">
        <v>0.9083537175455415</v>
      </c>
      <c r="F10" s="12" t="n">
        <v>0.8804400640205478</v>
      </c>
      <c r="G10" s="12" t="n">
        <v>0.8952732634925409</v>
      </c>
      <c r="H10" s="12" t="n">
        <v>0.9001219892853731</v>
      </c>
      <c r="I10" s="12" t="n">
        <v>0.9119695070188574</v>
      </c>
      <c r="J10" s="12" t="n">
        <v>0.9171815423320504</v>
      </c>
      <c r="K10" s="12" t="n">
        <v>0.9489792056805935</v>
      </c>
      <c r="L10" s="12" t="n">
        <v>0.9536488716493244</v>
      </c>
      <c r="M10" s="12" t="n">
        <v>0.9538063223971791</v>
      </c>
      <c r="N10" s="12" t="n">
        <v>0.939916719254566</v>
      </c>
      <c r="O10" s="12" t="n">
        <v>0.9401475854537684</v>
      </c>
      <c r="P10" s="12" t="n">
        <v>0.9401475854537684</v>
      </c>
      <c r="Q10" s="12" t="n">
        <v>0.9447649094378161</v>
      </c>
      <c r="R10" s="12" t="n">
        <v>0.9646329775017344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0.2914862733843726</v>
      </c>
      <c r="C11" s="12" t="n">
        <v>0.7114591352103926</v>
      </c>
      <c r="D11" s="12" t="n">
        <v>0.6704470813187264</v>
      </c>
      <c r="E11" s="12" t="n">
        <v>0.6871739143685239</v>
      </c>
      <c r="F11" s="12" t="n">
        <v>0.7328416473773709</v>
      </c>
      <c r="G11" s="12" t="n">
        <v>0.7704544447816357</v>
      </c>
      <c r="H11" s="12" t="n">
        <v>0.7984899422913585</v>
      </c>
      <c r="I11" s="12" t="n">
        <v>0.9135261729647381</v>
      </c>
      <c r="J11" s="12" t="n">
        <v>0.9135315529141673</v>
      </c>
      <c r="K11" s="12" t="n">
        <v>0.9135329409411201</v>
      </c>
      <c r="L11" s="12" t="n">
        <v>0.9135329409411204</v>
      </c>
      <c r="M11" s="12" t="n">
        <v>0.9259068246281139</v>
      </c>
      <c r="N11" s="12" t="n">
        <v>0.953665825016876</v>
      </c>
      <c r="O11" s="12" t="n">
        <v>0.953665825016876</v>
      </c>
      <c r="P11" s="12" t="n">
        <v>0.953665825016876</v>
      </c>
      <c r="Q11" s="12" t="n">
        <v>0.953665825016876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0.2646021350910759</v>
      </c>
      <c r="C12" s="12" t="n">
        <v>0.5369428492365419</v>
      </c>
      <c r="D12" s="12" t="n">
        <v>0.6991682667559026</v>
      </c>
      <c r="E12" s="12" t="n">
        <v>0.8123611985898369</v>
      </c>
      <c r="F12" s="12" t="n">
        <v>0.9085270258909232</v>
      </c>
      <c r="G12" s="12" t="n">
        <v>0.8987625457476784</v>
      </c>
      <c r="H12" s="12" t="n">
        <v>0.9343834987245933</v>
      </c>
      <c r="I12" s="12" t="n">
        <v>0.9354832880103299</v>
      </c>
      <c r="J12" s="12" t="n">
        <v>0.9310430002998277</v>
      </c>
      <c r="K12" s="12" t="n">
        <v>0.9316305729089669</v>
      </c>
      <c r="L12" s="12" t="n">
        <v>0.9323618261024815</v>
      </c>
      <c r="M12" s="12" t="n">
        <v>0.9324161366844932</v>
      </c>
      <c r="N12" s="12" t="n">
        <v>0.9336284264615398</v>
      </c>
      <c r="O12" s="12" t="n">
        <v>0.9334295139549219</v>
      </c>
      <c r="P12" s="12" t="n">
        <v>0.9390171515036939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0.2220935872075143</v>
      </c>
      <c r="C13" s="12" t="n">
        <v>0.4338296388564406</v>
      </c>
      <c r="D13" s="12" t="n">
        <v>0.6398063790387581</v>
      </c>
      <c r="E13" s="12" t="n">
        <v>0.7387774495535461</v>
      </c>
      <c r="F13" s="12" t="n">
        <v>0.788271321077739</v>
      </c>
      <c r="G13" s="12" t="n">
        <v>0.8513539142276526</v>
      </c>
      <c r="H13" s="12" t="n">
        <v>0.8984081545202472</v>
      </c>
      <c r="I13" s="12" t="n">
        <v>0.8984645429265623</v>
      </c>
      <c r="J13" s="12" t="n">
        <v>0.9108524354860686</v>
      </c>
      <c r="K13" s="12" t="n">
        <v>0.9143483101266631</v>
      </c>
      <c r="L13" s="12" t="n">
        <v>0.9401238986106226</v>
      </c>
      <c r="M13" s="12" t="n">
        <v>0.9372358323812755</v>
      </c>
      <c r="N13" s="12" t="n">
        <v>0.9372358323812755</v>
      </c>
      <c r="O13" s="12" t="n">
        <v>0.9372358323812755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0.2569384217549325</v>
      </c>
      <c r="C14" s="12" t="n">
        <v>0.5220743377783271</v>
      </c>
      <c r="D14" s="12" t="n">
        <v>0.6823479747112705</v>
      </c>
      <c r="E14" s="12" t="n">
        <v>0.7415465380008769</v>
      </c>
      <c r="F14" s="12" t="n">
        <v>0.7392288770034987</v>
      </c>
      <c r="G14" s="12" t="n">
        <v>0.7457033881695196</v>
      </c>
      <c r="H14" s="12" t="n">
        <v>0.74869074821398</v>
      </c>
      <c r="I14" s="12" t="n">
        <v>0.7872884849547246</v>
      </c>
      <c r="J14" s="12" t="n">
        <v>0.8312752074767521</v>
      </c>
      <c r="K14" s="12" t="n">
        <v>0.8782822682596095</v>
      </c>
      <c r="L14" s="12" t="n">
        <v>0.8848435907696089</v>
      </c>
      <c r="M14" s="12" t="n">
        <v>1.043209568607311</v>
      </c>
      <c r="N14" s="12" t="n">
        <v>1.043209568607311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0.3536618997863469</v>
      </c>
      <c r="C15" s="12" t="n">
        <v>0.6458189918469647</v>
      </c>
      <c r="D15" s="12" t="n">
        <v>0.7021635373387534</v>
      </c>
      <c r="E15" s="12" t="n">
        <v>0.8465288127656035</v>
      </c>
      <c r="F15" s="12" t="n">
        <v>0.8979725806292401</v>
      </c>
      <c r="G15" s="12" t="n">
        <v>0.8956388746079975</v>
      </c>
      <c r="H15" s="12" t="n">
        <v>0.8960804566075885</v>
      </c>
      <c r="I15" s="12" t="n">
        <v>0.8960804566075888</v>
      </c>
      <c r="J15" s="12" t="n">
        <v>0.8978109671020491</v>
      </c>
      <c r="K15" s="12" t="n">
        <v>0.8978109671020491</v>
      </c>
      <c r="L15" s="12" t="n">
        <v>0.8978251803972496</v>
      </c>
      <c r="M15" s="12" t="n">
        <v>0.8978251803972496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0.3674414537132812</v>
      </c>
      <c r="C16" s="12" t="n">
        <v>0.5020139302399099</v>
      </c>
      <c r="D16" s="12" t="n">
        <v>0.7086183914431315</v>
      </c>
      <c r="E16" s="12" t="n">
        <v>0.8193529067562375</v>
      </c>
      <c r="F16" s="12" t="n">
        <v>0.8310671062465813</v>
      </c>
      <c r="G16" s="12" t="n">
        <v>0.8597050832749772</v>
      </c>
      <c r="H16" s="12" t="n">
        <v>0.8350906734030671</v>
      </c>
      <c r="I16" s="12" t="n">
        <v>0.8350906734030671</v>
      </c>
      <c r="J16" s="12" t="n">
        <v>0.8693986753363371</v>
      </c>
      <c r="K16" s="12" t="n">
        <v>0.8873336101050266</v>
      </c>
      <c r="L16" s="12" t="n">
        <v>0.8811710478094711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0.1397722264058047</v>
      </c>
      <c r="C17" s="12" t="n">
        <v>0.2775466783530121</v>
      </c>
      <c r="D17" s="12" t="n">
        <v>0.4170830659071499</v>
      </c>
      <c r="E17" s="12" t="n">
        <v>0.5540898486806202</v>
      </c>
      <c r="F17" s="12" t="n">
        <v>0.6127820318999951</v>
      </c>
      <c r="G17" s="12" t="n">
        <v>0.6962467383821356</v>
      </c>
      <c r="H17" s="12" t="n">
        <v>0.7936759397482254</v>
      </c>
      <c r="I17" s="12" t="n">
        <v>0.7990577274970203</v>
      </c>
      <c r="J17" s="12" t="n">
        <v>0.801695417086291</v>
      </c>
      <c r="K17" s="12" t="n">
        <v>0.8787834866450946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0.2293312874291928</v>
      </c>
      <c r="C18" s="12" t="n">
        <v>0.4287732133265181</v>
      </c>
      <c r="D18" s="12" t="n">
        <v>0.5779845870451189</v>
      </c>
      <c r="E18" s="12" t="n">
        <v>0.6282644928375015</v>
      </c>
      <c r="F18" s="12" t="n">
        <v>0.7176722180915138</v>
      </c>
      <c r="G18" s="12" t="n">
        <v>0.7403457178752868</v>
      </c>
      <c r="H18" s="12" t="n">
        <v>0.8347730580698678</v>
      </c>
      <c r="I18" s="12" t="n">
        <v>0.8345743940452716</v>
      </c>
      <c r="J18" s="12" t="n">
        <v>0.8356743676045613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0.3099979545896595</v>
      </c>
      <c r="C19" s="12" t="n">
        <v>0.4131761728772568</v>
      </c>
      <c r="D19" s="12" t="n">
        <v>0.4273725657233136</v>
      </c>
      <c r="E19" s="12" t="n">
        <v>0.5595968340227696</v>
      </c>
      <c r="F19" s="12" t="n">
        <v>0.6016079253787757</v>
      </c>
      <c r="G19" s="12" t="n">
        <v>0.6814506387625185</v>
      </c>
      <c r="H19" s="12" t="n">
        <v>0.7855016052704782</v>
      </c>
      <c r="I19" s="12" t="n">
        <v>0.8102697143672726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0.1663705423791184</v>
      </c>
      <c r="C20" s="12" t="n">
        <v>0.3825556741896091</v>
      </c>
      <c r="D20" s="12" t="n">
        <v>0.5465702509823124</v>
      </c>
      <c r="E20" s="12" t="n">
        <v>0.7587850710184616</v>
      </c>
      <c r="F20" s="12" t="n">
        <v>0.7544286675124915</v>
      </c>
      <c r="G20" s="12" t="n">
        <v>0.7643055107343517</v>
      </c>
      <c r="H20" s="12" t="n">
        <v>0.7845369033108536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0.1206966767137252</v>
      </c>
      <c r="C21" s="12" t="n">
        <v>0.3327565577425519</v>
      </c>
      <c r="D21" s="12" t="n">
        <v>0.5148594372788778</v>
      </c>
      <c r="E21" s="12" t="n">
        <v>0.5919405049367673</v>
      </c>
      <c r="F21" s="12" t="n">
        <v>0.6294635997916861</v>
      </c>
      <c r="G21" s="12" t="n">
        <v>0.7692714233196886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0.3387204869397044</v>
      </c>
      <c r="C22" s="12" t="n">
        <v>0.6045916586308263</v>
      </c>
      <c r="D22" s="12" t="n">
        <v>0.5944555774915785</v>
      </c>
      <c r="E22" s="12" t="n">
        <v>0.6289544872264183</v>
      </c>
      <c r="F22" s="12" t="n">
        <v>0.6350730991743013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0.3250671961000247</v>
      </c>
      <c r="C23" s="12" t="n">
        <v>0.4738454738209796</v>
      </c>
      <c r="D23" s="12" t="n">
        <v>0.5799703892174801</v>
      </c>
      <c r="E23" s="12" t="n">
        <v>0.5983083883598156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0.4220904389637121</v>
      </c>
      <c r="C24" s="12" t="n">
        <v>0.5175120918932772</v>
      </c>
      <c r="D24" s="12" t="n">
        <v>0.5027826977526815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0.5279218869280361</v>
      </c>
      <c r="C25" s="12" t="n">
        <v>0.8943571585988016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0.7269617042904062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Paid-to-Ult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0.1067541223885153</v>
      </c>
      <c r="C3" s="12" t="n">
        <v>0.3429328955077106</v>
      </c>
      <c r="D3" s="12" t="n">
        <v>0.5061053950615241</v>
      </c>
      <c r="E3" s="12" t="n">
        <v>0.6256927561163054</v>
      </c>
      <c r="F3" s="12" t="n">
        <v>0.728259290155435</v>
      </c>
      <c r="G3" s="12" t="n">
        <v>0.7477592152729701</v>
      </c>
      <c r="H3" s="12" t="n">
        <v>0.7405549430627171</v>
      </c>
      <c r="I3" s="12" t="n">
        <v>0.7505548063940249</v>
      </c>
      <c r="J3" s="12" t="n">
        <v>0.7578337958611142</v>
      </c>
      <c r="K3" s="12" t="n">
        <v>0.7669489771453039</v>
      </c>
      <c r="L3" s="12" t="n">
        <v>0.7852241925352421</v>
      </c>
      <c r="M3" s="12" t="n">
        <v>0.8040527641107796</v>
      </c>
      <c r="N3" s="12" t="n">
        <v>0.8171556727514971</v>
      </c>
      <c r="O3" s="12" t="n">
        <v>0.8379119089391664</v>
      </c>
      <c r="P3" s="12" t="n">
        <v>0.8559357998975045</v>
      </c>
      <c r="Q3" s="12" t="n">
        <v>0.8821903197128589</v>
      </c>
      <c r="R3" s="12" t="n">
        <v>0.911023844362869</v>
      </c>
      <c r="S3" s="12" t="n">
        <v>0.9356571038328937</v>
      </c>
      <c r="T3" s="12" t="n">
        <v>0.9714855255963522</v>
      </c>
      <c r="U3" s="12" t="n">
        <v>0.9714855255963522</v>
      </c>
      <c r="V3" s="12" t="n">
        <v>0.9787183444391107</v>
      </c>
      <c r="W3" s="12" t="n">
        <v>0.985994901371903</v>
      </c>
      <c r="X3" s="12" t="n">
        <v>0.9922144249376672</v>
      </c>
      <c r="Y3" s="12" t="n">
        <v>0.9961151513872585</v>
      </c>
    </row>
    <row r="4">
      <c r="A4" s="9" t="n">
        <v>2002</v>
      </c>
      <c r="B4" s="12" t="n">
        <v>0.1612030506907876</v>
      </c>
      <c r="C4" s="12" t="n">
        <v>0.4109787875105455</v>
      </c>
      <c r="D4" s="12" t="n">
        <v>0.5505005904065303</v>
      </c>
      <c r="E4" s="12" t="n">
        <v>0.5946964535636818</v>
      </c>
      <c r="F4" s="12" t="n">
        <v>0.6691705843424396</v>
      </c>
      <c r="G4" s="12" t="n">
        <v>0.7315536231886935</v>
      </c>
      <c r="H4" s="12" t="n">
        <v>0.7480608012931289</v>
      </c>
      <c r="I4" s="12" t="n">
        <v>0.7613118992112784</v>
      </c>
      <c r="J4" s="12" t="n">
        <v>0.7802016037598219</v>
      </c>
      <c r="K4" s="12" t="n">
        <v>0.7895027656075722</v>
      </c>
      <c r="L4" s="12" t="n">
        <v>0.8033956756052417</v>
      </c>
      <c r="M4" s="12" t="n">
        <v>0.8184740985887492</v>
      </c>
      <c r="N4" s="12" t="n">
        <v>0.8372502329957126</v>
      </c>
      <c r="O4" s="12" t="n">
        <v>0.8586066995915662</v>
      </c>
      <c r="P4" s="12" t="n">
        <v>0.876753278374878</v>
      </c>
      <c r="Q4" s="12" t="n">
        <v>0.8938724339999155</v>
      </c>
      <c r="R4" s="12" t="n">
        <v>0.9193413790575927</v>
      </c>
      <c r="S4" s="12" t="n">
        <v>0.9379187731575728</v>
      </c>
      <c r="T4" s="12" t="n">
        <v>0.9528168911152164</v>
      </c>
      <c r="U4" s="12" t="n">
        <v>0.9643606391346071</v>
      </c>
      <c r="V4" s="12" t="n">
        <v>0.974085366001188</v>
      </c>
      <c r="W4" s="12" t="n">
        <v>0.9834061834182815</v>
      </c>
      <c r="X4" s="12" t="n">
        <v>0.9922453917654648</v>
      </c>
      <c r="Y4" s="5" t="n"/>
    </row>
    <row r="5">
      <c r="A5" s="9" t="n">
        <v>2003</v>
      </c>
      <c r="B5" s="12" t="n">
        <v>0.2568816243375344</v>
      </c>
      <c r="C5" s="12" t="n">
        <v>0.6380181054747236</v>
      </c>
      <c r="D5" s="12" t="n">
        <v>0.7365556337497792</v>
      </c>
      <c r="E5" s="12" t="n">
        <v>0.8028508672922604</v>
      </c>
      <c r="F5" s="12" t="n">
        <v>0.928907793777127</v>
      </c>
      <c r="G5" s="12" t="n">
        <v>0.9751486717872473</v>
      </c>
      <c r="H5" s="12" t="n">
        <v>0.9766183284445881</v>
      </c>
      <c r="I5" s="12" t="n">
        <v>0.9834658102150197</v>
      </c>
      <c r="J5" s="12" t="n">
        <v>0.9820521392944676</v>
      </c>
      <c r="K5" s="12" t="n">
        <v>0.9844535246328756</v>
      </c>
      <c r="L5" s="12" t="n">
        <v>0.9825858641373485</v>
      </c>
      <c r="M5" s="12" t="n">
        <v>0.9828011961433963</v>
      </c>
      <c r="N5" s="12" t="n">
        <v>0.9828731391674823</v>
      </c>
      <c r="O5" s="12" t="n">
        <v>0.9828734242495731</v>
      </c>
      <c r="P5" s="12" t="n">
        <v>0.9828734242495731</v>
      </c>
      <c r="Q5" s="12" t="n">
        <v>0.9828730879989017</v>
      </c>
      <c r="R5" s="12" t="n">
        <v>0.9849567164528331</v>
      </c>
      <c r="S5" s="12" t="n">
        <v>0.9849567164528332</v>
      </c>
      <c r="T5" s="12" t="n">
        <v>0.9849567164528332</v>
      </c>
      <c r="U5" s="12" t="n">
        <v>0.9849567164528332</v>
      </c>
      <c r="V5" s="12" t="n">
        <v>0.9849567164528332</v>
      </c>
      <c r="W5" s="12" t="n">
        <v>0.9849567164528332</v>
      </c>
      <c r="X5" s="5" t="n"/>
      <c r="Y5" s="5" t="n"/>
    </row>
    <row r="6">
      <c r="A6" s="9" t="n">
        <v>2004</v>
      </c>
      <c r="B6" s="12" t="n">
        <v>0.2239987843327615</v>
      </c>
      <c r="C6" s="12" t="n">
        <v>0.5458387500977807</v>
      </c>
      <c r="D6" s="12" t="n">
        <v>0.7036490585314867</v>
      </c>
      <c r="E6" s="12" t="n">
        <v>0.7879366283801885</v>
      </c>
      <c r="F6" s="12" t="n">
        <v>0.9200550629524337</v>
      </c>
      <c r="G6" s="12" t="n">
        <v>0.923435796745593</v>
      </c>
      <c r="H6" s="12" t="n">
        <v>0.9384544543410163</v>
      </c>
      <c r="I6" s="12" t="n">
        <v>0.9457766811958271</v>
      </c>
      <c r="J6" s="12" t="n">
        <v>0.9632563670898606</v>
      </c>
      <c r="K6" s="12" t="n">
        <v>0.957350260478261</v>
      </c>
      <c r="L6" s="12" t="n">
        <v>0.9607868124519813</v>
      </c>
      <c r="M6" s="12" t="n">
        <v>0.9669305979622962</v>
      </c>
      <c r="N6" s="12" t="n">
        <v>0.9673321758846991</v>
      </c>
      <c r="O6" s="12" t="n">
        <v>0.9690892231268468</v>
      </c>
      <c r="P6" s="12" t="n">
        <v>0.9696525483516917</v>
      </c>
      <c r="Q6" s="12" t="n">
        <v>0.9788582677148193</v>
      </c>
      <c r="R6" s="12" t="n">
        <v>0.9788582677148193</v>
      </c>
      <c r="S6" s="12" t="n">
        <v>0.9788582677148193</v>
      </c>
      <c r="T6" s="12" t="n">
        <v>0.9788582677148193</v>
      </c>
      <c r="U6" s="12" t="n">
        <v>0.9788876093681754</v>
      </c>
      <c r="V6" s="12" t="n">
        <v>0.9788876093681754</v>
      </c>
      <c r="W6" s="5" t="n"/>
      <c r="X6" s="5" t="n"/>
      <c r="Y6" s="5" t="n"/>
    </row>
    <row r="7">
      <c r="A7" s="9" t="n">
        <v>2005</v>
      </c>
      <c r="B7" s="12" t="n">
        <v>0.2644487909997931</v>
      </c>
      <c r="C7" s="12" t="n">
        <v>0.537109041921255</v>
      </c>
      <c r="D7" s="12" t="n">
        <v>0.6807276884280284</v>
      </c>
      <c r="E7" s="12" t="n">
        <v>0.7106007670087484</v>
      </c>
      <c r="F7" s="12" t="n">
        <v>0.7636702709427314</v>
      </c>
      <c r="G7" s="12" t="n">
        <v>0.7795180479869096</v>
      </c>
      <c r="H7" s="12" t="n">
        <v>0.7959615450723693</v>
      </c>
      <c r="I7" s="12" t="n">
        <v>0.8042498129454172</v>
      </c>
      <c r="J7" s="12" t="n">
        <v>0.8076031756725759</v>
      </c>
      <c r="K7" s="12" t="n">
        <v>0.8318379581166758</v>
      </c>
      <c r="L7" s="12" t="n">
        <v>0.8554671817211865</v>
      </c>
      <c r="M7" s="12" t="n">
        <v>0.8727988237490604</v>
      </c>
      <c r="N7" s="12" t="n">
        <v>0.901358270904692</v>
      </c>
      <c r="O7" s="12" t="n">
        <v>0.9183641896872473</v>
      </c>
      <c r="P7" s="12" t="n">
        <v>0.9460286500104359</v>
      </c>
      <c r="Q7" s="12" t="n">
        <v>0.9535613875649706</v>
      </c>
      <c r="R7" s="12" t="n">
        <v>0.9720009917407839</v>
      </c>
      <c r="S7" s="12" t="n">
        <v>0.9736300090832074</v>
      </c>
      <c r="T7" s="12" t="n">
        <v>0.9736300090832074</v>
      </c>
      <c r="U7" s="12" t="n">
        <v>0.9736300090832074</v>
      </c>
      <c r="V7" s="5" t="n"/>
      <c r="W7" s="5" t="n"/>
      <c r="X7" s="5" t="n"/>
      <c r="Y7" s="5" t="n"/>
    </row>
    <row r="8">
      <c r="A8" s="9" t="n">
        <v>2006</v>
      </c>
      <c r="B8" s="12" t="n">
        <v>0.1891644806593015</v>
      </c>
      <c r="C8" s="12" t="n">
        <v>0.4646854366443811</v>
      </c>
      <c r="D8" s="12" t="n">
        <v>0.5933328073911573</v>
      </c>
      <c r="E8" s="12" t="n">
        <v>0.6461948598850759</v>
      </c>
      <c r="F8" s="12" t="n">
        <v>0.6857332408747866</v>
      </c>
      <c r="G8" s="12" t="n">
        <v>0.7176608024901822</v>
      </c>
      <c r="H8" s="12" t="n">
        <v>0.7473362733764274</v>
      </c>
      <c r="I8" s="12" t="n">
        <v>0.7524105094114147</v>
      </c>
      <c r="J8" s="12" t="n">
        <v>0.7761819763409581</v>
      </c>
      <c r="K8" s="12" t="n">
        <v>0.8079951255941313</v>
      </c>
      <c r="L8" s="12" t="n">
        <v>0.8825161140548802</v>
      </c>
      <c r="M8" s="12" t="n">
        <v>0.9069053271004386</v>
      </c>
      <c r="N8" s="12" t="n">
        <v>0.9163597080245233</v>
      </c>
      <c r="O8" s="12" t="n">
        <v>0.9334858002772904</v>
      </c>
      <c r="P8" s="12" t="n">
        <v>0.939843912535687</v>
      </c>
      <c r="Q8" s="12" t="n">
        <v>0.9476942151368956</v>
      </c>
      <c r="R8" s="12" t="n">
        <v>0.9585641258261479</v>
      </c>
      <c r="S8" s="12" t="n">
        <v>0.9658828619133772</v>
      </c>
      <c r="T8" s="12" t="n">
        <v>0.9712020068438562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0.1016111701644261</v>
      </c>
      <c r="C9" s="12" t="n">
        <v>0.2226096192818307</v>
      </c>
      <c r="D9" s="12" t="n">
        <v>0.2882457906139991</v>
      </c>
      <c r="E9" s="12" t="n">
        <v>0.3670626322440167</v>
      </c>
      <c r="F9" s="12" t="n">
        <v>0.4353695347541685</v>
      </c>
      <c r="G9" s="12" t="n">
        <v>0.5288213856301898</v>
      </c>
      <c r="H9" s="12" t="n">
        <v>0.5900297920051245</v>
      </c>
      <c r="I9" s="12" t="n">
        <v>0.6358411892917937</v>
      </c>
      <c r="J9" s="12" t="n">
        <v>0.6871365176814727</v>
      </c>
      <c r="K9" s="12" t="n">
        <v>0.745458279742907</v>
      </c>
      <c r="L9" s="12" t="n">
        <v>0.8067502486470619</v>
      </c>
      <c r="M9" s="12" t="n">
        <v>0.8470876306086526</v>
      </c>
      <c r="N9" s="12" t="n">
        <v>0.8818510033879071</v>
      </c>
      <c r="O9" s="12" t="n">
        <v>0.9073434859243894</v>
      </c>
      <c r="P9" s="12" t="n">
        <v>0.9316739346108678</v>
      </c>
      <c r="Q9" s="12" t="n">
        <v>0.958743531745454</v>
      </c>
      <c r="R9" s="12" t="n">
        <v>0.9647693292254494</v>
      </c>
      <c r="S9" s="12" t="n">
        <v>0.9666587082856597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0.2473933655590543</v>
      </c>
      <c r="C10" s="12" t="n">
        <v>0.4524774896190338</v>
      </c>
      <c r="D10" s="12" t="n">
        <v>0.6085780211263496</v>
      </c>
      <c r="E10" s="12" t="n">
        <v>0.8316191951997298</v>
      </c>
      <c r="F10" s="12" t="n">
        <v>0.8606589309326012</v>
      </c>
      <c r="G10" s="12" t="n">
        <v>0.8871809414780989</v>
      </c>
      <c r="H10" s="12" t="n">
        <v>0.8933839745686921</v>
      </c>
      <c r="I10" s="12" t="n">
        <v>0.8990954842865355</v>
      </c>
      <c r="J10" s="12" t="n">
        <v>0.9096571511676463</v>
      </c>
      <c r="K10" s="12" t="n">
        <v>0.9218505803447195</v>
      </c>
      <c r="L10" s="12" t="n">
        <v>0.9317098876053208</v>
      </c>
      <c r="M10" s="12" t="n">
        <v>0.9335185857563508</v>
      </c>
      <c r="N10" s="12" t="n">
        <v>0.9356835658606389</v>
      </c>
      <c r="O10" s="12" t="n">
        <v>0.936746695473318</v>
      </c>
      <c r="P10" s="12" t="n">
        <v>0.9373607626246044</v>
      </c>
      <c r="Q10" s="12" t="n">
        <v>0.9398411151916511</v>
      </c>
      <c r="R10" s="12" t="n">
        <v>0.9646329775017344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0.1864535206795129</v>
      </c>
      <c r="C11" s="12" t="n">
        <v>0.6052217257491604</v>
      </c>
      <c r="D11" s="12" t="n">
        <v>0.6620573407012711</v>
      </c>
      <c r="E11" s="12" t="n">
        <v>0.6800865411489729</v>
      </c>
      <c r="F11" s="12" t="n">
        <v>0.7297621643241382</v>
      </c>
      <c r="G11" s="12" t="n">
        <v>0.7673521292230259</v>
      </c>
      <c r="H11" s="12" t="n">
        <v>0.7904329300262968</v>
      </c>
      <c r="I11" s="12" t="n">
        <v>0.8302768354984165</v>
      </c>
      <c r="J11" s="12" t="n">
        <v>0.8607348811964799</v>
      </c>
      <c r="K11" s="12" t="n">
        <v>0.8733701335866394</v>
      </c>
      <c r="L11" s="12" t="n">
        <v>0.8815863170355114</v>
      </c>
      <c r="M11" s="12" t="n">
        <v>0.9085131898861714</v>
      </c>
      <c r="N11" s="12" t="n">
        <v>0.953665825016876</v>
      </c>
      <c r="O11" s="12" t="n">
        <v>0.953665825016876</v>
      </c>
      <c r="P11" s="12" t="n">
        <v>0.953665825016876</v>
      </c>
      <c r="Q11" s="12" t="n">
        <v>0.953665825016876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0.1790493228889394</v>
      </c>
      <c r="C12" s="12" t="n">
        <v>0.4947278254362693</v>
      </c>
      <c r="D12" s="12" t="n">
        <v>0.672659339564226</v>
      </c>
      <c r="E12" s="12" t="n">
        <v>0.7914758703108786</v>
      </c>
      <c r="F12" s="12" t="n">
        <v>0.8650173251003559</v>
      </c>
      <c r="G12" s="12" t="n">
        <v>0.8830609685553713</v>
      </c>
      <c r="H12" s="12" t="n">
        <v>0.9262563080592732</v>
      </c>
      <c r="I12" s="12" t="n">
        <v>0.9278681685468342</v>
      </c>
      <c r="J12" s="12" t="n">
        <v>0.9310430002998277</v>
      </c>
      <c r="K12" s="12" t="n">
        <v>0.9316305729089669</v>
      </c>
      <c r="L12" s="12" t="n">
        <v>0.932102784022922</v>
      </c>
      <c r="M12" s="12" t="n">
        <v>0.9321570946049338</v>
      </c>
      <c r="N12" s="12" t="n">
        <v>0.9327500691773194</v>
      </c>
      <c r="O12" s="12" t="n">
        <v>0.9334295139549219</v>
      </c>
      <c r="P12" s="12" t="n">
        <v>0.9390171515036939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0.1780858312596732</v>
      </c>
      <c r="C13" s="12" t="n">
        <v>0.4104125909964174</v>
      </c>
      <c r="D13" s="12" t="n">
        <v>0.6398063790387581</v>
      </c>
      <c r="E13" s="12" t="n">
        <v>0.6881377689694839</v>
      </c>
      <c r="F13" s="12" t="n">
        <v>0.7451660765479134</v>
      </c>
      <c r="G13" s="12" t="n">
        <v>0.8113959896290565</v>
      </c>
      <c r="H13" s="12" t="n">
        <v>0.8912982839208846</v>
      </c>
      <c r="I13" s="12" t="n">
        <v>0.8930538313523364</v>
      </c>
      <c r="J13" s="12" t="n">
        <v>0.8971176952559914</v>
      </c>
      <c r="K13" s="12" t="n">
        <v>0.9039956801528736</v>
      </c>
      <c r="L13" s="12" t="n">
        <v>0.9087011622745846</v>
      </c>
      <c r="M13" s="12" t="n">
        <v>0.9180908453165849</v>
      </c>
      <c r="N13" s="12" t="n">
        <v>0.922821307192467</v>
      </c>
      <c r="O13" s="12" t="n">
        <v>0.925778522803322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0.1742643247323305</v>
      </c>
      <c r="C14" s="12" t="n">
        <v>0.4854227902374706</v>
      </c>
      <c r="D14" s="12" t="n">
        <v>0.6114617377289446</v>
      </c>
      <c r="E14" s="12" t="n">
        <v>0.727908072088169</v>
      </c>
      <c r="F14" s="12" t="n">
        <v>0.7352577627336007</v>
      </c>
      <c r="G14" s="12" t="n">
        <v>0.7400444998632032</v>
      </c>
      <c r="H14" s="12" t="n">
        <v>0.7478671508238403</v>
      </c>
      <c r="I14" s="12" t="n">
        <v>0.7773329499329332</v>
      </c>
      <c r="J14" s="12" t="n">
        <v>0.8018565691349916</v>
      </c>
      <c r="K14" s="12" t="n">
        <v>0.8055283861550107</v>
      </c>
      <c r="L14" s="12" t="n">
        <v>0.8294555306691982</v>
      </c>
      <c r="M14" s="12" t="n">
        <v>0.8763133869781782</v>
      </c>
      <c r="N14" s="12" t="n">
        <v>0.913537122219276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0.2566753897958131</v>
      </c>
      <c r="C15" s="12" t="n">
        <v>0.590639117206946</v>
      </c>
      <c r="D15" s="12" t="n">
        <v>0.6902778782464495</v>
      </c>
      <c r="E15" s="12" t="n">
        <v>0.7572559416879562</v>
      </c>
      <c r="F15" s="12" t="n">
        <v>0.8979725806292401</v>
      </c>
      <c r="G15" s="12" t="n">
        <v>0.8956388746079975</v>
      </c>
      <c r="H15" s="12" t="n">
        <v>0.8960804566075885</v>
      </c>
      <c r="I15" s="12" t="n">
        <v>0.8960804566075888</v>
      </c>
      <c r="J15" s="12" t="n">
        <v>0.8978109671020491</v>
      </c>
      <c r="K15" s="12" t="n">
        <v>0.8978109671020491</v>
      </c>
      <c r="L15" s="12" t="n">
        <v>0.8978251803972496</v>
      </c>
      <c r="M15" s="12" t="n">
        <v>0.8978251803972496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0.2610793007870474</v>
      </c>
      <c r="C16" s="12" t="n">
        <v>0.4681285024767937</v>
      </c>
      <c r="D16" s="12" t="n">
        <v>0.5873939953437944</v>
      </c>
      <c r="E16" s="12" t="n">
        <v>0.7479613018552425</v>
      </c>
      <c r="F16" s="12" t="n">
        <v>0.7980663563362439</v>
      </c>
      <c r="G16" s="12" t="n">
        <v>0.8113125085265726</v>
      </c>
      <c r="H16" s="12" t="n">
        <v>0.8162703913571707</v>
      </c>
      <c r="I16" s="12" t="n">
        <v>0.8186937747288512</v>
      </c>
      <c r="J16" s="12" t="n">
        <v>0.8238735215504883</v>
      </c>
      <c r="K16" s="12" t="n">
        <v>0.8746487368263265</v>
      </c>
      <c r="L16" s="12" t="n">
        <v>0.8811710478094711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0.09882196347290402</v>
      </c>
      <c r="C17" s="12" t="n">
        <v>0.2194243990331126</v>
      </c>
      <c r="D17" s="12" t="n">
        <v>0.3689068102516634</v>
      </c>
      <c r="E17" s="12" t="n">
        <v>0.540543271896652</v>
      </c>
      <c r="F17" s="12" t="n">
        <v>0.5804818924205005</v>
      </c>
      <c r="G17" s="12" t="n">
        <v>0.646318851357918</v>
      </c>
      <c r="H17" s="12" t="n">
        <v>0.7179143300423269</v>
      </c>
      <c r="I17" s="12" t="n">
        <v>0.7572064333188114</v>
      </c>
      <c r="J17" s="12" t="n">
        <v>0.7680628532247936</v>
      </c>
      <c r="K17" s="12" t="n">
        <v>0.8739175346822959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0.1132391980029095</v>
      </c>
      <c r="C18" s="12" t="n">
        <v>0.3754055761557475</v>
      </c>
      <c r="D18" s="12" t="n">
        <v>0.5306457597563055</v>
      </c>
      <c r="E18" s="12" t="n">
        <v>0.5972077953655736</v>
      </c>
      <c r="F18" s="12" t="n">
        <v>0.642142458844684</v>
      </c>
      <c r="G18" s="12" t="n">
        <v>0.7078069820279852</v>
      </c>
      <c r="H18" s="12" t="n">
        <v>0.8066138273498302</v>
      </c>
      <c r="I18" s="12" t="n">
        <v>0.8119564737255023</v>
      </c>
      <c r="J18" s="12" t="n">
        <v>0.8209652747756619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0.2262204034973231</v>
      </c>
      <c r="C19" s="12" t="n">
        <v>0.3929616985365932</v>
      </c>
      <c r="D19" s="12" t="n">
        <v>0.423426714803482</v>
      </c>
      <c r="E19" s="12" t="n">
        <v>0.477480034395471</v>
      </c>
      <c r="F19" s="12" t="n">
        <v>0.5192150240136982</v>
      </c>
      <c r="G19" s="12" t="n">
        <v>0.5750252256850832</v>
      </c>
      <c r="H19" s="12" t="n">
        <v>0.7425861448315695</v>
      </c>
      <c r="I19" s="12" t="n">
        <v>0.8102697143672726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0.1131287497372007</v>
      </c>
      <c r="C20" s="12" t="n">
        <v>0.3252582566174493</v>
      </c>
      <c r="D20" s="12" t="n">
        <v>0.4826610162876347</v>
      </c>
      <c r="E20" s="12" t="n">
        <v>0.662917065686535</v>
      </c>
      <c r="F20" s="12" t="n">
        <v>0.7010072764153261</v>
      </c>
      <c r="G20" s="12" t="n">
        <v>0.7404541478402825</v>
      </c>
      <c r="H20" s="12" t="n">
        <v>0.7845369033108536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0.08559413699764794</v>
      </c>
      <c r="C21" s="12" t="n">
        <v>0.2289181993520122</v>
      </c>
      <c r="D21" s="12" t="n">
        <v>0.4005372790292559</v>
      </c>
      <c r="E21" s="12" t="n">
        <v>0.4736249984258816</v>
      </c>
      <c r="F21" s="12" t="n">
        <v>0.5831459857762644</v>
      </c>
      <c r="G21" s="12" t="n">
        <v>0.70870542335458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0.1854916101014599</v>
      </c>
      <c r="C22" s="12" t="n">
        <v>0.4736535495773997</v>
      </c>
      <c r="D22" s="12" t="n">
        <v>0.559040975994374</v>
      </c>
      <c r="E22" s="12" t="n">
        <v>0.6266628949659216</v>
      </c>
      <c r="F22" s="12" t="n">
        <v>0.6332250044461302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0.1619322634203711</v>
      </c>
      <c r="C23" s="12" t="n">
        <v>0.3235614218041527</v>
      </c>
      <c r="D23" s="12" t="n">
        <v>0.539185879255522</v>
      </c>
      <c r="E23" s="12" t="n">
        <v>0.5768127178448001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0.1867569139998063</v>
      </c>
      <c r="C24" s="12" t="n">
        <v>0.4537015483297083</v>
      </c>
      <c r="D24" s="12" t="n">
        <v>0.4807173251649892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0.198859846081525</v>
      </c>
      <c r="C25" s="12" t="n">
        <v>0.6493394247356652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0.2901196458771974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Reported-to-Ult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0.9096014042899344</v>
      </c>
      <c r="C3" s="12" t="n">
        <v>0.9736313168072384</v>
      </c>
      <c r="D3" s="12" t="n">
        <v>0.9755145495283356</v>
      </c>
      <c r="E3" s="12" t="n">
        <v>0.9755145495283356</v>
      </c>
      <c r="F3" s="12" t="n">
        <v>0.9755145495283356</v>
      </c>
      <c r="G3" s="12" t="n">
        <v>0.9755145495283356</v>
      </c>
      <c r="H3" s="12" t="n">
        <v>0.9999965749025989</v>
      </c>
      <c r="I3" s="12" t="n">
        <v>0.9999965749025989</v>
      </c>
      <c r="J3" s="12" t="n">
        <v>0.9999965749025989</v>
      </c>
      <c r="K3" s="12" t="n">
        <v>0.9999965749025989</v>
      </c>
      <c r="L3" s="12" t="n">
        <v>0.9999965749025989</v>
      </c>
      <c r="M3" s="12" t="n">
        <v>0.9999965749025989</v>
      </c>
      <c r="N3" s="12" t="n">
        <v>0.9999965749025989</v>
      </c>
      <c r="O3" s="12" t="n">
        <v>0.9999965749025989</v>
      </c>
      <c r="P3" s="12" t="n">
        <v>0.9999965749025989</v>
      </c>
      <c r="Q3" s="12" t="n">
        <v>0.9999965749025989</v>
      </c>
      <c r="R3" s="12" t="n">
        <v>0.9999965749025989</v>
      </c>
      <c r="S3" s="12" t="n">
        <v>0.9999965749025989</v>
      </c>
      <c r="T3" s="12" t="n">
        <v>0.9999965749025989</v>
      </c>
      <c r="U3" s="12" t="n">
        <v>0.9999965749025989</v>
      </c>
      <c r="V3" s="12" t="n">
        <v>0.9999965749025989</v>
      </c>
      <c r="W3" s="12" t="n">
        <v>0.9999965749025989</v>
      </c>
      <c r="X3" s="12" t="n">
        <v>0.9999965749025989</v>
      </c>
      <c r="Y3" s="12" t="n">
        <v>0.9999965749025989</v>
      </c>
    </row>
    <row r="4">
      <c r="A4" s="9" t="n">
        <v>2002</v>
      </c>
      <c r="B4" s="12" t="n">
        <v>0.9412990120881144</v>
      </c>
      <c r="C4" s="12" t="n">
        <v>0.9736877952997485</v>
      </c>
      <c r="D4" s="12" t="n">
        <v>0.9736877952997485</v>
      </c>
      <c r="E4" s="12" t="n">
        <v>0.9736877952997485</v>
      </c>
      <c r="F4" s="12" t="n">
        <v>0.9736877952997485</v>
      </c>
      <c r="G4" s="12" t="n">
        <v>1.000003681659201</v>
      </c>
      <c r="H4" s="12" t="n">
        <v>1.000003681659201</v>
      </c>
      <c r="I4" s="12" t="n">
        <v>1.000003681659201</v>
      </c>
      <c r="J4" s="12" t="n">
        <v>1.000003681659201</v>
      </c>
      <c r="K4" s="12" t="n">
        <v>1.000003681659201</v>
      </c>
      <c r="L4" s="12" t="n">
        <v>1.000003681659201</v>
      </c>
      <c r="M4" s="12" t="n">
        <v>1.000003681659201</v>
      </c>
      <c r="N4" s="12" t="n">
        <v>1.000003681659201</v>
      </c>
      <c r="O4" s="12" t="n">
        <v>1.000003681659201</v>
      </c>
      <c r="P4" s="12" t="n">
        <v>1.000003681659201</v>
      </c>
      <c r="Q4" s="12" t="n">
        <v>1.000003681659201</v>
      </c>
      <c r="R4" s="12" t="n">
        <v>1.000003681659201</v>
      </c>
      <c r="S4" s="12" t="n">
        <v>1.000003681659201</v>
      </c>
      <c r="T4" s="12" t="n">
        <v>1.000003681659201</v>
      </c>
      <c r="U4" s="12" t="n">
        <v>1.000003681659201</v>
      </c>
      <c r="V4" s="12" t="n">
        <v>1.000003681659201</v>
      </c>
      <c r="W4" s="12" t="n">
        <v>1.000003681659201</v>
      </c>
      <c r="X4" s="12" t="n">
        <v>1.000003681659201</v>
      </c>
      <c r="Y4" s="5" t="n"/>
    </row>
    <row r="5">
      <c r="A5" s="9" t="n">
        <v>2003</v>
      </c>
      <c r="B5" s="12" t="n">
        <v>0.9689044398919486</v>
      </c>
      <c r="C5" s="12" t="n">
        <v>1.002397432875868</v>
      </c>
      <c r="D5" s="12" t="n">
        <v>1.002397432875868</v>
      </c>
      <c r="E5" s="12" t="n">
        <v>1.002397432875868</v>
      </c>
      <c r="F5" s="12" t="n">
        <v>0.997612719592451</v>
      </c>
      <c r="G5" s="12" t="n">
        <v>0.997612719592451</v>
      </c>
      <c r="H5" s="12" t="n">
        <v>1.000005076234159</v>
      </c>
      <c r="I5" s="12" t="n">
        <v>1.000005076234159</v>
      </c>
      <c r="J5" s="12" t="n">
        <v>1.000005076234159</v>
      </c>
      <c r="K5" s="12" t="n">
        <v>1.000005076234159</v>
      </c>
      <c r="L5" s="12" t="n">
        <v>1.000005076234159</v>
      </c>
      <c r="M5" s="12" t="n">
        <v>1.000005076234159</v>
      </c>
      <c r="N5" s="12" t="n">
        <v>1.000005076234159</v>
      </c>
      <c r="O5" s="12" t="n">
        <v>1.000005076234159</v>
      </c>
      <c r="P5" s="12" t="n">
        <v>1.000005076234159</v>
      </c>
      <c r="Q5" s="12" t="n">
        <v>1.000005076234159</v>
      </c>
      <c r="R5" s="12" t="n">
        <v>1.000005076234159</v>
      </c>
      <c r="S5" s="12" t="n">
        <v>1.000005076234159</v>
      </c>
      <c r="T5" s="12" t="n">
        <v>1.000005076234159</v>
      </c>
      <c r="U5" s="12" t="n">
        <v>1.000005076234159</v>
      </c>
      <c r="V5" s="12" t="n">
        <v>1.000005076234159</v>
      </c>
      <c r="W5" s="12" t="n">
        <v>1.000005076234159</v>
      </c>
      <c r="X5" s="5" t="n"/>
      <c r="Y5" s="5" t="n"/>
    </row>
    <row r="6">
      <c r="A6" s="9" t="n">
        <v>2004</v>
      </c>
      <c r="B6" s="12" t="n">
        <v>0.9383913483233488</v>
      </c>
      <c r="C6" s="12" t="n">
        <v>0.9938324126663037</v>
      </c>
      <c r="D6" s="12" t="n">
        <v>0.9938324126663037</v>
      </c>
      <c r="E6" s="12" t="n">
        <v>0.9979391581731892</v>
      </c>
      <c r="F6" s="12" t="n">
        <v>0.999992530926632</v>
      </c>
      <c r="G6" s="12" t="n">
        <v>0.999992530926632</v>
      </c>
      <c r="H6" s="12" t="n">
        <v>0.999992530926632</v>
      </c>
      <c r="I6" s="12" t="n">
        <v>0.999992530926632</v>
      </c>
      <c r="J6" s="12" t="n">
        <v>0.999992530926632</v>
      </c>
      <c r="K6" s="12" t="n">
        <v>0.999992530926632</v>
      </c>
      <c r="L6" s="12" t="n">
        <v>0.999992530926632</v>
      </c>
      <c r="M6" s="12" t="n">
        <v>0.999992530926632</v>
      </c>
      <c r="N6" s="12" t="n">
        <v>0.999992530926632</v>
      </c>
      <c r="O6" s="12" t="n">
        <v>0.999992530926632</v>
      </c>
      <c r="P6" s="12" t="n">
        <v>0.999992530926632</v>
      </c>
      <c r="Q6" s="12" t="n">
        <v>0.999992530926632</v>
      </c>
      <c r="R6" s="12" t="n">
        <v>0.999992530926632</v>
      </c>
      <c r="S6" s="12" t="n">
        <v>0.999992530926632</v>
      </c>
      <c r="T6" s="12" t="n">
        <v>0.999992530926632</v>
      </c>
      <c r="U6" s="12" t="n">
        <v>0.999992530926632</v>
      </c>
      <c r="V6" s="12" t="n">
        <v>0.999992530926632</v>
      </c>
      <c r="W6" s="5" t="n"/>
      <c r="X6" s="5" t="n"/>
      <c r="Y6" s="5" t="n"/>
    </row>
    <row r="7">
      <c r="A7" s="9" t="n">
        <v>2005</v>
      </c>
      <c r="B7" s="12" t="n">
        <v>0.9773595496858092</v>
      </c>
      <c r="C7" s="12" t="n">
        <v>0.9999931392574805</v>
      </c>
      <c r="D7" s="12" t="n">
        <v>1.002050738309451</v>
      </c>
      <c r="E7" s="12" t="n">
        <v>0.9999931392574805</v>
      </c>
      <c r="F7" s="12" t="n">
        <v>0.9999931392574805</v>
      </c>
      <c r="G7" s="12" t="n">
        <v>0.9999931392574805</v>
      </c>
      <c r="H7" s="12" t="n">
        <v>0.9999931392574805</v>
      </c>
      <c r="I7" s="12" t="n">
        <v>0.9999931392574805</v>
      </c>
      <c r="J7" s="12" t="n">
        <v>0.9999931392574805</v>
      </c>
      <c r="K7" s="12" t="n">
        <v>0.9999931392574805</v>
      </c>
      <c r="L7" s="12" t="n">
        <v>0.9999931392574805</v>
      </c>
      <c r="M7" s="12" t="n">
        <v>0.9999931392574805</v>
      </c>
      <c r="N7" s="12" t="n">
        <v>0.9999931392574805</v>
      </c>
      <c r="O7" s="12" t="n">
        <v>0.9999931392574805</v>
      </c>
      <c r="P7" s="12" t="n">
        <v>0.9999931392574805</v>
      </c>
      <c r="Q7" s="12" t="n">
        <v>0.9999931392574805</v>
      </c>
      <c r="R7" s="12" t="n">
        <v>0.9999931392574805</v>
      </c>
      <c r="S7" s="12" t="n">
        <v>0.9999931392574805</v>
      </c>
      <c r="T7" s="12" t="n">
        <v>0.9999931392574805</v>
      </c>
      <c r="U7" s="12" t="n">
        <v>0.9999931392574805</v>
      </c>
      <c r="V7" s="5" t="n"/>
      <c r="W7" s="5" t="n"/>
      <c r="X7" s="5" t="n"/>
      <c r="Y7" s="5" t="n"/>
    </row>
    <row r="8">
      <c r="A8" s="9" t="n">
        <v>2006</v>
      </c>
      <c r="B8" s="12" t="n">
        <v>0.9628631731291082</v>
      </c>
      <c r="C8" s="12" t="n">
        <v>0.999998391927476</v>
      </c>
      <c r="D8" s="12" t="n">
        <v>0.999998391927476</v>
      </c>
      <c r="E8" s="12" t="n">
        <v>0.999998391927476</v>
      </c>
      <c r="F8" s="12" t="n">
        <v>0.999998391927476</v>
      </c>
      <c r="G8" s="12" t="n">
        <v>0.999998391927476</v>
      </c>
      <c r="H8" s="12" t="n">
        <v>0.999998391927476</v>
      </c>
      <c r="I8" s="12" t="n">
        <v>0.999998391927476</v>
      </c>
      <c r="J8" s="12" t="n">
        <v>0.999998391927476</v>
      </c>
      <c r="K8" s="12" t="n">
        <v>0.999998391927476</v>
      </c>
      <c r="L8" s="12" t="n">
        <v>0.999998391927476</v>
      </c>
      <c r="M8" s="12" t="n">
        <v>0.999998391927476</v>
      </c>
      <c r="N8" s="12" t="n">
        <v>0.999998391927476</v>
      </c>
      <c r="O8" s="12" t="n">
        <v>0.999998391927476</v>
      </c>
      <c r="P8" s="12" t="n">
        <v>0.999998391927476</v>
      </c>
      <c r="Q8" s="12" t="n">
        <v>0.999998391927476</v>
      </c>
      <c r="R8" s="12" t="n">
        <v>0.999998391927476</v>
      </c>
      <c r="S8" s="12" t="n">
        <v>0.999998391927476</v>
      </c>
      <c r="T8" s="12" t="n">
        <v>0.999998391927476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0.9584399009194342</v>
      </c>
      <c r="C9" s="12" t="n">
        <v>0.999990763676057</v>
      </c>
      <c r="D9" s="12" t="n">
        <v>0.999990763676057</v>
      </c>
      <c r="E9" s="12" t="n">
        <v>0.999990763676057</v>
      </c>
      <c r="F9" s="12" t="n">
        <v>0.999990763676057</v>
      </c>
      <c r="G9" s="12" t="n">
        <v>0.999990763676057</v>
      </c>
      <c r="H9" s="12" t="n">
        <v>0.999990763676057</v>
      </c>
      <c r="I9" s="12" t="n">
        <v>0.999990763676057</v>
      </c>
      <c r="J9" s="12" t="n">
        <v>0.999990763676057</v>
      </c>
      <c r="K9" s="12" t="n">
        <v>0.999990763676057</v>
      </c>
      <c r="L9" s="12" t="n">
        <v>0.999990763676057</v>
      </c>
      <c r="M9" s="12" t="n">
        <v>0.999990763676057</v>
      </c>
      <c r="N9" s="12" t="n">
        <v>0.999990763676057</v>
      </c>
      <c r="O9" s="12" t="n">
        <v>0.999990763676057</v>
      </c>
      <c r="P9" s="12" t="n">
        <v>0.999990763676057</v>
      </c>
      <c r="Q9" s="12" t="n">
        <v>0.999990763676057</v>
      </c>
      <c r="R9" s="12" t="n">
        <v>0.999990763676057</v>
      </c>
      <c r="S9" s="12" t="n">
        <v>0.999990763676057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0.9357441110231909</v>
      </c>
      <c r="C10" s="12" t="n">
        <v>0.995985148213525</v>
      </c>
      <c r="D10" s="12" t="n">
        <v>1.000001217359547</v>
      </c>
      <c r="E10" s="12" t="n">
        <v>1.000001217359547</v>
      </c>
      <c r="F10" s="12" t="n">
        <v>1.000001217359547</v>
      </c>
      <c r="G10" s="12" t="n">
        <v>1.000001217359547</v>
      </c>
      <c r="H10" s="12" t="n">
        <v>1.000001217359547</v>
      </c>
      <c r="I10" s="12" t="n">
        <v>1.000001217359547</v>
      </c>
      <c r="J10" s="12" t="n">
        <v>1.000001217359547</v>
      </c>
      <c r="K10" s="12" t="n">
        <v>1.000001217359547</v>
      </c>
      <c r="L10" s="12" t="n">
        <v>1.000001217359547</v>
      </c>
      <c r="M10" s="12" t="n">
        <v>1.000001217359547</v>
      </c>
      <c r="N10" s="12" t="n">
        <v>1.000001217359547</v>
      </c>
      <c r="O10" s="12" t="n">
        <v>1.000001217359547</v>
      </c>
      <c r="P10" s="12" t="n">
        <v>1.000001217359547</v>
      </c>
      <c r="Q10" s="12" t="n">
        <v>1.000001217359547</v>
      </c>
      <c r="R10" s="12" t="n">
        <v>1.000001217359547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0.9508267594260512</v>
      </c>
      <c r="C11" s="12" t="n">
        <v>0.9959090626747003</v>
      </c>
      <c r="D11" s="12" t="n">
        <v>1.000007453879123</v>
      </c>
      <c r="E11" s="12" t="n">
        <v>1.000007453879123</v>
      </c>
      <c r="F11" s="12" t="n">
        <v>1.000007453879123</v>
      </c>
      <c r="G11" s="12" t="n">
        <v>1.000007453879123</v>
      </c>
      <c r="H11" s="12" t="n">
        <v>1.000007453879123</v>
      </c>
      <c r="I11" s="12" t="n">
        <v>1.000007453879123</v>
      </c>
      <c r="J11" s="12" t="n">
        <v>1.000007453879123</v>
      </c>
      <c r="K11" s="12" t="n">
        <v>1.000007453879123</v>
      </c>
      <c r="L11" s="12" t="n">
        <v>1.000007453879123</v>
      </c>
      <c r="M11" s="12" t="n">
        <v>1.000007453879123</v>
      </c>
      <c r="N11" s="12" t="n">
        <v>1.000007453879123</v>
      </c>
      <c r="O11" s="12" t="n">
        <v>1.000007453879123</v>
      </c>
      <c r="P11" s="12" t="n">
        <v>1.000007453879123</v>
      </c>
      <c r="Q11" s="12" t="n">
        <v>1.000007453879123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0.9563022366097707</v>
      </c>
      <c r="C12" s="12" t="n">
        <v>0.999991171277222</v>
      </c>
      <c r="D12" s="12" t="n">
        <v>0.999991171277222</v>
      </c>
      <c r="E12" s="12" t="n">
        <v>0.999991171277222</v>
      </c>
      <c r="F12" s="12" t="n">
        <v>0.999991171277222</v>
      </c>
      <c r="G12" s="12" t="n">
        <v>0.999991171277222</v>
      </c>
      <c r="H12" s="12" t="n">
        <v>0.999991171277222</v>
      </c>
      <c r="I12" s="12" t="n">
        <v>0.999991171277222</v>
      </c>
      <c r="J12" s="12" t="n">
        <v>0.999991171277222</v>
      </c>
      <c r="K12" s="12" t="n">
        <v>0.999991171277222</v>
      </c>
      <c r="L12" s="12" t="n">
        <v>0.999991171277222</v>
      </c>
      <c r="M12" s="12" t="n">
        <v>0.999991171277222</v>
      </c>
      <c r="N12" s="12" t="n">
        <v>0.999991171277222</v>
      </c>
      <c r="O12" s="12" t="n">
        <v>0.999991171277222</v>
      </c>
      <c r="P12" s="12" t="n">
        <v>0.999991171277222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0.9999861167351189</v>
      </c>
      <c r="C13" s="12" t="n">
        <v>0.9999861167351189</v>
      </c>
      <c r="D13" s="12" t="n">
        <v>0.9999861167351189</v>
      </c>
      <c r="E13" s="12" t="n">
        <v>0.9999861167351189</v>
      </c>
      <c r="F13" s="12" t="n">
        <v>0.9999861167351189</v>
      </c>
      <c r="G13" s="12" t="n">
        <v>0.9999861167351189</v>
      </c>
      <c r="H13" s="12" t="n">
        <v>0.9999861167351189</v>
      </c>
      <c r="I13" s="12" t="n">
        <v>0.9999861167351189</v>
      </c>
      <c r="J13" s="12" t="n">
        <v>0.9999861167351189</v>
      </c>
      <c r="K13" s="12" t="n">
        <v>0.9999861167351189</v>
      </c>
      <c r="L13" s="12" t="n">
        <v>0.9999861167351189</v>
      </c>
      <c r="M13" s="12" t="n">
        <v>0.9999861167351189</v>
      </c>
      <c r="N13" s="12" t="n">
        <v>0.9999861167351189</v>
      </c>
      <c r="O13" s="12" t="n">
        <v>0.9999861167351189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0.9393968156766689</v>
      </c>
      <c r="C14" s="12" t="n">
        <v>1.000003061849357</v>
      </c>
      <c r="D14" s="12" t="n">
        <v>1.000003061849357</v>
      </c>
      <c r="E14" s="12" t="n">
        <v>1.000003061849357</v>
      </c>
      <c r="F14" s="12" t="n">
        <v>1.000003061849357</v>
      </c>
      <c r="G14" s="12" t="n">
        <v>1.000003061849357</v>
      </c>
      <c r="H14" s="12" t="n">
        <v>1.000003061849357</v>
      </c>
      <c r="I14" s="12" t="n">
        <v>1.000003061849357</v>
      </c>
      <c r="J14" s="12" t="n">
        <v>1.000003061849357</v>
      </c>
      <c r="K14" s="12" t="n">
        <v>1.000003061849357</v>
      </c>
      <c r="L14" s="12" t="n">
        <v>1.000003061849357</v>
      </c>
      <c r="M14" s="12" t="n">
        <v>1.000003061849357</v>
      </c>
      <c r="N14" s="12" t="n">
        <v>1.000003061849357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0.9683311044817063</v>
      </c>
      <c r="C15" s="12" t="n">
        <v>0.9954805747008196</v>
      </c>
      <c r="D15" s="12" t="n">
        <v>0.9954805747008196</v>
      </c>
      <c r="E15" s="12" t="n">
        <v>1.000005486404005</v>
      </c>
      <c r="F15" s="12" t="n">
        <v>1.000005486404005</v>
      </c>
      <c r="G15" s="12" t="n">
        <v>1.000005486404005</v>
      </c>
      <c r="H15" s="12" t="n">
        <v>1.000005486404005</v>
      </c>
      <c r="I15" s="12" t="n">
        <v>1.000005486404005</v>
      </c>
      <c r="J15" s="12" t="n">
        <v>1.000005486404005</v>
      </c>
      <c r="K15" s="12" t="n">
        <v>1.000005486404005</v>
      </c>
      <c r="L15" s="12" t="n">
        <v>1.000005486404005</v>
      </c>
      <c r="M15" s="12" t="n">
        <v>1.000005486404005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0.953627377762158</v>
      </c>
      <c r="C16" s="12" t="n">
        <v>0.9971058296358125</v>
      </c>
      <c r="D16" s="12" t="n">
        <v>1.000004393094056</v>
      </c>
      <c r="E16" s="12" t="n">
        <v>1.000004393094056</v>
      </c>
      <c r="F16" s="12" t="n">
        <v>1.000004393094056</v>
      </c>
      <c r="G16" s="12" t="n">
        <v>1.000004393094056</v>
      </c>
      <c r="H16" s="12" t="n">
        <v>1.000004393094056</v>
      </c>
      <c r="I16" s="12" t="n">
        <v>1.000004393094056</v>
      </c>
      <c r="J16" s="12" t="n">
        <v>1.000004393094056</v>
      </c>
      <c r="K16" s="12" t="n">
        <v>1.000004393094056</v>
      </c>
      <c r="L16" s="12" t="n">
        <v>1.000004393094056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0.9644234110106034</v>
      </c>
      <c r="C17" s="12" t="n">
        <v>0.996043850715869</v>
      </c>
      <c r="D17" s="12" t="n">
        <v>1.011854070568502</v>
      </c>
      <c r="E17" s="12" t="n">
        <v>1.011854070568502</v>
      </c>
      <c r="F17" s="12" t="n">
        <v>1.011854070568502</v>
      </c>
      <c r="G17" s="12" t="n">
        <v>1.011854070568502</v>
      </c>
      <c r="H17" s="12" t="n">
        <v>1.011854070568502</v>
      </c>
      <c r="I17" s="12" t="n">
        <v>1.011854070568502</v>
      </c>
      <c r="J17" s="12" t="n">
        <v>1.011854070568502</v>
      </c>
      <c r="K17" s="12" t="n">
        <v>0.9999964056790271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0.8871829612522454</v>
      </c>
      <c r="C18" s="12" t="n">
        <v>0.958293045932769</v>
      </c>
      <c r="D18" s="12" t="n">
        <v>1.002313574544522</v>
      </c>
      <c r="E18" s="12" t="n">
        <v>1.002313574544522</v>
      </c>
      <c r="F18" s="12" t="n">
        <v>1.002313574544522</v>
      </c>
      <c r="G18" s="12" t="n">
        <v>1.002313574544522</v>
      </c>
      <c r="H18" s="12" t="n">
        <v>1.002313574544522</v>
      </c>
      <c r="I18" s="12" t="n">
        <v>1.002313574544522</v>
      </c>
      <c r="J18" s="12" t="n">
        <v>1.002313574544522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0.8914198907527716</v>
      </c>
      <c r="C19" s="12" t="n">
        <v>1.002314231229193</v>
      </c>
      <c r="D19" s="12" t="n">
        <v>1.006579398170594</v>
      </c>
      <c r="E19" s="12" t="n">
        <v>1.010844565111995</v>
      </c>
      <c r="F19" s="12" t="n">
        <v>1.006579398170594</v>
      </c>
      <c r="G19" s="12" t="n">
        <v>1.006579398170594</v>
      </c>
      <c r="H19" s="12" t="n">
        <v>1.006579398170594</v>
      </c>
      <c r="I19" s="12" t="n">
        <v>1.002314231229193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0.8893168389955688</v>
      </c>
      <c r="C20" s="12" t="n">
        <v>0.9989586410635156</v>
      </c>
      <c r="D20" s="12" t="n">
        <v>0.9989586410635156</v>
      </c>
      <c r="E20" s="12" t="n">
        <v>0.9989586410635156</v>
      </c>
      <c r="F20" s="12" t="n">
        <v>1.003019448547514</v>
      </c>
      <c r="G20" s="12" t="n">
        <v>1.003019448547514</v>
      </c>
      <c r="H20" s="12" t="n">
        <v>1.003019448547514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0.8808683457676559</v>
      </c>
      <c r="C21" s="12" t="n">
        <v>1.006706680877321</v>
      </c>
      <c r="D21" s="12" t="n">
        <v>1.006706680877321</v>
      </c>
      <c r="E21" s="12" t="n">
        <v>1.006706680877321</v>
      </c>
      <c r="F21" s="12" t="n">
        <v>1.006706680877321</v>
      </c>
      <c r="G21" s="12" t="n">
        <v>1.003005553374095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0.9466540335679481</v>
      </c>
      <c r="C22" s="12" t="n">
        <v>1.00381050351922</v>
      </c>
      <c r="D22" s="12" t="n">
        <v>1.00381050351922</v>
      </c>
      <c r="E22" s="12" t="n">
        <v>1.00381050351922</v>
      </c>
      <c r="F22" s="12" t="n">
        <v>1.00381050351922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0.8793318119580102</v>
      </c>
      <c r="C23" s="12" t="n">
        <v>1.003803438308231</v>
      </c>
      <c r="D23" s="12" t="n">
        <v>1.003803438308231</v>
      </c>
      <c r="E23" s="12" t="n">
        <v>1.003803438308231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0.8787273827941078</v>
      </c>
      <c r="C24" s="12" t="n">
        <v>1.002991861169032</v>
      </c>
      <c r="D24" s="12" t="n">
        <v>1.002991861169032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0.8988095159751243</v>
      </c>
      <c r="C25" s="12" t="n">
        <v>1.003019314928762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0.8948942566504703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IBNR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2486827.9408</v>
      </c>
      <c r="C3" s="12" t="n">
        <v>1499755.2644</v>
      </c>
      <c r="D3" s="12" t="n">
        <v>1151871.7556</v>
      </c>
      <c r="E3" s="12" t="n">
        <v>960718.4583999997</v>
      </c>
      <c r="F3" s="12" t="n">
        <v>803490.7575999997</v>
      </c>
      <c r="G3" s="12" t="n">
        <v>651171.4541559997</v>
      </c>
      <c r="H3" s="12" t="n">
        <v>656826.0457239994</v>
      </c>
      <c r="I3" s="12" t="n">
        <v>634468.6831359994</v>
      </c>
      <c r="J3" s="12" t="n">
        <v>616852.0231359997</v>
      </c>
      <c r="K3" s="12" t="n">
        <v>596325.1304919999</v>
      </c>
      <c r="L3" s="12" t="n">
        <v>543623.2360039996</v>
      </c>
      <c r="M3" s="12" t="n">
        <v>491398.0997999995</v>
      </c>
      <c r="N3" s="12" t="n">
        <v>494168.5999999996</v>
      </c>
      <c r="O3" s="12" t="n">
        <v>435616.9846919999</v>
      </c>
      <c r="P3" s="12" t="n">
        <v>390991.7151999995</v>
      </c>
      <c r="Q3" s="12" t="n">
        <v>249382.7999999998</v>
      </c>
      <c r="R3" s="12" t="n">
        <v>183121.7251999998</v>
      </c>
      <c r="S3" s="12" t="n">
        <v>94360.4411119991</v>
      </c>
      <c r="T3" s="12" t="n">
        <v>41163.22156799957</v>
      </c>
      <c r="U3" s="12" t="n">
        <v>41163.22156799957</v>
      </c>
      <c r="V3" s="12" t="n">
        <v>-29435.37843200006</v>
      </c>
      <c r="W3" s="12" t="n">
        <v>-72322.37843200006</v>
      </c>
      <c r="X3" s="12" t="n">
        <v>-72322.37843200006</v>
      </c>
      <c r="Y3" s="12" t="n">
        <v>-109614.0896880003</v>
      </c>
    </row>
    <row r="4">
      <c r="A4" s="9" t="n">
        <v>2002</v>
      </c>
      <c r="B4" s="12" t="n">
        <v>1288998.4584</v>
      </c>
      <c r="C4" s="12" t="n">
        <v>889629.436</v>
      </c>
      <c r="D4" s="12" t="n">
        <v>874014.6092000001</v>
      </c>
      <c r="E4" s="12" t="n">
        <v>612592.612</v>
      </c>
      <c r="F4" s="12" t="n">
        <v>591440.94154</v>
      </c>
      <c r="G4" s="12" t="n">
        <v>489543.527704</v>
      </c>
      <c r="H4" s="12" t="n">
        <v>456735.6588960001</v>
      </c>
      <c r="I4" s="12" t="n">
        <v>456370.1956760001</v>
      </c>
      <c r="J4" s="12" t="n">
        <v>417797.390348</v>
      </c>
      <c r="K4" s="12" t="n">
        <v>400460.8154479999</v>
      </c>
      <c r="L4" s="12" t="n">
        <v>381834.727428</v>
      </c>
      <c r="M4" s="12" t="n">
        <v>319595.226</v>
      </c>
      <c r="N4" s="12" t="n">
        <v>317079.3294239999</v>
      </c>
      <c r="O4" s="12" t="n">
        <v>240889.0035999999</v>
      </c>
      <c r="P4" s="12" t="n">
        <v>188797.7936</v>
      </c>
      <c r="Q4" s="12" t="n">
        <v>158952.4003999999</v>
      </c>
      <c r="R4" s="12" t="n">
        <v>50092.169948</v>
      </c>
      <c r="S4" s="12" t="n">
        <v>47631.18192799995</v>
      </c>
      <c r="T4" s="12" t="n">
        <v>47631.18192799995</v>
      </c>
      <c r="U4" s="12" t="n">
        <v>-44255.83868000004</v>
      </c>
      <c r="V4" s="12" t="n">
        <v>-30219.71534000011</v>
      </c>
      <c r="W4" s="12" t="n">
        <v>-110896.8263199991</v>
      </c>
      <c r="X4" s="12" t="n">
        <v>-110896.8263199991</v>
      </c>
      <c r="Y4" s="5" t="n"/>
    </row>
    <row r="5">
      <c r="A5" s="9" t="n">
        <v>2003</v>
      </c>
      <c r="B5" s="12" t="n">
        <v>795885.0803999999</v>
      </c>
      <c r="C5" s="12" t="n">
        <v>346554.6823999998</v>
      </c>
      <c r="D5" s="12" t="n">
        <v>226318.0087999997</v>
      </c>
      <c r="E5" s="12" t="n">
        <v>-71682.73297200026</v>
      </c>
      <c r="F5" s="12" t="n">
        <v>101615.3997239997</v>
      </c>
      <c r="G5" s="12" t="n">
        <v>-13975.91238800017</v>
      </c>
      <c r="H5" s="12" t="n">
        <v>-8947.061943999957</v>
      </c>
      <c r="I5" s="12" t="n">
        <v>4748.023971999995</v>
      </c>
      <c r="J5" s="12" t="n">
        <v>8108.517331999727</v>
      </c>
      <c r="K5" s="12" t="n">
        <v>4163.573131999699</v>
      </c>
      <c r="L5" s="12" t="n">
        <v>7925.528399999719</v>
      </c>
      <c r="M5" s="12" t="n">
        <v>21829.21668399987</v>
      </c>
      <c r="N5" s="12" t="n">
        <v>30918.2387999997</v>
      </c>
      <c r="O5" s="12" t="n">
        <v>30918.33117199992</v>
      </c>
      <c r="P5" s="12" t="n">
        <v>30918.33117199992</v>
      </c>
      <c r="Q5" s="12" t="n">
        <v>30918.33117199992</v>
      </c>
      <c r="R5" s="12" t="n">
        <v>27156.86415600078</v>
      </c>
      <c r="S5" s="12" t="n">
        <v>27156.86415600055</v>
      </c>
      <c r="T5" s="12" t="n">
        <v>27156.86415600055</v>
      </c>
      <c r="U5" s="12" t="n">
        <v>27156.86415600055</v>
      </c>
      <c r="V5" s="12" t="n">
        <v>27156.86415600055</v>
      </c>
      <c r="W5" s="12" t="n">
        <v>27156.86415600055</v>
      </c>
      <c r="X5" s="5" t="n"/>
      <c r="Y5" s="5" t="n"/>
    </row>
    <row r="6">
      <c r="A6" s="9" t="n">
        <v>2004</v>
      </c>
      <c r="B6" s="12" t="n">
        <v>439836.7743999999</v>
      </c>
      <c r="C6" s="12" t="n">
        <v>339745.1144</v>
      </c>
      <c r="D6" s="12" t="n">
        <v>255680.2603200014</v>
      </c>
      <c r="E6" s="12" t="n">
        <v>213456.8871599999</v>
      </c>
      <c r="F6" s="12" t="n">
        <v>91683.01151999994</v>
      </c>
      <c r="G6" s="12" t="n">
        <v>85826.52115199994</v>
      </c>
      <c r="H6" s="12" t="n">
        <v>66244.97675199993</v>
      </c>
      <c r="I6" s="12" t="n">
        <v>57941.92159199994</v>
      </c>
      <c r="J6" s="12" t="n">
        <v>32078.05190399988</v>
      </c>
      <c r="K6" s="12" t="n">
        <v>42026.19959999993</v>
      </c>
      <c r="L6" s="12" t="n">
        <v>16528.96757599991</v>
      </c>
      <c r="M6" s="12" t="n">
        <v>29301.29679999989</v>
      </c>
      <c r="N6" s="12" t="n">
        <v>28851.31319999998</v>
      </c>
      <c r="O6" s="12" t="n">
        <v>28526.69159999979</v>
      </c>
      <c r="P6" s="12" t="n">
        <v>28527.31181199988</v>
      </c>
      <c r="Q6" s="12" t="n">
        <v>24245.90919999965</v>
      </c>
      <c r="R6" s="12" t="n">
        <v>24245.90919999965</v>
      </c>
      <c r="S6" s="12" t="n">
        <v>24245.90919999965</v>
      </c>
      <c r="T6" s="12" t="n">
        <v>24245.90919999965</v>
      </c>
      <c r="U6" s="12" t="n">
        <v>24212.25939999963</v>
      </c>
      <c r="V6" s="12" t="n">
        <v>24212.25939999963</v>
      </c>
      <c r="W6" s="5" t="n"/>
      <c r="X6" s="5" t="n"/>
      <c r="Y6" s="5" t="n"/>
    </row>
    <row r="7">
      <c r="A7" s="9" t="n">
        <v>2005</v>
      </c>
      <c r="B7" s="12" t="n">
        <v>1053184.3992</v>
      </c>
      <c r="C7" s="12" t="n">
        <v>674653.9985520002</v>
      </c>
      <c r="D7" s="12" t="n">
        <v>523467.8884119999</v>
      </c>
      <c r="E7" s="12" t="n">
        <v>567094.3526640001</v>
      </c>
      <c r="F7" s="12" t="n">
        <v>502591.8032160001</v>
      </c>
      <c r="G7" s="12" t="n">
        <v>473197.5152760001</v>
      </c>
      <c r="H7" s="12" t="n">
        <v>435962.1509399998</v>
      </c>
      <c r="I7" s="12" t="n">
        <v>425417.4252800001</v>
      </c>
      <c r="J7" s="12" t="n">
        <v>401170.0392</v>
      </c>
      <c r="K7" s="12" t="n">
        <v>349248.965228</v>
      </c>
      <c r="L7" s="12" t="n">
        <v>326351.3584</v>
      </c>
      <c r="M7" s="12" t="n">
        <v>90338.2592000002</v>
      </c>
      <c r="N7" s="12" t="n">
        <v>90326.38279999979</v>
      </c>
      <c r="O7" s="12" t="n">
        <v>131127.0028280001</v>
      </c>
      <c r="P7" s="12" t="n">
        <v>109509.2100600004</v>
      </c>
      <c r="Q7" s="12" t="n">
        <v>94170.49636400025</v>
      </c>
      <c r="R7" s="12" t="n">
        <v>60726.81788400002</v>
      </c>
      <c r="S7" s="12" t="n">
        <v>60726.81788400002</v>
      </c>
      <c r="T7" s="12" t="n">
        <v>60726.81788400002</v>
      </c>
      <c r="U7" s="12" t="n">
        <v>60726.81788400002</v>
      </c>
      <c r="V7" s="5" t="n"/>
      <c r="W7" s="5" t="n"/>
      <c r="X7" s="5" t="n"/>
      <c r="Y7" s="5" t="n"/>
    </row>
    <row r="8">
      <c r="A8" s="9" t="n">
        <v>2006</v>
      </c>
      <c r="B8" s="12" t="n">
        <v>739510.9647280001</v>
      </c>
      <c r="C8" s="12" t="n">
        <v>347396.3509559999</v>
      </c>
      <c r="D8" s="12" t="n">
        <v>498859.2076079999</v>
      </c>
      <c r="E8" s="12" t="n">
        <v>428960.0483919999</v>
      </c>
      <c r="F8" s="12" t="n">
        <v>419255.789168</v>
      </c>
      <c r="G8" s="12" t="n">
        <v>364463.05446</v>
      </c>
      <c r="H8" s="12" t="n">
        <v>314180.1979079999</v>
      </c>
      <c r="I8" s="12" t="n">
        <v>336118.2444</v>
      </c>
      <c r="J8" s="12" t="n">
        <v>305657.086252</v>
      </c>
      <c r="K8" s="12" t="n">
        <v>261130.6547999999</v>
      </c>
      <c r="L8" s="12" t="n">
        <v>157644.9835999999</v>
      </c>
      <c r="M8" s="12" t="n">
        <v>76618.90439999988</v>
      </c>
      <c r="N8" s="12" t="n">
        <v>37301.96343599982</v>
      </c>
      <c r="O8" s="12" t="n">
        <v>21492.12614799943</v>
      </c>
      <c r="P8" s="12" t="n">
        <v>20634.38614799944</v>
      </c>
      <c r="Q8" s="12" t="n">
        <v>3479.586147999391</v>
      </c>
      <c r="R8" s="12" t="n">
        <v>-1139.013852000469</v>
      </c>
      <c r="S8" s="12" t="n">
        <v>-12140.49266000045</v>
      </c>
      <c r="T8" s="12" t="n">
        <v>-12140.49266000045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3231273.388915999</v>
      </c>
      <c r="C9" s="12" t="n">
        <v>3078167.709439999</v>
      </c>
      <c r="D9" s="12" t="n">
        <v>2910823.493179999</v>
      </c>
      <c r="E9" s="12" t="n">
        <v>2664501.428055999</v>
      </c>
      <c r="F9" s="12" t="n">
        <v>2401738.809627999</v>
      </c>
      <c r="G9" s="12" t="n">
        <v>1906856.492623999</v>
      </c>
      <c r="H9" s="12" t="n">
        <v>1712895.825599999</v>
      </c>
      <c r="I9" s="12" t="n">
        <v>1357708.185643999</v>
      </c>
      <c r="J9" s="12" t="n">
        <v>1099937.666799999</v>
      </c>
      <c r="K9" s="12" t="n">
        <v>708029.6627999991</v>
      </c>
      <c r="L9" s="12" t="n">
        <v>577690.131599999</v>
      </c>
      <c r="M9" s="12" t="n">
        <v>451192.6553879986</v>
      </c>
      <c r="N9" s="12" t="n">
        <v>378600.1133960001</v>
      </c>
      <c r="O9" s="12" t="n">
        <v>374330.2176959999</v>
      </c>
      <c r="P9" s="12" t="n">
        <v>174461.5695119994</v>
      </c>
      <c r="Q9" s="12" t="n">
        <v>174461.5695119994</v>
      </c>
      <c r="R9" s="12" t="n">
        <v>157286.9227280002</v>
      </c>
      <c r="S9" s="12" t="n">
        <v>145155.6551839998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872613.3324879999</v>
      </c>
      <c r="C10" s="12" t="n">
        <v>658051.175832</v>
      </c>
      <c r="D10" s="12" t="n">
        <v>495800.3516519999</v>
      </c>
      <c r="E10" s="12" t="n">
        <v>130959.4418159998</v>
      </c>
      <c r="F10" s="12" t="n">
        <v>170847.1097799998</v>
      </c>
      <c r="G10" s="12" t="n">
        <v>149650.9687999999</v>
      </c>
      <c r="H10" s="12" t="n">
        <v>142722.3034319999</v>
      </c>
      <c r="I10" s="12" t="n">
        <v>125792.6007999999</v>
      </c>
      <c r="J10" s="12" t="n">
        <v>118344.7784</v>
      </c>
      <c r="K10" s="12" t="n">
        <v>72906.99159999983</v>
      </c>
      <c r="L10" s="12" t="n">
        <v>66234.19667199976</v>
      </c>
      <c r="M10" s="12" t="n">
        <v>66009.20487200166</v>
      </c>
      <c r="N10" s="12" t="n">
        <v>85856.97857200168</v>
      </c>
      <c r="O10" s="12" t="n">
        <v>85527.07857200154</v>
      </c>
      <c r="P10" s="12" t="n">
        <v>85527.07857200154</v>
      </c>
      <c r="Q10" s="12" t="n">
        <v>78929.07857200154</v>
      </c>
      <c r="R10" s="12" t="n">
        <v>50538.28045200161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868925.1878280001</v>
      </c>
      <c r="C11" s="12" t="n">
        <v>353868.126636</v>
      </c>
      <c r="D11" s="12" t="n">
        <v>404165.5383760001</v>
      </c>
      <c r="E11" s="12" t="n">
        <v>383651.656988</v>
      </c>
      <c r="F11" s="12" t="n">
        <v>327644.4944</v>
      </c>
      <c r="G11" s="12" t="n">
        <v>281515.9497840001</v>
      </c>
      <c r="H11" s="12" t="n">
        <v>247133.0592</v>
      </c>
      <c r="I11" s="12" t="n">
        <v>106051.9839999999</v>
      </c>
      <c r="J11" s="12" t="n">
        <v>106045.3859999999</v>
      </c>
      <c r="K11" s="12" t="n">
        <v>106043.6837159998</v>
      </c>
      <c r="L11" s="12" t="n">
        <v>106043.6837159996</v>
      </c>
      <c r="M11" s="12" t="n">
        <v>90868.28371599969</v>
      </c>
      <c r="N11" s="12" t="n">
        <v>56824.4907439996</v>
      </c>
      <c r="O11" s="12" t="n">
        <v>56824.4907439996</v>
      </c>
      <c r="P11" s="12" t="n">
        <v>56824.4907439996</v>
      </c>
      <c r="Q11" s="12" t="n">
        <v>56824.4907439996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1000617.840004</v>
      </c>
      <c r="C12" s="12" t="n">
        <v>630057.915728</v>
      </c>
      <c r="D12" s="12" t="n">
        <v>409326.1804079999</v>
      </c>
      <c r="E12" s="12" t="n">
        <v>255310.4124</v>
      </c>
      <c r="F12" s="12" t="n">
        <v>124462.544888</v>
      </c>
      <c r="G12" s="12" t="n">
        <v>137748.568</v>
      </c>
      <c r="H12" s="12" t="n">
        <v>89280.97959999996</v>
      </c>
      <c r="I12" s="12" t="n">
        <v>87784.55319999997</v>
      </c>
      <c r="J12" s="12" t="n">
        <v>93826.22303600004</v>
      </c>
      <c r="K12" s="12" t="n">
        <v>93026.74337599962</v>
      </c>
      <c r="L12" s="12" t="n">
        <v>92031.76497599948</v>
      </c>
      <c r="M12" s="12" t="n">
        <v>91957.86737599946</v>
      </c>
      <c r="N12" s="12" t="n">
        <v>90308.36737599946</v>
      </c>
      <c r="O12" s="12" t="n">
        <v>90579.01733599952</v>
      </c>
      <c r="P12" s="12" t="n">
        <v>82976.20791599946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1590349.085408</v>
      </c>
      <c r="C13" s="12" t="n">
        <v>1157476.659432</v>
      </c>
      <c r="D13" s="12" t="n">
        <v>736378.5491999998</v>
      </c>
      <c r="E13" s="12" t="n">
        <v>534042.4469559998</v>
      </c>
      <c r="F13" s="12" t="n">
        <v>432857.3531999998</v>
      </c>
      <c r="G13" s="12" t="n">
        <v>303891.5255999998</v>
      </c>
      <c r="H13" s="12" t="n">
        <v>207694.0051999998</v>
      </c>
      <c r="I13" s="12" t="n">
        <v>207578.7249439997</v>
      </c>
      <c r="J13" s="12" t="n">
        <v>182252.9617440002</v>
      </c>
      <c r="K13" s="12" t="n">
        <v>175106.0081440003</v>
      </c>
      <c r="L13" s="12" t="n">
        <v>122410.4873240001</v>
      </c>
      <c r="M13" s="12" t="n">
        <v>128314.8395840002</v>
      </c>
      <c r="N13" s="12" t="n">
        <v>128314.8395840002</v>
      </c>
      <c r="O13" s="12" t="n">
        <v>128314.8395840002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971379.8356239999</v>
      </c>
      <c r="C14" s="12" t="n">
        <v>624776.4179999999</v>
      </c>
      <c r="D14" s="12" t="n">
        <v>415255.991084</v>
      </c>
      <c r="E14" s="12" t="n">
        <v>337867.6663999999</v>
      </c>
      <c r="F14" s="12" t="n">
        <v>340897.4679999999</v>
      </c>
      <c r="G14" s="12" t="n">
        <v>332433.5535999999</v>
      </c>
      <c r="H14" s="12" t="n">
        <v>328528.2765759999</v>
      </c>
      <c r="I14" s="12" t="n">
        <v>278070.7313760011</v>
      </c>
      <c r="J14" s="12" t="n">
        <v>220568.3432240011</v>
      </c>
      <c r="K14" s="12" t="n">
        <v>159117.5667160011</v>
      </c>
      <c r="L14" s="12" t="n">
        <v>150540.166716001</v>
      </c>
      <c r="M14" s="12" t="n">
        <v>-56486.44053199911</v>
      </c>
      <c r="N14" s="12" t="n">
        <v>-56486.44053199911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510065.8104</v>
      </c>
      <c r="C15" s="12" t="n">
        <v>279506.380472</v>
      </c>
      <c r="D15" s="12" t="n">
        <v>235041.3764</v>
      </c>
      <c r="E15" s="12" t="n">
        <v>121113.7104</v>
      </c>
      <c r="F15" s="12" t="n">
        <v>80516.21639999992</v>
      </c>
      <c r="G15" s="12" t="n">
        <v>82357.88974799996</v>
      </c>
      <c r="H15" s="12" t="n">
        <v>82009.40978000022</v>
      </c>
      <c r="I15" s="12" t="n">
        <v>82009.40977999999</v>
      </c>
      <c r="J15" s="12" t="n">
        <v>80643.75574000017</v>
      </c>
      <c r="K15" s="12" t="n">
        <v>80643.75574000017</v>
      </c>
      <c r="L15" s="12" t="n">
        <v>80632.53914000012</v>
      </c>
      <c r="M15" s="12" t="n">
        <v>80632.53914000012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997542.632516</v>
      </c>
      <c r="C16" s="12" t="n">
        <v>785322.304</v>
      </c>
      <c r="D16" s="12" t="n">
        <v>459507.7855999998</v>
      </c>
      <c r="E16" s="12" t="n">
        <v>284879.8391999998</v>
      </c>
      <c r="F16" s="12" t="n">
        <v>266406.5872519999</v>
      </c>
      <c r="G16" s="12" t="n">
        <v>221244.5968519999</v>
      </c>
      <c r="H16" s="12" t="n">
        <v>260061.4358079999</v>
      </c>
      <c r="I16" s="12" t="n">
        <v>260061.4358079999</v>
      </c>
      <c r="J16" s="12" t="n">
        <v>205957.8358079998</v>
      </c>
      <c r="K16" s="12" t="n">
        <v>177674.5059120001</v>
      </c>
      <c r="L16" s="12" t="n">
        <v>187392.8452679999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3311531.22</v>
      </c>
      <c r="C17" s="12" t="n">
        <v>2781154.9488</v>
      </c>
      <c r="D17" s="12" t="n">
        <v>2243995.9336</v>
      </c>
      <c r="E17" s="12" t="n">
        <v>1716574.880208</v>
      </c>
      <c r="F17" s="12" t="n">
        <v>1490633.562027999</v>
      </c>
      <c r="G17" s="12" t="n">
        <v>1169327.984867999</v>
      </c>
      <c r="H17" s="12" t="n">
        <v>794264.7144559985</v>
      </c>
      <c r="I17" s="12" t="n">
        <v>773546.9944559983</v>
      </c>
      <c r="J17" s="12" t="n">
        <v>763392.9495719983</v>
      </c>
      <c r="K17" s="12" t="n">
        <v>466634.8619239987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2311361.088</v>
      </c>
      <c r="C18" s="12" t="n">
        <v>1713202.2432</v>
      </c>
      <c r="D18" s="12" t="n">
        <v>1265693.011964</v>
      </c>
      <c r="E18" s="12" t="n">
        <v>1114895.378868</v>
      </c>
      <c r="F18" s="12" t="n">
        <v>846747.037372001</v>
      </c>
      <c r="G18" s="12" t="n">
        <v>778745.5157400011</v>
      </c>
      <c r="H18" s="12" t="n">
        <v>495542.5308400011</v>
      </c>
      <c r="I18" s="12" t="n">
        <v>496138.3566320012</v>
      </c>
      <c r="J18" s="12" t="n">
        <v>492839.3566320012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1026834.1684</v>
      </c>
      <c r="C19" s="12" t="n">
        <v>873288.362736</v>
      </c>
      <c r="D19" s="12" t="n">
        <v>852161.8438519996</v>
      </c>
      <c r="E19" s="12" t="n">
        <v>655390.8379039995</v>
      </c>
      <c r="F19" s="12" t="n">
        <v>592871.5680799995</v>
      </c>
      <c r="G19" s="12" t="n">
        <v>474052.7518959997</v>
      </c>
      <c r="H19" s="12" t="n">
        <v>319208.1563239996</v>
      </c>
      <c r="I19" s="12" t="n">
        <v>282349.2210839996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2545344.089552</v>
      </c>
      <c r="C20" s="12" t="n">
        <v>1885259.992868</v>
      </c>
      <c r="D20" s="12" t="n">
        <v>1384469.707900001</v>
      </c>
      <c r="E20" s="12" t="n">
        <v>736508.2749679992</v>
      </c>
      <c r="F20" s="12" t="n">
        <v>749809.8033799995</v>
      </c>
      <c r="G20" s="12" t="n">
        <v>719652.5623079995</v>
      </c>
      <c r="H20" s="12" t="n">
        <v>657879.4866959993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2971754.288824</v>
      </c>
      <c r="C21" s="12" t="n">
        <v>2255062.057320001</v>
      </c>
      <c r="D21" s="12" t="n">
        <v>1639614.578688</v>
      </c>
      <c r="E21" s="12" t="n">
        <v>1379106.074588</v>
      </c>
      <c r="F21" s="12" t="n">
        <v>1252290.42962</v>
      </c>
      <c r="G21" s="12" t="n">
        <v>779786.2457080008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1019293.986468</v>
      </c>
      <c r="C22" s="12" t="n">
        <v>609481.0690440004</v>
      </c>
      <c r="D22" s="12" t="n">
        <v>625104.7899480002</v>
      </c>
      <c r="E22" s="12" t="n">
        <v>571928.2881240002</v>
      </c>
      <c r="F22" s="12" t="n">
        <v>562497.0805320002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1140830.583012</v>
      </c>
      <c r="C23" s="12" t="n">
        <v>889352.4975919998</v>
      </c>
      <c r="D23" s="12" t="n">
        <v>709970.8637400002</v>
      </c>
      <c r="E23" s="12" t="n">
        <v>678974.3702639999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951050.3864239998</v>
      </c>
      <c r="C24" s="12" t="n">
        <v>794017.5113679989</v>
      </c>
      <c r="D24" s="12" t="n">
        <v>818257.2833559992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871864.4073959998</v>
      </c>
      <c r="C25" s="12" t="n">
        <v>195108.0356480002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334331.868172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Unpaid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2728115.4812</v>
      </c>
      <c r="C3" s="12" t="n">
        <v>2006787.8116</v>
      </c>
      <c r="D3" s="12" t="n">
        <v>1508432.954</v>
      </c>
      <c r="E3" s="12" t="n">
        <v>1143194.066</v>
      </c>
      <c r="F3" s="12" t="n">
        <v>829939.5003999998</v>
      </c>
      <c r="G3" s="12" t="n">
        <v>770383.6167079997</v>
      </c>
      <c r="H3" s="12" t="n">
        <v>792386.6139119999</v>
      </c>
      <c r="I3" s="12" t="n">
        <v>761845.4352199994</v>
      </c>
      <c r="J3" s="12" t="n">
        <v>739614.2395879999</v>
      </c>
      <c r="K3" s="12" t="n">
        <v>711775.0210719998</v>
      </c>
      <c r="L3" s="12" t="n">
        <v>655959.5963639999</v>
      </c>
      <c r="M3" s="12" t="n">
        <v>598454.1335439994</v>
      </c>
      <c r="N3" s="12" t="n">
        <v>558435.7591999997</v>
      </c>
      <c r="O3" s="12" t="n">
        <v>495042.9009799999</v>
      </c>
      <c r="P3" s="12" t="n">
        <v>439995.0611999999</v>
      </c>
      <c r="Q3" s="12" t="n">
        <v>359809.5671999995</v>
      </c>
      <c r="R3" s="12" t="n">
        <v>271747.3807999995</v>
      </c>
      <c r="S3" s="12" t="n">
        <v>196513.4746639999</v>
      </c>
      <c r="T3" s="12" t="n">
        <v>87087.75602400023</v>
      </c>
      <c r="U3" s="12" t="n">
        <v>87087.75602400023</v>
      </c>
      <c r="V3" s="12" t="n">
        <v>64997.5728480001</v>
      </c>
      <c r="W3" s="12" t="n">
        <v>42773.80656399997</v>
      </c>
      <c r="X3" s="12" t="n">
        <v>23778.38889600011</v>
      </c>
      <c r="Y3" s="12" t="n">
        <v>11864.94772399962</v>
      </c>
    </row>
    <row r="4">
      <c r="A4" s="9" t="n">
        <v>2002</v>
      </c>
      <c r="B4" s="12" t="n">
        <v>1859476.054</v>
      </c>
      <c r="C4" s="12" t="n">
        <v>1305763.9764</v>
      </c>
      <c r="D4" s="12" t="n">
        <v>996466.8912</v>
      </c>
      <c r="E4" s="12" t="n">
        <v>898491.8696000001</v>
      </c>
      <c r="F4" s="12" t="n">
        <v>733394.8661600002</v>
      </c>
      <c r="G4" s="12" t="n">
        <v>595101.8418399999</v>
      </c>
      <c r="H4" s="12" t="n">
        <v>558508.119808</v>
      </c>
      <c r="I4" s="12" t="n">
        <v>529132.5965800001</v>
      </c>
      <c r="J4" s="12" t="n">
        <v>487257.2019399998</v>
      </c>
      <c r="K4" s="12" t="n">
        <v>466638.0428640002</v>
      </c>
      <c r="L4" s="12" t="n">
        <v>435839.726916</v>
      </c>
      <c r="M4" s="12" t="n">
        <v>402413.3219999999</v>
      </c>
      <c r="N4" s="12" t="n">
        <v>360789.6938439999</v>
      </c>
      <c r="O4" s="12" t="n">
        <v>313445.8900000001</v>
      </c>
      <c r="P4" s="12" t="n">
        <v>273217.8840000001</v>
      </c>
      <c r="Q4" s="12" t="n">
        <v>235267.5075999999</v>
      </c>
      <c r="R4" s="12" t="n">
        <v>178807.009628</v>
      </c>
      <c r="S4" s="12" t="n">
        <v>137623.9563239999</v>
      </c>
      <c r="T4" s="12" t="n">
        <v>104597.2582479995</v>
      </c>
      <c r="U4" s="12" t="n">
        <v>79006.65132799977</v>
      </c>
      <c r="V4" s="12" t="n">
        <v>57448.51767600002</v>
      </c>
      <c r="W4" s="12" t="n">
        <v>36785.785408</v>
      </c>
      <c r="X4" s="12" t="n">
        <v>17190.70191199984</v>
      </c>
      <c r="Y4" s="5" t="n"/>
    </row>
    <row r="5">
      <c r="A5" s="9" t="n">
        <v>2003</v>
      </c>
      <c r="B5" s="12" t="n">
        <v>1341513.2884</v>
      </c>
      <c r="C5" s="12" t="n">
        <v>653467.2503999998</v>
      </c>
      <c r="D5" s="12" t="n">
        <v>475582.5311999999</v>
      </c>
      <c r="E5" s="12" t="n">
        <v>355903.1642679998</v>
      </c>
      <c r="F5" s="12" t="n">
        <v>128339.0943799999</v>
      </c>
      <c r="G5" s="12" t="n">
        <v>44862.82148799975</v>
      </c>
      <c r="H5" s="12" t="n">
        <v>42209.72609999985</v>
      </c>
      <c r="I5" s="12" t="n">
        <v>29848.32031599968</v>
      </c>
      <c r="J5" s="12" t="n">
        <v>32400.34753999976</v>
      </c>
      <c r="K5" s="12" t="n">
        <v>28065.25040399982</v>
      </c>
      <c r="L5" s="12" t="n">
        <v>31436.84159999969</v>
      </c>
      <c r="M5" s="12" t="n">
        <v>31048.11383199971</v>
      </c>
      <c r="N5" s="12" t="n">
        <v>30918.2387999997</v>
      </c>
      <c r="O5" s="12" t="n">
        <v>30917.72415599995</v>
      </c>
      <c r="P5" s="12" t="n">
        <v>30917.72415599995</v>
      </c>
      <c r="Q5" s="12" t="n">
        <v>30918.33117199992</v>
      </c>
      <c r="R5" s="12" t="n">
        <v>27156.86415600078</v>
      </c>
      <c r="S5" s="12" t="n">
        <v>27156.86415600055</v>
      </c>
      <c r="T5" s="12" t="n">
        <v>27156.86415600055</v>
      </c>
      <c r="U5" s="12" t="n">
        <v>27156.86415600055</v>
      </c>
      <c r="V5" s="12" t="n">
        <v>27156.86415600055</v>
      </c>
      <c r="W5" s="12" t="n">
        <v>27156.86415600055</v>
      </c>
      <c r="X5" s="5" t="n"/>
      <c r="Y5" s="5" t="n"/>
    </row>
    <row r="6">
      <c r="A6" s="9" t="n">
        <v>2004</v>
      </c>
      <c r="B6" s="12" t="n">
        <v>889939.1383999999</v>
      </c>
      <c r="C6" s="12" t="n">
        <v>520844.3792</v>
      </c>
      <c r="D6" s="12" t="n">
        <v>339863.2581880012</v>
      </c>
      <c r="E6" s="12" t="n">
        <v>243199.9981639999</v>
      </c>
      <c r="F6" s="12" t="n">
        <v>91683.01151999994</v>
      </c>
      <c r="G6" s="12" t="n">
        <v>87805.89475999982</v>
      </c>
      <c r="H6" s="12" t="n">
        <v>70582.09287599986</v>
      </c>
      <c r="I6" s="12" t="n">
        <v>62184.76549199992</v>
      </c>
      <c r="J6" s="12" t="n">
        <v>42138.58993200003</v>
      </c>
      <c r="K6" s="12" t="n">
        <v>48911.87239999999</v>
      </c>
      <c r="L6" s="12" t="n">
        <v>44970.74184399983</v>
      </c>
      <c r="M6" s="12" t="n">
        <v>37924.88279999979</v>
      </c>
      <c r="N6" s="12" t="n">
        <v>37464.34239999996</v>
      </c>
      <c r="O6" s="12" t="n">
        <v>35449.31319999998</v>
      </c>
      <c r="P6" s="12" t="n">
        <v>34803.27662799996</v>
      </c>
      <c r="Q6" s="12" t="n">
        <v>24245.90919999965</v>
      </c>
      <c r="R6" s="12" t="n">
        <v>24245.90919999965</v>
      </c>
      <c r="S6" s="12" t="n">
        <v>24245.90919999965</v>
      </c>
      <c r="T6" s="12" t="n">
        <v>24245.90919999965</v>
      </c>
      <c r="U6" s="12" t="n">
        <v>24212.25939999963</v>
      </c>
      <c r="V6" s="12" t="n">
        <v>24212.25939999963</v>
      </c>
      <c r="W6" s="5" t="n"/>
      <c r="X6" s="5" t="n"/>
      <c r="Y6" s="5" t="n"/>
    </row>
    <row r="7">
      <c r="A7" s="9" t="n">
        <v>2005</v>
      </c>
      <c r="B7" s="12" t="n">
        <v>1693883.1892</v>
      </c>
      <c r="C7" s="12" t="n">
        <v>1065980.454832</v>
      </c>
      <c r="D7" s="12" t="n">
        <v>735244.52782</v>
      </c>
      <c r="E7" s="12" t="n">
        <v>666450.533604</v>
      </c>
      <c r="F7" s="12" t="n">
        <v>544238.049316</v>
      </c>
      <c r="G7" s="12" t="n">
        <v>507742.5847</v>
      </c>
      <c r="H7" s="12" t="n">
        <v>469875.250728</v>
      </c>
      <c r="I7" s="12" t="n">
        <v>450788.3979760001</v>
      </c>
      <c r="J7" s="12" t="n">
        <v>443066.0196</v>
      </c>
      <c r="K7" s="12" t="n">
        <v>387256.3219560001</v>
      </c>
      <c r="L7" s="12" t="n">
        <v>332841.1512</v>
      </c>
      <c r="M7" s="12" t="n">
        <v>292928.5296</v>
      </c>
      <c r="N7" s="12" t="n">
        <v>227159.6655999999</v>
      </c>
      <c r="O7" s="12" t="n">
        <v>187997.1442280002</v>
      </c>
      <c r="P7" s="12" t="n">
        <v>124289.32388</v>
      </c>
      <c r="Q7" s="12" t="n">
        <v>106942.3637280003</v>
      </c>
      <c r="R7" s="12" t="n">
        <v>64478.24274400016</v>
      </c>
      <c r="S7" s="12" t="n">
        <v>60726.81788400002</v>
      </c>
      <c r="T7" s="12" t="n">
        <v>60726.81788400002</v>
      </c>
      <c r="U7" s="12" t="n">
        <v>60726.81788400002</v>
      </c>
      <c r="V7" s="5" t="n"/>
      <c r="W7" s="5" t="n"/>
      <c r="X7" s="5" t="n"/>
      <c r="Y7" s="5" t="n"/>
    </row>
    <row r="8">
      <c r="A8" s="9" t="n">
        <v>2006</v>
      </c>
      <c r="B8" s="12" t="n">
        <v>1220709.874276</v>
      </c>
      <c r="C8" s="12" t="n">
        <v>805914.0944679999</v>
      </c>
      <c r="D8" s="12" t="n">
        <v>612235.9538039999</v>
      </c>
      <c r="E8" s="12" t="n">
        <v>532652.3293639999</v>
      </c>
      <c r="F8" s="12" t="n">
        <v>473127.4430760001</v>
      </c>
      <c r="G8" s="12" t="n">
        <v>425060.6171959999</v>
      </c>
      <c r="H8" s="12" t="n">
        <v>380384.3055760001</v>
      </c>
      <c r="I8" s="12" t="n">
        <v>372745.0619999999</v>
      </c>
      <c r="J8" s="12" t="n">
        <v>336957.206492</v>
      </c>
      <c r="K8" s="12" t="n">
        <v>289062.628</v>
      </c>
      <c r="L8" s="12" t="n">
        <v>176871.5555999998</v>
      </c>
      <c r="M8" s="12" t="n">
        <v>140153.6856</v>
      </c>
      <c r="N8" s="12" t="n">
        <v>125920.1501</v>
      </c>
      <c r="O8" s="12" t="n">
        <v>100136.8815800003</v>
      </c>
      <c r="P8" s="12" t="n">
        <v>90564.76709999959</v>
      </c>
      <c r="Q8" s="12" t="n">
        <v>78746.1655799998</v>
      </c>
      <c r="R8" s="12" t="n">
        <v>62381.55525599979</v>
      </c>
      <c r="S8" s="12" t="n">
        <v>51363.22515599965</v>
      </c>
      <c r="T8" s="12" t="n">
        <v>43355.27214399981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4452352.396012</v>
      </c>
      <c r="C9" s="12" t="n">
        <v>3852692.519408</v>
      </c>
      <c r="D9" s="12" t="n">
        <v>3527404.231095999</v>
      </c>
      <c r="E9" s="12" t="n">
        <v>3136793.459875999</v>
      </c>
      <c r="F9" s="12" t="n">
        <v>2798269.214075999</v>
      </c>
      <c r="G9" s="12" t="n">
        <v>2335128.357531999</v>
      </c>
      <c r="H9" s="12" t="n">
        <v>2031783.763599999</v>
      </c>
      <c r="I9" s="12" t="n">
        <v>1804745.673076</v>
      </c>
      <c r="J9" s="12" t="n">
        <v>1550529.602399999</v>
      </c>
      <c r="K9" s="12" t="n">
        <v>1261491.016399999</v>
      </c>
      <c r="L9" s="12" t="n">
        <v>957732.2923999992</v>
      </c>
      <c r="M9" s="12" t="n">
        <v>757823.0401240001</v>
      </c>
      <c r="N9" s="12" t="n">
        <v>585538.1886799987</v>
      </c>
      <c r="O9" s="12" t="n">
        <v>459199.2228199998</v>
      </c>
      <c r="P9" s="12" t="n">
        <v>338619.2156919995</v>
      </c>
      <c r="Q9" s="12" t="n">
        <v>204464.1798559986</v>
      </c>
      <c r="R9" s="12" t="n">
        <v>174600.7477239994</v>
      </c>
      <c r="S9" s="12" t="n">
        <v>165237.1168479994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1075449.457564</v>
      </c>
      <c r="C10" s="12" t="n">
        <v>782391.172024</v>
      </c>
      <c r="D10" s="12" t="n">
        <v>559328.785576</v>
      </c>
      <c r="E10" s="12" t="n">
        <v>240610.4821559999</v>
      </c>
      <c r="F10" s="12" t="n">
        <v>199113.6807559999</v>
      </c>
      <c r="G10" s="12" t="n">
        <v>161214.6235999998</v>
      </c>
      <c r="H10" s="12" t="n">
        <v>152350.6988519998</v>
      </c>
      <c r="I10" s="12" t="n">
        <v>144189.1443999999</v>
      </c>
      <c r="J10" s="12" t="n">
        <v>129096.8791999999</v>
      </c>
      <c r="K10" s="12" t="n">
        <v>111672.8807999999</v>
      </c>
      <c r="L10" s="12" t="n">
        <v>97584.26377199986</v>
      </c>
      <c r="M10" s="12" t="n">
        <v>94999.69521200145</v>
      </c>
      <c r="N10" s="12" t="n">
        <v>91906.01177600166</v>
      </c>
      <c r="O10" s="12" t="n">
        <v>90386.83547200169</v>
      </c>
      <c r="P10" s="12" t="n">
        <v>89509.35425600177</v>
      </c>
      <c r="Q10" s="12" t="n">
        <v>85965.01422400167</v>
      </c>
      <c r="R10" s="12" t="n">
        <v>50538.28045200161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997737.941828</v>
      </c>
      <c r="C11" s="12" t="n">
        <v>484158.278404</v>
      </c>
      <c r="D11" s="12" t="n">
        <v>414454.7630840001</v>
      </c>
      <c r="E11" s="12" t="n">
        <v>392343.651052</v>
      </c>
      <c r="F11" s="12" t="n">
        <v>331421.1896</v>
      </c>
      <c r="G11" s="12" t="n">
        <v>285320.646896</v>
      </c>
      <c r="H11" s="12" t="n">
        <v>257014.224</v>
      </c>
      <c r="I11" s="12" t="n">
        <v>208149.436</v>
      </c>
      <c r="J11" s="12" t="n">
        <v>170795.5188</v>
      </c>
      <c r="K11" s="12" t="n">
        <v>155299.574764</v>
      </c>
      <c r="L11" s="12" t="n">
        <v>145223.2015359998</v>
      </c>
      <c r="M11" s="12" t="n">
        <v>112199.9344199998</v>
      </c>
      <c r="N11" s="12" t="n">
        <v>56824.4907439996</v>
      </c>
      <c r="O11" s="12" t="n">
        <v>56824.4907439996</v>
      </c>
      <c r="P11" s="12" t="n">
        <v>56824.4907439996</v>
      </c>
      <c r="Q11" s="12" t="n">
        <v>56824.4907439996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1117025.126776</v>
      </c>
      <c r="C12" s="12" t="n">
        <v>687497.715252</v>
      </c>
      <c r="D12" s="12" t="n">
        <v>445395.5065959999</v>
      </c>
      <c r="E12" s="12" t="n">
        <v>283727.9983999999</v>
      </c>
      <c r="F12" s="12" t="n">
        <v>183663.9444319999</v>
      </c>
      <c r="G12" s="12" t="n">
        <v>159112.892</v>
      </c>
      <c r="H12" s="12" t="n">
        <v>100339.2275999999</v>
      </c>
      <c r="I12" s="12" t="n">
        <v>98146.05239999993</v>
      </c>
      <c r="J12" s="12" t="n">
        <v>93826.22303600004</v>
      </c>
      <c r="K12" s="12" t="n">
        <v>93026.74337599962</v>
      </c>
      <c r="L12" s="12" t="n">
        <v>92384.23013599962</v>
      </c>
      <c r="M12" s="12" t="n">
        <v>92310.33253599959</v>
      </c>
      <c r="N12" s="12" t="n">
        <v>91503.5027039994</v>
      </c>
      <c r="O12" s="12" t="n">
        <v>90579.01733599952</v>
      </c>
      <c r="P12" s="12" t="n">
        <v>82976.20791599946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1680318.38412</v>
      </c>
      <c r="C13" s="12" t="n">
        <v>1205350.388244</v>
      </c>
      <c r="D13" s="12" t="n">
        <v>736378.5491999998</v>
      </c>
      <c r="E13" s="12" t="n">
        <v>637570.028652</v>
      </c>
      <c r="F13" s="12" t="n">
        <v>520981.5607999999</v>
      </c>
      <c r="G13" s="12" t="n">
        <v>385581.3635999998</v>
      </c>
      <c r="H13" s="12" t="n">
        <v>222229.3991999999</v>
      </c>
      <c r="I13" s="12" t="n">
        <v>218640.3643159997</v>
      </c>
      <c r="J13" s="12" t="n">
        <v>210332.2155000002</v>
      </c>
      <c r="K13" s="12" t="n">
        <v>196270.8878000001</v>
      </c>
      <c r="L13" s="12" t="n">
        <v>186651.0169960002</v>
      </c>
      <c r="M13" s="12" t="n">
        <v>167454.7826</v>
      </c>
      <c r="N13" s="12" t="n">
        <v>157783.8432760001</v>
      </c>
      <c r="O13" s="12" t="n">
        <v>151738.1222680002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1079456.949456</v>
      </c>
      <c r="C14" s="12" t="n">
        <v>672689.7743999999</v>
      </c>
      <c r="D14" s="12" t="n">
        <v>507923.2251919999</v>
      </c>
      <c r="E14" s="12" t="n">
        <v>355696.7819999999</v>
      </c>
      <c r="F14" s="12" t="n">
        <v>346088.7743999999</v>
      </c>
      <c r="G14" s="12" t="n">
        <v>339831.2311999999</v>
      </c>
      <c r="H14" s="12" t="n">
        <v>329604.9382159999</v>
      </c>
      <c r="I14" s="12" t="n">
        <v>291085.2731800012</v>
      </c>
      <c r="J14" s="12" t="n">
        <v>259026.3565480011</v>
      </c>
      <c r="K14" s="12" t="n">
        <v>254226.3115480009</v>
      </c>
      <c r="L14" s="12" t="n">
        <v>222947.1465560012</v>
      </c>
      <c r="M14" s="12" t="n">
        <v>161691.4201240011</v>
      </c>
      <c r="N14" s="12" t="n">
        <v>113030.0616600011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586603.9300000001</v>
      </c>
      <c r="C15" s="12" t="n">
        <v>323052.269948</v>
      </c>
      <c r="D15" s="12" t="n">
        <v>244421.0932</v>
      </c>
      <c r="E15" s="12" t="n">
        <v>191564.5152</v>
      </c>
      <c r="F15" s="12" t="n">
        <v>80516.21639999992</v>
      </c>
      <c r="G15" s="12" t="n">
        <v>82357.88974799996</v>
      </c>
      <c r="H15" s="12" t="n">
        <v>82009.40978000022</v>
      </c>
      <c r="I15" s="12" t="n">
        <v>82009.40977999999</v>
      </c>
      <c r="J15" s="12" t="n">
        <v>80643.75574000017</v>
      </c>
      <c r="K15" s="12" t="n">
        <v>80643.75574000017</v>
      </c>
      <c r="L15" s="12" t="n">
        <v>80632.53914000012</v>
      </c>
      <c r="M15" s="12" t="n">
        <v>80632.53914000012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1165275.378604</v>
      </c>
      <c r="C16" s="12" t="n">
        <v>838759.5059999999</v>
      </c>
      <c r="D16" s="12" t="n">
        <v>650678.2376</v>
      </c>
      <c r="E16" s="12" t="n">
        <v>397464.1524</v>
      </c>
      <c r="F16" s="12" t="n">
        <v>318448.6553479999</v>
      </c>
      <c r="G16" s="12" t="n">
        <v>297559.5193079996</v>
      </c>
      <c r="H16" s="12" t="n">
        <v>289740.9552879997</v>
      </c>
      <c r="I16" s="12" t="n">
        <v>285919.2881199999</v>
      </c>
      <c r="J16" s="12" t="n">
        <v>277750.8453559997</v>
      </c>
      <c r="K16" s="12" t="n">
        <v>197678.5070559999</v>
      </c>
      <c r="L16" s="12" t="n">
        <v>187392.8452679999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3469173.2752</v>
      </c>
      <c r="C17" s="12" t="n">
        <v>3004902.366</v>
      </c>
      <c r="D17" s="12" t="n">
        <v>2429455.1568</v>
      </c>
      <c r="E17" s="12" t="n">
        <v>1768723.756728</v>
      </c>
      <c r="F17" s="12" t="n">
        <v>1614976.118243999</v>
      </c>
      <c r="G17" s="12" t="n">
        <v>1361530.284891999</v>
      </c>
      <c r="H17" s="12" t="n">
        <v>1085916.464747999</v>
      </c>
      <c r="I17" s="12" t="n">
        <v>934657.6578439982</v>
      </c>
      <c r="J17" s="12" t="n">
        <v>892864.8041839986</v>
      </c>
      <c r="K17" s="12" t="n">
        <v>485366.8214519988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2659540.1872</v>
      </c>
      <c r="C18" s="12" t="n">
        <v>1873260.486</v>
      </c>
      <c r="D18" s="12" t="n">
        <v>1407669.871232</v>
      </c>
      <c r="E18" s="12" t="n">
        <v>1208039.476828</v>
      </c>
      <c r="F18" s="12" t="n">
        <v>1073273.096704001</v>
      </c>
      <c r="G18" s="12" t="n">
        <v>876334.4883600017</v>
      </c>
      <c r="H18" s="12" t="n">
        <v>579996.6537240013</v>
      </c>
      <c r="I18" s="12" t="n">
        <v>563973.1863920013</v>
      </c>
      <c r="J18" s="12" t="n">
        <v>536954.3236080012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1151508.6568</v>
      </c>
      <c r="C19" s="12" t="n">
        <v>903370.756096</v>
      </c>
      <c r="D19" s="12" t="n">
        <v>858033.9054999996</v>
      </c>
      <c r="E19" s="12" t="n">
        <v>777593.8606599998</v>
      </c>
      <c r="F19" s="12" t="n">
        <v>715485.4746879997</v>
      </c>
      <c r="G19" s="12" t="n">
        <v>632430.9063679996</v>
      </c>
      <c r="H19" s="12" t="n">
        <v>383073.2729919995</v>
      </c>
      <c r="I19" s="12" t="n">
        <v>282349.2210839996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2707908.741004</v>
      </c>
      <c r="C20" s="12" t="n">
        <v>2060207.797112</v>
      </c>
      <c r="D20" s="12" t="n">
        <v>1579605.5579</v>
      </c>
      <c r="E20" s="12" t="n">
        <v>1029224.731324</v>
      </c>
      <c r="F20" s="12" t="n">
        <v>912922.8278080001</v>
      </c>
      <c r="G20" s="12" t="n">
        <v>792478.5943239992</v>
      </c>
      <c r="H20" s="12" t="n">
        <v>657879.4866959993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3090389.258336</v>
      </c>
      <c r="C21" s="12" t="n">
        <v>2606001.350644</v>
      </c>
      <c r="D21" s="12" t="n">
        <v>2025985.646656</v>
      </c>
      <c r="E21" s="12" t="n">
        <v>1778973.338359999</v>
      </c>
      <c r="F21" s="12" t="n">
        <v>1408828.63942</v>
      </c>
      <c r="G21" s="12" t="n">
        <v>984479.2855119994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1255480.454716</v>
      </c>
      <c r="C22" s="12" t="n">
        <v>811308.6238400002</v>
      </c>
      <c r="D22" s="12" t="n">
        <v>679692.7359320002</v>
      </c>
      <c r="E22" s="12" t="n">
        <v>575460.5406200002</v>
      </c>
      <c r="F22" s="12" t="n">
        <v>565345.7274440002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1416575.545004</v>
      </c>
      <c r="C23" s="12" t="n">
        <v>1143375.774708</v>
      </c>
      <c r="D23" s="12" t="n">
        <v>778908.41724</v>
      </c>
      <c r="E23" s="12" t="n">
        <v>715308.2366639997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1338332.506232</v>
      </c>
      <c r="C24" s="12" t="n">
        <v>899028.824912</v>
      </c>
      <c r="D24" s="12" t="n">
        <v>854569.6798639998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1479597.478036</v>
      </c>
      <c r="C25" s="12" t="n">
        <v>647622.6416439989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869239.3290680002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Post-Method Series Diagnostics</t>
        </is>
      </c>
      <c r="B1" s="16" t="n"/>
      <c r="C1" s="16" t="n"/>
      <c r="D1" s="2" t="n"/>
    </row>
    <row r="2">
      <c r="A2" s="8" t="inlineStr">
        <is>
          <t>Accident Period</t>
        </is>
      </c>
      <c r="B2" s="8" t="inlineStr">
        <is>
          <t>Ultimate Severity</t>
        </is>
      </c>
      <c r="C2" s="8" t="inlineStr">
        <is>
          <t>Ultimate Loss Rate</t>
        </is>
      </c>
      <c r="D2" s="8" t="inlineStr">
        <is>
          <t>Ultimate Frequency</t>
        </is>
      </c>
    </row>
    <row r="3">
      <c r="A3" s="9" t="n">
        <v>2001</v>
      </c>
      <c r="B3" s="12" t="n">
        <v>4358.664226284768</v>
      </c>
      <c r="C3" s="12" t="n">
        <v>0.009653533722406221</v>
      </c>
      <c r="D3" s="12" t="n">
        <v>2.214791785104925e-06</v>
      </c>
    </row>
    <row r="4">
      <c r="A4" s="9" t="n">
        <v>2002</v>
      </c>
      <c r="B4" s="12" t="n">
        <v>3400.68253359514</v>
      </c>
      <c r="C4" s="12" t="n">
        <v>0.006869548031250423</v>
      </c>
      <c r="D4" s="12" t="n">
        <v>2.020049788060651e-06</v>
      </c>
    </row>
    <row r="5">
      <c r="A5" s="9" t="n">
        <v>2003</v>
      </c>
      <c r="B5" s="12" t="n">
        <v>3272.808499066335</v>
      </c>
      <c r="C5" s="12" t="n">
        <v>0.005484426535183615</v>
      </c>
      <c r="D5" s="12" t="n">
        <v>1.675755406021528e-06</v>
      </c>
    </row>
    <row r="6">
      <c r="A6" s="9" t="n">
        <v>2004</v>
      </c>
      <c r="B6" s="12" t="n">
        <v>1784.528110168832</v>
      </c>
      <c r="C6" s="12" t="n">
        <v>0.003415796416605317</v>
      </c>
      <c r="D6" s="12" t="n">
        <v>1.91411746172054e-06</v>
      </c>
    </row>
    <row r="7">
      <c r="A7" s="9" t="n">
        <v>2005</v>
      </c>
      <c r="B7" s="12" t="n">
        <v>3590.781578906335</v>
      </c>
      <c r="C7" s="12" t="n">
        <v>0.006724568868550637</v>
      </c>
      <c r="D7" s="12" t="n">
        <v>1.872731248275696e-06</v>
      </c>
    </row>
    <row r="8">
      <c r="A8" s="9" t="n">
        <v>2006</v>
      </c>
      <c r="B8" s="12" t="n">
        <v>3026.18404390038</v>
      </c>
      <c r="C8" s="12" t="n">
        <v>0.00430996181339542</v>
      </c>
      <c r="D8" s="12" t="n">
        <v>1.424223296029414e-06</v>
      </c>
    </row>
    <row r="9">
      <c r="A9" s="9" t="n">
        <v>2007</v>
      </c>
      <c r="B9" s="12" t="n">
        <v>10403.31304840673</v>
      </c>
      <c r="C9" s="12" t="n">
        <v>0.01390973144465143</v>
      </c>
      <c r="D9" s="12" t="n">
        <v>1.337048244143889e-06</v>
      </c>
    </row>
    <row r="10">
      <c r="A10" s="9" t="n">
        <v>2008</v>
      </c>
      <c r="B10" s="12" t="n">
        <v>4348.914176151927</v>
      </c>
      <c r="C10" s="12" t="n">
        <v>0.003932016653637117</v>
      </c>
      <c r="D10" s="12" t="n">
        <v>9.041375604050904e-07</v>
      </c>
    </row>
    <row r="11">
      <c r="A11" s="9" t="n">
        <v>2009</v>
      </c>
      <c r="B11" s="12" t="n">
        <v>3808.949562084601</v>
      </c>
      <c r="C11" s="12" t="n">
        <v>0.003308470999984196</v>
      </c>
      <c r="D11" s="12" t="n">
        <v>8.68604570907865e-07</v>
      </c>
    </row>
    <row r="12">
      <c r="A12" s="9" t="n">
        <v>2010</v>
      </c>
      <c r="B12" s="12" t="n">
        <v>5005.327692760447</v>
      </c>
      <c r="C12" s="12" t="n">
        <v>0.003598644281963471</v>
      </c>
      <c r="D12" s="12" t="n">
        <v>7.189627738396509e-07</v>
      </c>
    </row>
    <row r="13">
      <c r="A13" s="9" t="n">
        <v>2011</v>
      </c>
      <c r="B13" s="12" t="n">
        <v>5913.103546017238</v>
      </c>
      <c r="C13" s="12" t="n">
        <v>0.005301002178516053</v>
      </c>
      <c r="D13" s="12" t="n">
        <v>8.964839085367507e-07</v>
      </c>
    </row>
    <row r="14">
      <c r="A14" s="9" t="n">
        <v>2012</v>
      </c>
      <c r="B14" s="12" t="n">
        <v>5003.31804960196</v>
      </c>
      <c r="C14" s="12" t="n">
        <v>0.003323203812307844</v>
      </c>
      <c r="D14" s="12" t="n">
        <v>6.641999927572508e-07</v>
      </c>
    </row>
    <row r="15">
      <c r="A15" s="9" t="n">
        <v>2013</v>
      </c>
      <c r="B15" s="12" t="n">
        <v>2706.040290779412</v>
      </c>
      <c r="C15" s="12" t="n">
        <v>0.001966794494390927</v>
      </c>
      <c r="D15" s="12" t="n">
        <v>7.268164118223227e-07</v>
      </c>
    </row>
    <row r="16">
      <c r="A16" s="9" t="n">
        <v>2014</v>
      </c>
      <c r="B16" s="12" t="n">
        <v>3463.947041251153</v>
      </c>
      <c r="C16" s="12" t="n">
        <v>0.003853213678967491</v>
      </c>
      <c r="D16" s="12" t="n">
        <v>1.112376613464546e-06</v>
      </c>
    </row>
    <row r="17">
      <c r="A17" s="9" t="n">
        <v>2015</v>
      </c>
      <c r="B17" s="12" t="n">
        <v>11530.57604984125</v>
      </c>
      <c r="C17" s="12" t="n">
        <v>0.009221627545770753</v>
      </c>
      <c r="D17" s="12" t="n">
        <v>7.997542799171524e-07</v>
      </c>
    </row>
    <row r="18">
      <c r="A18" s="9" t="n">
        <v>2016</v>
      </c>
      <c r="B18" s="12" t="n">
        <v>7696.081601231717</v>
      </c>
      <c r="C18" s="12" t="n">
        <v>0.007043557783141743</v>
      </c>
      <c r="D18" s="12" t="n">
        <v>9.152135005967789e-07</v>
      </c>
    </row>
    <row r="19">
      <c r="A19" s="9" t="n">
        <v>2017</v>
      </c>
      <c r="B19" s="12" t="n">
        <v>4809.984323992372</v>
      </c>
      <c r="C19" s="12" t="n">
        <v>0.003426429289586313</v>
      </c>
      <c r="D19" s="12" t="n">
        <v>7.123576832662763e-07</v>
      </c>
    </row>
    <row r="20">
      <c r="A20" s="9" t="n">
        <v>2018</v>
      </c>
      <c r="B20" s="12" t="n">
        <v>9396.011539881833</v>
      </c>
      <c r="C20" s="12" t="n">
        <v>0.006892314973702959</v>
      </c>
      <c r="D20" s="12" t="n">
        <v>7.335362397596247e-07</v>
      </c>
    </row>
    <row r="21">
      <c r="A21" s="9" t="n">
        <v>2019</v>
      </c>
      <c r="B21" s="12" t="n">
        <v>9479.074213272002</v>
      </c>
      <c r="C21" s="12" t="n">
        <v>0.00747938140694903</v>
      </c>
      <c r="D21" s="12" t="n">
        <v>7.89041338707621e-07</v>
      </c>
    </row>
    <row r="22">
      <c r="A22" s="9" t="n">
        <v>2020</v>
      </c>
      <c r="B22" s="12" t="n">
        <v>4172.703275582026</v>
      </c>
      <c r="C22" s="12" t="n">
        <v>0.003344303773995948</v>
      </c>
      <c r="D22" s="12" t="n">
        <v>8.014717446040952e-07</v>
      </c>
    </row>
    <row r="23">
      <c r="A23" s="9" t="n">
        <v>2021</v>
      </c>
      <c r="B23" s="12" t="n">
        <v>5143.123839951316</v>
      </c>
      <c r="C23" s="12" t="n">
        <v>0.003595437730428377</v>
      </c>
      <c r="D23" s="12" t="n">
        <v>6.990766394733383e-07</v>
      </c>
    </row>
    <row r="24">
      <c r="A24" s="9" t="n">
        <v>2022</v>
      </c>
      <c r="B24" s="12" t="n">
        <v>5534.651880002691</v>
      </c>
      <c r="C24" s="12" t="n">
        <v>0.003431900028782714</v>
      </c>
      <c r="D24" s="12" t="n">
        <v>6.200751380918009e-07</v>
      </c>
    </row>
    <row r="25">
      <c r="A25" s="9" t="n">
        <v>2023</v>
      </c>
      <c r="B25" s="12" t="n">
        <v>6077.0119772301</v>
      </c>
      <c r="C25" s="12" t="n">
        <v>0.003775947024172865</v>
      </c>
      <c r="D25" s="12" t="n">
        <v>6.213492812456064e-07</v>
      </c>
    </row>
    <row r="26">
      <c r="A26" s="9" t="n">
        <v>2024</v>
      </c>
      <c r="B26" s="12" t="n">
        <v>4280.375747194743</v>
      </c>
      <c r="C26" s="12" t="n">
        <v>0.002454397210397609</v>
      </c>
      <c r="D26" s="12" t="n">
        <v>5.734069519495251e-07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2026-04-27T20:14:15Z</dcterms:created>
  <dcterms:modified xmlns:dcterms="http://purl.org/dc/terms/" xmlns:xsi="http://www.w3.org/2001/XMLSchema-instance" xsi:type="dcterms:W3CDTF">2026-04-27T20:14:19Z</dcterms:modified>
</cp:coreProperties>
</file>