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Loss Selection" sheetId="2" state="visible" r:id="rId2"/>
    <sheet xmlns:r="http://schemas.openxmlformats.org/officeDocument/2006/relationships" name="Incurred CL" sheetId="3" state="visible" r:id="rId3"/>
    <sheet xmlns:r="http://schemas.openxmlformats.org/officeDocument/2006/relationships" name="Paid CL" sheetId="4" state="visible" r:id="rId4"/>
    <sheet xmlns:r="http://schemas.openxmlformats.org/officeDocument/2006/relationships" name="Incurred BF" sheetId="5" state="visible" r:id="rId5"/>
    <sheet xmlns:r="http://schemas.openxmlformats.org/officeDocument/2006/relationships" name="Paid BF" sheetId="6" state="visible" r:id="rId6"/>
    <sheet xmlns:r="http://schemas.openxmlformats.org/officeDocument/2006/relationships" name="IE" sheetId="7" state="visible" r:id="rId7"/>
    <sheet xmlns:r="http://schemas.openxmlformats.org/officeDocument/2006/relationships" name="Count Selection" sheetId="8" state="visible" r:id="rId8"/>
    <sheet xmlns:r="http://schemas.openxmlformats.org/officeDocument/2006/relationships" name="Closed CL" sheetId="9" state="visible" r:id="rId9"/>
    <sheet xmlns:r="http://schemas.openxmlformats.org/officeDocument/2006/relationships" name="Reported CL" sheetId="10" state="visible" r:id="rId10"/>
    <sheet xmlns:r="http://schemas.openxmlformats.org/officeDocument/2006/relationships" name="Reported BF" sheetId="11" state="visible" r:id="rId11"/>
    <sheet xmlns:r="http://schemas.openxmlformats.org/officeDocument/2006/relationships" name="Incurred" sheetId="12" state="visible" r:id="rId12"/>
    <sheet xmlns:r="http://schemas.openxmlformats.org/officeDocument/2006/relationships" name="Paid" sheetId="13" state="visible" r:id="rId13"/>
    <sheet xmlns:r="http://schemas.openxmlformats.org/officeDocument/2006/relationships" name="Reported" sheetId="14" state="visible" r:id="rId14"/>
    <sheet xmlns:r="http://schemas.openxmlformats.org/officeDocument/2006/relationships" name="Exposure" sheetId="15" state="visible" r:id="rId15"/>
    <sheet xmlns:r="http://schemas.openxmlformats.org/officeDocument/2006/relationships" name="Diagnostics" sheetId="16" state="visible" r:id="rId16"/>
    <sheet xmlns:r="http://schemas.openxmlformats.org/officeDocument/2006/relationships" name="CV &amp; Slopes" sheetId="17" state="visible" r:id="rId17"/>
    <sheet xmlns:r="http://schemas.openxmlformats.org/officeDocument/2006/relationships" name="Incurred-to-Ult" sheetId="18" state="visible" r:id="rId18"/>
    <sheet xmlns:r="http://schemas.openxmlformats.org/officeDocument/2006/relationships" name="Paid-to-Ult" sheetId="19" state="visible" r:id="rId19"/>
    <sheet xmlns:r="http://schemas.openxmlformats.org/officeDocument/2006/relationships" name="Reported-to-Ult" sheetId="20" state="visible" r:id="rId20"/>
    <sheet xmlns:r="http://schemas.openxmlformats.org/officeDocument/2006/relationships" name="Average IBNR" sheetId="21" state="visible" r:id="rId21"/>
    <sheet xmlns:r="http://schemas.openxmlformats.org/officeDocument/2006/relationships" name="Average Unpaid" sheetId="22" state="visible" r:id="rId22"/>
    <sheet xmlns:r="http://schemas.openxmlformats.org/officeDocument/2006/relationships" name="Summary Diagnostic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0"/>
    <numFmt numFmtId="165" formatCode="0.0%"/>
    <numFmt numFmtId="166" formatCode="0.0000"/>
  </numFmts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sz val="9"/>
    </font>
    <font>
      <b val="1"/>
      <sz val="9"/>
    </font>
    <font>
      <b val="1"/>
      <color rgb="00FFFFFF"/>
      <sz val="11"/>
    </font>
    <font>
      <name val="Calibri"/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6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/>
    </xf>
    <xf numFmtId="3" fontId="2" fillId="0" borderId="1" pivotButton="0" quotePrefix="0" xfId="0"/>
    <xf numFmtId="49" fontId="2" fillId="0" borderId="1" pivotButton="0" quotePrefix="0" xfId="0"/>
    <xf numFmtId="164" fontId="2" fillId="0" borderId="1" applyAlignment="1" pivotButton="0" quotePrefix="0" xfId="0">
      <alignment horizontal="right" vertical="center"/>
    </xf>
    <xf numFmtId="164" fontId="2" fillId="0" borderId="1" pivotButton="0" quotePrefix="0" xfId="0"/>
    <xf numFmtId="165" fontId="2" fillId="0" borderId="1" pivotButton="0" quotePrefix="0" xfId="0"/>
    <xf numFmtId="0" fontId="3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right"/>
    </xf>
    <xf numFmtId="166" fontId="2" fillId="0" borderId="1" applyAlignment="1" pivotButton="0" quotePrefix="0" xfId="0">
      <alignment horizontal="right"/>
    </xf>
    <xf numFmtId="0" fontId="1" fillId="2" borderId="1" applyAlignment="1" pivotButton="0" quotePrefix="0" xfId="0">
      <alignment horizontal="center"/>
    </xf>
    <xf numFmtId="0" fontId="3" fillId="0" borderId="1" pivotButton="0" quotePrefix="0" xfId="0"/>
    <xf numFmtId="0" fontId="0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166" fontId="0" fillId="3" borderId="1" pivotButton="0" quotePrefix="0" xfId="0"/>
    <xf numFmtId="164" fontId="2" fillId="3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0" fontId="0" fillId="0" borderId="5" pivotButton="0" quotePrefix="0" xfId="0"/>
    <xf numFmtId="10" fontId="2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</cols>
  <sheetData>
    <row r="1" ht="24" customHeight="1">
      <c r="A1" s="1" t="inlineStr">
        <is>
          <t>Reserve Analysis - Complete Analysis</t>
        </is>
      </c>
      <c r="B1" s="2" t="n"/>
    </row>
    <row r="2">
      <c r="A2" s="3" t="inlineStr">
        <is>
          <t>Workbook Information</t>
        </is>
      </c>
      <c r="B2" s="2" t="n"/>
    </row>
    <row r="3">
      <c r="A3" s="4" t="inlineStr">
        <is>
          <t>Created:</t>
        </is>
      </c>
      <c r="B3" s="5" t="inlineStr">
        <is>
          <t>April 28, 2026 10:13 AM</t>
        </is>
      </c>
    </row>
    <row r="4">
      <c r="A4" s="4" t="inlineStr">
        <is>
          <t>Description:</t>
        </is>
      </c>
      <c r="B4" s="5" t="inlineStr">
        <is>
          <t>Complete actuarial reserve analysis combining selections, ultimates, and diagnostics</t>
        </is>
      </c>
    </row>
    <row r="6">
      <c r="A6" s="3" t="inlineStr">
        <is>
          <t>Table of Contents</t>
        </is>
      </c>
      <c r="B6" s="2" t="n"/>
    </row>
    <row r="7">
      <c r="A7" s="6" t="inlineStr">
        <is>
          <t>Name</t>
        </is>
      </c>
      <c r="B7" s="6" t="inlineStr">
        <is>
          <t>Description</t>
        </is>
      </c>
    </row>
    <row r="8">
      <c r="A8" s="5" t="inlineStr">
        <is>
          <t>Loss Selection</t>
        </is>
      </c>
      <c r="B8" s="7" t="inlineStr">
        <is>
          <t>Actuary-selected ultimates for loss measures. Compare CL/BF/IE methods and record final selection.</t>
        </is>
      </c>
    </row>
    <row r="9">
      <c r="A9" s="5" t="inlineStr">
        <is>
          <t>Incurred CL</t>
        </is>
      </c>
      <c r="B9" s="7" t="inlineStr">
        <is>
          <t>Chain Ladder method results. Ultimate = Actual × CDF. IBNR = Ultimate − Actual. Unpaid = Ultimate − latest paid (proxy measure).</t>
        </is>
      </c>
    </row>
    <row r="10">
      <c r="A10" s="5" t="inlineStr">
        <is>
          <t>Paid CL</t>
        </is>
      </c>
      <c r="B10" s="7" t="inlineStr">
        <is>
          <t>Chain Ladder method results. Ultimate = Actual × CDF. IBNR = Ultimate − Actual. Unpaid = Ultimate − latest paid (proxy measure).</t>
        </is>
      </c>
    </row>
    <row r="11">
      <c r="A11" s="5" t="inlineStr">
        <is>
          <t>Incurred BF</t>
        </is>
      </c>
      <c r="B11" s="7" t="inlineStr">
        <is>
          <t>Bornhuetter-Ferguson method. Blends Initial Expected with emerged experience. % Unreported = 1 − 1/CDF. Ultimate = (IE × % Unreported) + Actual.</t>
        </is>
      </c>
    </row>
    <row r="12">
      <c r="A12" s="5" t="inlineStr">
        <is>
          <t>Paid BF</t>
        </is>
      </c>
      <c r="B12" s="7" t="inlineStr">
        <is>
          <t>Bornhuetter-Ferguson method. Blends Initial Expected with emerged experience. % Unreported = 1 − 1/CDF. Ultimate = (IE × % Unreported) + Actual.</t>
        </is>
      </c>
    </row>
    <row r="13">
      <c r="A13" s="5" t="inlineStr">
        <is>
          <t>IE</t>
        </is>
      </c>
      <c r="B13" s="7" t="inlineStr">
        <is>
          <t>Analysis results</t>
        </is>
      </c>
    </row>
    <row r="14">
      <c r="A14" s="5" t="inlineStr">
        <is>
          <t>Count Selection</t>
        </is>
      </c>
      <c r="B14" s="7" t="inlineStr">
        <is>
          <t>Analysis results</t>
        </is>
      </c>
    </row>
    <row r="15">
      <c r="A15" s="5" t="inlineStr">
        <is>
          <t>Closed CL</t>
        </is>
      </c>
      <c r="B15" s="7" t="inlineStr">
        <is>
          <t>Chain Ladder method results. Ultimate = Actual × CDF. IBNR = Ultimate − Actual. Unpaid = Ultimate − latest paid (proxy measure).</t>
        </is>
      </c>
    </row>
    <row r="16">
      <c r="A16" s="5" t="inlineStr">
        <is>
          <t>Reported CL</t>
        </is>
      </c>
      <c r="B16" s="7" t="inlineStr">
        <is>
          <t>Chain Ladder method results. Ultimate = Actual × CDF. IBNR = Ultimate − Actual. Unpaid = Ultimate − latest paid (proxy measure).</t>
        </is>
      </c>
    </row>
    <row r="17">
      <c r="A17" s="5" t="inlineStr">
        <is>
          <t>Reported BF</t>
        </is>
      </c>
      <c r="B17" s="7" t="inlineStr">
        <is>
          <t>Bornhuetter-Ferguson method. Blends Initial Expected with emerged experience. % Unreported = 1 − 1/CDF. Ultimate = (IE × % Unreported) + Actual.</t>
        </is>
      </c>
    </row>
    <row r="18">
      <c r="A18" s="5" t="inlineStr">
        <is>
          <t>Incurred</t>
        </is>
      </c>
      <c r="B18" s="7" t="inlineStr">
        <is>
          <t>Incurred development triangle with age-to-age factors, weighted/simple averages, and selected LDFs.</t>
        </is>
      </c>
    </row>
    <row r="19">
      <c r="A19" s="5" t="inlineStr">
        <is>
          <t>Paid</t>
        </is>
      </c>
      <c r="B19" s="7" t="inlineStr">
        <is>
          <t>Paid development triangle with age-to-age factors, weighted/simple averages, and selected LDFs.</t>
        </is>
      </c>
    </row>
    <row r="20">
      <c r="A20" s="5" t="inlineStr">
        <is>
          <t>Reported</t>
        </is>
      </c>
      <c r="B20" s="7" t="inlineStr">
        <is>
          <t>Reported development triangle with age-to-age factors, weighted/simple averages, and selected LDFs.</t>
        </is>
      </c>
    </row>
    <row r="21">
      <c r="A21" s="5" t="inlineStr">
        <is>
          <t>Exposure</t>
        </is>
      </c>
      <c r="B21" s="7" t="inlineStr">
        <is>
          <t>Exposure development triangle with age-to-age factors, weighted/simple averages, and selected LDFs.</t>
        </is>
      </c>
    </row>
    <row r="22">
      <c r="A22" s="5" t="inlineStr">
        <is>
          <t>Diagnostics</t>
        </is>
      </c>
      <c r="B22" s="7" t="inlineStr">
        <is>
          <t>Post-selection reasonableness checks. Severity = Ultimate Loss / Ultimate Count. Loss Rate and Frequency require Exposure.</t>
        </is>
      </c>
    </row>
    <row r="23">
      <c r="A23" s="5" t="inlineStr">
        <is>
          <t>CV &amp; Slopes</t>
        </is>
      </c>
      <c r="B23" s="7" t="inlineStr">
        <is>
          <t>Analysis results</t>
        </is>
      </c>
    </row>
    <row r="24">
      <c r="A24" s="5" t="inlineStr">
        <is>
          <t>Incurred-to-Ult</t>
        </is>
      </c>
      <c r="B24" s="7" t="inlineStr">
        <is>
          <t>Incurred loss as a percent of selected ultimate by age. Values approach 1.0 as periods mature.</t>
        </is>
      </c>
    </row>
    <row r="25">
      <c r="A25" s="5" t="inlineStr">
        <is>
          <t>Paid-to-Ult</t>
        </is>
      </c>
      <c r="B25" s="7" t="inlineStr">
        <is>
          <t>Paid loss as a percent of selected ultimate by age. Values approach 1.0 as periods mature.</t>
        </is>
      </c>
    </row>
    <row r="26">
      <c r="A26" s="5" t="inlineStr">
        <is>
          <t>Reported-to-Ult</t>
        </is>
      </c>
      <c r="B26" s="7" t="inlineStr">
        <is>
          <t>Reported count as a percent of selected ultimate by age. Values approach 1.0 as periods mature.</t>
        </is>
      </c>
    </row>
    <row r="27">
      <c r="A27" s="5" t="inlineStr">
        <is>
          <t>Average IBNR</t>
        </is>
      </c>
      <c r="B27" s="7" t="inlineStr">
        <is>
          <t>Selected Ultimate minus Incurred at each development age. Shows average reserve need remaining by age.</t>
        </is>
      </c>
    </row>
    <row r="28">
      <c r="A28" s="5" t="inlineStr">
        <is>
          <t>Average Unpaid</t>
        </is>
      </c>
      <c r="B28" s="7" t="inlineStr">
        <is>
          <t>Selected Ultimate minus Paid at each development age. Shows average unpaid reserve remaining by age.</t>
        </is>
      </c>
    </row>
    <row r="29">
      <c r="A29" s="5" t="inlineStr">
        <is>
          <t>Summary Diagnostics</t>
        </is>
      </c>
      <c r="B29" s="7" t="inlineStr">
        <is>
          <t>Analysis results</t>
        </is>
      </c>
    </row>
  </sheetData>
  <mergeCells count="5">
    <mergeCell ref="B4"/>
    <mergeCell ref="A2:B2"/>
    <mergeCell ref="A1:B1"/>
    <mergeCell ref="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40" customWidth="1" min="13" max="13"/>
  </cols>
  <sheetData>
    <row r="1">
      <c r="A1" s="8" t="inlineStr">
        <is>
          <t>Accident Period</t>
        </is>
      </c>
      <c r="B1" s="8" t="inlineStr">
        <is>
          <t>Current Age</t>
        </is>
      </c>
      <c r="C1" s="8" t="inlineStr">
        <is>
          <t>Incurred</t>
        </is>
      </c>
      <c r="D1" s="8" t="inlineStr">
        <is>
          <t>Paid</t>
        </is>
      </c>
      <c r="E1" s="8" t="inlineStr">
        <is>
          <t>Incurred CL</t>
        </is>
      </c>
      <c r="F1" s="8" t="inlineStr">
        <is>
          <t>Paid CL</t>
        </is>
      </c>
      <c r="G1" s="8" t="inlineStr">
        <is>
          <t>Initial Expected</t>
        </is>
      </c>
      <c r="H1" s="8" t="inlineStr">
        <is>
          <t>Incurred BF</t>
        </is>
      </c>
      <c r="I1" s="8" t="inlineStr">
        <is>
          <t>Paid BF</t>
        </is>
      </c>
      <c r="J1" s="8" t="inlineStr">
        <is>
          <t>Selected Ultimate</t>
        </is>
      </c>
      <c r="K1" s="8" t="inlineStr">
        <is>
          <t>IBNR</t>
        </is>
      </c>
      <c r="L1" s="8" t="inlineStr">
        <is>
          <t>Unpaid</t>
        </is>
      </c>
      <c r="M1" s="8" t="inlineStr">
        <is>
          <t>Selected Reasoning</t>
        </is>
      </c>
    </row>
    <row r="2">
      <c r="A2" s="9" t="n">
        <v>2001</v>
      </c>
      <c r="B2" s="9" t="n">
        <v>287</v>
      </c>
      <c r="C2" s="10">
        <f>'Incurred CL'!C2</f>
        <v/>
      </c>
      <c r="D2" s="10">
        <f>'Paid CL'!C2</f>
        <v/>
      </c>
      <c r="E2" s="10">
        <f>'Incurred CL'!E2</f>
        <v/>
      </c>
      <c r="F2" s="10">
        <f>'Paid CL'!E2</f>
        <v/>
      </c>
      <c r="G2" s="10">
        <f>'IE'!D2</f>
        <v/>
      </c>
      <c r="H2" s="10">
        <f>'Incurred BF'!H2</f>
        <v/>
      </c>
      <c r="I2" s="10">
        <f>'Paid BF'!H2</f>
        <v/>
      </c>
      <c r="J2" s="10">
        <f>IF('C:\Users\super\Documents\actuarial\cas-rfp\spec-only\team-analyst\sample-data\sample-run\selections\[Ultimates.xlsx]Losses'!O2&lt;&gt;"",'C:\Users\super\Documents\actuarial\cas-rfp\spec-only\team-analyst\sample-data\sample-run\selections\[Ultimates.xlsx]Losses'!O2,'C:\Users\super\Documents\actuarial\cas-rfp\spec-only\team-analyst\sample-data\sample-run\selections\[Ultimates.xlsx]Losses'!K2)</f>
        <v/>
      </c>
      <c r="K2" s="10">
        <f>J2-C2</f>
        <v/>
      </c>
      <c r="L2" s="10">
        <f>J2-D2</f>
        <v/>
      </c>
      <c r="M2" s="11">
        <f>IF('C:\Users\super\Documents\actuarial\cas-rfp\spec-only\team-analyst\sample-data\sample-run\selections\[Ultimates.xlsx]Losses'!O2&lt;&gt;"",'C:\Users\super\Documents\actuarial\cas-rfp\spec-only\team-analyst\sample-data\sample-run\selections\[Ultimates.xlsx]Losses'!P2,'C:\Users\super\Documents\actuarial\cas-rfp\spec-only\team-analyst\sample-data\sample-run\selections\[Ultimates.xlsx]Losses'!L2)</f>
        <v/>
      </c>
    </row>
    <row r="3">
      <c r="A3" s="9" t="n">
        <v>2002</v>
      </c>
      <c r="B3" s="9" t="n">
        <v>275</v>
      </c>
      <c r="C3" s="10">
        <f>'Incurred CL'!C3</f>
        <v/>
      </c>
      <c r="D3" s="10">
        <f>'Paid CL'!C3</f>
        <v/>
      </c>
      <c r="E3" s="10">
        <f>'Incurred CL'!E3</f>
        <v/>
      </c>
      <c r="F3" s="10">
        <f>'Paid CL'!E3</f>
        <v/>
      </c>
      <c r="G3" s="10">
        <f>'IE'!D3</f>
        <v/>
      </c>
      <c r="H3" s="10">
        <f>'Incurred BF'!H3</f>
        <v/>
      </c>
      <c r="I3" s="10">
        <f>'Paid BF'!H3</f>
        <v/>
      </c>
      <c r="J3" s="10">
        <f>IF('C:\Users\super\Documents\actuarial\cas-rfp\spec-only\team-analyst\sample-data\sample-run\selections\[Ultimates.xlsx]Losses'!O3&lt;&gt;"",'C:\Users\super\Documents\actuarial\cas-rfp\spec-only\team-analyst\sample-data\sample-run\selections\[Ultimates.xlsx]Losses'!O3,'C:\Users\super\Documents\actuarial\cas-rfp\spec-only\team-analyst\sample-data\sample-run\selections\[Ultimates.xlsx]Losses'!K3)</f>
        <v/>
      </c>
      <c r="K3" s="10">
        <f>J3-C3</f>
        <v/>
      </c>
      <c r="L3" s="10">
        <f>J3-D3</f>
        <v/>
      </c>
      <c r="M3" s="11">
        <f>IF('C:\Users\super\Documents\actuarial\cas-rfp\spec-only\team-analyst\sample-data\sample-run\selections\[Ultimates.xlsx]Losses'!O3&lt;&gt;"",'C:\Users\super\Documents\actuarial\cas-rfp\spec-only\team-analyst\sample-data\sample-run\selections\[Ultimates.xlsx]Losses'!P3,'C:\Users\super\Documents\actuarial\cas-rfp\spec-only\team-analyst\sample-data\sample-run\selections\[Ultimates.xlsx]Losses'!L3)</f>
        <v/>
      </c>
    </row>
    <row r="4">
      <c r="A4" s="9" t="n">
        <v>2003</v>
      </c>
      <c r="B4" s="9" t="n">
        <v>263</v>
      </c>
      <c r="C4" s="10">
        <f>'Incurred CL'!C4</f>
        <v/>
      </c>
      <c r="D4" s="10">
        <f>'Paid CL'!C4</f>
        <v/>
      </c>
      <c r="E4" s="10">
        <f>'Incurred CL'!E4</f>
        <v/>
      </c>
      <c r="F4" s="10">
        <f>'Paid CL'!E4</f>
        <v/>
      </c>
      <c r="G4" s="10">
        <f>'IE'!D4</f>
        <v/>
      </c>
      <c r="H4" s="10">
        <f>'Incurred BF'!H4</f>
        <v/>
      </c>
      <c r="I4" s="10">
        <f>'Paid BF'!H4</f>
        <v/>
      </c>
      <c r="J4" s="10">
        <f>IF('C:\Users\super\Documents\actuarial\cas-rfp\spec-only\team-analyst\sample-data\sample-run\selections\[Ultimates.xlsx]Losses'!O4&lt;&gt;"",'C:\Users\super\Documents\actuarial\cas-rfp\spec-only\team-analyst\sample-data\sample-run\selections\[Ultimates.xlsx]Losses'!O4,'C:\Users\super\Documents\actuarial\cas-rfp\spec-only\team-analyst\sample-data\sample-run\selections\[Ultimates.xlsx]Losses'!K4)</f>
        <v/>
      </c>
      <c r="K4" s="10">
        <f>J4-C4</f>
        <v/>
      </c>
      <c r="L4" s="10">
        <f>J4-D4</f>
        <v/>
      </c>
      <c r="M4" s="11">
        <f>IF('C:\Users\super\Documents\actuarial\cas-rfp\spec-only\team-analyst\sample-data\sample-run\selections\[Ultimates.xlsx]Losses'!O4&lt;&gt;"",'C:\Users\super\Documents\actuarial\cas-rfp\spec-only\team-analyst\sample-data\sample-run\selections\[Ultimates.xlsx]Losses'!P4,'C:\Users\super\Documents\actuarial\cas-rfp\spec-only\team-analyst\sample-data\sample-run\selections\[Ultimates.xlsx]Losses'!L4)</f>
        <v/>
      </c>
    </row>
    <row r="5">
      <c r="A5" s="9" t="n">
        <v>2004</v>
      </c>
      <c r="B5" s="9" t="n">
        <v>251</v>
      </c>
      <c r="C5" s="10">
        <f>'Incurred CL'!C5</f>
        <v/>
      </c>
      <c r="D5" s="10">
        <f>'Paid CL'!C5</f>
        <v/>
      </c>
      <c r="E5" s="10">
        <f>'Incurred CL'!E5</f>
        <v/>
      </c>
      <c r="F5" s="10">
        <f>'Paid CL'!E5</f>
        <v/>
      </c>
      <c r="G5" s="10">
        <f>'IE'!D5</f>
        <v/>
      </c>
      <c r="H5" s="10">
        <f>'Incurred BF'!H5</f>
        <v/>
      </c>
      <c r="I5" s="10">
        <f>'Paid BF'!H5</f>
        <v/>
      </c>
      <c r="J5" s="10">
        <f>IF('C:\Users\super\Documents\actuarial\cas-rfp\spec-only\team-analyst\sample-data\sample-run\selections\[Ultimates.xlsx]Losses'!O5&lt;&gt;"",'C:\Users\super\Documents\actuarial\cas-rfp\spec-only\team-analyst\sample-data\sample-run\selections\[Ultimates.xlsx]Losses'!O5,'C:\Users\super\Documents\actuarial\cas-rfp\spec-only\team-analyst\sample-data\sample-run\selections\[Ultimates.xlsx]Losses'!K5)</f>
        <v/>
      </c>
      <c r="K5" s="10">
        <f>J5-C5</f>
        <v/>
      </c>
      <c r="L5" s="10">
        <f>J5-D5</f>
        <v/>
      </c>
      <c r="M5" s="11">
        <f>IF('C:\Users\super\Documents\actuarial\cas-rfp\spec-only\team-analyst\sample-data\sample-run\selections\[Ultimates.xlsx]Losses'!O5&lt;&gt;"",'C:\Users\super\Documents\actuarial\cas-rfp\spec-only\team-analyst\sample-data\sample-run\selections\[Ultimates.xlsx]Losses'!P5,'C:\Users\super\Documents\actuarial\cas-rfp\spec-only\team-analyst\sample-data\sample-run\selections\[Ultimates.xlsx]Losses'!L5)</f>
        <v/>
      </c>
    </row>
    <row r="6">
      <c r="A6" s="9" t="n">
        <v>2005</v>
      </c>
      <c r="B6" s="9" t="n">
        <v>239</v>
      </c>
      <c r="C6" s="10">
        <f>'Incurred CL'!C6</f>
        <v/>
      </c>
      <c r="D6" s="10">
        <f>'Paid CL'!C6</f>
        <v/>
      </c>
      <c r="E6" s="10">
        <f>'Incurred CL'!E6</f>
        <v/>
      </c>
      <c r="F6" s="10">
        <f>'Paid CL'!E6</f>
        <v/>
      </c>
      <c r="G6" s="10">
        <f>'IE'!D6</f>
        <v/>
      </c>
      <c r="H6" s="10">
        <f>'Incurred BF'!H6</f>
        <v/>
      </c>
      <c r="I6" s="10">
        <f>'Paid BF'!H6</f>
        <v/>
      </c>
      <c r="J6" s="10">
        <f>IF('C:\Users\super\Documents\actuarial\cas-rfp\spec-only\team-analyst\sample-data\sample-run\selections\[Ultimates.xlsx]Losses'!O6&lt;&gt;"",'C:\Users\super\Documents\actuarial\cas-rfp\spec-only\team-analyst\sample-data\sample-run\selections\[Ultimates.xlsx]Losses'!O6,'C:\Users\super\Documents\actuarial\cas-rfp\spec-only\team-analyst\sample-data\sample-run\selections\[Ultimates.xlsx]Losses'!K6)</f>
        <v/>
      </c>
      <c r="K6" s="10">
        <f>J6-C6</f>
        <v/>
      </c>
      <c r="L6" s="10">
        <f>J6-D6</f>
        <v/>
      </c>
      <c r="M6" s="11">
        <f>IF('C:\Users\super\Documents\actuarial\cas-rfp\spec-only\team-analyst\sample-data\sample-run\selections\[Ultimates.xlsx]Losses'!O6&lt;&gt;"",'C:\Users\super\Documents\actuarial\cas-rfp\spec-only\team-analyst\sample-data\sample-run\selections\[Ultimates.xlsx]Losses'!P6,'C:\Users\super\Documents\actuarial\cas-rfp\spec-only\team-analyst\sample-data\sample-run\selections\[Ultimates.xlsx]Losses'!L6)</f>
        <v/>
      </c>
    </row>
    <row r="7">
      <c r="A7" s="9" t="n">
        <v>2006</v>
      </c>
      <c r="B7" s="9" t="n">
        <v>227</v>
      </c>
      <c r="C7" s="10">
        <f>'Incurred CL'!C7</f>
        <v/>
      </c>
      <c r="D7" s="10">
        <f>'Paid CL'!C7</f>
        <v/>
      </c>
      <c r="E7" s="10">
        <f>'Incurred CL'!E7</f>
        <v/>
      </c>
      <c r="F7" s="10">
        <f>'Paid CL'!E7</f>
        <v/>
      </c>
      <c r="G7" s="10">
        <f>'IE'!D7</f>
        <v/>
      </c>
      <c r="H7" s="10">
        <f>'Incurred BF'!H7</f>
        <v/>
      </c>
      <c r="I7" s="10">
        <f>'Paid BF'!H7</f>
        <v/>
      </c>
      <c r="J7" s="10">
        <f>IF('C:\Users\super\Documents\actuarial\cas-rfp\spec-only\team-analyst\sample-data\sample-run\selections\[Ultimates.xlsx]Losses'!O7&lt;&gt;"",'C:\Users\super\Documents\actuarial\cas-rfp\spec-only\team-analyst\sample-data\sample-run\selections\[Ultimates.xlsx]Losses'!O7,'C:\Users\super\Documents\actuarial\cas-rfp\spec-only\team-analyst\sample-data\sample-run\selections\[Ultimates.xlsx]Losses'!K7)</f>
        <v/>
      </c>
      <c r="K7" s="10">
        <f>J7-C7</f>
        <v/>
      </c>
      <c r="L7" s="10">
        <f>J7-D7</f>
        <v/>
      </c>
      <c r="M7" s="11">
        <f>IF('C:\Users\super\Documents\actuarial\cas-rfp\spec-only\team-analyst\sample-data\sample-run\selections\[Ultimates.xlsx]Losses'!O7&lt;&gt;"",'C:\Users\super\Documents\actuarial\cas-rfp\spec-only\team-analyst\sample-data\sample-run\selections\[Ultimates.xlsx]Losses'!P7,'C:\Users\super\Documents\actuarial\cas-rfp\spec-only\team-analyst\sample-data\sample-run\selections\[Ultimates.xlsx]Losses'!L7)</f>
        <v/>
      </c>
    </row>
    <row r="8">
      <c r="A8" s="9" t="n">
        <v>2007</v>
      </c>
      <c r="B8" s="9" t="n">
        <v>215</v>
      </c>
      <c r="C8" s="10">
        <f>'Incurred CL'!C8</f>
        <v/>
      </c>
      <c r="D8" s="10">
        <f>'Paid CL'!C8</f>
        <v/>
      </c>
      <c r="E8" s="10">
        <f>'Incurred CL'!E8</f>
        <v/>
      </c>
      <c r="F8" s="10">
        <f>'Paid CL'!E8</f>
        <v/>
      </c>
      <c r="G8" s="10">
        <f>'IE'!D8</f>
        <v/>
      </c>
      <c r="H8" s="10">
        <f>'Incurred BF'!H8</f>
        <v/>
      </c>
      <c r="I8" s="10">
        <f>'Paid BF'!H8</f>
        <v/>
      </c>
      <c r="J8" s="10">
        <f>IF('C:\Users\super\Documents\actuarial\cas-rfp\spec-only\team-analyst\sample-data\sample-run\selections\[Ultimates.xlsx]Losses'!O8&lt;&gt;"",'C:\Users\super\Documents\actuarial\cas-rfp\spec-only\team-analyst\sample-data\sample-run\selections\[Ultimates.xlsx]Losses'!O8,'C:\Users\super\Documents\actuarial\cas-rfp\spec-only\team-analyst\sample-data\sample-run\selections\[Ultimates.xlsx]Losses'!K8)</f>
        <v/>
      </c>
      <c r="K8" s="10">
        <f>J8-C8</f>
        <v/>
      </c>
      <c r="L8" s="10">
        <f>J8-D8</f>
        <v/>
      </c>
      <c r="M8" s="11">
        <f>IF('C:\Users\super\Documents\actuarial\cas-rfp\spec-only\team-analyst\sample-data\sample-run\selections\[Ultimates.xlsx]Losses'!O8&lt;&gt;"",'C:\Users\super\Documents\actuarial\cas-rfp\spec-only\team-analyst\sample-data\sample-run\selections\[Ultimates.xlsx]Losses'!P8,'C:\Users\super\Documents\actuarial\cas-rfp\spec-only\team-analyst\sample-data\sample-run\selections\[Ultimates.xlsx]Losses'!L8)</f>
        <v/>
      </c>
    </row>
    <row r="9">
      <c r="A9" s="9" t="n">
        <v>2008</v>
      </c>
      <c r="B9" s="9" t="n">
        <v>203</v>
      </c>
      <c r="C9" s="10">
        <f>'Incurred CL'!C9</f>
        <v/>
      </c>
      <c r="D9" s="10">
        <f>'Paid CL'!C9</f>
        <v/>
      </c>
      <c r="E9" s="10">
        <f>'Incurred CL'!E9</f>
        <v/>
      </c>
      <c r="F9" s="10">
        <f>'Paid CL'!E9</f>
        <v/>
      </c>
      <c r="G9" s="10">
        <f>'IE'!D9</f>
        <v/>
      </c>
      <c r="H9" s="10">
        <f>'Incurred BF'!H9</f>
        <v/>
      </c>
      <c r="I9" s="10">
        <f>'Paid BF'!H9</f>
        <v/>
      </c>
      <c r="J9" s="10">
        <f>IF('C:\Users\super\Documents\actuarial\cas-rfp\spec-only\team-analyst\sample-data\sample-run\selections\[Ultimates.xlsx]Losses'!O9&lt;&gt;"",'C:\Users\super\Documents\actuarial\cas-rfp\spec-only\team-analyst\sample-data\sample-run\selections\[Ultimates.xlsx]Losses'!O9,'C:\Users\super\Documents\actuarial\cas-rfp\spec-only\team-analyst\sample-data\sample-run\selections\[Ultimates.xlsx]Losses'!K9)</f>
        <v/>
      </c>
      <c r="K9" s="10">
        <f>J9-C9</f>
        <v/>
      </c>
      <c r="L9" s="10">
        <f>J9-D9</f>
        <v/>
      </c>
      <c r="M9" s="11">
        <f>IF('C:\Users\super\Documents\actuarial\cas-rfp\spec-only\team-analyst\sample-data\sample-run\selections\[Ultimates.xlsx]Losses'!O9&lt;&gt;"",'C:\Users\super\Documents\actuarial\cas-rfp\spec-only\team-analyst\sample-data\sample-run\selections\[Ultimates.xlsx]Losses'!P9,'C:\Users\super\Documents\actuarial\cas-rfp\spec-only\team-analyst\sample-data\sample-run\selections\[Ultimates.xlsx]Losses'!L9)</f>
        <v/>
      </c>
    </row>
    <row r="10">
      <c r="A10" s="9" t="n">
        <v>2009</v>
      </c>
      <c r="B10" s="9" t="n">
        <v>191</v>
      </c>
      <c r="C10" s="10">
        <f>'Incurred CL'!C10</f>
        <v/>
      </c>
      <c r="D10" s="10">
        <f>'Paid CL'!C10</f>
        <v/>
      </c>
      <c r="E10" s="10">
        <f>'Incurred CL'!E10</f>
        <v/>
      </c>
      <c r="F10" s="10">
        <f>'Paid CL'!E10</f>
        <v/>
      </c>
      <c r="G10" s="10">
        <f>'IE'!D10</f>
        <v/>
      </c>
      <c r="H10" s="10">
        <f>'Incurred BF'!H10</f>
        <v/>
      </c>
      <c r="I10" s="10">
        <f>'Paid BF'!H10</f>
        <v/>
      </c>
      <c r="J10" s="10">
        <f>IF('C:\Users\super\Documents\actuarial\cas-rfp\spec-only\team-analyst\sample-data\sample-run\selections\[Ultimates.xlsx]Losses'!O10&lt;&gt;"",'C:\Users\super\Documents\actuarial\cas-rfp\spec-only\team-analyst\sample-data\sample-run\selections\[Ultimates.xlsx]Losses'!O10,'C:\Users\super\Documents\actuarial\cas-rfp\spec-only\team-analyst\sample-data\sample-run\selections\[Ultimates.xlsx]Losses'!K10)</f>
        <v/>
      </c>
      <c r="K10" s="10">
        <f>J10-C10</f>
        <v/>
      </c>
      <c r="L10" s="10">
        <f>J10-D10</f>
        <v/>
      </c>
      <c r="M10" s="11">
        <f>IF('C:\Users\super\Documents\actuarial\cas-rfp\spec-only\team-analyst\sample-data\sample-run\selections\[Ultimates.xlsx]Losses'!O10&lt;&gt;"",'C:\Users\super\Documents\actuarial\cas-rfp\spec-only\team-analyst\sample-data\sample-run\selections\[Ultimates.xlsx]Losses'!P10,'C:\Users\super\Documents\actuarial\cas-rfp\spec-only\team-analyst\sample-data\sample-run\selections\[Ultimates.xlsx]Losses'!L10)</f>
        <v/>
      </c>
    </row>
    <row r="11">
      <c r="A11" s="9" t="n">
        <v>2010</v>
      </c>
      <c r="B11" s="9" t="n">
        <v>179</v>
      </c>
      <c r="C11" s="10">
        <f>'Incurred CL'!C11</f>
        <v/>
      </c>
      <c r="D11" s="10">
        <f>'Paid CL'!C11</f>
        <v/>
      </c>
      <c r="E11" s="10">
        <f>'Incurred CL'!E11</f>
        <v/>
      </c>
      <c r="F11" s="10">
        <f>'Paid CL'!E11</f>
        <v/>
      </c>
      <c r="G11" s="10">
        <f>'IE'!D11</f>
        <v/>
      </c>
      <c r="H11" s="10">
        <f>'Incurred BF'!H11</f>
        <v/>
      </c>
      <c r="I11" s="10">
        <f>'Paid BF'!H11</f>
        <v/>
      </c>
      <c r="J11" s="10">
        <f>IF('C:\Users\super\Documents\actuarial\cas-rfp\spec-only\team-analyst\sample-data\sample-run\selections\[Ultimates.xlsx]Losses'!O11&lt;&gt;"",'C:\Users\super\Documents\actuarial\cas-rfp\spec-only\team-analyst\sample-data\sample-run\selections\[Ultimates.xlsx]Losses'!O11,'C:\Users\super\Documents\actuarial\cas-rfp\spec-only\team-analyst\sample-data\sample-run\selections\[Ultimates.xlsx]Losses'!K11)</f>
        <v/>
      </c>
      <c r="K11" s="10">
        <f>J11-C11</f>
        <v/>
      </c>
      <c r="L11" s="10">
        <f>J11-D11</f>
        <v/>
      </c>
      <c r="M11" s="11">
        <f>IF('C:\Users\super\Documents\actuarial\cas-rfp\spec-only\team-analyst\sample-data\sample-run\selections\[Ultimates.xlsx]Losses'!O11&lt;&gt;"",'C:\Users\super\Documents\actuarial\cas-rfp\spec-only\team-analyst\sample-data\sample-run\selections\[Ultimates.xlsx]Losses'!P11,'C:\Users\super\Documents\actuarial\cas-rfp\spec-only\team-analyst\sample-data\sample-run\selections\[Ultimates.xlsx]Losses'!L11)</f>
        <v/>
      </c>
    </row>
    <row r="12">
      <c r="A12" s="9" t="n">
        <v>2011</v>
      </c>
      <c r="B12" s="9" t="n">
        <v>167</v>
      </c>
      <c r="C12" s="10">
        <f>'Incurred CL'!C12</f>
        <v/>
      </c>
      <c r="D12" s="10">
        <f>'Paid CL'!C12</f>
        <v/>
      </c>
      <c r="E12" s="10">
        <f>'Incurred CL'!E12</f>
        <v/>
      </c>
      <c r="F12" s="10">
        <f>'Paid CL'!E12</f>
        <v/>
      </c>
      <c r="G12" s="10">
        <f>'IE'!D12</f>
        <v/>
      </c>
      <c r="H12" s="10">
        <f>'Incurred BF'!H12</f>
        <v/>
      </c>
      <c r="I12" s="10">
        <f>'Paid BF'!H12</f>
        <v/>
      </c>
      <c r="J12" s="10">
        <f>IF('C:\Users\super\Documents\actuarial\cas-rfp\spec-only\team-analyst\sample-data\sample-run\selections\[Ultimates.xlsx]Losses'!O12&lt;&gt;"",'C:\Users\super\Documents\actuarial\cas-rfp\spec-only\team-analyst\sample-data\sample-run\selections\[Ultimates.xlsx]Losses'!O12,'C:\Users\super\Documents\actuarial\cas-rfp\spec-only\team-analyst\sample-data\sample-run\selections\[Ultimates.xlsx]Losses'!K12)</f>
        <v/>
      </c>
      <c r="K12" s="10">
        <f>J12-C12</f>
        <v/>
      </c>
      <c r="L12" s="10">
        <f>J12-D12</f>
        <v/>
      </c>
      <c r="M12" s="11">
        <f>IF('C:\Users\super\Documents\actuarial\cas-rfp\spec-only\team-analyst\sample-data\sample-run\selections\[Ultimates.xlsx]Losses'!O12&lt;&gt;"",'C:\Users\super\Documents\actuarial\cas-rfp\spec-only\team-analyst\sample-data\sample-run\selections\[Ultimates.xlsx]Losses'!P12,'C:\Users\super\Documents\actuarial\cas-rfp\spec-only\team-analyst\sample-data\sample-run\selections\[Ultimates.xlsx]Losses'!L12)</f>
        <v/>
      </c>
    </row>
    <row r="13">
      <c r="A13" s="9" t="n">
        <v>2012</v>
      </c>
      <c r="B13" s="9" t="n">
        <v>155</v>
      </c>
      <c r="C13" s="10">
        <f>'Incurred CL'!C13</f>
        <v/>
      </c>
      <c r="D13" s="10">
        <f>'Paid CL'!C13</f>
        <v/>
      </c>
      <c r="E13" s="10">
        <f>'Incurred CL'!E13</f>
        <v/>
      </c>
      <c r="F13" s="10">
        <f>'Paid CL'!E13</f>
        <v/>
      </c>
      <c r="G13" s="10">
        <f>'IE'!D13</f>
        <v/>
      </c>
      <c r="H13" s="10">
        <f>'Incurred BF'!H13</f>
        <v/>
      </c>
      <c r="I13" s="10">
        <f>'Paid BF'!H13</f>
        <v/>
      </c>
      <c r="J13" s="10">
        <f>IF('C:\Users\super\Documents\actuarial\cas-rfp\spec-only\team-analyst\sample-data\sample-run\selections\[Ultimates.xlsx]Losses'!O13&lt;&gt;"",'C:\Users\super\Documents\actuarial\cas-rfp\spec-only\team-analyst\sample-data\sample-run\selections\[Ultimates.xlsx]Losses'!O13,'C:\Users\super\Documents\actuarial\cas-rfp\spec-only\team-analyst\sample-data\sample-run\selections\[Ultimates.xlsx]Losses'!K13)</f>
        <v/>
      </c>
      <c r="K13" s="10">
        <f>J13-C13</f>
        <v/>
      </c>
      <c r="L13" s="10">
        <f>J13-D13</f>
        <v/>
      </c>
      <c r="M13" s="11">
        <f>IF('C:\Users\super\Documents\actuarial\cas-rfp\spec-only\team-analyst\sample-data\sample-run\selections\[Ultimates.xlsx]Losses'!O13&lt;&gt;"",'C:\Users\super\Documents\actuarial\cas-rfp\spec-only\team-analyst\sample-data\sample-run\selections\[Ultimates.xlsx]Losses'!P13,'C:\Users\super\Documents\actuarial\cas-rfp\spec-only\team-analyst\sample-data\sample-run\selections\[Ultimates.xlsx]Losses'!L13)</f>
        <v/>
      </c>
    </row>
    <row r="14">
      <c r="A14" s="9" t="n">
        <v>2013</v>
      </c>
      <c r="B14" s="9" t="n">
        <v>143</v>
      </c>
      <c r="C14" s="10">
        <f>'Incurred CL'!C14</f>
        <v/>
      </c>
      <c r="D14" s="10">
        <f>'Paid CL'!C14</f>
        <v/>
      </c>
      <c r="E14" s="10">
        <f>'Incurred CL'!E14</f>
        <v/>
      </c>
      <c r="F14" s="10">
        <f>'Paid CL'!E14</f>
        <v/>
      </c>
      <c r="G14" s="10">
        <f>'IE'!D14</f>
        <v/>
      </c>
      <c r="H14" s="10">
        <f>'Incurred BF'!H14</f>
        <v/>
      </c>
      <c r="I14" s="10">
        <f>'Paid BF'!H14</f>
        <v/>
      </c>
      <c r="J14" s="10">
        <f>IF('C:\Users\super\Documents\actuarial\cas-rfp\spec-only\team-analyst\sample-data\sample-run\selections\[Ultimates.xlsx]Losses'!O14&lt;&gt;"",'C:\Users\super\Documents\actuarial\cas-rfp\spec-only\team-analyst\sample-data\sample-run\selections\[Ultimates.xlsx]Losses'!O14,'C:\Users\super\Documents\actuarial\cas-rfp\spec-only\team-analyst\sample-data\sample-run\selections\[Ultimates.xlsx]Losses'!K14)</f>
        <v/>
      </c>
      <c r="K14" s="10">
        <f>J14-C14</f>
        <v/>
      </c>
      <c r="L14" s="10">
        <f>J14-D14</f>
        <v/>
      </c>
      <c r="M14" s="11">
        <f>IF('C:\Users\super\Documents\actuarial\cas-rfp\spec-only\team-analyst\sample-data\sample-run\selections\[Ultimates.xlsx]Losses'!O14&lt;&gt;"",'C:\Users\super\Documents\actuarial\cas-rfp\spec-only\team-analyst\sample-data\sample-run\selections\[Ultimates.xlsx]Losses'!P14,'C:\Users\super\Documents\actuarial\cas-rfp\spec-only\team-analyst\sample-data\sample-run\selections\[Ultimates.xlsx]Losses'!L14)</f>
        <v/>
      </c>
    </row>
    <row r="15">
      <c r="A15" s="9" t="n">
        <v>2014</v>
      </c>
      <c r="B15" s="9" t="n">
        <v>131</v>
      </c>
      <c r="C15" s="10">
        <f>'Incurred CL'!C15</f>
        <v/>
      </c>
      <c r="D15" s="10">
        <f>'Paid CL'!C15</f>
        <v/>
      </c>
      <c r="E15" s="10">
        <f>'Incurred CL'!E15</f>
        <v/>
      </c>
      <c r="F15" s="10">
        <f>'Paid CL'!E15</f>
        <v/>
      </c>
      <c r="G15" s="10">
        <f>'IE'!D15</f>
        <v/>
      </c>
      <c r="H15" s="10">
        <f>'Incurred BF'!H15</f>
        <v/>
      </c>
      <c r="I15" s="10">
        <f>'Paid BF'!H15</f>
        <v/>
      </c>
      <c r="J15" s="10">
        <f>IF('C:\Users\super\Documents\actuarial\cas-rfp\spec-only\team-analyst\sample-data\sample-run\selections\[Ultimates.xlsx]Losses'!O15&lt;&gt;"",'C:\Users\super\Documents\actuarial\cas-rfp\spec-only\team-analyst\sample-data\sample-run\selections\[Ultimates.xlsx]Losses'!O15,'C:\Users\super\Documents\actuarial\cas-rfp\spec-only\team-analyst\sample-data\sample-run\selections\[Ultimates.xlsx]Losses'!K15)</f>
        <v/>
      </c>
      <c r="K15" s="10">
        <f>J15-C15</f>
        <v/>
      </c>
      <c r="L15" s="10">
        <f>J15-D15</f>
        <v/>
      </c>
      <c r="M15" s="11">
        <f>IF('C:\Users\super\Documents\actuarial\cas-rfp\spec-only\team-analyst\sample-data\sample-run\selections\[Ultimates.xlsx]Losses'!O15&lt;&gt;"",'C:\Users\super\Documents\actuarial\cas-rfp\spec-only\team-analyst\sample-data\sample-run\selections\[Ultimates.xlsx]Losses'!P15,'C:\Users\super\Documents\actuarial\cas-rfp\spec-only\team-analyst\sample-data\sample-run\selections\[Ultimates.xlsx]Losses'!L15)</f>
        <v/>
      </c>
    </row>
    <row r="16">
      <c r="A16" s="9" t="n">
        <v>2015</v>
      </c>
      <c r="B16" s="9" t="n">
        <v>119</v>
      </c>
      <c r="C16" s="10">
        <f>'Incurred CL'!C16</f>
        <v/>
      </c>
      <c r="D16" s="10">
        <f>'Paid CL'!C16</f>
        <v/>
      </c>
      <c r="E16" s="10">
        <f>'Incurred CL'!E16</f>
        <v/>
      </c>
      <c r="F16" s="10">
        <f>'Paid CL'!E16</f>
        <v/>
      </c>
      <c r="G16" s="10">
        <f>'IE'!D16</f>
        <v/>
      </c>
      <c r="H16" s="10">
        <f>'Incurred BF'!H16</f>
        <v/>
      </c>
      <c r="I16" s="10">
        <f>'Paid BF'!H16</f>
        <v/>
      </c>
      <c r="J16" s="10">
        <f>IF('C:\Users\super\Documents\actuarial\cas-rfp\spec-only\team-analyst\sample-data\sample-run\selections\[Ultimates.xlsx]Losses'!O16&lt;&gt;"",'C:\Users\super\Documents\actuarial\cas-rfp\spec-only\team-analyst\sample-data\sample-run\selections\[Ultimates.xlsx]Losses'!O16,'C:\Users\super\Documents\actuarial\cas-rfp\spec-only\team-analyst\sample-data\sample-run\selections\[Ultimates.xlsx]Losses'!K16)</f>
        <v/>
      </c>
      <c r="K16" s="10">
        <f>J16-C16</f>
        <v/>
      </c>
      <c r="L16" s="10">
        <f>J16-D16</f>
        <v/>
      </c>
      <c r="M16" s="11">
        <f>IF('C:\Users\super\Documents\actuarial\cas-rfp\spec-only\team-analyst\sample-data\sample-run\selections\[Ultimates.xlsx]Losses'!O16&lt;&gt;"",'C:\Users\super\Documents\actuarial\cas-rfp\spec-only\team-analyst\sample-data\sample-run\selections\[Ultimates.xlsx]Losses'!P16,'C:\Users\super\Documents\actuarial\cas-rfp\spec-only\team-analyst\sample-data\sample-run\selections\[Ultimates.xlsx]Losses'!L16)</f>
        <v/>
      </c>
    </row>
    <row r="17">
      <c r="A17" s="9" t="n">
        <v>2016</v>
      </c>
      <c r="B17" s="9" t="n">
        <v>107</v>
      </c>
      <c r="C17" s="10">
        <f>'Incurred CL'!C17</f>
        <v/>
      </c>
      <c r="D17" s="10">
        <f>'Paid CL'!C17</f>
        <v/>
      </c>
      <c r="E17" s="10">
        <f>'Incurred CL'!E17</f>
        <v/>
      </c>
      <c r="F17" s="10">
        <f>'Paid CL'!E17</f>
        <v/>
      </c>
      <c r="G17" s="10">
        <f>'IE'!D17</f>
        <v/>
      </c>
      <c r="H17" s="10">
        <f>'Incurred BF'!H17</f>
        <v/>
      </c>
      <c r="I17" s="10">
        <f>'Paid BF'!H17</f>
        <v/>
      </c>
      <c r="J17" s="10">
        <f>IF('C:\Users\super\Documents\actuarial\cas-rfp\spec-only\team-analyst\sample-data\sample-run\selections\[Ultimates.xlsx]Losses'!O17&lt;&gt;"",'C:\Users\super\Documents\actuarial\cas-rfp\spec-only\team-analyst\sample-data\sample-run\selections\[Ultimates.xlsx]Losses'!O17,'C:\Users\super\Documents\actuarial\cas-rfp\spec-only\team-analyst\sample-data\sample-run\selections\[Ultimates.xlsx]Losses'!K17)</f>
        <v/>
      </c>
      <c r="K17" s="10">
        <f>J17-C17</f>
        <v/>
      </c>
      <c r="L17" s="10">
        <f>J17-D17</f>
        <v/>
      </c>
      <c r="M17" s="11">
        <f>IF('C:\Users\super\Documents\actuarial\cas-rfp\spec-only\team-analyst\sample-data\sample-run\selections\[Ultimates.xlsx]Losses'!O17&lt;&gt;"",'C:\Users\super\Documents\actuarial\cas-rfp\spec-only\team-analyst\sample-data\sample-run\selections\[Ultimates.xlsx]Losses'!P17,'C:\Users\super\Documents\actuarial\cas-rfp\spec-only\team-analyst\sample-data\sample-run\selections\[Ultimates.xlsx]Losses'!L17)</f>
        <v/>
      </c>
    </row>
    <row r="18">
      <c r="A18" s="9" t="n">
        <v>2017</v>
      </c>
      <c r="B18" s="9" t="n">
        <v>95</v>
      </c>
      <c r="C18" s="10">
        <f>'Incurred CL'!C18</f>
        <v/>
      </c>
      <c r="D18" s="10">
        <f>'Paid CL'!C18</f>
        <v/>
      </c>
      <c r="E18" s="10">
        <f>'Incurred CL'!E18</f>
        <v/>
      </c>
      <c r="F18" s="10">
        <f>'Paid CL'!E18</f>
        <v/>
      </c>
      <c r="G18" s="10">
        <f>'IE'!D18</f>
        <v/>
      </c>
      <c r="H18" s="10">
        <f>'Incurred BF'!H18</f>
        <v/>
      </c>
      <c r="I18" s="10">
        <f>'Paid BF'!H18</f>
        <v/>
      </c>
      <c r="J18" s="10">
        <f>IF('C:\Users\super\Documents\actuarial\cas-rfp\spec-only\team-analyst\sample-data\sample-run\selections\[Ultimates.xlsx]Losses'!O18&lt;&gt;"",'C:\Users\super\Documents\actuarial\cas-rfp\spec-only\team-analyst\sample-data\sample-run\selections\[Ultimates.xlsx]Losses'!O18,'C:\Users\super\Documents\actuarial\cas-rfp\spec-only\team-analyst\sample-data\sample-run\selections\[Ultimates.xlsx]Losses'!K18)</f>
        <v/>
      </c>
      <c r="K18" s="10">
        <f>J18-C18</f>
        <v/>
      </c>
      <c r="L18" s="10">
        <f>J18-D18</f>
        <v/>
      </c>
      <c r="M18" s="11">
        <f>IF('C:\Users\super\Documents\actuarial\cas-rfp\spec-only\team-analyst\sample-data\sample-run\selections\[Ultimates.xlsx]Losses'!O18&lt;&gt;"",'C:\Users\super\Documents\actuarial\cas-rfp\spec-only\team-analyst\sample-data\sample-run\selections\[Ultimates.xlsx]Losses'!P18,'C:\Users\super\Documents\actuarial\cas-rfp\spec-only\team-analyst\sample-data\sample-run\selections\[Ultimates.xlsx]Losses'!L18)</f>
        <v/>
      </c>
    </row>
    <row r="19">
      <c r="A19" s="9" t="n">
        <v>2018</v>
      </c>
      <c r="B19" s="9" t="n">
        <v>83</v>
      </c>
      <c r="C19" s="10">
        <f>'Incurred CL'!C19</f>
        <v/>
      </c>
      <c r="D19" s="10">
        <f>'Paid CL'!C19</f>
        <v/>
      </c>
      <c r="E19" s="10">
        <f>'Incurred CL'!E19</f>
        <v/>
      </c>
      <c r="F19" s="10">
        <f>'Paid CL'!E19</f>
        <v/>
      </c>
      <c r="G19" s="10">
        <f>'IE'!D19</f>
        <v/>
      </c>
      <c r="H19" s="10">
        <f>'Incurred BF'!H19</f>
        <v/>
      </c>
      <c r="I19" s="10">
        <f>'Paid BF'!H19</f>
        <v/>
      </c>
      <c r="J19" s="10">
        <f>IF('C:\Users\super\Documents\actuarial\cas-rfp\spec-only\team-analyst\sample-data\sample-run\selections\[Ultimates.xlsx]Losses'!O19&lt;&gt;"",'C:\Users\super\Documents\actuarial\cas-rfp\spec-only\team-analyst\sample-data\sample-run\selections\[Ultimates.xlsx]Losses'!O19,'C:\Users\super\Documents\actuarial\cas-rfp\spec-only\team-analyst\sample-data\sample-run\selections\[Ultimates.xlsx]Losses'!K19)</f>
        <v/>
      </c>
      <c r="K19" s="10">
        <f>J19-C19</f>
        <v/>
      </c>
      <c r="L19" s="10">
        <f>J19-D19</f>
        <v/>
      </c>
      <c r="M19" s="11">
        <f>IF('C:\Users\super\Documents\actuarial\cas-rfp\spec-only\team-analyst\sample-data\sample-run\selections\[Ultimates.xlsx]Losses'!O19&lt;&gt;"",'C:\Users\super\Documents\actuarial\cas-rfp\spec-only\team-analyst\sample-data\sample-run\selections\[Ultimates.xlsx]Losses'!P19,'C:\Users\super\Documents\actuarial\cas-rfp\spec-only\team-analyst\sample-data\sample-run\selections\[Ultimates.xlsx]Losses'!L19)</f>
        <v/>
      </c>
    </row>
    <row r="20">
      <c r="A20" s="9" t="n">
        <v>2019</v>
      </c>
      <c r="B20" s="9" t="n">
        <v>71</v>
      </c>
      <c r="C20" s="10">
        <f>'Incurred CL'!C20</f>
        <v/>
      </c>
      <c r="D20" s="10">
        <f>'Paid CL'!C20</f>
        <v/>
      </c>
      <c r="E20" s="10">
        <f>'Incurred CL'!E20</f>
        <v/>
      </c>
      <c r="F20" s="10">
        <f>'Paid CL'!E20</f>
        <v/>
      </c>
      <c r="G20" s="10">
        <f>'IE'!D20</f>
        <v/>
      </c>
      <c r="H20" s="10">
        <f>'Incurred BF'!H20</f>
        <v/>
      </c>
      <c r="I20" s="10">
        <f>'Paid BF'!H20</f>
        <v/>
      </c>
      <c r="J20" s="10">
        <f>IF('C:\Users\super\Documents\actuarial\cas-rfp\spec-only\team-analyst\sample-data\sample-run\selections\[Ultimates.xlsx]Losses'!O20&lt;&gt;"",'C:\Users\super\Documents\actuarial\cas-rfp\spec-only\team-analyst\sample-data\sample-run\selections\[Ultimates.xlsx]Losses'!O20,'C:\Users\super\Documents\actuarial\cas-rfp\spec-only\team-analyst\sample-data\sample-run\selections\[Ultimates.xlsx]Losses'!K20)</f>
        <v/>
      </c>
      <c r="K20" s="10">
        <f>J20-C20</f>
        <v/>
      </c>
      <c r="L20" s="10">
        <f>J20-D20</f>
        <v/>
      </c>
      <c r="M20" s="11">
        <f>IF('C:\Users\super\Documents\actuarial\cas-rfp\spec-only\team-analyst\sample-data\sample-run\selections\[Ultimates.xlsx]Losses'!O20&lt;&gt;"",'C:\Users\super\Documents\actuarial\cas-rfp\spec-only\team-analyst\sample-data\sample-run\selections\[Ultimates.xlsx]Losses'!P20,'C:\Users\super\Documents\actuarial\cas-rfp\spec-only\team-analyst\sample-data\sample-run\selections\[Ultimates.xlsx]Losses'!L20)</f>
        <v/>
      </c>
    </row>
    <row r="21">
      <c r="A21" s="9" t="n">
        <v>2020</v>
      </c>
      <c r="B21" s="9" t="n">
        <v>59</v>
      </c>
      <c r="C21" s="10">
        <f>'Incurred CL'!C21</f>
        <v/>
      </c>
      <c r="D21" s="10">
        <f>'Paid CL'!C21</f>
        <v/>
      </c>
      <c r="E21" s="10">
        <f>'Incurred CL'!E21</f>
        <v/>
      </c>
      <c r="F21" s="10">
        <f>'Paid CL'!E21</f>
        <v/>
      </c>
      <c r="G21" s="10">
        <f>'IE'!D21</f>
        <v/>
      </c>
      <c r="H21" s="10">
        <f>'Incurred BF'!H21</f>
        <v/>
      </c>
      <c r="I21" s="10">
        <f>'Paid BF'!H21</f>
        <v/>
      </c>
      <c r="J21" s="10">
        <f>IF('C:\Users\super\Documents\actuarial\cas-rfp\spec-only\team-analyst\sample-data\sample-run\selections\[Ultimates.xlsx]Losses'!O21&lt;&gt;"",'C:\Users\super\Documents\actuarial\cas-rfp\spec-only\team-analyst\sample-data\sample-run\selections\[Ultimates.xlsx]Losses'!O21,'C:\Users\super\Documents\actuarial\cas-rfp\spec-only\team-analyst\sample-data\sample-run\selections\[Ultimates.xlsx]Losses'!K21)</f>
        <v/>
      </c>
      <c r="K21" s="10">
        <f>J21-C21</f>
        <v/>
      </c>
      <c r="L21" s="10">
        <f>J21-D21</f>
        <v/>
      </c>
      <c r="M21" s="11">
        <f>IF('C:\Users\super\Documents\actuarial\cas-rfp\spec-only\team-analyst\sample-data\sample-run\selections\[Ultimates.xlsx]Losses'!O21&lt;&gt;"",'C:\Users\super\Documents\actuarial\cas-rfp\spec-only\team-analyst\sample-data\sample-run\selections\[Ultimates.xlsx]Losses'!P21,'C:\Users\super\Documents\actuarial\cas-rfp\spec-only\team-analyst\sample-data\sample-run\selections\[Ultimates.xlsx]Losses'!L21)</f>
        <v/>
      </c>
    </row>
    <row r="22">
      <c r="A22" s="9" t="n">
        <v>2021</v>
      </c>
      <c r="B22" s="9" t="n">
        <v>47</v>
      </c>
      <c r="C22" s="10">
        <f>'Incurred CL'!C22</f>
        <v/>
      </c>
      <c r="D22" s="10">
        <f>'Paid CL'!C22</f>
        <v/>
      </c>
      <c r="E22" s="10">
        <f>'Incurred CL'!E22</f>
        <v/>
      </c>
      <c r="F22" s="10">
        <f>'Paid CL'!E22</f>
        <v/>
      </c>
      <c r="G22" s="10">
        <f>'IE'!D22</f>
        <v/>
      </c>
      <c r="H22" s="10">
        <f>'Incurred BF'!H22</f>
        <v/>
      </c>
      <c r="I22" s="10">
        <f>'Paid BF'!H22</f>
        <v/>
      </c>
      <c r="J22" s="10">
        <f>IF('C:\Users\super\Documents\actuarial\cas-rfp\spec-only\team-analyst\sample-data\sample-run\selections\[Ultimates.xlsx]Losses'!O22&lt;&gt;"",'C:\Users\super\Documents\actuarial\cas-rfp\spec-only\team-analyst\sample-data\sample-run\selections\[Ultimates.xlsx]Losses'!O22,'C:\Users\super\Documents\actuarial\cas-rfp\spec-only\team-analyst\sample-data\sample-run\selections\[Ultimates.xlsx]Losses'!K22)</f>
        <v/>
      </c>
      <c r="K22" s="10">
        <f>J22-C22</f>
        <v/>
      </c>
      <c r="L22" s="10">
        <f>J22-D22</f>
        <v/>
      </c>
      <c r="M22" s="11">
        <f>IF('C:\Users\super\Documents\actuarial\cas-rfp\spec-only\team-analyst\sample-data\sample-run\selections\[Ultimates.xlsx]Losses'!O22&lt;&gt;"",'C:\Users\super\Documents\actuarial\cas-rfp\spec-only\team-analyst\sample-data\sample-run\selections\[Ultimates.xlsx]Losses'!P22,'C:\Users\super\Documents\actuarial\cas-rfp\spec-only\team-analyst\sample-data\sample-run\selections\[Ultimates.xlsx]Losses'!L22)</f>
        <v/>
      </c>
    </row>
    <row r="23">
      <c r="A23" s="9" t="n">
        <v>2022</v>
      </c>
      <c r="B23" s="9" t="n">
        <v>35</v>
      </c>
      <c r="C23" s="10">
        <f>'Incurred CL'!C23</f>
        <v/>
      </c>
      <c r="D23" s="10">
        <f>'Paid CL'!C23</f>
        <v/>
      </c>
      <c r="E23" s="10">
        <f>'Incurred CL'!E23</f>
        <v/>
      </c>
      <c r="F23" s="10">
        <f>'Paid CL'!E23</f>
        <v/>
      </c>
      <c r="G23" s="10">
        <f>'IE'!D23</f>
        <v/>
      </c>
      <c r="H23" s="10">
        <f>'Incurred BF'!H23</f>
        <v/>
      </c>
      <c r="I23" s="10">
        <f>'Paid BF'!H23</f>
        <v/>
      </c>
      <c r="J23" s="10">
        <f>IF('C:\Users\super\Documents\actuarial\cas-rfp\spec-only\team-analyst\sample-data\sample-run\selections\[Ultimates.xlsx]Losses'!O23&lt;&gt;"",'C:\Users\super\Documents\actuarial\cas-rfp\spec-only\team-analyst\sample-data\sample-run\selections\[Ultimates.xlsx]Losses'!O23,'C:\Users\super\Documents\actuarial\cas-rfp\spec-only\team-analyst\sample-data\sample-run\selections\[Ultimates.xlsx]Losses'!K23)</f>
        <v/>
      </c>
      <c r="K23" s="10">
        <f>J23-C23</f>
        <v/>
      </c>
      <c r="L23" s="10">
        <f>J23-D23</f>
        <v/>
      </c>
      <c r="M23" s="11">
        <f>IF('C:\Users\super\Documents\actuarial\cas-rfp\spec-only\team-analyst\sample-data\sample-run\selections\[Ultimates.xlsx]Losses'!O23&lt;&gt;"",'C:\Users\super\Documents\actuarial\cas-rfp\spec-only\team-analyst\sample-data\sample-run\selections\[Ultimates.xlsx]Losses'!P23,'C:\Users\super\Documents\actuarial\cas-rfp\spec-only\team-analyst\sample-data\sample-run\selections\[Ultimates.xlsx]Losses'!L23)</f>
        <v/>
      </c>
    </row>
    <row r="24">
      <c r="A24" s="9" t="n">
        <v>2023</v>
      </c>
      <c r="B24" s="9" t="n">
        <v>23</v>
      </c>
      <c r="C24" s="10">
        <f>'Incurred CL'!C24</f>
        <v/>
      </c>
      <c r="D24" s="10">
        <f>'Paid CL'!C24</f>
        <v/>
      </c>
      <c r="E24" s="10">
        <f>'Incurred CL'!E24</f>
        <v/>
      </c>
      <c r="F24" s="10">
        <f>'Paid CL'!E24</f>
        <v/>
      </c>
      <c r="G24" s="10">
        <f>'IE'!D24</f>
        <v/>
      </c>
      <c r="H24" s="10">
        <f>'Incurred BF'!H24</f>
        <v/>
      </c>
      <c r="I24" s="10">
        <f>'Paid BF'!H24</f>
        <v/>
      </c>
      <c r="J24" s="10">
        <f>IF('C:\Users\super\Documents\actuarial\cas-rfp\spec-only\team-analyst\sample-data\sample-run\selections\[Ultimates.xlsx]Losses'!O24&lt;&gt;"",'C:\Users\super\Documents\actuarial\cas-rfp\spec-only\team-analyst\sample-data\sample-run\selections\[Ultimates.xlsx]Losses'!O24,'C:\Users\super\Documents\actuarial\cas-rfp\spec-only\team-analyst\sample-data\sample-run\selections\[Ultimates.xlsx]Losses'!K24)</f>
        <v/>
      </c>
      <c r="K24" s="10">
        <f>J24-C24</f>
        <v/>
      </c>
      <c r="L24" s="10">
        <f>J24-D24</f>
        <v/>
      </c>
      <c r="M24" s="11">
        <f>IF('C:\Users\super\Documents\actuarial\cas-rfp\spec-only\team-analyst\sample-data\sample-run\selections\[Ultimates.xlsx]Losses'!O24&lt;&gt;"",'C:\Users\super\Documents\actuarial\cas-rfp\spec-only\team-analyst\sample-data\sample-run\selections\[Ultimates.xlsx]Losses'!P24,'C:\Users\super\Documents\actuarial\cas-rfp\spec-only\team-analyst\sample-data\sample-run\selections\[Ultimates.xlsx]Losses'!L24)</f>
        <v/>
      </c>
    </row>
    <row r="25">
      <c r="A25" s="9" t="n">
        <v>2024</v>
      </c>
      <c r="B25" s="9" t="n">
        <v>11</v>
      </c>
      <c r="C25" s="10">
        <f>'Incurred CL'!C25</f>
        <v/>
      </c>
      <c r="D25" s="10">
        <f>'Paid CL'!C25</f>
        <v/>
      </c>
      <c r="E25" s="10">
        <f>'Incurred CL'!E25</f>
        <v/>
      </c>
      <c r="F25" s="10">
        <f>'Paid CL'!E25</f>
        <v/>
      </c>
      <c r="G25" s="10">
        <f>'IE'!D25</f>
        <v/>
      </c>
      <c r="H25" s="10">
        <f>'Incurred BF'!H25</f>
        <v/>
      </c>
      <c r="I25" s="10">
        <f>'Paid BF'!H25</f>
        <v/>
      </c>
      <c r="J25" s="10">
        <f>IF('C:\Users\super\Documents\actuarial\cas-rfp\spec-only\team-analyst\sample-data\sample-run\selections\[Ultimates.xlsx]Losses'!O25&lt;&gt;"",'C:\Users\super\Documents\actuarial\cas-rfp\spec-only\team-analyst\sample-data\sample-run\selections\[Ultimates.xlsx]Losses'!O25,'C:\Users\super\Documents\actuarial\cas-rfp\spec-only\team-analyst\sample-data\sample-run\selections\[Ultimates.xlsx]Losses'!K25)</f>
        <v/>
      </c>
      <c r="K25" s="10">
        <f>J25-C25</f>
        <v/>
      </c>
      <c r="L25" s="10">
        <f>J25-D25</f>
        <v/>
      </c>
      <c r="M25" s="11">
        <f>IF('C:\Users\super\Documents\actuarial\cas-rfp\spec-only\team-analyst\sample-data\sample-run\selections\[Ultimates.xlsx]Losses'!O25&lt;&gt;"",'C:\Users\super\Documents\actuarial\cas-rfp\spec-only\team-analyst\sample-data\sample-run\selections\[Ultimates.xlsx]Losses'!P25,'C:\Users\super\Documents\actuarial\cas-rfp\spec-only\team-analyst\sample-data\sample-run\selections\[Ultimates.xlsx]Losses'!L25)</f>
        <v/>
      </c>
    </row>
    <row r="26"/>
    <row r="27">
      <c r="A27" s="5" t="inlineStr">
        <is>
          <t>Total</t>
        </is>
      </c>
      <c r="C27" s="10">
        <f>SUM(C2:C25)</f>
        <v/>
      </c>
      <c r="D27" s="10">
        <f>SUM(D2:D25)</f>
        <v/>
      </c>
      <c r="E27" s="10">
        <f>SUM(E2:E25)</f>
        <v/>
      </c>
      <c r="F27" s="10">
        <f>SUM(F2:F25)</f>
        <v/>
      </c>
      <c r="G27" s="10">
        <f>SUM(G2:G25)</f>
        <v/>
      </c>
      <c r="H27" s="10">
        <f>SUM(H2:H25)</f>
        <v/>
      </c>
      <c r="I27" s="10">
        <f>SUM(I2:I25)</f>
        <v/>
      </c>
      <c r="J27" s="10">
        <f>SUM(J2:J25)</f>
        <v/>
      </c>
      <c r="K27" s="10">
        <f>SUM(K2:K25)</f>
        <v/>
      </c>
      <c r="L27" s="10">
        <f>SUM(L2:L25)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8" t="inlineStr">
        <is>
          <t>Accident Period</t>
        </is>
      </c>
      <c r="B1" s="8" t="inlineStr">
        <is>
          <t>Current Age</t>
        </is>
      </c>
      <c r="C1" s="8" t="inlineStr">
        <is>
          <t>Incurred</t>
        </is>
      </c>
      <c r="D1" s="8" t="inlineStr">
        <is>
          <t>CDF</t>
        </is>
      </c>
      <c r="E1" s="8" t="inlineStr">
        <is>
          <t>Ultimate</t>
        </is>
      </c>
      <c r="F1" s="8" t="inlineStr">
        <is>
          <t>IBNR</t>
        </is>
      </c>
      <c r="G1" s="8" t="inlineStr">
        <is>
          <t>Unpaid</t>
        </is>
      </c>
    </row>
    <row r="2">
      <c r="A2" s="9" t="n">
        <v>2001</v>
      </c>
      <c r="B2" s="9" t="n">
        <v>287</v>
      </c>
      <c r="C2" s="10">
        <f>'Incurred'!R3</f>
        <v/>
      </c>
      <c r="D2" s="12" t="n">
        <v>1.021551350628563</v>
      </c>
      <c r="E2" s="10">
        <f>IF(AND(ISNUMBER(C2),ISNUMBER(D2)),C2*D2,"")</f>
        <v/>
      </c>
      <c r="F2" s="10">
        <f>E2-C2</f>
        <v/>
      </c>
      <c r="G2" s="10">
        <f>E2-'Paid CL'!C2</f>
        <v/>
      </c>
    </row>
    <row r="3">
      <c r="A3" s="9" t="n">
        <v>2002</v>
      </c>
      <c r="B3" s="9" t="n">
        <v>275</v>
      </c>
      <c r="C3" s="10">
        <f>'Incurred'!R4</f>
        <v/>
      </c>
      <c r="D3" s="12" t="n">
        <v>1.033707811701043</v>
      </c>
      <c r="E3" s="10">
        <f>IF(AND(ISNUMBER(C3),ISNUMBER(D3)),C3*D3,"")</f>
        <v/>
      </c>
      <c r="F3" s="10">
        <f>E3-C3</f>
        <v/>
      </c>
      <c r="G3" s="10">
        <f>E3-'Paid CL'!C3</f>
        <v/>
      </c>
    </row>
    <row r="4">
      <c r="A4" s="9" t="n">
        <v>2003</v>
      </c>
      <c r="B4" s="9" t="n">
        <v>263</v>
      </c>
      <c r="C4" s="10">
        <f>'Incurred'!R5</f>
        <v/>
      </c>
      <c r="D4" s="12" t="n">
        <v>1.033707811701043</v>
      </c>
      <c r="E4" s="10">
        <f>IF(AND(ISNUMBER(C4),ISNUMBER(D4)),C4*D4,"")</f>
        <v/>
      </c>
      <c r="F4" s="10">
        <f>E4-C4</f>
        <v/>
      </c>
      <c r="G4" s="10">
        <f>E4-'Paid CL'!C4</f>
        <v/>
      </c>
    </row>
    <row r="5">
      <c r="A5" s="9" t="n">
        <v>2004</v>
      </c>
      <c r="B5" s="9" t="n">
        <v>251</v>
      </c>
      <c r="C5" s="10">
        <f>'Incurred'!R6</f>
        <v/>
      </c>
      <c r="D5" s="12" t="n">
        <v>1.051694327624641</v>
      </c>
      <c r="E5" s="10">
        <f>IF(AND(ISNUMBER(C5),ISNUMBER(D5)),C5*D5,"")</f>
        <v/>
      </c>
      <c r="F5" s="10">
        <f>E5-C5</f>
        <v/>
      </c>
      <c r="G5" s="10">
        <f>E5-'Paid CL'!C5</f>
        <v/>
      </c>
    </row>
    <row r="6">
      <c r="A6" s="9" t="n">
        <v>2005</v>
      </c>
      <c r="B6" s="9" t="n">
        <v>239</v>
      </c>
      <c r="C6" s="10">
        <f>'Incurred'!R7</f>
        <v/>
      </c>
      <c r="D6" s="12" t="n">
        <v>1.058951018485251</v>
      </c>
      <c r="E6" s="10">
        <f>IF(AND(ISNUMBER(C6),ISNUMBER(D6)),C6*D6,"")</f>
        <v/>
      </c>
      <c r="F6" s="10">
        <f>E6-C6</f>
        <v/>
      </c>
      <c r="G6" s="10">
        <f>E6-'Paid CL'!C6</f>
        <v/>
      </c>
    </row>
    <row r="7">
      <c r="A7" s="9" t="n">
        <v>2006</v>
      </c>
      <c r="B7" s="9" t="n">
        <v>227</v>
      </c>
      <c r="C7" s="10">
        <f>'Incurred'!R8</f>
        <v/>
      </c>
      <c r="D7" s="12" t="n">
        <v>1.06837568254977</v>
      </c>
      <c r="E7" s="10">
        <f>IF(AND(ISNUMBER(C7),ISNUMBER(D7)),C7*D7,"")</f>
        <v/>
      </c>
      <c r="F7" s="10">
        <f>E7-C7</f>
        <v/>
      </c>
      <c r="G7" s="10">
        <f>E7-'Paid CL'!C7</f>
        <v/>
      </c>
    </row>
    <row r="8">
      <c r="A8" s="9" t="n">
        <v>2007</v>
      </c>
      <c r="B8" s="9" t="n">
        <v>215</v>
      </c>
      <c r="C8" s="10">
        <f>'Incurred'!R9</f>
        <v/>
      </c>
      <c r="D8" s="12" t="n">
        <v>1.06837568254977</v>
      </c>
      <c r="E8" s="10">
        <f>IF(AND(ISNUMBER(C8),ISNUMBER(D8)),C8*D8,"")</f>
        <v/>
      </c>
      <c r="F8" s="10">
        <f>E8-C8</f>
        <v/>
      </c>
      <c r="G8" s="10">
        <f>E8-'Paid CL'!C8</f>
        <v/>
      </c>
    </row>
    <row r="9">
      <c r="A9" s="9" t="n">
        <v>2008</v>
      </c>
      <c r="B9" s="9" t="n">
        <v>203</v>
      </c>
      <c r="C9" s="10">
        <f>'Incurred'!R10</f>
        <v/>
      </c>
      <c r="D9" s="12" t="n">
        <v>1.070512433914869</v>
      </c>
      <c r="E9" s="10">
        <f>IF(AND(ISNUMBER(C9),ISNUMBER(D9)),C9*D9,"")</f>
        <v/>
      </c>
      <c r="F9" s="10">
        <f>E9-C9</f>
        <v/>
      </c>
      <c r="G9" s="10">
        <f>E9-'Paid CL'!C9</f>
        <v/>
      </c>
    </row>
    <row r="10">
      <c r="A10" s="9" t="n">
        <v>2009</v>
      </c>
      <c r="B10" s="9" t="n">
        <v>191</v>
      </c>
      <c r="C10" s="10">
        <f>'Incurred'!Q11</f>
        <v/>
      </c>
      <c r="D10" s="12" t="n">
        <v>1.078648328412622</v>
      </c>
      <c r="E10" s="10">
        <f>IF(AND(ISNUMBER(C10),ISNUMBER(D10)),C10*D10,"")</f>
        <v/>
      </c>
      <c r="F10" s="10">
        <f>E10-C10</f>
        <v/>
      </c>
      <c r="G10" s="10">
        <f>E10-'Paid CL'!C10</f>
        <v/>
      </c>
    </row>
    <row r="11">
      <c r="A11" s="9" t="n">
        <v>2010</v>
      </c>
      <c r="B11" s="9" t="n">
        <v>179</v>
      </c>
      <c r="C11" s="10">
        <f>'Incurred'!P12</f>
        <v/>
      </c>
      <c r="D11" s="12" t="n">
        <v>1.082531462394908</v>
      </c>
      <c r="E11" s="10">
        <f>IF(AND(ISNUMBER(C11),ISNUMBER(D11)),C11*D11,"")</f>
        <v/>
      </c>
      <c r="F11" s="10">
        <f>E11-C11</f>
        <v/>
      </c>
      <c r="G11" s="10">
        <f>E11-'Paid CL'!C11</f>
        <v/>
      </c>
    </row>
    <row r="12">
      <c r="A12" s="9" t="n">
        <v>2011</v>
      </c>
      <c r="B12" s="9" t="n">
        <v>167</v>
      </c>
      <c r="C12" s="10">
        <f>'Incurred'!O13</f>
        <v/>
      </c>
      <c r="D12" s="12" t="n">
        <v>1.10537287625144</v>
      </c>
      <c r="E12" s="10">
        <f>IF(AND(ISNUMBER(C12),ISNUMBER(D12)),C12*D12,"")</f>
        <v/>
      </c>
      <c r="F12" s="10">
        <f>E12-C12</f>
        <v/>
      </c>
      <c r="G12" s="10">
        <f>E12-'Paid CL'!C12</f>
        <v/>
      </c>
    </row>
    <row r="13">
      <c r="A13" s="9" t="n">
        <v>2012</v>
      </c>
      <c r="B13" s="9" t="n">
        <v>155</v>
      </c>
      <c r="C13" s="10">
        <f>'Incurred'!N14</f>
        <v/>
      </c>
      <c r="D13" s="12" t="n">
        <v>1.105815025401941</v>
      </c>
      <c r="E13" s="10">
        <f>IF(AND(ISNUMBER(C13),ISNUMBER(D13)),C13*D13,"")</f>
        <v/>
      </c>
      <c r="F13" s="10">
        <f>E13-C13</f>
        <v/>
      </c>
      <c r="G13" s="10">
        <f>E13-'Paid CL'!C13</f>
        <v/>
      </c>
    </row>
    <row r="14">
      <c r="A14" s="9" t="n">
        <v>2013</v>
      </c>
      <c r="B14" s="9" t="n">
        <v>143</v>
      </c>
      <c r="C14" s="10">
        <f>'Incurred'!M15</f>
        <v/>
      </c>
      <c r="D14" s="12" t="n">
        <v>1.108247818457825</v>
      </c>
      <c r="E14" s="10">
        <f>IF(AND(ISNUMBER(C14),ISNUMBER(D14)),C14*D14,"")</f>
        <v/>
      </c>
      <c r="F14" s="10">
        <f>E14-C14</f>
        <v/>
      </c>
      <c r="G14" s="10">
        <f>E14-'Paid CL'!C14</f>
        <v/>
      </c>
    </row>
    <row r="15">
      <c r="A15" s="9" t="n">
        <v>2014</v>
      </c>
      <c r="B15" s="9" t="n">
        <v>131</v>
      </c>
      <c r="C15" s="10">
        <f>'Incurred'!L16</f>
        <v/>
      </c>
      <c r="D15" s="12" t="n">
        <v>1.147036492103849</v>
      </c>
      <c r="E15" s="10">
        <f>IF(AND(ISNUMBER(C15),ISNUMBER(D15)),C15*D15,"")</f>
        <v/>
      </c>
      <c r="F15" s="10">
        <f>E15-C15</f>
        <v/>
      </c>
      <c r="G15" s="10">
        <f>E15-'Paid CL'!C15</f>
        <v/>
      </c>
    </row>
    <row r="16">
      <c r="A16" s="9" t="n">
        <v>2015</v>
      </c>
      <c r="B16" s="9" t="n">
        <v>119</v>
      </c>
      <c r="C16" s="10">
        <f>'Incurred'!K17</f>
        <v/>
      </c>
      <c r="D16" s="12" t="n">
        <v>1.156442191339101</v>
      </c>
      <c r="E16" s="10">
        <f>IF(AND(ISNUMBER(C16),ISNUMBER(D16)),C16*D16,"")</f>
        <v/>
      </c>
      <c r="F16" s="10">
        <f>E16-C16</f>
        <v/>
      </c>
      <c r="G16" s="10">
        <f>E16-'Paid CL'!C16</f>
        <v/>
      </c>
    </row>
    <row r="17">
      <c r="A17" s="9" t="n">
        <v>2016</v>
      </c>
      <c r="B17" s="9" t="n">
        <v>107</v>
      </c>
      <c r="C17" s="10">
        <f>'Incurred'!J18</f>
        <v/>
      </c>
      <c r="D17" s="12" t="n">
        <v>1.212529637619047</v>
      </c>
      <c r="E17" s="10">
        <f>IF(AND(ISNUMBER(C17),ISNUMBER(D17)),C17*D17,"")</f>
        <v/>
      </c>
      <c r="F17" s="10">
        <f>E17-C17</f>
        <v/>
      </c>
      <c r="G17" s="10">
        <f>E17-'Paid CL'!C17</f>
        <v/>
      </c>
    </row>
    <row r="18">
      <c r="A18" s="9" t="n">
        <v>2017</v>
      </c>
      <c r="B18" s="9" t="n">
        <v>95</v>
      </c>
      <c r="C18" s="10">
        <f>'Incurred'!I19</f>
        <v/>
      </c>
      <c r="D18" s="12" t="n">
        <v>1.230232570328285</v>
      </c>
      <c r="E18" s="10">
        <f>IF(AND(ISNUMBER(C18),ISNUMBER(D18)),C18*D18,"")</f>
        <v/>
      </c>
      <c r="F18" s="10">
        <f>E18-C18</f>
        <v/>
      </c>
      <c r="G18" s="10">
        <f>E18-'Paid CL'!C18</f>
        <v/>
      </c>
    </row>
    <row r="19">
      <c r="A19" s="9" t="n">
        <v>2018</v>
      </c>
      <c r="B19" s="9" t="n">
        <v>83</v>
      </c>
      <c r="C19" s="10">
        <f>'Incurred'!H20</f>
        <v/>
      </c>
      <c r="D19" s="12" t="n">
        <v>1.238229082035419</v>
      </c>
      <c r="E19" s="10">
        <f>IF(AND(ISNUMBER(C19),ISNUMBER(D19)),C19*D19,"")</f>
        <v/>
      </c>
      <c r="F19" s="10">
        <f>E19-C19</f>
        <v/>
      </c>
      <c r="G19" s="10">
        <f>E19-'Paid CL'!C19</f>
        <v/>
      </c>
    </row>
    <row r="20">
      <c r="A20" s="9" t="n">
        <v>2019</v>
      </c>
      <c r="B20" s="9" t="n">
        <v>71</v>
      </c>
      <c r="C20" s="10">
        <f>'Incurred'!G21</f>
        <v/>
      </c>
      <c r="D20" s="12" t="n">
        <v>1.3459550121725</v>
      </c>
      <c r="E20" s="10">
        <f>IF(AND(ISNUMBER(C20),ISNUMBER(D20)),C20*D20,"")</f>
        <v/>
      </c>
      <c r="F20" s="10">
        <f>E20-C20</f>
        <v/>
      </c>
      <c r="G20" s="10">
        <f>E20-'Paid CL'!C20</f>
        <v/>
      </c>
    </row>
    <row r="21">
      <c r="A21" s="9" t="n">
        <v>2020</v>
      </c>
      <c r="B21" s="9" t="n">
        <v>59</v>
      </c>
      <c r="C21" s="10">
        <f>'Incurred'!F22</f>
        <v/>
      </c>
      <c r="D21" s="12" t="n">
        <v>1.484184591922616</v>
      </c>
      <c r="E21" s="10">
        <f>IF(AND(ISNUMBER(C21),ISNUMBER(D21)),C21*D21,"")</f>
        <v/>
      </c>
      <c r="F21" s="10">
        <f>E21-C21</f>
        <v/>
      </c>
      <c r="G21" s="10">
        <f>E21-'Paid CL'!C21</f>
        <v/>
      </c>
    </row>
    <row r="22">
      <c r="A22" s="9" t="n">
        <v>2021</v>
      </c>
      <c r="B22" s="9" t="n">
        <v>47</v>
      </c>
      <c r="C22" s="10">
        <f>'Incurred'!E23</f>
        <v/>
      </c>
      <c r="D22" s="12" t="n">
        <v>1.568337858284628</v>
      </c>
      <c r="E22" s="10">
        <f>IF(AND(ISNUMBER(C22),ISNUMBER(D22)),C22*D22,"")</f>
        <v/>
      </c>
      <c r="F22" s="10">
        <f>E22-C22</f>
        <v/>
      </c>
      <c r="G22" s="10">
        <f>E22-'Paid CL'!C22</f>
        <v/>
      </c>
    </row>
    <row r="23">
      <c r="A23" s="9" t="n">
        <v>2022</v>
      </c>
      <c r="B23" s="9" t="n">
        <v>35</v>
      </c>
      <c r="C23" s="10">
        <f>'Incurred'!D24</f>
        <v/>
      </c>
      <c r="D23" s="12" t="n">
        <v>1.882319097513211</v>
      </c>
      <c r="E23" s="10">
        <f>IF(AND(ISNUMBER(C23),ISNUMBER(D23)),C23*D23,"")</f>
        <v/>
      </c>
      <c r="F23" s="10">
        <f>E23-C23</f>
        <v/>
      </c>
      <c r="G23" s="10">
        <f>E23-'Paid CL'!C23</f>
        <v/>
      </c>
    </row>
    <row r="24">
      <c r="A24" s="9" t="n">
        <v>2023</v>
      </c>
      <c r="B24" s="9" t="n">
        <v>23</v>
      </c>
      <c r="C24" s="10">
        <f>'Incurred'!C25</f>
        <v/>
      </c>
      <c r="D24" s="12" t="n">
        <v>2.367016265122863</v>
      </c>
      <c r="E24" s="10">
        <f>IF(AND(ISNUMBER(C24),ISNUMBER(D24)),C24*D24,"")</f>
        <v/>
      </c>
      <c r="F24" s="10">
        <f>E24-C24</f>
        <v/>
      </c>
      <c r="G24" s="10">
        <f>E24-'Paid CL'!C24</f>
        <v/>
      </c>
    </row>
    <row r="25">
      <c r="A25" s="9" t="n">
        <v>2024</v>
      </c>
      <c r="B25" s="9" t="n">
        <v>11</v>
      </c>
      <c r="C25" s="10">
        <f>'Incurred'!B26</f>
        <v/>
      </c>
      <c r="D25" s="12" t="n">
        <v>4.029608489745161</v>
      </c>
      <c r="E25" s="10">
        <f>IF(AND(ISNUMBER(C25),ISNUMBER(D25)),C25*D25,"")</f>
        <v/>
      </c>
      <c r="F25" s="10">
        <f>E25-C25</f>
        <v/>
      </c>
      <c r="G25" s="10">
        <f>E25-'Paid CL'!C25</f>
        <v/>
      </c>
    </row>
    <row r="26"/>
    <row r="27">
      <c r="A27" s="5" t="inlineStr">
        <is>
          <t>Total</t>
        </is>
      </c>
      <c r="C27" s="10">
        <f>SUM(C2:C25)</f>
        <v/>
      </c>
      <c r="E27" s="10">
        <f>SUM(E2:E25)</f>
        <v/>
      </c>
      <c r="F27" s="10">
        <f>SUM(F2:F25)</f>
        <v/>
      </c>
      <c r="G27" s="10">
        <f>SUM(G2:G25)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8" t="inlineStr">
        <is>
          <t>Accident Period</t>
        </is>
      </c>
      <c r="B1" s="8" t="inlineStr">
        <is>
          <t>Current Age</t>
        </is>
      </c>
      <c r="C1" s="8" t="inlineStr">
        <is>
          <t>Paid</t>
        </is>
      </c>
      <c r="D1" s="8" t="inlineStr">
        <is>
          <t>CDF</t>
        </is>
      </c>
      <c r="E1" s="8" t="inlineStr">
        <is>
          <t>Ultimate</t>
        </is>
      </c>
      <c r="F1" s="8" t="inlineStr">
        <is>
          <t>IBNR</t>
        </is>
      </c>
      <c r="G1" s="8" t="inlineStr">
        <is>
          <t>Unpaid</t>
        </is>
      </c>
    </row>
    <row r="2">
      <c r="A2" s="9" t="n">
        <v>2001</v>
      </c>
      <c r="B2" s="9" t="n">
        <v>287</v>
      </c>
      <c r="C2" s="10">
        <f>'Paid'!R3</f>
        <v/>
      </c>
      <c r="D2" s="12" t="n">
        <v>1.0039</v>
      </c>
      <c r="E2" s="10">
        <f>IF(AND(ISNUMBER(C2),ISNUMBER(D2)),C2*D2,"")</f>
        <v/>
      </c>
      <c r="F2" s="10">
        <f>E2-C2</f>
        <v/>
      </c>
      <c r="G2" s="10">
        <f>E2-C2</f>
        <v/>
      </c>
    </row>
    <row r="3">
      <c r="A3" s="9" t="n">
        <v>2002</v>
      </c>
      <c r="B3" s="9" t="n">
        <v>275</v>
      </c>
      <c r="C3" s="10">
        <f>'Paid'!R4</f>
        <v/>
      </c>
      <c r="D3" s="12" t="n">
        <v>1.00781521</v>
      </c>
      <c r="E3" s="10">
        <f>IF(AND(ISNUMBER(C3),ISNUMBER(D3)),C3*D3,"")</f>
        <v/>
      </c>
      <c r="F3" s="10">
        <f>E3-C3</f>
        <v/>
      </c>
      <c r="G3" s="10">
        <f>E3-C3</f>
        <v/>
      </c>
    </row>
    <row r="4">
      <c r="A4" s="9" t="n">
        <v>2003</v>
      </c>
      <c r="B4" s="9" t="n">
        <v>263</v>
      </c>
      <c r="C4" s="10">
        <f>'Paid'!R5</f>
        <v/>
      </c>
      <c r="D4" s="12" t="n">
        <v>1.015273042554</v>
      </c>
      <c r="E4" s="10">
        <f>IF(AND(ISNUMBER(C4),ISNUMBER(D4)),C4*D4,"")</f>
        <v/>
      </c>
      <c r="F4" s="10">
        <f>E4-C4</f>
        <v/>
      </c>
      <c r="G4" s="10">
        <f>E4-C4</f>
        <v/>
      </c>
    </row>
    <row r="5">
      <c r="A5" s="9" t="n">
        <v>2004</v>
      </c>
      <c r="B5" s="9" t="n">
        <v>251</v>
      </c>
      <c r="C5" s="10">
        <f>'Paid'!R6</f>
        <v/>
      </c>
      <c r="D5" s="12" t="n">
        <v>1.021567735417835</v>
      </c>
      <c r="E5" s="10">
        <f>IF(AND(ISNUMBER(C5),ISNUMBER(D5)),C5*D5,"")</f>
        <v/>
      </c>
      <c r="F5" s="10">
        <f>E5-C5</f>
        <v/>
      </c>
      <c r="G5" s="10">
        <f>E5-C5</f>
        <v/>
      </c>
    </row>
    <row r="6">
      <c r="A6" s="9" t="n">
        <v>2005</v>
      </c>
      <c r="B6" s="9" t="n">
        <v>239</v>
      </c>
      <c r="C6" s="10">
        <f>'Paid'!R7</f>
        <v/>
      </c>
      <c r="D6" s="12" t="n">
        <v>1.027084201189091</v>
      </c>
      <c r="E6" s="10">
        <f>IF(AND(ISNUMBER(C6),ISNUMBER(D6)),C6*D6,"")</f>
        <v/>
      </c>
      <c r="F6" s="10">
        <f>E6-C6</f>
        <v/>
      </c>
      <c r="G6" s="10">
        <f>E6-C6</f>
        <v/>
      </c>
    </row>
    <row r="7">
      <c r="A7" s="9" t="n">
        <v>2006</v>
      </c>
      <c r="B7" s="9" t="n">
        <v>227</v>
      </c>
      <c r="C7" s="10">
        <f>'Paid'!R8</f>
        <v/>
      </c>
      <c r="D7" s="12" t="n">
        <v>1.029651911692064</v>
      </c>
      <c r="E7" s="10">
        <f>IF(AND(ISNUMBER(C7),ISNUMBER(D7)),C7*D7,"")</f>
        <v/>
      </c>
      <c r="F7" s="10">
        <f>E7-C7</f>
        <v/>
      </c>
      <c r="G7" s="10">
        <f>E7-C7</f>
        <v/>
      </c>
    </row>
    <row r="8">
      <c r="A8" s="9" t="n">
        <v>2007</v>
      </c>
      <c r="B8" s="9" t="n">
        <v>215</v>
      </c>
      <c r="C8" s="10">
        <f>'Paid'!R9</f>
        <v/>
      </c>
      <c r="D8" s="12" t="n">
        <v>1.034491275677016</v>
      </c>
      <c r="E8" s="10">
        <f>IF(AND(ISNUMBER(C8),ISNUMBER(D8)),C8*D8,"")</f>
        <v/>
      </c>
      <c r="F8" s="10">
        <f>E8-C8</f>
        <v/>
      </c>
      <c r="G8" s="10">
        <f>E8-C8</f>
        <v/>
      </c>
    </row>
    <row r="9">
      <c r="A9" s="9" t="n">
        <v>2008</v>
      </c>
      <c r="B9" s="9" t="n">
        <v>203</v>
      </c>
      <c r="C9" s="10">
        <f>'Paid'!R10</f>
        <v/>
      </c>
      <c r="D9" s="12" t="n">
        <v>1.036663707355938</v>
      </c>
      <c r="E9" s="10">
        <f>IF(AND(ISNUMBER(C9),ISNUMBER(D9)),C9*D9,"")</f>
        <v/>
      </c>
      <c r="F9" s="10">
        <f>E9-C9</f>
        <v/>
      </c>
      <c r="G9" s="10">
        <f>E9-C9</f>
        <v/>
      </c>
    </row>
    <row r="10">
      <c r="A10" s="9" t="n">
        <v>2009</v>
      </c>
      <c r="B10" s="9" t="n">
        <v>191</v>
      </c>
      <c r="C10" s="10">
        <f>'Paid'!Q11</f>
        <v/>
      </c>
      <c r="D10" s="12" t="n">
        <v>1.048585339990532</v>
      </c>
      <c r="E10" s="10">
        <f>IF(AND(ISNUMBER(C10),ISNUMBER(D10)),C10*D10,"")</f>
        <v/>
      </c>
      <c r="F10" s="10">
        <f>E10-C10</f>
        <v/>
      </c>
      <c r="G10" s="10">
        <f>E10-C10</f>
        <v/>
      </c>
    </row>
    <row r="11">
      <c r="A11" s="9" t="n">
        <v>2010</v>
      </c>
      <c r="B11" s="9" t="n">
        <v>179</v>
      </c>
      <c r="C11" s="10">
        <f>'Paid'!P12</f>
        <v/>
      </c>
      <c r="D11" s="12" t="n">
        <v>1.064943271294384</v>
      </c>
      <c r="E11" s="10">
        <f>IF(AND(ISNUMBER(C11),ISNUMBER(D11)),C11*D11,"")</f>
        <v/>
      </c>
      <c r="F11" s="10">
        <f>E11-C11</f>
        <v/>
      </c>
      <c r="G11" s="10">
        <f>E11-C11</f>
        <v/>
      </c>
    </row>
    <row r="12">
      <c r="A12" s="9" t="n">
        <v>2011</v>
      </c>
      <c r="B12" s="9" t="n">
        <v>167</v>
      </c>
      <c r="C12" s="10">
        <f>'Paid'!O13</f>
        <v/>
      </c>
      <c r="D12" s="12" t="n">
        <v>1.080171960073894</v>
      </c>
      <c r="E12" s="10">
        <f>IF(AND(ISNUMBER(C12),ISNUMBER(D12)),C12*D12,"")</f>
        <v/>
      </c>
      <c r="F12" s="10">
        <f>E12-C12</f>
        <v/>
      </c>
      <c r="G12" s="10">
        <f>E12-C12</f>
        <v/>
      </c>
    </row>
    <row r="13">
      <c r="A13" s="9" t="n">
        <v>2012</v>
      </c>
      <c r="B13" s="9" t="n">
        <v>155</v>
      </c>
      <c r="C13" s="10">
        <f>'Paid'!N14</f>
        <v/>
      </c>
      <c r="D13" s="12" t="n">
        <v>1.094646264338884</v>
      </c>
      <c r="E13" s="10">
        <f>IF(AND(ISNUMBER(C13),ISNUMBER(D13)),C13*D13,"")</f>
        <v/>
      </c>
      <c r="F13" s="10">
        <f>E13-C13</f>
        <v/>
      </c>
      <c r="G13" s="10">
        <f>E13-C13</f>
        <v/>
      </c>
    </row>
    <row r="14">
      <c r="A14" s="9" t="n">
        <v>2013</v>
      </c>
      <c r="B14" s="9" t="n">
        <v>143</v>
      </c>
      <c r="C14" s="10">
        <f>'Paid'!M15</f>
        <v/>
      </c>
      <c r="D14" s="12" t="n">
        <v>1.113802573964815</v>
      </c>
      <c r="E14" s="10">
        <f>IF(AND(ISNUMBER(C14),ISNUMBER(D14)),C14*D14,"")</f>
        <v/>
      </c>
      <c r="F14" s="10">
        <f>E14-C14</f>
        <v/>
      </c>
      <c r="G14" s="10">
        <f>E14-C14</f>
        <v/>
      </c>
    </row>
    <row r="15">
      <c r="A15" s="9" t="n">
        <v>2014</v>
      </c>
      <c r="B15" s="9" t="n">
        <v>131</v>
      </c>
      <c r="C15" s="10">
        <f>'Paid'!L16</f>
        <v/>
      </c>
      <c r="D15" s="12" t="n">
        <v>1.134853442612749</v>
      </c>
      <c r="E15" s="10">
        <f>IF(AND(ISNUMBER(C15),ISNUMBER(D15)),C15*D15,"")</f>
        <v/>
      </c>
      <c r="F15" s="10">
        <f>E15-C15</f>
        <v/>
      </c>
      <c r="G15" s="10">
        <f>E15-C15</f>
        <v/>
      </c>
    </row>
    <row r="16">
      <c r="A16" s="9" t="n">
        <v>2015</v>
      </c>
      <c r="B16" s="9" t="n">
        <v>119</v>
      </c>
      <c r="C16" s="10">
        <f>'Paid'!K17</f>
        <v/>
      </c>
      <c r="D16" s="12" t="n">
        <v>1.144272726186435</v>
      </c>
      <c r="E16" s="10">
        <f>IF(AND(ISNUMBER(C16),ISNUMBER(D16)),C16*D16,"")</f>
        <v/>
      </c>
      <c r="F16" s="10">
        <f>E16-C16</f>
        <v/>
      </c>
      <c r="G16" s="10">
        <f>E16-C16</f>
        <v/>
      </c>
    </row>
    <row r="17">
      <c r="A17" s="9" t="n">
        <v>2016</v>
      </c>
      <c r="B17" s="9" t="n">
        <v>107</v>
      </c>
      <c r="C17" s="10">
        <f>'Paid'!J18</f>
        <v/>
      </c>
      <c r="D17" s="12" t="n">
        <v>1.21807831702546</v>
      </c>
      <c r="E17" s="10">
        <f>IF(AND(ISNUMBER(C17),ISNUMBER(D17)),C17*D17,"")</f>
        <v/>
      </c>
      <c r="F17" s="10">
        <f>E17-C17</f>
        <v/>
      </c>
      <c r="G17" s="10">
        <f>E17-C17</f>
        <v/>
      </c>
    </row>
    <row r="18">
      <c r="A18" s="9" t="n">
        <v>2017</v>
      </c>
      <c r="B18" s="9" t="n">
        <v>95</v>
      </c>
      <c r="C18" s="10">
        <f>'Paid'!I19</f>
        <v/>
      </c>
      <c r="D18" s="12" t="n">
        <v>1.234156950810197</v>
      </c>
      <c r="E18" s="10">
        <f>IF(AND(ISNUMBER(C18),ISNUMBER(D18)),C18*D18,"")</f>
        <v/>
      </c>
      <c r="F18" s="10">
        <f>E18-C18</f>
        <v/>
      </c>
      <c r="G18" s="10">
        <f>E18-C18</f>
        <v/>
      </c>
    </row>
    <row r="19">
      <c r="A19" s="9" t="n">
        <v>2018</v>
      </c>
      <c r="B19" s="9" t="n">
        <v>83</v>
      </c>
      <c r="C19" s="10">
        <f>'Paid'!H20</f>
        <v/>
      </c>
      <c r="D19" s="12" t="n">
        <v>1.274637298796771</v>
      </c>
      <c r="E19" s="10">
        <f>IF(AND(ISNUMBER(C19),ISNUMBER(D19)),C19*D19,"")</f>
        <v/>
      </c>
      <c r="F19" s="10">
        <f>E19-C19</f>
        <v/>
      </c>
      <c r="G19" s="10">
        <f>E19-C19</f>
        <v/>
      </c>
    </row>
    <row r="20">
      <c r="A20" s="9" t="n">
        <v>2019</v>
      </c>
      <c r="B20" s="9" t="n">
        <v>71</v>
      </c>
      <c r="C20" s="10">
        <f>'Paid'!G21</f>
        <v/>
      </c>
      <c r="D20" s="12" t="n">
        <v>1.411023489768025</v>
      </c>
      <c r="E20" s="10">
        <f>IF(AND(ISNUMBER(C20),ISNUMBER(D20)),C20*D20,"")</f>
        <v/>
      </c>
      <c r="F20" s="10">
        <f>E20-C20</f>
        <v/>
      </c>
      <c r="G20" s="10">
        <f>E20-C20</f>
        <v/>
      </c>
    </row>
    <row r="21">
      <c r="A21" s="9" t="n">
        <v>2020</v>
      </c>
      <c r="B21" s="9" t="n">
        <v>59</v>
      </c>
      <c r="C21" s="10">
        <f>'Paid'!F22</f>
        <v/>
      </c>
      <c r="D21" s="12" t="n">
        <v>1.579217489748374</v>
      </c>
      <c r="E21" s="10">
        <f>IF(AND(ISNUMBER(C21),ISNUMBER(D21)),C21*D21,"")</f>
        <v/>
      </c>
      <c r="F21" s="10">
        <f>E21-C21</f>
        <v/>
      </c>
      <c r="G21" s="10">
        <f>E21-C21</f>
        <v/>
      </c>
    </row>
    <row r="22">
      <c r="A22" s="9" t="n">
        <v>2021</v>
      </c>
      <c r="B22" s="9" t="n">
        <v>47</v>
      </c>
      <c r="C22" s="10">
        <f>'Paid'!E23</f>
        <v/>
      </c>
      <c r="D22" s="12" t="n">
        <v>1.733664960245765</v>
      </c>
      <c r="E22" s="10">
        <f>IF(AND(ISNUMBER(C22),ISNUMBER(D22)),C22*D22,"")</f>
        <v/>
      </c>
      <c r="F22" s="10">
        <f>E22-C22</f>
        <v/>
      </c>
      <c r="G22" s="10">
        <f>E22-C22</f>
        <v/>
      </c>
    </row>
    <row r="23">
      <c r="A23" s="9" t="n">
        <v>2022</v>
      </c>
      <c r="B23" s="9" t="n">
        <v>35</v>
      </c>
      <c r="C23" s="10">
        <f>'Paid'!D24</f>
        <v/>
      </c>
      <c r="D23" s="12" t="n">
        <v>2.080224585798893</v>
      </c>
      <c r="E23" s="10">
        <f>IF(AND(ISNUMBER(C23),ISNUMBER(D23)),C23*D23,"")</f>
        <v/>
      </c>
      <c r="F23" s="10">
        <f>E23-C23</f>
        <v/>
      </c>
      <c r="G23" s="10">
        <f>E23-C23</f>
        <v/>
      </c>
    </row>
    <row r="24">
      <c r="A24" s="9" t="n">
        <v>2023</v>
      </c>
      <c r="B24" s="9" t="n">
        <v>23</v>
      </c>
      <c r="C24" s="10">
        <f>'Paid'!C25</f>
        <v/>
      </c>
      <c r="D24" s="12" t="n">
        <v>2.958911450840346</v>
      </c>
      <c r="E24" s="10">
        <f>IF(AND(ISNUMBER(C24),ISNUMBER(D24)),C24*D24,"")</f>
        <v/>
      </c>
      <c r="F24" s="10">
        <f>E24-C24</f>
        <v/>
      </c>
      <c r="G24" s="10">
        <f>E24-C24</f>
        <v/>
      </c>
    </row>
    <row r="25">
      <c r="A25" s="9" t="n">
        <v>2024</v>
      </c>
      <c r="B25" s="9" t="n">
        <v>11</v>
      </c>
      <c r="C25" s="10">
        <f>'Paid'!B26</f>
        <v/>
      </c>
      <c r="D25" s="12" t="n">
        <v>7.761816517844396</v>
      </c>
      <c r="E25" s="10">
        <f>IF(AND(ISNUMBER(C25),ISNUMBER(D25)),C25*D25,"")</f>
        <v/>
      </c>
      <c r="F25" s="10">
        <f>E25-C25</f>
        <v/>
      </c>
      <c r="G25" s="10">
        <f>E25-C25</f>
        <v/>
      </c>
    </row>
    <row r="26"/>
    <row r="27">
      <c r="A27" s="5" t="inlineStr">
        <is>
          <t>Total</t>
        </is>
      </c>
      <c r="C27" s="10">
        <f>SUM(C2:C25)</f>
        <v/>
      </c>
      <c r="E27" s="10">
        <f>SUM(E2:E25)</f>
        <v/>
      </c>
      <c r="F27" s="10">
        <f>SUM(F2:F25)</f>
        <v/>
      </c>
      <c r="G27" s="10">
        <f>SUM(G2:G25)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8" t="inlineStr">
        <is>
          <t>Accident Period</t>
        </is>
      </c>
      <c r="B1" s="8" t="inlineStr">
        <is>
          <t>Current Age</t>
        </is>
      </c>
      <c r="C1" s="8" t="inlineStr">
        <is>
          <t>Initial Expected</t>
        </is>
      </c>
      <c r="D1" s="8" t="inlineStr">
        <is>
          <t>CDF</t>
        </is>
      </c>
      <c r="E1" s="8" t="inlineStr">
        <is>
          <t>% Unreported</t>
        </is>
      </c>
      <c r="F1" s="8" t="inlineStr">
        <is>
          <t>Unreported</t>
        </is>
      </c>
      <c r="G1" s="8" t="inlineStr">
        <is>
          <t>Incurred</t>
        </is>
      </c>
      <c r="H1" s="8" t="inlineStr">
        <is>
          <t>Ultimate</t>
        </is>
      </c>
      <c r="I1" s="8" t="inlineStr">
        <is>
          <t>IBNR</t>
        </is>
      </c>
      <c r="J1" s="8" t="inlineStr">
        <is>
          <t>Unpaid</t>
        </is>
      </c>
    </row>
    <row r="2">
      <c r="A2" s="9" t="n">
        <v>2001</v>
      </c>
      <c r="B2" s="9" t="n">
        <v>287</v>
      </c>
      <c r="C2" s="10">
        <f>'IE'!D2</f>
        <v/>
      </c>
      <c r="D2" s="13">
        <f>'Incurred CL'!D2</f>
        <v/>
      </c>
      <c r="E2" s="14">
        <f>1-(1/D2)</f>
        <v/>
      </c>
      <c r="F2" s="10">
        <f>C2*E2</f>
        <v/>
      </c>
      <c r="G2" s="10">
        <f>'Incurred CL'!C2</f>
        <v/>
      </c>
      <c r="H2" s="10">
        <f>F2+G2</f>
        <v/>
      </c>
      <c r="I2" s="10">
        <f>H2-G2</f>
        <v/>
      </c>
      <c r="J2" s="10">
        <f>H2-'Paid CL'!C2</f>
        <v/>
      </c>
    </row>
    <row r="3">
      <c r="A3" s="9" t="n">
        <v>2002</v>
      </c>
      <c r="B3" s="9" t="n">
        <v>275</v>
      </c>
      <c r="C3" s="10">
        <f>'IE'!D3</f>
        <v/>
      </c>
      <c r="D3" s="13">
        <f>'Incurred CL'!D3</f>
        <v/>
      </c>
      <c r="E3" s="14">
        <f>1-(1/D3)</f>
        <v/>
      </c>
      <c r="F3" s="10">
        <f>C3*E3</f>
        <v/>
      </c>
      <c r="G3" s="10">
        <f>'Incurred CL'!C3</f>
        <v/>
      </c>
      <c r="H3" s="10">
        <f>F3+G3</f>
        <v/>
      </c>
      <c r="I3" s="10">
        <f>H3-G3</f>
        <v/>
      </c>
      <c r="J3" s="10">
        <f>H3-'Paid CL'!C3</f>
        <v/>
      </c>
    </row>
    <row r="4">
      <c r="A4" s="9" t="n">
        <v>2003</v>
      </c>
      <c r="B4" s="9" t="n">
        <v>263</v>
      </c>
      <c r="C4" s="10">
        <f>'IE'!D4</f>
        <v/>
      </c>
      <c r="D4" s="13">
        <f>'Incurred CL'!D4</f>
        <v/>
      </c>
      <c r="E4" s="14">
        <f>1-(1/D4)</f>
        <v/>
      </c>
      <c r="F4" s="10">
        <f>C4*E4</f>
        <v/>
      </c>
      <c r="G4" s="10">
        <f>'Incurred CL'!C4</f>
        <v/>
      </c>
      <c r="H4" s="10">
        <f>F4+G4</f>
        <v/>
      </c>
      <c r="I4" s="10">
        <f>H4-G4</f>
        <v/>
      </c>
      <c r="J4" s="10">
        <f>H4-'Paid CL'!C4</f>
        <v/>
      </c>
    </row>
    <row r="5">
      <c r="A5" s="9" t="n">
        <v>2004</v>
      </c>
      <c r="B5" s="9" t="n">
        <v>251</v>
      </c>
      <c r="C5" s="10">
        <f>'IE'!D5</f>
        <v/>
      </c>
      <c r="D5" s="13">
        <f>'Incurred CL'!D5</f>
        <v/>
      </c>
      <c r="E5" s="14">
        <f>1-(1/D5)</f>
        <v/>
      </c>
      <c r="F5" s="10">
        <f>C5*E5</f>
        <v/>
      </c>
      <c r="G5" s="10">
        <f>'Incurred CL'!C5</f>
        <v/>
      </c>
      <c r="H5" s="10">
        <f>F5+G5</f>
        <v/>
      </c>
      <c r="I5" s="10">
        <f>H5-G5</f>
        <v/>
      </c>
      <c r="J5" s="10">
        <f>H5-'Paid CL'!C5</f>
        <v/>
      </c>
    </row>
    <row r="6">
      <c r="A6" s="9" t="n">
        <v>2005</v>
      </c>
      <c r="B6" s="9" t="n">
        <v>239</v>
      </c>
      <c r="C6" s="10">
        <f>'IE'!D6</f>
        <v/>
      </c>
      <c r="D6" s="13">
        <f>'Incurred CL'!D6</f>
        <v/>
      </c>
      <c r="E6" s="14">
        <f>1-(1/D6)</f>
        <v/>
      </c>
      <c r="F6" s="10">
        <f>C6*E6</f>
        <v/>
      </c>
      <c r="G6" s="10">
        <f>'Incurred CL'!C6</f>
        <v/>
      </c>
      <c r="H6" s="10">
        <f>F6+G6</f>
        <v/>
      </c>
      <c r="I6" s="10">
        <f>H6-G6</f>
        <v/>
      </c>
      <c r="J6" s="10">
        <f>H6-'Paid CL'!C6</f>
        <v/>
      </c>
    </row>
    <row r="7">
      <c r="A7" s="9" t="n">
        <v>2006</v>
      </c>
      <c r="B7" s="9" t="n">
        <v>227</v>
      </c>
      <c r="C7" s="10">
        <f>'IE'!D7</f>
        <v/>
      </c>
      <c r="D7" s="13">
        <f>'Incurred CL'!D7</f>
        <v/>
      </c>
      <c r="E7" s="14">
        <f>1-(1/D7)</f>
        <v/>
      </c>
      <c r="F7" s="10">
        <f>C7*E7</f>
        <v/>
      </c>
      <c r="G7" s="10">
        <f>'Incurred CL'!C7</f>
        <v/>
      </c>
      <c r="H7" s="10">
        <f>F7+G7</f>
        <v/>
      </c>
      <c r="I7" s="10">
        <f>H7-G7</f>
        <v/>
      </c>
      <c r="J7" s="10">
        <f>H7-'Paid CL'!C7</f>
        <v/>
      </c>
    </row>
    <row r="8">
      <c r="A8" s="9" t="n">
        <v>2007</v>
      </c>
      <c r="B8" s="9" t="n">
        <v>215</v>
      </c>
      <c r="C8" s="10">
        <f>'IE'!D8</f>
        <v/>
      </c>
      <c r="D8" s="13">
        <f>'Incurred CL'!D8</f>
        <v/>
      </c>
      <c r="E8" s="14">
        <f>1-(1/D8)</f>
        <v/>
      </c>
      <c r="F8" s="10">
        <f>C8*E8</f>
        <v/>
      </c>
      <c r="G8" s="10">
        <f>'Incurred CL'!C8</f>
        <v/>
      </c>
      <c r="H8" s="10">
        <f>F8+G8</f>
        <v/>
      </c>
      <c r="I8" s="10">
        <f>H8-G8</f>
        <v/>
      </c>
      <c r="J8" s="10">
        <f>H8-'Paid CL'!C8</f>
        <v/>
      </c>
    </row>
    <row r="9">
      <c r="A9" s="9" t="n">
        <v>2008</v>
      </c>
      <c r="B9" s="9" t="n">
        <v>203</v>
      </c>
      <c r="C9" s="10">
        <f>'IE'!D9</f>
        <v/>
      </c>
      <c r="D9" s="13">
        <f>'Incurred CL'!D9</f>
        <v/>
      </c>
      <c r="E9" s="14">
        <f>1-(1/D9)</f>
        <v/>
      </c>
      <c r="F9" s="10">
        <f>C9*E9</f>
        <v/>
      </c>
      <c r="G9" s="10">
        <f>'Incurred CL'!C9</f>
        <v/>
      </c>
      <c r="H9" s="10">
        <f>F9+G9</f>
        <v/>
      </c>
      <c r="I9" s="10">
        <f>H9-G9</f>
        <v/>
      </c>
      <c r="J9" s="10">
        <f>H9-'Paid CL'!C9</f>
        <v/>
      </c>
    </row>
    <row r="10">
      <c r="A10" s="9" t="n">
        <v>2009</v>
      </c>
      <c r="B10" s="9" t="n">
        <v>191</v>
      </c>
      <c r="C10" s="10">
        <f>'IE'!D10</f>
        <v/>
      </c>
      <c r="D10" s="13">
        <f>'Incurred CL'!D10</f>
        <v/>
      </c>
      <c r="E10" s="14">
        <f>1-(1/D10)</f>
        <v/>
      </c>
      <c r="F10" s="10">
        <f>C10*E10</f>
        <v/>
      </c>
      <c r="G10" s="10">
        <f>'Incurred CL'!C10</f>
        <v/>
      </c>
      <c r="H10" s="10">
        <f>F10+G10</f>
        <v/>
      </c>
      <c r="I10" s="10">
        <f>H10-G10</f>
        <v/>
      </c>
      <c r="J10" s="10">
        <f>H10-'Paid CL'!C10</f>
        <v/>
      </c>
    </row>
    <row r="11">
      <c r="A11" s="9" t="n">
        <v>2010</v>
      </c>
      <c r="B11" s="9" t="n">
        <v>179</v>
      </c>
      <c r="C11" s="10">
        <f>'IE'!D11</f>
        <v/>
      </c>
      <c r="D11" s="13">
        <f>'Incurred CL'!D11</f>
        <v/>
      </c>
      <c r="E11" s="14">
        <f>1-(1/D11)</f>
        <v/>
      </c>
      <c r="F11" s="10">
        <f>C11*E11</f>
        <v/>
      </c>
      <c r="G11" s="10">
        <f>'Incurred CL'!C11</f>
        <v/>
      </c>
      <c r="H11" s="10">
        <f>F11+G11</f>
        <v/>
      </c>
      <c r="I11" s="10">
        <f>H11-G11</f>
        <v/>
      </c>
      <c r="J11" s="10">
        <f>H11-'Paid CL'!C11</f>
        <v/>
      </c>
    </row>
    <row r="12">
      <c r="A12" s="9" t="n">
        <v>2011</v>
      </c>
      <c r="B12" s="9" t="n">
        <v>167</v>
      </c>
      <c r="C12" s="10">
        <f>'IE'!D12</f>
        <v/>
      </c>
      <c r="D12" s="13">
        <f>'Incurred CL'!D12</f>
        <v/>
      </c>
      <c r="E12" s="14">
        <f>1-(1/D12)</f>
        <v/>
      </c>
      <c r="F12" s="10">
        <f>C12*E12</f>
        <v/>
      </c>
      <c r="G12" s="10">
        <f>'Incurred CL'!C12</f>
        <v/>
      </c>
      <c r="H12" s="10">
        <f>F12+G12</f>
        <v/>
      </c>
      <c r="I12" s="10">
        <f>H12-G12</f>
        <v/>
      </c>
      <c r="J12" s="10">
        <f>H12-'Paid CL'!C12</f>
        <v/>
      </c>
    </row>
    <row r="13">
      <c r="A13" s="9" t="n">
        <v>2012</v>
      </c>
      <c r="B13" s="9" t="n">
        <v>155</v>
      </c>
      <c r="C13" s="10">
        <f>'IE'!D13</f>
        <v/>
      </c>
      <c r="D13" s="13">
        <f>'Incurred CL'!D13</f>
        <v/>
      </c>
      <c r="E13" s="14">
        <f>1-(1/D13)</f>
        <v/>
      </c>
      <c r="F13" s="10">
        <f>C13*E13</f>
        <v/>
      </c>
      <c r="G13" s="10">
        <f>'Incurred CL'!C13</f>
        <v/>
      </c>
      <c r="H13" s="10">
        <f>F13+G13</f>
        <v/>
      </c>
      <c r="I13" s="10">
        <f>H13-G13</f>
        <v/>
      </c>
      <c r="J13" s="10">
        <f>H13-'Paid CL'!C13</f>
        <v/>
      </c>
    </row>
    <row r="14">
      <c r="A14" s="9" t="n">
        <v>2013</v>
      </c>
      <c r="B14" s="9" t="n">
        <v>143</v>
      </c>
      <c r="C14" s="10">
        <f>'IE'!D14</f>
        <v/>
      </c>
      <c r="D14" s="13">
        <f>'Incurred CL'!D14</f>
        <v/>
      </c>
      <c r="E14" s="14">
        <f>1-(1/D14)</f>
        <v/>
      </c>
      <c r="F14" s="10">
        <f>C14*E14</f>
        <v/>
      </c>
      <c r="G14" s="10">
        <f>'Incurred CL'!C14</f>
        <v/>
      </c>
      <c r="H14" s="10">
        <f>F14+G14</f>
        <v/>
      </c>
      <c r="I14" s="10">
        <f>H14-G14</f>
        <v/>
      </c>
      <c r="J14" s="10">
        <f>H14-'Paid CL'!C14</f>
        <v/>
      </c>
    </row>
    <row r="15">
      <c r="A15" s="9" t="n">
        <v>2014</v>
      </c>
      <c r="B15" s="9" t="n">
        <v>131</v>
      </c>
      <c r="C15" s="10">
        <f>'IE'!D15</f>
        <v/>
      </c>
      <c r="D15" s="13">
        <f>'Incurred CL'!D15</f>
        <v/>
      </c>
      <c r="E15" s="14">
        <f>1-(1/D15)</f>
        <v/>
      </c>
      <c r="F15" s="10">
        <f>C15*E15</f>
        <v/>
      </c>
      <c r="G15" s="10">
        <f>'Incurred CL'!C15</f>
        <v/>
      </c>
      <c r="H15" s="10">
        <f>F15+G15</f>
        <v/>
      </c>
      <c r="I15" s="10">
        <f>H15-G15</f>
        <v/>
      </c>
      <c r="J15" s="10">
        <f>H15-'Paid CL'!C15</f>
        <v/>
      </c>
    </row>
    <row r="16">
      <c r="A16" s="9" t="n">
        <v>2015</v>
      </c>
      <c r="B16" s="9" t="n">
        <v>119</v>
      </c>
      <c r="C16" s="10">
        <f>'IE'!D16</f>
        <v/>
      </c>
      <c r="D16" s="13">
        <f>'Incurred CL'!D16</f>
        <v/>
      </c>
      <c r="E16" s="14">
        <f>1-(1/D16)</f>
        <v/>
      </c>
      <c r="F16" s="10">
        <f>C16*E16</f>
        <v/>
      </c>
      <c r="G16" s="10">
        <f>'Incurred CL'!C16</f>
        <v/>
      </c>
      <c r="H16" s="10">
        <f>F16+G16</f>
        <v/>
      </c>
      <c r="I16" s="10">
        <f>H16-G16</f>
        <v/>
      </c>
      <c r="J16" s="10">
        <f>H16-'Paid CL'!C16</f>
        <v/>
      </c>
    </row>
    <row r="17">
      <c r="A17" s="9" t="n">
        <v>2016</v>
      </c>
      <c r="B17" s="9" t="n">
        <v>107</v>
      </c>
      <c r="C17" s="10">
        <f>'IE'!D17</f>
        <v/>
      </c>
      <c r="D17" s="13">
        <f>'Incurred CL'!D17</f>
        <v/>
      </c>
      <c r="E17" s="14">
        <f>1-(1/D17)</f>
        <v/>
      </c>
      <c r="F17" s="10">
        <f>C17*E17</f>
        <v/>
      </c>
      <c r="G17" s="10">
        <f>'Incurred CL'!C17</f>
        <v/>
      </c>
      <c r="H17" s="10">
        <f>F17+G17</f>
        <v/>
      </c>
      <c r="I17" s="10">
        <f>H17-G17</f>
        <v/>
      </c>
      <c r="J17" s="10">
        <f>H17-'Paid CL'!C17</f>
        <v/>
      </c>
    </row>
    <row r="18">
      <c r="A18" s="9" t="n">
        <v>2017</v>
      </c>
      <c r="B18" s="9" t="n">
        <v>95</v>
      </c>
      <c r="C18" s="10">
        <f>'IE'!D18</f>
        <v/>
      </c>
      <c r="D18" s="13">
        <f>'Incurred CL'!D18</f>
        <v/>
      </c>
      <c r="E18" s="14">
        <f>1-(1/D18)</f>
        <v/>
      </c>
      <c r="F18" s="10">
        <f>C18*E18</f>
        <v/>
      </c>
      <c r="G18" s="10">
        <f>'Incurred CL'!C18</f>
        <v/>
      </c>
      <c r="H18" s="10">
        <f>F18+G18</f>
        <v/>
      </c>
      <c r="I18" s="10">
        <f>H18-G18</f>
        <v/>
      </c>
      <c r="J18" s="10">
        <f>H18-'Paid CL'!C18</f>
        <v/>
      </c>
    </row>
    <row r="19">
      <c r="A19" s="9" t="n">
        <v>2018</v>
      </c>
      <c r="B19" s="9" t="n">
        <v>83</v>
      </c>
      <c r="C19" s="10">
        <f>'IE'!D19</f>
        <v/>
      </c>
      <c r="D19" s="13">
        <f>'Incurred CL'!D19</f>
        <v/>
      </c>
      <c r="E19" s="14">
        <f>1-(1/D19)</f>
        <v/>
      </c>
      <c r="F19" s="10">
        <f>C19*E19</f>
        <v/>
      </c>
      <c r="G19" s="10">
        <f>'Incurred CL'!C19</f>
        <v/>
      </c>
      <c r="H19" s="10">
        <f>F19+G19</f>
        <v/>
      </c>
      <c r="I19" s="10">
        <f>H19-G19</f>
        <v/>
      </c>
      <c r="J19" s="10">
        <f>H19-'Paid CL'!C19</f>
        <v/>
      </c>
    </row>
    <row r="20">
      <c r="A20" s="9" t="n">
        <v>2019</v>
      </c>
      <c r="B20" s="9" t="n">
        <v>71</v>
      </c>
      <c r="C20" s="10">
        <f>'IE'!D20</f>
        <v/>
      </c>
      <c r="D20" s="13">
        <f>'Incurred CL'!D20</f>
        <v/>
      </c>
      <c r="E20" s="14">
        <f>1-(1/D20)</f>
        <v/>
      </c>
      <c r="F20" s="10">
        <f>C20*E20</f>
        <v/>
      </c>
      <c r="G20" s="10">
        <f>'Incurred CL'!C20</f>
        <v/>
      </c>
      <c r="H20" s="10">
        <f>F20+G20</f>
        <v/>
      </c>
      <c r="I20" s="10">
        <f>H20-G20</f>
        <v/>
      </c>
      <c r="J20" s="10">
        <f>H20-'Paid CL'!C20</f>
        <v/>
      </c>
    </row>
    <row r="21">
      <c r="A21" s="9" t="n">
        <v>2020</v>
      </c>
      <c r="B21" s="9" t="n">
        <v>59</v>
      </c>
      <c r="C21" s="10">
        <f>'IE'!D21</f>
        <v/>
      </c>
      <c r="D21" s="13">
        <f>'Incurred CL'!D21</f>
        <v/>
      </c>
      <c r="E21" s="14">
        <f>1-(1/D21)</f>
        <v/>
      </c>
      <c r="F21" s="10">
        <f>C21*E21</f>
        <v/>
      </c>
      <c r="G21" s="10">
        <f>'Incurred CL'!C21</f>
        <v/>
      </c>
      <c r="H21" s="10">
        <f>F21+G21</f>
        <v/>
      </c>
      <c r="I21" s="10">
        <f>H21-G21</f>
        <v/>
      </c>
      <c r="J21" s="10">
        <f>H21-'Paid CL'!C21</f>
        <v/>
      </c>
    </row>
    <row r="22">
      <c r="A22" s="9" t="n">
        <v>2021</v>
      </c>
      <c r="B22" s="9" t="n">
        <v>47</v>
      </c>
      <c r="C22" s="10">
        <f>'IE'!D22</f>
        <v/>
      </c>
      <c r="D22" s="13">
        <f>'Incurred CL'!D22</f>
        <v/>
      </c>
      <c r="E22" s="14">
        <f>1-(1/D22)</f>
        <v/>
      </c>
      <c r="F22" s="10">
        <f>C22*E22</f>
        <v/>
      </c>
      <c r="G22" s="10">
        <f>'Incurred CL'!C22</f>
        <v/>
      </c>
      <c r="H22" s="10">
        <f>F22+G22</f>
        <v/>
      </c>
      <c r="I22" s="10">
        <f>H22-G22</f>
        <v/>
      </c>
      <c r="J22" s="10">
        <f>H22-'Paid CL'!C22</f>
        <v/>
      </c>
    </row>
    <row r="23">
      <c r="A23" s="9" t="n">
        <v>2022</v>
      </c>
      <c r="B23" s="9" t="n">
        <v>35</v>
      </c>
      <c r="C23" s="10">
        <f>'IE'!D23</f>
        <v/>
      </c>
      <c r="D23" s="13">
        <f>'Incurred CL'!D23</f>
        <v/>
      </c>
      <c r="E23" s="14">
        <f>1-(1/D23)</f>
        <v/>
      </c>
      <c r="F23" s="10">
        <f>C23*E23</f>
        <v/>
      </c>
      <c r="G23" s="10">
        <f>'Incurred CL'!C23</f>
        <v/>
      </c>
      <c r="H23" s="10">
        <f>F23+G23</f>
        <v/>
      </c>
      <c r="I23" s="10">
        <f>H23-G23</f>
        <v/>
      </c>
      <c r="J23" s="10">
        <f>H23-'Paid CL'!C23</f>
        <v/>
      </c>
    </row>
    <row r="24">
      <c r="A24" s="9" t="n">
        <v>2023</v>
      </c>
      <c r="B24" s="9" t="n">
        <v>23</v>
      </c>
      <c r="C24" s="10">
        <f>'IE'!D24</f>
        <v/>
      </c>
      <c r="D24" s="13">
        <f>'Incurred CL'!D24</f>
        <v/>
      </c>
      <c r="E24" s="14">
        <f>1-(1/D24)</f>
        <v/>
      </c>
      <c r="F24" s="10">
        <f>C24*E24</f>
        <v/>
      </c>
      <c r="G24" s="10">
        <f>'Incurred CL'!C24</f>
        <v/>
      </c>
      <c r="H24" s="10">
        <f>F24+G24</f>
        <v/>
      </c>
      <c r="I24" s="10">
        <f>H24-G24</f>
        <v/>
      </c>
      <c r="J24" s="10">
        <f>H24-'Paid CL'!C24</f>
        <v/>
      </c>
    </row>
    <row r="25">
      <c r="A25" s="9" t="n">
        <v>2024</v>
      </c>
      <c r="B25" s="9" t="n">
        <v>11</v>
      </c>
      <c r="C25" s="10">
        <f>'IE'!D25</f>
        <v/>
      </c>
      <c r="D25" s="13">
        <f>'Incurred CL'!D25</f>
        <v/>
      </c>
      <c r="E25" s="14">
        <f>1-(1/D25)</f>
        <v/>
      </c>
      <c r="F25" s="10">
        <f>C25*E25</f>
        <v/>
      </c>
      <c r="G25" s="10">
        <f>'Incurred CL'!C25</f>
        <v/>
      </c>
      <c r="H25" s="10">
        <f>F25+G25</f>
        <v/>
      </c>
      <c r="I25" s="10">
        <f>H25-G25</f>
        <v/>
      </c>
      <c r="J25" s="10">
        <f>H25-'Paid CL'!C25</f>
        <v/>
      </c>
    </row>
    <row r="26"/>
    <row r="27">
      <c r="A27" s="5" t="inlineStr">
        <is>
          <t>Total</t>
        </is>
      </c>
      <c r="C27" s="10">
        <f>SUM(C2:C25)</f>
        <v/>
      </c>
      <c r="E27" s="14">
        <f>SUM(F2:F25)/SUM(C2:C25)</f>
        <v/>
      </c>
      <c r="F27" s="10">
        <f>SUM(F2:F25)</f>
        <v/>
      </c>
      <c r="G27" s="10">
        <f>SUM(G2:G25)</f>
        <v/>
      </c>
      <c r="H27" s="10">
        <f>SUM(H2:H25)</f>
        <v/>
      </c>
      <c r="I27" s="10">
        <f>SUM(I2:I25)</f>
        <v/>
      </c>
      <c r="J27" s="10">
        <f>SUM(J2:J25)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8" t="inlineStr">
        <is>
          <t>Accident Period</t>
        </is>
      </c>
      <c r="B1" s="8" t="inlineStr">
        <is>
          <t>Current Age</t>
        </is>
      </c>
      <c r="C1" s="8" t="inlineStr">
        <is>
          <t>Initial Expected</t>
        </is>
      </c>
      <c r="D1" s="8" t="inlineStr">
        <is>
          <t>CDF</t>
        </is>
      </c>
      <c r="E1" s="8" t="inlineStr">
        <is>
          <t>% Unreported</t>
        </is>
      </c>
      <c r="F1" s="8" t="inlineStr">
        <is>
          <t>Unreported</t>
        </is>
      </c>
      <c r="G1" s="8" t="inlineStr">
        <is>
          <t>Paid</t>
        </is>
      </c>
      <c r="H1" s="8" t="inlineStr">
        <is>
          <t>Ultimate</t>
        </is>
      </c>
      <c r="I1" s="8" t="inlineStr">
        <is>
          <t>IBNR</t>
        </is>
      </c>
      <c r="J1" s="8" t="inlineStr">
        <is>
          <t>Unpaid</t>
        </is>
      </c>
    </row>
    <row r="2">
      <c r="A2" s="9" t="n">
        <v>2001</v>
      </c>
      <c r="B2" s="9" t="n">
        <v>287</v>
      </c>
      <c r="C2" s="10">
        <f>'IE'!D2</f>
        <v/>
      </c>
      <c r="D2" s="13">
        <f>'Paid CL'!D2</f>
        <v/>
      </c>
      <c r="E2" s="14">
        <f>1-(1/D2)</f>
        <v/>
      </c>
      <c r="F2" s="10">
        <f>C2*E2</f>
        <v/>
      </c>
      <c r="G2" s="10">
        <f>'Paid CL'!C2</f>
        <v/>
      </c>
      <c r="H2" s="10">
        <f>F2+G2</f>
        <v/>
      </c>
      <c r="I2" s="10">
        <f>H2-G2</f>
        <v/>
      </c>
      <c r="J2" s="10">
        <f>H2-G2</f>
        <v/>
      </c>
    </row>
    <row r="3">
      <c r="A3" s="9" t="n">
        <v>2002</v>
      </c>
      <c r="B3" s="9" t="n">
        <v>275</v>
      </c>
      <c r="C3" s="10">
        <f>'IE'!D3</f>
        <v/>
      </c>
      <c r="D3" s="13">
        <f>'Paid CL'!D3</f>
        <v/>
      </c>
      <c r="E3" s="14">
        <f>1-(1/D3)</f>
        <v/>
      </c>
      <c r="F3" s="10">
        <f>C3*E3</f>
        <v/>
      </c>
      <c r="G3" s="10">
        <f>'Paid CL'!C3</f>
        <v/>
      </c>
      <c r="H3" s="10">
        <f>F3+G3</f>
        <v/>
      </c>
      <c r="I3" s="10">
        <f>H3-G3</f>
        <v/>
      </c>
      <c r="J3" s="10">
        <f>H3-G3</f>
        <v/>
      </c>
    </row>
    <row r="4">
      <c r="A4" s="9" t="n">
        <v>2003</v>
      </c>
      <c r="B4" s="9" t="n">
        <v>263</v>
      </c>
      <c r="C4" s="10">
        <f>'IE'!D4</f>
        <v/>
      </c>
      <c r="D4" s="13">
        <f>'Paid CL'!D4</f>
        <v/>
      </c>
      <c r="E4" s="14">
        <f>1-(1/D4)</f>
        <v/>
      </c>
      <c r="F4" s="10">
        <f>C4*E4</f>
        <v/>
      </c>
      <c r="G4" s="10">
        <f>'Paid CL'!C4</f>
        <v/>
      </c>
      <c r="H4" s="10">
        <f>F4+G4</f>
        <v/>
      </c>
      <c r="I4" s="10">
        <f>H4-G4</f>
        <v/>
      </c>
      <c r="J4" s="10">
        <f>H4-G4</f>
        <v/>
      </c>
    </row>
    <row r="5">
      <c r="A5" s="9" t="n">
        <v>2004</v>
      </c>
      <c r="B5" s="9" t="n">
        <v>251</v>
      </c>
      <c r="C5" s="10">
        <f>'IE'!D5</f>
        <v/>
      </c>
      <c r="D5" s="13">
        <f>'Paid CL'!D5</f>
        <v/>
      </c>
      <c r="E5" s="14">
        <f>1-(1/D5)</f>
        <v/>
      </c>
      <c r="F5" s="10">
        <f>C5*E5</f>
        <v/>
      </c>
      <c r="G5" s="10">
        <f>'Paid CL'!C5</f>
        <v/>
      </c>
      <c r="H5" s="10">
        <f>F5+G5</f>
        <v/>
      </c>
      <c r="I5" s="10">
        <f>H5-G5</f>
        <v/>
      </c>
      <c r="J5" s="10">
        <f>H5-G5</f>
        <v/>
      </c>
    </row>
    <row r="6">
      <c r="A6" s="9" t="n">
        <v>2005</v>
      </c>
      <c r="B6" s="9" t="n">
        <v>239</v>
      </c>
      <c r="C6" s="10">
        <f>'IE'!D6</f>
        <v/>
      </c>
      <c r="D6" s="13">
        <f>'Paid CL'!D6</f>
        <v/>
      </c>
      <c r="E6" s="14">
        <f>1-(1/D6)</f>
        <v/>
      </c>
      <c r="F6" s="10">
        <f>C6*E6</f>
        <v/>
      </c>
      <c r="G6" s="10">
        <f>'Paid CL'!C6</f>
        <v/>
      </c>
      <c r="H6" s="10">
        <f>F6+G6</f>
        <v/>
      </c>
      <c r="I6" s="10">
        <f>H6-G6</f>
        <v/>
      </c>
      <c r="J6" s="10">
        <f>H6-G6</f>
        <v/>
      </c>
    </row>
    <row r="7">
      <c r="A7" s="9" t="n">
        <v>2006</v>
      </c>
      <c r="B7" s="9" t="n">
        <v>227</v>
      </c>
      <c r="C7" s="10">
        <f>'IE'!D7</f>
        <v/>
      </c>
      <c r="D7" s="13">
        <f>'Paid CL'!D7</f>
        <v/>
      </c>
      <c r="E7" s="14">
        <f>1-(1/D7)</f>
        <v/>
      </c>
      <c r="F7" s="10">
        <f>C7*E7</f>
        <v/>
      </c>
      <c r="G7" s="10">
        <f>'Paid CL'!C7</f>
        <v/>
      </c>
      <c r="H7" s="10">
        <f>F7+G7</f>
        <v/>
      </c>
      <c r="I7" s="10">
        <f>H7-G7</f>
        <v/>
      </c>
      <c r="J7" s="10">
        <f>H7-G7</f>
        <v/>
      </c>
    </row>
    <row r="8">
      <c r="A8" s="9" t="n">
        <v>2007</v>
      </c>
      <c r="B8" s="9" t="n">
        <v>215</v>
      </c>
      <c r="C8" s="10">
        <f>'IE'!D8</f>
        <v/>
      </c>
      <c r="D8" s="13">
        <f>'Paid CL'!D8</f>
        <v/>
      </c>
      <c r="E8" s="14">
        <f>1-(1/D8)</f>
        <v/>
      </c>
      <c r="F8" s="10">
        <f>C8*E8</f>
        <v/>
      </c>
      <c r="G8" s="10">
        <f>'Paid CL'!C8</f>
        <v/>
      </c>
      <c r="H8" s="10">
        <f>F8+G8</f>
        <v/>
      </c>
      <c r="I8" s="10">
        <f>H8-G8</f>
        <v/>
      </c>
      <c r="J8" s="10">
        <f>H8-G8</f>
        <v/>
      </c>
    </row>
    <row r="9">
      <c r="A9" s="9" t="n">
        <v>2008</v>
      </c>
      <c r="B9" s="9" t="n">
        <v>203</v>
      </c>
      <c r="C9" s="10">
        <f>'IE'!D9</f>
        <v/>
      </c>
      <c r="D9" s="13">
        <f>'Paid CL'!D9</f>
        <v/>
      </c>
      <c r="E9" s="14">
        <f>1-(1/D9)</f>
        <v/>
      </c>
      <c r="F9" s="10">
        <f>C9*E9</f>
        <v/>
      </c>
      <c r="G9" s="10">
        <f>'Paid CL'!C9</f>
        <v/>
      </c>
      <c r="H9" s="10">
        <f>F9+G9</f>
        <v/>
      </c>
      <c r="I9" s="10">
        <f>H9-G9</f>
        <v/>
      </c>
      <c r="J9" s="10">
        <f>H9-G9</f>
        <v/>
      </c>
    </row>
    <row r="10">
      <c r="A10" s="9" t="n">
        <v>2009</v>
      </c>
      <c r="B10" s="9" t="n">
        <v>191</v>
      </c>
      <c r="C10" s="10">
        <f>'IE'!D10</f>
        <v/>
      </c>
      <c r="D10" s="13">
        <f>'Paid CL'!D10</f>
        <v/>
      </c>
      <c r="E10" s="14">
        <f>1-(1/D10)</f>
        <v/>
      </c>
      <c r="F10" s="10">
        <f>C10*E10</f>
        <v/>
      </c>
      <c r="G10" s="10">
        <f>'Paid CL'!C10</f>
        <v/>
      </c>
      <c r="H10" s="10">
        <f>F10+G10</f>
        <v/>
      </c>
      <c r="I10" s="10">
        <f>H10-G10</f>
        <v/>
      </c>
      <c r="J10" s="10">
        <f>H10-G10</f>
        <v/>
      </c>
    </row>
    <row r="11">
      <c r="A11" s="9" t="n">
        <v>2010</v>
      </c>
      <c r="B11" s="9" t="n">
        <v>179</v>
      </c>
      <c r="C11" s="10">
        <f>'IE'!D11</f>
        <v/>
      </c>
      <c r="D11" s="13">
        <f>'Paid CL'!D11</f>
        <v/>
      </c>
      <c r="E11" s="14">
        <f>1-(1/D11)</f>
        <v/>
      </c>
      <c r="F11" s="10">
        <f>C11*E11</f>
        <v/>
      </c>
      <c r="G11" s="10">
        <f>'Paid CL'!C11</f>
        <v/>
      </c>
      <c r="H11" s="10">
        <f>F11+G11</f>
        <v/>
      </c>
      <c r="I11" s="10">
        <f>H11-G11</f>
        <v/>
      </c>
      <c r="J11" s="10">
        <f>H11-G11</f>
        <v/>
      </c>
    </row>
    <row r="12">
      <c r="A12" s="9" t="n">
        <v>2011</v>
      </c>
      <c r="B12" s="9" t="n">
        <v>167</v>
      </c>
      <c r="C12" s="10">
        <f>'IE'!D12</f>
        <v/>
      </c>
      <c r="D12" s="13">
        <f>'Paid CL'!D12</f>
        <v/>
      </c>
      <c r="E12" s="14">
        <f>1-(1/D12)</f>
        <v/>
      </c>
      <c r="F12" s="10">
        <f>C12*E12</f>
        <v/>
      </c>
      <c r="G12" s="10">
        <f>'Paid CL'!C12</f>
        <v/>
      </c>
      <c r="H12" s="10">
        <f>F12+G12</f>
        <v/>
      </c>
      <c r="I12" s="10">
        <f>H12-G12</f>
        <v/>
      </c>
      <c r="J12" s="10">
        <f>H12-G12</f>
        <v/>
      </c>
    </row>
    <row r="13">
      <c r="A13" s="9" t="n">
        <v>2012</v>
      </c>
      <c r="B13" s="9" t="n">
        <v>155</v>
      </c>
      <c r="C13" s="10">
        <f>'IE'!D13</f>
        <v/>
      </c>
      <c r="D13" s="13">
        <f>'Paid CL'!D13</f>
        <v/>
      </c>
      <c r="E13" s="14">
        <f>1-(1/D13)</f>
        <v/>
      </c>
      <c r="F13" s="10">
        <f>C13*E13</f>
        <v/>
      </c>
      <c r="G13" s="10">
        <f>'Paid CL'!C13</f>
        <v/>
      </c>
      <c r="H13" s="10">
        <f>F13+G13</f>
        <v/>
      </c>
      <c r="I13" s="10">
        <f>H13-G13</f>
        <v/>
      </c>
      <c r="J13" s="10">
        <f>H13-G13</f>
        <v/>
      </c>
    </row>
    <row r="14">
      <c r="A14" s="9" t="n">
        <v>2013</v>
      </c>
      <c r="B14" s="9" t="n">
        <v>143</v>
      </c>
      <c r="C14" s="10">
        <f>'IE'!D14</f>
        <v/>
      </c>
      <c r="D14" s="13">
        <f>'Paid CL'!D14</f>
        <v/>
      </c>
      <c r="E14" s="14">
        <f>1-(1/D14)</f>
        <v/>
      </c>
      <c r="F14" s="10">
        <f>C14*E14</f>
        <v/>
      </c>
      <c r="G14" s="10">
        <f>'Paid CL'!C14</f>
        <v/>
      </c>
      <c r="H14" s="10">
        <f>F14+G14</f>
        <v/>
      </c>
      <c r="I14" s="10">
        <f>H14-G14</f>
        <v/>
      </c>
      <c r="J14" s="10">
        <f>H14-G14</f>
        <v/>
      </c>
    </row>
    <row r="15">
      <c r="A15" s="9" t="n">
        <v>2014</v>
      </c>
      <c r="B15" s="9" t="n">
        <v>131</v>
      </c>
      <c r="C15" s="10">
        <f>'IE'!D15</f>
        <v/>
      </c>
      <c r="D15" s="13">
        <f>'Paid CL'!D15</f>
        <v/>
      </c>
      <c r="E15" s="14">
        <f>1-(1/D15)</f>
        <v/>
      </c>
      <c r="F15" s="10">
        <f>C15*E15</f>
        <v/>
      </c>
      <c r="G15" s="10">
        <f>'Paid CL'!C15</f>
        <v/>
      </c>
      <c r="H15" s="10">
        <f>F15+G15</f>
        <v/>
      </c>
      <c r="I15" s="10">
        <f>H15-G15</f>
        <v/>
      </c>
      <c r="J15" s="10">
        <f>H15-G15</f>
        <v/>
      </c>
    </row>
    <row r="16">
      <c r="A16" s="9" t="n">
        <v>2015</v>
      </c>
      <c r="B16" s="9" t="n">
        <v>119</v>
      </c>
      <c r="C16" s="10">
        <f>'IE'!D16</f>
        <v/>
      </c>
      <c r="D16" s="13">
        <f>'Paid CL'!D16</f>
        <v/>
      </c>
      <c r="E16" s="14">
        <f>1-(1/D16)</f>
        <v/>
      </c>
      <c r="F16" s="10">
        <f>C16*E16</f>
        <v/>
      </c>
      <c r="G16" s="10">
        <f>'Paid CL'!C16</f>
        <v/>
      </c>
      <c r="H16" s="10">
        <f>F16+G16</f>
        <v/>
      </c>
      <c r="I16" s="10">
        <f>H16-G16</f>
        <v/>
      </c>
      <c r="J16" s="10">
        <f>H16-G16</f>
        <v/>
      </c>
    </row>
    <row r="17">
      <c r="A17" s="9" t="n">
        <v>2016</v>
      </c>
      <c r="B17" s="9" t="n">
        <v>107</v>
      </c>
      <c r="C17" s="10">
        <f>'IE'!D17</f>
        <v/>
      </c>
      <c r="D17" s="13">
        <f>'Paid CL'!D17</f>
        <v/>
      </c>
      <c r="E17" s="14">
        <f>1-(1/D17)</f>
        <v/>
      </c>
      <c r="F17" s="10">
        <f>C17*E17</f>
        <v/>
      </c>
      <c r="G17" s="10">
        <f>'Paid CL'!C17</f>
        <v/>
      </c>
      <c r="H17" s="10">
        <f>F17+G17</f>
        <v/>
      </c>
      <c r="I17" s="10">
        <f>H17-G17</f>
        <v/>
      </c>
      <c r="J17" s="10">
        <f>H17-G17</f>
        <v/>
      </c>
    </row>
    <row r="18">
      <c r="A18" s="9" t="n">
        <v>2017</v>
      </c>
      <c r="B18" s="9" t="n">
        <v>95</v>
      </c>
      <c r="C18" s="10">
        <f>'IE'!D18</f>
        <v/>
      </c>
      <c r="D18" s="13">
        <f>'Paid CL'!D18</f>
        <v/>
      </c>
      <c r="E18" s="14">
        <f>1-(1/D18)</f>
        <v/>
      </c>
      <c r="F18" s="10">
        <f>C18*E18</f>
        <v/>
      </c>
      <c r="G18" s="10">
        <f>'Paid CL'!C18</f>
        <v/>
      </c>
      <c r="H18" s="10">
        <f>F18+G18</f>
        <v/>
      </c>
      <c r="I18" s="10">
        <f>H18-G18</f>
        <v/>
      </c>
      <c r="J18" s="10">
        <f>H18-G18</f>
        <v/>
      </c>
    </row>
    <row r="19">
      <c r="A19" s="9" t="n">
        <v>2018</v>
      </c>
      <c r="B19" s="9" t="n">
        <v>83</v>
      </c>
      <c r="C19" s="10">
        <f>'IE'!D19</f>
        <v/>
      </c>
      <c r="D19" s="13">
        <f>'Paid CL'!D19</f>
        <v/>
      </c>
      <c r="E19" s="14">
        <f>1-(1/D19)</f>
        <v/>
      </c>
      <c r="F19" s="10">
        <f>C19*E19</f>
        <v/>
      </c>
      <c r="G19" s="10">
        <f>'Paid CL'!C19</f>
        <v/>
      </c>
      <c r="H19" s="10">
        <f>F19+G19</f>
        <v/>
      </c>
      <c r="I19" s="10">
        <f>H19-G19</f>
        <v/>
      </c>
      <c r="J19" s="10">
        <f>H19-G19</f>
        <v/>
      </c>
    </row>
    <row r="20">
      <c r="A20" s="9" t="n">
        <v>2019</v>
      </c>
      <c r="B20" s="9" t="n">
        <v>71</v>
      </c>
      <c r="C20" s="10">
        <f>'IE'!D20</f>
        <v/>
      </c>
      <c r="D20" s="13">
        <f>'Paid CL'!D20</f>
        <v/>
      </c>
      <c r="E20" s="14">
        <f>1-(1/D20)</f>
        <v/>
      </c>
      <c r="F20" s="10">
        <f>C20*E20</f>
        <v/>
      </c>
      <c r="G20" s="10">
        <f>'Paid CL'!C20</f>
        <v/>
      </c>
      <c r="H20" s="10">
        <f>F20+G20</f>
        <v/>
      </c>
      <c r="I20" s="10">
        <f>H20-G20</f>
        <v/>
      </c>
      <c r="J20" s="10">
        <f>H20-G20</f>
        <v/>
      </c>
    </row>
    <row r="21">
      <c r="A21" s="9" t="n">
        <v>2020</v>
      </c>
      <c r="B21" s="9" t="n">
        <v>59</v>
      </c>
      <c r="C21" s="10">
        <f>'IE'!D21</f>
        <v/>
      </c>
      <c r="D21" s="13">
        <f>'Paid CL'!D21</f>
        <v/>
      </c>
      <c r="E21" s="14">
        <f>1-(1/D21)</f>
        <v/>
      </c>
      <c r="F21" s="10">
        <f>C21*E21</f>
        <v/>
      </c>
      <c r="G21" s="10">
        <f>'Paid CL'!C21</f>
        <v/>
      </c>
      <c r="H21" s="10">
        <f>F21+G21</f>
        <v/>
      </c>
      <c r="I21" s="10">
        <f>H21-G21</f>
        <v/>
      </c>
      <c r="J21" s="10">
        <f>H21-G21</f>
        <v/>
      </c>
    </row>
    <row r="22">
      <c r="A22" s="9" t="n">
        <v>2021</v>
      </c>
      <c r="B22" s="9" t="n">
        <v>47</v>
      </c>
      <c r="C22" s="10">
        <f>'IE'!D22</f>
        <v/>
      </c>
      <c r="D22" s="13">
        <f>'Paid CL'!D22</f>
        <v/>
      </c>
      <c r="E22" s="14">
        <f>1-(1/D22)</f>
        <v/>
      </c>
      <c r="F22" s="10">
        <f>C22*E22</f>
        <v/>
      </c>
      <c r="G22" s="10">
        <f>'Paid CL'!C22</f>
        <v/>
      </c>
      <c r="H22" s="10">
        <f>F22+G22</f>
        <v/>
      </c>
      <c r="I22" s="10">
        <f>H22-G22</f>
        <v/>
      </c>
      <c r="J22" s="10">
        <f>H22-G22</f>
        <v/>
      </c>
    </row>
    <row r="23">
      <c r="A23" s="9" t="n">
        <v>2022</v>
      </c>
      <c r="B23" s="9" t="n">
        <v>35</v>
      </c>
      <c r="C23" s="10">
        <f>'IE'!D23</f>
        <v/>
      </c>
      <c r="D23" s="13">
        <f>'Paid CL'!D23</f>
        <v/>
      </c>
      <c r="E23" s="14">
        <f>1-(1/D23)</f>
        <v/>
      </c>
      <c r="F23" s="10">
        <f>C23*E23</f>
        <v/>
      </c>
      <c r="G23" s="10">
        <f>'Paid CL'!C23</f>
        <v/>
      </c>
      <c r="H23" s="10">
        <f>F23+G23</f>
        <v/>
      </c>
      <c r="I23" s="10">
        <f>H23-G23</f>
        <v/>
      </c>
      <c r="J23" s="10">
        <f>H23-G23</f>
        <v/>
      </c>
    </row>
    <row r="24">
      <c r="A24" s="9" t="n">
        <v>2023</v>
      </c>
      <c r="B24" s="9" t="n">
        <v>23</v>
      </c>
      <c r="C24" s="10">
        <f>'IE'!D24</f>
        <v/>
      </c>
      <c r="D24" s="13">
        <f>'Paid CL'!D24</f>
        <v/>
      </c>
      <c r="E24" s="14">
        <f>1-(1/D24)</f>
        <v/>
      </c>
      <c r="F24" s="10">
        <f>C24*E24</f>
        <v/>
      </c>
      <c r="G24" s="10">
        <f>'Paid CL'!C24</f>
        <v/>
      </c>
      <c r="H24" s="10">
        <f>F24+G24</f>
        <v/>
      </c>
      <c r="I24" s="10">
        <f>H24-G24</f>
        <v/>
      </c>
      <c r="J24" s="10">
        <f>H24-G24</f>
        <v/>
      </c>
    </row>
    <row r="25">
      <c r="A25" s="9" t="n">
        <v>2024</v>
      </c>
      <c r="B25" s="9" t="n">
        <v>11</v>
      </c>
      <c r="C25" s="10">
        <f>'IE'!D25</f>
        <v/>
      </c>
      <c r="D25" s="13">
        <f>'Paid CL'!D25</f>
        <v/>
      </c>
      <c r="E25" s="14">
        <f>1-(1/D25)</f>
        <v/>
      </c>
      <c r="F25" s="10">
        <f>C25*E25</f>
        <v/>
      </c>
      <c r="G25" s="10">
        <f>'Paid CL'!C25</f>
        <v/>
      </c>
      <c r="H25" s="10">
        <f>F25+G25</f>
        <v/>
      </c>
      <c r="I25" s="10">
        <f>H25-G25</f>
        <v/>
      </c>
      <c r="J25" s="10">
        <f>H25-G25</f>
        <v/>
      </c>
    </row>
    <row r="26"/>
    <row r="27">
      <c r="A27" s="5" t="inlineStr">
        <is>
          <t>Total</t>
        </is>
      </c>
      <c r="C27" s="10">
        <f>SUM(C2:C25)</f>
        <v/>
      </c>
      <c r="E27" s="14">
        <f>SUM(F2:F25)/SUM(C2:C25)</f>
        <v/>
      </c>
      <c r="F27" s="10">
        <f>SUM(F2:F25)</f>
        <v/>
      </c>
      <c r="G27" s="10">
        <f>SUM(G2:G25)</f>
        <v/>
      </c>
      <c r="H27" s="10">
        <f>SUM(H2:H25)</f>
        <v/>
      </c>
      <c r="I27" s="10">
        <f>SUM(I2:I25)</f>
        <v/>
      </c>
      <c r="J27" s="10">
        <f>SUM(J2:J25)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8" t="inlineStr">
        <is>
          <t>Accident Period</t>
        </is>
      </c>
      <c r="B1" s="8" t="inlineStr">
        <is>
          <t>Current Age</t>
        </is>
      </c>
      <c r="C1" s="8" t="inlineStr">
        <is>
          <t>Exposure</t>
        </is>
      </c>
      <c r="D1" s="8" t="inlineStr">
        <is>
          <t>IE Ultimate</t>
        </is>
      </c>
      <c r="E1" s="8" t="inlineStr">
        <is>
          <t>Selected Loss Rate</t>
        </is>
      </c>
    </row>
    <row r="2">
      <c r="A2" s="9" t="n">
        <v>2001</v>
      </c>
      <c r="B2" s="9" t="n">
        <v>287</v>
      </c>
      <c r="C2" s="10" t="inlineStr">
        <is>
          <t>""</t>
        </is>
      </c>
      <c r="D2" s="10">
        <f>'C:\Users\super\Documents\actuarial\cas-rfp\spec-only\team-analyst\sample-data\sample-run\selections\[Ultimates.xlsx]Losses'!G2</f>
        <v/>
      </c>
      <c r="E2" s="13">
        <f>D2/C2</f>
        <v/>
      </c>
    </row>
    <row r="3">
      <c r="A3" s="9" t="n">
        <v>2002</v>
      </c>
      <c r="B3" s="9" t="n">
        <v>275</v>
      </c>
      <c r="C3" s="10" t="inlineStr">
        <is>
          <t>""</t>
        </is>
      </c>
      <c r="D3" s="10">
        <f>'C:\Users\super\Documents\actuarial\cas-rfp\spec-only\team-analyst\sample-data\sample-run\selections\[Ultimates.xlsx]Losses'!G3</f>
        <v/>
      </c>
      <c r="E3" s="13">
        <f>D3/C3</f>
        <v/>
      </c>
    </row>
    <row r="4">
      <c r="A4" s="9" t="n">
        <v>2003</v>
      </c>
      <c r="B4" s="9" t="n">
        <v>263</v>
      </c>
      <c r="C4" s="10" t="inlineStr">
        <is>
          <t>""</t>
        </is>
      </c>
      <c r="D4" s="10">
        <f>'C:\Users\super\Documents\actuarial\cas-rfp\spec-only\team-analyst\sample-data\sample-run\selections\[Ultimates.xlsx]Losses'!G4</f>
        <v/>
      </c>
      <c r="E4" s="13">
        <f>D4/C4</f>
        <v/>
      </c>
    </row>
    <row r="5">
      <c r="A5" s="9" t="n">
        <v>2004</v>
      </c>
      <c r="B5" s="9" t="n">
        <v>251</v>
      </c>
      <c r="C5" s="10" t="inlineStr">
        <is>
          <t>""</t>
        </is>
      </c>
      <c r="D5" s="10">
        <f>'C:\Users\super\Documents\actuarial\cas-rfp\spec-only\team-analyst\sample-data\sample-run\selections\[Ultimates.xlsx]Losses'!G5</f>
        <v/>
      </c>
      <c r="E5" s="13">
        <f>D5/C5</f>
        <v/>
      </c>
    </row>
    <row r="6">
      <c r="A6" s="9" t="n">
        <v>2005</v>
      </c>
      <c r="B6" s="9" t="n">
        <v>239</v>
      </c>
      <c r="C6" s="10" t="inlineStr">
        <is>
          <t>""</t>
        </is>
      </c>
      <c r="D6" s="10">
        <f>'C:\Users\super\Documents\actuarial\cas-rfp\spec-only\team-analyst\sample-data\sample-run\selections\[Ultimates.xlsx]Losses'!G6</f>
        <v/>
      </c>
      <c r="E6" s="13">
        <f>D6/C6</f>
        <v/>
      </c>
    </row>
    <row r="7">
      <c r="A7" s="9" t="n">
        <v>2006</v>
      </c>
      <c r="B7" s="9" t="n">
        <v>227</v>
      </c>
      <c r="C7" s="10" t="inlineStr">
        <is>
          <t>""</t>
        </is>
      </c>
      <c r="D7" s="10">
        <f>'C:\Users\super\Documents\actuarial\cas-rfp\spec-only\team-analyst\sample-data\sample-run\selections\[Ultimates.xlsx]Losses'!G7</f>
        <v/>
      </c>
      <c r="E7" s="13">
        <f>D7/C7</f>
        <v/>
      </c>
    </row>
    <row r="8">
      <c r="A8" s="9" t="n">
        <v>2007</v>
      </c>
      <c r="B8" s="9" t="n">
        <v>215</v>
      </c>
      <c r="C8" s="10" t="inlineStr">
        <is>
          <t>""</t>
        </is>
      </c>
      <c r="D8" s="10">
        <f>'C:\Users\super\Documents\actuarial\cas-rfp\spec-only\team-analyst\sample-data\sample-run\selections\[Ultimates.xlsx]Losses'!G8</f>
        <v/>
      </c>
      <c r="E8" s="13">
        <f>D8/C8</f>
        <v/>
      </c>
    </row>
    <row r="9">
      <c r="A9" s="9" t="n">
        <v>2008</v>
      </c>
      <c r="B9" s="9" t="n">
        <v>203</v>
      </c>
      <c r="C9" s="10" t="inlineStr">
        <is>
          <t>""</t>
        </is>
      </c>
      <c r="D9" s="10">
        <f>'C:\Users\super\Documents\actuarial\cas-rfp\spec-only\team-analyst\sample-data\sample-run\selections\[Ultimates.xlsx]Losses'!G9</f>
        <v/>
      </c>
      <c r="E9" s="13">
        <f>D9/C9</f>
        <v/>
      </c>
    </row>
    <row r="10">
      <c r="A10" s="9" t="n">
        <v>2009</v>
      </c>
      <c r="B10" s="9" t="n">
        <v>191</v>
      </c>
      <c r="C10" s="10" t="inlineStr">
        <is>
          <t>""</t>
        </is>
      </c>
      <c r="D10" s="10">
        <f>'C:\Users\super\Documents\actuarial\cas-rfp\spec-only\team-analyst\sample-data\sample-run\selections\[Ultimates.xlsx]Losses'!G10</f>
        <v/>
      </c>
      <c r="E10" s="13">
        <f>D10/C10</f>
        <v/>
      </c>
    </row>
    <row r="11">
      <c r="A11" s="9" t="n">
        <v>2010</v>
      </c>
      <c r="B11" s="9" t="n">
        <v>179</v>
      </c>
      <c r="C11" s="10" t="inlineStr">
        <is>
          <t>""</t>
        </is>
      </c>
      <c r="D11" s="10">
        <f>'C:\Users\super\Documents\actuarial\cas-rfp\spec-only\team-analyst\sample-data\sample-run\selections\[Ultimates.xlsx]Losses'!G11</f>
        <v/>
      </c>
      <c r="E11" s="13">
        <f>D11/C11</f>
        <v/>
      </c>
    </row>
    <row r="12">
      <c r="A12" s="9" t="n">
        <v>2011</v>
      </c>
      <c r="B12" s="9" t="n">
        <v>167</v>
      </c>
      <c r="C12" s="10" t="inlineStr">
        <is>
          <t>""</t>
        </is>
      </c>
      <c r="D12" s="10">
        <f>'C:\Users\super\Documents\actuarial\cas-rfp\spec-only\team-analyst\sample-data\sample-run\selections\[Ultimates.xlsx]Losses'!G12</f>
        <v/>
      </c>
      <c r="E12" s="13">
        <f>D12/C12</f>
        <v/>
      </c>
    </row>
    <row r="13">
      <c r="A13" s="9" t="n">
        <v>2012</v>
      </c>
      <c r="B13" s="9" t="n">
        <v>155</v>
      </c>
      <c r="C13" s="10" t="inlineStr">
        <is>
          <t>""</t>
        </is>
      </c>
      <c r="D13" s="10">
        <f>'C:\Users\super\Documents\actuarial\cas-rfp\spec-only\team-analyst\sample-data\sample-run\selections\[Ultimates.xlsx]Losses'!G13</f>
        <v/>
      </c>
      <c r="E13" s="13">
        <f>D13/C13</f>
        <v/>
      </c>
    </row>
    <row r="14">
      <c r="A14" s="9" t="n">
        <v>2013</v>
      </c>
      <c r="B14" s="9" t="n">
        <v>143</v>
      </c>
      <c r="C14" s="10" t="inlineStr">
        <is>
          <t>""</t>
        </is>
      </c>
      <c r="D14" s="10">
        <f>'C:\Users\super\Documents\actuarial\cas-rfp\spec-only\team-analyst\sample-data\sample-run\selections\[Ultimates.xlsx]Losses'!G14</f>
        <v/>
      </c>
      <c r="E14" s="13">
        <f>D14/C14</f>
        <v/>
      </c>
    </row>
    <row r="15">
      <c r="A15" s="9" t="n">
        <v>2014</v>
      </c>
      <c r="B15" s="9" t="n">
        <v>131</v>
      </c>
      <c r="C15" s="10" t="inlineStr">
        <is>
          <t>""</t>
        </is>
      </c>
      <c r="D15" s="10">
        <f>'C:\Users\super\Documents\actuarial\cas-rfp\spec-only\team-analyst\sample-data\sample-run\selections\[Ultimates.xlsx]Losses'!G15</f>
        <v/>
      </c>
      <c r="E15" s="13">
        <f>D15/C15</f>
        <v/>
      </c>
    </row>
    <row r="16">
      <c r="A16" s="9" t="n">
        <v>2015</v>
      </c>
      <c r="B16" s="9" t="n">
        <v>119</v>
      </c>
      <c r="C16" s="10" t="inlineStr">
        <is>
          <t>""</t>
        </is>
      </c>
      <c r="D16" s="10">
        <f>'C:\Users\super\Documents\actuarial\cas-rfp\spec-only\team-analyst\sample-data\sample-run\selections\[Ultimates.xlsx]Losses'!G16</f>
        <v/>
      </c>
      <c r="E16" s="13">
        <f>D16/C16</f>
        <v/>
      </c>
    </row>
    <row r="17">
      <c r="A17" s="9" t="n">
        <v>2016</v>
      </c>
      <c r="B17" s="9" t="n">
        <v>107</v>
      </c>
      <c r="C17" s="10" t="inlineStr">
        <is>
          <t>""</t>
        </is>
      </c>
      <c r="D17" s="10">
        <f>'C:\Users\super\Documents\actuarial\cas-rfp\spec-only\team-analyst\sample-data\sample-run\selections\[Ultimates.xlsx]Losses'!G17</f>
        <v/>
      </c>
      <c r="E17" s="13">
        <f>D17/C17</f>
        <v/>
      </c>
    </row>
    <row r="18">
      <c r="A18" s="9" t="n">
        <v>2017</v>
      </c>
      <c r="B18" s="9" t="n">
        <v>95</v>
      </c>
      <c r="C18" s="10" t="inlineStr">
        <is>
          <t>""</t>
        </is>
      </c>
      <c r="D18" s="10">
        <f>'C:\Users\super\Documents\actuarial\cas-rfp\spec-only\team-analyst\sample-data\sample-run\selections\[Ultimates.xlsx]Losses'!G18</f>
        <v/>
      </c>
      <c r="E18" s="13">
        <f>D18/C18</f>
        <v/>
      </c>
    </row>
    <row r="19">
      <c r="A19" s="9" t="n">
        <v>2018</v>
      </c>
      <c r="B19" s="9" t="n">
        <v>83</v>
      </c>
      <c r="C19" s="10" t="inlineStr">
        <is>
          <t>""</t>
        </is>
      </c>
      <c r="D19" s="10">
        <f>'C:\Users\super\Documents\actuarial\cas-rfp\spec-only\team-analyst\sample-data\sample-run\selections\[Ultimates.xlsx]Losses'!G19</f>
        <v/>
      </c>
      <c r="E19" s="13">
        <f>D19/C19</f>
        <v/>
      </c>
    </row>
    <row r="20">
      <c r="A20" s="9" t="n">
        <v>2019</v>
      </c>
      <c r="B20" s="9" t="n">
        <v>71</v>
      </c>
      <c r="C20" s="10" t="inlineStr">
        <is>
          <t>""</t>
        </is>
      </c>
      <c r="D20" s="10">
        <f>'C:\Users\super\Documents\actuarial\cas-rfp\spec-only\team-analyst\sample-data\sample-run\selections\[Ultimates.xlsx]Losses'!G20</f>
        <v/>
      </c>
      <c r="E20" s="13">
        <f>D20/C20</f>
        <v/>
      </c>
    </row>
    <row r="21">
      <c r="A21" s="9" t="n">
        <v>2020</v>
      </c>
      <c r="B21" s="9" t="n">
        <v>59</v>
      </c>
      <c r="C21" s="10" t="inlineStr">
        <is>
          <t>""</t>
        </is>
      </c>
      <c r="D21" s="10">
        <f>'C:\Users\super\Documents\actuarial\cas-rfp\spec-only\team-analyst\sample-data\sample-run\selections\[Ultimates.xlsx]Losses'!G21</f>
        <v/>
      </c>
      <c r="E21" s="13">
        <f>D21/C21</f>
        <v/>
      </c>
    </row>
    <row r="22">
      <c r="A22" s="9" t="n">
        <v>2021</v>
      </c>
      <c r="B22" s="9" t="n">
        <v>47</v>
      </c>
      <c r="C22" s="10" t="inlineStr">
        <is>
          <t>""</t>
        </is>
      </c>
      <c r="D22" s="10">
        <f>'C:\Users\super\Documents\actuarial\cas-rfp\spec-only\team-analyst\sample-data\sample-run\selections\[Ultimates.xlsx]Losses'!G22</f>
        <v/>
      </c>
      <c r="E22" s="13">
        <f>D22/C22</f>
        <v/>
      </c>
    </row>
    <row r="23">
      <c r="A23" s="9" t="n">
        <v>2022</v>
      </c>
      <c r="B23" s="9" t="n">
        <v>35</v>
      </c>
      <c r="C23" s="10" t="inlineStr">
        <is>
          <t>""</t>
        </is>
      </c>
      <c r="D23" s="10">
        <f>'C:\Users\super\Documents\actuarial\cas-rfp\spec-only\team-analyst\sample-data\sample-run\selections\[Ultimates.xlsx]Losses'!G23</f>
        <v/>
      </c>
      <c r="E23" s="13">
        <f>D23/C23</f>
        <v/>
      </c>
    </row>
    <row r="24">
      <c r="A24" s="9" t="n">
        <v>2023</v>
      </c>
      <c r="B24" s="9" t="n">
        <v>23</v>
      </c>
      <c r="C24" s="10" t="inlineStr">
        <is>
          <t>""</t>
        </is>
      </c>
      <c r="D24" s="10">
        <f>'C:\Users\super\Documents\actuarial\cas-rfp\spec-only\team-analyst\sample-data\sample-run\selections\[Ultimates.xlsx]Losses'!G24</f>
        <v/>
      </c>
      <c r="E24" s="13">
        <f>D24/C24</f>
        <v/>
      </c>
    </row>
    <row r="25">
      <c r="A25" s="9" t="n">
        <v>2024</v>
      </c>
      <c r="B25" s="9" t="n">
        <v>11</v>
      </c>
      <c r="C25" s="10" t="inlineStr">
        <is>
          <t>""</t>
        </is>
      </c>
      <c r="D25" s="10">
        <f>'C:\Users\super\Documents\actuarial\cas-rfp\spec-only\team-analyst\sample-data\sample-run\selections\[Ultimates.xlsx]Losses'!G25</f>
        <v/>
      </c>
      <c r="E25" s="13">
        <f>D25/C25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40" customWidth="1" min="10" max="10"/>
  </cols>
  <sheetData>
    <row r="1">
      <c r="A1" s="8" t="inlineStr">
        <is>
          <t>Accident Period</t>
        </is>
      </c>
      <c r="B1" s="8" t="inlineStr">
        <is>
          <t>Current Age</t>
        </is>
      </c>
      <c r="C1" s="8" t="inlineStr">
        <is>
          <t>Reported</t>
        </is>
      </c>
      <c r="D1" s="8" t="inlineStr">
        <is>
          <t>Reported CL</t>
        </is>
      </c>
      <c r="E1" s="8" t="inlineStr">
        <is>
          <t>Initial Expected</t>
        </is>
      </c>
      <c r="F1" s="8" t="inlineStr">
        <is>
          <t>Reported BF</t>
        </is>
      </c>
      <c r="G1" s="8" t="inlineStr">
        <is>
          <t>Selected Ultimate</t>
        </is>
      </c>
      <c r="H1" s="8" t="inlineStr">
        <is>
          <t>IBNR</t>
        </is>
      </c>
      <c r="I1" s="8" t="inlineStr">
        <is>
          <t>Unpaid</t>
        </is>
      </c>
      <c r="J1" s="8" t="inlineStr">
        <is>
          <t>Selected Reasoning</t>
        </is>
      </c>
    </row>
    <row r="2">
      <c r="A2" s="9" t="n">
        <v>2001</v>
      </c>
      <c r="B2" s="9" t="n">
        <v>287</v>
      </c>
      <c r="C2" s="10">
        <f>'Reported CL'!C2</f>
        <v/>
      </c>
      <c r="D2" s="10">
        <f>'Reported CL'!E2</f>
        <v/>
      </c>
      <c r="E2" s="10">
        <f>'IE'!D2</f>
        <v/>
      </c>
      <c r="F2" s="10">
        <f>'Reported BF'!H2</f>
        <v/>
      </c>
      <c r="G2" s="10">
        <f>IF('C:\Users\super\Documents\actuarial\cas-rfp\spec-only\team-analyst\sample-data\sample-run\selections\[Ultimates.xlsx]Counts'!K2&lt;&gt;"",'C:\Users\super\Documents\actuarial\cas-rfp\spec-only\team-analyst\sample-data\sample-run\selections\[Ultimates.xlsx]Counts'!K2,'C:\Users\super\Documents\actuarial\cas-rfp\spec-only\team-analyst\sample-data\sample-run\selections\[Ultimates.xlsx]Counts'!G2)</f>
        <v/>
      </c>
      <c r="H2" s="10">
        <f>G2-C2</f>
        <v/>
      </c>
      <c r="I2" s="10">
        <f>G2-C2</f>
        <v/>
      </c>
      <c r="J2" s="11">
        <f>IF('C:\Users\super\Documents\actuarial\cas-rfp\spec-only\team-analyst\sample-data\sample-run\selections\[Ultimates.xlsx]Counts'!K2&lt;&gt;"",'C:\Users\super\Documents\actuarial\cas-rfp\spec-only\team-analyst\sample-data\sample-run\selections\[Ultimates.xlsx]Counts'!L2,'C:\Users\super\Documents\actuarial\cas-rfp\spec-only\team-analyst\sample-data\sample-run\selections\[Ultimates.xlsx]Counts'!H2)</f>
        <v/>
      </c>
    </row>
    <row r="3">
      <c r="A3" s="9" t="n">
        <v>2002</v>
      </c>
      <c r="B3" s="9" t="n">
        <v>275</v>
      </c>
      <c r="C3" s="10">
        <f>'Reported CL'!C3</f>
        <v/>
      </c>
      <c r="D3" s="10">
        <f>'Reported CL'!E3</f>
        <v/>
      </c>
      <c r="E3" s="10">
        <f>'IE'!D3</f>
        <v/>
      </c>
      <c r="F3" s="10">
        <f>'Reported BF'!H3</f>
        <v/>
      </c>
      <c r="G3" s="10">
        <f>IF('C:\Users\super\Documents\actuarial\cas-rfp\spec-only\team-analyst\sample-data\sample-run\selections\[Ultimates.xlsx]Counts'!K3&lt;&gt;"",'C:\Users\super\Documents\actuarial\cas-rfp\spec-only\team-analyst\sample-data\sample-run\selections\[Ultimates.xlsx]Counts'!K3,'C:\Users\super\Documents\actuarial\cas-rfp\spec-only\team-analyst\sample-data\sample-run\selections\[Ultimates.xlsx]Counts'!G3)</f>
        <v/>
      </c>
      <c r="H3" s="10">
        <f>G3-C3</f>
        <v/>
      </c>
      <c r="I3" s="10">
        <f>G3-C3</f>
        <v/>
      </c>
      <c r="J3" s="11">
        <f>IF('C:\Users\super\Documents\actuarial\cas-rfp\spec-only\team-analyst\sample-data\sample-run\selections\[Ultimates.xlsx]Counts'!K3&lt;&gt;"",'C:\Users\super\Documents\actuarial\cas-rfp\spec-only\team-analyst\sample-data\sample-run\selections\[Ultimates.xlsx]Counts'!L3,'C:\Users\super\Documents\actuarial\cas-rfp\spec-only\team-analyst\sample-data\sample-run\selections\[Ultimates.xlsx]Counts'!H3)</f>
        <v/>
      </c>
    </row>
    <row r="4">
      <c r="A4" s="9" t="n">
        <v>2003</v>
      </c>
      <c r="B4" s="9" t="n">
        <v>263</v>
      </c>
      <c r="C4" s="10">
        <f>'Reported CL'!C4</f>
        <v/>
      </c>
      <c r="D4" s="10">
        <f>'Reported CL'!E4</f>
        <v/>
      </c>
      <c r="E4" s="10">
        <f>'IE'!D4</f>
        <v/>
      </c>
      <c r="F4" s="10">
        <f>'Reported BF'!H4</f>
        <v/>
      </c>
      <c r="G4" s="10">
        <f>IF('C:\Users\super\Documents\actuarial\cas-rfp\spec-only\team-analyst\sample-data\sample-run\selections\[Ultimates.xlsx]Counts'!K4&lt;&gt;"",'C:\Users\super\Documents\actuarial\cas-rfp\spec-only\team-analyst\sample-data\sample-run\selections\[Ultimates.xlsx]Counts'!K4,'C:\Users\super\Documents\actuarial\cas-rfp\spec-only\team-analyst\sample-data\sample-run\selections\[Ultimates.xlsx]Counts'!G4)</f>
        <v/>
      </c>
      <c r="H4" s="10">
        <f>G4-C4</f>
        <v/>
      </c>
      <c r="I4" s="10">
        <f>G4-C4</f>
        <v/>
      </c>
      <c r="J4" s="11">
        <f>IF('C:\Users\super\Documents\actuarial\cas-rfp\spec-only\team-analyst\sample-data\sample-run\selections\[Ultimates.xlsx]Counts'!K4&lt;&gt;"",'C:\Users\super\Documents\actuarial\cas-rfp\spec-only\team-analyst\sample-data\sample-run\selections\[Ultimates.xlsx]Counts'!L4,'C:\Users\super\Documents\actuarial\cas-rfp\spec-only\team-analyst\sample-data\sample-run\selections\[Ultimates.xlsx]Counts'!H4)</f>
        <v/>
      </c>
    </row>
    <row r="5">
      <c r="A5" s="9" t="n">
        <v>2004</v>
      </c>
      <c r="B5" s="9" t="n">
        <v>251</v>
      </c>
      <c r="C5" s="10">
        <f>'Reported CL'!C5</f>
        <v/>
      </c>
      <c r="D5" s="10">
        <f>'Reported CL'!E5</f>
        <v/>
      </c>
      <c r="E5" s="10">
        <f>'IE'!D5</f>
        <v/>
      </c>
      <c r="F5" s="10">
        <f>'Reported BF'!H5</f>
        <v/>
      </c>
      <c r="G5" s="10">
        <f>IF('C:\Users\super\Documents\actuarial\cas-rfp\spec-only\team-analyst\sample-data\sample-run\selections\[Ultimates.xlsx]Counts'!K5&lt;&gt;"",'C:\Users\super\Documents\actuarial\cas-rfp\spec-only\team-analyst\sample-data\sample-run\selections\[Ultimates.xlsx]Counts'!K5,'C:\Users\super\Documents\actuarial\cas-rfp\spec-only\team-analyst\sample-data\sample-run\selections\[Ultimates.xlsx]Counts'!G5)</f>
        <v/>
      </c>
      <c r="H5" s="10">
        <f>G5-C5</f>
        <v/>
      </c>
      <c r="I5" s="10">
        <f>G5-C5</f>
        <v/>
      </c>
      <c r="J5" s="11">
        <f>IF('C:\Users\super\Documents\actuarial\cas-rfp\spec-only\team-analyst\sample-data\sample-run\selections\[Ultimates.xlsx]Counts'!K5&lt;&gt;"",'C:\Users\super\Documents\actuarial\cas-rfp\spec-only\team-analyst\sample-data\sample-run\selections\[Ultimates.xlsx]Counts'!L5,'C:\Users\super\Documents\actuarial\cas-rfp\spec-only\team-analyst\sample-data\sample-run\selections\[Ultimates.xlsx]Counts'!H5)</f>
        <v/>
      </c>
    </row>
    <row r="6">
      <c r="A6" s="9" t="n">
        <v>2005</v>
      </c>
      <c r="B6" s="9" t="n">
        <v>239</v>
      </c>
      <c r="C6" s="10">
        <f>'Reported CL'!C6</f>
        <v/>
      </c>
      <c r="D6" s="10">
        <f>'Reported CL'!E6</f>
        <v/>
      </c>
      <c r="E6" s="10">
        <f>'IE'!D6</f>
        <v/>
      </c>
      <c r="F6" s="10">
        <f>'Reported BF'!H6</f>
        <v/>
      </c>
      <c r="G6" s="10">
        <f>IF('C:\Users\super\Documents\actuarial\cas-rfp\spec-only\team-analyst\sample-data\sample-run\selections\[Ultimates.xlsx]Counts'!K6&lt;&gt;"",'C:\Users\super\Documents\actuarial\cas-rfp\spec-only\team-analyst\sample-data\sample-run\selections\[Ultimates.xlsx]Counts'!K6,'C:\Users\super\Documents\actuarial\cas-rfp\spec-only\team-analyst\sample-data\sample-run\selections\[Ultimates.xlsx]Counts'!G6)</f>
        <v/>
      </c>
      <c r="H6" s="10">
        <f>G6-C6</f>
        <v/>
      </c>
      <c r="I6" s="10">
        <f>G6-C6</f>
        <v/>
      </c>
      <c r="J6" s="11">
        <f>IF('C:\Users\super\Documents\actuarial\cas-rfp\spec-only\team-analyst\sample-data\sample-run\selections\[Ultimates.xlsx]Counts'!K6&lt;&gt;"",'C:\Users\super\Documents\actuarial\cas-rfp\spec-only\team-analyst\sample-data\sample-run\selections\[Ultimates.xlsx]Counts'!L6,'C:\Users\super\Documents\actuarial\cas-rfp\spec-only\team-analyst\sample-data\sample-run\selections\[Ultimates.xlsx]Counts'!H6)</f>
        <v/>
      </c>
    </row>
    <row r="7">
      <c r="A7" s="9" t="n">
        <v>2006</v>
      </c>
      <c r="B7" s="9" t="n">
        <v>227</v>
      </c>
      <c r="C7" s="10">
        <f>'Reported CL'!C7</f>
        <v/>
      </c>
      <c r="D7" s="10">
        <f>'Reported CL'!E7</f>
        <v/>
      </c>
      <c r="E7" s="10">
        <f>'IE'!D7</f>
        <v/>
      </c>
      <c r="F7" s="10">
        <f>'Reported BF'!H7</f>
        <v/>
      </c>
      <c r="G7" s="10">
        <f>IF('C:\Users\super\Documents\actuarial\cas-rfp\spec-only\team-analyst\sample-data\sample-run\selections\[Ultimates.xlsx]Counts'!K7&lt;&gt;"",'C:\Users\super\Documents\actuarial\cas-rfp\spec-only\team-analyst\sample-data\sample-run\selections\[Ultimates.xlsx]Counts'!K7,'C:\Users\super\Documents\actuarial\cas-rfp\spec-only\team-analyst\sample-data\sample-run\selections\[Ultimates.xlsx]Counts'!G7)</f>
        <v/>
      </c>
      <c r="H7" s="10">
        <f>G7-C7</f>
        <v/>
      </c>
      <c r="I7" s="10">
        <f>G7-C7</f>
        <v/>
      </c>
      <c r="J7" s="11">
        <f>IF('C:\Users\super\Documents\actuarial\cas-rfp\spec-only\team-analyst\sample-data\sample-run\selections\[Ultimates.xlsx]Counts'!K7&lt;&gt;"",'C:\Users\super\Documents\actuarial\cas-rfp\spec-only\team-analyst\sample-data\sample-run\selections\[Ultimates.xlsx]Counts'!L7,'C:\Users\super\Documents\actuarial\cas-rfp\spec-only\team-analyst\sample-data\sample-run\selections\[Ultimates.xlsx]Counts'!H7)</f>
        <v/>
      </c>
    </row>
    <row r="8">
      <c r="A8" s="9" t="n">
        <v>2007</v>
      </c>
      <c r="B8" s="9" t="n">
        <v>215</v>
      </c>
      <c r="C8" s="10">
        <f>'Reported CL'!C8</f>
        <v/>
      </c>
      <c r="D8" s="10">
        <f>'Reported CL'!E8</f>
        <v/>
      </c>
      <c r="E8" s="10">
        <f>'IE'!D8</f>
        <v/>
      </c>
      <c r="F8" s="10">
        <f>'Reported BF'!H8</f>
        <v/>
      </c>
      <c r="G8" s="10">
        <f>IF('C:\Users\super\Documents\actuarial\cas-rfp\spec-only\team-analyst\sample-data\sample-run\selections\[Ultimates.xlsx]Counts'!K8&lt;&gt;"",'C:\Users\super\Documents\actuarial\cas-rfp\spec-only\team-analyst\sample-data\sample-run\selections\[Ultimates.xlsx]Counts'!K8,'C:\Users\super\Documents\actuarial\cas-rfp\spec-only\team-analyst\sample-data\sample-run\selections\[Ultimates.xlsx]Counts'!G8)</f>
        <v/>
      </c>
      <c r="H8" s="10">
        <f>G8-C8</f>
        <v/>
      </c>
      <c r="I8" s="10">
        <f>G8-C8</f>
        <v/>
      </c>
      <c r="J8" s="11">
        <f>IF('C:\Users\super\Documents\actuarial\cas-rfp\spec-only\team-analyst\sample-data\sample-run\selections\[Ultimates.xlsx]Counts'!K8&lt;&gt;"",'C:\Users\super\Documents\actuarial\cas-rfp\spec-only\team-analyst\sample-data\sample-run\selections\[Ultimates.xlsx]Counts'!L8,'C:\Users\super\Documents\actuarial\cas-rfp\spec-only\team-analyst\sample-data\sample-run\selections\[Ultimates.xlsx]Counts'!H8)</f>
        <v/>
      </c>
    </row>
    <row r="9">
      <c r="A9" s="9" t="n">
        <v>2008</v>
      </c>
      <c r="B9" s="9" t="n">
        <v>203</v>
      </c>
      <c r="C9" s="10">
        <f>'Reported CL'!C9</f>
        <v/>
      </c>
      <c r="D9" s="10">
        <f>'Reported CL'!E9</f>
        <v/>
      </c>
      <c r="E9" s="10">
        <f>'IE'!D9</f>
        <v/>
      </c>
      <c r="F9" s="10">
        <f>'Reported BF'!H9</f>
        <v/>
      </c>
      <c r="G9" s="10">
        <f>IF('C:\Users\super\Documents\actuarial\cas-rfp\spec-only\team-analyst\sample-data\sample-run\selections\[Ultimates.xlsx]Counts'!K9&lt;&gt;"",'C:\Users\super\Documents\actuarial\cas-rfp\spec-only\team-analyst\sample-data\sample-run\selections\[Ultimates.xlsx]Counts'!K9,'C:\Users\super\Documents\actuarial\cas-rfp\spec-only\team-analyst\sample-data\sample-run\selections\[Ultimates.xlsx]Counts'!G9)</f>
        <v/>
      </c>
      <c r="H9" s="10">
        <f>G9-C9</f>
        <v/>
      </c>
      <c r="I9" s="10">
        <f>G9-C9</f>
        <v/>
      </c>
      <c r="J9" s="11">
        <f>IF('C:\Users\super\Documents\actuarial\cas-rfp\spec-only\team-analyst\sample-data\sample-run\selections\[Ultimates.xlsx]Counts'!K9&lt;&gt;"",'C:\Users\super\Documents\actuarial\cas-rfp\spec-only\team-analyst\sample-data\sample-run\selections\[Ultimates.xlsx]Counts'!L9,'C:\Users\super\Documents\actuarial\cas-rfp\spec-only\team-analyst\sample-data\sample-run\selections\[Ultimates.xlsx]Counts'!H9)</f>
        <v/>
      </c>
    </row>
    <row r="10">
      <c r="A10" s="9" t="n">
        <v>2009</v>
      </c>
      <c r="B10" s="9" t="n">
        <v>191</v>
      </c>
      <c r="C10" s="10">
        <f>'Reported CL'!C10</f>
        <v/>
      </c>
      <c r="D10" s="10">
        <f>'Reported CL'!E10</f>
        <v/>
      </c>
      <c r="E10" s="10">
        <f>'IE'!D10</f>
        <v/>
      </c>
      <c r="F10" s="10">
        <f>'Reported BF'!H10</f>
        <v/>
      </c>
      <c r="G10" s="10">
        <f>IF('C:\Users\super\Documents\actuarial\cas-rfp\spec-only\team-analyst\sample-data\sample-run\selections\[Ultimates.xlsx]Counts'!K10&lt;&gt;"",'C:\Users\super\Documents\actuarial\cas-rfp\spec-only\team-analyst\sample-data\sample-run\selections\[Ultimates.xlsx]Counts'!K10,'C:\Users\super\Documents\actuarial\cas-rfp\spec-only\team-analyst\sample-data\sample-run\selections\[Ultimates.xlsx]Counts'!G10)</f>
        <v/>
      </c>
      <c r="H10" s="10">
        <f>G10-C10</f>
        <v/>
      </c>
      <c r="I10" s="10">
        <f>G10-C10</f>
        <v/>
      </c>
      <c r="J10" s="11">
        <f>IF('C:\Users\super\Documents\actuarial\cas-rfp\spec-only\team-analyst\sample-data\sample-run\selections\[Ultimates.xlsx]Counts'!K10&lt;&gt;"",'C:\Users\super\Documents\actuarial\cas-rfp\spec-only\team-analyst\sample-data\sample-run\selections\[Ultimates.xlsx]Counts'!L10,'C:\Users\super\Documents\actuarial\cas-rfp\spec-only\team-analyst\sample-data\sample-run\selections\[Ultimates.xlsx]Counts'!H10)</f>
        <v/>
      </c>
    </row>
    <row r="11">
      <c r="A11" s="9" t="n">
        <v>2010</v>
      </c>
      <c r="B11" s="9" t="n">
        <v>179</v>
      </c>
      <c r="C11" s="10">
        <f>'Reported CL'!C11</f>
        <v/>
      </c>
      <c r="D11" s="10">
        <f>'Reported CL'!E11</f>
        <v/>
      </c>
      <c r="E11" s="10">
        <f>'IE'!D11</f>
        <v/>
      </c>
      <c r="F11" s="10">
        <f>'Reported BF'!H11</f>
        <v/>
      </c>
      <c r="G11" s="10">
        <f>IF('C:\Users\super\Documents\actuarial\cas-rfp\spec-only\team-analyst\sample-data\sample-run\selections\[Ultimates.xlsx]Counts'!K11&lt;&gt;"",'C:\Users\super\Documents\actuarial\cas-rfp\spec-only\team-analyst\sample-data\sample-run\selections\[Ultimates.xlsx]Counts'!K11,'C:\Users\super\Documents\actuarial\cas-rfp\spec-only\team-analyst\sample-data\sample-run\selections\[Ultimates.xlsx]Counts'!G11)</f>
        <v/>
      </c>
      <c r="H11" s="10">
        <f>G11-C11</f>
        <v/>
      </c>
      <c r="I11" s="10">
        <f>G11-C11</f>
        <v/>
      </c>
      <c r="J11" s="11">
        <f>IF('C:\Users\super\Documents\actuarial\cas-rfp\spec-only\team-analyst\sample-data\sample-run\selections\[Ultimates.xlsx]Counts'!K11&lt;&gt;"",'C:\Users\super\Documents\actuarial\cas-rfp\spec-only\team-analyst\sample-data\sample-run\selections\[Ultimates.xlsx]Counts'!L11,'C:\Users\super\Documents\actuarial\cas-rfp\spec-only\team-analyst\sample-data\sample-run\selections\[Ultimates.xlsx]Counts'!H11)</f>
        <v/>
      </c>
    </row>
    <row r="12">
      <c r="A12" s="9" t="n">
        <v>2011</v>
      </c>
      <c r="B12" s="9" t="n">
        <v>167</v>
      </c>
      <c r="C12" s="10">
        <f>'Reported CL'!C12</f>
        <v/>
      </c>
      <c r="D12" s="10">
        <f>'Reported CL'!E12</f>
        <v/>
      </c>
      <c r="E12" s="10">
        <f>'IE'!D12</f>
        <v/>
      </c>
      <c r="F12" s="10">
        <f>'Reported BF'!H12</f>
        <v/>
      </c>
      <c r="G12" s="10">
        <f>IF('C:\Users\super\Documents\actuarial\cas-rfp\spec-only\team-analyst\sample-data\sample-run\selections\[Ultimates.xlsx]Counts'!K12&lt;&gt;"",'C:\Users\super\Documents\actuarial\cas-rfp\spec-only\team-analyst\sample-data\sample-run\selections\[Ultimates.xlsx]Counts'!K12,'C:\Users\super\Documents\actuarial\cas-rfp\spec-only\team-analyst\sample-data\sample-run\selections\[Ultimates.xlsx]Counts'!G12)</f>
        <v/>
      </c>
      <c r="H12" s="10">
        <f>G12-C12</f>
        <v/>
      </c>
      <c r="I12" s="10">
        <f>G12-C12</f>
        <v/>
      </c>
      <c r="J12" s="11">
        <f>IF('C:\Users\super\Documents\actuarial\cas-rfp\spec-only\team-analyst\sample-data\sample-run\selections\[Ultimates.xlsx]Counts'!K12&lt;&gt;"",'C:\Users\super\Documents\actuarial\cas-rfp\spec-only\team-analyst\sample-data\sample-run\selections\[Ultimates.xlsx]Counts'!L12,'C:\Users\super\Documents\actuarial\cas-rfp\spec-only\team-analyst\sample-data\sample-run\selections\[Ultimates.xlsx]Counts'!H12)</f>
        <v/>
      </c>
    </row>
    <row r="13">
      <c r="A13" s="9" t="n">
        <v>2012</v>
      </c>
      <c r="B13" s="9" t="n">
        <v>155</v>
      </c>
      <c r="C13" s="10">
        <f>'Reported CL'!C13</f>
        <v/>
      </c>
      <c r="D13" s="10">
        <f>'Reported CL'!E13</f>
        <v/>
      </c>
      <c r="E13" s="10">
        <f>'IE'!D13</f>
        <v/>
      </c>
      <c r="F13" s="10">
        <f>'Reported BF'!H13</f>
        <v/>
      </c>
      <c r="G13" s="10">
        <f>IF('C:\Users\super\Documents\actuarial\cas-rfp\spec-only\team-analyst\sample-data\sample-run\selections\[Ultimates.xlsx]Counts'!K13&lt;&gt;"",'C:\Users\super\Documents\actuarial\cas-rfp\spec-only\team-analyst\sample-data\sample-run\selections\[Ultimates.xlsx]Counts'!K13,'C:\Users\super\Documents\actuarial\cas-rfp\spec-only\team-analyst\sample-data\sample-run\selections\[Ultimates.xlsx]Counts'!G13)</f>
        <v/>
      </c>
      <c r="H13" s="10">
        <f>G13-C13</f>
        <v/>
      </c>
      <c r="I13" s="10">
        <f>G13-C13</f>
        <v/>
      </c>
      <c r="J13" s="11">
        <f>IF('C:\Users\super\Documents\actuarial\cas-rfp\spec-only\team-analyst\sample-data\sample-run\selections\[Ultimates.xlsx]Counts'!K13&lt;&gt;"",'C:\Users\super\Documents\actuarial\cas-rfp\spec-only\team-analyst\sample-data\sample-run\selections\[Ultimates.xlsx]Counts'!L13,'C:\Users\super\Documents\actuarial\cas-rfp\spec-only\team-analyst\sample-data\sample-run\selections\[Ultimates.xlsx]Counts'!H13)</f>
        <v/>
      </c>
    </row>
    <row r="14">
      <c r="A14" s="9" t="n">
        <v>2013</v>
      </c>
      <c r="B14" s="9" t="n">
        <v>143</v>
      </c>
      <c r="C14" s="10">
        <f>'Reported CL'!C14</f>
        <v/>
      </c>
      <c r="D14" s="10">
        <f>'Reported CL'!E14</f>
        <v/>
      </c>
      <c r="E14" s="10">
        <f>'IE'!D14</f>
        <v/>
      </c>
      <c r="F14" s="10">
        <f>'Reported BF'!H14</f>
        <v/>
      </c>
      <c r="G14" s="10">
        <f>IF('C:\Users\super\Documents\actuarial\cas-rfp\spec-only\team-analyst\sample-data\sample-run\selections\[Ultimates.xlsx]Counts'!K14&lt;&gt;"",'C:\Users\super\Documents\actuarial\cas-rfp\spec-only\team-analyst\sample-data\sample-run\selections\[Ultimates.xlsx]Counts'!K14,'C:\Users\super\Documents\actuarial\cas-rfp\spec-only\team-analyst\sample-data\sample-run\selections\[Ultimates.xlsx]Counts'!G14)</f>
        <v/>
      </c>
      <c r="H14" s="10">
        <f>G14-C14</f>
        <v/>
      </c>
      <c r="I14" s="10">
        <f>G14-C14</f>
        <v/>
      </c>
      <c r="J14" s="11">
        <f>IF('C:\Users\super\Documents\actuarial\cas-rfp\spec-only\team-analyst\sample-data\sample-run\selections\[Ultimates.xlsx]Counts'!K14&lt;&gt;"",'C:\Users\super\Documents\actuarial\cas-rfp\spec-only\team-analyst\sample-data\sample-run\selections\[Ultimates.xlsx]Counts'!L14,'C:\Users\super\Documents\actuarial\cas-rfp\spec-only\team-analyst\sample-data\sample-run\selections\[Ultimates.xlsx]Counts'!H14)</f>
        <v/>
      </c>
    </row>
    <row r="15">
      <c r="A15" s="9" t="n">
        <v>2014</v>
      </c>
      <c r="B15" s="9" t="n">
        <v>131</v>
      </c>
      <c r="C15" s="10">
        <f>'Reported CL'!C15</f>
        <v/>
      </c>
      <c r="D15" s="10">
        <f>'Reported CL'!E15</f>
        <v/>
      </c>
      <c r="E15" s="10">
        <f>'IE'!D15</f>
        <v/>
      </c>
      <c r="F15" s="10">
        <f>'Reported BF'!H15</f>
        <v/>
      </c>
      <c r="G15" s="10">
        <f>IF('C:\Users\super\Documents\actuarial\cas-rfp\spec-only\team-analyst\sample-data\sample-run\selections\[Ultimates.xlsx]Counts'!K15&lt;&gt;"",'C:\Users\super\Documents\actuarial\cas-rfp\spec-only\team-analyst\sample-data\sample-run\selections\[Ultimates.xlsx]Counts'!K15,'C:\Users\super\Documents\actuarial\cas-rfp\spec-only\team-analyst\sample-data\sample-run\selections\[Ultimates.xlsx]Counts'!G15)</f>
        <v/>
      </c>
      <c r="H15" s="10">
        <f>G15-C15</f>
        <v/>
      </c>
      <c r="I15" s="10">
        <f>G15-C15</f>
        <v/>
      </c>
      <c r="J15" s="11">
        <f>IF('C:\Users\super\Documents\actuarial\cas-rfp\spec-only\team-analyst\sample-data\sample-run\selections\[Ultimates.xlsx]Counts'!K15&lt;&gt;"",'C:\Users\super\Documents\actuarial\cas-rfp\spec-only\team-analyst\sample-data\sample-run\selections\[Ultimates.xlsx]Counts'!L15,'C:\Users\super\Documents\actuarial\cas-rfp\spec-only\team-analyst\sample-data\sample-run\selections\[Ultimates.xlsx]Counts'!H15)</f>
        <v/>
      </c>
    </row>
    <row r="16">
      <c r="A16" s="9" t="n">
        <v>2015</v>
      </c>
      <c r="B16" s="9" t="n">
        <v>119</v>
      </c>
      <c r="C16" s="10">
        <f>'Reported CL'!C16</f>
        <v/>
      </c>
      <c r="D16" s="10">
        <f>'Reported CL'!E16</f>
        <v/>
      </c>
      <c r="E16" s="10">
        <f>'IE'!D16</f>
        <v/>
      </c>
      <c r="F16" s="10">
        <f>'Reported BF'!H16</f>
        <v/>
      </c>
      <c r="G16" s="10">
        <f>IF('C:\Users\super\Documents\actuarial\cas-rfp\spec-only\team-analyst\sample-data\sample-run\selections\[Ultimates.xlsx]Counts'!K16&lt;&gt;"",'C:\Users\super\Documents\actuarial\cas-rfp\spec-only\team-analyst\sample-data\sample-run\selections\[Ultimates.xlsx]Counts'!K16,'C:\Users\super\Documents\actuarial\cas-rfp\spec-only\team-analyst\sample-data\sample-run\selections\[Ultimates.xlsx]Counts'!G16)</f>
        <v/>
      </c>
      <c r="H16" s="10">
        <f>G16-C16</f>
        <v/>
      </c>
      <c r="I16" s="10">
        <f>G16-C16</f>
        <v/>
      </c>
      <c r="J16" s="11">
        <f>IF('C:\Users\super\Documents\actuarial\cas-rfp\spec-only\team-analyst\sample-data\sample-run\selections\[Ultimates.xlsx]Counts'!K16&lt;&gt;"",'C:\Users\super\Documents\actuarial\cas-rfp\spec-only\team-analyst\sample-data\sample-run\selections\[Ultimates.xlsx]Counts'!L16,'C:\Users\super\Documents\actuarial\cas-rfp\spec-only\team-analyst\sample-data\sample-run\selections\[Ultimates.xlsx]Counts'!H16)</f>
        <v/>
      </c>
    </row>
    <row r="17">
      <c r="A17" s="9" t="n">
        <v>2016</v>
      </c>
      <c r="B17" s="9" t="n">
        <v>107</v>
      </c>
      <c r="C17" s="10">
        <f>'Reported CL'!C17</f>
        <v/>
      </c>
      <c r="D17" s="10">
        <f>'Reported CL'!E17</f>
        <v/>
      </c>
      <c r="E17" s="10">
        <f>'IE'!D17</f>
        <v/>
      </c>
      <c r="F17" s="10">
        <f>'Reported BF'!H17</f>
        <v/>
      </c>
      <c r="G17" s="10">
        <f>IF('C:\Users\super\Documents\actuarial\cas-rfp\spec-only\team-analyst\sample-data\sample-run\selections\[Ultimates.xlsx]Counts'!K17&lt;&gt;"",'C:\Users\super\Documents\actuarial\cas-rfp\spec-only\team-analyst\sample-data\sample-run\selections\[Ultimates.xlsx]Counts'!K17,'C:\Users\super\Documents\actuarial\cas-rfp\spec-only\team-analyst\sample-data\sample-run\selections\[Ultimates.xlsx]Counts'!G17)</f>
        <v/>
      </c>
      <c r="H17" s="10">
        <f>G17-C17</f>
        <v/>
      </c>
      <c r="I17" s="10">
        <f>G17-C17</f>
        <v/>
      </c>
      <c r="J17" s="11">
        <f>IF('C:\Users\super\Documents\actuarial\cas-rfp\spec-only\team-analyst\sample-data\sample-run\selections\[Ultimates.xlsx]Counts'!K17&lt;&gt;"",'C:\Users\super\Documents\actuarial\cas-rfp\spec-only\team-analyst\sample-data\sample-run\selections\[Ultimates.xlsx]Counts'!L17,'C:\Users\super\Documents\actuarial\cas-rfp\spec-only\team-analyst\sample-data\sample-run\selections\[Ultimates.xlsx]Counts'!H17)</f>
        <v/>
      </c>
    </row>
    <row r="18">
      <c r="A18" s="9" t="n">
        <v>2017</v>
      </c>
      <c r="B18" s="9" t="n">
        <v>95</v>
      </c>
      <c r="C18" s="10">
        <f>'Reported CL'!C18</f>
        <v/>
      </c>
      <c r="D18" s="10">
        <f>'Reported CL'!E18</f>
        <v/>
      </c>
      <c r="E18" s="10">
        <f>'IE'!D18</f>
        <v/>
      </c>
      <c r="F18" s="10">
        <f>'Reported BF'!H18</f>
        <v/>
      </c>
      <c r="G18" s="10">
        <f>IF('C:\Users\super\Documents\actuarial\cas-rfp\spec-only\team-analyst\sample-data\sample-run\selections\[Ultimates.xlsx]Counts'!K18&lt;&gt;"",'C:\Users\super\Documents\actuarial\cas-rfp\spec-only\team-analyst\sample-data\sample-run\selections\[Ultimates.xlsx]Counts'!K18,'C:\Users\super\Documents\actuarial\cas-rfp\spec-only\team-analyst\sample-data\sample-run\selections\[Ultimates.xlsx]Counts'!G18)</f>
        <v/>
      </c>
      <c r="H18" s="10">
        <f>G18-C18</f>
        <v/>
      </c>
      <c r="I18" s="10">
        <f>G18-C18</f>
        <v/>
      </c>
      <c r="J18" s="11">
        <f>IF('C:\Users\super\Documents\actuarial\cas-rfp\spec-only\team-analyst\sample-data\sample-run\selections\[Ultimates.xlsx]Counts'!K18&lt;&gt;"",'C:\Users\super\Documents\actuarial\cas-rfp\spec-only\team-analyst\sample-data\sample-run\selections\[Ultimates.xlsx]Counts'!L18,'C:\Users\super\Documents\actuarial\cas-rfp\spec-only\team-analyst\sample-data\sample-run\selections\[Ultimates.xlsx]Counts'!H18)</f>
        <v/>
      </c>
    </row>
    <row r="19">
      <c r="A19" s="9" t="n">
        <v>2018</v>
      </c>
      <c r="B19" s="9" t="n">
        <v>83</v>
      </c>
      <c r="C19" s="10">
        <f>'Reported CL'!C19</f>
        <v/>
      </c>
      <c r="D19" s="10">
        <f>'Reported CL'!E19</f>
        <v/>
      </c>
      <c r="E19" s="10">
        <f>'IE'!D19</f>
        <v/>
      </c>
      <c r="F19" s="10">
        <f>'Reported BF'!H19</f>
        <v/>
      </c>
      <c r="G19" s="10">
        <f>IF('C:\Users\super\Documents\actuarial\cas-rfp\spec-only\team-analyst\sample-data\sample-run\selections\[Ultimates.xlsx]Counts'!K19&lt;&gt;"",'C:\Users\super\Documents\actuarial\cas-rfp\spec-only\team-analyst\sample-data\sample-run\selections\[Ultimates.xlsx]Counts'!K19,'C:\Users\super\Documents\actuarial\cas-rfp\spec-only\team-analyst\sample-data\sample-run\selections\[Ultimates.xlsx]Counts'!G19)</f>
        <v/>
      </c>
      <c r="H19" s="10">
        <f>G19-C19</f>
        <v/>
      </c>
      <c r="I19" s="10">
        <f>G19-C19</f>
        <v/>
      </c>
      <c r="J19" s="11">
        <f>IF('C:\Users\super\Documents\actuarial\cas-rfp\spec-only\team-analyst\sample-data\sample-run\selections\[Ultimates.xlsx]Counts'!K19&lt;&gt;"",'C:\Users\super\Documents\actuarial\cas-rfp\spec-only\team-analyst\sample-data\sample-run\selections\[Ultimates.xlsx]Counts'!L19,'C:\Users\super\Documents\actuarial\cas-rfp\spec-only\team-analyst\sample-data\sample-run\selections\[Ultimates.xlsx]Counts'!H19)</f>
        <v/>
      </c>
    </row>
    <row r="20">
      <c r="A20" s="9" t="n">
        <v>2019</v>
      </c>
      <c r="B20" s="9" t="n">
        <v>71</v>
      </c>
      <c r="C20" s="10">
        <f>'Reported CL'!C20</f>
        <v/>
      </c>
      <c r="D20" s="10">
        <f>'Reported CL'!E20</f>
        <v/>
      </c>
      <c r="E20" s="10">
        <f>'IE'!D20</f>
        <v/>
      </c>
      <c r="F20" s="10">
        <f>'Reported BF'!H20</f>
        <v/>
      </c>
      <c r="G20" s="10">
        <f>IF('C:\Users\super\Documents\actuarial\cas-rfp\spec-only\team-analyst\sample-data\sample-run\selections\[Ultimates.xlsx]Counts'!K20&lt;&gt;"",'C:\Users\super\Documents\actuarial\cas-rfp\spec-only\team-analyst\sample-data\sample-run\selections\[Ultimates.xlsx]Counts'!K20,'C:\Users\super\Documents\actuarial\cas-rfp\spec-only\team-analyst\sample-data\sample-run\selections\[Ultimates.xlsx]Counts'!G20)</f>
        <v/>
      </c>
      <c r="H20" s="10">
        <f>G20-C20</f>
        <v/>
      </c>
      <c r="I20" s="10">
        <f>G20-C20</f>
        <v/>
      </c>
      <c r="J20" s="11">
        <f>IF('C:\Users\super\Documents\actuarial\cas-rfp\spec-only\team-analyst\sample-data\sample-run\selections\[Ultimates.xlsx]Counts'!K20&lt;&gt;"",'C:\Users\super\Documents\actuarial\cas-rfp\spec-only\team-analyst\sample-data\sample-run\selections\[Ultimates.xlsx]Counts'!L20,'C:\Users\super\Documents\actuarial\cas-rfp\spec-only\team-analyst\sample-data\sample-run\selections\[Ultimates.xlsx]Counts'!H20)</f>
        <v/>
      </c>
    </row>
    <row r="21">
      <c r="A21" s="9" t="n">
        <v>2020</v>
      </c>
      <c r="B21" s="9" t="n">
        <v>59</v>
      </c>
      <c r="C21" s="10">
        <f>'Reported CL'!C21</f>
        <v/>
      </c>
      <c r="D21" s="10">
        <f>'Reported CL'!E21</f>
        <v/>
      </c>
      <c r="E21" s="10">
        <f>'IE'!D21</f>
        <v/>
      </c>
      <c r="F21" s="10">
        <f>'Reported BF'!H21</f>
        <v/>
      </c>
      <c r="G21" s="10">
        <f>IF('C:\Users\super\Documents\actuarial\cas-rfp\spec-only\team-analyst\sample-data\sample-run\selections\[Ultimates.xlsx]Counts'!K21&lt;&gt;"",'C:\Users\super\Documents\actuarial\cas-rfp\spec-only\team-analyst\sample-data\sample-run\selections\[Ultimates.xlsx]Counts'!K21,'C:\Users\super\Documents\actuarial\cas-rfp\spec-only\team-analyst\sample-data\sample-run\selections\[Ultimates.xlsx]Counts'!G21)</f>
        <v/>
      </c>
      <c r="H21" s="10">
        <f>G21-C21</f>
        <v/>
      </c>
      <c r="I21" s="10">
        <f>G21-C21</f>
        <v/>
      </c>
      <c r="J21" s="11">
        <f>IF('C:\Users\super\Documents\actuarial\cas-rfp\spec-only\team-analyst\sample-data\sample-run\selections\[Ultimates.xlsx]Counts'!K21&lt;&gt;"",'C:\Users\super\Documents\actuarial\cas-rfp\spec-only\team-analyst\sample-data\sample-run\selections\[Ultimates.xlsx]Counts'!L21,'C:\Users\super\Documents\actuarial\cas-rfp\spec-only\team-analyst\sample-data\sample-run\selections\[Ultimates.xlsx]Counts'!H21)</f>
        <v/>
      </c>
    </row>
    <row r="22">
      <c r="A22" s="9" t="n">
        <v>2021</v>
      </c>
      <c r="B22" s="9" t="n">
        <v>47</v>
      </c>
      <c r="C22" s="10">
        <f>'Reported CL'!C22</f>
        <v/>
      </c>
      <c r="D22" s="10">
        <f>'Reported CL'!E22</f>
        <v/>
      </c>
      <c r="E22" s="10">
        <f>'IE'!D22</f>
        <v/>
      </c>
      <c r="F22" s="10">
        <f>'Reported BF'!H22</f>
        <v/>
      </c>
      <c r="G22" s="10">
        <f>IF('C:\Users\super\Documents\actuarial\cas-rfp\spec-only\team-analyst\sample-data\sample-run\selections\[Ultimates.xlsx]Counts'!K22&lt;&gt;"",'C:\Users\super\Documents\actuarial\cas-rfp\spec-only\team-analyst\sample-data\sample-run\selections\[Ultimates.xlsx]Counts'!K22,'C:\Users\super\Documents\actuarial\cas-rfp\spec-only\team-analyst\sample-data\sample-run\selections\[Ultimates.xlsx]Counts'!G22)</f>
        <v/>
      </c>
      <c r="H22" s="10">
        <f>G22-C22</f>
        <v/>
      </c>
      <c r="I22" s="10">
        <f>G22-C22</f>
        <v/>
      </c>
      <c r="J22" s="11">
        <f>IF('C:\Users\super\Documents\actuarial\cas-rfp\spec-only\team-analyst\sample-data\sample-run\selections\[Ultimates.xlsx]Counts'!K22&lt;&gt;"",'C:\Users\super\Documents\actuarial\cas-rfp\spec-only\team-analyst\sample-data\sample-run\selections\[Ultimates.xlsx]Counts'!L22,'C:\Users\super\Documents\actuarial\cas-rfp\spec-only\team-analyst\sample-data\sample-run\selections\[Ultimates.xlsx]Counts'!H22)</f>
        <v/>
      </c>
    </row>
    <row r="23">
      <c r="A23" s="9" t="n">
        <v>2022</v>
      </c>
      <c r="B23" s="9" t="n">
        <v>35</v>
      </c>
      <c r="C23" s="10">
        <f>'Reported CL'!C23</f>
        <v/>
      </c>
      <c r="D23" s="10">
        <f>'Reported CL'!E23</f>
        <v/>
      </c>
      <c r="E23" s="10">
        <f>'IE'!D23</f>
        <v/>
      </c>
      <c r="F23" s="10">
        <f>'Reported BF'!H23</f>
        <v/>
      </c>
      <c r="G23" s="10">
        <f>IF('C:\Users\super\Documents\actuarial\cas-rfp\spec-only\team-analyst\sample-data\sample-run\selections\[Ultimates.xlsx]Counts'!K23&lt;&gt;"",'C:\Users\super\Documents\actuarial\cas-rfp\spec-only\team-analyst\sample-data\sample-run\selections\[Ultimates.xlsx]Counts'!K23,'C:\Users\super\Documents\actuarial\cas-rfp\spec-only\team-analyst\sample-data\sample-run\selections\[Ultimates.xlsx]Counts'!G23)</f>
        <v/>
      </c>
      <c r="H23" s="10">
        <f>G23-C23</f>
        <v/>
      </c>
      <c r="I23" s="10">
        <f>G23-C23</f>
        <v/>
      </c>
      <c r="J23" s="11">
        <f>IF('C:\Users\super\Documents\actuarial\cas-rfp\spec-only\team-analyst\sample-data\sample-run\selections\[Ultimates.xlsx]Counts'!K23&lt;&gt;"",'C:\Users\super\Documents\actuarial\cas-rfp\spec-only\team-analyst\sample-data\sample-run\selections\[Ultimates.xlsx]Counts'!L23,'C:\Users\super\Documents\actuarial\cas-rfp\spec-only\team-analyst\sample-data\sample-run\selections\[Ultimates.xlsx]Counts'!H23)</f>
        <v/>
      </c>
    </row>
    <row r="24">
      <c r="A24" s="9" t="n">
        <v>2023</v>
      </c>
      <c r="B24" s="9" t="n">
        <v>23</v>
      </c>
      <c r="C24" s="10">
        <f>'Reported CL'!C24</f>
        <v/>
      </c>
      <c r="D24" s="10">
        <f>'Reported CL'!E24</f>
        <v/>
      </c>
      <c r="E24" s="10">
        <f>'IE'!D24</f>
        <v/>
      </c>
      <c r="F24" s="10">
        <f>'Reported BF'!H24</f>
        <v/>
      </c>
      <c r="G24" s="10">
        <f>IF('C:\Users\super\Documents\actuarial\cas-rfp\spec-only\team-analyst\sample-data\sample-run\selections\[Ultimates.xlsx]Counts'!K24&lt;&gt;"",'C:\Users\super\Documents\actuarial\cas-rfp\spec-only\team-analyst\sample-data\sample-run\selections\[Ultimates.xlsx]Counts'!K24,'C:\Users\super\Documents\actuarial\cas-rfp\spec-only\team-analyst\sample-data\sample-run\selections\[Ultimates.xlsx]Counts'!G24)</f>
        <v/>
      </c>
      <c r="H24" s="10">
        <f>G24-C24</f>
        <v/>
      </c>
      <c r="I24" s="10">
        <f>G24-C24</f>
        <v/>
      </c>
      <c r="J24" s="11">
        <f>IF('C:\Users\super\Documents\actuarial\cas-rfp\spec-only\team-analyst\sample-data\sample-run\selections\[Ultimates.xlsx]Counts'!K24&lt;&gt;"",'C:\Users\super\Documents\actuarial\cas-rfp\spec-only\team-analyst\sample-data\sample-run\selections\[Ultimates.xlsx]Counts'!L24,'C:\Users\super\Documents\actuarial\cas-rfp\spec-only\team-analyst\sample-data\sample-run\selections\[Ultimates.xlsx]Counts'!H24)</f>
        <v/>
      </c>
    </row>
    <row r="25">
      <c r="A25" s="9" t="n">
        <v>2024</v>
      </c>
      <c r="B25" s="9" t="n">
        <v>11</v>
      </c>
      <c r="C25" s="10">
        <f>'Reported CL'!C25</f>
        <v/>
      </c>
      <c r="D25" s="10">
        <f>'Reported CL'!E25</f>
        <v/>
      </c>
      <c r="E25" s="10">
        <f>'IE'!D25</f>
        <v/>
      </c>
      <c r="F25" s="10">
        <f>'Reported BF'!H25</f>
        <v/>
      </c>
      <c r="G25" s="10">
        <f>IF('C:\Users\super\Documents\actuarial\cas-rfp\spec-only\team-analyst\sample-data\sample-run\selections\[Ultimates.xlsx]Counts'!K25&lt;&gt;"",'C:\Users\super\Documents\actuarial\cas-rfp\spec-only\team-analyst\sample-data\sample-run\selections\[Ultimates.xlsx]Counts'!K25,'C:\Users\super\Documents\actuarial\cas-rfp\spec-only\team-analyst\sample-data\sample-run\selections\[Ultimates.xlsx]Counts'!G25)</f>
        <v/>
      </c>
      <c r="H25" s="10">
        <f>G25-C25</f>
        <v/>
      </c>
      <c r="I25" s="10">
        <f>G25-C25</f>
        <v/>
      </c>
      <c r="J25" s="11">
        <f>IF('C:\Users\super\Documents\actuarial\cas-rfp\spec-only\team-analyst\sample-data\sample-run\selections\[Ultimates.xlsx]Counts'!K25&lt;&gt;"",'C:\Users\super\Documents\actuarial\cas-rfp\spec-only\team-analyst\sample-data\sample-run\selections\[Ultimates.xlsx]Counts'!L25,'C:\Users\super\Documents\actuarial\cas-rfp\spec-only\team-analyst\sample-data\sample-run\selections\[Ultimates.xlsx]Counts'!H25)</f>
        <v/>
      </c>
    </row>
    <row r="26"/>
    <row r="27">
      <c r="A27" s="5" t="inlineStr">
        <is>
          <t>Total</t>
        </is>
      </c>
      <c r="C27" s="10">
        <f>SUM(C2:C25)</f>
        <v/>
      </c>
      <c r="D27" s="10">
        <f>SUM(D2:D25)</f>
        <v/>
      </c>
      <c r="E27" s="10">
        <f>SUM(E2:E25)</f>
        <v/>
      </c>
      <c r="F27" s="10">
        <f>SUM(F2:F25)</f>
        <v/>
      </c>
      <c r="G27" s="10">
        <f>SUM(G2:G25)</f>
        <v/>
      </c>
      <c r="H27" s="10">
        <f>SUM(H2:H25)</f>
        <v/>
      </c>
      <c r="I27" s="10">
        <f>SUM(I2:I25)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8" t="inlineStr">
        <is>
          <t>Accident Period</t>
        </is>
      </c>
      <c r="B1" s="8" t="inlineStr">
        <is>
          <t>Current Age</t>
        </is>
      </c>
      <c r="C1" s="8" t="inlineStr">
        <is>
          <t>Closed</t>
        </is>
      </c>
      <c r="D1" s="8" t="inlineStr">
        <is>
          <t>CDF</t>
        </is>
      </c>
      <c r="E1" s="8" t="inlineStr">
        <is>
          <t>Ultimate</t>
        </is>
      </c>
      <c r="F1" s="8" t="inlineStr">
        <is>
          <t>IBNR</t>
        </is>
      </c>
      <c r="G1" s="8" t="inlineStr">
        <is>
          <t>Unpaid</t>
        </is>
      </c>
    </row>
    <row r="2">
      <c r="A2" s="9" t="n">
        <v>2001</v>
      </c>
      <c r="B2" s="5" t="inlineStr">
        <is>
          <t>None</t>
        </is>
      </c>
      <c r="C2" s="5" t="n"/>
      <c r="D2" s="5" t="n"/>
      <c r="E2" s="10">
        <f>IF(AND(ISNUMBER(C2),ISNUMBER(D2)),C2*D2,"")</f>
        <v/>
      </c>
      <c r="F2" s="10">
        <f>E2-C2</f>
        <v/>
      </c>
      <c r="G2" s="10">
        <f>E2-C2</f>
        <v/>
      </c>
    </row>
    <row r="3">
      <c r="A3" s="9" t="n">
        <v>2002</v>
      </c>
      <c r="B3" s="5" t="inlineStr">
        <is>
          <t>None</t>
        </is>
      </c>
      <c r="C3" s="5" t="n"/>
      <c r="D3" s="5" t="n"/>
      <c r="E3" s="10">
        <f>IF(AND(ISNUMBER(C3),ISNUMBER(D3)),C3*D3,"")</f>
        <v/>
      </c>
      <c r="F3" s="10">
        <f>E3-C3</f>
        <v/>
      </c>
      <c r="G3" s="10">
        <f>E3-C3</f>
        <v/>
      </c>
    </row>
    <row r="4">
      <c r="A4" s="9" t="n">
        <v>2003</v>
      </c>
      <c r="B4" s="5" t="inlineStr">
        <is>
          <t>None</t>
        </is>
      </c>
      <c r="C4" s="5" t="n"/>
      <c r="D4" s="5" t="n"/>
      <c r="E4" s="10">
        <f>IF(AND(ISNUMBER(C4),ISNUMBER(D4)),C4*D4,"")</f>
        <v/>
      </c>
      <c r="F4" s="10">
        <f>E4-C4</f>
        <v/>
      </c>
      <c r="G4" s="10">
        <f>E4-C4</f>
        <v/>
      </c>
    </row>
    <row r="5">
      <c r="A5" s="9" t="n">
        <v>2004</v>
      </c>
      <c r="B5" s="5" t="inlineStr">
        <is>
          <t>None</t>
        </is>
      </c>
      <c r="C5" s="5" t="n"/>
      <c r="D5" s="5" t="n"/>
      <c r="E5" s="10">
        <f>IF(AND(ISNUMBER(C5),ISNUMBER(D5)),C5*D5,"")</f>
        <v/>
      </c>
      <c r="F5" s="10">
        <f>E5-C5</f>
        <v/>
      </c>
      <c r="G5" s="10">
        <f>E5-C5</f>
        <v/>
      </c>
    </row>
    <row r="6">
      <c r="A6" s="9" t="n">
        <v>2005</v>
      </c>
      <c r="B6" s="5" t="inlineStr">
        <is>
          <t>None</t>
        </is>
      </c>
      <c r="C6" s="5" t="n"/>
      <c r="D6" s="5" t="n"/>
      <c r="E6" s="10">
        <f>IF(AND(ISNUMBER(C6),ISNUMBER(D6)),C6*D6,"")</f>
        <v/>
      </c>
      <c r="F6" s="10">
        <f>E6-C6</f>
        <v/>
      </c>
      <c r="G6" s="10">
        <f>E6-C6</f>
        <v/>
      </c>
    </row>
    <row r="7">
      <c r="A7" s="9" t="n">
        <v>2006</v>
      </c>
      <c r="B7" s="5" t="inlineStr">
        <is>
          <t>None</t>
        </is>
      </c>
      <c r="C7" s="5" t="n"/>
      <c r="D7" s="5" t="n"/>
      <c r="E7" s="10">
        <f>IF(AND(ISNUMBER(C7),ISNUMBER(D7)),C7*D7,"")</f>
        <v/>
      </c>
      <c r="F7" s="10">
        <f>E7-C7</f>
        <v/>
      </c>
      <c r="G7" s="10">
        <f>E7-C7</f>
        <v/>
      </c>
    </row>
    <row r="8">
      <c r="A8" s="9" t="n">
        <v>2007</v>
      </c>
      <c r="B8" s="5" t="inlineStr">
        <is>
          <t>None</t>
        </is>
      </c>
      <c r="C8" s="5" t="n"/>
      <c r="D8" s="5" t="n"/>
      <c r="E8" s="10">
        <f>IF(AND(ISNUMBER(C8),ISNUMBER(D8)),C8*D8,"")</f>
        <v/>
      </c>
      <c r="F8" s="10">
        <f>E8-C8</f>
        <v/>
      </c>
      <c r="G8" s="10">
        <f>E8-C8</f>
        <v/>
      </c>
    </row>
    <row r="9">
      <c r="A9" s="9" t="n">
        <v>2008</v>
      </c>
      <c r="B9" s="5" t="inlineStr">
        <is>
          <t>None</t>
        </is>
      </c>
      <c r="C9" s="5" t="n"/>
      <c r="D9" s="5" t="n"/>
      <c r="E9" s="10">
        <f>IF(AND(ISNUMBER(C9),ISNUMBER(D9)),C9*D9,"")</f>
        <v/>
      </c>
      <c r="F9" s="10">
        <f>E9-C9</f>
        <v/>
      </c>
      <c r="G9" s="10">
        <f>E9-C9</f>
        <v/>
      </c>
    </row>
    <row r="10">
      <c r="A10" s="9" t="n">
        <v>2009</v>
      </c>
      <c r="B10" s="5" t="inlineStr">
        <is>
          <t>None</t>
        </is>
      </c>
      <c r="C10" s="5" t="n"/>
      <c r="D10" s="5" t="n"/>
      <c r="E10" s="10">
        <f>IF(AND(ISNUMBER(C10),ISNUMBER(D10)),C10*D10,"")</f>
        <v/>
      </c>
      <c r="F10" s="10">
        <f>E10-C10</f>
        <v/>
      </c>
      <c r="G10" s="10">
        <f>E10-C10</f>
        <v/>
      </c>
    </row>
    <row r="11">
      <c r="A11" s="9" t="n">
        <v>2010</v>
      </c>
      <c r="B11" s="5" t="inlineStr">
        <is>
          <t>None</t>
        </is>
      </c>
      <c r="C11" s="5" t="n"/>
      <c r="D11" s="5" t="n"/>
      <c r="E11" s="10">
        <f>IF(AND(ISNUMBER(C11),ISNUMBER(D11)),C11*D11,"")</f>
        <v/>
      </c>
      <c r="F11" s="10">
        <f>E11-C11</f>
        <v/>
      </c>
      <c r="G11" s="10">
        <f>E11-C11</f>
        <v/>
      </c>
    </row>
    <row r="12">
      <c r="A12" s="9" t="n">
        <v>2011</v>
      </c>
      <c r="B12" s="5" t="inlineStr">
        <is>
          <t>None</t>
        </is>
      </c>
      <c r="C12" s="5" t="n"/>
      <c r="D12" s="5" t="n"/>
      <c r="E12" s="10">
        <f>IF(AND(ISNUMBER(C12),ISNUMBER(D12)),C12*D12,"")</f>
        <v/>
      </c>
      <c r="F12" s="10">
        <f>E12-C12</f>
        <v/>
      </c>
      <c r="G12" s="10">
        <f>E12-C12</f>
        <v/>
      </c>
    </row>
    <row r="13">
      <c r="A13" s="9" t="n">
        <v>2012</v>
      </c>
      <c r="B13" s="5" t="inlineStr">
        <is>
          <t>None</t>
        </is>
      </c>
      <c r="C13" s="5" t="n"/>
      <c r="D13" s="5" t="n"/>
      <c r="E13" s="10">
        <f>IF(AND(ISNUMBER(C13),ISNUMBER(D13)),C13*D13,"")</f>
        <v/>
      </c>
      <c r="F13" s="10">
        <f>E13-C13</f>
        <v/>
      </c>
      <c r="G13" s="10">
        <f>E13-C13</f>
        <v/>
      </c>
    </row>
    <row r="14">
      <c r="A14" s="9" t="n">
        <v>2013</v>
      </c>
      <c r="B14" s="5" t="inlineStr">
        <is>
          <t>None</t>
        </is>
      </c>
      <c r="C14" s="5" t="n"/>
      <c r="D14" s="5" t="n"/>
      <c r="E14" s="10">
        <f>IF(AND(ISNUMBER(C14),ISNUMBER(D14)),C14*D14,"")</f>
        <v/>
      </c>
      <c r="F14" s="10">
        <f>E14-C14</f>
        <v/>
      </c>
      <c r="G14" s="10">
        <f>E14-C14</f>
        <v/>
      </c>
    </row>
    <row r="15">
      <c r="A15" s="9" t="n">
        <v>2014</v>
      </c>
      <c r="B15" s="5" t="inlineStr">
        <is>
          <t>None</t>
        </is>
      </c>
      <c r="C15" s="5" t="n"/>
      <c r="D15" s="5" t="n"/>
      <c r="E15" s="10">
        <f>IF(AND(ISNUMBER(C15),ISNUMBER(D15)),C15*D15,"")</f>
        <v/>
      </c>
      <c r="F15" s="10">
        <f>E15-C15</f>
        <v/>
      </c>
      <c r="G15" s="10">
        <f>E15-C15</f>
        <v/>
      </c>
    </row>
    <row r="16">
      <c r="A16" s="9" t="n">
        <v>2015</v>
      </c>
      <c r="B16" s="5" t="inlineStr">
        <is>
          <t>None</t>
        </is>
      </c>
      <c r="C16" s="5" t="n"/>
      <c r="D16" s="5" t="n"/>
      <c r="E16" s="10">
        <f>IF(AND(ISNUMBER(C16),ISNUMBER(D16)),C16*D16,"")</f>
        <v/>
      </c>
      <c r="F16" s="10">
        <f>E16-C16</f>
        <v/>
      </c>
      <c r="G16" s="10">
        <f>E16-C16</f>
        <v/>
      </c>
    </row>
    <row r="17">
      <c r="A17" s="9" t="n">
        <v>2016</v>
      </c>
      <c r="B17" s="5" t="inlineStr">
        <is>
          <t>None</t>
        </is>
      </c>
      <c r="C17" s="5" t="n"/>
      <c r="D17" s="5" t="n"/>
      <c r="E17" s="10">
        <f>IF(AND(ISNUMBER(C17),ISNUMBER(D17)),C17*D17,"")</f>
        <v/>
      </c>
      <c r="F17" s="10">
        <f>E17-C17</f>
        <v/>
      </c>
      <c r="G17" s="10">
        <f>E17-C17</f>
        <v/>
      </c>
    </row>
    <row r="18">
      <c r="A18" s="9" t="n">
        <v>2017</v>
      </c>
      <c r="B18" s="5" t="inlineStr">
        <is>
          <t>None</t>
        </is>
      </c>
      <c r="C18" s="5" t="n"/>
      <c r="D18" s="5" t="n"/>
      <c r="E18" s="10">
        <f>IF(AND(ISNUMBER(C18),ISNUMBER(D18)),C18*D18,"")</f>
        <v/>
      </c>
      <c r="F18" s="10">
        <f>E18-C18</f>
        <v/>
      </c>
      <c r="G18" s="10">
        <f>E18-C18</f>
        <v/>
      </c>
    </row>
    <row r="19">
      <c r="A19" s="9" t="n">
        <v>2018</v>
      </c>
      <c r="B19" s="5" t="inlineStr">
        <is>
          <t>None</t>
        </is>
      </c>
      <c r="C19" s="5" t="n"/>
      <c r="D19" s="5" t="n"/>
      <c r="E19" s="10">
        <f>IF(AND(ISNUMBER(C19),ISNUMBER(D19)),C19*D19,"")</f>
        <v/>
      </c>
      <c r="F19" s="10">
        <f>E19-C19</f>
        <v/>
      </c>
      <c r="G19" s="10">
        <f>E19-C19</f>
        <v/>
      </c>
    </row>
    <row r="20">
      <c r="A20" s="9" t="n">
        <v>2019</v>
      </c>
      <c r="B20" s="5" t="inlineStr">
        <is>
          <t>None</t>
        </is>
      </c>
      <c r="C20" s="5" t="n"/>
      <c r="D20" s="5" t="n"/>
      <c r="E20" s="10">
        <f>IF(AND(ISNUMBER(C20),ISNUMBER(D20)),C20*D20,"")</f>
        <v/>
      </c>
      <c r="F20" s="10">
        <f>E20-C20</f>
        <v/>
      </c>
      <c r="G20" s="10">
        <f>E20-C20</f>
        <v/>
      </c>
    </row>
    <row r="21">
      <c r="A21" s="9" t="n">
        <v>2020</v>
      </c>
      <c r="B21" s="5" t="inlineStr">
        <is>
          <t>None</t>
        </is>
      </c>
      <c r="C21" s="5" t="n"/>
      <c r="D21" s="5" t="n"/>
      <c r="E21" s="10">
        <f>IF(AND(ISNUMBER(C21),ISNUMBER(D21)),C21*D21,"")</f>
        <v/>
      </c>
      <c r="F21" s="10">
        <f>E21-C21</f>
        <v/>
      </c>
      <c r="G21" s="10">
        <f>E21-C21</f>
        <v/>
      </c>
    </row>
    <row r="22">
      <c r="A22" s="9" t="n">
        <v>2021</v>
      </c>
      <c r="B22" s="5" t="inlineStr">
        <is>
          <t>None</t>
        </is>
      </c>
      <c r="C22" s="5" t="n"/>
      <c r="D22" s="5" t="n"/>
      <c r="E22" s="10">
        <f>IF(AND(ISNUMBER(C22),ISNUMBER(D22)),C22*D22,"")</f>
        <v/>
      </c>
      <c r="F22" s="10">
        <f>E22-C22</f>
        <v/>
      </c>
      <c r="G22" s="10">
        <f>E22-C22</f>
        <v/>
      </c>
    </row>
    <row r="23">
      <c r="A23" s="9" t="n">
        <v>2022</v>
      </c>
      <c r="B23" s="5" t="inlineStr">
        <is>
          <t>None</t>
        </is>
      </c>
      <c r="C23" s="5" t="n"/>
      <c r="D23" s="5" t="n"/>
      <c r="E23" s="10">
        <f>IF(AND(ISNUMBER(C23),ISNUMBER(D23)),C23*D23,"")</f>
        <v/>
      </c>
      <c r="F23" s="10">
        <f>E23-C23</f>
        <v/>
      </c>
      <c r="G23" s="10">
        <f>E23-C23</f>
        <v/>
      </c>
    </row>
    <row r="24">
      <c r="A24" s="9" t="n">
        <v>2023</v>
      </c>
      <c r="B24" s="5" t="inlineStr">
        <is>
          <t>None</t>
        </is>
      </c>
      <c r="C24" s="5" t="n"/>
      <c r="D24" s="5" t="n"/>
      <c r="E24" s="10">
        <f>IF(AND(ISNUMBER(C24),ISNUMBER(D24)),C24*D24,"")</f>
        <v/>
      </c>
      <c r="F24" s="10">
        <f>E24-C24</f>
        <v/>
      </c>
      <c r="G24" s="10">
        <f>E24-C24</f>
        <v/>
      </c>
    </row>
    <row r="25">
      <c r="A25" s="9" t="n">
        <v>2024</v>
      </c>
      <c r="B25" s="5" t="inlineStr">
        <is>
          <t>None</t>
        </is>
      </c>
      <c r="C25" s="5" t="n"/>
      <c r="D25" s="5" t="n"/>
      <c r="E25" s="10">
        <f>IF(AND(ISNUMBER(C25),ISNUMBER(D25)),C25*D25,"")</f>
        <v/>
      </c>
      <c r="F25" s="10">
        <f>E25-C25</f>
        <v/>
      </c>
      <c r="G25" s="10">
        <f>E25-C25</f>
        <v/>
      </c>
    </row>
    <row r="26"/>
    <row r="27">
      <c r="A27" s="5" t="inlineStr">
        <is>
          <t>Total</t>
        </is>
      </c>
      <c r="C27" s="10">
        <f>SUM(C2:C25)</f>
        <v/>
      </c>
      <c r="E27" s="10">
        <f>SUM(E2:E25)</f>
        <v/>
      </c>
      <c r="F27" s="10">
        <f>SUM(F2:F25)</f>
        <v/>
      </c>
      <c r="G27" s="10">
        <f>SUM(G2:G25)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8" t="inlineStr">
        <is>
          <t>Accident Period</t>
        </is>
      </c>
      <c r="B1" s="8" t="inlineStr">
        <is>
          <t>Current Age</t>
        </is>
      </c>
      <c r="C1" s="8" t="inlineStr">
        <is>
          <t>Reported</t>
        </is>
      </c>
      <c r="D1" s="8" t="inlineStr">
        <is>
          <t>CDF</t>
        </is>
      </c>
      <c r="E1" s="8" t="inlineStr">
        <is>
          <t>Ultimate</t>
        </is>
      </c>
      <c r="F1" s="8" t="inlineStr">
        <is>
          <t>IBNR</t>
        </is>
      </c>
      <c r="G1" s="8" t="inlineStr">
        <is>
          <t>Unpaid</t>
        </is>
      </c>
    </row>
    <row r="2">
      <c r="A2" s="9" t="n">
        <v>2001</v>
      </c>
      <c r="B2" s="9" t="n">
        <v>287</v>
      </c>
      <c r="C2" s="10">
        <f>'Reported'!M3</f>
        <v/>
      </c>
      <c r="D2" s="12" t="n">
        <v>1</v>
      </c>
      <c r="E2" s="10">
        <f>IF(AND(ISNUMBER(C2),ISNUMBER(D2)),C2*D2,"")</f>
        <v/>
      </c>
      <c r="F2" s="10">
        <f>E2-C2</f>
        <v/>
      </c>
      <c r="G2" s="10">
        <f>E2-'Closed CL'!C2</f>
        <v/>
      </c>
    </row>
    <row r="3">
      <c r="A3" s="9" t="n">
        <v>2002</v>
      </c>
      <c r="B3" s="9" t="n">
        <v>275</v>
      </c>
      <c r="C3" s="10">
        <f>'Reported'!M4</f>
        <v/>
      </c>
      <c r="D3" s="12" t="n">
        <v>1</v>
      </c>
      <c r="E3" s="10">
        <f>IF(AND(ISNUMBER(C3),ISNUMBER(D3)),C3*D3,"")</f>
        <v/>
      </c>
      <c r="F3" s="10">
        <f>E3-C3</f>
        <v/>
      </c>
      <c r="G3" s="10">
        <f>E3-'Closed CL'!C3</f>
        <v/>
      </c>
    </row>
    <row r="4">
      <c r="A4" s="9" t="n">
        <v>2003</v>
      </c>
      <c r="B4" s="9" t="n">
        <v>263</v>
      </c>
      <c r="C4" s="10">
        <f>'Reported'!M5</f>
        <v/>
      </c>
      <c r="D4" s="12" t="n">
        <v>1</v>
      </c>
      <c r="E4" s="10">
        <f>IF(AND(ISNUMBER(C4),ISNUMBER(D4)),C4*D4,"")</f>
        <v/>
      </c>
      <c r="F4" s="10">
        <f>E4-C4</f>
        <v/>
      </c>
      <c r="G4" s="10">
        <f>E4-'Closed CL'!C4</f>
        <v/>
      </c>
    </row>
    <row r="5">
      <c r="A5" s="9" t="n">
        <v>2004</v>
      </c>
      <c r="B5" s="9" t="n">
        <v>251</v>
      </c>
      <c r="C5" s="10">
        <f>'Reported'!M6</f>
        <v/>
      </c>
      <c r="D5" s="12" t="n">
        <v>1</v>
      </c>
      <c r="E5" s="10">
        <f>IF(AND(ISNUMBER(C5),ISNUMBER(D5)),C5*D5,"")</f>
        <v/>
      </c>
      <c r="F5" s="10">
        <f>E5-C5</f>
        <v/>
      </c>
      <c r="G5" s="10">
        <f>E5-'Closed CL'!C5</f>
        <v/>
      </c>
    </row>
    <row r="6">
      <c r="A6" s="9" t="n">
        <v>2005</v>
      </c>
      <c r="B6" s="9" t="n">
        <v>239</v>
      </c>
      <c r="C6" s="10">
        <f>'Reported'!M7</f>
        <v/>
      </c>
      <c r="D6" s="12" t="n">
        <v>1</v>
      </c>
      <c r="E6" s="10">
        <f>IF(AND(ISNUMBER(C6),ISNUMBER(D6)),C6*D6,"")</f>
        <v/>
      </c>
      <c r="F6" s="10">
        <f>E6-C6</f>
        <v/>
      </c>
      <c r="G6" s="10">
        <f>E6-'Closed CL'!C6</f>
        <v/>
      </c>
    </row>
    <row r="7">
      <c r="A7" s="9" t="n">
        <v>2006</v>
      </c>
      <c r="B7" s="9" t="n">
        <v>227</v>
      </c>
      <c r="C7" s="10">
        <f>'Reported'!M8</f>
        <v/>
      </c>
      <c r="D7" s="12" t="n">
        <v>1</v>
      </c>
      <c r="E7" s="10">
        <f>IF(AND(ISNUMBER(C7),ISNUMBER(D7)),C7*D7,"")</f>
        <v/>
      </c>
      <c r="F7" s="10">
        <f>E7-C7</f>
        <v/>
      </c>
      <c r="G7" s="10">
        <f>E7-'Closed CL'!C7</f>
        <v/>
      </c>
    </row>
    <row r="8">
      <c r="A8" s="9" t="n">
        <v>2007</v>
      </c>
      <c r="B8" s="9" t="n">
        <v>215</v>
      </c>
      <c r="C8" s="10">
        <f>'Reported'!M9</f>
        <v/>
      </c>
      <c r="D8" s="12" t="n">
        <v>1</v>
      </c>
      <c r="E8" s="10">
        <f>IF(AND(ISNUMBER(C8),ISNUMBER(D8)),C8*D8,"")</f>
        <v/>
      </c>
      <c r="F8" s="10">
        <f>E8-C8</f>
        <v/>
      </c>
      <c r="G8" s="10">
        <f>E8-'Closed CL'!C8</f>
        <v/>
      </c>
    </row>
    <row r="9">
      <c r="A9" s="9" t="n">
        <v>2008</v>
      </c>
      <c r="B9" s="9" t="n">
        <v>203</v>
      </c>
      <c r="C9" s="10">
        <f>'Reported'!M10</f>
        <v/>
      </c>
      <c r="D9" s="12" t="n">
        <v>1</v>
      </c>
      <c r="E9" s="10">
        <f>IF(AND(ISNUMBER(C9),ISNUMBER(D9)),C9*D9,"")</f>
        <v/>
      </c>
      <c r="F9" s="10">
        <f>E9-C9</f>
        <v/>
      </c>
      <c r="G9" s="10">
        <f>E9-'Closed CL'!C9</f>
        <v/>
      </c>
    </row>
    <row r="10">
      <c r="A10" s="9" t="n">
        <v>2009</v>
      </c>
      <c r="B10" s="9" t="n">
        <v>191</v>
      </c>
      <c r="C10" s="10">
        <f>'Reported'!M11</f>
        <v/>
      </c>
      <c r="D10" s="12" t="n">
        <v>1</v>
      </c>
      <c r="E10" s="10">
        <f>IF(AND(ISNUMBER(C10),ISNUMBER(D10)),C10*D10,"")</f>
        <v/>
      </c>
      <c r="F10" s="10">
        <f>E10-C10</f>
        <v/>
      </c>
      <c r="G10" s="10">
        <f>E10-'Closed CL'!C10</f>
        <v/>
      </c>
    </row>
    <row r="11">
      <c r="A11" s="9" t="n">
        <v>2010</v>
      </c>
      <c r="B11" s="9" t="n">
        <v>179</v>
      </c>
      <c r="C11" s="10">
        <f>'Reported'!M12</f>
        <v/>
      </c>
      <c r="D11" s="12" t="n">
        <v>1</v>
      </c>
      <c r="E11" s="10">
        <f>IF(AND(ISNUMBER(C11),ISNUMBER(D11)),C11*D11,"")</f>
        <v/>
      </c>
      <c r="F11" s="10">
        <f>E11-C11</f>
        <v/>
      </c>
      <c r="G11" s="10">
        <f>E11-'Closed CL'!C11</f>
        <v/>
      </c>
    </row>
    <row r="12">
      <c r="A12" s="9" t="n">
        <v>2011</v>
      </c>
      <c r="B12" s="9" t="n">
        <v>167</v>
      </c>
      <c r="C12" s="10">
        <f>'Reported'!M13</f>
        <v/>
      </c>
      <c r="D12" s="12" t="n">
        <v>1</v>
      </c>
      <c r="E12" s="10">
        <f>IF(AND(ISNUMBER(C12),ISNUMBER(D12)),C12*D12,"")</f>
        <v/>
      </c>
      <c r="F12" s="10">
        <f>E12-C12</f>
        <v/>
      </c>
      <c r="G12" s="10">
        <f>E12-'Closed CL'!C12</f>
        <v/>
      </c>
    </row>
    <row r="13">
      <c r="A13" s="9" t="n">
        <v>2012</v>
      </c>
      <c r="B13" s="9" t="n">
        <v>155</v>
      </c>
      <c r="C13" s="10">
        <f>'Reported'!M14</f>
        <v/>
      </c>
      <c r="D13" s="12" t="n">
        <v>1</v>
      </c>
      <c r="E13" s="10">
        <f>IF(AND(ISNUMBER(C13),ISNUMBER(D13)),C13*D13,"")</f>
        <v/>
      </c>
      <c r="F13" s="10">
        <f>E13-C13</f>
        <v/>
      </c>
      <c r="G13" s="10">
        <f>E13-'Closed CL'!C13</f>
        <v/>
      </c>
    </row>
    <row r="14">
      <c r="A14" s="9" t="n">
        <v>2013</v>
      </c>
      <c r="B14" s="9" t="n">
        <v>143</v>
      </c>
      <c r="C14" s="10">
        <f>'Reported'!M15</f>
        <v/>
      </c>
      <c r="D14" s="12" t="n">
        <v>1</v>
      </c>
      <c r="E14" s="10">
        <f>IF(AND(ISNUMBER(C14),ISNUMBER(D14)),C14*D14,"")</f>
        <v/>
      </c>
      <c r="F14" s="10">
        <f>E14-C14</f>
        <v/>
      </c>
      <c r="G14" s="10">
        <f>E14-'Closed CL'!C14</f>
        <v/>
      </c>
    </row>
    <row r="15">
      <c r="A15" s="9" t="n">
        <v>2014</v>
      </c>
      <c r="B15" s="9" t="n">
        <v>131</v>
      </c>
      <c r="C15" s="10">
        <f>'Reported'!L16</f>
        <v/>
      </c>
      <c r="D15" s="12" t="n">
        <v>1</v>
      </c>
      <c r="E15" s="10">
        <f>IF(AND(ISNUMBER(C15),ISNUMBER(D15)),C15*D15,"")</f>
        <v/>
      </c>
      <c r="F15" s="10">
        <f>E15-C15</f>
        <v/>
      </c>
      <c r="G15" s="10">
        <f>E15-'Closed CL'!C15</f>
        <v/>
      </c>
    </row>
    <row r="16">
      <c r="A16" s="9" t="n">
        <v>2015</v>
      </c>
      <c r="B16" s="9" t="n">
        <v>119</v>
      </c>
      <c r="C16" s="10">
        <f>'Reported'!K17</f>
        <v/>
      </c>
      <c r="D16" s="12" t="n">
        <v>1</v>
      </c>
      <c r="E16" s="10">
        <f>IF(AND(ISNUMBER(C16),ISNUMBER(D16)),C16*D16,"")</f>
        <v/>
      </c>
      <c r="F16" s="10">
        <f>E16-C16</f>
        <v/>
      </c>
      <c r="G16" s="10">
        <f>E16-'Closed CL'!C16</f>
        <v/>
      </c>
    </row>
    <row r="17">
      <c r="A17" s="9" t="n">
        <v>2016</v>
      </c>
      <c r="B17" s="9" t="n">
        <v>107</v>
      </c>
      <c r="C17" s="10">
        <f>'Reported'!J18</f>
        <v/>
      </c>
      <c r="D17" s="12" t="n">
        <v>0.9977</v>
      </c>
      <c r="E17" s="10">
        <f>IF(AND(ISNUMBER(C17),ISNUMBER(D17)),C17*D17,"")</f>
        <v/>
      </c>
      <c r="F17" s="10">
        <f>E17-C17</f>
        <v/>
      </c>
      <c r="G17" s="10">
        <f>E17-'Closed CL'!C17</f>
        <v/>
      </c>
    </row>
    <row r="18">
      <c r="A18" s="9" t="n">
        <v>2017</v>
      </c>
      <c r="B18" s="9" t="n">
        <v>95</v>
      </c>
      <c r="C18" s="10">
        <f>'Reported'!I19</f>
        <v/>
      </c>
      <c r="D18" s="12" t="n">
        <v>0.9977</v>
      </c>
      <c r="E18" s="10">
        <f>IF(AND(ISNUMBER(C18),ISNUMBER(D18)),C18*D18,"")</f>
        <v/>
      </c>
      <c r="F18" s="10">
        <f>E18-C18</f>
        <v/>
      </c>
      <c r="G18" s="10">
        <f>E18-'Closed CL'!C18</f>
        <v/>
      </c>
    </row>
    <row r="19">
      <c r="A19" s="9" t="n">
        <v>2018</v>
      </c>
      <c r="B19" s="9" t="n">
        <v>83</v>
      </c>
      <c r="C19" s="10">
        <f>'Reported'!H20</f>
        <v/>
      </c>
      <c r="D19" s="12" t="n">
        <v>0.99700161</v>
      </c>
      <c r="E19" s="10">
        <f>IF(AND(ISNUMBER(C19),ISNUMBER(D19)),C19*D19,"")</f>
        <v/>
      </c>
      <c r="F19" s="10">
        <f>E19-C19</f>
        <v/>
      </c>
      <c r="G19" s="10">
        <f>E19-'Closed CL'!C19</f>
        <v/>
      </c>
    </row>
    <row r="20">
      <c r="A20" s="9" t="n">
        <v>2019</v>
      </c>
      <c r="B20" s="9" t="n">
        <v>71</v>
      </c>
      <c r="C20" s="10">
        <f>'Reported'!G21</f>
        <v/>
      </c>
      <c r="D20" s="12" t="n">
        <v>0.99700161</v>
      </c>
      <c r="E20" s="10">
        <f>IF(AND(ISNUMBER(C20),ISNUMBER(D20)),C20*D20,"")</f>
        <v/>
      </c>
      <c r="F20" s="10">
        <f>E20-C20</f>
        <v/>
      </c>
      <c r="G20" s="10">
        <f>E20-'Closed CL'!C20</f>
        <v/>
      </c>
    </row>
    <row r="21">
      <c r="A21" s="9" t="n">
        <v>2020</v>
      </c>
      <c r="B21" s="9" t="n">
        <v>59</v>
      </c>
      <c r="C21" s="10">
        <f>'Reported'!F22</f>
        <v/>
      </c>
      <c r="D21" s="12" t="n">
        <v>0.996204008712</v>
      </c>
      <c r="E21" s="10">
        <f>IF(AND(ISNUMBER(C21),ISNUMBER(D21)),C21*D21,"")</f>
        <v/>
      </c>
      <c r="F21" s="10">
        <f>E21-C21</f>
        <v/>
      </c>
      <c r="G21" s="10">
        <f>E21-'Closed CL'!C21</f>
        <v/>
      </c>
    </row>
    <row r="22">
      <c r="A22" s="9" t="n">
        <v>2021</v>
      </c>
      <c r="B22" s="9" t="n">
        <v>47</v>
      </c>
      <c r="C22" s="10">
        <f>'Reported'!E23</f>
        <v/>
      </c>
      <c r="D22" s="12" t="n">
        <v>0.996204008712</v>
      </c>
      <c r="E22" s="10">
        <f>IF(AND(ISNUMBER(C22),ISNUMBER(D22)),C22*D22,"")</f>
        <v/>
      </c>
      <c r="F22" s="10">
        <f>E22-C22</f>
        <v/>
      </c>
      <c r="G22" s="10">
        <f>E22-'Closed CL'!C22</f>
        <v/>
      </c>
    </row>
    <row r="23">
      <c r="A23" s="9" t="n">
        <v>2022</v>
      </c>
      <c r="B23" s="9" t="n">
        <v>35</v>
      </c>
      <c r="C23" s="10">
        <f>'Reported'!D24</f>
        <v/>
      </c>
      <c r="D23" s="12" t="n">
        <v>0.9970009719189695</v>
      </c>
      <c r="E23" s="10">
        <f>IF(AND(ISNUMBER(C23),ISNUMBER(D23)),C23*D23,"")</f>
        <v/>
      </c>
      <c r="F23" s="10">
        <f>E23-C23</f>
        <v/>
      </c>
      <c r="G23" s="10">
        <f>E23-'Closed CL'!C23</f>
        <v/>
      </c>
    </row>
    <row r="24">
      <c r="A24" s="9" t="n">
        <v>2023</v>
      </c>
      <c r="B24" s="9" t="n">
        <v>23</v>
      </c>
      <c r="C24" s="10">
        <f>'Reported'!C25</f>
        <v/>
      </c>
      <c r="D24" s="12" t="n">
        <v>0.9970009719189695</v>
      </c>
      <c r="E24" s="10">
        <f>IF(AND(ISNUMBER(C24),ISNUMBER(D24)),C24*D24,"")</f>
        <v/>
      </c>
      <c r="F24" s="10">
        <f>E24-C24</f>
        <v/>
      </c>
      <c r="G24" s="10">
        <f>E24-'Closed CL'!C24</f>
        <v/>
      </c>
    </row>
    <row r="25">
      <c r="A25" s="9" t="n">
        <v>2024</v>
      </c>
      <c r="B25" s="9" t="n">
        <v>11</v>
      </c>
      <c r="C25" s="10">
        <f>'Reported'!B26</f>
        <v/>
      </c>
      <c r="D25" s="12" t="n">
        <v>1.114647086605408</v>
      </c>
      <c r="E25" s="10">
        <f>IF(AND(ISNUMBER(C25),ISNUMBER(D25)),C25*D25,"")</f>
        <v/>
      </c>
      <c r="F25" s="10">
        <f>E25-C25</f>
        <v/>
      </c>
      <c r="G25" s="10">
        <f>E25-'Closed CL'!C25</f>
        <v/>
      </c>
    </row>
    <row r="26"/>
    <row r="27">
      <c r="A27" s="5" t="inlineStr">
        <is>
          <t>Total</t>
        </is>
      </c>
      <c r="C27" s="10">
        <f>SUM(C2:C25)</f>
        <v/>
      </c>
      <c r="E27" s="10">
        <f>SUM(E2:E25)</f>
        <v/>
      </c>
      <c r="F27" s="10">
        <f>SUM(F2:F25)</f>
        <v/>
      </c>
      <c r="G27" s="10">
        <f>SUM(G2:G25)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8" t="inlineStr">
        <is>
          <t>Accident Period</t>
        </is>
      </c>
      <c r="B1" s="8" t="inlineStr">
        <is>
          <t>Current Age</t>
        </is>
      </c>
      <c r="C1" s="8" t="inlineStr">
        <is>
          <t>Initial Expected</t>
        </is>
      </c>
      <c r="D1" s="8" t="inlineStr">
        <is>
          <t>CDF</t>
        </is>
      </c>
      <c r="E1" s="8" t="inlineStr">
        <is>
          <t>% Unreported</t>
        </is>
      </c>
      <c r="F1" s="8" t="inlineStr">
        <is>
          <t>Unreported</t>
        </is>
      </c>
      <c r="G1" s="8" t="inlineStr">
        <is>
          <t>Reported</t>
        </is>
      </c>
      <c r="H1" s="8" t="inlineStr">
        <is>
          <t>Ultimate</t>
        </is>
      </c>
      <c r="I1" s="8" t="inlineStr">
        <is>
          <t>IBNR</t>
        </is>
      </c>
      <c r="J1" s="8" t="inlineStr">
        <is>
          <t>Unpaid</t>
        </is>
      </c>
    </row>
    <row r="2">
      <c r="A2" s="9" t="n">
        <v>2001</v>
      </c>
      <c r="B2" s="9" t="n">
        <v>287</v>
      </c>
      <c r="C2" s="10">
        <f>'IE'!D2</f>
        <v/>
      </c>
      <c r="D2" s="13">
        <f>'Reported CL'!D2</f>
        <v/>
      </c>
      <c r="E2" s="14">
        <f>1-(1/D2)</f>
        <v/>
      </c>
      <c r="F2" s="10">
        <f>C2*E2</f>
        <v/>
      </c>
      <c r="G2" s="10">
        <f>'Reported CL'!C2</f>
        <v/>
      </c>
      <c r="H2" s="10">
        <f>F2+G2</f>
        <v/>
      </c>
      <c r="I2" s="10">
        <f>H2-G2</f>
        <v/>
      </c>
      <c r="J2" s="10">
        <f>H2-'Closed CL'!C2</f>
        <v/>
      </c>
    </row>
    <row r="3">
      <c r="A3" s="9" t="n">
        <v>2002</v>
      </c>
      <c r="B3" s="9" t="n">
        <v>275</v>
      </c>
      <c r="C3" s="10">
        <f>'IE'!D3</f>
        <v/>
      </c>
      <c r="D3" s="13">
        <f>'Reported CL'!D3</f>
        <v/>
      </c>
      <c r="E3" s="14">
        <f>1-(1/D3)</f>
        <v/>
      </c>
      <c r="F3" s="10">
        <f>C3*E3</f>
        <v/>
      </c>
      <c r="G3" s="10">
        <f>'Reported CL'!C3</f>
        <v/>
      </c>
      <c r="H3" s="10">
        <f>F3+G3</f>
        <v/>
      </c>
      <c r="I3" s="10">
        <f>H3-G3</f>
        <v/>
      </c>
      <c r="J3" s="10">
        <f>H3-'Closed CL'!C3</f>
        <v/>
      </c>
    </row>
    <row r="4">
      <c r="A4" s="9" t="n">
        <v>2003</v>
      </c>
      <c r="B4" s="9" t="n">
        <v>263</v>
      </c>
      <c r="C4" s="10">
        <f>'IE'!D4</f>
        <v/>
      </c>
      <c r="D4" s="13">
        <f>'Reported CL'!D4</f>
        <v/>
      </c>
      <c r="E4" s="14">
        <f>1-(1/D4)</f>
        <v/>
      </c>
      <c r="F4" s="10">
        <f>C4*E4</f>
        <v/>
      </c>
      <c r="G4" s="10">
        <f>'Reported CL'!C4</f>
        <v/>
      </c>
      <c r="H4" s="10">
        <f>F4+G4</f>
        <v/>
      </c>
      <c r="I4" s="10">
        <f>H4-G4</f>
        <v/>
      </c>
      <c r="J4" s="10">
        <f>H4-'Closed CL'!C4</f>
        <v/>
      </c>
    </row>
    <row r="5">
      <c r="A5" s="9" t="n">
        <v>2004</v>
      </c>
      <c r="B5" s="9" t="n">
        <v>251</v>
      </c>
      <c r="C5" s="10">
        <f>'IE'!D5</f>
        <v/>
      </c>
      <c r="D5" s="13">
        <f>'Reported CL'!D5</f>
        <v/>
      </c>
      <c r="E5" s="14">
        <f>1-(1/D5)</f>
        <v/>
      </c>
      <c r="F5" s="10">
        <f>C5*E5</f>
        <v/>
      </c>
      <c r="G5" s="10">
        <f>'Reported CL'!C5</f>
        <v/>
      </c>
      <c r="H5" s="10">
        <f>F5+G5</f>
        <v/>
      </c>
      <c r="I5" s="10">
        <f>H5-G5</f>
        <v/>
      </c>
      <c r="J5" s="10">
        <f>H5-'Closed CL'!C5</f>
        <v/>
      </c>
    </row>
    <row r="6">
      <c r="A6" s="9" t="n">
        <v>2005</v>
      </c>
      <c r="B6" s="9" t="n">
        <v>239</v>
      </c>
      <c r="C6" s="10">
        <f>'IE'!D6</f>
        <v/>
      </c>
      <c r="D6" s="13">
        <f>'Reported CL'!D6</f>
        <v/>
      </c>
      <c r="E6" s="14">
        <f>1-(1/D6)</f>
        <v/>
      </c>
      <c r="F6" s="10">
        <f>C6*E6</f>
        <v/>
      </c>
      <c r="G6" s="10">
        <f>'Reported CL'!C6</f>
        <v/>
      </c>
      <c r="H6" s="10">
        <f>F6+G6</f>
        <v/>
      </c>
      <c r="I6" s="10">
        <f>H6-G6</f>
        <v/>
      </c>
      <c r="J6" s="10">
        <f>H6-'Closed CL'!C6</f>
        <v/>
      </c>
    </row>
    <row r="7">
      <c r="A7" s="9" t="n">
        <v>2006</v>
      </c>
      <c r="B7" s="9" t="n">
        <v>227</v>
      </c>
      <c r="C7" s="10">
        <f>'IE'!D7</f>
        <v/>
      </c>
      <c r="D7" s="13">
        <f>'Reported CL'!D7</f>
        <v/>
      </c>
      <c r="E7" s="14">
        <f>1-(1/D7)</f>
        <v/>
      </c>
      <c r="F7" s="10">
        <f>C7*E7</f>
        <v/>
      </c>
      <c r="G7" s="10">
        <f>'Reported CL'!C7</f>
        <v/>
      </c>
      <c r="H7" s="10">
        <f>F7+G7</f>
        <v/>
      </c>
      <c r="I7" s="10">
        <f>H7-G7</f>
        <v/>
      </c>
      <c r="J7" s="10">
        <f>H7-'Closed CL'!C7</f>
        <v/>
      </c>
    </row>
    <row r="8">
      <c r="A8" s="9" t="n">
        <v>2007</v>
      </c>
      <c r="B8" s="9" t="n">
        <v>215</v>
      </c>
      <c r="C8" s="10">
        <f>'IE'!D8</f>
        <v/>
      </c>
      <c r="D8" s="13">
        <f>'Reported CL'!D8</f>
        <v/>
      </c>
      <c r="E8" s="14">
        <f>1-(1/D8)</f>
        <v/>
      </c>
      <c r="F8" s="10">
        <f>C8*E8</f>
        <v/>
      </c>
      <c r="G8" s="10">
        <f>'Reported CL'!C8</f>
        <v/>
      </c>
      <c r="H8" s="10">
        <f>F8+G8</f>
        <v/>
      </c>
      <c r="I8" s="10">
        <f>H8-G8</f>
        <v/>
      </c>
      <c r="J8" s="10">
        <f>H8-'Closed CL'!C8</f>
        <v/>
      </c>
    </row>
    <row r="9">
      <c r="A9" s="9" t="n">
        <v>2008</v>
      </c>
      <c r="B9" s="9" t="n">
        <v>203</v>
      </c>
      <c r="C9" s="10">
        <f>'IE'!D9</f>
        <v/>
      </c>
      <c r="D9" s="13">
        <f>'Reported CL'!D9</f>
        <v/>
      </c>
      <c r="E9" s="14">
        <f>1-(1/D9)</f>
        <v/>
      </c>
      <c r="F9" s="10">
        <f>C9*E9</f>
        <v/>
      </c>
      <c r="G9" s="10">
        <f>'Reported CL'!C9</f>
        <v/>
      </c>
      <c r="H9" s="10">
        <f>F9+G9</f>
        <v/>
      </c>
      <c r="I9" s="10">
        <f>H9-G9</f>
        <v/>
      </c>
      <c r="J9" s="10">
        <f>H9-'Closed CL'!C9</f>
        <v/>
      </c>
    </row>
    <row r="10">
      <c r="A10" s="9" t="n">
        <v>2009</v>
      </c>
      <c r="B10" s="9" t="n">
        <v>191</v>
      </c>
      <c r="C10" s="10">
        <f>'IE'!D10</f>
        <v/>
      </c>
      <c r="D10" s="13">
        <f>'Reported CL'!D10</f>
        <v/>
      </c>
      <c r="E10" s="14">
        <f>1-(1/D10)</f>
        <v/>
      </c>
      <c r="F10" s="10">
        <f>C10*E10</f>
        <v/>
      </c>
      <c r="G10" s="10">
        <f>'Reported CL'!C10</f>
        <v/>
      </c>
      <c r="H10" s="10">
        <f>F10+G10</f>
        <v/>
      </c>
      <c r="I10" s="10">
        <f>H10-G10</f>
        <v/>
      </c>
      <c r="J10" s="10">
        <f>H10-'Closed CL'!C10</f>
        <v/>
      </c>
    </row>
    <row r="11">
      <c r="A11" s="9" t="n">
        <v>2010</v>
      </c>
      <c r="B11" s="9" t="n">
        <v>179</v>
      </c>
      <c r="C11" s="10">
        <f>'IE'!D11</f>
        <v/>
      </c>
      <c r="D11" s="13">
        <f>'Reported CL'!D11</f>
        <v/>
      </c>
      <c r="E11" s="14">
        <f>1-(1/D11)</f>
        <v/>
      </c>
      <c r="F11" s="10">
        <f>C11*E11</f>
        <v/>
      </c>
      <c r="G11" s="10">
        <f>'Reported CL'!C11</f>
        <v/>
      </c>
      <c r="H11" s="10">
        <f>F11+G11</f>
        <v/>
      </c>
      <c r="I11" s="10">
        <f>H11-G11</f>
        <v/>
      </c>
      <c r="J11" s="10">
        <f>H11-'Closed CL'!C11</f>
        <v/>
      </c>
    </row>
    <row r="12">
      <c r="A12" s="9" t="n">
        <v>2011</v>
      </c>
      <c r="B12" s="9" t="n">
        <v>167</v>
      </c>
      <c r="C12" s="10">
        <f>'IE'!D12</f>
        <v/>
      </c>
      <c r="D12" s="13">
        <f>'Reported CL'!D12</f>
        <v/>
      </c>
      <c r="E12" s="14">
        <f>1-(1/D12)</f>
        <v/>
      </c>
      <c r="F12" s="10">
        <f>C12*E12</f>
        <v/>
      </c>
      <c r="G12" s="10">
        <f>'Reported CL'!C12</f>
        <v/>
      </c>
      <c r="H12" s="10">
        <f>F12+G12</f>
        <v/>
      </c>
      <c r="I12" s="10">
        <f>H12-G12</f>
        <v/>
      </c>
      <c r="J12" s="10">
        <f>H12-'Closed CL'!C12</f>
        <v/>
      </c>
    </row>
    <row r="13">
      <c r="A13" s="9" t="n">
        <v>2012</v>
      </c>
      <c r="B13" s="9" t="n">
        <v>155</v>
      </c>
      <c r="C13" s="10">
        <f>'IE'!D13</f>
        <v/>
      </c>
      <c r="D13" s="13">
        <f>'Reported CL'!D13</f>
        <v/>
      </c>
      <c r="E13" s="14">
        <f>1-(1/D13)</f>
        <v/>
      </c>
      <c r="F13" s="10">
        <f>C13*E13</f>
        <v/>
      </c>
      <c r="G13" s="10">
        <f>'Reported CL'!C13</f>
        <v/>
      </c>
      <c r="H13" s="10">
        <f>F13+G13</f>
        <v/>
      </c>
      <c r="I13" s="10">
        <f>H13-G13</f>
        <v/>
      </c>
      <c r="J13" s="10">
        <f>H13-'Closed CL'!C13</f>
        <v/>
      </c>
    </row>
    <row r="14">
      <c r="A14" s="9" t="n">
        <v>2013</v>
      </c>
      <c r="B14" s="9" t="n">
        <v>143</v>
      </c>
      <c r="C14" s="10">
        <f>'IE'!D14</f>
        <v/>
      </c>
      <c r="D14" s="13">
        <f>'Reported CL'!D14</f>
        <v/>
      </c>
      <c r="E14" s="14">
        <f>1-(1/D14)</f>
        <v/>
      </c>
      <c r="F14" s="10">
        <f>C14*E14</f>
        <v/>
      </c>
      <c r="G14" s="10">
        <f>'Reported CL'!C14</f>
        <v/>
      </c>
      <c r="H14" s="10">
        <f>F14+G14</f>
        <v/>
      </c>
      <c r="I14" s="10">
        <f>H14-G14</f>
        <v/>
      </c>
      <c r="J14" s="10">
        <f>H14-'Closed CL'!C14</f>
        <v/>
      </c>
    </row>
    <row r="15">
      <c r="A15" s="9" t="n">
        <v>2014</v>
      </c>
      <c r="B15" s="9" t="n">
        <v>131</v>
      </c>
      <c r="C15" s="10">
        <f>'IE'!D15</f>
        <v/>
      </c>
      <c r="D15" s="13">
        <f>'Reported CL'!D15</f>
        <v/>
      </c>
      <c r="E15" s="14">
        <f>1-(1/D15)</f>
        <v/>
      </c>
      <c r="F15" s="10">
        <f>C15*E15</f>
        <v/>
      </c>
      <c r="G15" s="10">
        <f>'Reported CL'!C15</f>
        <v/>
      </c>
      <c r="H15" s="10">
        <f>F15+G15</f>
        <v/>
      </c>
      <c r="I15" s="10">
        <f>H15-G15</f>
        <v/>
      </c>
      <c r="J15" s="10">
        <f>H15-'Closed CL'!C15</f>
        <v/>
      </c>
    </row>
    <row r="16">
      <c r="A16" s="9" t="n">
        <v>2015</v>
      </c>
      <c r="B16" s="9" t="n">
        <v>119</v>
      </c>
      <c r="C16" s="10">
        <f>'IE'!D16</f>
        <v/>
      </c>
      <c r="D16" s="13">
        <f>'Reported CL'!D16</f>
        <v/>
      </c>
      <c r="E16" s="14">
        <f>1-(1/D16)</f>
        <v/>
      </c>
      <c r="F16" s="10">
        <f>C16*E16</f>
        <v/>
      </c>
      <c r="G16" s="10">
        <f>'Reported CL'!C16</f>
        <v/>
      </c>
      <c r="H16" s="10">
        <f>F16+G16</f>
        <v/>
      </c>
      <c r="I16" s="10">
        <f>H16-G16</f>
        <v/>
      </c>
      <c r="J16" s="10">
        <f>H16-'Closed CL'!C16</f>
        <v/>
      </c>
    </row>
    <row r="17">
      <c r="A17" s="9" t="n">
        <v>2016</v>
      </c>
      <c r="B17" s="9" t="n">
        <v>107</v>
      </c>
      <c r="C17" s="10">
        <f>'IE'!D17</f>
        <v/>
      </c>
      <c r="D17" s="13">
        <f>'Reported CL'!D17</f>
        <v/>
      </c>
      <c r="E17" s="14">
        <f>1-(1/D17)</f>
        <v/>
      </c>
      <c r="F17" s="10">
        <f>C17*E17</f>
        <v/>
      </c>
      <c r="G17" s="10">
        <f>'Reported CL'!C17</f>
        <v/>
      </c>
      <c r="H17" s="10">
        <f>F17+G17</f>
        <v/>
      </c>
      <c r="I17" s="10">
        <f>H17-G17</f>
        <v/>
      </c>
      <c r="J17" s="10">
        <f>H17-'Closed CL'!C17</f>
        <v/>
      </c>
    </row>
    <row r="18">
      <c r="A18" s="9" t="n">
        <v>2017</v>
      </c>
      <c r="B18" s="9" t="n">
        <v>95</v>
      </c>
      <c r="C18" s="10">
        <f>'IE'!D18</f>
        <v/>
      </c>
      <c r="D18" s="13">
        <f>'Reported CL'!D18</f>
        <v/>
      </c>
      <c r="E18" s="14">
        <f>1-(1/D18)</f>
        <v/>
      </c>
      <c r="F18" s="10">
        <f>C18*E18</f>
        <v/>
      </c>
      <c r="G18" s="10">
        <f>'Reported CL'!C18</f>
        <v/>
      </c>
      <c r="H18" s="10">
        <f>F18+G18</f>
        <v/>
      </c>
      <c r="I18" s="10">
        <f>H18-G18</f>
        <v/>
      </c>
      <c r="J18" s="10">
        <f>H18-'Closed CL'!C18</f>
        <v/>
      </c>
    </row>
    <row r="19">
      <c r="A19" s="9" t="n">
        <v>2018</v>
      </c>
      <c r="B19" s="9" t="n">
        <v>83</v>
      </c>
      <c r="C19" s="10">
        <f>'IE'!D19</f>
        <v/>
      </c>
      <c r="D19" s="13">
        <f>'Reported CL'!D19</f>
        <v/>
      </c>
      <c r="E19" s="14">
        <f>1-(1/D19)</f>
        <v/>
      </c>
      <c r="F19" s="10">
        <f>C19*E19</f>
        <v/>
      </c>
      <c r="G19" s="10">
        <f>'Reported CL'!C19</f>
        <v/>
      </c>
      <c r="H19" s="10">
        <f>F19+G19</f>
        <v/>
      </c>
      <c r="I19" s="10">
        <f>H19-G19</f>
        <v/>
      </c>
      <c r="J19" s="10">
        <f>H19-'Closed CL'!C19</f>
        <v/>
      </c>
    </row>
    <row r="20">
      <c r="A20" s="9" t="n">
        <v>2019</v>
      </c>
      <c r="B20" s="9" t="n">
        <v>71</v>
      </c>
      <c r="C20" s="10">
        <f>'IE'!D20</f>
        <v/>
      </c>
      <c r="D20" s="13">
        <f>'Reported CL'!D20</f>
        <v/>
      </c>
      <c r="E20" s="14">
        <f>1-(1/D20)</f>
        <v/>
      </c>
      <c r="F20" s="10">
        <f>C20*E20</f>
        <v/>
      </c>
      <c r="G20" s="10">
        <f>'Reported CL'!C20</f>
        <v/>
      </c>
      <c r="H20" s="10">
        <f>F20+G20</f>
        <v/>
      </c>
      <c r="I20" s="10">
        <f>H20-G20</f>
        <v/>
      </c>
      <c r="J20" s="10">
        <f>H20-'Closed CL'!C20</f>
        <v/>
      </c>
    </row>
    <row r="21">
      <c r="A21" s="9" t="n">
        <v>2020</v>
      </c>
      <c r="B21" s="9" t="n">
        <v>59</v>
      </c>
      <c r="C21" s="10">
        <f>'IE'!D21</f>
        <v/>
      </c>
      <c r="D21" s="13">
        <f>'Reported CL'!D21</f>
        <v/>
      </c>
      <c r="E21" s="14">
        <f>1-(1/D21)</f>
        <v/>
      </c>
      <c r="F21" s="10">
        <f>C21*E21</f>
        <v/>
      </c>
      <c r="G21" s="10">
        <f>'Reported CL'!C21</f>
        <v/>
      </c>
      <c r="H21" s="10">
        <f>F21+G21</f>
        <v/>
      </c>
      <c r="I21" s="10">
        <f>H21-G21</f>
        <v/>
      </c>
      <c r="J21" s="10">
        <f>H21-'Closed CL'!C21</f>
        <v/>
      </c>
    </row>
    <row r="22">
      <c r="A22" s="9" t="n">
        <v>2021</v>
      </c>
      <c r="B22" s="9" t="n">
        <v>47</v>
      </c>
      <c r="C22" s="10">
        <f>'IE'!D22</f>
        <v/>
      </c>
      <c r="D22" s="13">
        <f>'Reported CL'!D22</f>
        <v/>
      </c>
      <c r="E22" s="14">
        <f>1-(1/D22)</f>
        <v/>
      </c>
      <c r="F22" s="10">
        <f>C22*E22</f>
        <v/>
      </c>
      <c r="G22" s="10">
        <f>'Reported CL'!C22</f>
        <v/>
      </c>
      <c r="H22" s="10">
        <f>F22+G22</f>
        <v/>
      </c>
      <c r="I22" s="10">
        <f>H22-G22</f>
        <v/>
      </c>
      <c r="J22" s="10">
        <f>H22-'Closed CL'!C22</f>
        <v/>
      </c>
    </row>
    <row r="23">
      <c r="A23" s="9" t="n">
        <v>2022</v>
      </c>
      <c r="B23" s="9" t="n">
        <v>35</v>
      </c>
      <c r="C23" s="10">
        <f>'IE'!D23</f>
        <v/>
      </c>
      <c r="D23" s="13">
        <f>'Reported CL'!D23</f>
        <v/>
      </c>
      <c r="E23" s="14">
        <f>1-(1/D23)</f>
        <v/>
      </c>
      <c r="F23" s="10">
        <f>C23*E23</f>
        <v/>
      </c>
      <c r="G23" s="10">
        <f>'Reported CL'!C23</f>
        <v/>
      </c>
      <c r="H23" s="10">
        <f>F23+G23</f>
        <v/>
      </c>
      <c r="I23" s="10">
        <f>H23-G23</f>
        <v/>
      </c>
      <c r="J23" s="10">
        <f>H23-'Closed CL'!C23</f>
        <v/>
      </c>
    </row>
    <row r="24">
      <c r="A24" s="9" t="n">
        <v>2023</v>
      </c>
      <c r="B24" s="9" t="n">
        <v>23</v>
      </c>
      <c r="C24" s="10">
        <f>'IE'!D24</f>
        <v/>
      </c>
      <c r="D24" s="13">
        <f>'Reported CL'!D24</f>
        <v/>
      </c>
      <c r="E24" s="14">
        <f>1-(1/D24)</f>
        <v/>
      </c>
      <c r="F24" s="10">
        <f>C24*E24</f>
        <v/>
      </c>
      <c r="G24" s="10">
        <f>'Reported CL'!C24</f>
        <v/>
      </c>
      <c r="H24" s="10">
        <f>F24+G24</f>
        <v/>
      </c>
      <c r="I24" s="10">
        <f>H24-G24</f>
        <v/>
      </c>
      <c r="J24" s="10">
        <f>H24-'Closed CL'!C24</f>
        <v/>
      </c>
    </row>
    <row r="25">
      <c r="A25" s="9" t="n">
        <v>2024</v>
      </c>
      <c r="B25" s="9" t="n">
        <v>11</v>
      </c>
      <c r="C25" s="10">
        <f>'IE'!D25</f>
        <v/>
      </c>
      <c r="D25" s="13">
        <f>'Reported CL'!D25</f>
        <v/>
      </c>
      <c r="E25" s="14">
        <f>1-(1/D25)</f>
        <v/>
      </c>
      <c r="F25" s="10">
        <f>C25*E25</f>
        <v/>
      </c>
      <c r="G25" s="10">
        <f>'Reported CL'!C25</f>
        <v/>
      </c>
      <c r="H25" s="10">
        <f>F25+G25</f>
        <v/>
      </c>
      <c r="I25" s="10">
        <f>H25-G25</f>
        <v/>
      </c>
      <c r="J25" s="10">
        <f>H25-'Closed CL'!C25</f>
        <v/>
      </c>
    </row>
    <row r="26"/>
    <row r="27">
      <c r="A27" s="5" t="inlineStr">
        <is>
          <t>Total</t>
        </is>
      </c>
      <c r="C27" s="10">
        <f>SUM(C2:C25)</f>
        <v/>
      </c>
      <c r="E27" s="14">
        <f>SUM(F2:F25)/SUM(C2:C25)</f>
        <v/>
      </c>
      <c r="F27" s="10">
        <f>SUM(F2:F25)</f>
        <v/>
      </c>
      <c r="G27" s="10">
        <f>SUM(G2:G25)</f>
        <v/>
      </c>
      <c r="H27" s="10">
        <f>SUM(H2:H25)</f>
        <v/>
      </c>
      <c r="I27" s="10">
        <f>SUM(I2:I25)</f>
        <v/>
      </c>
      <c r="J27" s="10">
        <f>SUM(J2:J25)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7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8" t="inlineStr">
        <is>
          <t>Period</t>
        </is>
      </c>
      <c r="B1" s="8" t="inlineStr">
        <is>
          <t>11</t>
        </is>
      </c>
      <c r="C1" s="8" t="inlineStr">
        <is>
          <t>23</t>
        </is>
      </c>
      <c r="D1" s="8" t="inlineStr">
        <is>
          <t>35</t>
        </is>
      </c>
      <c r="E1" s="8" t="inlineStr">
        <is>
          <t>47</t>
        </is>
      </c>
      <c r="F1" s="8" t="inlineStr">
        <is>
          <t>59</t>
        </is>
      </c>
      <c r="G1" s="8" t="inlineStr">
        <is>
          <t>71</t>
        </is>
      </c>
      <c r="H1" s="8" t="inlineStr">
        <is>
          <t>83</t>
        </is>
      </c>
      <c r="I1" s="8" t="inlineStr">
        <is>
          <t>95</t>
        </is>
      </c>
      <c r="J1" s="8" t="inlineStr">
        <is>
          <t>107</t>
        </is>
      </c>
      <c r="K1" s="8" t="inlineStr">
        <is>
          <t>119</t>
        </is>
      </c>
      <c r="L1" s="8" t="inlineStr">
        <is>
          <t>131</t>
        </is>
      </c>
      <c r="M1" s="8" t="inlineStr">
        <is>
          <t>143</t>
        </is>
      </c>
      <c r="N1" s="8" t="inlineStr">
        <is>
          <t>155</t>
        </is>
      </c>
      <c r="O1" s="8" t="inlineStr">
        <is>
          <t>167</t>
        </is>
      </c>
      <c r="P1" s="8" t="inlineStr">
        <is>
          <t>179</t>
        </is>
      </c>
      <c r="Q1" s="8" t="inlineStr">
        <is>
          <t>191</t>
        </is>
      </c>
      <c r="R1" s="8" t="inlineStr">
        <is>
          <t>203</t>
        </is>
      </c>
      <c r="S1" s="8" t="inlineStr">
        <is>
          <t>215</t>
        </is>
      </c>
      <c r="T1" s="8" t="inlineStr">
        <is>
          <t>227</t>
        </is>
      </c>
      <c r="U1" s="8" t="inlineStr">
        <is>
          <t>239</t>
        </is>
      </c>
      <c r="V1" s="8" t="inlineStr">
        <is>
          <t>251</t>
        </is>
      </c>
      <c r="W1" s="8" t="inlineStr">
        <is>
          <t>263</t>
        </is>
      </c>
      <c r="X1" s="8" t="inlineStr">
        <is>
          <t>275</t>
        </is>
      </c>
      <c r="Y1" s="8" t="inlineStr">
        <is>
          <t>287</t>
        </is>
      </c>
    </row>
    <row r="2">
      <c r="A2" s="15" t="inlineStr">
        <is>
          <t>2001</t>
        </is>
      </c>
      <c r="B2" s="16" t="n">
        <v>567331.6692</v>
      </c>
      <c r="C2" s="16" t="n">
        <v>1554404.3456</v>
      </c>
      <c r="D2" s="16" t="n">
        <v>1902287.8544</v>
      </c>
      <c r="E2" s="16" t="n">
        <v>2093441.1516</v>
      </c>
      <c r="F2" s="16" t="n">
        <v>2250668.8524</v>
      </c>
      <c r="G2" s="16" t="n">
        <v>2402988.1558</v>
      </c>
      <c r="H2" s="16" t="n">
        <v>2397333.5643</v>
      </c>
      <c r="I2" s="16" t="n">
        <v>2419690.9269</v>
      </c>
      <c r="J2" s="16" t="n">
        <v>2437307.5869</v>
      </c>
      <c r="K2" s="16" t="n">
        <v>2457834.4795</v>
      </c>
      <c r="L2" s="16" t="n">
        <v>2510536.374</v>
      </c>
      <c r="M2" s="16" t="n">
        <v>2562761.5102</v>
      </c>
      <c r="N2" s="16" t="n">
        <v>2559991.01</v>
      </c>
      <c r="O2" s="16" t="n">
        <v>2618542.6253</v>
      </c>
      <c r="P2" s="16" t="n">
        <v>2663167.8948</v>
      </c>
      <c r="Q2" s="16" t="n">
        <v>2804776.81</v>
      </c>
      <c r="R2" s="16" t="n">
        <v>2871037.8848</v>
      </c>
      <c r="S2" s="16" t="n">
        <v>2959799.1689</v>
      </c>
      <c r="T2" s="16" t="n">
        <v>3012996.3884</v>
      </c>
      <c r="U2" s="16" t="n">
        <v>3012996.3884</v>
      </c>
      <c r="V2" s="16" t="n">
        <v>3083594.9884</v>
      </c>
      <c r="W2" s="16" t="n">
        <v>3126481.9884</v>
      </c>
      <c r="X2" s="16" t="n">
        <v>3126481.9884</v>
      </c>
      <c r="Y2" s="16" t="n">
        <v>3163773.6997</v>
      </c>
    </row>
    <row r="3">
      <c r="A3" s="15" t="inlineStr">
        <is>
          <t>2002</t>
        </is>
      </c>
      <c r="B3" s="16" t="n">
        <v>927838.4716</v>
      </c>
      <c r="C3" s="16" t="n">
        <v>1327207.494</v>
      </c>
      <c r="D3" s="16" t="n">
        <v>1342822.3208</v>
      </c>
      <c r="E3" s="16" t="n">
        <v>1604244.318</v>
      </c>
      <c r="F3" s="16" t="n">
        <v>1625395.9885</v>
      </c>
      <c r="G3" s="16" t="n">
        <v>1727293.4023</v>
      </c>
      <c r="H3" s="16" t="n">
        <v>1760101.2711</v>
      </c>
      <c r="I3" s="16" t="n">
        <v>1760466.7343</v>
      </c>
      <c r="J3" s="16" t="n">
        <v>1799039.5397</v>
      </c>
      <c r="K3" s="16" t="n">
        <v>1816376.1146</v>
      </c>
      <c r="L3" s="16" t="n">
        <v>1835002.2026</v>
      </c>
      <c r="M3" s="16" t="n">
        <v>1897241.704</v>
      </c>
      <c r="N3" s="16" t="n">
        <v>1899757.6006</v>
      </c>
      <c r="O3" s="16" t="n">
        <v>1975947.9264</v>
      </c>
      <c r="P3" s="16" t="n">
        <v>2028039.1364</v>
      </c>
      <c r="Q3" s="16" t="n">
        <v>2057884.5296</v>
      </c>
      <c r="R3" s="16" t="n">
        <v>2166744.7601</v>
      </c>
      <c r="S3" s="16" t="n">
        <v>2169205.7481</v>
      </c>
      <c r="T3" s="16" t="n">
        <v>2169205.7481</v>
      </c>
      <c r="U3" s="16" t="n">
        <v>2261092.7687</v>
      </c>
      <c r="V3" s="16" t="n">
        <v>2247056.6453</v>
      </c>
      <c r="W3" s="16" t="n">
        <v>2327733.7563</v>
      </c>
      <c r="X3" s="16" t="n">
        <v>2327733.7563</v>
      </c>
    </row>
    <row r="4">
      <c r="A4" s="15" t="inlineStr">
        <is>
          <t>2003</t>
        </is>
      </c>
      <c r="B4" s="16" t="n">
        <v>1009363.3596</v>
      </c>
      <c r="C4" s="16" t="n">
        <v>1458693.7576</v>
      </c>
      <c r="D4" s="16" t="n">
        <v>1578930.4312</v>
      </c>
      <c r="E4" s="16" t="n">
        <v>1876931.173</v>
      </c>
      <c r="F4" s="16" t="n">
        <v>1703633.0403</v>
      </c>
      <c r="G4" s="16" t="n">
        <v>1819224.3524</v>
      </c>
      <c r="H4" s="16" t="n">
        <v>1814195.5019</v>
      </c>
      <c r="I4" s="16" t="n">
        <v>1800500.416</v>
      </c>
      <c r="J4" s="16" t="n">
        <v>1797139.9227</v>
      </c>
      <c r="K4" s="16" t="n">
        <v>1801084.8669</v>
      </c>
      <c r="L4" s="16" t="n">
        <v>1797322.9116</v>
      </c>
      <c r="M4" s="16" t="n">
        <v>1783419.2233</v>
      </c>
      <c r="N4" s="16" t="n">
        <v>1774330.2012</v>
      </c>
      <c r="O4" s="16" t="n">
        <v>1774330.1088</v>
      </c>
      <c r="P4" s="16" t="n">
        <v>1774330.1088</v>
      </c>
      <c r="Q4" s="16" t="n">
        <v>1774330.1088</v>
      </c>
      <c r="R4" s="16" t="n">
        <v>1778091.5758</v>
      </c>
      <c r="S4" s="16" t="n">
        <v>1778091.5758</v>
      </c>
      <c r="T4" s="16" t="n">
        <v>1778091.5758</v>
      </c>
      <c r="U4" s="16" t="n">
        <v>1778091.5758</v>
      </c>
      <c r="V4" s="16" t="n">
        <v>1778091.5758</v>
      </c>
      <c r="W4" s="16" t="n">
        <v>1778091.5758</v>
      </c>
    </row>
    <row r="5">
      <c r="A5" s="15" t="inlineStr">
        <is>
          <t>2004</t>
        </is>
      </c>
      <c r="B5" s="16" t="n">
        <v>706990.2156</v>
      </c>
      <c r="C5" s="16" t="n">
        <v>807081.8756</v>
      </c>
      <c r="D5" s="16" t="n">
        <v>891146.7297</v>
      </c>
      <c r="E5" s="16" t="n">
        <v>933370.1028</v>
      </c>
      <c r="F5" s="16" t="n">
        <v>1055143.9785</v>
      </c>
      <c r="G5" s="16" t="n">
        <v>1061000.4688</v>
      </c>
      <c r="H5" s="16" t="n">
        <v>1080582.0132</v>
      </c>
      <c r="I5" s="16" t="n">
        <v>1088885.0684</v>
      </c>
      <c r="J5" s="16" t="n">
        <v>1114748.9381</v>
      </c>
      <c r="K5" s="16" t="n">
        <v>1104800.7904</v>
      </c>
      <c r="L5" s="16" t="n">
        <v>1130298.0224</v>
      </c>
      <c r="M5" s="16" t="n">
        <v>1117525.6932</v>
      </c>
      <c r="N5" s="16" t="n">
        <v>1117975.6768</v>
      </c>
      <c r="O5" s="16" t="n">
        <v>1118300.2984</v>
      </c>
      <c r="P5" s="16" t="n">
        <v>1118299.6782</v>
      </c>
      <c r="Q5" s="16" t="n">
        <v>1122581.0808</v>
      </c>
      <c r="R5" s="16" t="n">
        <v>1122581.0808</v>
      </c>
      <c r="S5" s="16" t="n">
        <v>1122581.0808</v>
      </c>
      <c r="T5" s="16" t="n">
        <v>1122581.0808</v>
      </c>
      <c r="U5" s="16" t="n">
        <v>1122614.7306</v>
      </c>
      <c r="V5" s="16" t="n">
        <v>1122614.7306</v>
      </c>
    </row>
    <row r="6">
      <c r="A6" s="15" t="inlineStr">
        <is>
          <t>2005</t>
        </is>
      </c>
      <c r="B6" s="16" t="n">
        <v>1249691.5508</v>
      </c>
      <c r="C6" s="16" t="n">
        <v>1628221.9514</v>
      </c>
      <c r="D6" s="16" t="n">
        <v>1779408.0616</v>
      </c>
      <c r="E6" s="16" t="n">
        <v>1735781.5973</v>
      </c>
      <c r="F6" s="16" t="n">
        <v>1800284.1468</v>
      </c>
      <c r="G6" s="16" t="n">
        <v>1829678.4347</v>
      </c>
      <c r="H6" s="16" t="n">
        <v>1866913.7991</v>
      </c>
      <c r="I6" s="16" t="n">
        <v>1877458.5247</v>
      </c>
      <c r="J6" s="16" t="n">
        <v>1901705.9108</v>
      </c>
      <c r="K6" s="16" t="n">
        <v>1953626.9848</v>
      </c>
      <c r="L6" s="16" t="n">
        <v>1976524.5916</v>
      </c>
      <c r="M6" s="16" t="n">
        <v>2212537.6908</v>
      </c>
      <c r="N6" s="16" t="n">
        <v>2212549.5672</v>
      </c>
      <c r="O6" s="16" t="n">
        <v>2171748.9472</v>
      </c>
      <c r="P6" s="16" t="n">
        <v>2193366.7399</v>
      </c>
      <c r="Q6" s="16" t="n">
        <v>2208705.4536</v>
      </c>
      <c r="R6" s="16" t="n">
        <v>2242149.1321</v>
      </c>
      <c r="S6" s="16" t="n">
        <v>2242149.1321</v>
      </c>
      <c r="T6" s="16" t="n">
        <v>2242149.1321</v>
      </c>
      <c r="U6" s="16" t="n">
        <v>2242149.1321</v>
      </c>
    </row>
    <row r="7">
      <c r="A7" s="15" t="inlineStr">
        <is>
          <t>2006</t>
        </is>
      </c>
      <c r="B7" s="16" t="n">
        <v>765985.3353</v>
      </c>
      <c r="C7" s="16" t="n">
        <v>1158099.949</v>
      </c>
      <c r="D7" s="16" t="n">
        <v>1006637.0924</v>
      </c>
      <c r="E7" s="16" t="n">
        <v>1076536.2516</v>
      </c>
      <c r="F7" s="16" t="n">
        <v>1086240.5108</v>
      </c>
      <c r="G7" s="16" t="n">
        <v>1141033.2455</v>
      </c>
      <c r="H7" s="16" t="n">
        <v>1191316.1021</v>
      </c>
      <c r="I7" s="16" t="n">
        <v>1169378.0556</v>
      </c>
      <c r="J7" s="16" t="n">
        <v>1199839.2137</v>
      </c>
      <c r="K7" s="16" t="n">
        <v>1244365.6452</v>
      </c>
      <c r="L7" s="16" t="n">
        <v>1347851.3164</v>
      </c>
      <c r="M7" s="16" t="n">
        <v>1428877.3956</v>
      </c>
      <c r="N7" s="16" t="n">
        <v>1468194.3366</v>
      </c>
      <c r="O7" s="16" t="n">
        <v>1484004.1739</v>
      </c>
      <c r="P7" s="16" t="n">
        <v>1484861.9139</v>
      </c>
      <c r="Q7" s="16" t="n">
        <v>1502016.7139</v>
      </c>
      <c r="R7" s="16" t="n">
        <v>1506635.3139</v>
      </c>
      <c r="S7" s="16" t="n">
        <v>1517636.7927</v>
      </c>
      <c r="T7" s="16" t="n">
        <v>1517636.7927</v>
      </c>
    </row>
    <row r="8">
      <c r="A8" s="15" t="inlineStr">
        <is>
          <t>2007</t>
        </is>
      </c>
      <c r="B8" s="16" t="n">
        <v>1724656.8811</v>
      </c>
      <c r="C8" s="16" t="n">
        <v>1877762.5606</v>
      </c>
      <c r="D8" s="16" t="n">
        <v>2045106.7768</v>
      </c>
      <c r="E8" s="16" t="n">
        <v>2291428.8419</v>
      </c>
      <c r="F8" s="16" t="n">
        <v>2554191.4604</v>
      </c>
      <c r="G8" s="16" t="n">
        <v>3049073.7774</v>
      </c>
      <c r="H8" s="16" t="n">
        <v>3243034.4444</v>
      </c>
      <c r="I8" s="16" t="n">
        <v>3598222.0844</v>
      </c>
      <c r="J8" s="16" t="n">
        <v>3855992.6032</v>
      </c>
      <c r="K8" s="16" t="n">
        <v>4247900.6072</v>
      </c>
      <c r="L8" s="16" t="n">
        <v>4378240.1384</v>
      </c>
      <c r="M8" s="16" t="n">
        <v>4504737.6146</v>
      </c>
      <c r="N8" s="16" t="n">
        <v>4577330.1566</v>
      </c>
      <c r="O8" s="16" t="n">
        <v>4581600.0523</v>
      </c>
      <c r="P8" s="16" t="n">
        <v>4781468.7005</v>
      </c>
      <c r="Q8" s="16" t="n">
        <v>4781468.7005</v>
      </c>
      <c r="R8" s="16" t="n">
        <v>4798643.3473</v>
      </c>
      <c r="S8" s="16" t="n">
        <v>4810774.6148</v>
      </c>
    </row>
    <row r="9">
      <c r="A9" s="15" t="inlineStr">
        <is>
          <t>2008</t>
        </is>
      </c>
      <c r="B9" s="16" t="n">
        <v>556352.8875</v>
      </c>
      <c r="C9" s="16" t="n">
        <v>770915.0442</v>
      </c>
      <c r="D9" s="16" t="n">
        <v>933165.8683</v>
      </c>
      <c r="E9" s="16" t="n">
        <v>1298006.7782</v>
      </c>
      <c r="F9" s="16" t="n">
        <v>1258119.1102</v>
      </c>
      <c r="G9" s="16" t="n">
        <v>1279315.2512</v>
      </c>
      <c r="H9" s="16" t="n">
        <v>1286243.9166</v>
      </c>
      <c r="I9" s="16" t="n">
        <v>1303173.6192</v>
      </c>
      <c r="J9" s="16" t="n">
        <v>1310621.4416</v>
      </c>
      <c r="K9" s="16" t="n">
        <v>1356059.2284</v>
      </c>
      <c r="L9" s="16" t="n">
        <v>1362732.0233</v>
      </c>
      <c r="M9" s="16" t="n">
        <v>1362957.0151</v>
      </c>
      <c r="N9" s="16" t="n">
        <v>1343109.2414</v>
      </c>
      <c r="O9" s="16" t="n">
        <v>1343439.1414</v>
      </c>
      <c r="P9" s="16" t="n">
        <v>1343439.1414</v>
      </c>
      <c r="Q9" s="16" t="n">
        <v>1350037.1414</v>
      </c>
      <c r="R9" s="16" t="n">
        <v>1378427.9395</v>
      </c>
    </row>
    <row r="10">
      <c r="A10" s="15" t="inlineStr">
        <is>
          <t>2009</t>
        </is>
      </c>
      <c r="B10" s="16" t="n">
        <v>357480.3922</v>
      </c>
      <c r="C10" s="16" t="n">
        <v>872537.4534</v>
      </c>
      <c r="D10" s="16" t="n">
        <v>822240.0416</v>
      </c>
      <c r="E10" s="16" t="n">
        <v>842753.923</v>
      </c>
      <c r="F10" s="16" t="n">
        <v>898761.0856</v>
      </c>
      <c r="G10" s="16" t="n">
        <v>944889.6302</v>
      </c>
      <c r="H10" s="16" t="n">
        <v>979272.5208000001</v>
      </c>
      <c r="I10" s="16" t="n">
        <v>1120353.596</v>
      </c>
      <c r="J10" s="16" t="n">
        <v>1120360.194</v>
      </c>
      <c r="K10" s="16" t="n">
        <v>1120361.8963</v>
      </c>
      <c r="L10" s="16" t="n">
        <v>1120361.8963</v>
      </c>
      <c r="M10" s="16" t="n">
        <v>1135537.2963</v>
      </c>
      <c r="N10" s="16" t="n">
        <v>1169581.0893</v>
      </c>
      <c r="O10" s="16" t="n">
        <v>1169581.0893</v>
      </c>
      <c r="P10" s="16" t="n">
        <v>1169581.0893</v>
      </c>
      <c r="Q10" s="16" t="n">
        <v>1169581.0893</v>
      </c>
    </row>
    <row r="11">
      <c r="A11" s="15" t="inlineStr">
        <is>
          <t>2010</t>
        </is>
      </c>
      <c r="B11" s="16" t="n">
        <v>360030.44</v>
      </c>
      <c r="C11" s="16" t="n">
        <v>730590.3643</v>
      </c>
      <c r="D11" s="16" t="n">
        <v>951322.0996</v>
      </c>
      <c r="E11" s="16" t="n">
        <v>1105337.8676</v>
      </c>
      <c r="F11" s="16" t="n">
        <v>1236185.7351</v>
      </c>
      <c r="G11" s="16" t="n">
        <v>1222899.712</v>
      </c>
      <c r="H11" s="16" t="n">
        <v>1271367.3004</v>
      </c>
      <c r="I11" s="16" t="n">
        <v>1272863.7268</v>
      </c>
      <c r="J11" s="16" t="n">
        <v>1266822.057</v>
      </c>
      <c r="K11" s="16" t="n">
        <v>1267621.5366</v>
      </c>
      <c r="L11" s="16" t="n">
        <v>1268616.515</v>
      </c>
      <c r="M11" s="16" t="n">
        <v>1268690.4126</v>
      </c>
      <c r="N11" s="16" t="n">
        <v>1270339.9126</v>
      </c>
      <c r="O11" s="16" t="n">
        <v>1270069.2627</v>
      </c>
      <c r="P11" s="16" t="n">
        <v>1277672.0721</v>
      </c>
    </row>
    <row r="12">
      <c r="A12" s="15" t="inlineStr">
        <is>
          <t>2011</t>
        </is>
      </c>
      <c r="B12" s="16" t="n">
        <v>454047.3346</v>
      </c>
      <c r="C12" s="16" t="n">
        <v>886919.7606</v>
      </c>
      <c r="D12" s="16" t="n">
        <v>1308017.8708</v>
      </c>
      <c r="E12" s="16" t="n">
        <v>1510353.973</v>
      </c>
      <c r="F12" s="16" t="n">
        <v>1611539.0668</v>
      </c>
      <c r="G12" s="16" t="n">
        <v>1740504.8944</v>
      </c>
      <c r="H12" s="16" t="n">
        <v>1836702.4148</v>
      </c>
      <c r="I12" s="16" t="n">
        <v>1836817.6951</v>
      </c>
      <c r="J12" s="16" t="n">
        <v>1862143.4583</v>
      </c>
      <c r="K12" s="16" t="n">
        <v>1869290.4119</v>
      </c>
      <c r="L12" s="16" t="n">
        <v>1921985.9327</v>
      </c>
      <c r="M12" s="16" t="n">
        <v>1916081.5804</v>
      </c>
      <c r="N12" s="16" t="n">
        <v>1916081.5804</v>
      </c>
      <c r="O12" s="16" t="n">
        <v>1916081.5804</v>
      </c>
    </row>
    <row r="13">
      <c r="A13" s="15" t="inlineStr">
        <is>
          <t>2012</t>
        </is>
      </c>
      <c r="B13" s="16" t="n">
        <v>335887.1044</v>
      </c>
      <c r="C13" s="16" t="n">
        <v>682490.522</v>
      </c>
      <c r="D13" s="16" t="n">
        <v>892010.9489</v>
      </c>
      <c r="E13" s="16" t="n">
        <v>969399.2736</v>
      </c>
      <c r="F13" s="16" t="n">
        <v>966369.472</v>
      </c>
      <c r="G13" s="16" t="n">
        <v>974833.3864</v>
      </c>
      <c r="H13" s="16" t="n">
        <v>978738.6634</v>
      </c>
      <c r="I13" s="16" t="n">
        <v>1029196.2086</v>
      </c>
      <c r="J13" s="16" t="n">
        <v>1086698.5968</v>
      </c>
      <c r="K13" s="16" t="n">
        <v>1148149.3733</v>
      </c>
      <c r="L13" s="16" t="n">
        <v>1156726.7733</v>
      </c>
      <c r="M13" s="16" t="n">
        <v>1363753.3805</v>
      </c>
      <c r="N13" s="16" t="n">
        <v>1363753.3805</v>
      </c>
    </row>
    <row r="14">
      <c r="A14" s="15" t="inlineStr">
        <is>
          <t>2013</t>
        </is>
      </c>
      <c r="B14" s="16" t="n">
        <v>279096.7196</v>
      </c>
      <c r="C14" s="16" t="n">
        <v>509656.1495</v>
      </c>
      <c r="D14" s="16" t="n">
        <v>554121.1536</v>
      </c>
      <c r="E14" s="16" t="n">
        <v>668048.8196</v>
      </c>
      <c r="F14" s="16" t="n">
        <v>708646.3136</v>
      </c>
      <c r="G14" s="16" t="n">
        <v>706804.6403</v>
      </c>
      <c r="H14" s="16" t="n">
        <v>707153.1202</v>
      </c>
      <c r="I14" s="16" t="n">
        <v>707153.1202</v>
      </c>
      <c r="J14" s="16" t="n">
        <v>708518.7743</v>
      </c>
      <c r="K14" s="16" t="n">
        <v>708518.7743</v>
      </c>
      <c r="L14" s="16" t="n">
        <v>708529.9909</v>
      </c>
      <c r="M14" s="16" t="n">
        <v>708529.9909</v>
      </c>
    </row>
    <row r="15">
      <c r="A15" s="15" t="inlineStr">
        <is>
          <t>2014</t>
        </is>
      </c>
      <c r="B15" s="16" t="n">
        <v>579453.8975</v>
      </c>
      <c r="C15" s="16" t="n">
        <v>791674.226</v>
      </c>
      <c r="D15" s="16" t="n">
        <v>1117488.7444</v>
      </c>
      <c r="E15" s="16" t="n">
        <v>1292116.6908</v>
      </c>
      <c r="F15" s="16" t="n">
        <v>1310589.9427</v>
      </c>
      <c r="G15" s="16" t="n">
        <v>1355751.9331</v>
      </c>
      <c r="H15" s="16" t="n">
        <v>1316935.0942</v>
      </c>
      <c r="I15" s="16" t="n">
        <v>1316935.0942</v>
      </c>
      <c r="J15" s="16" t="n">
        <v>1371038.6942</v>
      </c>
      <c r="K15" s="16" t="n">
        <v>1399322.0241</v>
      </c>
      <c r="L15" s="16" t="n">
        <v>1389603.6847</v>
      </c>
    </row>
    <row r="16">
      <c r="A16" s="15" t="inlineStr">
        <is>
          <t>2015</t>
        </is>
      </c>
      <c r="B16" s="16" t="n">
        <v>538066.9</v>
      </c>
      <c r="C16" s="16" t="n">
        <v>1068443.1712</v>
      </c>
      <c r="D16" s="16" t="n">
        <v>1605602.1864</v>
      </c>
      <c r="E16" s="16" t="n">
        <v>2133023.2398</v>
      </c>
      <c r="F16" s="16" t="n">
        <v>2358964.558</v>
      </c>
      <c r="G16" s="16" t="n">
        <v>2680270.1351</v>
      </c>
      <c r="H16" s="16" t="n">
        <v>3055333.4055</v>
      </c>
      <c r="I16" s="16" t="n">
        <v>3076051.1255</v>
      </c>
      <c r="J16" s="16" t="n">
        <v>3086205.1704</v>
      </c>
      <c r="K16" s="16" t="n">
        <v>3382963.2581</v>
      </c>
    </row>
    <row r="17">
      <c r="A17" s="15" t="inlineStr">
        <is>
          <t>2016</t>
        </is>
      </c>
      <c r="B17" s="16" t="n">
        <v>687801.912</v>
      </c>
      <c r="C17" s="16" t="n">
        <v>1285960.7568</v>
      </c>
      <c r="D17" s="16" t="n">
        <v>1733469.988</v>
      </c>
      <c r="E17" s="16" t="n">
        <v>1884267.6211</v>
      </c>
      <c r="F17" s="16" t="n">
        <v>2152415.9626</v>
      </c>
      <c r="G17" s="16" t="n">
        <v>2220417.4843</v>
      </c>
      <c r="H17" s="16" t="n">
        <v>2503620.4692</v>
      </c>
      <c r="I17" s="16" t="n">
        <v>2503024.6434</v>
      </c>
      <c r="J17" s="16" t="n">
        <v>2506323.6434</v>
      </c>
    </row>
    <row r="18">
      <c r="A18" s="15" t="inlineStr">
        <is>
          <t>2017</t>
        </is>
      </c>
      <c r="B18" s="16" t="n">
        <v>461326.8816</v>
      </c>
      <c r="C18" s="16" t="n">
        <v>614872.6873</v>
      </c>
      <c r="D18" s="16" t="n">
        <v>635999.2061</v>
      </c>
      <c r="E18" s="16" t="n">
        <v>832770.2121</v>
      </c>
      <c r="F18" s="16" t="n">
        <v>895289.4819</v>
      </c>
      <c r="G18" s="16" t="n">
        <v>1014108.2981</v>
      </c>
      <c r="H18" s="16" t="n">
        <v>1168952.8937</v>
      </c>
      <c r="I18" s="16" t="n">
        <v>1205811.8289</v>
      </c>
    </row>
    <row r="19">
      <c r="A19" s="15" t="inlineStr">
        <is>
          <t>2018</t>
        </is>
      </c>
      <c r="B19" s="16" t="n">
        <v>507983.8204</v>
      </c>
      <c r="C19" s="16" t="n">
        <v>1168067.9171</v>
      </c>
      <c r="D19" s="16" t="n">
        <v>1668858.2021</v>
      </c>
      <c r="E19" s="16" t="n">
        <v>2316819.635</v>
      </c>
      <c r="F19" s="16" t="n">
        <v>2303518.1066</v>
      </c>
      <c r="G19" s="16" t="n">
        <v>2333675.3477</v>
      </c>
      <c r="H19" s="16" t="n">
        <v>2395448.4233</v>
      </c>
    </row>
    <row r="20">
      <c r="A20" s="15" t="inlineStr">
        <is>
          <t>2019</t>
        </is>
      </c>
      <c r="B20" s="16" t="n">
        <v>407914.8312</v>
      </c>
      <c r="C20" s="16" t="n">
        <v>1124607.0627</v>
      </c>
      <c r="D20" s="16" t="n">
        <v>1740054.5413</v>
      </c>
      <c r="E20" s="16" t="n">
        <v>2000563.0454</v>
      </c>
      <c r="F20" s="16" t="n">
        <v>2127378.6904</v>
      </c>
      <c r="G20" s="16" t="n">
        <v>2599882.8743</v>
      </c>
    </row>
    <row r="21">
      <c r="A21" s="15" t="inlineStr">
        <is>
          <t>2020</t>
        </is>
      </c>
      <c r="B21" s="16" t="n">
        <v>522102.6035</v>
      </c>
      <c r="C21" s="16" t="n">
        <v>931915.5209999999</v>
      </c>
      <c r="D21" s="16" t="n">
        <v>916291.8001</v>
      </c>
      <c r="E21" s="16" t="n">
        <v>969468.3019</v>
      </c>
      <c r="F21" s="16" t="n">
        <v>978899.5095</v>
      </c>
    </row>
    <row r="22">
      <c r="A22" s="15" t="inlineStr">
        <is>
          <t>2021</t>
        </is>
      </c>
      <c r="B22" s="16" t="n">
        <v>549457.067</v>
      </c>
      <c r="C22" s="16" t="n">
        <v>800935.1524</v>
      </c>
      <c r="D22" s="16" t="n">
        <v>980316.7863</v>
      </c>
      <c r="E22" s="16" t="n">
        <v>1011313.2797</v>
      </c>
    </row>
    <row r="23">
      <c r="A23" s="15" t="inlineStr">
        <is>
          <t>2022</t>
        </is>
      </c>
      <c r="B23" s="16" t="n">
        <v>694623.0036000001</v>
      </c>
      <c r="C23" s="16" t="n">
        <v>851655.8786000001</v>
      </c>
      <c r="D23" s="16" t="n">
        <v>827416.1066000001</v>
      </c>
    </row>
    <row r="24">
      <c r="A24" s="15" t="inlineStr">
        <is>
          <t>2023</t>
        </is>
      </c>
      <c r="B24" s="16" t="n">
        <v>975000.3026000001</v>
      </c>
      <c r="C24" s="16" t="n">
        <v>1651756.6744</v>
      </c>
    </row>
    <row r="25">
      <c r="A25" s="15" t="inlineStr">
        <is>
          <t>2024</t>
        </is>
      </c>
      <c r="B25" s="16" t="n">
        <v>890155.2218000001</v>
      </c>
    </row>
    <row r="26"/>
    <row r="27">
      <c r="A27" s="8" t="inlineStr">
        <is>
          <t>Period</t>
        </is>
      </c>
      <c r="B27" s="8" t="inlineStr">
        <is>
          <t>11-23</t>
        </is>
      </c>
      <c r="C27" s="8" t="inlineStr">
        <is>
          <t>23-35</t>
        </is>
      </c>
      <c r="D27" s="8" t="inlineStr">
        <is>
          <t>35-47</t>
        </is>
      </c>
      <c r="E27" s="8" t="inlineStr">
        <is>
          <t>47-59</t>
        </is>
      </c>
      <c r="F27" s="8" t="inlineStr">
        <is>
          <t>59-71</t>
        </is>
      </c>
      <c r="G27" s="8" t="inlineStr">
        <is>
          <t>71-83</t>
        </is>
      </c>
      <c r="H27" s="8" t="inlineStr">
        <is>
          <t>83-95</t>
        </is>
      </c>
      <c r="I27" s="8" t="inlineStr">
        <is>
          <t>95-107</t>
        </is>
      </c>
      <c r="J27" s="8" t="inlineStr">
        <is>
          <t>107-119</t>
        </is>
      </c>
      <c r="K27" s="8" t="inlineStr">
        <is>
          <t>119-131</t>
        </is>
      </c>
      <c r="L27" s="8" t="inlineStr">
        <is>
          <t>131-143</t>
        </is>
      </c>
      <c r="M27" s="8" t="inlineStr">
        <is>
          <t>143-155</t>
        </is>
      </c>
      <c r="N27" s="8" t="inlineStr">
        <is>
          <t>155-167</t>
        </is>
      </c>
      <c r="O27" s="8" t="inlineStr">
        <is>
          <t>167-179</t>
        </is>
      </c>
      <c r="P27" s="8" t="inlineStr">
        <is>
          <t>179-191</t>
        </is>
      </c>
      <c r="Q27" s="8" t="inlineStr">
        <is>
          <t>191-203</t>
        </is>
      </c>
      <c r="R27" s="8" t="inlineStr">
        <is>
          <t>203-215</t>
        </is>
      </c>
      <c r="S27" s="8" t="inlineStr">
        <is>
          <t>215-227</t>
        </is>
      </c>
      <c r="T27" s="8" t="inlineStr">
        <is>
          <t>227-239</t>
        </is>
      </c>
      <c r="U27" s="8" t="inlineStr">
        <is>
          <t>239-251</t>
        </is>
      </c>
      <c r="V27" s="8" t="inlineStr">
        <is>
          <t>251-263</t>
        </is>
      </c>
      <c r="W27" s="8" t="inlineStr">
        <is>
          <t>263-275</t>
        </is>
      </c>
      <c r="X27" s="8" t="inlineStr">
        <is>
          <t>275-287</t>
        </is>
      </c>
    </row>
    <row r="28">
      <c r="A28" s="15" t="inlineStr">
        <is>
          <t>2001</t>
        </is>
      </c>
      <c r="B28" s="17">
        <f>IFERROR(IF(C2="","",C2/B2),"")</f>
        <v/>
      </c>
      <c r="C28" s="17">
        <f>IFERROR(IF(D2="","",D2/C2),"")</f>
        <v/>
      </c>
      <c r="D28" s="17">
        <f>IFERROR(IF(E2="","",E2/D2),"")</f>
        <v/>
      </c>
      <c r="E28" s="17">
        <f>IFERROR(IF(F2="","",F2/E2),"")</f>
        <v/>
      </c>
      <c r="F28" s="17">
        <f>IFERROR(IF(G2="","",G2/F2),"")</f>
        <v/>
      </c>
      <c r="G28" s="17">
        <f>IFERROR(IF(H2="","",H2/G2),"")</f>
        <v/>
      </c>
      <c r="H28" s="17">
        <f>IFERROR(IF(I2="","",I2/H2),"")</f>
        <v/>
      </c>
      <c r="I28" s="17">
        <f>IFERROR(IF(J2="","",J2/I2),"")</f>
        <v/>
      </c>
      <c r="J28" s="17">
        <f>IFERROR(IF(K2="","",K2/J2),"")</f>
        <v/>
      </c>
      <c r="K28" s="17">
        <f>IFERROR(IF(L2="","",L2/K2),"")</f>
        <v/>
      </c>
      <c r="L28" s="17">
        <f>IFERROR(IF(M2="","",M2/L2),"")</f>
        <v/>
      </c>
      <c r="M28" s="17">
        <f>IFERROR(IF(N2="","",N2/M2),"")</f>
        <v/>
      </c>
      <c r="N28" s="17">
        <f>IFERROR(IF(O2="","",O2/N2),"")</f>
        <v/>
      </c>
      <c r="O28" s="17">
        <f>IFERROR(IF(P2="","",P2/O2),"")</f>
        <v/>
      </c>
      <c r="P28" s="17">
        <f>IFERROR(IF(Q2="","",Q2/P2),"")</f>
        <v/>
      </c>
      <c r="Q28" s="17">
        <f>IFERROR(IF(R2="","",R2/Q2),"")</f>
        <v/>
      </c>
      <c r="R28" s="17">
        <f>IFERROR(IF(S2="","",S2/R2),"")</f>
        <v/>
      </c>
      <c r="S28" s="17">
        <f>IFERROR(IF(T2="","",T2/S2),"")</f>
        <v/>
      </c>
      <c r="T28" s="17">
        <f>IFERROR(IF(U2="","",U2/T2),"")</f>
        <v/>
      </c>
      <c r="U28" s="17">
        <f>IFERROR(IF(V2="","",V2/U2),"")</f>
        <v/>
      </c>
      <c r="V28" s="17">
        <f>IFERROR(IF(W2="","",W2/V2),"")</f>
        <v/>
      </c>
      <c r="W28" s="17">
        <f>IFERROR(IF(X2="","",X2/W2),"")</f>
        <v/>
      </c>
      <c r="X28" s="17">
        <f>IFERROR(IF(Y2="","",Y2/X2),"")</f>
        <v/>
      </c>
    </row>
    <row r="29">
      <c r="A29" s="15" t="inlineStr">
        <is>
          <t>2002</t>
        </is>
      </c>
      <c r="B29" s="17">
        <f>IFERROR(IF(C3="","",C3/B3),"")</f>
        <v/>
      </c>
      <c r="C29" s="17">
        <f>IFERROR(IF(D3="","",D3/C3),"")</f>
        <v/>
      </c>
      <c r="D29" s="17">
        <f>IFERROR(IF(E3="","",E3/D3),"")</f>
        <v/>
      </c>
      <c r="E29" s="17">
        <f>IFERROR(IF(F3="","",F3/E3),"")</f>
        <v/>
      </c>
      <c r="F29" s="17">
        <f>IFERROR(IF(G3="","",G3/F3),"")</f>
        <v/>
      </c>
      <c r="G29" s="17">
        <f>IFERROR(IF(H3="","",H3/G3),"")</f>
        <v/>
      </c>
      <c r="H29" s="17">
        <f>IFERROR(IF(I3="","",I3/H3),"")</f>
        <v/>
      </c>
      <c r="I29" s="17">
        <f>IFERROR(IF(J3="","",J3/I3),"")</f>
        <v/>
      </c>
      <c r="J29" s="17">
        <f>IFERROR(IF(K3="","",K3/J3),"")</f>
        <v/>
      </c>
      <c r="K29" s="17">
        <f>IFERROR(IF(L3="","",L3/K3),"")</f>
        <v/>
      </c>
      <c r="L29" s="17">
        <f>IFERROR(IF(M3="","",M3/L3),"")</f>
        <v/>
      </c>
      <c r="M29" s="17">
        <f>IFERROR(IF(N3="","",N3/M3),"")</f>
        <v/>
      </c>
      <c r="N29" s="17">
        <f>IFERROR(IF(O3="","",O3/N3),"")</f>
        <v/>
      </c>
      <c r="O29" s="17">
        <f>IFERROR(IF(P3="","",P3/O3),"")</f>
        <v/>
      </c>
      <c r="P29" s="17">
        <f>IFERROR(IF(Q3="","",Q3/P3),"")</f>
        <v/>
      </c>
      <c r="Q29" s="17">
        <f>IFERROR(IF(R3="","",R3/Q3),"")</f>
        <v/>
      </c>
      <c r="R29" s="17">
        <f>IFERROR(IF(S3="","",S3/R3),"")</f>
        <v/>
      </c>
      <c r="S29" s="17">
        <f>IFERROR(IF(T3="","",T3/S3),"")</f>
        <v/>
      </c>
      <c r="T29" s="17">
        <f>IFERROR(IF(U3="","",U3/T3),"")</f>
        <v/>
      </c>
      <c r="U29" s="17">
        <f>IFERROR(IF(V3="","",V3/U3),"")</f>
        <v/>
      </c>
      <c r="V29" s="17">
        <f>IFERROR(IF(W3="","",W3/V3),"")</f>
        <v/>
      </c>
      <c r="W29" s="17">
        <f>IFERROR(IF(X3="","",X3/W3),"")</f>
        <v/>
      </c>
      <c r="X29" s="17">
        <f>IFERROR(IF(Y3="","",Y3/X3),"")</f>
        <v/>
      </c>
    </row>
    <row r="30">
      <c r="A30" s="15" t="inlineStr">
        <is>
          <t>2003</t>
        </is>
      </c>
      <c r="B30" s="17">
        <f>IFERROR(IF(C4="","",C4/B4),"")</f>
        <v/>
      </c>
      <c r="C30" s="17">
        <f>IFERROR(IF(D4="","",D4/C4),"")</f>
        <v/>
      </c>
      <c r="D30" s="17">
        <f>IFERROR(IF(E4="","",E4/D4),"")</f>
        <v/>
      </c>
      <c r="E30" s="17">
        <f>IFERROR(IF(F4="","",F4/E4),"")</f>
        <v/>
      </c>
      <c r="F30" s="17">
        <f>IFERROR(IF(G4="","",G4/F4),"")</f>
        <v/>
      </c>
      <c r="G30" s="17">
        <f>IFERROR(IF(H4="","",H4/G4),"")</f>
        <v/>
      </c>
      <c r="H30" s="17">
        <f>IFERROR(IF(I4="","",I4/H4),"")</f>
        <v/>
      </c>
      <c r="I30" s="17">
        <f>IFERROR(IF(J4="","",J4/I4),"")</f>
        <v/>
      </c>
      <c r="J30" s="17">
        <f>IFERROR(IF(K4="","",K4/J4),"")</f>
        <v/>
      </c>
      <c r="K30" s="17">
        <f>IFERROR(IF(L4="","",L4/K4),"")</f>
        <v/>
      </c>
      <c r="L30" s="17">
        <f>IFERROR(IF(M4="","",M4/L4),"")</f>
        <v/>
      </c>
      <c r="M30" s="17">
        <f>IFERROR(IF(N4="","",N4/M4),"")</f>
        <v/>
      </c>
      <c r="N30" s="17">
        <f>IFERROR(IF(O4="","",O4/N4),"")</f>
        <v/>
      </c>
      <c r="O30" s="17">
        <f>IFERROR(IF(P4="","",P4/O4),"")</f>
        <v/>
      </c>
      <c r="P30" s="17">
        <f>IFERROR(IF(Q4="","",Q4/P4),"")</f>
        <v/>
      </c>
      <c r="Q30" s="17">
        <f>IFERROR(IF(R4="","",R4/Q4),"")</f>
        <v/>
      </c>
      <c r="R30" s="17">
        <f>IFERROR(IF(S4="","",S4/R4),"")</f>
        <v/>
      </c>
      <c r="S30" s="17">
        <f>IFERROR(IF(T4="","",T4/S4),"")</f>
        <v/>
      </c>
      <c r="T30" s="17">
        <f>IFERROR(IF(U4="","",U4/T4),"")</f>
        <v/>
      </c>
      <c r="U30" s="17">
        <f>IFERROR(IF(V4="","",V4/U4),"")</f>
        <v/>
      </c>
      <c r="V30" s="17">
        <f>IFERROR(IF(W4="","",W4/V4),"")</f>
        <v/>
      </c>
      <c r="W30" s="17">
        <f>IFERROR(IF(X4="","",X4/W4),"")</f>
        <v/>
      </c>
      <c r="X30" s="17">
        <f>IFERROR(IF(Y4="","",Y4/X4),"")</f>
        <v/>
      </c>
    </row>
    <row r="31">
      <c r="A31" s="15" t="inlineStr">
        <is>
          <t>2004</t>
        </is>
      </c>
      <c r="B31" s="17">
        <f>IFERROR(IF(C5="","",C5/B5),"")</f>
        <v/>
      </c>
      <c r="C31" s="17">
        <f>IFERROR(IF(D5="","",D5/C5),"")</f>
        <v/>
      </c>
      <c r="D31" s="17">
        <f>IFERROR(IF(E5="","",E5/D5),"")</f>
        <v/>
      </c>
      <c r="E31" s="17">
        <f>IFERROR(IF(F5="","",F5/E5),"")</f>
        <v/>
      </c>
      <c r="F31" s="17">
        <f>IFERROR(IF(G5="","",G5/F5),"")</f>
        <v/>
      </c>
      <c r="G31" s="17">
        <f>IFERROR(IF(H5="","",H5/G5),"")</f>
        <v/>
      </c>
      <c r="H31" s="17">
        <f>IFERROR(IF(I5="","",I5/H5),"")</f>
        <v/>
      </c>
      <c r="I31" s="17">
        <f>IFERROR(IF(J5="","",J5/I5),"")</f>
        <v/>
      </c>
      <c r="J31" s="17">
        <f>IFERROR(IF(K5="","",K5/J5),"")</f>
        <v/>
      </c>
      <c r="K31" s="17">
        <f>IFERROR(IF(L5="","",L5/K5),"")</f>
        <v/>
      </c>
      <c r="L31" s="17">
        <f>IFERROR(IF(M5="","",M5/L5),"")</f>
        <v/>
      </c>
      <c r="M31" s="17">
        <f>IFERROR(IF(N5="","",N5/M5),"")</f>
        <v/>
      </c>
      <c r="N31" s="17">
        <f>IFERROR(IF(O5="","",O5/N5),"")</f>
        <v/>
      </c>
      <c r="O31" s="17">
        <f>IFERROR(IF(P5="","",P5/O5),"")</f>
        <v/>
      </c>
      <c r="P31" s="17">
        <f>IFERROR(IF(Q5="","",Q5/P5),"")</f>
        <v/>
      </c>
      <c r="Q31" s="17">
        <f>IFERROR(IF(R5="","",R5/Q5),"")</f>
        <v/>
      </c>
      <c r="R31" s="17">
        <f>IFERROR(IF(S5="","",S5/R5),"")</f>
        <v/>
      </c>
      <c r="S31" s="17">
        <f>IFERROR(IF(T5="","",T5/S5),"")</f>
        <v/>
      </c>
      <c r="T31" s="17">
        <f>IFERROR(IF(U5="","",U5/T5),"")</f>
        <v/>
      </c>
      <c r="U31" s="17">
        <f>IFERROR(IF(V5="","",V5/U5),"")</f>
        <v/>
      </c>
      <c r="V31" s="17">
        <f>IFERROR(IF(W5="","",W5/V5),"")</f>
        <v/>
      </c>
      <c r="W31" s="17">
        <f>IFERROR(IF(X5="","",X5/W5),"")</f>
        <v/>
      </c>
      <c r="X31" s="17">
        <f>IFERROR(IF(Y5="","",Y5/X5),"")</f>
        <v/>
      </c>
    </row>
    <row r="32">
      <c r="A32" s="15" t="inlineStr">
        <is>
          <t>2005</t>
        </is>
      </c>
      <c r="B32" s="17">
        <f>IFERROR(IF(C6="","",C6/B6),"")</f>
        <v/>
      </c>
      <c r="C32" s="17">
        <f>IFERROR(IF(D6="","",D6/C6),"")</f>
        <v/>
      </c>
      <c r="D32" s="17">
        <f>IFERROR(IF(E6="","",E6/D6),"")</f>
        <v/>
      </c>
      <c r="E32" s="17">
        <f>IFERROR(IF(F6="","",F6/E6),"")</f>
        <v/>
      </c>
      <c r="F32" s="17">
        <f>IFERROR(IF(G6="","",G6/F6),"")</f>
        <v/>
      </c>
      <c r="G32" s="17">
        <f>IFERROR(IF(H6="","",H6/G6),"")</f>
        <v/>
      </c>
      <c r="H32" s="17">
        <f>IFERROR(IF(I6="","",I6/H6),"")</f>
        <v/>
      </c>
      <c r="I32" s="17">
        <f>IFERROR(IF(J6="","",J6/I6),"")</f>
        <v/>
      </c>
      <c r="J32" s="17">
        <f>IFERROR(IF(K6="","",K6/J6),"")</f>
        <v/>
      </c>
      <c r="K32" s="17">
        <f>IFERROR(IF(L6="","",L6/K6),"")</f>
        <v/>
      </c>
      <c r="L32" s="17">
        <f>IFERROR(IF(M6="","",M6/L6),"")</f>
        <v/>
      </c>
      <c r="M32" s="17">
        <f>IFERROR(IF(N6="","",N6/M6),"")</f>
        <v/>
      </c>
      <c r="N32" s="17">
        <f>IFERROR(IF(O6="","",O6/N6),"")</f>
        <v/>
      </c>
      <c r="O32" s="17">
        <f>IFERROR(IF(P6="","",P6/O6),"")</f>
        <v/>
      </c>
      <c r="P32" s="17">
        <f>IFERROR(IF(Q6="","",Q6/P6),"")</f>
        <v/>
      </c>
      <c r="Q32" s="17">
        <f>IFERROR(IF(R6="","",R6/Q6),"")</f>
        <v/>
      </c>
      <c r="R32" s="17">
        <f>IFERROR(IF(S6="","",S6/R6),"")</f>
        <v/>
      </c>
      <c r="S32" s="17">
        <f>IFERROR(IF(T6="","",T6/S6),"")</f>
        <v/>
      </c>
      <c r="T32" s="17">
        <f>IFERROR(IF(U6="","",U6/T6),"")</f>
        <v/>
      </c>
      <c r="U32" s="17">
        <f>IFERROR(IF(V6="","",V6/U6),"")</f>
        <v/>
      </c>
      <c r="V32" s="17">
        <f>IFERROR(IF(W6="","",W6/V6),"")</f>
        <v/>
      </c>
      <c r="W32" s="17">
        <f>IFERROR(IF(X6="","",X6/W6),"")</f>
        <v/>
      </c>
      <c r="X32" s="17">
        <f>IFERROR(IF(Y6="","",Y6/X6),"")</f>
        <v/>
      </c>
    </row>
    <row r="33">
      <c r="A33" s="15" t="inlineStr">
        <is>
          <t>2006</t>
        </is>
      </c>
      <c r="B33" s="17">
        <f>IFERROR(IF(C7="","",C7/B7),"")</f>
        <v/>
      </c>
      <c r="C33" s="17">
        <f>IFERROR(IF(D7="","",D7/C7),"")</f>
        <v/>
      </c>
      <c r="D33" s="17">
        <f>IFERROR(IF(E7="","",E7/D7),"")</f>
        <v/>
      </c>
      <c r="E33" s="17">
        <f>IFERROR(IF(F7="","",F7/E7),"")</f>
        <v/>
      </c>
      <c r="F33" s="17">
        <f>IFERROR(IF(G7="","",G7/F7),"")</f>
        <v/>
      </c>
      <c r="G33" s="17">
        <f>IFERROR(IF(H7="","",H7/G7),"")</f>
        <v/>
      </c>
      <c r="H33" s="17">
        <f>IFERROR(IF(I7="","",I7/H7),"")</f>
        <v/>
      </c>
      <c r="I33" s="17">
        <f>IFERROR(IF(J7="","",J7/I7),"")</f>
        <v/>
      </c>
      <c r="J33" s="17">
        <f>IFERROR(IF(K7="","",K7/J7),"")</f>
        <v/>
      </c>
      <c r="K33" s="17">
        <f>IFERROR(IF(L7="","",L7/K7),"")</f>
        <v/>
      </c>
      <c r="L33" s="17">
        <f>IFERROR(IF(M7="","",M7/L7),"")</f>
        <v/>
      </c>
      <c r="M33" s="17">
        <f>IFERROR(IF(N7="","",N7/M7),"")</f>
        <v/>
      </c>
      <c r="N33" s="17">
        <f>IFERROR(IF(O7="","",O7/N7),"")</f>
        <v/>
      </c>
      <c r="O33" s="17">
        <f>IFERROR(IF(P7="","",P7/O7),"")</f>
        <v/>
      </c>
      <c r="P33" s="17">
        <f>IFERROR(IF(Q7="","",Q7/P7),"")</f>
        <v/>
      </c>
      <c r="Q33" s="17">
        <f>IFERROR(IF(R7="","",R7/Q7),"")</f>
        <v/>
      </c>
      <c r="R33" s="17">
        <f>IFERROR(IF(S7="","",S7/R7),"")</f>
        <v/>
      </c>
      <c r="S33" s="17">
        <f>IFERROR(IF(T7="","",T7/S7),"")</f>
        <v/>
      </c>
      <c r="T33" s="17">
        <f>IFERROR(IF(U7="","",U7/T7),"")</f>
        <v/>
      </c>
      <c r="U33" s="17">
        <f>IFERROR(IF(V7="","",V7/U7),"")</f>
        <v/>
      </c>
      <c r="V33" s="17">
        <f>IFERROR(IF(W7="","",W7/V7),"")</f>
        <v/>
      </c>
      <c r="W33" s="17">
        <f>IFERROR(IF(X7="","",X7/W7),"")</f>
        <v/>
      </c>
      <c r="X33" s="17">
        <f>IFERROR(IF(Y7="","",Y7/X7),"")</f>
        <v/>
      </c>
    </row>
    <row r="34">
      <c r="A34" s="15" t="inlineStr">
        <is>
          <t>2007</t>
        </is>
      </c>
      <c r="B34" s="17">
        <f>IFERROR(IF(C8="","",C8/B8),"")</f>
        <v/>
      </c>
      <c r="C34" s="17">
        <f>IFERROR(IF(D8="","",D8/C8),"")</f>
        <v/>
      </c>
      <c r="D34" s="17">
        <f>IFERROR(IF(E8="","",E8/D8),"")</f>
        <v/>
      </c>
      <c r="E34" s="17">
        <f>IFERROR(IF(F8="","",F8/E8),"")</f>
        <v/>
      </c>
      <c r="F34" s="17">
        <f>IFERROR(IF(G8="","",G8/F8),"")</f>
        <v/>
      </c>
      <c r="G34" s="17">
        <f>IFERROR(IF(H8="","",H8/G8),"")</f>
        <v/>
      </c>
      <c r="H34" s="17">
        <f>IFERROR(IF(I8="","",I8/H8),"")</f>
        <v/>
      </c>
      <c r="I34" s="17">
        <f>IFERROR(IF(J8="","",J8/I8),"")</f>
        <v/>
      </c>
      <c r="J34" s="17">
        <f>IFERROR(IF(K8="","",K8/J8),"")</f>
        <v/>
      </c>
      <c r="K34" s="17">
        <f>IFERROR(IF(L8="","",L8/K8),"")</f>
        <v/>
      </c>
      <c r="L34" s="17">
        <f>IFERROR(IF(M8="","",M8/L8),"")</f>
        <v/>
      </c>
      <c r="M34" s="17">
        <f>IFERROR(IF(N8="","",N8/M8),"")</f>
        <v/>
      </c>
      <c r="N34" s="17">
        <f>IFERROR(IF(O8="","",O8/N8),"")</f>
        <v/>
      </c>
      <c r="O34" s="17">
        <f>IFERROR(IF(P8="","",P8/O8),"")</f>
        <v/>
      </c>
      <c r="P34" s="17">
        <f>IFERROR(IF(Q8="","",Q8/P8),"")</f>
        <v/>
      </c>
      <c r="Q34" s="17">
        <f>IFERROR(IF(R8="","",R8/Q8),"")</f>
        <v/>
      </c>
      <c r="R34" s="17">
        <f>IFERROR(IF(S8="","",S8/R8),"")</f>
        <v/>
      </c>
      <c r="S34" s="17">
        <f>IFERROR(IF(T8="","",T8/S8),"")</f>
        <v/>
      </c>
      <c r="T34" s="17">
        <f>IFERROR(IF(U8="","",U8/T8),"")</f>
        <v/>
      </c>
      <c r="U34" s="17">
        <f>IFERROR(IF(V8="","",V8/U8),"")</f>
        <v/>
      </c>
      <c r="V34" s="17">
        <f>IFERROR(IF(W8="","",W8/V8),"")</f>
        <v/>
      </c>
      <c r="W34" s="17">
        <f>IFERROR(IF(X8="","",X8/W8),"")</f>
        <v/>
      </c>
      <c r="X34" s="17">
        <f>IFERROR(IF(Y8="","",Y8/X8),"")</f>
        <v/>
      </c>
    </row>
    <row r="35">
      <c r="A35" s="15" t="inlineStr">
        <is>
          <t>2008</t>
        </is>
      </c>
      <c r="B35" s="17">
        <f>IFERROR(IF(C9="","",C9/B9),"")</f>
        <v/>
      </c>
      <c r="C35" s="17">
        <f>IFERROR(IF(D9="","",D9/C9),"")</f>
        <v/>
      </c>
      <c r="D35" s="17">
        <f>IFERROR(IF(E9="","",E9/D9),"")</f>
        <v/>
      </c>
      <c r="E35" s="17">
        <f>IFERROR(IF(F9="","",F9/E9),"")</f>
        <v/>
      </c>
      <c r="F35" s="17">
        <f>IFERROR(IF(G9="","",G9/F9),"")</f>
        <v/>
      </c>
      <c r="G35" s="17">
        <f>IFERROR(IF(H9="","",H9/G9),"")</f>
        <v/>
      </c>
      <c r="H35" s="17">
        <f>IFERROR(IF(I9="","",I9/H9),"")</f>
        <v/>
      </c>
      <c r="I35" s="17">
        <f>IFERROR(IF(J9="","",J9/I9),"")</f>
        <v/>
      </c>
      <c r="J35" s="17">
        <f>IFERROR(IF(K9="","",K9/J9),"")</f>
        <v/>
      </c>
      <c r="K35" s="17">
        <f>IFERROR(IF(L9="","",L9/K9),"")</f>
        <v/>
      </c>
      <c r="L35" s="17">
        <f>IFERROR(IF(M9="","",M9/L9),"")</f>
        <v/>
      </c>
      <c r="M35" s="17">
        <f>IFERROR(IF(N9="","",N9/M9),"")</f>
        <v/>
      </c>
      <c r="N35" s="17">
        <f>IFERROR(IF(O9="","",O9/N9),"")</f>
        <v/>
      </c>
      <c r="O35" s="17">
        <f>IFERROR(IF(P9="","",P9/O9),"")</f>
        <v/>
      </c>
      <c r="P35" s="17">
        <f>IFERROR(IF(Q9="","",Q9/P9),"")</f>
        <v/>
      </c>
      <c r="Q35" s="17">
        <f>IFERROR(IF(R9="","",R9/Q9),"")</f>
        <v/>
      </c>
      <c r="R35" s="17">
        <f>IFERROR(IF(S9="","",S9/R9),"")</f>
        <v/>
      </c>
      <c r="S35" s="17">
        <f>IFERROR(IF(T9="","",T9/S9),"")</f>
        <v/>
      </c>
      <c r="T35" s="17">
        <f>IFERROR(IF(U9="","",U9/T9),"")</f>
        <v/>
      </c>
      <c r="U35" s="17">
        <f>IFERROR(IF(V9="","",V9/U9),"")</f>
        <v/>
      </c>
      <c r="V35" s="17">
        <f>IFERROR(IF(W9="","",W9/V9),"")</f>
        <v/>
      </c>
      <c r="W35" s="17">
        <f>IFERROR(IF(X9="","",X9/W9),"")</f>
        <v/>
      </c>
      <c r="X35" s="17">
        <f>IFERROR(IF(Y9="","",Y9/X9),"")</f>
        <v/>
      </c>
    </row>
    <row r="36">
      <c r="A36" s="15" t="inlineStr">
        <is>
          <t>2009</t>
        </is>
      </c>
      <c r="B36" s="17">
        <f>IFERROR(IF(C10="","",C10/B10),"")</f>
        <v/>
      </c>
      <c r="C36" s="17">
        <f>IFERROR(IF(D10="","",D10/C10),"")</f>
        <v/>
      </c>
      <c r="D36" s="17">
        <f>IFERROR(IF(E10="","",E10/D10),"")</f>
        <v/>
      </c>
      <c r="E36" s="17">
        <f>IFERROR(IF(F10="","",F10/E10),"")</f>
        <v/>
      </c>
      <c r="F36" s="17">
        <f>IFERROR(IF(G10="","",G10/F10),"")</f>
        <v/>
      </c>
      <c r="G36" s="17">
        <f>IFERROR(IF(H10="","",H10/G10),"")</f>
        <v/>
      </c>
      <c r="H36" s="17">
        <f>IFERROR(IF(I10="","",I10/H10),"")</f>
        <v/>
      </c>
      <c r="I36" s="17">
        <f>IFERROR(IF(J10="","",J10/I10),"")</f>
        <v/>
      </c>
      <c r="J36" s="17">
        <f>IFERROR(IF(K10="","",K10/J10),"")</f>
        <v/>
      </c>
      <c r="K36" s="17">
        <f>IFERROR(IF(L10="","",L10/K10),"")</f>
        <v/>
      </c>
      <c r="L36" s="17">
        <f>IFERROR(IF(M10="","",M10/L10),"")</f>
        <v/>
      </c>
      <c r="M36" s="17">
        <f>IFERROR(IF(N10="","",N10/M10),"")</f>
        <v/>
      </c>
      <c r="N36" s="17">
        <f>IFERROR(IF(O10="","",O10/N10),"")</f>
        <v/>
      </c>
      <c r="O36" s="17">
        <f>IFERROR(IF(P10="","",P10/O10),"")</f>
        <v/>
      </c>
      <c r="P36" s="17">
        <f>IFERROR(IF(Q10="","",Q10/P10),"")</f>
        <v/>
      </c>
      <c r="Q36" s="17">
        <f>IFERROR(IF(R10="","",R10/Q10),"")</f>
        <v/>
      </c>
      <c r="R36" s="17">
        <f>IFERROR(IF(S10="","",S10/R10),"")</f>
        <v/>
      </c>
      <c r="S36" s="17">
        <f>IFERROR(IF(T10="","",T10/S10),"")</f>
        <v/>
      </c>
      <c r="T36" s="17">
        <f>IFERROR(IF(U10="","",U10/T10),"")</f>
        <v/>
      </c>
      <c r="U36" s="17">
        <f>IFERROR(IF(V10="","",V10/U10),"")</f>
        <v/>
      </c>
      <c r="V36" s="17">
        <f>IFERROR(IF(W10="","",W10/V10),"")</f>
        <v/>
      </c>
      <c r="W36" s="17">
        <f>IFERROR(IF(X10="","",X10/W10),"")</f>
        <v/>
      </c>
      <c r="X36" s="17">
        <f>IFERROR(IF(Y10="","",Y10/X10),"")</f>
        <v/>
      </c>
    </row>
    <row r="37">
      <c r="A37" s="15" t="inlineStr">
        <is>
          <t>2010</t>
        </is>
      </c>
      <c r="B37" s="17">
        <f>IFERROR(IF(C11="","",C11/B11),"")</f>
        <v/>
      </c>
      <c r="C37" s="17">
        <f>IFERROR(IF(D11="","",D11/C11),"")</f>
        <v/>
      </c>
      <c r="D37" s="17">
        <f>IFERROR(IF(E11="","",E11/D11),"")</f>
        <v/>
      </c>
      <c r="E37" s="17">
        <f>IFERROR(IF(F11="","",F11/E11),"")</f>
        <v/>
      </c>
      <c r="F37" s="17">
        <f>IFERROR(IF(G11="","",G11/F11),"")</f>
        <v/>
      </c>
      <c r="G37" s="17">
        <f>IFERROR(IF(H11="","",H11/G11),"")</f>
        <v/>
      </c>
      <c r="H37" s="17">
        <f>IFERROR(IF(I11="","",I11/H11),"")</f>
        <v/>
      </c>
      <c r="I37" s="17">
        <f>IFERROR(IF(J11="","",J11/I11),"")</f>
        <v/>
      </c>
      <c r="J37" s="17">
        <f>IFERROR(IF(K11="","",K11/J11),"")</f>
        <v/>
      </c>
      <c r="K37" s="17">
        <f>IFERROR(IF(L11="","",L11/K11),"")</f>
        <v/>
      </c>
      <c r="L37" s="17">
        <f>IFERROR(IF(M11="","",M11/L11),"")</f>
        <v/>
      </c>
      <c r="M37" s="17">
        <f>IFERROR(IF(N11="","",N11/M11),"")</f>
        <v/>
      </c>
      <c r="N37" s="17">
        <f>IFERROR(IF(O11="","",O11/N11),"")</f>
        <v/>
      </c>
      <c r="O37" s="17">
        <f>IFERROR(IF(P11="","",P11/O11),"")</f>
        <v/>
      </c>
      <c r="P37" s="17">
        <f>IFERROR(IF(Q11="","",Q11/P11),"")</f>
        <v/>
      </c>
      <c r="Q37" s="17">
        <f>IFERROR(IF(R11="","",R11/Q11),"")</f>
        <v/>
      </c>
      <c r="R37" s="17">
        <f>IFERROR(IF(S11="","",S11/R11),"")</f>
        <v/>
      </c>
      <c r="S37" s="17">
        <f>IFERROR(IF(T11="","",T11/S11),"")</f>
        <v/>
      </c>
      <c r="T37" s="17">
        <f>IFERROR(IF(U11="","",U11/T11),"")</f>
        <v/>
      </c>
      <c r="U37" s="17">
        <f>IFERROR(IF(V11="","",V11/U11),"")</f>
        <v/>
      </c>
      <c r="V37" s="17">
        <f>IFERROR(IF(W11="","",W11/V11),"")</f>
        <v/>
      </c>
      <c r="W37" s="17">
        <f>IFERROR(IF(X11="","",X11/W11),"")</f>
        <v/>
      </c>
      <c r="X37" s="17">
        <f>IFERROR(IF(Y11="","",Y11/X11),"")</f>
        <v/>
      </c>
    </row>
    <row r="38">
      <c r="A38" s="15" t="inlineStr">
        <is>
          <t>2011</t>
        </is>
      </c>
      <c r="B38" s="17">
        <f>IFERROR(IF(C12="","",C12/B12),"")</f>
        <v/>
      </c>
      <c r="C38" s="17">
        <f>IFERROR(IF(D12="","",D12/C12),"")</f>
        <v/>
      </c>
      <c r="D38" s="17">
        <f>IFERROR(IF(E12="","",E12/D12),"")</f>
        <v/>
      </c>
      <c r="E38" s="17">
        <f>IFERROR(IF(F12="","",F12/E12),"")</f>
        <v/>
      </c>
      <c r="F38" s="17">
        <f>IFERROR(IF(G12="","",G12/F12),"")</f>
        <v/>
      </c>
      <c r="G38" s="17">
        <f>IFERROR(IF(H12="","",H12/G12),"")</f>
        <v/>
      </c>
      <c r="H38" s="17">
        <f>IFERROR(IF(I12="","",I12/H12),"")</f>
        <v/>
      </c>
      <c r="I38" s="17">
        <f>IFERROR(IF(J12="","",J12/I12),"")</f>
        <v/>
      </c>
      <c r="J38" s="17">
        <f>IFERROR(IF(K12="","",K12/J12),"")</f>
        <v/>
      </c>
      <c r="K38" s="17">
        <f>IFERROR(IF(L12="","",L12/K12),"")</f>
        <v/>
      </c>
      <c r="L38" s="17">
        <f>IFERROR(IF(M12="","",M12/L12),"")</f>
        <v/>
      </c>
      <c r="M38" s="17">
        <f>IFERROR(IF(N12="","",N12/M12),"")</f>
        <v/>
      </c>
      <c r="N38" s="17">
        <f>IFERROR(IF(O12="","",O12/N12),"")</f>
        <v/>
      </c>
      <c r="O38" s="17">
        <f>IFERROR(IF(P12="","",P12/O12),"")</f>
        <v/>
      </c>
      <c r="P38" s="17">
        <f>IFERROR(IF(Q12="","",Q12/P12),"")</f>
        <v/>
      </c>
      <c r="Q38" s="17">
        <f>IFERROR(IF(R12="","",R12/Q12),"")</f>
        <v/>
      </c>
      <c r="R38" s="17">
        <f>IFERROR(IF(S12="","",S12/R12),"")</f>
        <v/>
      </c>
      <c r="S38" s="17">
        <f>IFERROR(IF(T12="","",T12/S12),"")</f>
        <v/>
      </c>
      <c r="T38" s="17">
        <f>IFERROR(IF(U12="","",U12/T12),"")</f>
        <v/>
      </c>
      <c r="U38" s="17">
        <f>IFERROR(IF(V12="","",V12/U12),"")</f>
        <v/>
      </c>
      <c r="V38" s="17">
        <f>IFERROR(IF(W12="","",W12/V12),"")</f>
        <v/>
      </c>
      <c r="W38" s="17">
        <f>IFERROR(IF(X12="","",X12/W12),"")</f>
        <v/>
      </c>
      <c r="X38" s="17">
        <f>IFERROR(IF(Y12="","",Y12/X12),"")</f>
        <v/>
      </c>
    </row>
    <row r="39">
      <c r="A39" s="15" t="inlineStr">
        <is>
          <t>2012</t>
        </is>
      </c>
      <c r="B39" s="17">
        <f>IFERROR(IF(C13="","",C13/B13),"")</f>
        <v/>
      </c>
      <c r="C39" s="17">
        <f>IFERROR(IF(D13="","",D13/C13),"")</f>
        <v/>
      </c>
      <c r="D39" s="17">
        <f>IFERROR(IF(E13="","",E13/D13),"")</f>
        <v/>
      </c>
      <c r="E39" s="17">
        <f>IFERROR(IF(F13="","",F13/E13),"")</f>
        <v/>
      </c>
      <c r="F39" s="17">
        <f>IFERROR(IF(G13="","",G13/F13),"")</f>
        <v/>
      </c>
      <c r="G39" s="17">
        <f>IFERROR(IF(H13="","",H13/G13),"")</f>
        <v/>
      </c>
      <c r="H39" s="17">
        <f>IFERROR(IF(I13="","",I13/H13),"")</f>
        <v/>
      </c>
      <c r="I39" s="17">
        <f>IFERROR(IF(J13="","",J13/I13),"")</f>
        <v/>
      </c>
      <c r="J39" s="17">
        <f>IFERROR(IF(K13="","",K13/J13),"")</f>
        <v/>
      </c>
      <c r="K39" s="17">
        <f>IFERROR(IF(L13="","",L13/K13),"")</f>
        <v/>
      </c>
      <c r="L39" s="17">
        <f>IFERROR(IF(M13="","",M13/L13),"")</f>
        <v/>
      </c>
      <c r="M39" s="17">
        <f>IFERROR(IF(N13="","",N13/M13),"")</f>
        <v/>
      </c>
      <c r="N39" s="17">
        <f>IFERROR(IF(O13="","",O13/N13),"")</f>
        <v/>
      </c>
      <c r="O39" s="17">
        <f>IFERROR(IF(P13="","",P13/O13),"")</f>
        <v/>
      </c>
      <c r="P39" s="17">
        <f>IFERROR(IF(Q13="","",Q13/P13),"")</f>
        <v/>
      </c>
      <c r="Q39" s="17">
        <f>IFERROR(IF(R13="","",R13/Q13),"")</f>
        <v/>
      </c>
      <c r="R39" s="17">
        <f>IFERROR(IF(S13="","",S13/R13),"")</f>
        <v/>
      </c>
      <c r="S39" s="17">
        <f>IFERROR(IF(T13="","",T13/S13),"")</f>
        <v/>
      </c>
      <c r="T39" s="17">
        <f>IFERROR(IF(U13="","",U13/T13),"")</f>
        <v/>
      </c>
      <c r="U39" s="17">
        <f>IFERROR(IF(V13="","",V13/U13),"")</f>
        <v/>
      </c>
      <c r="V39" s="17">
        <f>IFERROR(IF(W13="","",W13/V13),"")</f>
        <v/>
      </c>
      <c r="W39" s="17">
        <f>IFERROR(IF(X13="","",X13/W13),"")</f>
        <v/>
      </c>
      <c r="X39" s="17">
        <f>IFERROR(IF(Y13="","",Y13/X13),"")</f>
        <v/>
      </c>
    </row>
    <row r="40">
      <c r="A40" s="15" t="inlineStr">
        <is>
          <t>2013</t>
        </is>
      </c>
      <c r="B40" s="17">
        <f>IFERROR(IF(C14="","",C14/B14),"")</f>
        <v/>
      </c>
      <c r="C40" s="17">
        <f>IFERROR(IF(D14="","",D14/C14),"")</f>
        <v/>
      </c>
      <c r="D40" s="17">
        <f>IFERROR(IF(E14="","",E14/D14),"")</f>
        <v/>
      </c>
      <c r="E40" s="17">
        <f>IFERROR(IF(F14="","",F14/E14),"")</f>
        <v/>
      </c>
      <c r="F40" s="17">
        <f>IFERROR(IF(G14="","",G14/F14),"")</f>
        <v/>
      </c>
      <c r="G40" s="17">
        <f>IFERROR(IF(H14="","",H14/G14),"")</f>
        <v/>
      </c>
      <c r="H40" s="17">
        <f>IFERROR(IF(I14="","",I14/H14),"")</f>
        <v/>
      </c>
      <c r="I40" s="17">
        <f>IFERROR(IF(J14="","",J14/I14),"")</f>
        <v/>
      </c>
      <c r="J40" s="17">
        <f>IFERROR(IF(K14="","",K14/J14),"")</f>
        <v/>
      </c>
      <c r="K40" s="17">
        <f>IFERROR(IF(L14="","",L14/K14),"")</f>
        <v/>
      </c>
      <c r="L40" s="17">
        <f>IFERROR(IF(M14="","",M14/L14),"")</f>
        <v/>
      </c>
      <c r="M40" s="17">
        <f>IFERROR(IF(N14="","",N14/M14),"")</f>
        <v/>
      </c>
      <c r="N40" s="17">
        <f>IFERROR(IF(O14="","",O14/N14),"")</f>
        <v/>
      </c>
      <c r="O40" s="17">
        <f>IFERROR(IF(P14="","",P14/O14),"")</f>
        <v/>
      </c>
      <c r="P40" s="17">
        <f>IFERROR(IF(Q14="","",Q14/P14),"")</f>
        <v/>
      </c>
      <c r="Q40" s="17">
        <f>IFERROR(IF(R14="","",R14/Q14),"")</f>
        <v/>
      </c>
      <c r="R40" s="17">
        <f>IFERROR(IF(S14="","",S14/R14),"")</f>
        <v/>
      </c>
      <c r="S40" s="17">
        <f>IFERROR(IF(T14="","",T14/S14),"")</f>
        <v/>
      </c>
      <c r="T40" s="17">
        <f>IFERROR(IF(U14="","",U14/T14),"")</f>
        <v/>
      </c>
      <c r="U40" s="17">
        <f>IFERROR(IF(V14="","",V14/U14),"")</f>
        <v/>
      </c>
      <c r="V40" s="17">
        <f>IFERROR(IF(W14="","",W14/V14),"")</f>
        <v/>
      </c>
      <c r="W40" s="17">
        <f>IFERROR(IF(X14="","",X14/W14),"")</f>
        <v/>
      </c>
      <c r="X40" s="17">
        <f>IFERROR(IF(Y14="","",Y14/X14),"")</f>
        <v/>
      </c>
    </row>
    <row r="41">
      <c r="A41" s="15" t="inlineStr">
        <is>
          <t>2014</t>
        </is>
      </c>
      <c r="B41" s="17">
        <f>IFERROR(IF(C15="","",C15/B15),"")</f>
        <v/>
      </c>
      <c r="C41" s="17">
        <f>IFERROR(IF(D15="","",D15/C15),"")</f>
        <v/>
      </c>
      <c r="D41" s="17">
        <f>IFERROR(IF(E15="","",E15/D15),"")</f>
        <v/>
      </c>
      <c r="E41" s="17">
        <f>IFERROR(IF(F15="","",F15/E15),"")</f>
        <v/>
      </c>
      <c r="F41" s="17">
        <f>IFERROR(IF(G15="","",G15/F15),"")</f>
        <v/>
      </c>
      <c r="G41" s="17">
        <f>IFERROR(IF(H15="","",H15/G15),"")</f>
        <v/>
      </c>
      <c r="H41" s="17">
        <f>IFERROR(IF(I15="","",I15/H15),"")</f>
        <v/>
      </c>
      <c r="I41" s="17">
        <f>IFERROR(IF(J15="","",J15/I15),"")</f>
        <v/>
      </c>
      <c r="J41" s="17">
        <f>IFERROR(IF(K15="","",K15/J15),"")</f>
        <v/>
      </c>
      <c r="K41" s="17">
        <f>IFERROR(IF(L15="","",L15/K15),"")</f>
        <v/>
      </c>
      <c r="L41" s="17">
        <f>IFERROR(IF(M15="","",M15/L15),"")</f>
        <v/>
      </c>
      <c r="M41" s="17">
        <f>IFERROR(IF(N15="","",N15/M15),"")</f>
        <v/>
      </c>
      <c r="N41" s="17">
        <f>IFERROR(IF(O15="","",O15/N15),"")</f>
        <v/>
      </c>
      <c r="O41" s="17">
        <f>IFERROR(IF(P15="","",P15/O15),"")</f>
        <v/>
      </c>
      <c r="P41" s="17">
        <f>IFERROR(IF(Q15="","",Q15/P15),"")</f>
        <v/>
      </c>
      <c r="Q41" s="17">
        <f>IFERROR(IF(R15="","",R15/Q15),"")</f>
        <v/>
      </c>
      <c r="R41" s="17">
        <f>IFERROR(IF(S15="","",S15/R15),"")</f>
        <v/>
      </c>
      <c r="S41" s="17">
        <f>IFERROR(IF(T15="","",T15/S15),"")</f>
        <v/>
      </c>
      <c r="T41" s="17">
        <f>IFERROR(IF(U15="","",U15/T15),"")</f>
        <v/>
      </c>
      <c r="U41" s="17">
        <f>IFERROR(IF(V15="","",V15/U15),"")</f>
        <v/>
      </c>
      <c r="V41" s="17">
        <f>IFERROR(IF(W15="","",W15/V15),"")</f>
        <v/>
      </c>
      <c r="W41" s="17">
        <f>IFERROR(IF(X15="","",X15/W15),"")</f>
        <v/>
      </c>
      <c r="X41" s="17">
        <f>IFERROR(IF(Y15="","",Y15/X15),"")</f>
        <v/>
      </c>
    </row>
    <row r="42">
      <c r="A42" s="15" t="inlineStr">
        <is>
          <t>2015</t>
        </is>
      </c>
      <c r="B42" s="17">
        <f>IFERROR(IF(C16="","",C16/B16),"")</f>
        <v/>
      </c>
      <c r="C42" s="17">
        <f>IFERROR(IF(D16="","",D16/C16),"")</f>
        <v/>
      </c>
      <c r="D42" s="17">
        <f>IFERROR(IF(E16="","",E16/D16),"")</f>
        <v/>
      </c>
      <c r="E42" s="17">
        <f>IFERROR(IF(F16="","",F16/E16),"")</f>
        <v/>
      </c>
      <c r="F42" s="17">
        <f>IFERROR(IF(G16="","",G16/F16),"")</f>
        <v/>
      </c>
      <c r="G42" s="17">
        <f>IFERROR(IF(H16="","",H16/G16),"")</f>
        <v/>
      </c>
      <c r="H42" s="17">
        <f>IFERROR(IF(I16="","",I16/H16),"")</f>
        <v/>
      </c>
      <c r="I42" s="17">
        <f>IFERROR(IF(J16="","",J16/I16),"")</f>
        <v/>
      </c>
      <c r="J42" s="17">
        <f>IFERROR(IF(K16="","",K16/J16),"")</f>
        <v/>
      </c>
      <c r="K42" s="17">
        <f>IFERROR(IF(L16="","",L16/K16),"")</f>
        <v/>
      </c>
      <c r="L42" s="17">
        <f>IFERROR(IF(M16="","",M16/L16),"")</f>
        <v/>
      </c>
      <c r="M42" s="17">
        <f>IFERROR(IF(N16="","",N16/M16),"")</f>
        <v/>
      </c>
      <c r="N42" s="17">
        <f>IFERROR(IF(O16="","",O16/N16),"")</f>
        <v/>
      </c>
      <c r="O42" s="17">
        <f>IFERROR(IF(P16="","",P16/O16),"")</f>
        <v/>
      </c>
      <c r="P42" s="17">
        <f>IFERROR(IF(Q16="","",Q16/P16),"")</f>
        <v/>
      </c>
      <c r="Q42" s="17">
        <f>IFERROR(IF(R16="","",R16/Q16),"")</f>
        <v/>
      </c>
      <c r="R42" s="17">
        <f>IFERROR(IF(S16="","",S16/R16),"")</f>
        <v/>
      </c>
      <c r="S42" s="17">
        <f>IFERROR(IF(T16="","",T16/S16),"")</f>
        <v/>
      </c>
      <c r="T42" s="17">
        <f>IFERROR(IF(U16="","",U16/T16),"")</f>
        <v/>
      </c>
      <c r="U42" s="17">
        <f>IFERROR(IF(V16="","",V16/U16),"")</f>
        <v/>
      </c>
      <c r="V42" s="17">
        <f>IFERROR(IF(W16="","",W16/V16),"")</f>
        <v/>
      </c>
      <c r="W42" s="17">
        <f>IFERROR(IF(X16="","",X16/W16),"")</f>
        <v/>
      </c>
      <c r="X42" s="17">
        <f>IFERROR(IF(Y16="","",Y16/X16),"")</f>
        <v/>
      </c>
    </row>
    <row r="43">
      <c r="A43" s="15" t="inlineStr">
        <is>
          <t>2016</t>
        </is>
      </c>
      <c r="B43" s="17">
        <f>IFERROR(IF(C17="","",C17/B17),"")</f>
        <v/>
      </c>
      <c r="C43" s="17">
        <f>IFERROR(IF(D17="","",D17/C17),"")</f>
        <v/>
      </c>
      <c r="D43" s="17">
        <f>IFERROR(IF(E17="","",E17/D17),"")</f>
        <v/>
      </c>
      <c r="E43" s="17">
        <f>IFERROR(IF(F17="","",F17/E17),"")</f>
        <v/>
      </c>
      <c r="F43" s="17">
        <f>IFERROR(IF(G17="","",G17/F17),"")</f>
        <v/>
      </c>
      <c r="G43" s="17">
        <f>IFERROR(IF(H17="","",H17/G17),"")</f>
        <v/>
      </c>
      <c r="H43" s="17">
        <f>IFERROR(IF(I17="","",I17/H17),"")</f>
        <v/>
      </c>
      <c r="I43" s="17">
        <f>IFERROR(IF(J17="","",J17/I17),"")</f>
        <v/>
      </c>
      <c r="J43" s="17">
        <f>IFERROR(IF(K17="","",K17/J17),"")</f>
        <v/>
      </c>
      <c r="K43" s="17">
        <f>IFERROR(IF(L17="","",L17/K17),"")</f>
        <v/>
      </c>
      <c r="L43" s="17">
        <f>IFERROR(IF(M17="","",M17/L17),"")</f>
        <v/>
      </c>
      <c r="M43" s="17">
        <f>IFERROR(IF(N17="","",N17/M17),"")</f>
        <v/>
      </c>
      <c r="N43" s="17">
        <f>IFERROR(IF(O17="","",O17/N17),"")</f>
        <v/>
      </c>
      <c r="O43" s="17">
        <f>IFERROR(IF(P17="","",P17/O17),"")</f>
        <v/>
      </c>
      <c r="P43" s="17">
        <f>IFERROR(IF(Q17="","",Q17/P17),"")</f>
        <v/>
      </c>
      <c r="Q43" s="17">
        <f>IFERROR(IF(R17="","",R17/Q17),"")</f>
        <v/>
      </c>
      <c r="R43" s="17">
        <f>IFERROR(IF(S17="","",S17/R17),"")</f>
        <v/>
      </c>
      <c r="S43" s="17">
        <f>IFERROR(IF(T17="","",T17/S17),"")</f>
        <v/>
      </c>
      <c r="T43" s="17">
        <f>IFERROR(IF(U17="","",U17/T17),"")</f>
        <v/>
      </c>
      <c r="U43" s="17">
        <f>IFERROR(IF(V17="","",V17/U17),"")</f>
        <v/>
      </c>
      <c r="V43" s="17">
        <f>IFERROR(IF(W17="","",W17/V17),"")</f>
        <v/>
      </c>
      <c r="W43" s="17">
        <f>IFERROR(IF(X17="","",X17/W17),"")</f>
        <v/>
      </c>
      <c r="X43" s="17">
        <f>IFERROR(IF(Y17="","",Y17/X17),"")</f>
        <v/>
      </c>
    </row>
    <row r="44">
      <c r="A44" s="15" t="inlineStr">
        <is>
          <t>2017</t>
        </is>
      </c>
      <c r="B44" s="17">
        <f>IFERROR(IF(C18="","",C18/B18),"")</f>
        <v/>
      </c>
      <c r="C44" s="17">
        <f>IFERROR(IF(D18="","",D18/C18),"")</f>
        <v/>
      </c>
      <c r="D44" s="17">
        <f>IFERROR(IF(E18="","",E18/D18),"")</f>
        <v/>
      </c>
      <c r="E44" s="17">
        <f>IFERROR(IF(F18="","",F18/E18),"")</f>
        <v/>
      </c>
      <c r="F44" s="17">
        <f>IFERROR(IF(G18="","",G18/F18),"")</f>
        <v/>
      </c>
      <c r="G44" s="17">
        <f>IFERROR(IF(H18="","",H18/G18),"")</f>
        <v/>
      </c>
      <c r="H44" s="17">
        <f>IFERROR(IF(I18="","",I18/H18),"")</f>
        <v/>
      </c>
      <c r="I44" s="17">
        <f>IFERROR(IF(J18="","",J18/I18),"")</f>
        <v/>
      </c>
      <c r="J44" s="17">
        <f>IFERROR(IF(K18="","",K18/J18),"")</f>
        <v/>
      </c>
      <c r="K44" s="17">
        <f>IFERROR(IF(L18="","",L18/K18),"")</f>
        <v/>
      </c>
      <c r="L44" s="17">
        <f>IFERROR(IF(M18="","",M18/L18),"")</f>
        <v/>
      </c>
      <c r="M44" s="17">
        <f>IFERROR(IF(N18="","",N18/M18),"")</f>
        <v/>
      </c>
      <c r="N44" s="17">
        <f>IFERROR(IF(O18="","",O18/N18),"")</f>
        <v/>
      </c>
      <c r="O44" s="17">
        <f>IFERROR(IF(P18="","",P18/O18),"")</f>
        <v/>
      </c>
      <c r="P44" s="17">
        <f>IFERROR(IF(Q18="","",Q18/P18),"")</f>
        <v/>
      </c>
      <c r="Q44" s="17">
        <f>IFERROR(IF(R18="","",R18/Q18),"")</f>
        <v/>
      </c>
      <c r="R44" s="17">
        <f>IFERROR(IF(S18="","",S18/R18),"")</f>
        <v/>
      </c>
      <c r="S44" s="17">
        <f>IFERROR(IF(T18="","",T18/S18),"")</f>
        <v/>
      </c>
      <c r="T44" s="17">
        <f>IFERROR(IF(U18="","",U18/T18),"")</f>
        <v/>
      </c>
      <c r="U44" s="17">
        <f>IFERROR(IF(V18="","",V18/U18),"")</f>
        <v/>
      </c>
      <c r="V44" s="17">
        <f>IFERROR(IF(W18="","",W18/V18),"")</f>
        <v/>
      </c>
      <c r="W44" s="17">
        <f>IFERROR(IF(X18="","",X18/W18),"")</f>
        <v/>
      </c>
      <c r="X44" s="17">
        <f>IFERROR(IF(Y18="","",Y18/X18),"")</f>
        <v/>
      </c>
    </row>
    <row r="45">
      <c r="A45" s="15" t="inlineStr">
        <is>
          <t>2018</t>
        </is>
      </c>
      <c r="B45" s="17">
        <f>IFERROR(IF(C19="","",C19/B19),"")</f>
        <v/>
      </c>
      <c r="C45" s="17">
        <f>IFERROR(IF(D19="","",D19/C19),"")</f>
        <v/>
      </c>
      <c r="D45" s="17">
        <f>IFERROR(IF(E19="","",E19/D19),"")</f>
        <v/>
      </c>
      <c r="E45" s="17">
        <f>IFERROR(IF(F19="","",F19/E19),"")</f>
        <v/>
      </c>
      <c r="F45" s="17">
        <f>IFERROR(IF(G19="","",G19/F19),"")</f>
        <v/>
      </c>
      <c r="G45" s="17">
        <f>IFERROR(IF(H19="","",H19/G19),"")</f>
        <v/>
      </c>
      <c r="H45" s="17">
        <f>IFERROR(IF(I19="","",I19/H19),"")</f>
        <v/>
      </c>
      <c r="I45" s="17">
        <f>IFERROR(IF(J19="","",J19/I19),"")</f>
        <v/>
      </c>
      <c r="J45" s="17">
        <f>IFERROR(IF(K19="","",K19/J19),"")</f>
        <v/>
      </c>
      <c r="K45" s="17">
        <f>IFERROR(IF(L19="","",L19/K19),"")</f>
        <v/>
      </c>
      <c r="L45" s="17">
        <f>IFERROR(IF(M19="","",M19/L19),"")</f>
        <v/>
      </c>
      <c r="M45" s="17">
        <f>IFERROR(IF(N19="","",N19/M19),"")</f>
        <v/>
      </c>
      <c r="N45" s="17">
        <f>IFERROR(IF(O19="","",O19/N19),"")</f>
        <v/>
      </c>
      <c r="O45" s="17">
        <f>IFERROR(IF(P19="","",P19/O19),"")</f>
        <v/>
      </c>
      <c r="P45" s="17">
        <f>IFERROR(IF(Q19="","",Q19/P19),"")</f>
        <v/>
      </c>
      <c r="Q45" s="17">
        <f>IFERROR(IF(R19="","",R19/Q19),"")</f>
        <v/>
      </c>
      <c r="R45" s="17">
        <f>IFERROR(IF(S19="","",S19/R19),"")</f>
        <v/>
      </c>
      <c r="S45" s="17">
        <f>IFERROR(IF(T19="","",T19/S19),"")</f>
        <v/>
      </c>
      <c r="T45" s="17">
        <f>IFERROR(IF(U19="","",U19/T19),"")</f>
        <v/>
      </c>
      <c r="U45" s="17">
        <f>IFERROR(IF(V19="","",V19/U19),"")</f>
        <v/>
      </c>
      <c r="V45" s="17">
        <f>IFERROR(IF(W19="","",W19/V19),"")</f>
        <v/>
      </c>
      <c r="W45" s="17">
        <f>IFERROR(IF(X19="","",X19/W19),"")</f>
        <v/>
      </c>
      <c r="X45" s="17">
        <f>IFERROR(IF(Y19="","",Y19/X19),"")</f>
        <v/>
      </c>
    </row>
    <row r="46">
      <c r="A46" s="15" t="inlineStr">
        <is>
          <t>2019</t>
        </is>
      </c>
      <c r="B46" s="17">
        <f>IFERROR(IF(C20="","",C20/B20),"")</f>
        <v/>
      </c>
      <c r="C46" s="17">
        <f>IFERROR(IF(D20="","",D20/C20),"")</f>
        <v/>
      </c>
      <c r="D46" s="17">
        <f>IFERROR(IF(E20="","",E20/D20),"")</f>
        <v/>
      </c>
      <c r="E46" s="17">
        <f>IFERROR(IF(F20="","",F20/E20),"")</f>
        <v/>
      </c>
      <c r="F46" s="17">
        <f>IFERROR(IF(G20="","",G20/F20),"")</f>
        <v/>
      </c>
      <c r="G46" s="17">
        <f>IFERROR(IF(H20="","",H20/G20),"")</f>
        <v/>
      </c>
      <c r="H46" s="17">
        <f>IFERROR(IF(I20="","",I20/H20),"")</f>
        <v/>
      </c>
      <c r="I46" s="17">
        <f>IFERROR(IF(J20="","",J20/I20),"")</f>
        <v/>
      </c>
      <c r="J46" s="17">
        <f>IFERROR(IF(K20="","",K20/J20),"")</f>
        <v/>
      </c>
      <c r="K46" s="17">
        <f>IFERROR(IF(L20="","",L20/K20),"")</f>
        <v/>
      </c>
      <c r="L46" s="17">
        <f>IFERROR(IF(M20="","",M20/L20),"")</f>
        <v/>
      </c>
      <c r="M46" s="17">
        <f>IFERROR(IF(N20="","",N20/M20),"")</f>
        <v/>
      </c>
      <c r="N46" s="17">
        <f>IFERROR(IF(O20="","",O20/N20),"")</f>
        <v/>
      </c>
      <c r="O46" s="17">
        <f>IFERROR(IF(P20="","",P20/O20),"")</f>
        <v/>
      </c>
      <c r="P46" s="17">
        <f>IFERROR(IF(Q20="","",Q20/P20),"")</f>
        <v/>
      </c>
      <c r="Q46" s="17">
        <f>IFERROR(IF(R20="","",R20/Q20),"")</f>
        <v/>
      </c>
      <c r="R46" s="17">
        <f>IFERROR(IF(S20="","",S20/R20),"")</f>
        <v/>
      </c>
      <c r="S46" s="17">
        <f>IFERROR(IF(T20="","",T20/S20),"")</f>
        <v/>
      </c>
      <c r="T46" s="17">
        <f>IFERROR(IF(U20="","",U20/T20),"")</f>
        <v/>
      </c>
      <c r="U46" s="17">
        <f>IFERROR(IF(V20="","",V20/U20),"")</f>
        <v/>
      </c>
      <c r="V46" s="17">
        <f>IFERROR(IF(W20="","",W20/V20),"")</f>
        <v/>
      </c>
      <c r="W46" s="17">
        <f>IFERROR(IF(X20="","",X20/W20),"")</f>
        <v/>
      </c>
      <c r="X46" s="17">
        <f>IFERROR(IF(Y20="","",Y20/X20),"")</f>
        <v/>
      </c>
    </row>
    <row r="47">
      <c r="A47" s="15" t="inlineStr">
        <is>
          <t>2020</t>
        </is>
      </c>
      <c r="B47" s="17">
        <f>IFERROR(IF(C21="","",C21/B21),"")</f>
        <v/>
      </c>
      <c r="C47" s="17">
        <f>IFERROR(IF(D21="","",D21/C21),"")</f>
        <v/>
      </c>
      <c r="D47" s="17">
        <f>IFERROR(IF(E21="","",E21/D21),"")</f>
        <v/>
      </c>
      <c r="E47" s="17">
        <f>IFERROR(IF(F21="","",F21/E21),"")</f>
        <v/>
      </c>
      <c r="F47" s="17">
        <f>IFERROR(IF(G21="","",G21/F21),"")</f>
        <v/>
      </c>
      <c r="G47" s="17">
        <f>IFERROR(IF(H21="","",H21/G21),"")</f>
        <v/>
      </c>
      <c r="H47" s="17">
        <f>IFERROR(IF(I21="","",I21/H21),"")</f>
        <v/>
      </c>
      <c r="I47" s="17">
        <f>IFERROR(IF(J21="","",J21/I21),"")</f>
        <v/>
      </c>
      <c r="J47" s="17">
        <f>IFERROR(IF(K21="","",K21/J21),"")</f>
        <v/>
      </c>
      <c r="K47" s="17">
        <f>IFERROR(IF(L21="","",L21/K21),"")</f>
        <v/>
      </c>
      <c r="L47" s="17">
        <f>IFERROR(IF(M21="","",M21/L21),"")</f>
        <v/>
      </c>
      <c r="M47" s="17">
        <f>IFERROR(IF(N21="","",N21/M21),"")</f>
        <v/>
      </c>
      <c r="N47" s="17">
        <f>IFERROR(IF(O21="","",O21/N21),"")</f>
        <v/>
      </c>
      <c r="O47" s="17">
        <f>IFERROR(IF(P21="","",P21/O21),"")</f>
        <v/>
      </c>
      <c r="P47" s="17">
        <f>IFERROR(IF(Q21="","",Q21/P21),"")</f>
        <v/>
      </c>
      <c r="Q47" s="17">
        <f>IFERROR(IF(R21="","",R21/Q21),"")</f>
        <v/>
      </c>
      <c r="R47" s="17">
        <f>IFERROR(IF(S21="","",S21/R21),"")</f>
        <v/>
      </c>
      <c r="S47" s="17">
        <f>IFERROR(IF(T21="","",T21/S21),"")</f>
        <v/>
      </c>
      <c r="T47" s="17">
        <f>IFERROR(IF(U21="","",U21/T21),"")</f>
        <v/>
      </c>
      <c r="U47" s="17">
        <f>IFERROR(IF(V21="","",V21/U21),"")</f>
        <v/>
      </c>
      <c r="V47" s="17">
        <f>IFERROR(IF(W21="","",W21/V21),"")</f>
        <v/>
      </c>
      <c r="W47" s="17">
        <f>IFERROR(IF(X21="","",X21/W21),"")</f>
        <v/>
      </c>
      <c r="X47" s="17">
        <f>IFERROR(IF(Y21="","",Y21/X21),"")</f>
        <v/>
      </c>
    </row>
    <row r="48">
      <c r="A48" s="15" t="inlineStr">
        <is>
          <t>2021</t>
        </is>
      </c>
      <c r="B48" s="17">
        <f>IFERROR(IF(C22="","",C22/B22),"")</f>
        <v/>
      </c>
      <c r="C48" s="17">
        <f>IFERROR(IF(D22="","",D22/C22),"")</f>
        <v/>
      </c>
      <c r="D48" s="17">
        <f>IFERROR(IF(E22="","",E22/D22),"")</f>
        <v/>
      </c>
      <c r="E48" s="17">
        <f>IFERROR(IF(F22="","",F22/E22),"")</f>
        <v/>
      </c>
      <c r="F48" s="17">
        <f>IFERROR(IF(G22="","",G22/F22),"")</f>
        <v/>
      </c>
      <c r="G48" s="17">
        <f>IFERROR(IF(H22="","",H22/G22),"")</f>
        <v/>
      </c>
      <c r="H48" s="17">
        <f>IFERROR(IF(I22="","",I22/H22),"")</f>
        <v/>
      </c>
      <c r="I48" s="17">
        <f>IFERROR(IF(J22="","",J22/I22),"")</f>
        <v/>
      </c>
      <c r="J48" s="17">
        <f>IFERROR(IF(K22="","",K22/J22),"")</f>
        <v/>
      </c>
      <c r="K48" s="17">
        <f>IFERROR(IF(L22="","",L22/K22),"")</f>
        <v/>
      </c>
      <c r="L48" s="17">
        <f>IFERROR(IF(M22="","",M22/L22),"")</f>
        <v/>
      </c>
      <c r="M48" s="17">
        <f>IFERROR(IF(N22="","",N22/M22),"")</f>
        <v/>
      </c>
      <c r="N48" s="17">
        <f>IFERROR(IF(O22="","",O22/N22),"")</f>
        <v/>
      </c>
      <c r="O48" s="17">
        <f>IFERROR(IF(P22="","",P22/O22),"")</f>
        <v/>
      </c>
      <c r="P48" s="17">
        <f>IFERROR(IF(Q22="","",Q22/P22),"")</f>
        <v/>
      </c>
      <c r="Q48" s="17">
        <f>IFERROR(IF(R22="","",R22/Q22),"")</f>
        <v/>
      </c>
      <c r="R48" s="17">
        <f>IFERROR(IF(S22="","",S22/R22),"")</f>
        <v/>
      </c>
      <c r="S48" s="17">
        <f>IFERROR(IF(T22="","",T22/S22),"")</f>
        <v/>
      </c>
      <c r="T48" s="17">
        <f>IFERROR(IF(U22="","",U22/T22),"")</f>
        <v/>
      </c>
      <c r="U48" s="17">
        <f>IFERROR(IF(V22="","",V22/U22),"")</f>
        <v/>
      </c>
      <c r="V48" s="17">
        <f>IFERROR(IF(W22="","",W22/V22),"")</f>
        <v/>
      </c>
      <c r="W48" s="17">
        <f>IFERROR(IF(X22="","",X22/W22),"")</f>
        <v/>
      </c>
      <c r="X48" s="17">
        <f>IFERROR(IF(Y22="","",Y22/X22),"")</f>
        <v/>
      </c>
    </row>
    <row r="49">
      <c r="A49" s="15" t="inlineStr">
        <is>
          <t>2022</t>
        </is>
      </c>
      <c r="B49" s="17">
        <f>IFERROR(IF(C23="","",C23/B23),"")</f>
        <v/>
      </c>
      <c r="C49" s="17">
        <f>IFERROR(IF(D23="","",D23/C23),"")</f>
        <v/>
      </c>
      <c r="D49" s="17">
        <f>IFERROR(IF(E23="","",E23/D23),"")</f>
        <v/>
      </c>
      <c r="E49" s="17">
        <f>IFERROR(IF(F23="","",F23/E23),"")</f>
        <v/>
      </c>
      <c r="F49" s="17">
        <f>IFERROR(IF(G23="","",G23/F23),"")</f>
        <v/>
      </c>
      <c r="G49" s="17">
        <f>IFERROR(IF(H23="","",H23/G23),"")</f>
        <v/>
      </c>
      <c r="H49" s="17">
        <f>IFERROR(IF(I23="","",I23/H23),"")</f>
        <v/>
      </c>
      <c r="I49" s="17">
        <f>IFERROR(IF(J23="","",J23/I23),"")</f>
        <v/>
      </c>
      <c r="J49" s="17">
        <f>IFERROR(IF(K23="","",K23/J23),"")</f>
        <v/>
      </c>
      <c r="K49" s="17">
        <f>IFERROR(IF(L23="","",L23/K23),"")</f>
        <v/>
      </c>
      <c r="L49" s="17">
        <f>IFERROR(IF(M23="","",M23/L23),"")</f>
        <v/>
      </c>
      <c r="M49" s="17">
        <f>IFERROR(IF(N23="","",N23/M23),"")</f>
        <v/>
      </c>
      <c r="N49" s="17">
        <f>IFERROR(IF(O23="","",O23/N23),"")</f>
        <v/>
      </c>
      <c r="O49" s="17">
        <f>IFERROR(IF(P23="","",P23/O23),"")</f>
        <v/>
      </c>
      <c r="P49" s="17">
        <f>IFERROR(IF(Q23="","",Q23/P23),"")</f>
        <v/>
      </c>
      <c r="Q49" s="17">
        <f>IFERROR(IF(R23="","",R23/Q23),"")</f>
        <v/>
      </c>
      <c r="R49" s="17">
        <f>IFERROR(IF(S23="","",S23/R23),"")</f>
        <v/>
      </c>
      <c r="S49" s="17">
        <f>IFERROR(IF(T23="","",T23/S23),"")</f>
        <v/>
      </c>
      <c r="T49" s="17">
        <f>IFERROR(IF(U23="","",U23/T23),"")</f>
        <v/>
      </c>
      <c r="U49" s="17">
        <f>IFERROR(IF(V23="","",V23/U23),"")</f>
        <v/>
      </c>
      <c r="V49" s="17">
        <f>IFERROR(IF(W23="","",W23/V23),"")</f>
        <v/>
      </c>
      <c r="W49" s="17">
        <f>IFERROR(IF(X23="","",X23/W23),"")</f>
        <v/>
      </c>
      <c r="X49" s="17">
        <f>IFERROR(IF(Y23="","",Y23/X23),"")</f>
        <v/>
      </c>
    </row>
    <row r="50">
      <c r="A50" s="15" t="inlineStr">
        <is>
          <t>2023</t>
        </is>
      </c>
      <c r="B50" s="17">
        <f>IFERROR(IF(C24="","",C24/B24),"")</f>
        <v/>
      </c>
      <c r="C50" s="17">
        <f>IFERROR(IF(D24="","",D24/C24),"")</f>
        <v/>
      </c>
      <c r="D50" s="17">
        <f>IFERROR(IF(E24="","",E24/D24),"")</f>
        <v/>
      </c>
      <c r="E50" s="17">
        <f>IFERROR(IF(F24="","",F24/E24),"")</f>
        <v/>
      </c>
      <c r="F50" s="17">
        <f>IFERROR(IF(G24="","",G24/F24),"")</f>
        <v/>
      </c>
      <c r="G50" s="17">
        <f>IFERROR(IF(H24="","",H24/G24),"")</f>
        <v/>
      </c>
      <c r="H50" s="17">
        <f>IFERROR(IF(I24="","",I24/H24),"")</f>
        <v/>
      </c>
      <c r="I50" s="17">
        <f>IFERROR(IF(J24="","",J24/I24),"")</f>
        <v/>
      </c>
      <c r="J50" s="17">
        <f>IFERROR(IF(K24="","",K24/J24),"")</f>
        <v/>
      </c>
      <c r="K50" s="17">
        <f>IFERROR(IF(L24="","",L24/K24),"")</f>
        <v/>
      </c>
      <c r="L50" s="17">
        <f>IFERROR(IF(M24="","",M24/L24),"")</f>
        <v/>
      </c>
      <c r="M50" s="17">
        <f>IFERROR(IF(N24="","",N24/M24),"")</f>
        <v/>
      </c>
      <c r="N50" s="17">
        <f>IFERROR(IF(O24="","",O24/N24),"")</f>
        <v/>
      </c>
      <c r="O50" s="17">
        <f>IFERROR(IF(P24="","",P24/O24),"")</f>
        <v/>
      </c>
      <c r="P50" s="17">
        <f>IFERROR(IF(Q24="","",Q24/P24),"")</f>
        <v/>
      </c>
      <c r="Q50" s="17">
        <f>IFERROR(IF(R24="","",R24/Q24),"")</f>
        <v/>
      </c>
      <c r="R50" s="17">
        <f>IFERROR(IF(S24="","",S24/R24),"")</f>
        <v/>
      </c>
      <c r="S50" s="17">
        <f>IFERROR(IF(T24="","",T24/S24),"")</f>
        <v/>
      </c>
      <c r="T50" s="17">
        <f>IFERROR(IF(U24="","",U24/T24),"")</f>
        <v/>
      </c>
      <c r="U50" s="17">
        <f>IFERROR(IF(V24="","",V24/U24),"")</f>
        <v/>
      </c>
      <c r="V50" s="17">
        <f>IFERROR(IF(W24="","",W24/V24),"")</f>
        <v/>
      </c>
      <c r="W50" s="17">
        <f>IFERROR(IF(X24="","",X24/W24),"")</f>
        <v/>
      </c>
      <c r="X50" s="17">
        <f>IFERROR(IF(Y24="","",Y24/X24),"")</f>
        <v/>
      </c>
    </row>
    <row r="51">
      <c r="A51" s="15" t="inlineStr">
        <is>
          <t>2024</t>
        </is>
      </c>
      <c r="B51" s="17">
        <f>IFERROR(IF(C25="","",C25/B25),"")</f>
        <v/>
      </c>
      <c r="C51" s="17">
        <f>IFERROR(IF(D25="","",D25/C25),"")</f>
        <v/>
      </c>
      <c r="D51" s="17">
        <f>IFERROR(IF(E25="","",E25/D25),"")</f>
        <v/>
      </c>
      <c r="E51" s="17">
        <f>IFERROR(IF(F25="","",F25/E25),"")</f>
        <v/>
      </c>
      <c r="F51" s="17">
        <f>IFERROR(IF(G25="","",G25/F25),"")</f>
        <v/>
      </c>
      <c r="G51" s="17">
        <f>IFERROR(IF(H25="","",H25/G25),"")</f>
        <v/>
      </c>
      <c r="H51" s="17">
        <f>IFERROR(IF(I25="","",I25/H25),"")</f>
        <v/>
      </c>
      <c r="I51" s="17">
        <f>IFERROR(IF(J25="","",J25/I25),"")</f>
        <v/>
      </c>
      <c r="J51" s="17">
        <f>IFERROR(IF(K25="","",K25/J25),"")</f>
        <v/>
      </c>
      <c r="K51" s="17">
        <f>IFERROR(IF(L25="","",L25/K25),"")</f>
        <v/>
      </c>
      <c r="L51" s="17">
        <f>IFERROR(IF(M25="","",M25/L25),"")</f>
        <v/>
      </c>
      <c r="M51" s="17">
        <f>IFERROR(IF(N25="","",N25/M25),"")</f>
        <v/>
      </c>
      <c r="N51" s="17">
        <f>IFERROR(IF(O25="","",O25/N25),"")</f>
        <v/>
      </c>
      <c r="O51" s="17">
        <f>IFERROR(IF(P25="","",P25/O25),"")</f>
        <v/>
      </c>
      <c r="P51" s="17">
        <f>IFERROR(IF(Q25="","",Q25/P25),"")</f>
        <v/>
      </c>
      <c r="Q51" s="17">
        <f>IFERROR(IF(R25="","",R25/Q25),"")</f>
        <v/>
      </c>
      <c r="R51" s="17">
        <f>IFERROR(IF(S25="","",S25/R25),"")</f>
        <v/>
      </c>
      <c r="S51" s="17">
        <f>IFERROR(IF(T25="","",T25/S25),"")</f>
        <v/>
      </c>
      <c r="T51" s="17">
        <f>IFERROR(IF(U25="","",U25/T25),"")</f>
        <v/>
      </c>
      <c r="U51" s="17">
        <f>IFERROR(IF(V25="","",V25/U25),"")</f>
        <v/>
      </c>
      <c r="V51" s="17">
        <f>IFERROR(IF(W25="","",W25/V25),"")</f>
        <v/>
      </c>
      <c r="W51" s="17">
        <f>IFERROR(IF(X25="","",X25/W25),"")</f>
        <v/>
      </c>
      <c r="X51" s="17">
        <f>IFERROR(IF(Y25="","",Y25/X25),"")</f>
        <v/>
      </c>
    </row>
    <row r="52"/>
    <row r="53">
      <c r="A53" s="18" t="inlineStr">
        <is>
          <t>Metric</t>
        </is>
      </c>
      <c r="B53" s="8" t="inlineStr">
        <is>
          <t>11-23</t>
        </is>
      </c>
      <c r="C53" s="8" t="inlineStr">
        <is>
          <t>23-35</t>
        </is>
      </c>
      <c r="D53" s="8" t="inlineStr">
        <is>
          <t>35-47</t>
        </is>
      </c>
      <c r="E53" s="8" t="inlineStr">
        <is>
          <t>47-59</t>
        </is>
      </c>
      <c r="F53" s="8" t="inlineStr">
        <is>
          <t>59-71</t>
        </is>
      </c>
      <c r="G53" s="8" t="inlineStr">
        <is>
          <t>71-83</t>
        </is>
      </c>
      <c r="H53" s="8" t="inlineStr">
        <is>
          <t>83-95</t>
        </is>
      </c>
      <c r="I53" s="8" t="inlineStr">
        <is>
          <t>95-107</t>
        </is>
      </c>
      <c r="J53" s="8" t="inlineStr">
        <is>
          <t>107-119</t>
        </is>
      </c>
      <c r="K53" s="8" t="inlineStr">
        <is>
          <t>119-131</t>
        </is>
      </c>
      <c r="L53" s="8" t="inlineStr">
        <is>
          <t>131-143</t>
        </is>
      </c>
      <c r="M53" s="8" t="inlineStr">
        <is>
          <t>143-155</t>
        </is>
      </c>
      <c r="N53" s="8" t="inlineStr">
        <is>
          <t>155-167</t>
        </is>
      </c>
      <c r="O53" s="8" t="inlineStr">
        <is>
          <t>167-179</t>
        </is>
      </c>
      <c r="P53" s="8" t="inlineStr">
        <is>
          <t>179-191</t>
        </is>
      </c>
      <c r="Q53" s="8" t="inlineStr">
        <is>
          <t>191-203</t>
        </is>
      </c>
      <c r="R53" s="8" t="inlineStr">
        <is>
          <t>203-215</t>
        </is>
      </c>
      <c r="S53" s="8" t="inlineStr">
        <is>
          <t>215-227</t>
        </is>
      </c>
      <c r="T53" s="8" t="inlineStr">
        <is>
          <t>227-239</t>
        </is>
      </c>
      <c r="U53" s="8" t="inlineStr">
        <is>
          <t>239-251</t>
        </is>
      </c>
      <c r="V53" s="8" t="inlineStr">
        <is>
          <t>251-263</t>
        </is>
      </c>
      <c r="W53" s="8" t="inlineStr">
        <is>
          <t>263-275</t>
        </is>
      </c>
      <c r="X53" s="8" t="inlineStr">
        <is>
          <t>275-287</t>
        </is>
      </c>
      <c r="Y53" s="8" t="inlineStr">
        <is>
          <t>Tail</t>
        </is>
      </c>
    </row>
    <row r="54">
      <c r="A54" s="19" t="inlineStr">
        <is>
          <t>simple_all</t>
        </is>
      </c>
      <c r="B54" s="17">
        <f>IFERROR(AVERAGE(B28:B51),AVERAGE(B28:B51))</f>
        <v/>
      </c>
      <c r="C54" s="17">
        <f>IFERROR(AVERAGE(C28:C51),AVERAGE(C28:C51))</f>
        <v/>
      </c>
      <c r="D54" s="17">
        <f>IFERROR(AVERAGE(D28:D51),AVERAGE(D28:D51))</f>
        <v/>
      </c>
      <c r="E54" s="17">
        <f>IFERROR(AVERAGE(E28:E51),AVERAGE(E28:E51))</f>
        <v/>
      </c>
      <c r="F54" s="17">
        <f>IFERROR(AVERAGE(F28:F51),AVERAGE(F28:F51))</f>
        <v/>
      </c>
      <c r="G54" s="17">
        <f>IFERROR(AVERAGE(G28:G51),AVERAGE(G28:G51))</f>
        <v/>
      </c>
      <c r="H54" s="17">
        <f>IFERROR(AVERAGE(H28:H51),AVERAGE(H28:H51))</f>
        <v/>
      </c>
      <c r="I54" s="17">
        <f>IFERROR(AVERAGE(I28:I51),AVERAGE(I28:I51))</f>
        <v/>
      </c>
      <c r="J54" s="17">
        <f>IFERROR(AVERAGE(J28:J51),AVERAGE(J28:J51))</f>
        <v/>
      </c>
      <c r="K54" s="17">
        <f>IFERROR(AVERAGE(K28:K51),AVERAGE(K28:K51))</f>
        <v/>
      </c>
      <c r="L54" s="17">
        <f>IFERROR(AVERAGE(L28:L51),AVERAGE(L28:L51))</f>
        <v/>
      </c>
      <c r="M54" s="17">
        <f>IFERROR(AVERAGE(M28:M51),AVERAGE(M28:M51))</f>
        <v/>
      </c>
      <c r="N54" s="17">
        <f>IFERROR(AVERAGE(N28:N51),AVERAGE(N28:N51))</f>
        <v/>
      </c>
      <c r="O54" s="17">
        <f>IFERROR(AVERAGE(O28:O51),AVERAGE(O28:O51))</f>
        <v/>
      </c>
      <c r="P54" s="17">
        <f>IFERROR(AVERAGE(P28:P51),AVERAGE(P28:P51))</f>
        <v/>
      </c>
      <c r="Q54" s="17">
        <f>IFERROR(AVERAGE(Q28:Q51),AVERAGE(Q28:Q51))</f>
        <v/>
      </c>
      <c r="R54" s="17">
        <f>IFERROR(AVERAGE(R28:R51),AVERAGE(R28:R51))</f>
        <v/>
      </c>
      <c r="S54" s="17">
        <f>IFERROR(AVERAGE(S28:S51),AVERAGE(S28:S51))</f>
        <v/>
      </c>
      <c r="T54" s="17">
        <f>IFERROR(AVERAGE(T28:T51),AVERAGE(T28:T51))</f>
        <v/>
      </c>
      <c r="U54" s="17">
        <f>IFERROR(AVERAGE(U28:U51),AVERAGE(U28:U51))</f>
        <v/>
      </c>
      <c r="V54" s="17">
        <f>IFERROR(AVERAGE(V28:V51),AVERAGE(V28:V51))</f>
        <v/>
      </c>
      <c r="W54" s="17">
        <f>IFERROR(AVERAGE(W28:W51),AVERAGE(W28:W51))</f>
        <v/>
      </c>
      <c r="X54" s="17">
        <f>IFERROR(AVERAGE(X28:X51),AVERAGE(X28:X51))</f>
        <v/>
      </c>
      <c r="Y54" s="17" t="n"/>
    </row>
    <row r="55">
      <c r="A55" s="19" t="inlineStr">
        <is>
          <t>weighted_all</t>
        </is>
      </c>
      <c r="B55" s="17">
        <f>IFERROR(SUMPRODUCT(B28:B51,B2:B25)/SUMPRODUCT((B28:B51&lt;&gt;"")*B2:B25),SUMPRODUCT(B28:B51,B2:B25)/SUMPRODUCT((B28:B51&lt;&gt;"")*B2:B25))</f>
        <v/>
      </c>
      <c r="C55" s="17">
        <f>IFERROR(SUMPRODUCT(C28:C51,C2:C25)/SUMPRODUCT((C28:C51&lt;&gt;"")*C2:C25),SUMPRODUCT(C28:C51,C2:C25)/SUMPRODUCT((C28:C51&lt;&gt;"")*C2:C25))</f>
        <v/>
      </c>
      <c r="D55" s="17">
        <f>IFERROR(SUMPRODUCT(D28:D51,D2:D25)/SUMPRODUCT((D28:D51&lt;&gt;"")*D2:D25),SUMPRODUCT(D28:D51,D2:D25)/SUMPRODUCT((D28:D51&lt;&gt;"")*D2:D25))</f>
        <v/>
      </c>
      <c r="E55" s="17">
        <f>IFERROR(SUMPRODUCT(E28:E51,E2:E25)/SUMPRODUCT((E28:E51&lt;&gt;"")*E2:E25),SUMPRODUCT(E28:E51,E2:E25)/SUMPRODUCT((E28:E51&lt;&gt;"")*E2:E25))</f>
        <v/>
      </c>
      <c r="F55" s="17">
        <f>IFERROR(SUMPRODUCT(F28:F51,F2:F25)/SUMPRODUCT((F28:F51&lt;&gt;"")*F2:F25),SUMPRODUCT(F28:F51,F2:F25)/SUMPRODUCT((F28:F51&lt;&gt;"")*F2:F25))</f>
        <v/>
      </c>
      <c r="G55" s="17">
        <f>IFERROR(SUMPRODUCT(G28:G51,G2:G25)/SUMPRODUCT((G28:G51&lt;&gt;"")*G2:G25),SUMPRODUCT(G28:G51,G2:G25)/SUMPRODUCT((G28:G51&lt;&gt;"")*G2:G25))</f>
        <v/>
      </c>
      <c r="H55" s="17">
        <f>IFERROR(SUMPRODUCT(H28:H51,H2:H25)/SUMPRODUCT((H28:H51&lt;&gt;"")*H2:H25),SUMPRODUCT(H28:H51,H2:H25)/SUMPRODUCT((H28:H51&lt;&gt;"")*H2:H25))</f>
        <v/>
      </c>
      <c r="I55" s="17">
        <f>IFERROR(SUMPRODUCT(I28:I51,I2:I25)/SUMPRODUCT((I28:I51&lt;&gt;"")*I2:I25),SUMPRODUCT(I28:I51,I2:I25)/SUMPRODUCT((I28:I51&lt;&gt;"")*I2:I25))</f>
        <v/>
      </c>
      <c r="J55" s="17">
        <f>IFERROR(SUMPRODUCT(J28:J51,J2:J25)/SUMPRODUCT((J28:J51&lt;&gt;"")*J2:J25),SUMPRODUCT(J28:J51,J2:J25)/SUMPRODUCT((J28:J51&lt;&gt;"")*J2:J25))</f>
        <v/>
      </c>
      <c r="K55" s="17">
        <f>IFERROR(SUMPRODUCT(K28:K51,K2:K25)/SUMPRODUCT((K28:K51&lt;&gt;"")*K2:K25),SUMPRODUCT(K28:K51,K2:K25)/SUMPRODUCT((K28:K51&lt;&gt;"")*K2:K25))</f>
        <v/>
      </c>
      <c r="L55" s="17">
        <f>IFERROR(SUMPRODUCT(L28:L51,L2:L25)/SUMPRODUCT((L28:L51&lt;&gt;"")*L2:L25),SUMPRODUCT(L28:L51,L2:L25)/SUMPRODUCT((L28:L51&lt;&gt;"")*L2:L25))</f>
        <v/>
      </c>
      <c r="M55" s="17">
        <f>IFERROR(SUMPRODUCT(M28:M51,M2:M25)/SUMPRODUCT((M28:M51&lt;&gt;"")*M2:M25),SUMPRODUCT(M28:M51,M2:M25)/SUMPRODUCT((M28:M51&lt;&gt;"")*M2:M25))</f>
        <v/>
      </c>
      <c r="N55" s="17">
        <f>IFERROR(SUMPRODUCT(N28:N51,N2:N25)/SUMPRODUCT((N28:N51&lt;&gt;"")*N2:N25),SUMPRODUCT(N28:N51,N2:N25)/SUMPRODUCT((N28:N51&lt;&gt;"")*N2:N25))</f>
        <v/>
      </c>
      <c r="O55" s="17">
        <f>IFERROR(SUMPRODUCT(O28:O51,O2:O25)/SUMPRODUCT((O28:O51&lt;&gt;"")*O2:O25),SUMPRODUCT(O28:O51,O2:O25)/SUMPRODUCT((O28:O51&lt;&gt;"")*O2:O25))</f>
        <v/>
      </c>
      <c r="P55" s="17">
        <f>IFERROR(SUMPRODUCT(P28:P51,P2:P25)/SUMPRODUCT((P28:P51&lt;&gt;"")*P2:P25),SUMPRODUCT(P28:P51,P2:P25)/SUMPRODUCT((P28:P51&lt;&gt;"")*P2:P25))</f>
        <v/>
      </c>
      <c r="Q55" s="17">
        <f>IFERROR(SUMPRODUCT(Q28:Q51,Q2:Q25)/SUMPRODUCT((Q28:Q51&lt;&gt;"")*Q2:Q25),SUMPRODUCT(Q28:Q51,Q2:Q25)/SUMPRODUCT((Q28:Q51&lt;&gt;"")*Q2:Q25))</f>
        <v/>
      </c>
      <c r="R55" s="17">
        <f>IFERROR(SUMPRODUCT(R28:R51,R2:R25)/SUMPRODUCT((R28:R51&lt;&gt;"")*R2:R25),SUMPRODUCT(R28:R51,R2:R25)/SUMPRODUCT((R28:R51&lt;&gt;"")*R2:R25))</f>
        <v/>
      </c>
      <c r="S55" s="17">
        <f>IFERROR(SUMPRODUCT(S28:S51,S2:S25)/SUMPRODUCT((S28:S51&lt;&gt;"")*S2:S25),SUMPRODUCT(S28:S51,S2:S25)/SUMPRODUCT((S28:S51&lt;&gt;"")*S2:S25))</f>
        <v/>
      </c>
      <c r="T55" s="17">
        <f>IFERROR(SUMPRODUCT(T28:T51,T2:T25)/SUMPRODUCT((T28:T51&lt;&gt;"")*T2:T25),SUMPRODUCT(T28:T51,T2:T25)/SUMPRODUCT((T28:T51&lt;&gt;"")*T2:T25))</f>
        <v/>
      </c>
      <c r="U55" s="17">
        <f>IFERROR(SUMPRODUCT(U28:U51,U2:U25)/SUMPRODUCT((U28:U51&lt;&gt;"")*U2:U25),SUMPRODUCT(U28:U51,U2:U25)/SUMPRODUCT((U28:U51&lt;&gt;"")*U2:U25))</f>
        <v/>
      </c>
      <c r="V55" s="17">
        <f>IFERROR(SUMPRODUCT(V28:V51,V2:V25)/SUMPRODUCT((V28:V51&lt;&gt;"")*V2:V25),SUMPRODUCT(V28:V51,V2:V25)/SUMPRODUCT((V28:V51&lt;&gt;"")*V2:V25))</f>
        <v/>
      </c>
      <c r="W55" s="17">
        <f>IFERROR(SUMPRODUCT(W28:W51,W2:W25)/SUMPRODUCT((W28:W51&lt;&gt;"")*W2:W25),SUMPRODUCT(W28:W51,W2:W25)/SUMPRODUCT((W28:W51&lt;&gt;"")*W2:W25))</f>
        <v/>
      </c>
      <c r="X55" s="17">
        <f>IFERROR(SUMPRODUCT(X28:X51,X2:X25)/SUMPRODUCT((X28:X51&lt;&gt;"")*X2:X25),SUMPRODUCT(X28:X51,X2:X25)/SUMPRODUCT((X28:X51&lt;&gt;"")*X2:X25))</f>
        <v/>
      </c>
      <c r="Y55" s="17" t="n"/>
    </row>
    <row r="56">
      <c r="A56" s="19" t="inlineStr">
        <is>
          <t>exclude_high_low_all</t>
        </is>
      </c>
      <c r="B56" s="17">
        <f>IFERROR(TRIMMEAN(B28:B51,2/COUNT(B28:B51)),AVERAGE(B28:B51))</f>
        <v/>
      </c>
      <c r="C56" s="17">
        <f>IFERROR(TRIMMEAN(C28:C51,2/COUNT(C28:C51)),AVERAGE(C28:C51))</f>
        <v/>
      </c>
      <c r="D56" s="17">
        <f>IFERROR(TRIMMEAN(D28:D51,2/COUNT(D28:D51)),AVERAGE(D28:D51))</f>
        <v/>
      </c>
      <c r="E56" s="17">
        <f>IFERROR(TRIMMEAN(E28:E51,2/COUNT(E28:E51)),AVERAGE(E28:E51))</f>
        <v/>
      </c>
      <c r="F56" s="17">
        <f>IFERROR(TRIMMEAN(F28:F51,2/COUNT(F28:F51)),AVERAGE(F28:F51))</f>
        <v/>
      </c>
      <c r="G56" s="17">
        <f>IFERROR(TRIMMEAN(G28:G51,2/COUNT(G28:G51)),AVERAGE(G28:G51))</f>
        <v/>
      </c>
      <c r="H56" s="17">
        <f>IFERROR(TRIMMEAN(H28:H51,2/COUNT(H28:H51)),AVERAGE(H28:H51))</f>
        <v/>
      </c>
      <c r="I56" s="17">
        <f>IFERROR(TRIMMEAN(I28:I51,2/COUNT(I28:I51)),AVERAGE(I28:I51))</f>
        <v/>
      </c>
      <c r="J56" s="17">
        <f>IFERROR(TRIMMEAN(J28:J51,2/COUNT(J28:J51)),AVERAGE(J28:J51))</f>
        <v/>
      </c>
      <c r="K56" s="17">
        <f>IFERROR(TRIMMEAN(K28:K51,2/COUNT(K28:K51)),AVERAGE(K28:K51))</f>
        <v/>
      </c>
      <c r="L56" s="17">
        <f>IFERROR(TRIMMEAN(L28:L51,2/COUNT(L28:L51)),AVERAGE(L28:L51))</f>
        <v/>
      </c>
      <c r="M56" s="17">
        <f>IFERROR(TRIMMEAN(M28:M51,2/COUNT(M28:M51)),AVERAGE(M28:M51))</f>
        <v/>
      </c>
      <c r="N56" s="17">
        <f>IFERROR(TRIMMEAN(N28:N51,2/COUNT(N28:N51)),AVERAGE(N28:N51))</f>
        <v/>
      </c>
      <c r="O56" s="17">
        <f>IFERROR(TRIMMEAN(O28:O51,2/COUNT(O28:O51)),AVERAGE(O28:O51))</f>
        <v/>
      </c>
      <c r="P56" s="17">
        <f>IFERROR(TRIMMEAN(P28:P51,2/COUNT(P28:P51)),AVERAGE(P28:P51))</f>
        <v/>
      </c>
      <c r="Q56" s="17">
        <f>IFERROR(TRIMMEAN(Q28:Q51,2/COUNT(Q28:Q51)),AVERAGE(Q28:Q51))</f>
        <v/>
      </c>
      <c r="R56" s="17">
        <f>IFERROR(TRIMMEAN(R28:R51,2/COUNT(R28:R51)),AVERAGE(R28:R51))</f>
        <v/>
      </c>
      <c r="S56" s="17">
        <f>IFERROR(TRIMMEAN(S28:S51,2/COUNT(S28:S51)),AVERAGE(S28:S51))</f>
        <v/>
      </c>
      <c r="T56" s="17">
        <f>IFERROR(TRIMMEAN(T28:T51,2/COUNT(T28:T51)),AVERAGE(T28:T51))</f>
        <v/>
      </c>
      <c r="U56" s="17">
        <f>IFERROR(TRIMMEAN(U28:U51,2/COUNT(U28:U51)),AVERAGE(U28:U51))</f>
        <v/>
      </c>
      <c r="V56" s="17">
        <f>IFERROR(TRIMMEAN(V28:V51,2/COUNT(V28:V51)),AVERAGE(V28:V51))</f>
        <v/>
      </c>
      <c r="W56" s="17">
        <f>IFERROR(TRIMMEAN(W28:W51,2/COUNT(W28:W51)),AVERAGE(W28:W51))</f>
        <v/>
      </c>
      <c r="X56" s="17">
        <f>IFERROR(TRIMMEAN(X28:X51,2/COUNT(X28:X51)),AVERAGE(X28:X51))</f>
        <v/>
      </c>
      <c r="Y56" s="17" t="n"/>
    </row>
    <row r="57">
      <c r="A57" s="19" t="inlineStr">
        <is>
          <t>simple_3yr</t>
        </is>
      </c>
      <c r="B57" s="17">
        <f>IFERROR(AVERAGE(B49:B51),AVERAGE(B28:B51))</f>
        <v/>
      </c>
      <c r="C57" s="17">
        <f>IFERROR(AVERAGE(C49:C51),AVERAGE(C28:C51))</f>
        <v/>
      </c>
      <c r="D57" s="17">
        <f>IFERROR(AVERAGE(D49:D51),AVERAGE(D28:D51))</f>
        <v/>
      </c>
      <c r="E57" s="17">
        <f>IFERROR(AVERAGE(E49:E51),AVERAGE(E28:E51))</f>
        <v/>
      </c>
      <c r="F57" s="17">
        <f>IFERROR(AVERAGE(F49:F51),AVERAGE(F28:F51))</f>
        <v/>
      </c>
      <c r="G57" s="17">
        <f>IFERROR(AVERAGE(G49:G51),AVERAGE(G28:G51))</f>
        <v/>
      </c>
      <c r="H57" s="17">
        <f>IFERROR(AVERAGE(H49:H51),AVERAGE(H28:H51))</f>
        <v/>
      </c>
      <c r="I57" s="17">
        <f>IFERROR(AVERAGE(I49:I51),AVERAGE(I28:I51))</f>
        <v/>
      </c>
      <c r="J57" s="17">
        <f>IFERROR(AVERAGE(J49:J51),AVERAGE(J28:J51))</f>
        <v/>
      </c>
      <c r="K57" s="17">
        <f>IFERROR(AVERAGE(K49:K51),AVERAGE(K28:K51))</f>
        <v/>
      </c>
      <c r="L57" s="17">
        <f>IFERROR(AVERAGE(L49:L51),AVERAGE(L28:L51))</f>
        <v/>
      </c>
      <c r="M57" s="17">
        <f>IFERROR(AVERAGE(M49:M51),AVERAGE(M28:M51))</f>
        <v/>
      </c>
      <c r="N57" s="17">
        <f>IFERROR(AVERAGE(N49:N51),AVERAGE(N28:N51))</f>
        <v/>
      </c>
      <c r="O57" s="17">
        <f>IFERROR(AVERAGE(O49:O51),AVERAGE(O28:O51))</f>
        <v/>
      </c>
      <c r="P57" s="17">
        <f>IFERROR(AVERAGE(P49:P51),AVERAGE(P28:P51))</f>
        <v/>
      </c>
      <c r="Q57" s="17">
        <f>IFERROR(AVERAGE(Q49:Q51),AVERAGE(Q28:Q51))</f>
        <v/>
      </c>
      <c r="R57" s="17">
        <f>IFERROR(AVERAGE(R49:R51),AVERAGE(R28:R51))</f>
        <v/>
      </c>
      <c r="S57" s="17">
        <f>IFERROR(AVERAGE(S49:S51),AVERAGE(S28:S51))</f>
        <v/>
      </c>
      <c r="T57" s="17">
        <f>IFERROR(AVERAGE(T49:T51),AVERAGE(T28:T51))</f>
        <v/>
      </c>
      <c r="U57" s="17">
        <f>IFERROR(AVERAGE(U49:U51),AVERAGE(U28:U51))</f>
        <v/>
      </c>
      <c r="V57" s="17">
        <f>IFERROR(AVERAGE(V49:V51),AVERAGE(V28:V51))</f>
        <v/>
      </c>
      <c r="W57" s="17">
        <f>IFERROR(AVERAGE(W49:W51),AVERAGE(W28:W51))</f>
        <v/>
      </c>
      <c r="X57" s="17">
        <f>IFERROR(AVERAGE(X49:X51),AVERAGE(X28:X51))</f>
        <v/>
      </c>
      <c r="Y57" s="17" t="n"/>
    </row>
    <row r="58">
      <c r="A58" s="19" t="inlineStr">
        <is>
          <t>weighted_3yr</t>
        </is>
      </c>
      <c r="B58" s="17">
        <f>IFERROR(SUMPRODUCT(B49:B51,B23:B25)/SUMPRODUCT((B49:B51&lt;&gt;"")*B23:B25),SUMPRODUCT(B28:B51,B2:B25)/SUMPRODUCT((B28:B51&lt;&gt;"")*B2:B25))</f>
        <v/>
      </c>
      <c r="C58" s="17">
        <f>IFERROR(SUMPRODUCT(C49:C51,C23:C25)/SUMPRODUCT((C49:C51&lt;&gt;"")*C23:C25),SUMPRODUCT(C28:C51,C2:C25)/SUMPRODUCT((C28:C51&lt;&gt;"")*C2:C25))</f>
        <v/>
      </c>
      <c r="D58" s="17">
        <f>IFERROR(SUMPRODUCT(D49:D51,D23:D25)/SUMPRODUCT((D49:D51&lt;&gt;"")*D23:D25),SUMPRODUCT(D28:D51,D2:D25)/SUMPRODUCT((D28:D51&lt;&gt;"")*D2:D25))</f>
        <v/>
      </c>
      <c r="E58" s="17">
        <f>IFERROR(SUMPRODUCT(E49:E51,E23:E25)/SUMPRODUCT((E49:E51&lt;&gt;"")*E23:E25),SUMPRODUCT(E28:E51,E2:E25)/SUMPRODUCT((E28:E51&lt;&gt;"")*E2:E25))</f>
        <v/>
      </c>
      <c r="F58" s="17">
        <f>IFERROR(SUMPRODUCT(F49:F51,F23:F25)/SUMPRODUCT((F49:F51&lt;&gt;"")*F23:F25),SUMPRODUCT(F28:F51,F2:F25)/SUMPRODUCT((F28:F51&lt;&gt;"")*F2:F25))</f>
        <v/>
      </c>
      <c r="G58" s="17">
        <f>IFERROR(SUMPRODUCT(G49:G51,G23:G25)/SUMPRODUCT((G49:G51&lt;&gt;"")*G23:G25),SUMPRODUCT(G28:G51,G2:G25)/SUMPRODUCT((G28:G51&lt;&gt;"")*G2:G25))</f>
        <v/>
      </c>
      <c r="H58" s="17">
        <f>IFERROR(SUMPRODUCT(H49:H51,H23:H25)/SUMPRODUCT((H49:H51&lt;&gt;"")*H23:H25),SUMPRODUCT(H28:H51,H2:H25)/SUMPRODUCT((H28:H51&lt;&gt;"")*H2:H25))</f>
        <v/>
      </c>
      <c r="I58" s="17">
        <f>IFERROR(SUMPRODUCT(I49:I51,I23:I25)/SUMPRODUCT((I49:I51&lt;&gt;"")*I23:I25),SUMPRODUCT(I28:I51,I2:I25)/SUMPRODUCT((I28:I51&lt;&gt;"")*I2:I25))</f>
        <v/>
      </c>
      <c r="J58" s="17">
        <f>IFERROR(SUMPRODUCT(J49:J51,J23:J25)/SUMPRODUCT((J49:J51&lt;&gt;"")*J23:J25),SUMPRODUCT(J28:J51,J2:J25)/SUMPRODUCT((J28:J51&lt;&gt;"")*J2:J25))</f>
        <v/>
      </c>
      <c r="K58" s="17">
        <f>IFERROR(SUMPRODUCT(K49:K51,K23:K25)/SUMPRODUCT((K49:K51&lt;&gt;"")*K23:K25),SUMPRODUCT(K28:K51,K2:K25)/SUMPRODUCT((K28:K51&lt;&gt;"")*K2:K25))</f>
        <v/>
      </c>
      <c r="L58" s="17">
        <f>IFERROR(SUMPRODUCT(L49:L51,L23:L25)/SUMPRODUCT((L49:L51&lt;&gt;"")*L23:L25),SUMPRODUCT(L28:L51,L2:L25)/SUMPRODUCT((L28:L51&lt;&gt;"")*L2:L25))</f>
        <v/>
      </c>
      <c r="M58" s="17">
        <f>IFERROR(SUMPRODUCT(M49:M51,M23:M25)/SUMPRODUCT((M49:M51&lt;&gt;"")*M23:M25),SUMPRODUCT(M28:M51,M2:M25)/SUMPRODUCT((M28:M51&lt;&gt;"")*M2:M25))</f>
        <v/>
      </c>
      <c r="N58" s="17">
        <f>IFERROR(SUMPRODUCT(N49:N51,N23:N25)/SUMPRODUCT((N49:N51&lt;&gt;"")*N23:N25),SUMPRODUCT(N28:N51,N2:N25)/SUMPRODUCT((N28:N51&lt;&gt;"")*N2:N25))</f>
        <v/>
      </c>
      <c r="O58" s="17">
        <f>IFERROR(SUMPRODUCT(O49:O51,O23:O25)/SUMPRODUCT((O49:O51&lt;&gt;"")*O23:O25),SUMPRODUCT(O28:O51,O2:O25)/SUMPRODUCT((O28:O51&lt;&gt;"")*O2:O25))</f>
        <v/>
      </c>
      <c r="P58" s="17">
        <f>IFERROR(SUMPRODUCT(P49:P51,P23:P25)/SUMPRODUCT((P49:P51&lt;&gt;"")*P23:P25),SUMPRODUCT(P28:P51,P2:P25)/SUMPRODUCT((P28:P51&lt;&gt;"")*P2:P25))</f>
        <v/>
      </c>
      <c r="Q58" s="17">
        <f>IFERROR(SUMPRODUCT(Q49:Q51,Q23:Q25)/SUMPRODUCT((Q49:Q51&lt;&gt;"")*Q23:Q25),SUMPRODUCT(Q28:Q51,Q2:Q25)/SUMPRODUCT((Q28:Q51&lt;&gt;"")*Q2:Q25))</f>
        <v/>
      </c>
      <c r="R58" s="17">
        <f>IFERROR(SUMPRODUCT(R49:R51,R23:R25)/SUMPRODUCT((R49:R51&lt;&gt;"")*R23:R25),SUMPRODUCT(R28:R51,R2:R25)/SUMPRODUCT((R28:R51&lt;&gt;"")*R2:R25))</f>
        <v/>
      </c>
      <c r="S58" s="17">
        <f>IFERROR(SUMPRODUCT(S49:S51,S23:S25)/SUMPRODUCT((S49:S51&lt;&gt;"")*S23:S25),SUMPRODUCT(S28:S51,S2:S25)/SUMPRODUCT((S28:S51&lt;&gt;"")*S2:S25))</f>
        <v/>
      </c>
      <c r="T58" s="17">
        <f>IFERROR(SUMPRODUCT(T49:T51,T23:T25)/SUMPRODUCT((T49:T51&lt;&gt;"")*T23:T25),SUMPRODUCT(T28:T51,T2:T25)/SUMPRODUCT((T28:T51&lt;&gt;"")*T2:T25))</f>
        <v/>
      </c>
      <c r="U58" s="17">
        <f>IFERROR(SUMPRODUCT(U49:U51,U23:U25)/SUMPRODUCT((U49:U51&lt;&gt;"")*U23:U25),SUMPRODUCT(U28:U51,U2:U25)/SUMPRODUCT((U28:U51&lt;&gt;"")*U2:U25))</f>
        <v/>
      </c>
      <c r="V58" s="17">
        <f>IFERROR(SUMPRODUCT(V49:V51,V23:V25)/SUMPRODUCT((V49:V51&lt;&gt;"")*V23:V25),SUMPRODUCT(V28:V51,V2:V25)/SUMPRODUCT((V28:V51&lt;&gt;"")*V2:V25))</f>
        <v/>
      </c>
      <c r="W58" s="17">
        <f>IFERROR(SUMPRODUCT(W49:W51,W23:W25)/SUMPRODUCT((W49:W51&lt;&gt;"")*W23:W25),SUMPRODUCT(W28:W51,W2:W25)/SUMPRODUCT((W28:W51&lt;&gt;"")*W2:W25))</f>
        <v/>
      </c>
      <c r="X58" s="17">
        <f>IFERROR(SUMPRODUCT(X49:X51,X23:X25)/SUMPRODUCT((X49:X51&lt;&gt;"")*X23:X25),SUMPRODUCT(X28:X51,X2:X25)/SUMPRODUCT((X28:X51&lt;&gt;"")*X2:X25))</f>
        <v/>
      </c>
      <c r="Y58" s="17" t="n"/>
    </row>
    <row r="59">
      <c r="A59" s="19" t="inlineStr">
        <is>
          <t>exclude_high_low_3yr</t>
        </is>
      </c>
      <c r="B59" s="17">
        <f>IFERROR(TRIMMEAN(B49:B51,2/COUNT(B49:B51)),AVERAGE(B28:B51))</f>
        <v/>
      </c>
      <c r="C59" s="17">
        <f>IFERROR(TRIMMEAN(C49:C51,2/COUNT(C49:C51)),AVERAGE(C28:C51))</f>
        <v/>
      </c>
      <c r="D59" s="17">
        <f>IFERROR(TRIMMEAN(D49:D51,2/COUNT(D49:D51)),AVERAGE(D28:D51))</f>
        <v/>
      </c>
      <c r="E59" s="17">
        <f>IFERROR(TRIMMEAN(E49:E51,2/COUNT(E49:E51)),AVERAGE(E28:E51))</f>
        <v/>
      </c>
      <c r="F59" s="17">
        <f>IFERROR(TRIMMEAN(F49:F51,2/COUNT(F49:F51)),AVERAGE(F28:F51))</f>
        <v/>
      </c>
      <c r="G59" s="17">
        <f>IFERROR(TRIMMEAN(G49:G51,2/COUNT(G49:G51)),AVERAGE(G28:G51))</f>
        <v/>
      </c>
      <c r="H59" s="17">
        <f>IFERROR(TRIMMEAN(H49:H51,2/COUNT(H49:H51)),AVERAGE(H28:H51))</f>
        <v/>
      </c>
      <c r="I59" s="17">
        <f>IFERROR(TRIMMEAN(I49:I51,2/COUNT(I49:I51)),AVERAGE(I28:I51))</f>
        <v/>
      </c>
      <c r="J59" s="17">
        <f>IFERROR(TRIMMEAN(J49:J51,2/COUNT(J49:J51)),AVERAGE(J28:J51))</f>
        <v/>
      </c>
      <c r="K59" s="17">
        <f>IFERROR(TRIMMEAN(K49:K51,2/COUNT(K49:K51)),AVERAGE(K28:K51))</f>
        <v/>
      </c>
      <c r="L59" s="17">
        <f>IFERROR(TRIMMEAN(L49:L51,2/COUNT(L49:L51)),AVERAGE(L28:L51))</f>
        <v/>
      </c>
      <c r="M59" s="17">
        <f>IFERROR(TRIMMEAN(M49:M51,2/COUNT(M49:M51)),AVERAGE(M28:M51))</f>
        <v/>
      </c>
      <c r="N59" s="17">
        <f>IFERROR(TRIMMEAN(N49:N51,2/COUNT(N49:N51)),AVERAGE(N28:N51))</f>
        <v/>
      </c>
      <c r="O59" s="17">
        <f>IFERROR(TRIMMEAN(O49:O51,2/COUNT(O49:O51)),AVERAGE(O28:O51))</f>
        <v/>
      </c>
      <c r="P59" s="17">
        <f>IFERROR(TRIMMEAN(P49:P51,2/COUNT(P49:P51)),AVERAGE(P28:P51))</f>
        <v/>
      </c>
      <c r="Q59" s="17">
        <f>IFERROR(TRIMMEAN(Q49:Q51,2/COUNT(Q49:Q51)),AVERAGE(Q28:Q51))</f>
        <v/>
      </c>
      <c r="R59" s="17">
        <f>IFERROR(TRIMMEAN(R49:R51,2/COUNT(R49:R51)),AVERAGE(R28:R51))</f>
        <v/>
      </c>
      <c r="S59" s="17">
        <f>IFERROR(TRIMMEAN(S49:S51,2/COUNT(S49:S51)),AVERAGE(S28:S51))</f>
        <v/>
      </c>
      <c r="T59" s="17">
        <f>IFERROR(TRIMMEAN(T49:T51,2/COUNT(T49:T51)),AVERAGE(T28:T51))</f>
        <v/>
      </c>
      <c r="U59" s="17">
        <f>IFERROR(TRIMMEAN(U49:U51,2/COUNT(U49:U51)),AVERAGE(U28:U51))</f>
        <v/>
      </c>
      <c r="V59" s="17">
        <f>IFERROR(TRIMMEAN(V49:V51,2/COUNT(V49:V51)),AVERAGE(V28:V51))</f>
        <v/>
      </c>
      <c r="W59" s="17">
        <f>IFERROR(TRIMMEAN(W49:W51,2/COUNT(W49:W51)),AVERAGE(W28:W51))</f>
        <v/>
      </c>
      <c r="X59" s="17">
        <f>IFERROR(TRIMMEAN(X49:X51,2/COUNT(X49:X51)),AVERAGE(X28:X51))</f>
        <v/>
      </c>
      <c r="Y59" s="17" t="n"/>
    </row>
    <row r="60">
      <c r="A60" s="19" t="inlineStr">
        <is>
          <t>simple_5yr</t>
        </is>
      </c>
      <c r="B60" s="17">
        <f>IFERROR(AVERAGE(B47:B51),AVERAGE(B28:B51))</f>
        <v/>
      </c>
      <c r="C60" s="17">
        <f>IFERROR(AVERAGE(C47:C51),AVERAGE(C28:C51))</f>
        <v/>
      </c>
      <c r="D60" s="17">
        <f>IFERROR(AVERAGE(D47:D51),AVERAGE(D28:D51))</f>
        <v/>
      </c>
      <c r="E60" s="17">
        <f>IFERROR(AVERAGE(E47:E51),AVERAGE(E28:E51))</f>
        <v/>
      </c>
      <c r="F60" s="17">
        <f>IFERROR(AVERAGE(F47:F51),AVERAGE(F28:F51))</f>
        <v/>
      </c>
      <c r="G60" s="17">
        <f>IFERROR(AVERAGE(G47:G51),AVERAGE(G28:G51))</f>
        <v/>
      </c>
      <c r="H60" s="17">
        <f>IFERROR(AVERAGE(H47:H51),AVERAGE(H28:H51))</f>
        <v/>
      </c>
      <c r="I60" s="17">
        <f>IFERROR(AVERAGE(I47:I51),AVERAGE(I28:I51))</f>
        <v/>
      </c>
      <c r="J60" s="17">
        <f>IFERROR(AVERAGE(J47:J51),AVERAGE(J28:J51))</f>
        <v/>
      </c>
      <c r="K60" s="17">
        <f>IFERROR(AVERAGE(K47:K51),AVERAGE(K28:K51))</f>
        <v/>
      </c>
      <c r="L60" s="17">
        <f>IFERROR(AVERAGE(L47:L51),AVERAGE(L28:L51))</f>
        <v/>
      </c>
      <c r="M60" s="17">
        <f>IFERROR(AVERAGE(M47:M51),AVERAGE(M28:M51))</f>
        <v/>
      </c>
      <c r="N60" s="17">
        <f>IFERROR(AVERAGE(N47:N51),AVERAGE(N28:N51))</f>
        <v/>
      </c>
      <c r="O60" s="17">
        <f>IFERROR(AVERAGE(O47:O51),AVERAGE(O28:O51))</f>
        <v/>
      </c>
      <c r="P60" s="17">
        <f>IFERROR(AVERAGE(P47:P51),AVERAGE(P28:P51))</f>
        <v/>
      </c>
      <c r="Q60" s="17">
        <f>IFERROR(AVERAGE(Q47:Q51),AVERAGE(Q28:Q51))</f>
        <v/>
      </c>
      <c r="R60" s="17">
        <f>IFERROR(AVERAGE(R47:R51),AVERAGE(R28:R51))</f>
        <v/>
      </c>
      <c r="S60" s="17">
        <f>IFERROR(AVERAGE(S47:S51),AVERAGE(S28:S51))</f>
        <v/>
      </c>
      <c r="T60" s="17">
        <f>IFERROR(AVERAGE(T47:T51),AVERAGE(T28:T51))</f>
        <v/>
      </c>
      <c r="U60" s="17">
        <f>IFERROR(AVERAGE(U47:U51),AVERAGE(U28:U51))</f>
        <v/>
      </c>
      <c r="V60" s="17">
        <f>IFERROR(AVERAGE(V47:V51),AVERAGE(V28:V51))</f>
        <v/>
      </c>
      <c r="W60" s="17">
        <f>IFERROR(AVERAGE(W47:W51),AVERAGE(W28:W51))</f>
        <v/>
      </c>
      <c r="X60" s="17">
        <f>IFERROR(AVERAGE(X47:X51),AVERAGE(X28:X51))</f>
        <v/>
      </c>
      <c r="Y60" s="17" t="n"/>
    </row>
    <row r="61">
      <c r="A61" s="19" t="inlineStr">
        <is>
          <t>weighted_5yr</t>
        </is>
      </c>
      <c r="B61" s="17">
        <f>IFERROR(SUMPRODUCT(B47:B51,B21:B25)/SUMPRODUCT((B47:B51&lt;&gt;"")*B21:B25),SUMPRODUCT(B28:B51,B2:B25)/SUMPRODUCT((B28:B51&lt;&gt;"")*B2:B25))</f>
        <v/>
      </c>
      <c r="C61" s="17">
        <f>IFERROR(SUMPRODUCT(C47:C51,C21:C25)/SUMPRODUCT((C47:C51&lt;&gt;"")*C21:C25),SUMPRODUCT(C28:C51,C2:C25)/SUMPRODUCT((C28:C51&lt;&gt;"")*C2:C25))</f>
        <v/>
      </c>
      <c r="D61" s="17">
        <f>IFERROR(SUMPRODUCT(D47:D51,D21:D25)/SUMPRODUCT((D47:D51&lt;&gt;"")*D21:D25),SUMPRODUCT(D28:D51,D2:D25)/SUMPRODUCT((D28:D51&lt;&gt;"")*D2:D25))</f>
        <v/>
      </c>
      <c r="E61" s="17">
        <f>IFERROR(SUMPRODUCT(E47:E51,E21:E25)/SUMPRODUCT((E47:E51&lt;&gt;"")*E21:E25),SUMPRODUCT(E28:E51,E2:E25)/SUMPRODUCT((E28:E51&lt;&gt;"")*E2:E25))</f>
        <v/>
      </c>
      <c r="F61" s="17">
        <f>IFERROR(SUMPRODUCT(F47:F51,F21:F25)/SUMPRODUCT((F47:F51&lt;&gt;"")*F21:F25),SUMPRODUCT(F28:F51,F2:F25)/SUMPRODUCT((F28:F51&lt;&gt;"")*F2:F25))</f>
        <v/>
      </c>
      <c r="G61" s="17">
        <f>IFERROR(SUMPRODUCT(G47:G51,G21:G25)/SUMPRODUCT((G47:G51&lt;&gt;"")*G21:G25),SUMPRODUCT(G28:G51,G2:G25)/SUMPRODUCT((G28:G51&lt;&gt;"")*G2:G25))</f>
        <v/>
      </c>
      <c r="H61" s="17">
        <f>IFERROR(SUMPRODUCT(H47:H51,H21:H25)/SUMPRODUCT((H47:H51&lt;&gt;"")*H21:H25),SUMPRODUCT(H28:H51,H2:H25)/SUMPRODUCT((H28:H51&lt;&gt;"")*H2:H25))</f>
        <v/>
      </c>
      <c r="I61" s="17">
        <f>IFERROR(SUMPRODUCT(I47:I51,I21:I25)/SUMPRODUCT((I47:I51&lt;&gt;"")*I21:I25),SUMPRODUCT(I28:I51,I2:I25)/SUMPRODUCT((I28:I51&lt;&gt;"")*I2:I25))</f>
        <v/>
      </c>
      <c r="J61" s="17">
        <f>IFERROR(SUMPRODUCT(J47:J51,J21:J25)/SUMPRODUCT((J47:J51&lt;&gt;"")*J21:J25),SUMPRODUCT(J28:J51,J2:J25)/SUMPRODUCT((J28:J51&lt;&gt;"")*J2:J25))</f>
        <v/>
      </c>
      <c r="K61" s="17">
        <f>IFERROR(SUMPRODUCT(K47:K51,K21:K25)/SUMPRODUCT((K47:K51&lt;&gt;"")*K21:K25),SUMPRODUCT(K28:K51,K2:K25)/SUMPRODUCT((K28:K51&lt;&gt;"")*K2:K25))</f>
        <v/>
      </c>
      <c r="L61" s="17">
        <f>IFERROR(SUMPRODUCT(L47:L51,L21:L25)/SUMPRODUCT((L47:L51&lt;&gt;"")*L21:L25),SUMPRODUCT(L28:L51,L2:L25)/SUMPRODUCT((L28:L51&lt;&gt;"")*L2:L25))</f>
        <v/>
      </c>
      <c r="M61" s="17">
        <f>IFERROR(SUMPRODUCT(M47:M51,M21:M25)/SUMPRODUCT((M47:M51&lt;&gt;"")*M21:M25),SUMPRODUCT(M28:M51,M2:M25)/SUMPRODUCT((M28:M51&lt;&gt;"")*M2:M25))</f>
        <v/>
      </c>
      <c r="N61" s="17">
        <f>IFERROR(SUMPRODUCT(N47:N51,N21:N25)/SUMPRODUCT((N47:N51&lt;&gt;"")*N21:N25),SUMPRODUCT(N28:N51,N2:N25)/SUMPRODUCT((N28:N51&lt;&gt;"")*N2:N25))</f>
        <v/>
      </c>
      <c r="O61" s="17">
        <f>IFERROR(SUMPRODUCT(O47:O51,O21:O25)/SUMPRODUCT((O47:O51&lt;&gt;"")*O21:O25),SUMPRODUCT(O28:O51,O2:O25)/SUMPRODUCT((O28:O51&lt;&gt;"")*O2:O25))</f>
        <v/>
      </c>
      <c r="P61" s="17">
        <f>IFERROR(SUMPRODUCT(P47:P51,P21:P25)/SUMPRODUCT((P47:P51&lt;&gt;"")*P21:P25),SUMPRODUCT(P28:P51,P2:P25)/SUMPRODUCT((P28:P51&lt;&gt;"")*P2:P25))</f>
        <v/>
      </c>
      <c r="Q61" s="17">
        <f>IFERROR(SUMPRODUCT(Q47:Q51,Q21:Q25)/SUMPRODUCT((Q47:Q51&lt;&gt;"")*Q21:Q25),SUMPRODUCT(Q28:Q51,Q2:Q25)/SUMPRODUCT((Q28:Q51&lt;&gt;"")*Q2:Q25))</f>
        <v/>
      </c>
      <c r="R61" s="17">
        <f>IFERROR(SUMPRODUCT(R47:R51,R21:R25)/SUMPRODUCT((R47:R51&lt;&gt;"")*R21:R25),SUMPRODUCT(R28:R51,R2:R25)/SUMPRODUCT((R28:R51&lt;&gt;"")*R2:R25))</f>
        <v/>
      </c>
      <c r="S61" s="17">
        <f>IFERROR(SUMPRODUCT(S47:S51,S21:S25)/SUMPRODUCT((S47:S51&lt;&gt;"")*S21:S25),SUMPRODUCT(S28:S51,S2:S25)/SUMPRODUCT((S28:S51&lt;&gt;"")*S2:S25))</f>
        <v/>
      </c>
      <c r="T61" s="17">
        <f>IFERROR(SUMPRODUCT(T47:T51,T21:T25)/SUMPRODUCT((T47:T51&lt;&gt;"")*T21:T25),SUMPRODUCT(T28:T51,T2:T25)/SUMPRODUCT((T28:T51&lt;&gt;"")*T2:T25))</f>
        <v/>
      </c>
      <c r="U61" s="17">
        <f>IFERROR(SUMPRODUCT(U47:U51,U21:U25)/SUMPRODUCT((U47:U51&lt;&gt;"")*U21:U25),SUMPRODUCT(U28:U51,U2:U25)/SUMPRODUCT((U28:U51&lt;&gt;"")*U2:U25))</f>
        <v/>
      </c>
      <c r="V61" s="17">
        <f>IFERROR(SUMPRODUCT(V47:V51,V21:V25)/SUMPRODUCT((V47:V51&lt;&gt;"")*V21:V25),SUMPRODUCT(V28:V51,V2:V25)/SUMPRODUCT((V28:V51&lt;&gt;"")*V2:V25))</f>
        <v/>
      </c>
      <c r="W61" s="17">
        <f>IFERROR(SUMPRODUCT(W47:W51,W21:W25)/SUMPRODUCT((W47:W51&lt;&gt;"")*W21:W25),SUMPRODUCT(W28:W51,W2:W25)/SUMPRODUCT((W28:W51&lt;&gt;"")*W2:W25))</f>
        <v/>
      </c>
      <c r="X61" s="17">
        <f>IFERROR(SUMPRODUCT(X47:X51,X21:X25)/SUMPRODUCT((X47:X51&lt;&gt;"")*X21:X25),SUMPRODUCT(X28:X51,X2:X25)/SUMPRODUCT((X28:X51&lt;&gt;"")*X2:X25))</f>
        <v/>
      </c>
      <c r="Y61" s="17" t="n"/>
    </row>
    <row r="62">
      <c r="A62" s="19" t="inlineStr">
        <is>
          <t>exclude_high_low_5yr</t>
        </is>
      </c>
      <c r="B62" s="17">
        <f>IFERROR(TRIMMEAN(B47:B51,2/COUNT(B47:B51)),AVERAGE(B28:B51))</f>
        <v/>
      </c>
      <c r="C62" s="17">
        <f>IFERROR(TRIMMEAN(C47:C51,2/COUNT(C47:C51)),AVERAGE(C28:C51))</f>
        <v/>
      </c>
      <c r="D62" s="17">
        <f>IFERROR(TRIMMEAN(D47:D51,2/COUNT(D47:D51)),AVERAGE(D28:D51))</f>
        <v/>
      </c>
      <c r="E62" s="17">
        <f>IFERROR(TRIMMEAN(E47:E51,2/COUNT(E47:E51)),AVERAGE(E28:E51))</f>
        <v/>
      </c>
      <c r="F62" s="17">
        <f>IFERROR(TRIMMEAN(F47:F51,2/COUNT(F47:F51)),AVERAGE(F28:F51))</f>
        <v/>
      </c>
      <c r="G62" s="17">
        <f>IFERROR(TRIMMEAN(G47:G51,2/COUNT(G47:G51)),AVERAGE(G28:G51))</f>
        <v/>
      </c>
      <c r="H62" s="17">
        <f>IFERROR(TRIMMEAN(H47:H51,2/COUNT(H47:H51)),AVERAGE(H28:H51))</f>
        <v/>
      </c>
      <c r="I62" s="17">
        <f>IFERROR(TRIMMEAN(I47:I51,2/COUNT(I47:I51)),AVERAGE(I28:I51))</f>
        <v/>
      </c>
      <c r="J62" s="17">
        <f>IFERROR(TRIMMEAN(J47:J51,2/COUNT(J47:J51)),AVERAGE(J28:J51))</f>
        <v/>
      </c>
      <c r="K62" s="17">
        <f>IFERROR(TRIMMEAN(K47:K51,2/COUNT(K47:K51)),AVERAGE(K28:K51))</f>
        <v/>
      </c>
      <c r="L62" s="17">
        <f>IFERROR(TRIMMEAN(L47:L51,2/COUNT(L47:L51)),AVERAGE(L28:L51))</f>
        <v/>
      </c>
      <c r="M62" s="17">
        <f>IFERROR(TRIMMEAN(M47:M51,2/COUNT(M47:M51)),AVERAGE(M28:M51))</f>
        <v/>
      </c>
      <c r="N62" s="17">
        <f>IFERROR(TRIMMEAN(N47:N51,2/COUNT(N47:N51)),AVERAGE(N28:N51))</f>
        <v/>
      </c>
      <c r="O62" s="17">
        <f>IFERROR(TRIMMEAN(O47:O51,2/COUNT(O47:O51)),AVERAGE(O28:O51))</f>
        <v/>
      </c>
      <c r="P62" s="17">
        <f>IFERROR(TRIMMEAN(P47:P51,2/COUNT(P47:P51)),AVERAGE(P28:P51))</f>
        <v/>
      </c>
      <c r="Q62" s="17">
        <f>IFERROR(TRIMMEAN(Q47:Q51,2/COUNT(Q47:Q51)),AVERAGE(Q28:Q51))</f>
        <v/>
      </c>
      <c r="R62" s="17">
        <f>IFERROR(TRIMMEAN(R47:R51,2/COUNT(R47:R51)),AVERAGE(R28:R51))</f>
        <v/>
      </c>
      <c r="S62" s="17">
        <f>IFERROR(TRIMMEAN(S47:S51,2/COUNT(S47:S51)),AVERAGE(S28:S51))</f>
        <v/>
      </c>
      <c r="T62" s="17">
        <f>IFERROR(TRIMMEAN(T47:T51,2/COUNT(T47:T51)),AVERAGE(T28:T51))</f>
        <v/>
      </c>
      <c r="U62" s="17">
        <f>IFERROR(TRIMMEAN(U47:U51,2/COUNT(U47:U51)),AVERAGE(U28:U51))</f>
        <v/>
      </c>
      <c r="V62" s="17">
        <f>IFERROR(TRIMMEAN(V47:V51,2/COUNT(V47:V51)),AVERAGE(V28:V51))</f>
        <v/>
      </c>
      <c r="W62" s="17">
        <f>IFERROR(TRIMMEAN(W47:W51,2/COUNT(W47:W51)),AVERAGE(W28:W51))</f>
        <v/>
      </c>
      <c r="X62" s="17">
        <f>IFERROR(TRIMMEAN(X47:X51,2/COUNT(X47:X51)),AVERAGE(X28:X51))</f>
        <v/>
      </c>
      <c r="Y62" s="17" t="n"/>
    </row>
    <row r="63">
      <c r="A63" s="19" t="inlineStr">
        <is>
          <t>simple_10yr</t>
        </is>
      </c>
      <c r="B63" s="17">
        <f>IFERROR(AVERAGE(B42:B51),AVERAGE(B28:B51))</f>
        <v/>
      </c>
      <c r="C63" s="17">
        <f>IFERROR(AVERAGE(C42:C51),AVERAGE(C28:C51))</f>
        <v/>
      </c>
      <c r="D63" s="17">
        <f>IFERROR(AVERAGE(D42:D51),AVERAGE(D28:D51))</f>
        <v/>
      </c>
      <c r="E63" s="17">
        <f>IFERROR(AVERAGE(E42:E51),AVERAGE(E28:E51))</f>
        <v/>
      </c>
      <c r="F63" s="17">
        <f>IFERROR(AVERAGE(F42:F51),AVERAGE(F28:F51))</f>
        <v/>
      </c>
      <c r="G63" s="17">
        <f>IFERROR(AVERAGE(G42:G51),AVERAGE(G28:G51))</f>
        <v/>
      </c>
      <c r="H63" s="17">
        <f>IFERROR(AVERAGE(H42:H51),AVERAGE(H28:H51))</f>
        <v/>
      </c>
      <c r="I63" s="17">
        <f>IFERROR(AVERAGE(I42:I51),AVERAGE(I28:I51))</f>
        <v/>
      </c>
      <c r="J63" s="17">
        <f>IFERROR(AVERAGE(J42:J51),AVERAGE(J28:J51))</f>
        <v/>
      </c>
      <c r="K63" s="17">
        <f>IFERROR(AVERAGE(K42:K51),AVERAGE(K28:K51))</f>
        <v/>
      </c>
      <c r="L63" s="17">
        <f>IFERROR(AVERAGE(L42:L51),AVERAGE(L28:L51))</f>
        <v/>
      </c>
      <c r="M63" s="17">
        <f>IFERROR(AVERAGE(M42:M51),AVERAGE(M28:M51))</f>
        <v/>
      </c>
      <c r="N63" s="17">
        <f>IFERROR(AVERAGE(N42:N51),AVERAGE(N28:N51))</f>
        <v/>
      </c>
      <c r="O63" s="17">
        <f>IFERROR(AVERAGE(O42:O51),AVERAGE(O28:O51))</f>
        <v/>
      </c>
      <c r="P63" s="17">
        <f>IFERROR(AVERAGE(P42:P51),AVERAGE(P28:P51))</f>
        <v/>
      </c>
      <c r="Q63" s="17">
        <f>IFERROR(AVERAGE(Q42:Q51),AVERAGE(Q28:Q51))</f>
        <v/>
      </c>
      <c r="R63" s="17">
        <f>IFERROR(AVERAGE(R42:R51),AVERAGE(R28:R51))</f>
        <v/>
      </c>
      <c r="S63" s="17">
        <f>IFERROR(AVERAGE(S42:S51),AVERAGE(S28:S51))</f>
        <v/>
      </c>
      <c r="T63" s="17">
        <f>IFERROR(AVERAGE(T42:T51),AVERAGE(T28:T51))</f>
        <v/>
      </c>
      <c r="U63" s="17">
        <f>IFERROR(AVERAGE(U42:U51),AVERAGE(U28:U51))</f>
        <v/>
      </c>
      <c r="V63" s="17">
        <f>IFERROR(AVERAGE(V42:V51),AVERAGE(V28:V51))</f>
        <v/>
      </c>
      <c r="W63" s="17">
        <f>IFERROR(AVERAGE(W42:W51),AVERAGE(W28:W51))</f>
        <v/>
      </c>
      <c r="X63" s="17">
        <f>IFERROR(AVERAGE(X42:X51),AVERAGE(X28:X51))</f>
        <v/>
      </c>
      <c r="Y63" s="17" t="n"/>
    </row>
    <row r="64">
      <c r="A64" s="19" t="inlineStr">
        <is>
          <t>weighted_10yr</t>
        </is>
      </c>
      <c r="B64" s="17">
        <f>IFERROR(SUMPRODUCT(B42:B51,B16:B25)/SUMPRODUCT((B42:B51&lt;&gt;"")*B16:B25),SUMPRODUCT(B28:B51,B2:B25)/SUMPRODUCT((B28:B51&lt;&gt;"")*B2:B25))</f>
        <v/>
      </c>
      <c r="C64" s="17">
        <f>IFERROR(SUMPRODUCT(C42:C51,C16:C25)/SUMPRODUCT((C42:C51&lt;&gt;"")*C16:C25),SUMPRODUCT(C28:C51,C2:C25)/SUMPRODUCT((C28:C51&lt;&gt;"")*C2:C25))</f>
        <v/>
      </c>
      <c r="D64" s="17">
        <f>IFERROR(SUMPRODUCT(D42:D51,D16:D25)/SUMPRODUCT((D42:D51&lt;&gt;"")*D16:D25),SUMPRODUCT(D28:D51,D2:D25)/SUMPRODUCT((D28:D51&lt;&gt;"")*D2:D25))</f>
        <v/>
      </c>
      <c r="E64" s="17">
        <f>IFERROR(SUMPRODUCT(E42:E51,E16:E25)/SUMPRODUCT((E42:E51&lt;&gt;"")*E16:E25),SUMPRODUCT(E28:E51,E2:E25)/SUMPRODUCT((E28:E51&lt;&gt;"")*E2:E25))</f>
        <v/>
      </c>
      <c r="F64" s="17">
        <f>IFERROR(SUMPRODUCT(F42:F51,F16:F25)/SUMPRODUCT((F42:F51&lt;&gt;"")*F16:F25),SUMPRODUCT(F28:F51,F2:F25)/SUMPRODUCT((F28:F51&lt;&gt;"")*F2:F25))</f>
        <v/>
      </c>
      <c r="G64" s="17">
        <f>IFERROR(SUMPRODUCT(G42:G51,G16:G25)/SUMPRODUCT((G42:G51&lt;&gt;"")*G16:G25),SUMPRODUCT(G28:G51,G2:G25)/SUMPRODUCT((G28:G51&lt;&gt;"")*G2:G25))</f>
        <v/>
      </c>
      <c r="H64" s="17">
        <f>IFERROR(SUMPRODUCT(H42:H51,H16:H25)/SUMPRODUCT((H42:H51&lt;&gt;"")*H16:H25),SUMPRODUCT(H28:H51,H2:H25)/SUMPRODUCT((H28:H51&lt;&gt;"")*H2:H25))</f>
        <v/>
      </c>
      <c r="I64" s="17">
        <f>IFERROR(SUMPRODUCT(I42:I51,I16:I25)/SUMPRODUCT((I42:I51&lt;&gt;"")*I16:I25),SUMPRODUCT(I28:I51,I2:I25)/SUMPRODUCT((I28:I51&lt;&gt;"")*I2:I25))</f>
        <v/>
      </c>
      <c r="J64" s="17">
        <f>IFERROR(SUMPRODUCT(J42:J51,J16:J25)/SUMPRODUCT((J42:J51&lt;&gt;"")*J16:J25),SUMPRODUCT(J28:J51,J2:J25)/SUMPRODUCT((J28:J51&lt;&gt;"")*J2:J25))</f>
        <v/>
      </c>
      <c r="K64" s="17">
        <f>IFERROR(SUMPRODUCT(K42:K51,K16:K25)/SUMPRODUCT((K42:K51&lt;&gt;"")*K16:K25),SUMPRODUCT(K28:K51,K2:K25)/SUMPRODUCT((K28:K51&lt;&gt;"")*K2:K25))</f>
        <v/>
      </c>
      <c r="L64" s="17">
        <f>IFERROR(SUMPRODUCT(L42:L51,L16:L25)/SUMPRODUCT((L42:L51&lt;&gt;"")*L16:L25),SUMPRODUCT(L28:L51,L2:L25)/SUMPRODUCT((L28:L51&lt;&gt;"")*L2:L25))</f>
        <v/>
      </c>
      <c r="M64" s="17">
        <f>IFERROR(SUMPRODUCT(M42:M51,M16:M25)/SUMPRODUCT((M42:M51&lt;&gt;"")*M16:M25),SUMPRODUCT(M28:M51,M2:M25)/SUMPRODUCT((M28:M51&lt;&gt;"")*M2:M25))</f>
        <v/>
      </c>
      <c r="N64" s="17">
        <f>IFERROR(SUMPRODUCT(N42:N51,N16:N25)/SUMPRODUCT((N42:N51&lt;&gt;"")*N16:N25),SUMPRODUCT(N28:N51,N2:N25)/SUMPRODUCT((N28:N51&lt;&gt;"")*N2:N25))</f>
        <v/>
      </c>
      <c r="O64" s="17">
        <f>IFERROR(SUMPRODUCT(O42:O51,O16:O25)/SUMPRODUCT((O42:O51&lt;&gt;"")*O16:O25),SUMPRODUCT(O28:O51,O2:O25)/SUMPRODUCT((O28:O51&lt;&gt;"")*O2:O25))</f>
        <v/>
      </c>
      <c r="P64" s="17">
        <f>IFERROR(SUMPRODUCT(P42:P51,P16:P25)/SUMPRODUCT((P42:P51&lt;&gt;"")*P16:P25),SUMPRODUCT(P28:P51,P2:P25)/SUMPRODUCT((P28:P51&lt;&gt;"")*P2:P25))</f>
        <v/>
      </c>
      <c r="Q64" s="17">
        <f>IFERROR(SUMPRODUCT(Q42:Q51,Q16:Q25)/SUMPRODUCT((Q42:Q51&lt;&gt;"")*Q16:Q25),SUMPRODUCT(Q28:Q51,Q2:Q25)/SUMPRODUCT((Q28:Q51&lt;&gt;"")*Q2:Q25))</f>
        <v/>
      </c>
      <c r="R64" s="17">
        <f>IFERROR(SUMPRODUCT(R42:R51,R16:R25)/SUMPRODUCT((R42:R51&lt;&gt;"")*R16:R25),SUMPRODUCT(R28:R51,R2:R25)/SUMPRODUCT((R28:R51&lt;&gt;"")*R2:R25))</f>
        <v/>
      </c>
      <c r="S64" s="17">
        <f>IFERROR(SUMPRODUCT(S42:S51,S16:S25)/SUMPRODUCT((S42:S51&lt;&gt;"")*S16:S25),SUMPRODUCT(S28:S51,S2:S25)/SUMPRODUCT((S28:S51&lt;&gt;"")*S2:S25))</f>
        <v/>
      </c>
      <c r="T64" s="17">
        <f>IFERROR(SUMPRODUCT(T42:T51,T16:T25)/SUMPRODUCT((T42:T51&lt;&gt;"")*T16:T25),SUMPRODUCT(T28:T51,T2:T25)/SUMPRODUCT((T28:T51&lt;&gt;"")*T2:T25))</f>
        <v/>
      </c>
      <c r="U64" s="17">
        <f>IFERROR(SUMPRODUCT(U42:U51,U16:U25)/SUMPRODUCT((U42:U51&lt;&gt;"")*U16:U25),SUMPRODUCT(U28:U51,U2:U25)/SUMPRODUCT((U28:U51&lt;&gt;"")*U2:U25))</f>
        <v/>
      </c>
      <c r="V64" s="17">
        <f>IFERROR(SUMPRODUCT(V42:V51,V16:V25)/SUMPRODUCT((V42:V51&lt;&gt;"")*V16:V25),SUMPRODUCT(V28:V51,V2:V25)/SUMPRODUCT((V28:V51&lt;&gt;"")*V2:V25))</f>
        <v/>
      </c>
      <c r="W64" s="17">
        <f>IFERROR(SUMPRODUCT(W42:W51,W16:W25)/SUMPRODUCT((W42:W51&lt;&gt;"")*W16:W25),SUMPRODUCT(W28:W51,W2:W25)/SUMPRODUCT((W28:W51&lt;&gt;"")*W2:W25))</f>
        <v/>
      </c>
      <c r="X64" s="17">
        <f>IFERROR(SUMPRODUCT(X42:X51,X16:X25)/SUMPRODUCT((X42:X51&lt;&gt;"")*X16:X25),SUMPRODUCT(X28:X51,X2:X25)/SUMPRODUCT((X28:X51&lt;&gt;"")*X2:X25))</f>
        <v/>
      </c>
      <c r="Y64" s="17" t="n"/>
    </row>
    <row r="65">
      <c r="A65" s="19" t="inlineStr">
        <is>
          <t>exclude_high_low_10yr</t>
        </is>
      </c>
      <c r="B65" s="17">
        <f>IFERROR(TRIMMEAN(B42:B51,2/COUNT(B42:B51)),AVERAGE(B28:B51))</f>
        <v/>
      </c>
      <c r="C65" s="17">
        <f>IFERROR(TRIMMEAN(C42:C51,2/COUNT(C42:C51)),AVERAGE(C28:C51))</f>
        <v/>
      </c>
      <c r="D65" s="17">
        <f>IFERROR(TRIMMEAN(D42:D51,2/COUNT(D42:D51)),AVERAGE(D28:D51))</f>
        <v/>
      </c>
      <c r="E65" s="17">
        <f>IFERROR(TRIMMEAN(E42:E51,2/COUNT(E42:E51)),AVERAGE(E28:E51))</f>
        <v/>
      </c>
      <c r="F65" s="17">
        <f>IFERROR(TRIMMEAN(F42:F51,2/COUNT(F42:F51)),AVERAGE(F28:F51))</f>
        <v/>
      </c>
      <c r="G65" s="17">
        <f>IFERROR(TRIMMEAN(G42:G51,2/COUNT(G42:G51)),AVERAGE(G28:G51))</f>
        <v/>
      </c>
      <c r="H65" s="17">
        <f>IFERROR(TRIMMEAN(H42:H51,2/COUNT(H42:H51)),AVERAGE(H28:H51))</f>
        <v/>
      </c>
      <c r="I65" s="17">
        <f>IFERROR(TRIMMEAN(I42:I51,2/COUNT(I42:I51)),AVERAGE(I28:I51))</f>
        <v/>
      </c>
      <c r="J65" s="17">
        <f>IFERROR(TRIMMEAN(J42:J51,2/COUNT(J42:J51)),AVERAGE(J28:J51))</f>
        <v/>
      </c>
      <c r="K65" s="17">
        <f>IFERROR(TRIMMEAN(K42:K51,2/COUNT(K42:K51)),AVERAGE(K28:K51))</f>
        <v/>
      </c>
      <c r="L65" s="17">
        <f>IFERROR(TRIMMEAN(L42:L51,2/COUNT(L42:L51)),AVERAGE(L28:L51))</f>
        <v/>
      </c>
      <c r="M65" s="17">
        <f>IFERROR(TRIMMEAN(M42:M51,2/COUNT(M42:M51)),AVERAGE(M28:M51))</f>
        <v/>
      </c>
      <c r="N65" s="17">
        <f>IFERROR(TRIMMEAN(N42:N51,2/COUNT(N42:N51)),AVERAGE(N28:N51))</f>
        <v/>
      </c>
      <c r="O65" s="17">
        <f>IFERROR(TRIMMEAN(O42:O51,2/COUNT(O42:O51)),AVERAGE(O28:O51))</f>
        <v/>
      </c>
      <c r="P65" s="17">
        <f>IFERROR(TRIMMEAN(P42:P51,2/COUNT(P42:P51)),AVERAGE(P28:P51))</f>
        <v/>
      </c>
      <c r="Q65" s="17">
        <f>IFERROR(TRIMMEAN(Q42:Q51,2/COUNT(Q42:Q51)),AVERAGE(Q28:Q51))</f>
        <v/>
      </c>
      <c r="R65" s="17">
        <f>IFERROR(TRIMMEAN(R42:R51,2/COUNT(R42:R51)),AVERAGE(R28:R51))</f>
        <v/>
      </c>
      <c r="S65" s="17">
        <f>IFERROR(TRIMMEAN(S42:S51,2/COUNT(S42:S51)),AVERAGE(S28:S51))</f>
        <v/>
      </c>
      <c r="T65" s="17">
        <f>IFERROR(TRIMMEAN(T42:T51,2/COUNT(T42:T51)),AVERAGE(T28:T51))</f>
        <v/>
      </c>
      <c r="U65" s="17">
        <f>IFERROR(TRIMMEAN(U42:U51,2/COUNT(U42:U51)),AVERAGE(U28:U51))</f>
        <v/>
      </c>
      <c r="V65" s="17">
        <f>IFERROR(TRIMMEAN(V42:V51,2/COUNT(V42:V51)),AVERAGE(V28:V51))</f>
        <v/>
      </c>
      <c r="W65" s="17">
        <f>IFERROR(TRIMMEAN(W42:W51,2/COUNT(W42:W51)),AVERAGE(W28:W51))</f>
        <v/>
      </c>
      <c r="X65" s="17">
        <f>IFERROR(TRIMMEAN(X42:X51,2/COUNT(X42:X51)),AVERAGE(X28:X51))</f>
        <v/>
      </c>
      <c r="Y65" s="17" t="n"/>
    </row>
    <row r="66"/>
    <row r="67">
      <c r="A67" s="20" t="n"/>
      <c r="B67" s="8" t="inlineStr">
        <is>
          <t>11-23</t>
        </is>
      </c>
      <c r="C67" s="8" t="inlineStr">
        <is>
          <t>23-35</t>
        </is>
      </c>
      <c r="D67" s="8" t="inlineStr">
        <is>
          <t>35-47</t>
        </is>
      </c>
      <c r="E67" s="8" t="inlineStr">
        <is>
          <t>47-59</t>
        </is>
      </c>
      <c r="F67" s="8" t="inlineStr">
        <is>
          <t>59-71</t>
        </is>
      </c>
      <c r="G67" s="8" t="inlineStr">
        <is>
          <t>71-83</t>
        </is>
      </c>
      <c r="H67" s="8" t="inlineStr">
        <is>
          <t>83-95</t>
        </is>
      </c>
      <c r="I67" s="8" t="inlineStr">
        <is>
          <t>95-107</t>
        </is>
      </c>
      <c r="J67" s="8" t="inlineStr">
        <is>
          <t>107-119</t>
        </is>
      </c>
      <c r="K67" s="8" t="inlineStr">
        <is>
          <t>119-131</t>
        </is>
      </c>
      <c r="L67" s="8" t="inlineStr">
        <is>
          <t>131-143</t>
        </is>
      </c>
      <c r="M67" s="8" t="inlineStr">
        <is>
          <t>143-155</t>
        </is>
      </c>
      <c r="N67" s="8" t="inlineStr">
        <is>
          <t>155-167</t>
        </is>
      </c>
      <c r="O67" s="8" t="inlineStr">
        <is>
          <t>167-179</t>
        </is>
      </c>
      <c r="P67" s="8" t="inlineStr">
        <is>
          <t>179-191</t>
        </is>
      </c>
      <c r="Q67" s="8" t="inlineStr">
        <is>
          <t>191-203</t>
        </is>
      </c>
      <c r="R67" s="8" t="inlineStr">
        <is>
          <t>203-215</t>
        </is>
      </c>
      <c r="S67" s="8" t="inlineStr">
        <is>
          <t>215-227</t>
        </is>
      </c>
      <c r="T67" s="8" t="inlineStr">
        <is>
          <t>227-239</t>
        </is>
      </c>
      <c r="U67" s="8" t="inlineStr">
        <is>
          <t>239-251</t>
        </is>
      </c>
      <c r="V67" s="8" t="inlineStr">
        <is>
          <t>251-263</t>
        </is>
      </c>
      <c r="W67" s="8" t="inlineStr">
        <is>
          <t>263-275</t>
        </is>
      </c>
      <c r="X67" s="8" t="inlineStr">
        <is>
          <t>275-287</t>
        </is>
      </c>
    </row>
    <row r="68">
      <c r="A68" s="21" t="inlineStr">
        <is>
          <t>Selected</t>
        </is>
      </c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23">
        <f>A68</f>
        <v/>
      </c>
    </row>
    <row r="70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Y7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8" t="inlineStr">
        <is>
          <t>Period</t>
        </is>
      </c>
      <c r="B1" s="8" t="inlineStr">
        <is>
          <t>11</t>
        </is>
      </c>
      <c r="C1" s="8" t="inlineStr">
        <is>
          <t>23</t>
        </is>
      </c>
      <c r="D1" s="8" t="inlineStr">
        <is>
          <t>35</t>
        </is>
      </c>
      <c r="E1" s="8" t="inlineStr">
        <is>
          <t>47</t>
        </is>
      </c>
      <c r="F1" s="8" t="inlineStr">
        <is>
          <t>59</t>
        </is>
      </c>
      <c r="G1" s="8" t="inlineStr">
        <is>
          <t>71</t>
        </is>
      </c>
      <c r="H1" s="8" t="inlineStr">
        <is>
          <t>83</t>
        </is>
      </c>
      <c r="I1" s="8" t="inlineStr">
        <is>
          <t>95</t>
        </is>
      </c>
      <c r="J1" s="8" t="inlineStr">
        <is>
          <t>107</t>
        </is>
      </c>
      <c r="K1" s="8" t="inlineStr">
        <is>
          <t>119</t>
        </is>
      </c>
      <c r="L1" s="8" t="inlineStr">
        <is>
          <t>131</t>
        </is>
      </c>
      <c r="M1" s="8" t="inlineStr">
        <is>
          <t>143</t>
        </is>
      </c>
      <c r="N1" s="8" t="inlineStr">
        <is>
          <t>155</t>
        </is>
      </c>
      <c r="O1" s="8" t="inlineStr">
        <is>
          <t>167</t>
        </is>
      </c>
      <c r="P1" s="8" t="inlineStr">
        <is>
          <t>179</t>
        </is>
      </c>
      <c r="Q1" s="8" t="inlineStr">
        <is>
          <t>191</t>
        </is>
      </c>
      <c r="R1" s="8" t="inlineStr">
        <is>
          <t>203</t>
        </is>
      </c>
      <c r="S1" s="8" t="inlineStr">
        <is>
          <t>215</t>
        </is>
      </c>
      <c r="T1" s="8" t="inlineStr">
        <is>
          <t>227</t>
        </is>
      </c>
      <c r="U1" s="8" t="inlineStr">
        <is>
          <t>239</t>
        </is>
      </c>
      <c r="V1" s="8" t="inlineStr">
        <is>
          <t>251</t>
        </is>
      </c>
      <c r="W1" s="8" t="inlineStr">
        <is>
          <t>263</t>
        </is>
      </c>
      <c r="X1" s="8" t="inlineStr">
        <is>
          <t>275</t>
        </is>
      </c>
      <c r="Y1" s="8" t="inlineStr">
        <is>
          <t>287</t>
        </is>
      </c>
    </row>
    <row r="2">
      <c r="A2" s="15" t="inlineStr">
        <is>
          <t>2001</t>
        </is>
      </c>
      <c r="B2" s="16" t="n">
        <v>326044.1288</v>
      </c>
      <c r="C2" s="16" t="n">
        <v>1047371.7984</v>
      </c>
      <c r="D2" s="16" t="n">
        <v>1545726.656</v>
      </c>
      <c r="E2" s="16" t="n">
        <v>1910965.544</v>
      </c>
      <c r="F2" s="16" t="n">
        <v>2224220.1096</v>
      </c>
      <c r="G2" s="16" t="n">
        <v>2283775.9933</v>
      </c>
      <c r="H2" s="16" t="n">
        <v>2261772.9961</v>
      </c>
      <c r="I2" s="16" t="n">
        <v>2292314.1748</v>
      </c>
      <c r="J2" s="16" t="n">
        <v>2314545.3704</v>
      </c>
      <c r="K2" s="16" t="n">
        <v>2342384.5889</v>
      </c>
      <c r="L2" s="16" t="n">
        <v>2398200.0136</v>
      </c>
      <c r="M2" s="16" t="n">
        <v>2455705.4765</v>
      </c>
      <c r="N2" s="16" t="n">
        <v>2495723.8508</v>
      </c>
      <c r="O2" s="16" t="n">
        <v>2559116.709</v>
      </c>
      <c r="P2" s="16" t="n">
        <v>2614164.5488</v>
      </c>
      <c r="Q2" s="16" t="n">
        <v>2694350.0428</v>
      </c>
      <c r="R2" s="16" t="n">
        <v>2782412.2292</v>
      </c>
      <c r="S2" s="16" t="n">
        <v>2857646.1353</v>
      </c>
      <c r="T2" s="16" t="n">
        <v>2967071.854</v>
      </c>
      <c r="U2" s="16" t="n">
        <v>2967071.854</v>
      </c>
      <c r="V2" s="16" t="n">
        <v>2989162.0372</v>
      </c>
      <c r="W2" s="16" t="n">
        <v>3011385.8034</v>
      </c>
      <c r="X2" s="16" t="n">
        <v>3030381.2211</v>
      </c>
      <c r="Y2" s="16" t="n">
        <v>3042294.6623</v>
      </c>
    </row>
    <row r="3">
      <c r="A3" s="15" t="inlineStr">
        <is>
          <t>2002</t>
        </is>
      </c>
      <c r="B3" s="16" t="n">
        <v>357360.876</v>
      </c>
      <c r="C3" s="16" t="n">
        <v>911072.9536</v>
      </c>
      <c r="D3" s="16" t="n">
        <v>1220370.0388</v>
      </c>
      <c r="E3" s="16" t="n">
        <v>1318345.0604</v>
      </c>
      <c r="F3" s="16" t="n">
        <v>1483442.0638</v>
      </c>
      <c r="G3" s="16" t="n">
        <v>1621735.0882</v>
      </c>
      <c r="H3" s="16" t="n">
        <v>1658328.8102</v>
      </c>
      <c r="I3" s="16" t="n">
        <v>1687704.3334</v>
      </c>
      <c r="J3" s="16" t="n">
        <v>1729579.7281</v>
      </c>
      <c r="K3" s="16" t="n">
        <v>1750198.8871</v>
      </c>
      <c r="L3" s="16" t="n">
        <v>1780997.2031</v>
      </c>
      <c r="M3" s="16" t="n">
        <v>1814423.608</v>
      </c>
      <c r="N3" s="16" t="n">
        <v>1856047.2362</v>
      </c>
      <c r="O3" s="16" t="n">
        <v>1903391.04</v>
      </c>
      <c r="P3" s="16" t="n">
        <v>1943619.046</v>
      </c>
      <c r="Q3" s="16" t="n">
        <v>1981569.4224</v>
      </c>
      <c r="R3" s="16" t="n">
        <v>2038029.9204</v>
      </c>
      <c r="S3" s="16" t="n">
        <v>2079212.9737</v>
      </c>
      <c r="T3" s="16" t="n">
        <v>2112239.6718</v>
      </c>
      <c r="U3" s="16" t="n">
        <v>2137830.2787</v>
      </c>
      <c r="V3" s="16" t="n">
        <v>2159388.4123</v>
      </c>
      <c r="W3" s="16" t="n">
        <v>2180051.1446</v>
      </c>
      <c r="X3" s="16" t="n">
        <v>2199646.2281</v>
      </c>
    </row>
    <row r="4">
      <c r="A4" s="15" t="inlineStr">
        <is>
          <t>2003</t>
        </is>
      </c>
      <c r="B4" s="16" t="n">
        <v>463735.1516</v>
      </c>
      <c r="C4" s="16" t="n">
        <v>1151781.1896</v>
      </c>
      <c r="D4" s="16" t="n">
        <v>1329665.9088</v>
      </c>
      <c r="E4" s="16" t="n">
        <v>1449345.2757</v>
      </c>
      <c r="F4" s="16" t="n">
        <v>1676909.3456</v>
      </c>
      <c r="G4" s="16" t="n">
        <v>1760385.6185</v>
      </c>
      <c r="H4" s="16" t="n">
        <v>1763038.7139</v>
      </c>
      <c r="I4" s="16" t="n">
        <v>1775400.1197</v>
      </c>
      <c r="J4" s="16" t="n">
        <v>1772848.0925</v>
      </c>
      <c r="K4" s="16" t="n">
        <v>1777183.1896</v>
      </c>
      <c r="L4" s="16" t="n">
        <v>1773811.5984</v>
      </c>
      <c r="M4" s="16" t="n">
        <v>1774200.3262</v>
      </c>
      <c r="N4" s="16" t="n">
        <v>1774330.2012</v>
      </c>
      <c r="O4" s="16" t="n">
        <v>1774330.7158</v>
      </c>
      <c r="P4" s="16" t="n">
        <v>1774330.7158</v>
      </c>
      <c r="Q4" s="16" t="n">
        <v>1774330.1088</v>
      </c>
      <c r="R4" s="16" t="n">
        <v>1778091.5758</v>
      </c>
      <c r="S4" s="16" t="n">
        <v>1778091.5758</v>
      </c>
      <c r="T4" s="16" t="n">
        <v>1778091.5758</v>
      </c>
      <c r="U4" s="16" t="n">
        <v>1778091.5758</v>
      </c>
      <c r="V4" s="16" t="n">
        <v>1778091.5758</v>
      </c>
      <c r="W4" s="16" t="n">
        <v>1778091.5758</v>
      </c>
    </row>
    <row r="5">
      <c r="A5" s="15" t="inlineStr">
        <is>
          <t>2004</t>
        </is>
      </c>
      <c r="B5" s="16" t="n">
        <v>256887.8516</v>
      </c>
      <c r="C5" s="16" t="n">
        <v>625982.6108</v>
      </c>
      <c r="D5" s="16" t="n">
        <v>806963.7318</v>
      </c>
      <c r="E5" s="16" t="n">
        <v>903626.9918</v>
      </c>
      <c r="F5" s="16" t="n">
        <v>1055143.9785</v>
      </c>
      <c r="G5" s="16" t="n">
        <v>1059021.0952</v>
      </c>
      <c r="H5" s="16" t="n">
        <v>1076244.8971</v>
      </c>
      <c r="I5" s="16" t="n">
        <v>1084642.2245</v>
      </c>
      <c r="J5" s="16" t="n">
        <v>1104688.4001</v>
      </c>
      <c r="K5" s="16" t="n">
        <v>1097915.1176</v>
      </c>
      <c r="L5" s="16" t="n">
        <v>1101856.2482</v>
      </c>
      <c r="M5" s="16" t="n">
        <v>1108902.1072</v>
      </c>
      <c r="N5" s="16" t="n">
        <v>1109362.6476</v>
      </c>
      <c r="O5" s="16" t="n">
        <v>1111377.6768</v>
      </c>
      <c r="P5" s="16" t="n">
        <v>1112023.7134</v>
      </c>
      <c r="Q5" s="16" t="n">
        <v>1122581.0808</v>
      </c>
      <c r="R5" s="16" t="n">
        <v>1122581.0808</v>
      </c>
      <c r="S5" s="16" t="n">
        <v>1122581.0808</v>
      </c>
      <c r="T5" s="16" t="n">
        <v>1122581.0808</v>
      </c>
      <c r="U5" s="16" t="n">
        <v>1122614.7306</v>
      </c>
      <c r="V5" s="16" t="n">
        <v>1122614.7306</v>
      </c>
    </row>
    <row r="6">
      <c r="A6" s="15" t="inlineStr">
        <is>
          <t>2005</t>
        </is>
      </c>
      <c r="B6" s="16" t="n">
        <v>608992.7608</v>
      </c>
      <c r="C6" s="16" t="n">
        <v>1236895.4952</v>
      </c>
      <c r="D6" s="16" t="n">
        <v>1567631.4222</v>
      </c>
      <c r="E6" s="16" t="n">
        <v>1636425.4164</v>
      </c>
      <c r="F6" s="16" t="n">
        <v>1758637.9007</v>
      </c>
      <c r="G6" s="16" t="n">
        <v>1795133.3653</v>
      </c>
      <c r="H6" s="16" t="n">
        <v>1833000.6993</v>
      </c>
      <c r="I6" s="16" t="n">
        <v>1852087.552</v>
      </c>
      <c r="J6" s="16" t="n">
        <v>1859809.9304</v>
      </c>
      <c r="K6" s="16" t="n">
        <v>1915619.628</v>
      </c>
      <c r="L6" s="16" t="n">
        <v>1970034.7988</v>
      </c>
      <c r="M6" s="16" t="n">
        <v>2009947.4204</v>
      </c>
      <c r="N6" s="16" t="n">
        <v>2075716.2844</v>
      </c>
      <c r="O6" s="16" t="n">
        <v>2114878.8058</v>
      </c>
      <c r="P6" s="16" t="n">
        <v>2178586.6261</v>
      </c>
      <c r="Q6" s="16" t="n">
        <v>2195933.5863</v>
      </c>
      <c r="R6" s="16" t="n">
        <v>2238397.7073</v>
      </c>
      <c r="S6" s="16" t="n">
        <v>2242149.1321</v>
      </c>
      <c r="T6" s="16" t="n">
        <v>2242149.1321</v>
      </c>
      <c r="U6" s="16" t="n">
        <v>2242149.1321</v>
      </c>
    </row>
    <row r="7">
      <c r="A7" s="15" t="inlineStr">
        <is>
          <t>2006</t>
        </is>
      </c>
      <c r="B7" s="16" t="n">
        <v>284786.4257</v>
      </c>
      <c r="C7" s="16" t="n">
        <v>699582.2055</v>
      </c>
      <c r="D7" s="16" t="n">
        <v>893260.3462</v>
      </c>
      <c r="E7" s="16" t="n">
        <v>972843.9706</v>
      </c>
      <c r="F7" s="16" t="n">
        <v>1032368.8569</v>
      </c>
      <c r="G7" s="16" t="n">
        <v>1080435.6828</v>
      </c>
      <c r="H7" s="16" t="n">
        <v>1125111.9944</v>
      </c>
      <c r="I7" s="16" t="n">
        <v>1132751.238</v>
      </c>
      <c r="J7" s="16" t="n">
        <v>1168539.0935</v>
      </c>
      <c r="K7" s="16" t="n">
        <v>1216433.672</v>
      </c>
      <c r="L7" s="16" t="n">
        <v>1328624.7444</v>
      </c>
      <c r="M7" s="16" t="n">
        <v>1365342.6144</v>
      </c>
      <c r="N7" s="16" t="n">
        <v>1379576.1499</v>
      </c>
      <c r="O7" s="16" t="n">
        <v>1405359.4184</v>
      </c>
      <c r="P7" s="16" t="n">
        <v>1414931.5329</v>
      </c>
      <c r="Q7" s="16" t="n">
        <v>1426750.1344</v>
      </c>
      <c r="R7" s="16" t="n">
        <v>1443114.7447</v>
      </c>
      <c r="S7" s="16" t="n">
        <v>1454133.0748</v>
      </c>
      <c r="T7" s="16" t="n">
        <v>1462141.0279</v>
      </c>
    </row>
    <row r="8">
      <c r="A8" s="15" t="inlineStr">
        <is>
          <t>2007</t>
        </is>
      </c>
      <c r="B8" s="16" t="n">
        <v>503577.874</v>
      </c>
      <c r="C8" s="16" t="n">
        <v>1103237.7506</v>
      </c>
      <c r="D8" s="16" t="n">
        <v>1428526.0389</v>
      </c>
      <c r="E8" s="16" t="n">
        <v>1819136.8101</v>
      </c>
      <c r="F8" s="16" t="n">
        <v>2157661.0559</v>
      </c>
      <c r="G8" s="16" t="n">
        <v>2620801.9125</v>
      </c>
      <c r="H8" s="16" t="n">
        <v>2924146.5064</v>
      </c>
      <c r="I8" s="16" t="n">
        <v>3151184.5969</v>
      </c>
      <c r="J8" s="16" t="n">
        <v>3405400.6676</v>
      </c>
      <c r="K8" s="16" t="n">
        <v>3694439.2536</v>
      </c>
      <c r="L8" s="16" t="n">
        <v>3998197.9776</v>
      </c>
      <c r="M8" s="16" t="n">
        <v>4198107.2299</v>
      </c>
      <c r="N8" s="16" t="n">
        <v>4370392.0813</v>
      </c>
      <c r="O8" s="16" t="n">
        <v>4496731.0472</v>
      </c>
      <c r="P8" s="16" t="n">
        <v>4617311.0543</v>
      </c>
      <c r="Q8" s="16" t="n">
        <v>4751466.0901</v>
      </c>
      <c r="R8" s="16" t="n">
        <v>4781329.5223</v>
      </c>
      <c r="S8" s="16" t="n">
        <v>4790693.1532</v>
      </c>
    </row>
    <row r="9">
      <c r="A9" s="15" t="inlineStr">
        <is>
          <t>2008</t>
        </is>
      </c>
      <c r="B9" s="16" t="n">
        <v>353516.7624</v>
      </c>
      <c r="C9" s="16" t="n">
        <v>646575.048</v>
      </c>
      <c r="D9" s="16" t="n">
        <v>869637.4344</v>
      </c>
      <c r="E9" s="16" t="n">
        <v>1188355.7378</v>
      </c>
      <c r="F9" s="16" t="n">
        <v>1229852.5392</v>
      </c>
      <c r="G9" s="16" t="n">
        <v>1267751.5964</v>
      </c>
      <c r="H9" s="16" t="n">
        <v>1276615.5211</v>
      </c>
      <c r="I9" s="16" t="n">
        <v>1284777.0756</v>
      </c>
      <c r="J9" s="16" t="n">
        <v>1299869.3408</v>
      </c>
      <c r="K9" s="16" t="n">
        <v>1317293.3392</v>
      </c>
      <c r="L9" s="16" t="n">
        <v>1331381.9562</v>
      </c>
      <c r="M9" s="16" t="n">
        <v>1333966.5248</v>
      </c>
      <c r="N9" s="16" t="n">
        <v>1337060.2082</v>
      </c>
      <c r="O9" s="16" t="n">
        <v>1338579.3845</v>
      </c>
      <c r="P9" s="16" t="n">
        <v>1339456.8657</v>
      </c>
      <c r="Q9" s="16" t="n">
        <v>1343001.2058</v>
      </c>
      <c r="R9" s="16" t="n">
        <v>1378427.9395</v>
      </c>
    </row>
    <row r="10">
      <c r="A10" s="15" t="inlineStr">
        <is>
          <t>2009</t>
        </is>
      </c>
      <c r="B10" s="16" t="n">
        <v>228667.6382</v>
      </c>
      <c r="C10" s="16" t="n">
        <v>742247.3016</v>
      </c>
      <c r="D10" s="16" t="n">
        <v>811950.8169</v>
      </c>
      <c r="E10" s="16" t="n">
        <v>834061.9289000001</v>
      </c>
      <c r="F10" s="16" t="n">
        <v>894984.3904</v>
      </c>
      <c r="G10" s="16" t="n">
        <v>941084.9331</v>
      </c>
      <c r="H10" s="16" t="n">
        <v>969391.356</v>
      </c>
      <c r="I10" s="16" t="n">
        <v>1018256.144</v>
      </c>
      <c r="J10" s="16" t="n">
        <v>1055610.0612</v>
      </c>
      <c r="K10" s="16" t="n">
        <v>1071106.0052</v>
      </c>
      <c r="L10" s="16" t="n">
        <v>1081182.3785</v>
      </c>
      <c r="M10" s="16" t="n">
        <v>1114205.6456</v>
      </c>
      <c r="N10" s="16" t="n">
        <v>1169581.0893</v>
      </c>
      <c r="O10" s="16" t="n">
        <v>1169581.0893</v>
      </c>
      <c r="P10" s="16" t="n">
        <v>1169581.0893</v>
      </c>
      <c r="Q10" s="16" t="n">
        <v>1169581.0893</v>
      </c>
    </row>
    <row r="11">
      <c r="A11" s="15" t="inlineStr">
        <is>
          <t>2010</t>
        </is>
      </c>
      <c r="B11" s="16" t="n">
        <v>243623.1532</v>
      </c>
      <c r="C11" s="16" t="n">
        <v>673150.5647</v>
      </c>
      <c r="D11" s="16" t="n">
        <v>915252.7733999999</v>
      </c>
      <c r="E11" s="16" t="n">
        <v>1076920.2816</v>
      </c>
      <c r="F11" s="16" t="n">
        <v>1176984.3356</v>
      </c>
      <c r="G11" s="16" t="n">
        <v>1201535.388</v>
      </c>
      <c r="H11" s="16" t="n">
        <v>1260309.0524</v>
      </c>
      <c r="I11" s="16" t="n">
        <v>1262502.2276</v>
      </c>
      <c r="J11" s="16" t="n">
        <v>1266822.057</v>
      </c>
      <c r="K11" s="16" t="n">
        <v>1267621.5366</v>
      </c>
      <c r="L11" s="16" t="n">
        <v>1268264.0499</v>
      </c>
      <c r="M11" s="16" t="n">
        <v>1268337.9475</v>
      </c>
      <c r="N11" s="16" t="n">
        <v>1269144.7773</v>
      </c>
      <c r="O11" s="16" t="n">
        <v>1270069.2627</v>
      </c>
      <c r="P11" s="16" t="n">
        <v>1277672.0721</v>
      </c>
    </row>
    <row r="12">
      <c r="A12" s="15" t="inlineStr">
        <is>
          <t>2011</t>
        </is>
      </c>
      <c r="B12" s="16" t="n">
        <v>364078.0359</v>
      </c>
      <c r="C12" s="16" t="n">
        <v>839046.0318</v>
      </c>
      <c r="D12" s="16" t="n">
        <v>1308017.8708</v>
      </c>
      <c r="E12" s="16" t="n">
        <v>1406826.3913</v>
      </c>
      <c r="F12" s="16" t="n">
        <v>1523414.8592</v>
      </c>
      <c r="G12" s="16" t="n">
        <v>1658815.0564</v>
      </c>
      <c r="H12" s="16" t="n">
        <v>1822167.0208</v>
      </c>
      <c r="I12" s="16" t="n">
        <v>1825756.0557</v>
      </c>
      <c r="J12" s="16" t="n">
        <v>1834064.2045</v>
      </c>
      <c r="K12" s="16" t="n">
        <v>1848125.5322</v>
      </c>
      <c r="L12" s="16" t="n">
        <v>1857745.403</v>
      </c>
      <c r="M12" s="16" t="n">
        <v>1876941.6374</v>
      </c>
      <c r="N12" s="16" t="n">
        <v>1886612.5767</v>
      </c>
      <c r="O12" s="16" t="n">
        <v>1892658.2977</v>
      </c>
    </row>
    <row r="13">
      <c r="A13" s="15" t="inlineStr">
        <is>
          <t>2012</t>
        </is>
      </c>
      <c r="B13" s="16" t="n">
        <v>227809.9905</v>
      </c>
      <c r="C13" s="16" t="n">
        <v>634577.1655999999</v>
      </c>
      <c r="D13" s="16" t="n">
        <v>799343.7148</v>
      </c>
      <c r="E13" s="16" t="n">
        <v>951570.1580000001</v>
      </c>
      <c r="F13" s="16" t="n">
        <v>961178.1655999999</v>
      </c>
      <c r="G13" s="16" t="n">
        <v>967435.7088</v>
      </c>
      <c r="H13" s="16" t="n">
        <v>977662.0018</v>
      </c>
      <c r="I13" s="16" t="n">
        <v>1016181.6668</v>
      </c>
      <c r="J13" s="16" t="n">
        <v>1048240.5835</v>
      </c>
      <c r="K13" s="16" t="n">
        <v>1053040.6285</v>
      </c>
      <c r="L13" s="16" t="n">
        <v>1084319.7934</v>
      </c>
      <c r="M13" s="16" t="n">
        <v>1145575.5199</v>
      </c>
      <c r="N13" s="16" t="n">
        <v>1194236.8783</v>
      </c>
    </row>
    <row r="14">
      <c r="A14" s="15" t="inlineStr">
        <is>
          <t>2013</t>
        </is>
      </c>
      <c r="B14" s="16" t="n">
        <v>202558.6</v>
      </c>
      <c r="C14" s="16" t="n">
        <v>466110.2601</v>
      </c>
      <c r="D14" s="16" t="n">
        <v>544741.4368</v>
      </c>
      <c r="E14" s="16" t="n">
        <v>597598.0148</v>
      </c>
      <c r="F14" s="16" t="n">
        <v>708646.3136</v>
      </c>
      <c r="G14" s="16" t="n">
        <v>706804.6403</v>
      </c>
      <c r="H14" s="16" t="n">
        <v>707153.1202</v>
      </c>
      <c r="I14" s="16" t="n">
        <v>707153.1202</v>
      </c>
      <c r="J14" s="16" t="n">
        <v>708518.7743</v>
      </c>
      <c r="K14" s="16" t="n">
        <v>708518.7743</v>
      </c>
      <c r="L14" s="16" t="n">
        <v>708529.9909</v>
      </c>
      <c r="M14" s="16" t="n">
        <v>708529.9909</v>
      </c>
    </row>
    <row r="15">
      <c r="A15" s="15" t="inlineStr">
        <is>
          <t>2014</t>
        </is>
      </c>
      <c r="B15" s="16" t="n">
        <v>411721.1514</v>
      </c>
      <c r="C15" s="16" t="n">
        <v>738237.024</v>
      </c>
      <c r="D15" s="16" t="n">
        <v>926318.2924</v>
      </c>
      <c r="E15" s="16" t="n">
        <v>1179532.3776</v>
      </c>
      <c r="F15" s="16" t="n">
        <v>1258547.8747</v>
      </c>
      <c r="G15" s="16" t="n">
        <v>1279437.0107</v>
      </c>
      <c r="H15" s="16" t="n">
        <v>1287255.5747</v>
      </c>
      <c r="I15" s="16" t="n">
        <v>1291077.2419</v>
      </c>
      <c r="J15" s="16" t="n">
        <v>1299245.6846</v>
      </c>
      <c r="K15" s="16" t="n">
        <v>1379318.0229</v>
      </c>
      <c r="L15" s="16" t="n">
        <v>1389603.6847</v>
      </c>
    </row>
    <row r="16">
      <c r="A16" s="15" t="inlineStr">
        <is>
          <t>2015</t>
        </is>
      </c>
      <c r="B16" s="16" t="n">
        <v>380424.8448</v>
      </c>
      <c r="C16" s="16" t="n">
        <v>844695.754</v>
      </c>
      <c r="D16" s="16" t="n">
        <v>1420142.9632</v>
      </c>
      <c r="E16" s="16" t="n">
        <v>2080874.3633</v>
      </c>
      <c r="F16" s="16" t="n">
        <v>2234622.0018</v>
      </c>
      <c r="G16" s="16" t="n">
        <v>2488067.8351</v>
      </c>
      <c r="H16" s="16" t="n">
        <v>2763681.6553</v>
      </c>
      <c r="I16" s="16" t="n">
        <v>2914940.4622</v>
      </c>
      <c r="J16" s="16" t="n">
        <v>2956733.3158</v>
      </c>
      <c r="K16" s="16" t="n">
        <v>3364231.2985</v>
      </c>
    </row>
    <row r="17">
      <c r="A17" s="15" t="inlineStr">
        <is>
          <t>2016</t>
        </is>
      </c>
      <c r="B17" s="16" t="n">
        <v>339622.8128</v>
      </c>
      <c r="C17" s="16" t="n">
        <v>1125902.514</v>
      </c>
      <c r="D17" s="16" t="n">
        <v>1591493.1288</v>
      </c>
      <c r="E17" s="16" t="n">
        <v>1791123.5232</v>
      </c>
      <c r="F17" s="16" t="n">
        <v>1925889.9033</v>
      </c>
      <c r="G17" s="16" t="n">
        <v>2122828.5116</v>
      </c>
      <c r="H17" s="16" t="n">
        <v>2419166.3463</v>
      </c>
      <c r="I17" s="16" t="n">
        <v>2435189.8136</v>
      </c>
      <c r="J17" s="16" t="n">
        <v>2462208.6764</v>
      </c>
    </row>
    <row r="18">
      <c r="A18" s="15" t="inlineStr">
        <is>
          <t>2017</t>
        </is>
      </c>
      <c r="B18" s="16" t="n">
        <v>336652.3932</v>
      </c>
      <c r="C18" s="16" t="n">
        <v>584790.2939</v>
      </c>
      <c r="D18" s="16" t="n">
        <v>630127.1445000001</v>
      </c>
      <c r="E18" s="16" t="n">
        <v>710567.1893</v>
      </c>
      <c r="F18" s="16" t="n">
        <v>772675.5753</v>
      </c>
      <c r="G18" s="16" t="n">
        <v>855730.1436</v>
      </c>
      <c r="H18" s="16" t="n">
        <v>1105087.777</v>
      </c>
      <c r="I18" s="16" t="n">
        <v>1205811.8289</v>
      </c>
    </row>
    <row r="19">
      <c r="A19" s="15" t="inlineStr">
        <is>
          <t>2018</t>
        </is>
      </c>
      <c r="B19" s="16" t="n">
        <v>345419.169</v>
      </c>
      <c r="C19" s="16" t="n">
        <v>993120.1128999999</v>
      </c>
      <c r="D19" s="16" t="n">
        <v>1473722.3521</v>
      </c>
      <c r="E19" s="16" t="n">
        <v>2024103.1787</v>
      </c>
      <c r="F19" s="16" t="n">
        <v>2140405.0822</v>
      </c>
      <c r="G19" s="16" t="n">
        <v>2260849.3157</v>
      </c>
      <c r="H19" s="16" t="n">
        <v>2395448.4233</v>
      </c>
    </row>
    <row r="20">
      <c r="A20" s="15" t="inlineStr">
        <is>
          <t>2019</t>
        </is>
      </c>
      <c r="B20" s="16" t="n">
        <v>289279.8617</v>
      </c>
      <c r="C20" s="16" t="n">
        <v>773667.7694</v>
      </c>
      <c r="D20" s="16" t="n">
        <v>1353683.4733</v>
      </c>
      <c r="E20" s="16" t="n">
        <v>1600695.7816</v>
      </c>
      <c r="F20" s="16" t="n">
        <v>1970840.4806</v>
      </c>
      <c r="G20" s="16" t="n">
        <v>2395189.8345</v>
      </c>
    </row>
    <row r="21">
      <c r="A21" s="15" t="inlineStr">
        <is>
          <t>2020</t>
        </is>
      </c>
      <c r="B21" s="16" t="n">
        <v>285916.1353</v>
      </c>
      <c r="C21" s="16" t="n">
        <v>730087.9662</v>
      </c>
      <c r="D21" s="16" t="n">
        <v>861703.8541</v>
      </c>
      <c r="E21" s="16" t="n">
        <v>965936.0494</v>
      </c>
      <c r="F21" s="16" t="n">
        <v>976050.8626</v>
      </c>
    </row>
    <row r="22">
      <c r="A22" s="15" t="inlineStr">
        <is>
          <t>2021</t>
        </is>
      </c>
      <c r="B22" s="16" t="n">
        <v>273712.105</v>
      </c>
      <c r="C22" s="16" t="n">
        <v>546911.8753</v>
      </c>
      <c r="D22" s="16" t="n">
        <v>911379.2328</v>
      </c>
      <c r="E22" s="16" t="n">
        <v>974979.4133</v>
      </c>
    </row>
    <row r="23">
      <c r="A23" s="15" t="inlineStr">
        <is>
          <t>2022</t>
        </is>
      </c>
      <c r="B23" s="16" t="n">
        <v>307340.8838</v>
      </c>
      <c r="C23" s="16" t="n">
        <v>746644.5651</v>
      </c>
      <c r="D23" s="16" t="n">
        <v>791103.7101</v>
      </c>
    </row>
    <row r="24">
      <c r="A24" s="15" t="inlineStr">
        <is>
          <t>2023</t>
        </is>
      </c>
      <c r="B24" s="16" t="n">
        <v>367267.232</v>
      </c>
      <c r="C24" s="16" t="n">
        <v>1199242.0684</v>
      </c>
    </row>
    <row r="25">
      <c r="A25" s="15" t="inlineStr">
        <is>
          <t>2024</t>
        </is>
      </c>
      <c r="B25" s="16" t="n">
        <v>355247.7609</v>
      </c>
    </row>
    <row r="26"/>
    <row r="27">
      <c r="A27" s="8" t="inlineStr">
        <is>
          <t>Period</t>
        </is>
      </c>
      <c r="B27" s="8" t="inlineStr">
        <is>
          <t>11-23</t>
        </is>
      </c>
      <c r="C27" s="8" t="inlineStr">
        <is>
          <t>23-35</t>
        </is>
      </c>
      <c r="D27" s="8" t="inlineStr">
        <is>
          <t>35-47</t>
        </is>
      </c>
      <c r="E27" s="8" t="inlineStr">
        <is>
          <t>47-59</t>
        </is>
      </c>
      <c r="F27" s="8" t="inlineStr">
        <is>
          <t>59-71</t>
        </is>
      </c>
      <c r="G27" s="8" t="inlineStr">
        <is>
          <t>71-83</t>
        </is>
      </c>
      <c r="H27" s="8" t="inlineStr">
        <is>
          <t>83-95</t>
        </is>
      </c>
      <c r="I27" s="8" t="inlineStr">
        <is>
          <t>95-107</t>
        </is>
      </c>
      <c r="J27" s="8" t="inlineStr">
        <is>
          <t>107-119</t>
        </is>
      </c>
      <c r="K27" s="8" t="inlineStr">
        <is>
          <t>119-131</t>
        </is>
      </c>
      <c r="L27" s="8" t="inlineStr">
        <is>
          <t>131-143</t>
        </is>
      </c>
      <c r="M27" s="8" t="inlineStr">
        <is>
          <t>143-155</t>
        </is>
      </c>
      <c r="N27" s="8" t="inlineStr">
        <is>
          <t>155-167</t>
        </is>
      </c>
      <c r="O27" s="8" t="inlineStr">
        <is>
          <t>167-179</t>
        </is>
      </c>
      <c r="P27" s="8" t="inlineStr">
        <is>
          <t>179-191</t>
        </is>
      </c>
      <c r="Q27" s="8" t="inlineStr">
        <is>
          <t>191-203</t>
        </is>
      </c>
      <c r="R27" s="8" t="inlineStr">
        <is>
          <t>203-215</t>
        </is>
      </c>
      <c r="S27" s="8" t="inlineStr">
        <is>
          <t>215-227</t>
        </is>
      </c>
      <c r="T27" s="8" t="inlineStr">
        <is>
          <t>227-239</t>
        </is>
      </c>
      <c r="U27" s="8" t="inlineStr">
        <is>
          <t>239-251</t>
        </is>
      </c>
      <c r="V27" s="8" t="inlineStr">
        <is>
          <t>251-263</t>
        </is>
      </c>
      <c r="W27" s="8" t="inlineStr">
        <is>
          <t>263-275</t>
        </is>
      </c>
      <c r="X27" s="8" t="inlineStr">
        <is>
          <t>275-287</t>
        </is>
      </c>
    </row>
    <row r="28">
      <c r="A28" s="15" t="inlineStr">
        <is>
          <t>2001</t>
        </is>
      </c>
      <c r="B28" s="17">
        <f>IFERROR(IF(C2="","",C2/B2),"")</f>
        <v/>
      </c>
      <c r="C28" s="17">
        <f>IFERROR(IF(D2="","",D2/C2),"")</f>
        <v/>
      </c>
      <c r="D28" s="17">
        <f>IFERROR(IF(E2="","",E2/D2),"")</f>
        <v/>
      </c>
      <c r="E28" s="17">
        <f>IFERROR(IF(F2="","",F2/E2),"")</f>
        <v/>
      </c>
      <c r="F28" s="17">
        <f>IFERROR(IF(G2="","",G2/F2),"")</f>
        <v/>
      </c>
      <c r="G28" s="17">
        <f>IFERROR(IF(H2="","",H2/G2),"")</f>
        <v/>
      </c>
      <c r="H28" s="17">
        <f>IFERROR(IF(I2="","",I2/H2),"")</f>
        <v/>
      </c>
      <c r="I28" s="17">
        <f>IFERROR(IF(J2="","",J2/I2),"")</f>
        <v/>
      </c>
      <c r="J28" s="17">
        <f>IFERROR(IF(K2="","",K2/J2),"")</f>
        <v/>
      </c>
      <c r="K28" s="17">
        <f>IFERROR(IF(L2="","",L2/K2),"")</f>
        <v/>
      </c>
      <c r="L28" s="17">
        <f>IFERROR(IF(M2="","",M2/L2),"")</f>
        <v/>
      </c>
      <c r="M28" s="17">
        <f>IFERROR(IF(N2="","",N2/M2),"")</f>
        <v/>
      </c>
      <c r="N28" s="17">
        <f>IFERROR(IF(O2="","",O2/N2),"")</f>
        <v/>
      </c>
      <c r="O28" s="17">
        <f>IFERROR(IF(P2="","",P2/O2),"")</f>
        <v/>
      </c>
      <c r="P28" s="17">
        <f>IFERROR(IF(Q2="","",Q2/P2),"")</f>
        <v/>
      </c>
      <c r="Q28" s="17">
        <f>IFERROR(IF(R2="","",R2/Q2),"")</f>
        <v/>
      </c>
      <c r="R28" s="17">
        <f>IFERROR(IF(S2="","",S2/R2),"")</f>
        <v/>
      </c>
      <c r="S28" s="17">
        <f>IFERROR(IF(T2="","",T2/S2),"")</f>
        <v/>
      </c>
      <c r="T28" s="17">
        <f>IFERROR(IF(U2="","",U2/T2),"")</f>
        <v/>
      </c>
      <c r="U28" s="17">
        <f>IFERROR(IF(V2="","",V2/U2),"")</f>
        <v/>
      </c>
      <c r="V28" s="17">
        <f>IFERROR(IF(W2="","",W2/V2),"")</f>
        <v/>
      </c>
      <c r="W28" s="17">
        <f>IFERROR(IF(X2="","",X2/W2),"")</f>
        <v/>
      </c>
      <c r="X28" s="17">
        <f>IFERROR(IF(Y2="","",Y2/X2),"")</f>
        <v/>
      </c>
    </row>
    <row r="29">
      <c r="A29" s="15" t="inlineStr">
        <is>
          <t>2002</t>
        </is>
      </c>
      <c r="B29" s="17">
        <f>IFERROR(IF(C3="","",C3/B3),"")</f>
        <v/>
      </c>
      <c r="C29" s="17">
        <f>IFERROR(IF(D3="","",D3/C3),"")</f>
        <v/>
      </c>
      <c r="D29" s="17">
        <f>IFERROR(IF(E3="","",E3/D3),"")</f>
        <v/>
      </c>
      <c r="E29" s="17">
        <f>IFERROR(IF(F3="","",F3/E3),"")</f>
        <v/>
      </c>
      <c r="F29" s="17">
        <f>IFERROR(IF(G3="","",G3/F3),"")</f>
        <v/>
      </c>
      <c r="G29" s="17">
        <f>IFERROR(IF(H3="","",H3/G3),"")</f>
        <v/>
      </c>
      <c r="H29" s="17">
        <f>IFERROR(IF(I3="","",I3/H3),"")</f>
        <v/>
      </c>
      <c r="I29" s="17">
        <f>IFERROR(IF(J3="","",J3/I3),"")</f>
        <v/>
      </c>
      <c r="J29" s="17">
        <f>IFERROR(IF(K3="","",K3/J3),"")</f>
        <v/>
      </c>
      <c r="K29" s="17">
        <f>IFERROR(IF(L3="","",L3/K3),"")</f>
        <v/>
      </c>
      <c r="L29" s="17">
        <f>IFERROR(IF(M3="","",M3/L3),"")</f>
        <v/>
      </c>
      <c r="M29" s="17">
        <f>IFERROR(IF(N3="","",N3/M3),"")</f>
        <v/>
      </c>
      <c r="N29" s="17">
        <f>IFERROR(IF(O3="","",O3/N3),"")</f>
        <v/>
      </c>
      <c r="O29" s="17">
        <f>IFERROR(IF(P3="","",P3/O3),"")</f>
        <v/>
      </c>
      <c r="P29" s="17">
        <f>IFERROR(IF(Q3="","",Q3/P3),"")</f>
        <v/>
      </c>
      <c r="Q29" s="17">
        <f>IFERROR(IF(R3="","",R3/Q3),"")</f>
        <v/>
      </c>
      <c r="R29" s="17">
        <f>IFERROR(IF(S3="","",S3/R3),"")</f>
        <v/>
      </c>
      <c r="S29" s="17">
        <f>IFERROR(IF(T3="","",T3/S3),"")</f>
        <v/>
      </c>
      <c r="T29" s="17">
        <f>IFERROR(IF(U3="","",U3/T3),"")</f>
        <v/>
      </c>
      <c r="U29" s="17">
        <f>IFERROR(IF(V3="","",V3/U3),"")</f>
        <v/>
      </c>
      <c r="V29" s="17">
        <f>IFERROR(IF(W3="","",W3/V3),"")</f>
        <v/>
      </c>
      <c r="W29" s="17">
        <f>IFERROR(IF(X3="","",X3/W3),"")</f>
        <v/>
      </c>
      <c r="X29" s="17">
        <f>IFERROR(IF(Y3="","",Y3/X3),"")</f>
        <v/>
      </c>
    </row>
    <row r="30">
      <c r="A30" s="15" t="inlineStr">
        <is>
          <t>2003</t>
        </is>
      </c>
      <c r="B30" s="17">
        <f>IFERROR(IF(C4="","",C4/B4),"")</f>
        <v/>
      </c>
      <c r="C30" s="17">
        <f>IFERROR(IF(D4="","",D4/C4),"")</f>
        <v/>
      </c>
      <c r="D30" s="17">
        <f>IFERROR(IF(E4="","",E4/D4),"")</f>
        <v/>
      </c>
      <c r="E30" s="17">
        <f>IFERROR(IF(F4="","",F4/E4),"")</f>
        <v/>
      </c>
      <c r="F30" s="17">
        <f>IFERROR(IF(G4="","",G4/F4),"")</f>
        <v/>
      </c>
      <c r="G30" s="17">
        <f>IFERROR(IF(H4="","",H4/G4),"")</f>
        <v/>
      </c>
      <c r="H30" s="17">
        <f>IFERROR(IF(I4="","",I4/H4),"")</f>
        <v/>
      </c>
      <c r="I30" s="17">
        <f>IFERROR(IF(J4="","",J4/I4),"")</f>
        <v/>
      </c>
      <c r="J30" s="17">
        <f>IFERROR(IF(K4="","",K4/J4),"")</f>
        <v/>
      </c>
      <c r="K30" s="17">
        <f>IFERROR(IF(L4="","",L4/K4),"")</f>
        <v/>
      </c>
      <c r="L30" s="17">
        <f>IFERROR(IF(M4="","",M4/L4),"")</f>
        <v/>
      </c>
      <c r="M30" s="17">
        <f>IFERROR(IF(N4="","",N4/M4),"")</f>
        <v/>
      </c>
      <c r="N30" s="17">
        <f>IFERROR(IF(O4="","",O4/N4),"")</f>
        <v/>
      </c>
      <c r="O30" s="17">
        <f>IFERROR(IF(P4="","",P4/O4),"")</f>
        <v/>
      </c>
      <c r="P30" s="17">
        <f>IFERROR(IF(Q4="","",Q4/P4),"")</f>
        <v/>
      </c>
      <c r="Q30" s="17">
        <f>IFERROR(IF(R4="","",R4/Q4),"")</f>
        <v/>
      </c>
      <c r="R30" s="17">
        <f>IFERROR(IF(S4="","",S4/R4),"")</f>
        <v/>
      </c>
      <c r="S30" s="17">
        <f>IFERROR(IF(T4="","",T4/S4),"")</f>
        <v/>
      </c>
      <c r="T30" s="17">
        <f>IFERROR(IF(U4="","",U4/T4),"")</f>
        <v/>
      </c>
      <c r="U30" s="17">
        <f>IFERROR(IF(V4="","",V4/U4),"")</f>
        <v/>
      </c>
      <c r="V30" s="17">
        <f>IFERROR(IF(W4="","",W4/V4),"")</f>
        <v/>
      </c>
      <c r="W30" s="17">
        <f>IFERROR(IF(X4="","",X4/W4),"")</f>
        <v/>
      </c>
      <c r="X30" s="17">
        <f>IFERROR(IF(Y4="","",Y4/X4),"")</f>
        <v/>
      </c>
    </row>
    <row r="31">
      <c r="A31" s="15" t="inlineStr">
        <is>
          <t>2004</t>
        </is>
      </c>
      <c r="B31" s="17">
        <f>IFERROR(IF(C5="","",C5/B5),"")</f>
        <v/>
      </c>
      <c r="C31" s="17">
        <f>IFERROR(IF(D5="","",D5/C5),"")</f>
        <v/>
      </c>
      <c r="D31" s="17">
        <f>IFERROR(IF(E5="","",E5/D5),"")</f>
        <v/>
      </c>
      <c r="E31" s="17">
        <f>IFERROR(IF(F5="","",F5/E5),"")</f>
        <v/>
      </c>
      <c r="F31" s="17">
        <f>IFERROR(IF(G5="","",G5/F5),"")</f>
        <v/>
      </c>
      <c r="G31" s="17">
        <f>IFERROR(IF(H5="","",H5/G5),"")</f>
        <v/>
      </c>
      <c r="H31" s="17">
        <f>IFERROR(IF(I5="","",I5/H5),"")</f>
        <v/>
      </c>
      <c r="I31" s="17">
        <f>IFERROR(IF(J5="","",J5/I5),"")</f>
        <v/>
      </c>
      <c r="J31" s="17">
        <f>IFERROR(IF(K5="","",K5/J5),"")</f>
        <v/>
      </c>
      <c r="K31" s="17">
        <f>IFERROR(IF(L5="","",L5/K5),"")</f>
        <v/>
      </c>
      <c r="L31" s="17">
        <f>IFERROR(IF(M5="","",M5/L5),"")</f>
        <v/>
      </c>
      <c r="M31" s="17">
        <f>IFERROR(IF(N5="","",N5/M5),"")</f>
        <v/>
      </c>
      <c r="N31" s="17">
        <f>IFERROR(IF(O5="","",O5/N5),"")</f>
        <v/>
      </c>
      <c r="O31" s="17">
        <f>IFERROR(IF(P5="","",P5/O5),"")</f>
        <v/>
      </c>
      <c r="P31" s="17">
        <f>IFERROR(IF(Q5="","",Q5/P5),"")</f>
        <v/>
      </c>
      <c r="Q31" s="17">
        <f>IFERROR(IF(R5="","",R5/Q5),"")</f>
        <v/>
      </c>
      <c r="R31" s="17">
        <f>IFERROR(IF(S5="","",S5/R5),"")</f>
        <v/>
      </c>
      <c r="S31" s="17">
        <f>IFERROR(IF(T5="","",T5/S5),"")</f>
        <v/>
      </c>
      <c r="T31" s="17">
        <f>IFERROR(IF(U5="","",U5/T5),"")</f>
        <v/>
      </c>
      <c r="U31" s="17">
        <f>IFERROR(IF(V5="","",V5/U5),"")</f>
        <v/>
      </c>
      <c r="V31" s="17">
        <f>IFERROR(IF(W5="","",W5/V5),"")</f>
        <v/>
      </c>
      <c r="W31" s="17">
        <f>IFERROR(IF(X5="","",X5/W5),"")</f>
        <v/>
      </c>
      <c r="X31" s="17">
        <f>IFERROR(IF(Y5="","",Y5/X5),"")</f>
        <v/>
      </c>
    </row>
    <row r="32">
      <c r="A32" s="15" t="inlineStr">
        <is>
          <t>2005</t>
        </is>
      </c>
      <c r="B32" s="17">
        <f>IFERROR(IF(C6="","",C6/B6),"")</f>
        <v/>
      </c>
      <c r="C32" s="17">
        <f>IFERROR(IF(D6="","",D6/C6),"")</f>
        <v/>
      </c>
      <c r="D32" s="17">
        <f>IFERROR(IF(E6="","",E6/D6),"")</f>
        <v/>
      </c>
      <c r="E32" s="17">
        <f>IFERROR(IF(F6="","",F6/E6),"")</f>
        <v/>
      </c>
      <c r="F32" s="17">
        <f>IFERROR(IF(G6="","",G6/F6),"")</f>
        <v/>
      </c>
      <c r="G32" s="17">
        <f>IFERROR(IF(H6="","",H6/G6),"")</f>
        <v/>
      </c>
      <c r="H32" s="17">
        <f>IFERROR(IF(I6="","",I6/H6),"")</f>
        <v/>
      </c>
      <c r="I32" s="17">
        <f>IFERROR(IF(J6="","",J6/I6),"")</f>
        <v/>
      </c>
      <c r="J32" s="17">
        <f>IFERROR(IF(K6="","",K6/J6),"")</f>
        <v/>
      </c>
      <c r="K32" s="17">
        <f>IFERROR(IF(L6="","",L6/K6),"")</f>
        <v/>
      </c>
      <c r="L32" s="17">
        <f>IFERROR(IF(M6="","",M6/L6),"")</f>
        <v/>
      </c>
      <c r="M32" s="17">
        <f>IFERROR(IF(N6="","",N6/M6),"")</f>
        <v/>
      </c>
      <c r="N32" s="17">
        <f>IFERROR(IF(O6="","",O6/N6),"")</f>
        <v/>
      </c>
      <c r="O32" s="17">
        <f>IFERROR(IF(P6="","",P6/O6),"")</f>
        <v/>
      </c>
      <c r="P32" s="17">
        <f>IFERROR(IF(Q6="","",Q6/P6),"")</f>
        <v/>
      </c>
      <c r="Q32" s="17">
        <f>IFERROR(IF(R6="","",R6/Q6),"")</f>
        <v/>
      </c>
      <c r="R32" s="17">
        <f>IFERROR(IF(S6="","",S6/R6),"")</f>
        <v/>
      </c>
      <c r="S32" s="17">
        <f>IFERROR(IF(T6="","",T6/S6),"")</f>
        <v/>
      </c>
      <c r="T32" s="17">
        <f>IFERROR(IF(U6="","",U6/T6),"")</f>
        <v/>
      </c>
      <c r="U32" s="17">
        <f>IFERROR(IF(V6="","",V6/U6),"")</f>
        <v/>
      </c>
      <c r="V32" s="17">
        <f>IFERROR(IF(W6="","",W6/V6),"")</f>
        <v/>
      </c>
      <c r="W32" s="17">
        <f>IFERROR(IF(X6="","",X6/W6),"")</f>
        <v/>
      </c>
      <c r="X32" s="17">
        <f>IFERROR(IF(Y6="","",Y6/X6),"")</f>
        <v/>
      </c>
    </row>
    <row r="33">
      <c r="A33" s="15" t="inlineStr">
        <is>
          <t>2006</t>
        </is>
      </c>
      <c r="B33" s="17">
        <f>IFERROR(IF(C7="","",C7/B7),"")</f>
        <v/>
      </c>
      <c r="C33" s="17">
        <f>IFERROR(IF(D7="","",D7/C7),"")</f>
        <v/>
      </c>
      <c r="D33" s="17">
        <f>IFERROR(IF(E7="","",E7/D7),"")</f>
        <v/>
      </c>
      <c r="E33" s="17">
        <f>IFERROR(IF(F7="","",F7/E7),"")</f>
        <v/>
      </c>
      <c r="F33" s="17">
        <f>IFERROR(IF(G7="","",G7/F7),"")</f>
        <v/>
      </c>
      <c r="G33" s="17">
        <f>IFERROR(IF(H7="","",H7/G7),"")</f>
        <v/>
      </c>
      <c r="H33" s="17">
        <f>IFERROR(IF(I7="","",I7/H7),"")</f>
        <v/>
      </c>
      <c r="I33" s="17">
        <f>IFERROR(IF(J7="","",J7/I7),"")</f>
        <v/>
      </c>
      <c r="J33" s="17">
        <f>IFERROR(IF(K7="","",K7/J7),"")</f>
        <v/>
      </c>
      <c r="K33" s="17">
        <f>IFERROR(IF(L7="","",L7/K7),"")</f>
        <v/>
      </c>
      <c r="L33" s="17">
        <f>IFERROR(IF(M7="","",M7/L7),"")</f>
        <v/>
      </c>
      <c r="M33" s="17">
        <f>IFERROR(IF(N7="","",N7/M7),"")</f>
        <v/>
      </c>
      <c r="N33" s="17">
        <f>IFERROR(IF(O7="","",O7/N7),"")</f>
        <v/>
      </c>
      <c r="O33" s="17">
        <f>IFERROR(IF(P7="","",P7/O7),"")</f>
        <v/>
      </c>
      <c r="P33" s="17">
        <f>IFERROR(IF(Q7="","",Q7/P7),"")</f>
        <v/>
      </c>
      <c r="Q33" s="17">
        <f>IFERROR(IF(R7="","",R7/Q7),"")</f>
        <v/>
      </c>
      <c r="R33" s="17">
        <f>IFERROR(IF(S7="","",S7/R7),"")</f>
        <v/>
      </c>
      <c r="S33" s="17">
        <f>IFERROR(IF(T7="","",T7/S7),"")</f>
        <v/>
      </c>
      <c r="T33" s="17">
        <f>IFERROR(IF(U7="","",U7/T7),"")</f>
        <v/>
      </c>
      <c r="U33" s="17">
        <f>IFERROR(IF(V7="","",V7/U7),"")</f>
        <v/>
      </c>
      <c r="V33" s="17">
        <f>IFERROR(IF(W7="","",W7/V7),"")</f>
        <v/>
      </c>
      <c r="W33" s="17">
        <f>IFERROR(IF(X7="","",X7/W7),"")</f>
        <v/>
      </c>
      <c r="X33" s="17">
        <f>IFERROR(IF(Y7="","",Y7/X7),"")</f>
        <v/>
      </c>
    </row>
    <row r="34">
      <c r="A34" s="15" t="inlineStr">
        <is>
          <t>2007</t>
        </is>
      </c>
      <c r="B34" s="17">
        <f>IFERROR(IF(C8="","",C8/B8),"")</f>
        <v/>
      </c>
      <c r="C34" s="17">
        <f>IFERROR(IF(D8="","",D8/C8),"")</f>
        <v/>
      </c>
      <c r="D34" s="17">
        <f>IFERROR(IF(E8="","",E8/D8),"")</f>
        <v/>
      </c>
      <c r="E34" s="17">
        <f>IFERROR(IF(F8="","",F8/E8),"")</f>
        <v/>
      </c>
      <c r="F34" s="17">
        <f>IFERROR(IF(G8="","",G8/F8),"")</f>
        <v/>
      </c>
      <c r="G34" s="17">
        <f>IFERROR(IF(H8="","",H8/G8),"")</f>
        <v/>
      </c>
      <c r="H34" s="17">
        <f>IFERROR(IF(I8="","",I8/H8),"")</f>
        <v/>
      </c>
      <c r="I34" s="17">
        <f>IFERROR(IF(J8="","",J8/I8),"")</f>
        <v/>
      </c>
      <c r="J34" s="17">
        <f>IFERROR(IF(K8="","",K8/J8),"")</f>
        <v/>
      </c>
      <c r="K34" s="17">
        <f>IFERROR(IF(L8="","",L8/K8),"")</f>
        <v/>
      </c>
      <c r="L34" s="17">
        <f>IFERROR(IF(M8="","",M8/L8),"")</f>
        <v/>
      </c>
      <c r="M34" s="17">
        <f>IFERROR(IF(N8="","",N8/M8),"")</f>
        <v/>
      </c>
      <c r="N34" s="17">
        <f>IFERROR(IF(O8="","",O8/N8),"")</f>
        <v/>
      </c>
      <c r="O34" s="17">
        <f>IFERROR(IF(P8="","",P8/O8),"")</f>
        <v/>
      </c>
      <c r="P34" s="17">
        <f>IFERROR(IF(Q8="","",Q8/P8),"")</f>
        <v/>
      </c>
      <c r="Q34" s="17">
        <f>IFERROR(IF(R8="","",R8/Q8),"")</f>
        <v/>
      </c>
      <c r="R34" s="17">
        <f>IFERROR(IF(S8="","",S8/R8),"")</f>
        <v/>
      </c>
      <c r="S34" s="17">
        <f>IFERROR(IF(T8="","",T8/S8),"")</f>
        <v/>
      </c>
      <c r="T34" s="17">
        <f>IFERROR(IF(U8="","",U8/T8),"")</f>
        <v/>
      </c>
      <c r="U34" s="17">
        <f>IFERROR(IF(V8="","",V8/U8),"")</f>
        <v/>
      </c>
      <c r="V34" s="17">
        <f>IFERROR(IF(W8="","",W8/V8),"")</f>
        <v/>
      </c>
      <c r="W34" s="17">
        <f>IFERROR(IF(X8="","",X8/W8),"")</f>
        <v/>
      </c>
      <c r="X34" s="17">
        <f>IFERROR(IF(Y8="","",Y8/X8),"")</f>
        <v/>
      </c>
    </row>
    <row r="35">
      <c r="A35" s="15" t="inlineStr">
        <is>
          <t>2008</t>
        </is>
      </c>
      <c r="B35" s="17">
        <f>IFERROR(IF(C9="","",C9/B9),"")</f>
        <v/>
      </c>
      <c r="C35" s="17">
        <f>IFERROR(IF(D9="","",D9/C9),"")</f>
        <v/>
      </c>
      <c r="D35" s="17">
        <f>IFERROR(IF(E9="","",E9/D9),"")</f>
        <v/>
      </c>
      <c r="E35" s="17">
        <f>IFERROR(IF(F9="","",F9/E9),"")</f>
        <v/>
      </c>
      <c r="F35" s="17">
        <f>IFERROR(IF(G9="","",G9/F9),"")</f>
        <v/>
      </c>
      <c r="G35" s="17">
        <f>IFERROR(IF(H9="","",H9/G9),"")</f>
        <v/>
      </c>
      <c r="H35" s="17">
        <f>IFERROR(IF(I9="","",I9/H9),"")</f>
        <v/>
      </c>
      <c r="I35" s="17">
        <f>IFERROR(IF(J9="","",J9/I9),"")</f>
        <v/>
      </c>
      <c r="J35" s="17">
        <f>IFERROR(IF(K9="","",K9/J9),"")</f>
        <v/>
      </c>
      <c r="K35" s="17">
        <f>IFERROR(IF(L9="","",L9/K9),"")</f>
        <v/>
      </c>
      <c r="L35" s="17">
        <f>IFERROR(IF(M9="","",M9/L9),"")</f>
        <v/>
      </c>
      <c r="M35" s="17">
        <f>IFERROR(IF(N9="","",N9/M9),"")</f>
        <v/>
      </c>
      <c r="N35" s="17">
        <f>IFERROR(IF(O9="","",O9/N9),"")</f>
        <v/>
      </c>
      <c r="O35" s="17">
        <f>IFERROR(IF(P9="","",P9/O9),"")</f>
        <v/>
      </c>
      <c r="P35" s="17">
        <f>IFERROR(IF(Q9="","",Q9/P9),"")</f>
        <v/>
      </c>
      <c r="Q35" s="17">
        <f>IFERROR(IF(R9="","",R9/Q9),"")</f>
        <v/>
      </c>
      <c r="R35" s="17">
        <f>IFERROR(IF(S9="","",S9/R9),"")</f>
        <v/>
      </c>
      <c r="S35" s="17">
        <f>IFERROR(IF(T9="","",T9/S9),"")</f>
        <v/>
      </c>
      <c r="T35" s="17">
        <f>IFERROR(IF(U9="","",U9/T9),"")</f>
        <v/>
      </c>
      <c r="U35" s="17">
        <f>IFERROR(IF(V9="","",V9/U9),"")</f>
        <v/>
      </c>
      <c r="V35" s="17">
        <f>IFERROR(IF(W9="","",W9/V9),"")</f>
        <v/>
      </c>
      <c r="W35" s="17">
        <f>IFERROR(IF(X9="","",X9/W9),"")</f>
        <v/>
      </c>
      <c r="X35" s="17">
        <f>IFERROR(IF(Y9="","",Y9/X9),"")</f>
        <v/>
      </c>
    </row>
    <row r="36">
      <c r="A36" s="15" t="inlineStr">
        <is>
          <t>2009</t>
        </is>
      </c>
      <c r="B36" s="17">
        <f>IFERROR(IF(C10="","",C10/B10),"")</f>
        <v/>
      </c>
      <c r="C36" s="17">
        <f>IFERROR(IF(D10="","",D10/C10),"")</f>
        <v/>
      </c>
      <c r="D36" s="17">
        <f>IFERROR(IF(E10="","",E10/D10),"")</f>
        <v/>
      </c>
      <c r="E36" s="17">
        <f>IFERROR(IF(F10="","",F10/E10),"")</f>
        <v/>
      </c>
      <c r="F36" s="17">
        <f>IFERROR(IF(G10="","",G10/F10),"")</f>
        <v/>
      </c>
      <c r="G36" s="17">
        <f>IFERROR(IF(H10="","",H10/G10),"")</f>
        <v/>
      </c>
      <c r="H36" s="17">
        <f>IFERROR(IF(I10="","",I10/H10),"")</f>
        <v/>
      </c>
      <c r="I36" s="17">
        <f>IFERROR(IF(J10="","",J10/I10),"")</f>
        <v/>
      </c>
      <c r="J36" s="17">
        <f>IFERROR(IF(K10="","",K10/J10),"")</f>
        <v/>
      </c>
      <c r="K36" s="17">
        <f>IFERROR(IF(L10="","",L10/K10),"")</f>
        <v/>
      </c>
      <c r="L36" s="17">
        <f>IFERROR(IF(M10="","",M10/L10),"")</f>
        <v/>
      </c>
      <c r="M36" s="17">
        <f>IFERROR(IF(N10="","",N10/M10),"")</f>
        <v/>
      </c>
      <c r="N36" s="17">
        <f>IFERROR(IF(O10="","",O10/N10),"")</f>
        <v/>
      </c>
      <c r="O36" s="17">
        <f>IFERROR(IF(P10="","",P10/O10),"")</f>
        <v/>
      </c>
      <c r="P36" s="17">
        <f>IFERROR(IF(Q10="","",Q10/P10),"")</f>
        <v/>
      </c>
      <c r="Q36" s="17">
        <f>IFERROR(IF(R10="","",R10/Q10),"")</f>
        <v/>
      </c>
      <c r="R36" s="17">
        <f>IFERROR(IF(S10="","",S10/R10),"")</f>
        <v/>
      </c>
      <c r="S36" s="17">
        <f>IFERROR(IF(T10="","",T10/S10),"")</f>
        <v/>
      </c>
      <c r="T36" s="17">
        <f>IFERROR(IF(U10="","",U10/T10),"")</f>
        <v/>
      </c>
      <c r="U36" s="17">
        <f>IFERROR(IF(V10="","",V10/U10),"")</f>
        <v/>
      </c>
      <c r="V36" s="17">
        <f>IFERROR(IF(W10="","",W10/V10),"")</f>
        <v/>
      </c>
      <c r="W36" s="17">
        <f>IFERROR(IF(X10="","",X10/W10),"")</f>
        <v/>
      </c>
      <c r="X36" s="17">
        <f>IFERROR(IF(Y10="","",Y10/X10),"")</f>
        <v/>
      </c>
    </row>
    <row r="37">
      <c r="A37" s="15" t="inlineStr">
        <is>
          <t>2010</t>
        </is>
      </c>
      <c r="B37" s="17">
        <f>IFERROR(IF(C11="","",C11/B11),"")</f>
        <v/>
      </c>
      <c r="C37" s="17">
        <f>IFERROR(IF(D11="","",D11/C11),"")</f>
        <v/>
      </c>
      <c r="D37" s="17">
        <f>IFERROR(IF(E11="","",E11/D11),"")</f>
        <v/>
      </c>
      <c r="E37" s="17">
        <f>IFERROR(IF(F11="","",F11/E11),"")</f>
        <v/>
      </c>
      <c r="F37" s="17">
        <f>IFERROR(IF(G11="","",G11/F11),"")</f>
        <v/>
      </c>
      <c r="G37" s="17">
        <f>IFERROR(IF(H11="","",H11/G11),"")</f>
        <v/>
      </c>
      <c r="H37" s="17">
        <f>IFERROR(IF(I11="","",I11/H11),"")</f>
        <v/>
      </c>
      <c r="I37" s="17">
        <f>IFERROR(IF(J11="","",J11/I11),"")</f>
        <v/>
      </c>
      <c r="J37" s="17">
        <f>IFERROR(IF(K11="","",K11/J11),"")</f>
        <v/>
      </c>
      <c r="K37" s="17">
        <f>IFERROR(IF(L11="","",L11/K11),"")</f>
        <v/>
      </c>
      <c r="L37" s="17">
        <f>IFERROR(IF(M11="","",M11/L11),"")</f>
        <v/>
      </c>
      <c r="M37" s="17">
        <f>IFERROR(IF(N11="","",N11/M11),"")</f>
        <v/>
      </c>
      <c r="N37" s="17">
        <f>IFERROR(IF(O11="","",O11/N11),"")</f>
        <v/>
      </c>
      <c r="O37" s="17">
        <f>IFERROR(IF(P11="","",P11/O11),"")</f>
        <v/>
      </c>
      <c r="P37" s="17">
        <f>IFERROR(IF(Q11="","",Q11/P11),"")</f>
        <v/>
      </c>
      <c r="Q37" s="17">
        <f>IFERROR(IF(R11="","",R11/Q11),"")</f>
        <v/>
      </c>
      <c r="R37" s="17">
        <f>IFERROR(IF(S11="","",S11/R11),"")</f>
        <v/>
      </c>
      <c r="S37" s="17">
        <f>IFERROR(IF(T11="","",T11/S11),"")</f>
        <v/>
      </c>
      <c r="T37" s="17">
        <f>IFERROR(IF(U11="","",U11/T11),"")</f>
        <v/>
      </c>
      <c r="U37" s="17">
        <f>IFERROR(IF(V11="","",V11/U11),"")</f>
        <v/>
      </c>
      <c r="V37" s="17">
        <f>IFERROR(IF(W11="","",W11/V11),"")</f>
        <v/>
      </c>
      <c r="W37" s="17">
        <f>IFERROR(IF(X11="","",X11/W11),"")</f>
        <v/>
      </c>
      <c r="X37" s="17">
        <f>IFERROR(IF(Y11="","",Y11/X11),"")</f>
        <v/>
      </c>
    </row>
    <row r="38">
      <c r="A38" s="15" t="inlineStr">
        <is>
          <t>2011</t>
        </is>
      </c>
      <c r="B38" s="17">
        <f>IFERROR(IF(C12="","",C12/B12),"")</f>
        <v/>
      </c>
      <c r="C38" s="17">
        <f>IFERROR(IF(D12="","",D12/C12),"")</f>
        <v/>
      </c>
      <c r="D38" s="17">
        <f>IFERROR(IF(E12="","",E12/D12),"")</f>
        <v/>
      </c>
      <c r="E38" s="17">
        <f>IFERROR(IF(F12="","",F12/E12),"")</f>
        <v/>
      </c>
      <c r="F38" s="17">
        <f>IFERROR(IF(G12="","",G12/F12),"")</f>
        <v/>
      </c>
      <c r="G38" s="17">
        <f>IFERROR(IF(H12="","",H12/G12),"")</f>
        <v/>
      </c>
      <c r="H38" s="17">
        <f>IFERROR(IF(I12="","",I12/H12),"")</f>
        <v/>
      </c>
      <c r="I38" s="17">
        <f>IFERROR(IF(J12="","",J12/I12),"")</f>
        <v/>
      </c>
      <c r="J38" s="17">
        <f>IFERROR(IF(K12="","",K12/J12),"")</f>
        <v/>
      </c>
      <c r="K38" s="17">
        <f>IFERROR(IF(L12="","",L12/K12),"")</f>
        <v/>
      </c>
      <c r="L38" s="17">
        <f>IFERROR(IF(M12="","",M12/L12),"")</f>
        <v/>
      </c>
      <c r="M38" s="17">
        <f>IFERROR(IF(N12="","",N12/M12),"")</f>
        <v/>
      </c>
      <c r="N38" s="17">
        <f>IFERROR(IF(O12="","",O12/N12),"")</f>
        <v/>
      </c>
      <c r="O38" s="17">
        <f>IFERROR(IF(P12="","",P12/O12),"")</f>
        <v/>
      </c>
      <c r="P38" s="17">
        <f>IFERROR(IF(Q12="","",Q12/P12),"")</f>
        <v/>
      </c>
      <c r="Q38" s="17">
        <f>IFERROR(IF(R12="","",R12/Q12),"")</f>
        <v/>
      </c>
      <c r="R38" s="17">
        <f>IFERROR(IF(S12="","",S12/R12),"")</f>
        <v/>
      </c>
      <c r="S38" s="17">
        <f>IFERROR(IF(T12="","",T12/S12),"")</f>
        <v/>
      </c>
      <c r="T38" s="17">
        <f>IFERROR(IF(U12="","",U12/T12),"")</f>
        <v/>
      </c>
      <c r="U38" s="17">
        <f>IFERROR(IF(V12="","",V12/U12),"")</f>
        <v/>
      </c>
      <c r="V38" s="17">
        <f>IFERROR(IF(W12="","",W12/V12),"")</f>
        <v/>
      </c>
      <c r="W38" s="17">
        <f>IFERROR(IF(X12="","",X12/W12),"")</f>
        <v/>
      </c>
      <c r="X38" s="17">
        <f>IFERROR(IF(Y12="","",Y12/X12),"")</f>
        <v/>
      </c>
    </row>
    <row r="39">
      <c r="A39" s="15" t="inlineStr">
        <is>
          <t>2012</t>
        </is>
      </c>
      <c r="B39" s="17">
        <f>IFERROR(IF(C13="","",C13/B13),"")</f>
        <v/>
      </c>
      <c r="C39" s="17">
        <f>IFERROR(IF(D13="","",D13/C13),"")</f>
        <v/>
      </c>
      <c r="D39" s="17">
        <f>IFERROR(IF(E13="","",E13/D13),"")</f>
        <v/>
      </c>
      <c r="E39" s="17">
        <f>IFERROR(IF(F13="","",F13/E13),"")</f>
        <v/>
      </c>
      <c r="F39" s="17">
        <f>IFERROR(IF(G13="","",G13/F13),"")</f>
        <v/>
      </c>
      <c r="G39" s="17">
        <f>IFERROR(IF(H13="","",H13/G13),"")</f>
        <v/>
      </c>
      <c r="H39" s="17">
        <f>IFERROR(IF(I13="","",I13/H13),"")</f>
        <v/>
      </c>
      <c r="I39" s="17">
        <f>IFERROR(IF(J13="","",J13/I13),"")</f>
        <v/>
      </c>
      <c r="J39" s="17">
        <f>IFERROR(IF(K13="","",K13/J13),"")</f>
        <v/>
      </c>
      <c r="K39" s="17">
        <f>IFERROR(IF(L13="","",L13/K13),"")</f>
        <v/>
      </c>
      <c r="L39" s="17">
        <f>IFERROR(IF(M13="","",M13/L13),"")</f>
        <v/>
      </c>
      <c r="M39" s="17">
        <f>IFERROR(IF(N13="","",N13/M13),"")</f>
        <v/>
      </c>
      <c r="N39" s="17">
        <f>IFERROR(IF(O13="","",O13/N13),"")</f>
        <v/>
      </c>
      <c r="O39" s="17">
        <f>IFERROR(IF(P13="","",P13/O13),"")</f>
        <v/>
      </c>
      <c r="P39" s="17">
        <f>IFERROR(IF(Q13="","",Q13/P13),"")</f>
        <v/>
      </c>
      <c r="Q39" s="17">
        <f>IFERROR(IF(R13="","",R13/Q13),"")</f>
        <v/>
      </c>
      <c r="R39" s="17">
        <f>IFERROR(IF(S13="","",S13/R13),"")</f>
        <v/>
      </c>
      <c r="S39" s="17">
        <f>IFERROR(IF(T13="","",T13/S13),"")</f>
        <v/>
      </c>
      <c r="T39" s="17">
        <f>IFERROR(IF(U13="","",U13/T13),"")</f>
        <v/>
      </c>
      <c r="U39" s="17">
        <f>IFERROR(IF(V13="","",V13/U13),"")</f>
        <v/>
      </c>
      <c r="V39" s="17">
        <f>IFERROR(IF(W13="","",W13/V13),"")</f>
        <v/>
      </c>
      <c r="W39" s="17">
        <f>IFERROR(IF(X13="","",X13/W13),"")</f>
        <v/>
      </c>
      <c r="X39" s="17">
        <f>IFERROR(IF(Y13="","",Y13/X13),"")</f>
        <v/>
      </c>
    </row>
    <row r="40">
      <c r="A40" s="15" t="inlineStr">
        <is>
          <t>2013</t>
        </is>
      </c>
      <c r="B40" s="17">
        <f>IFERROR(IF(C14="","",C14/B14),"")</f>
        <v/>
      </c>
      <c r="C40" s="17">
        <f>IFERROR(IF(D14="","",D14/C14),"")</f>
        <v/>
      </c>
      <c r="D40" s="17">
        <f>IFERROR(IF(E14="","",E14/D14),"")</f>
        <v/>
      </c>
      <c r="E40" s="17">
        <f>IFERROR(IF(F14="","",F14/E14),"")</f>
        <v/>
      </c>
      <c r="F40" s="17">
        <f>IFERROR(IF(G14="","",G14/F14),"")</f>
        <v/>
      </c>
      <c r="G40" s="17">
        <f>IFERROR(IF(H14="","",H14/G14),"")</f>
        <v/>
      </c>
      <c r="H40" s="17">
        <f>IFERROR(IF(I14="","",I14/H14),"")</f>
        <v/>
      </c>
      <c r="I40" s="17">
        <f>IFERROR(IF(J14="","",J14/I14),"")</f>
        <v/>
      </c>
      <c r="J40" s="17">
        <f>IFERROR(IF(K14="","",K14/J14),"")</f>
        <v/>
      </c>
      <c r="K40" s="17">
        <f>IFERROR(IF(L14="","",L14/K14),"")</f>
        <v/>
      </c>
      <c r="L40" s="17">
        <f>IFERROR(IF(M14="","",M14/L14),"")</f>
        <v/>
      </c>
      <c r="M40" s="17">
        <f>IFERROR(IF(N14="","",N14/M14),"")</f>
        <v/>
      </c>
      <c r="N40" s="17">
        <f>IFERROR(IF(O14="","",O14/N14),"")</f>
        <v/>
      </c>
      <c r="O40" s="17">
        <f>IFERROR(IF(P14="","",P14/O14),"")</f>
        <v/>
      </c>
      <c r="P40" s="17">
        <f>IFERROR(IF(Q14="","",Q14/P14),"")</f>
        <v/>
      </c>
      <c r="Q40" s="17">
        <f>IFERROR(IF(R14="","",R14/Q14),"")</f>
        <v/>
      </c>
      <c r="R40" s="17">
        <f>IFERROR(IF(S14="","",S14/R14),"")</f>
        <v/>
      </c>
      <c r="S40" s="17">
        <f>IFERROR(IF(T14="","",T14/S14),"")</f>
        <v/>
      </c>
      <c r="T40" s="17">
        <f>IFERROR(IF(U14="","",U14/T14),"")</f>
        <v/>
      </c>
      <c r="U40" s="17">
        <f>IFERROR(IF(V14="","",V14/U14),"")</f>
        <v/>
      </c>
      <c r="V40" s="17">
        <f>IFERROR(IF(W14="","",W14/V14),"")</f>
        <v/>
      </c>
      <c r="W40" s="17">
        <f>IFERROR(IF(X14="","",X14/W14),"")</f>
        <v/>
      </c>
      <c r="X40" s="17">
        <f>IFERROR(IF(Y14="","",Y14/X14),"")</f>
        <v/>
      </c>
    </row>
    <row r="41">
      <c r="A41" s="15" t="inlineStr">
        <is>
          <t>2014</t>
        </is>
      </c>
      <c r="B41" s="17">
        <f>IFERROR(IF(C15="","",C15/B15),"")</f>
        <v/>
      </c>
      <c r="C41" s="17">
        <f>IFERROR(IF(D15="","",D15/C15),"")</f>
        <v/>
      </c>
      <c r="D41" s="17">
        <f>IFERROR(IF(E15="","",E15/D15),"")</f>
        <v/>
      </c>
      <c r="E41" s="17">
        <f>IFERROR(IF(F15="","",F15/E15),"")</f>
        <v/>
      </c>
      <c r="F41" s="17">
        <f>IFERROR(IF(G15="","",G15/F15),"")</f>
        <v/>
      </c>
      <c r="G41" s="17">
        <f>IFERROR(IF(H15="","",H15/G15),"")</f>
        <v/>
      </c>
      <c r="H41" s="17">
        <f>IFERROR(IF(I15="","",I15/H15),"")</f>
        <v/>
      </c>
      <c r="I41" s="17">
        <f>IFERROR(IF(J15="","",J15/I15),"")</f>
        <v/>
      </c>
      <c r="J41" s="17">
        <f>IFERROR(IF(K15="","",K15/J15),"")</f>
        <v/>
      </c>
      <c r="K41" s="17">
        <f>IFERROR(IF(L15="","",L15/K15),"")</f>
        <v/>
      </c>
      <c r="L41" s="17">
        <f>IFERROR(IF(M15="","",M15/L15),"")</f>
        <v/>
      </c>
      <c r="M41" s="17">
        <f>IFERROR(IF(N15="","",N15/M15),"")</f>
        <v/>
      </c>
      <c r="N41" s="17">
        <f>IFERROR(IF(O15="","",O15/N15),"")</f>
        <v/>
      </c>
      <c r="O41" s="17">
        <f>IFERROR(IF(P15="","",P15/O15),"")</f>
        <v/>
      </c>
      <c r="P41" s="17">
        <f>IFERROR(IF(Q15="","",Q15/P15),"")</f>
        <v/>
      </c>
      <c r="Q41" s="17">
        <f>IFERROR(IF(R15="","",R15/Q15),"")</f>
        <v/>
      </c>
      <c r="R41" s="17">
        <f>IFERROR(IF(S15="","",S15/R15),"")</f>
        <v/>
      </c>
      <c r="S41" s="17">
        <f>IFERROR(IF(T15="","",T15/S15),"")</f>
        <v/>
      </c>
      <c r="T41" s="17">
        <f>IFERROR(IF(U15="","",U15/T15),"")</f>
        <v/>
      </c>
      <c r="U41" s="17">
        <f>IFERROR(IF(V15="","",V15/U15),"")</f>
        <v/>
      </c>
      <c r="V41" s="17">
        <f>IFERROR(IF(W15="","",W15/V15),"")</f>
        <v/>
      </c>
      <c r="W41" s="17">
        <f>IFERROR(IF(X15="","",X15/W15),"")</f>
        <v/>
      </c>
      <c r="X41" s="17">
        <f>IFERROR(IF(Y15="","",Y15/X15),"")</f>
        <v/>
      </c>
    </row>
    <row r="42">
      <c r="A42" s="15" t="inlineStr">
        <is>
          <t>2015</t>
        </is>
      </c>
      <c r="B42" s="17">
        <f>IFERROR(IF(C16="","",C16/B16),"")</f>
        <v/>
      </c>
      <c r="C42" s="17">
        <f>IFERROR(IF(D16="","",D16/C16),"")</f>
        <v/>
      </c>
      <c r="D42" s="17">
        <f>IFERROR(IF(E16="","",E16/D16),"")</f>
        <v/>
      </c>
      <c r="E42" s="17">
        <f>IFERROR(IF(F16="","",F16/E16),"")</f>
        <v/>
      </c>
      <c r="F42" s="17">
        <f>IFERROR(IF(G16="","",G16/F16),"")</f>
        <v/>
      </c>
      <c r="G42" s="17">
        <f>IFERROR(IF(H16="","",H16/G16),"")</f>
        <v/>
      </c>
      <c r="H42" s="17">
        <f>IFERROR(IF(I16="","",I16/H16),"")</f>
        <v/>
      </c>
      <c r="I42" s="17">
        <f>IFERROR(IF(J16="","",J16/I16),"")</f>
        <v/>
      </c>
      <c r="J42" s="17">
        <f>IFERROR(IF(K16="","",K16/J16),"")</f>
        <v/>
      </c>
      <c r="K42" s="17">
        <f>IFERROR(IF(L16="","",L16/K16),"")</f>
        <v/>
      </c>
      <c r="L42" s="17">
        <f>IFERROR(IF(M16="","",M16/L16),"")</f>
        <v/>
      </c>
      <c r="M42" s="17">
        <f>IFERROR(IF(N16="","",N16/M16),"")</f>
        <v/>
      </c>
      <c r="N42" s="17">
        <f>IFERROR(IF(O16="","",O16/N16),"")</f>
        <v/>
      </c>
      <c r="O42" s="17">
        <f>IFERROR(IF(P16="","",P16/O16),"")</f>
        <v/>
      </c>
      <c r="P42" s="17">
        <f>IFERROR(IF(Q16="","",Q16/P16),"")</f>
        <v/>
      </c>
      <c r="Q42" s="17">
        <f>IFERROR(IF(R16="","",R16/Q16),"")</f>
        <v/>
      </c>
      <c r="R42" s="17">
        <f>IFERROR(IF(S16="","",S16/R16),"")</f>
        <v/>
      </c>
      <c r="S42" s="17">
        <f>IFERROR(IF(T16="","",T16/S16),"")</f>
        <v/>
      </c>
      <c r="T42" s="17">
        <f>IFERROR(IF(U16="","",U16/T16),"")</f>
        <v/>
      </c>
      <c r="U42" s="17">
        <f>IFERROR(IF(V16="","",V16/U16),"")</f>
        <v/>
      </c>
      <c r="V42" s="17">
        <f>IFERROR(IF(W16="","",W16/V16),"")</f>
        <v/>
      </c>
      <c r="W42" s="17">
        <f>IFERROR(IF(X16="","",X16/W16),"")</f>
        <v/>
      </c>
      <c r="X42" s="17">
        <f>IFERROR(IF(Y16="","",Y16/X16),"")</f>
        <v/>
      </c>
    </row>
    <row r="43">
      <c r="A43" s="15" t="inlineStr">
        <is>
          <t>2016</t>
        </is>
      </c>
      <c r="B43" s="17">
        <f>IFERROR(IF(C17="","",C17/B17),"")</f>
        <v/>
      </c>
      <c r="C43" s="17">
        <f>IFERROR(IF(D17="","",D17/C17),"")</f>
        <v/>
      </c>
      <c r="D43" s="17">
        <f>IFERROR(IF(E17="","",E17/D17),"")</f>
        <v/>
      </c>
      <c r="E43" s="17">
        <f>IFERROR(IF(F17="","",F17/E17),"")</f>
        <v/>
      </c>
      <c r="F43" s="17">
        <f>IFERROR(IF(G17="","",G17/F17),"")</f>
        <v/>
      </c>
      <c r="G43" s="17">
        <f>IFERROR(IF(H17="","",H17/G17),"")</f>
        <v/>
      </c>
      <c r="H43" s="17">
        <f>IFERROR(IF(I17="","",I17/H17),"")</f>
        <v/>
      </c>
      <c r="I43" s="17">
        <f>IFERROR(IF(J17="","",J17/I17),"")</f>
        <v/>
      </c>
      <c r="J43" s="17">
        <f>IFERROR(IF(K17="","",K17/J17),"")</f>
        <v/>
      </c>
      <c r="K43" s="17">
        <f>IFERROR(IF(L17="","",L17/K17),"")</f>
        <v/>
      </c>
      <c r="L43" s="17">
        <f>IFERROR(IF(M17="","",M17/L17),"")</f>
        <v/>
      </c>
      <c r="M43" s="17">
        <f>IFERROR(IF(N17="","",N17/M17),"")</f>
        <v/>
      </c>
      <c r="N43" s="17">
        <f>IFERROR(IF(O17="","",O17/N17),"")</f>
        <v/>
      </c>
      <c r="O43" s="17">
        <f>IFERROR(IF(P17="","",P17/O17),"")</f>
        <v/>
      </c>
      <c r="P43" s="17">
        <f>IFERROR(IF(Q17="","",Q17/P17),"")</f>
        <v/>
      </c>
      <c r="Q43" s="17">
        <f>IFERROR(IF(R17="","",R17/Q17),"")</f>
        <v/>
      </c>
      <c r="R43" s="17">
        <f>IFERROR(IF(S17="","",S17/R17),"")</f>
        <v/>
      </c>
      <c r="S43" s="17">
        <f>IFERROR(IF(T17="","",T17/S17),"")</f>
        <v/>
      </c>
      <c r="T43" s="17">
        <f>IFERROR(IF(U17="","",U17/T17),"")</f>
        <v/>
      </c>
      <c r="U43" s="17">
        <f>IFERROR(IF(V17="","",V17/U17),"")</f>
        <v/>
      </c>
      <c r="V43" s="17">
        <f>IFERROR(IF(W17="","",W17/V17),"")</f>
        <v/>
      </c>
      <c r="W43" s="17">
        <f>IFERROR(IF(X17="","",X17/W17),"")</f>
        <v/>
      </c>
      <c r="X43" s="17">
        <f>IFERROR(IF(Y17="","",Y17/X17),"")</f>
        <v/>
      </c>
    </row>
    <row r="44">
      <c r="A44" s="15" t="inlineStr">
        <is>
          <t>2017</t>
        </is>
      </c>
      <c r="B44" s="17">
        <f>IFERROR(IF(C18="","",C18/B18),"")</f>
        <v/>
      </c>
      <c r="C44" s="17">
        <f>IFERROR(IF(D18="","",D18/C18),"")</f>
        <v/>
      </c>
      <c r="D44" s="17">
        <f>IFERROR(IF(E18="","",E18/D18),"")</f>
        <v/>
      </c>
      <c r="E44" s="17">
        <f>IFERROR(IF(F18="","",F18/E18),"")</f>
        <v/>
      </c>
      <c r="F44" s="17">
        <f>IFERROR(IF(G18="","",G18/F18),"")</f>
        <v/>
      </c>
      <c r="G44" s="17">
        <f>IFERROR(IF(H18="","",H18/G18),"")</f>
        <v/>
      </c>
      <c r="H44" s="17">
        <f>IFERROR(IF(I18="","",I18/H18),"")</f>
        <v/>
      </c>
      <c r="I44" s="17">
        <f>IFERROR(IF(J18="","",J18/I18),"")</f>
        <v/>
      </c>
      <c r="J44" s="17">
        <f>IFERROR(IF(K18="","",K18/J18),"")</f>
        <v/>
      </c>
      <c r="K44" s="17">
        <f>IFERROR(IF(L18="","",L18/K18),"")</f>
        <v/>
      </c>
      <c r="L44" s="17">
        <f>IFERROR(IF(M18="","",M18/L18),"")</f>
        <v/>
      </c>
      <c r="M44" s="17">
        <f>IFERROR(IF(N18="","",N18/M18),"")</f>
        <v/>
      </c>
      <c r="N44" s="17">
        <f>IFERROR(IF(O18="","",O18/N18),"")</f>
        <v/>
      </c>
      <c r="O44" s="17">
        <f>IFERROR(IF(P18="","",P18/O18),"")</f>
        <v/>
      </c>
      <c r="P44" s="17">
        <f>IFERROR(IF(Q18="","",Q18/P18),"")</f>
        <v/>
      </c>
      <c r="Q44" s="17">
        <f>IFERROR(IF(R18="","",R18/Q18),"")</f>
        <v/>
      </c>
      <c r="R44" s="17">
        <f>IFERROR(IF(S18="","",S18/R18),"")</f>
        <v/>
      </c>
      <c r="S44" s="17">
        <f>IFERROR(IF(T18="","",T18/S18),"")</f>
        <v/>
      </c>
      <c r="T44" s="17">
        <f>IFERROR(IF(U18="","",U18/T18),"")</f>
        <v/>
      </c>
      <c r="U44" s="17">
        <f>IFERROR(IF(V18="","",V18/U18),"")</f>
        <v/>
      </c>
      <c r="V44" s="17">
        <f>IFERROR(IF(W18="","",W18/V18),"")</f>
        <v/>
      </c>
      <c r="W44" s="17">
        <f>IFERROR(IF(X18="","",X18/W18),"")</f>
        <v/>
      </c>
      <c r="X44" s="17">
        <f>IFERROR(IF(Y18="","",Y18/X18),"")</f>
        <v/>
      </c>
    </row>
    <row r="45">
      <c r="A45" s="15" t="inlineStr">
        <is>
          <t>2018</t>
        </is>
      </c>
      <c r="B45" s="17">
        <f>IFERROR(IF(C19="","",C19/B19),"")</f>
        <v/>
      </c>
      <c r="C45" s="17">
        <f>IFERROR(IF(D19="","",D19/C19),"")</f>
        <v/>
      </c>
      <c r="D45" s="17">
        <f>IFERROR(IF(E19="","",E19/D19),"")</f>
        <v/>
      </c>
      <c r="E45" s="17">
        <f>IFERROR(IF(F19="","",F19/E19),"")</f>
        <v/>
      </c>
      <c r="F45" s="17">
        <f>IFERROR(IF(G19="","",G19/F19),"")</f>
        <v/>
      </c>
      <c r="G45" s="17">
        <f>IFERROR(IF(H19="","",H19/G19),"")</f>
        <v/>
      </c>
      <c r="H45" s="17">
        <f>IFERROR(IF(I19="","",I19/H19),"")</f>
        <v/>
      </c>
      <c r="I45" s="17">
        <f>IFERROR(IF(J19="","",J19/I19),"")</f>
        <v/>
      </c>
      <c r="J45" s="17">
        <f>IFERROR(IF(K19="","",K19/J19),"")</f>
        <v/>
      </c>
      <c r="K45" s="17">
        <f>IFERROR(IF(L19="","",L19/K19),"")</f>
        <v/>
      </c>
      <c r="L45" s="17">
        <f>IFERROR(IF(M19="","",M19/L19),"")</f>
        <v/>
      </c>
      <c r="M45" s="17">
        <f>IFERROR(IF(N19="","",N19/M19),"")</f>
        <v/>
      </c>
      <c r="N45" s="17">
        <f>IFERROR(IF(O19="","",O19/N19),"")</f>
        <v/>
      </c>
      <c r="O45" s="17">
        <f>IFERROR(IF(P19="","",P19/O19),"")</f>
        <v/>
      </c>
      <c r="P45" s="17">
        <f>IFERROR(IF(Q19="","",Q19/P19),"")</f>
        <v/>
      </c>
      <c r="Q45" s="17">
        <f>IFERROR(IF(R19="","",R19/Q19),"")</f>
        <v/>
      </c>
      <c r="R45" s="17">
        <f>IFERROR(IF(S19="","",S19/R19),"")</f>
        <v/>
      </c>
      <c r="S45" s="17">
        <f>IFERROR(IF(T19="","",T19/S19),"")</f>
        <v/>
      </c>
      <c r="T45" s="17">
        <f>IFERROR(IF(U19="","",U19/T19),"")</f>
        <v/>
      </c>
      <c r="U45" s="17">
        <f>IFERROR(IF(V19="","",V19/U19),"")</f>
        <v/>
      </c>
      <c r="V45" s="17">
        <f>IFERROR(IF(W19="","",W19/V19),"")</f>
        <v/>
      </c>
      <c r="W45" s="17">
        <f>IFERROR(IF(X19="","",X19/W19),"")</f>
        <v/>
      </c>
      <c r="X45" s="17">
        <f>IFERROR(IF(Y19="","",Y19/X19),"")</f>
        <v/>
      </c>
    </row>
    <row r="46">
      <c r="A46" s="15" t="inlineStr">
        <is>
          <t>2019</t>
        </is>
      </c>
      <c r="B46" s="17">
        <f>IFERROR(IF(C20="","",C20/B20),"")</f>
        <v/>
      </c>
      <c r="C46" s="17">
        <f>IFERROR(IF(D20="","",D20/C20),"")</f>
        <v/>
      </c>
      <c r="D46" s="17">
        <f>IFERROR(IF(E20="","",E20/D20),"")</f>
        <v/>
      </c>
      <c r="E46" s="17">
        <f>IFERROR(IF(F20="","",F20/E20),"")</f>
        <v/>
      </c>
      <c r="F46" s="17">
        <f>IFERROR(IF(G20="","",G20/F20),"")</f>
        <v/>
      </c>
      <c r="G46" s="17">
        <f>IFERROR(IF(H20="","",H20/G20),"")</f>
        <v/>
      </c>
      <c r="H46" s="17">
        <f>IFERROR(IF(I20="","",I20/H20),"")</f>
        <v/>
      </c>
      <c r="I46" s="17">
        <f>IFERROR(IF(J20="","",J20/I20),"")</f>
        <v/>
      </c>
      <c r="J46" s="17">
        <f>IFERROR(IF(K20="","",K20/J20),"")</f>
        <v/>
      </c>
      <c r="K46" s="17">
        <f>IFERROR(IF(L20="","",L20/K20),"")</f>
        <v/>
      </c>
      <c r="L46" s="17">
        <f>IFERROR(IF(M20="","",M20/L20),"")</f>
        <v/>
      </c>
      <c r="M46" s="17">
        <f>IFERROR(IF(N20="","",N20/M20),"")</f>
        <v/>
      </c>
      <c r="N46" s="17">
        <f>IFERROR(IF(O20="","",O20/N20),"")</f>
        <v/>
      </c>
      <c r="O46" s="17">
        <f>IFERROR(IF(P20="","",P20/O20),"")</f>
        <v/>
      </c>
      <c r="P46" s="17">
        <f>IFERROR(IF(Q20="","",Q20/P20),"")</f>
        <v/>
      </c>
      <c r="Q46" s="17">
        <f>IFERROR(IF(R20="","",R20/Q20),"")</f>
        <v/>
      </c>
      <c r="R46" s="17">
        <f>IFERROR(IF(S20="","",S20/R20),"")</f>
        <v/>
      </c>
      <c r="S46" s="17">
        <f>IFERROR(IF(T20="","",T20/S20),"")</f>
        <v/>
      </c>
      <c r="T46" s="17">
        <f>IFERROR(IF(U20="","",U20/T20),"")</f>
        <v/>
      </c>
      <c r="U46" s="17">
        <f>IFERROR(IF(V20="","",V20/U20),"")</f>
        <v/>
      </c>
      <c r="V46" s="17">
        <f>IFERROR(IF(W20="","",W20/V20),"")</f>
        <v/>
      </c>
      <c r="W46" s="17">
        <f>IFERROR(IF(X20="","",X20/W20),"")</f>
        <v/>
      </c>
      <c r="X46" s="17">
        <f>IFERROR(IF(Y20="","",Y20/X20),"")</f>
        <v/>
      </c>
    </row>
    <row r="47">
      <c r="A47" s="15" t="inlineStr">
        <is>
          <t>2020</t>
        </is>
      </c>
      <c r="B47" s="17">
        <f>IFERROR(IF(C21="","",C21/B21),"")</f>
        <v/>
      </c>
      <c r="C47" s="17">
        <f>IFERROR(IF(D21="","",D21/C21),"")</f>
        <v/>
      </c>
      <c r="D47" s="17">
        <f>IFERROR(IF(E21="","",E21/D21),"")</f>
        <v/>
      </c>
      <c r="E47" s="17">
        <f>IFERROR(IF(F21="","",F21/E21),"")</f>
        <v/>
      </c>
      <c r="F47" s="17">
        <f>IFERROR(IF(G21="","",G21/F21),"")</f>
        <v/>
      </c>
      <c r="G47" s="17">
        <f>IFERROR(IF(H21="","",H21/G21),"")</f>
        <v/>
      </c>
      <c r="H47" s="17">
        <f>IFERROR(IF(I21="","",I21/H21),"")</f>
        <v/>
      </c>
      <c r="I47" s="17">
        <f>IFERROR(IF(J21="","",J21/I21),"")</f>
        <v/>
      </c>
      <c r="J47" s="17">
        <f>IFERROR(IF(K21="","",K21/J21),"")</f>
        <v/>
      </c>
      <c r="K47" s="17">
        <f>IFERROR(IF(L21="","",L21/K21),"")</f>
        <v/>
      </c>
      <c r="L47" s="17">
        <f>IFERROR(IF(M21="","",M21/L21),"")</f>
        <v/>
      </c>
      <c r="M47" s="17">
        <f>IFERROR(IF(N21="","",N21/M21),"")</f>
        <v/>
      </c>
      <c r="N47" s="17">
        <f>IFERROR(IF(O21="","",O21/N21),"")</f>
        <v/>
      </c>
      <c r="O47" s="17">
        <f>IFERROR(IF(P21="","",P21/O21),"")</f>
        <v/>
      </c>
      <c r="P47" s="17">
        <f>IFERROR(IF(Q21="","",Q21/P21),"")</f>
        <v/>
      </c>
      <c r="Q47" s="17">
        <f>IFERROR(IF(R21="","",R21/Q21),"")</f>
        <v/>
      </c>
      <c r="R47" s="17">
        <f>IFERROR(IF(S21="","",S21/R21),"")</f>
        <v/>
      </c>
      <c r="S47" s="17">
        <f>IFERROR(IF(T21="","",T21/S21),"")</f>
        <v/>
      </c>
      <c r="T47" s="17">
        <f>IFERROR(IF(U21="","",U21/T21),"")</f>
        <v/>
      </c>
      <c r="U47" s="17">
        <f>IFERROR(IF(V21="","",V21/U21),"")</f>
        <v/>
      </c>
      <c r="V47" s="17">
        <f>IFERROR(IF(W21="","",W21/V21),"")</f>
        <v/>
      </c>
      <c r="W47" s="17">
        <f>IFERROR(IF(X21="","",X21/W21),"")</f>
        <v/>
      </c>
      <c r="X47" s="17">
        <f>IFERROR(IF(Y21="","",Y21/X21),"")</f>
        <v/>
      </c>
    </row>
    <row r="48">
      <c r="A48" s="15" t="inlineStr">
        <is>
          <t>2021</t>
        </is>
      </c>
      <c r="B48" s="17">
        <f>IFERROR(IF(C22="","",C22/B22),"")</f>
        <v/>
      </c>
      <c r="C48" s="17">
        <f>IFERROR(IF(D22="","",D22/C22),"")</f>
        <v/>
      </c>
      <c r="D48" s="17">
        <f>IFERROR(IF(E22="","",E22/D22),"")</f>
        <v/>
      </c>
      <c r="E48" s="17">
        <f>IFERROR(IF(F22="","",F22/E22),"")</f>
        <v/>
      </c>
      <c r="F48" s="17">
        <f>IFERROR(IF(G22="","",G22/F22),"")</f>
        <v/>
      </c>
      <c r="G48" s="17">
        <f>IFERROR(IF(H22="","",H22/G22),"")</f>
        <v/>
      </c>
      <c r="H48" s="17">
        <f>IFERROR(IF(I22="","",I22/H22),"")</f>
        <v/>
      </c>
      <c r="I48" s="17">
        <f>IFERROR(IF(J22="","",J22/I22),"")</f>
        <v/>
      </c>
      <c r="J48" s="17">
        <f>IFERROR(IF(K22="","",K22/J22),"")</f>
        <v/>
      </c>
      <c r="K48" s="17">
        <f>IFERROR(IF(L22="","",L22/K22),"")</f>
        <v/>
      </c>
      <c r="L48" s="17">
        <f>IFERROR(IF(M22="","",M22/L22),"")</f>
        <v/>
      </c>
      <c r="M48" s="17">
        <f>IFERROR(IF(N22="","",N22/M22),"")</f>
        <v/>
      </c>
      <c r="N48" s="17">
        <f>IFERROR(IF(O22="","",O22/N22),"")</f>
        <v/>
      </c>
      <c r="O48" s="17">
        <f>IFERROR(IF(P22="","",P22/O22),"")</f>
        <v/>
      </c>
      <c r="P48" s="17">
        <f>IFERROR(IF(Q22="","",Q22/P22),"")</f>
        <v/>
      </c>
      <c r="Q48" s="17">
        <f>IFERROR(IF(R22="","",R22/Q22),"")</f>
        <v/>
      </c>
      <c r="R48" s="17">
        <f>IFERROR(IF(S22="","",S22/R22),"")</f>
        <v/>
      </c>
      <c r="S48" s="17">
        <f>IFERROR(IF(T22="","",T22/S22),"")</f>
        <v/>
      </c>
      <c r="T48" s="17">
        <f>IFERROR(IF(U22="","",U22/T22),"")</f>
        <v/>
      </c>
      <c r="U48" s="17">
        <f>IFERROR(IF(V22="","",V22/U22),"")</f>
        <v/>
      </c>
      <c r="V48" s="17">
        <f>IFERROR(IF(W22="","",W22/V22),"")</f>
        <v/>
      </c>
      <c r="W48" s="17">
        <f>IFERROR(IF(X22="","",X22/W22),"")</f>
        <v/>
      </c>
      <c r="X48" s="17">
        <f>IFERROR(IF(Y22="","",Y22/X22),"")</f>
        <v/>
      </c>
    </row>
    <row r="49">
      <c r="A49" s="15" t="inlineStr">
        <is>
          <t>2022</t>
        </is>
      </c>
      <c r="B49" s="17">
        <f>IFERROR(IF(C23="","",C23/B23),"")</f>
        <v/>
      </c>
      <c r="C49" s="17">
        <f>IFERROR(IF(D23="","",D23/C23),"")</f>
        <v/>
      </c>
      <c r="D49" s="17">
        <f>IFERROR(IF(E23="","",E23/D23),"")</f>
        <v/>
      </c>
      <c r="E49" s="17">
        <f>IFERROR(IF(F23="","",F23/E23),"")</f>
        <v/>
      </c>
      <c r="F49" s="17">
        <f>IFERROR(IF(G23="","",G23/F23),"")</f>
        <v/>
      </c>
      <c r="G49" s="17">
        <f>IFERROR(IF(H23="","",H23/G23),"")</f>
        <v/>
      </c>
      <c r="H49" s="17">
        <f>IFERROR(IF(I23="","",I23/H23),"")</f>
        <v/>
      </c>
      <c r="I49" s="17">
        <f>IFERROR(IF(J23="","",J23/I23),"")</f>
        <v/>
      </c>
      <c r="J49" s="17">
        <f>IFERROR(IF(K23="","",K23/J23),"")</f>
        <v/>
      </c>
      <c r="K49" s="17">
        <f>IFERROR(IF(L23="","",L23/K23),"")</f>
        <v/>
      </c>
      <c r="L49" s="17">
        <f>IFERROR(IF(M23="","",M23/L23),"")</f>
        <v/>
      </c>
      <c r="M49" s="17">
        <f>IFERROR(IF(N23="","",N23/M23),"")</f>
        <v/>
      </c>
      <c r="N49" s="17">
        <f>IFERROR(IF(O23="","",O23/N23),"")</f>
        <v/>
      </c>
      <c r="O49" s="17">
        <f>IFERROR(IF(P23="","",P23/O23),"")</f>
        <v/>
      </c>
      <c r="P49" s="17">
        <f>IFERROR(IF(Q23="","",Q23/P23),"")</f>
        <v/>
      </c>
      <c r="Q49" s="17">
        <f>IFERROR(IF(R23="","",R23/Q23),"")</f>
        <v/>
      </c>
      <c r="R49" s="17">
        <f>IFERROR(IF(S23="","",S23/R23),"")</f>
        <v/>
      </c>
      <c r="S49" s="17">
        <f>IFERROR(IF(T23="","",T23/S23),"")</f>
        <v/>
      </c>
      <c r="T49" s="17">
        <f>IFERROR(IF(U23="","",U23/T23),"")</f>
        <v/>
      </c>
      <c r="U49" s="17">
        <f>IFERROR(IF(V23="","",V23/U23),"")</f>
        <v/>
      </c>
      <c r="V49" s="17">
        <f>IFERROR(IF(W23="","",W23/V23),"")</f>
        <v/>
      </c>
      <c r="W49" s="17">
        <f>IFERROR(IF(X23="","",X23/W23),"")</f>
        <v/>
      </c>
      <c r="X49" s="17">
        <f>IFERROR(IF(Y23="","",Y23/X23),"")</f>
        <v/>
      </c>
    </row>
    <row r="50">
      <c r="A50" s="15" t="inlineStr">
        <is>
          <t>2023</t>
        </is>
      </c>
      <c r="B50" s="17">
        <f>IFERROR(IF(C24="","",C24/B24),"")</f>
        <v/>
      </c>
      <c r="C50" s="17">
        <f>IFERROR(IF(D24="","",D24/C24),"")</f>
        <v/>
      </c>
      <c r="D50" s="17">
        <f>IFERROR(IF(E24="","",E24/D24),"")</f>
        <v/>
      </c>
      <c r="E50" s="17">
        <f>IFERROR(IF(F24="","",F24/E24),"")</f>
        <v/>
      </c>
      <c r="F50" s="17">
        <f>IFERROR(IF(G24="","",G24/F24),"")</f>
        <v/>
      </c>
      <c r="G50" s="17">
        <f>IFERROR(IF(H24="","",H24/G24),"")</f>
        <v/>
      </c>
      <c r="H50" s="17">
        <f>IFERROR(IF(I24="","",I24/H24),"")</f>
        <v/>
      </c>
      <c r="I50" s="17">
        <f>IFERROR(IF(J24="","",J24/I24),"")</f>
        <v/>
      </c>
      <c r="J50" s="17">
        <f>IFERROR(IF(K24="","",K24/J24),"")</f>
        <v/>
      </c>
      <c r="K50" s="17">
        <f>IFERROR(IF(L24="","",L24/K24),"")</f>
        <v/>
      </c>
      <c r="L50" s="17">
        <f>IFERROR(IF(M24="","",M24/L24),"")</f>
        <v/>
      </c>
      <c r="M50" s="17">
        <f>IFERROR(IF(N24="","",N24/M24),"")</f>
        <v/>
      </c>
      <c r="N50" s="17">
        <f>IFERROR(IF(O24="","",O24/N24),"")</f>
        <v/>
      </c>
      <c r="O50" s="17">
        <f>IFERROR(IF(P24="","",P24/O24),"")</f>
        <v/>
      </c>
      <c r="P50" s="17">
        <f>IFERROR(IF(Q24="","",Q24/P24),"")</f>
        <v/>
      </c>
      <c r="Q50" s="17">
        <f>IFERROR(IF(R24="","",R24/Q24),"")</f>
        <v/>
      </c>
      <c r="R50" s="17">
        <f>IFERROR(IF(S24="","",S24/R24),"")</f>
        <v/>
      </c>
      <c r="S50" s="17">
        <f>IFERROR(IF(T24="","",T24/S24),"")</f>
        <v/>
      </c>
      <c r="T50" s="17">
        <f>IFERROR(IF(U24="","",U24/T24),"")</f>
        <v/>
      </c>
      <c r="U50" s="17">
        <f>IFERROR(IF(V24="","",V24/U24),"")</f>
        <v/>
      </c>
      <c r="V50" s="17">
        <f>IFERROR(IF(W24="","",W24/V24),"")</f>
        <v/>
      </c>
      <c r="W50" s="17">
        <f>IFERROR(IF(X24="","",X24/W24),"")</f>
        <v/>
      </c>
      <c r="X50" s="17">
        <f>IFERROR(IF(Y24="","",Y24/X24),"")</f>
        <v/>
      </c>
    </row>
    <row r="51">
      <c r="A51" s="15" t="inlineStr">
        <is>
          <t>2024</t>
        </is>
      </c>
      <c r="B51" s="17">
        <f>IFERROR(IF(C25="","",C25/B25),"")</f>
        <v/>
      </c>
      <c r="C51" s="17">
        <f>IFERROR(IF(D25="","",D25/C25),"")</f>
        <v/>
      </c>
      <c r="D51" s="17">
        <f>IFERROR(IF(E25="","",E25/D25),"")</f>
        <v/>
      </c>
      <c r="E51" s="17">
        <f>IFERROR(IF(F25="","",F25/E25),"")</f>
        <v/>
      </c>
      <c r="F51" s="17">
        <f>IFERROR(IF(G25="","",G25/F25),"")</f>
        <v/>
      </c>
      <c r="G51" s="17">
        <f>IFERROR(IF(H25="","",H25/G25),"")</f>
        <v/>
      </c>
      <c r="H51" s="17">
        <f>IFERROR(IF(I25="","",I25/H25),"")</f>
        <v/>
      </c>
      <c r="I51" s="17">
        <f>IFERROR(IF(J25="","",J25/I25),"")</f>
        <v/>
      </c>
      <c r="J51" s="17">
        <f>IFERROR(IF(K25="","",K25/J25),"")</f>
        <v/>
      </c>
      <c r="K51" s="17">
        <f>IFERROR(IF(L25="","",L25/K25),"")</f>
        <v/>
      </c>
      <c r="L51" s="17">
        <f>IFERROR(IF(M25="","",M25/L25),"")</f>
        <v/>
      </c>
      <c r="M51" s="17">
        <f>IFERROR(IF(N25="","",N25/M25),"")</f>
        <v/>
      </c>
      <c r="N51" s="17">
        <f>IFERROR(IF(O25="","",O25/N25),"")</f>
        <v/>
      </c>
      <c r="O51" s="17">
        <f>IFERROR(IF(P25="","",P25/O25),"")</f>
        <v/>
      </c>
      <c r="P51" s="17">
        <f>IFERROR(IF(Q25="","",Q25/P25),"")</f>
        <v/>
      </c>
      <c r="Q51" s="17">
        <f>IFERROR(IF(R25="","",R25/Q25),"")</f>
        <v/>
      </c>
      <c r="R51" s="17">
        <f>IFERROR(IF(S25="","",S25/R25),"")</f>
        <v/>
      </c>
      <c r="S51" s="17">
        <f>IFERROR(IF(T25="","",T25/S25),"")</f>
        <v/>
      </c>
      <c r="T51" s="17">
        <f>IFERROR(IF(U25="","",U25/T25),"")</f>
        <v/>
      </c>
      <c r="U51" s="17">
        <f>IFERROR(IF(V25="","",V25/U25),"")</f>
        <v/>
      </c>
      <c r="V51" s="17">
        <f>IFERROR(IF(W25="","",W25/V25),"")</f>
        <v/>
      </c>
      <c r="W51" s="17">
        <f>IFERROR(IF(X25="","",X25/W25),"")</f>
        <v/>
      </c>
      <c r="X51" s="17">
        <f>IFERROR(IF(Y25="","",Y25/X25),"")</f>
        <v/>
      </c>
    </row>
    <row r="52"/>
    <row r="53">
      <c r="A53" s="18" t="inlineStr">
        <is>
          <t>Metric</t>
        </is>
      </c>
      <c r="B53" s="8" t="inlineStr">
        <is>
          <t>11-23</t>
        </is>
      </c>
      <c r="C53" s="8" t="inlineStr">
        <is>
          <t>23-35</t>
        </is>
      </c>
      <c r="D53" s="8" t="inlineStr">
        <is>
          <t>35-47</t>
        </is>
      </c>
      <c r="E53" s="8" t="inlineStr">
        <is>
          <t>47-59</t>
        </is>
      </c>
      <c r="F53" s="8" t="inlineStr">
        <is>
          <t>59-71</t>
        </is>
      </c>
      <c r="G53" s="8" t="inlineStr">
        <is>
          <t>71-83</t>
        </is>
      </c>
      <c r="H53" s="8" t="inlineStr">
        <is>
          <t>83-95</t>
        </is>
      </c>
      <c r="I53" s="8" t="inlineStr">
        <is>
          <t>95-107</t>
        </is>
      </c>
      <c r="J53" s="8" t="inlineStr">
        <is>
          <t>107-119</t>
        </is>
      </c>
      <c r="K53" s="8" t="inlineStr">
        <is>
          <t>119-131</t>
        </is>
      </c>
      <c r="L53" s="8" t="inlineStr">
        <is>
          <t>131-143</t>
        </is>
      </c>
      <c r="M53" s="8" t="inlineStr">
        <is>
          <t>143-155</t>
        </is>
      </c>
      <c r="N53" s="8" t="inlineStr">
        <is>
          <t>155-167</t>
        </is>
      </c>
      <c r="O53" s="8" t="inlineStr">
        <is>
          <t>167-179</t>
        </is>
      </c>
      <c r="P53" s="8" t="inlineStr">
        <is>
          <t>179-191</t>
        </is>
      </c>
      <c r="Q53" s="8" t="inlineStr">
        <is>
          <t>191-203</t>
        </is>
      </c>
      <c r="R53" s="8" t="inlineStr">
        <is>
          <t>203-215</t>
        </is>
      </c>
      <c r="S53" s="8" t="inlineStr">
        <is>
          <t>215-227</t>
        </is>
      </c>
      <c r="T53" s="8" t="inlineStr">
        <is>
          <t>227-239</t>
        </is>
      </c>
      <c r="U53" s="8" t="inlineStr">
        <is>
          <t>239-251</t>
        </is>
      </c>
      <c r="V53" s="8" t="inlineStr">
        <is>
          <t>251-263</t>
        </is>
      </c>
      <c r="W53" s="8" t="inlineStr">
        <is>
          <t>263-275</t>
        </is>
      </c>
      <c r="X53" s="8" t="inlineStr">
        <is>
          <t>275-287</t>
        </is>
      </c>
      <c r="Y53" s="8" t="inlineStr">
        <is>
          <t>Tail</t>
        </is>
      </c>
    </row>
    <row r="54">
      <c r="A54" s="19" t="inlineStr">
        <is>
          <t>simple_all</t>
        </is>
      </c>
      <c r="B54" s="17">
        <f>IFERROR(AVERAGE(B28:B51),AVERAGE(B28:B51))</f>
        <v/>
      </c>
      <c r="C54" s="17">
        <f>IFERROR(AVERAGE(C28:C51),AVERAGE(C28:C51))</f>
        <v/>
      </c>
      <c r="D54" s="17">
        <f>IFERROR(AVERAGE(D28:D51),AVERAGE(D28:D51))</f>
        <v/>
      </c>
      <c r="E54" s="17">
        <f>IFERROR(AVERAGE(E28:E51),AVERAGE(E28:E51))</f>
        <v/>
      </c>
      <c r="F54" s="17">
        <f>IFERROR(AVERAGE(F28:F51),AVERAGE(F28:F51))</f>
        <v/>
      </c>
      <c r="G54" s="17">
        <f>IFERROR(AVERAGE(G28:G51),AVERAGE(G28:G51))</f>
        <v/>
      </c>
      <c r="H54" s="17">
        <f>IFERROR(AVERAGE(H28:H51),AVERAGE(H28:H51))</f>
        <v/>
      </c>
      <c r="I54" s="17">
        <f>IFERROR(AVERAGE(I28:I51),AVERAGE(I28:I51))</f>
        <v/>
      </c>
      <c r="J54" s="17">
        <f>IFERROR(AVERAGE(J28:J51),AVERAGE(J28:J51))</f>
        <v/>
      </c>
      <c r="K54" s="17">
        <f>IFERROR(AVERAGE(K28:K51),AVERAGE(K28:K51))</f>
        <v/>
      </c>
      <c r="L54" s="17">
        <f>IFERROR(AVERAGE(L28:L51),AVERAGE(L28:L51))</f>
        <v/>
      </c>
      <c r="M54" s="17">
        <f>IFERROR(AVERAGE(M28:M51),AVERAGE(M28:M51))</f>
        <v/>
      </c>
      <c r="N54" s="17">
        <f>IFERROR(AVERAGE(N28:N51),AVERAGE(N28:N51))</f>
        <v/>
      </c>
      <c r="O54" s="17">
        <f>IFERROR(AVERAGE(O28:O51),AVERAGE(O28:O51))</f>
        <v/>
      </c>
      <c r="P54" s="17">
        <f>IFERROR(AVERAGE(P28:P51),AVERAGE(P28:P51))</f>
        <v/>
      </c>
      <c r="Q54" s="17">
        <f>IFERROR(AVERAGE(Q28:Q51),AVERAGE(Q28:Q51))</f>
        <v/>
      </c>
      <c r="R54" s="17">
        <f>IFERROR(AVERAGE(R28:R51),AVERAGE(R28:R51))</f>
        <v/>
      </c>
      <c r="S54" s="17">
        <f>IFERROR(AVERAGE(S28:S51),AVERAGE(S28:S51))</f>
        <v/>
      </c>
      <c r="T54" s="17">
        <f>IFERROR(AVERAGE(T28:T51),AVERAGE(T28:T51))</f>
        <v/>
      </c>
      <c r="U54" s="17">
        <f>IFERROR(AVERAGE(U28:U51),AVERAGE(U28:U51))</f>
        <v/>
      </c>
      <c r="V54" s="17">
        <f>IFERROR(AVERAGE(V28:V51),AVERAGE(V28:V51))</f>
        <v/>
      </c>
      <c r="W54" s="17">
        <f>IFERROR(AVERAGE(W28:W51),AVERAGE(W28:W51))</f>
        <v/>
      </c>
      <c r="X54" s="17">
        <f>IFERROR(AVERAGE(X28:X51),AVERAGE(X28:X51))</f>
        <v/>
      </c>
      <c r="Y54" s="17" t="n"/>
    </row>
    <row r="55">
      <c r="A55" s="19" t="inlineStr">
        <is>
          <t>weighted_all</t>
        </is>
      </c>
      <c r="B55" s="17">
        <f>IFERROR(SUMPRODUCT(B28:B51,B2:B25)/SUMPRODUCT((B28:B51&lt;&gt;"")*B2:B25),SUMPRODUCT(B28:B51,B2:B25)/SUMPRODUCT((B28:B51&lt;&gt;"")*B2:B25))</f>
        <v/>
      </c>
      <c r="C55" s="17">
        <f>IFERROR(SUMPRODUCT(C28:C51,C2:C25)/SUMPRODUCT((C28:C51&lt;&gt;"")*C2:C25),SUMPRODUCT(C28:C51,C2:C25)/SUMPRODUCT((C28:C51&lt;&gt;"")*C2:C25))</f>
        <v/>
      </c>
      <c r="D55" s="17">
        <f>IFERROR(SUMPRODUCT(D28:D51,D2:D25)/SUMPRODUCT((D28:D51&lt;&gt;"")*D2:D25),SUMPRODUCT(D28:D51,D2:D25)/SUMPRODUCT((D28:D51&lt;&gt;"")*D2:D25))</f>
        <v/>
      </c>
      <c r="E55" s="17">
        <f>IFERROR(SUMPRODUCT(E28:E51,E2:E25)/SUMPRODUCT((E28:E51&lt;&gt;"")*E2:E25),SUMPRODUCT(E28:E51,E2:E25)/SUMPRODUCT((E28:E51&lt;&gt;"")*E2:E25))</f>
        <v/>
      </c>
      <c r="F55" s="17">
        <f>IFERROR(SUMPRODUCT(F28:F51,F2:F25)/SUMPRODUCT((F28:F51&lt;&gt;"")*F2:F25),SUMPRODUCT(F28:F51,F2:F25)/SUMPRODUCT((F28:F51&lt;&gt;"")*F2:F25))</f>
        <v/>
      </c>
      <c r="G55" s="17">
        <f>IFERROR(SUMPRODUCT(G28:G51,G2:G25)/SUMPRODUCT((G28:G51&lt;&gt;"")*G2:G25),SUMPRODUCT(G28:G51,G2:G25)/SUMPRODUCT((G28:G51&lt;&gt;"")*G2:G25))</f>
        <v/>
      </c>
      <c r="H55" s="17">
        <f>IFERROR(SUMPRODUCT(H28:H51,H2:H25)/SUMPRODUCT((H28:H51&lt;&gt;"")*H2:H25),SUMPRODUCT(H28:H51,H2:H25)/SUMPRODUCT((H28:H51&lt;&gt;"")*H2:H25))</f>
        <v/>
      </c>
      <c r="I55" s="17">
        <f>IFERROR(SUMPRODUCT(I28:I51,I2:I25)/SUMPRODUCT((I28:I51&lt;&gt;"")*I2:I25),SUMPRODUCT(I28:I51,I2:I25)/SUMPRODUCT((I28:I51&lt;&gt;"")*I2:I25))</f>
        <v/>
      </c>
      <c r="J55" s="17">
        <f>IFERROR(SUMPRODUCT(J28:J51,J2:J25)/SUMPRODUCT((J28:J51&lt;&gt;"")*J2:J25),SUMPRODUCT(J28:J51,J2:J25)/SUMPRODUCT((J28:J51&lt;&gt;"")*J2:J25))</f>
        <v/>
      </c>
      <c r="K55" s="17">
        <f>IFERROR(SUMPRODUCT(K28:K51,K2:K25)/SUMPRODUCT((K28:K51&lt;&gt;"")*K2:K25),SUMPRODUCT(K28:K51,K2:K25)/SUMPRODUCT((K28:K51&lt;&gt;"")*K2:K25))</f>
        <v/>
      </c>
      <c r="L55" s="17">
        <f>IFERROR(SUMPRODUCT(L28:L51,L2:L25)/SUMPRODUCT((L28:L51&lt;&gt;"")*L2:L25),SUMPRODUCT(L28:L51,L2:L25)/SUMPRODUCT((L28:L51&lt;&gt;"")*L2:L25))</f>
        <v/>
      </c>
      <c r="M55" s="17">
        <f>IFERROR(SUMPRODUCT(M28:M51,M2:M25)/SUMPRODUCT((M28:M51&lt;&gt;"")*M2:M25),SUMPRODUCT(M28:M51,M2:M25)/SUMPRODUCT((M28:M51&lt;&gt;"")*M2:M25))</f>
        <v/>
      </c>
      <c r="N55" s="17">
        <f>IFERROR(SUMPRODUCT(N28:N51,N2:N25)/SUMPRODUCT((N28:N51&lt;&gt;"")*N2:N25),SUMPRODUCT(N28:N51,N2:N25)/SUMPRODUCT((N28:N51&lt;&gt;"")*N2:N25))</f>
        <v/>
      </c>
      <c r="O55" s="17">
        <f>IFERROR(SUMPRODUCT(O28:O51,O2:O25)/SUMPRODUCT((O28:O51&lt;&gt;"")*O2:O25),SUMPRODUCT(O28:O51,O2:O25)/SUMPRODUCT((O28:O51&lt;&gt;"")*O2:O25))</f>
        <v/>
      </c>
      <c r="P55" s="17">
        <f>IFERROR(SUMPRODUCT(P28:P51,P2:P25)/SUMPRODUCT((P28:P51&lt;&gt;"")*P2:P25),SUMPRODUCT(P28:P51,P2:P25)/SUMPRODUCT((P28:P51&lt;&gt;"")*P2:P25))</f>
        <v/>
      </c>
      <c r="Q55" s="17">
        <f>IFERROR(SUMPRODUCT(Q28:Q51,Q2:Q25)/SUMPRODUCT((Q28:Q51&lt;&gt;"")*Q2:Q25),SUMPRODUCT(Q28:Q51,Q2:Q25)/SUMPRODUCT((Q28:Q51&lt;&gt;"")*Q2:Q25))</f>
        <v/>
      </c>
      <c r="R55" s="17">
        <f>IFERROR(SUMPRODUCT(R28:R51,R2:R25)/SUMPRODUCT((R28:R51&lt;&gt;"")*R2:R25),SUMPRODUCT(R28:R51,R2:R25)/SUMPRODUCT((R28:R51&lt;&gt;"")*R2:R25))</f>
        <v/>
      </c>
      <c r="S55" s="17">
        <f>IFERROR(SUMPRODUCT(S28:S51,S2:S25)/SUMPRODUCT((S28:S51&lt;&gt;"")*S2:S25),SUMPRODUCT(S28:S51,S2:S25)/SUMPRODUCT((S28:S51&lt;&gt;"")*S2:S25))</f>
        <v/>
      </c>
      <c r="T55" s="17">
        <f>IFERROR(SUMPRODUCT(T28:T51,T2:T25)/SUMPRODUCT((T28:T51&lt;&gt;"")*T2:T25),SUMPRODUCT(T28:T51,T2:T25)/SUMPRODUCT((T28:T51&lt;&gt;"")*T2:T25))</f>
        <v/>
      </c>
      <c r="U55" s="17">
        <f>IFERROR(SUMPRODUCT(U28:U51,U2:U25)/SUMPRODUCT((U28:U51&lt;&gt;"")*U2:U25),SUMPRODUCT(U28:U51,U2:U25)/SUMPRODUCT((U28:U51&lt;&gt;"")*U2:U25))</f>
        <v/>
      </c>
      <c r="V55" s="17">
        <f>IFERROR(SUMPRODUCT(V28:V51,V2:V25)/SUMPRODUCT((V28:V51&lt;&gt;"")*V2:V25),SUMPRODUCT(V28:V51,V2:V25)/SUMPRODUCT((V28:V51&lt;&gt;"")*V2:V25))</f>
        <v/>
      </c>
      <c r="W55" s="17">
        <f>IFERROR(SUMPRODUCT(W28:W51,W2:W25)/SUMPRODUCT((W28:W51&lt;&gt;"")*W2:W25),SUMPRODUCT(W28:W51,W2:W25)/SUMPRODUCT((W28:W51&lt;&gt;"")*W2:W25))</f>
        <v/>
      </c>
      <c r="X55" s="17">
        <f>IFERROR(SUMPRODUCT(X28:X51,X2:X25)/SUMPRODUCT((X28:X51&lt;&gt;"")*X2:X25),SUMPRODUCT(X28:X51,X2:X25)/SUMPRODUCT((X28:X51&lt;&gt;"")*X2:X25))</f>
        <v/>
      </c>
      <c r="Y55" s="17" t="n"/>
    </row>
    <row r="56">
      <c r="A56" s="19" t="inlineStr">
        <is>
          <t>exclude_high_low_all</t>
        </is>
      </c>
      <c r="B56" s="17">
        <f>IFERROR(TRIMMEAN(B28:B51,2/COUNT(B28:B51)),AVERAGE(B28:B51))</f>
        <v/>
      </c>
      <c r="C56" s="17">
        <f>IFERROR(TRIMMEAN(C28:C51,2/COUNT(C28:C51)),AVERAGE(C28:C51))</f>
        <v/>
      </c>
      <c r="D56" s="17">
        <f>IFERROR(TRIMMEAN(D28:D51,2/COUNT(D28:D51)),AVERAGE(D28:D51))</f>
        <v/>
      </c>
      <c r="E56" s="17">
        <f>IFERROR(TRIMMEAN(E28:E51,2/COUNT(E28:E51)),AVERAGE(E28:E51))</f>
        <v/>
      </c>
      <c r="F56" s="17">
        <f>IFERROR(TRIMMEAN(F28:F51,2/COUNT(F28:F51)),AVERAGE(F28:F51))</f>
        <v/>
      </c>
      <c r="G56" s="17">
        <f>IFERROR(TRIMMEAN(G28:G51,2/COUNT(G28:G51)),AVERAGE(G28:G51))</f>
        <v/>
      </c>
      <c r="H56" s="17">
        <f>IFERROR(TRIMMEAN(H28:H51,2/COUNT(H28:H51)),AVERAGE(H28:H51))</f>
        <v/>
      </c>
      <c r="I56" s="17">
        <f>IFERROR(TRIMMEAN(I28:I51,2/COUNT(I28:I51)),AVERAGE(I28:I51))</f>
        <v/>
      </c>
      <c r="J56" s="17">
        <f>IFERROR(TRIMMEAN(J28:J51,2/COUNT(J28:J51)),AVERAGE(J28:J51))</f>
        <v/>
      </c>
      <c r="K56" s="17">
        <f>IFERROR(TRIMMEAN(K28:K51,2/COUNT(K28:K51)),AVERAGE(K28:K51))</f>
        <v/>
      </c>
      <c r="L56" s="17">
        <f>IFERROR(TRIMMEAN(L28:L51,2/COUNT(L28:L51)),AVERAGE(L28:L51))</f>
        <v/>
      </c>
      <c r="M56" s="17">
        <f>IFERROR(TRIMMEAN(M28:M51,2/COUNT(M28:M51)),AVERAGE(M28:M51))</f>
        <v/>
      </c>
      <c r="N56" s="17">
        <f>IFERROR(TRIMMEAN(N28:N51,2/COUNT(N28:N51)),AVERAGE(N28:N51))</f>
        <v/>
      </c>
      <c r="O56" s="17">
        <f>IFERROR(TRIMMEAN(O28:O51,2/COUNT(O28:O51)),AVERAGE(O28:O51))</f>
        <v/>
      </c>
      <c r="P56" s="17">
        <f>IFERROR(TRIMMEAN(P28:P51,2/COUNT(P28:P51)),AVERAGE(P28:P51))</f>
        <v/>
      </c>
      <c r="Q56" s="17">
        <f>IFERROR(TRIMMEAN(Q28:Q51,2/COUNT(Q28:Q51)),AVERAGE(Q28:Q51))</f>
        <v/>
      </c>
      <c r="R56" s="17">
        <f>IFERROR(TRIMMEAN(R28:R51,2/COUNT(R28:R51)),AVERAGE(R28:R51))</f>
        <v/>
      </c>
      <c r="S56" s="17">
        <f>IFERROR(TRIMMEAN(S28:S51,2/COUNT(S28:S51)),AVERAGE(S28:S51))</f>
        <v/>
      </c>
      <c r="T56" s="17">
        <f>IFERROR(TRIMMEAN(T28:T51,2/COUNT(T28:T51)),AVERAGE(T28:T51))</f>
        <v/>
      </c>
      <c r="U56" s="17">
        <f>IFERROR(TRIMMEAN(U28:U51,2/COUNT(U28:U51)),AVERAGE(U28:U51))</f>
        <v/>
      </c>
      <c r="V56" s="17">
        <f>IFERROR(TRIMMEAN(V28:V51,2/COUNT(V28:V51)),AVERAGE(V28:V51))</f>
        <v/>
      </c>
      <c r="W56" s="17">
        <f>IFERROR(TRIMMEAN(W28:W51,2/COUNT(W28:W51)),AVERAGE(W28:W51))</f>
        <v/>
      </c>
      <c r="X56" s="17">
        <f>IFERROR(TRIMMEAN(X28:X51,2/COUNT(X28:X51)),AVERAGE(X28:X51))</f>
        <v/>
      </c>
      <c r="Y56" s="17" t="n"/>
    </row>
    <row r="57">
      <c r="A57" s="19" t="inlineStr">
        <is>
          <t>simple_3yr</t>
        </is>
      </c>
      <c r="B57" s="17">
        <f>IFERROR(AVERAGE(B49:B51),AVERAGE(B28:B51))</f>
        <v/>
      </c>
      <c r="C57" s="17">
        <f>IFERROR(AVERAGE(C49:C51),AVERAGE(C28:C51))</f>
        <v/>
      </c>
      <c r="D57" s="17">
        <f>IFERROR(AVERAGE(D49:D51),AVERAGE(D28:D51))</f>
        <v/>
      </c>
      <c r="E57" s="17">
        <f>IFERROR(AVERAGE(E49:E51),AVERAGE(E28:E51))</f>
        <v/>
      </c>
      <c r="F57" s="17">
        <f>IFERROR(AVERAGE(F49:F51),AVERAGE(F28:F51))</f>
        <v/>
      </c>
      <c r="G57" s="17">
        <f>IFERROR(AVERAGE(G49:G51),AVERAGE(G28:G51))</f>
        <v/>
      </c>
      <c r="H57" s="17">
        <f>IFERROR(AVERAGE(H49:H51),AVERAGE(H28:H51))</f>
        <v/>
      </c>
      <c r="I57" s="17">
        <f>IFERROR(AVERAGE(I49:I51),AVERAGE(I28:I51))</f>
        <v/>
      </c>
      <c r="J57" s="17">
        <f>IFERROR(AVERAGE(J49:J51),AVERAGE(J28:J51))</f>
        <v/>
      </c>
      <c r="K57" s="17">
        <f>IFERROR(AVERAGE(K49:K51),AVERAGE(K28:K51))</f>
        <v/>
      </c>
      <c r="L57" s="17">
        <f>IFERROR(AVERAGE(L49:L51),AVERAGE(L28:L51))</f>
        <v/>
      </c>
      <c r="M57" s="17">
        <f>IFERROR(AVERAGE(M49:M51),AVERAGE(M28:M51))</f>
        <v/>
      </c>
      <c r="N57" s="17">
        <f>IFERROR(AVERAGE(N49:N51),AVERAGE(N28:N51))</f>
        <v/>
      </c>
      <c r="O57" s="17">
        <f>IFERROR(AVERAGE(O49:O51),AVERAGE(O28:O51))</f>
        <v/>
      </c>
      <c r="P57" s="17">
        <f>IFERROR(AVERAGE(P49:P51),AVERAGE(P28:P51))</f>
        <v/>
      </c>
      <c r="Q57" s="17">
        <f>IFERROR(AVERAGE(Q49:Q51),AVERAGE(Q28:Q51))</f>
        <v/>
      </c>
      <c r="R57" s="17">
        <f>IFERROR(AVERAGE(R49:R51),AVERAGE(R28:R51))</f>
        <v/>
      </c>
      <c r="S57" s="17">
        <f>IFERROR(AVERAGE(S49:S51),AVERAGE(S28:S51))</f>
        <v/>
      </c>
      <c r="T57" s="17">
        <f>IFERROR(AVERAGE(T49:T51),AVERAGE(T28:T51))</f>
        <v/>
      </c>
      <c r="U57" s="17">
        <f>IFERROR(AVERAGE(U49:U51),AVERAGE(U28:U51))</f>
        <v/>
      </c>
      <c r="V57" s="17">
        <f>IFERROR(AVERAGE(V49:V51),AVERAGE(V28:V51))</f>
        <v/>
      </c>
      <c r="W57" s="17">
        <f>IFERROR(AVERAGE(W49:W51),AVERAGE(W28:W51))</f>
        <v/>
      </c>
      <c r="X57" s="17">
        <f>IFERROR(AVERAGE(X49:X51),AVERAGE(X28:X51))</f>
        <v/>
      </c>
      <c r="Y57" s="17" t="n"/>
    </row>
    <row r="58">
      <c r="A58" s="19" t="inlineStr">
        <is>
          <t>weighted_3yr</t>
        </is>
      </c>
      <c r="B58" s="17">
        <f>IFERROR(SUMPRODUCT(B49:B51,B23:B25)/SUMPRODUCT((B49:B51&lt;&gt;"")*B23:B25),SUMPRODUCT(B28:B51,B2:B25)/SUMPRODUCT((B28:B51&lt;&gt;"")*B2:B25))</f>
        <v/>
      </c>
      <c r="C58" s="17">
        <f>IFERROR(SUMPRODUCT(C49:C51,C23:C25)/SUMPRODUCT((C49:C51&lt;&gt;"")*C23:C25),SUMPRODUCT(C28:C51,C2:C25)/SUMPRODUCT((C28:C51&lt;&gt;"")*C2:C25))</f>
        <v/>
      </c>
      <c r="D58" s="17">
        <f>IFERROR(SUMPRODUCT(D49:D51,D23:D25)/SUMPRODUCT((D49:D51&lt;&gt;"")*D23:D25),SUMPRODUCT(D28:D51,D2:D25)/SUMPRODUCT((D28:D51&lt;&gt;"")*D2:D25))</f>
        <v/>
      </c>
      <c r="E58" s="17">
        <f>IFERROR(SUMPRODUCT(E49:E51,E23:E25)/SUMPRODUCT((E49:E51&lt;&gt;"")*E23:E25),SUMPRODUCT(E28:E51,E2:E25)/SUMPRODUCT((E28:E51&lt;&gt;"")*E2:E25))</f>
        <v/>
      </c>
      <c r="F58" s="17">
        <f>IFERROR(SUMPRODUCT(F49:F51,F23:F25)/SUMPRODUCT((F49:F51&lt;&gt;"")*F23:F25),SUMPRODUCT(F28:F51,F2:F25)/SUMPRODUCT((F28:F51&lt;&gt;"")*F2:F25))</f>
        <v/>
      </c>
      <c r="G58" s="17">
        <f>IFERROR(SUMPRODUCT(G49:G51,G23:G25)/SUMPRODUCT((G49:G51&lt;&gt;"")*G23:G25),SUMPRODUCT(G28:G51,G2:G25)/SUMPRODUCT((G28:G51&lt;&gt;"")*G2:G25))</f>
        <v/>
      </c>
      <c r="H58" s="17">
        <f>IFERROR(SUMPRODUCT(H49:H51,H23:H25)/SUMPRODUCT((H49:H51&lt;&gt;"")*H23:H25),SUMPRODUCT(H28:H51,H2:H25)/SUMPRODUCT((H28:H51&lt;&gt;"")*H2:H25))</f>
        <v/>
      </c>
      <c r="I58" s="17">
        <f>IFERROR(SUMPRODUCT(I49:I51,I23:I25)/SUMPRODUCT((I49:I51&lt;&gt;"")*I23:I25),SUMPRODUCT(I28:I51,I2:I25)/SUMPRODUCT((I28:I51&lt;&gt;"")*I2:I25))</f>
        <v/>
      </c>
      <c r="J58" s="17">
        <f>IFERROR(SUMPRODUCT(J49:J51,J23:J25)/SUMPRODUCT((J49:J51&lt;&gt;"")*J23:J25),SUMPRODUCT(J28:J51,J2:J25)/SUMPRODUCT((J28:J51&lt;&gt;"")*J2:J25))</f>
        <v/>
      </c>
      <c r="K58" s="17">
        <f>IFERROR(SUMPRODUCT(K49:K51,K23:K25)/SUMPRODUCT((K49:K51&lt;&gt;"")*K23:K25),SUMPRODUCT(K28:K51,K2:K25)/SUMPRODUCT((K28:K51&lt;&gt;"")*K2:K25))</f>
        <v/>
      </c>
      <c r="L58" s="17">
        <f>IFERROR(SUMPRODUCT(L49:L51,L23:L25)/SUMPRODUCT((L49:L51&lt;&gt;"")*L23:L25),SUMPRODUCT(L28:L51,L2:L25)/SUMPRODUCT((L28:L51&lt;&gt;"")*L2:L25))</f>
        <v/>
      </c>
      <c r="M58" s="17">
        <f>IFERROR(SUMPRODUCT(M49:M51,M23:M25)/SUMPRODUCT((M49:M51&lt;&gt;"")*M23:M25),SUMPRODUCT(M28:M51,M2:M25)/SUMPRODUCT((M28:M51&lt;&gt;"")*M2:M25))</f>
        <v/>
      </c>
      <c r="N58" s="17">
        <f>IFERROR(SUMPRODUCT(N49:N51,N23:N25)/SUMPRODUCT((N49:N51&lt;&gt;"")*N23:N25),SUMPRODUCT(N28:N51,N2:N25)/SUMPRODUCT((N28:N51&lt;&gt;"")*N2:N25))</f>
        <v/>
      </c>
      <c r="O58" s="17">
        <f>IFERROR(SUMPRODUCT(O49:O51,O23:O25)/SUMPRODUCT((O49:O51&lt;&gt;"")*O23:O25),SUMPRODUCT(O28:O51,O2:O25)/SUMPRODUCT((O28:O51&lt;&gt;"")*O2:O25))</f>
        <v/>
      </c>
      <c r="P58" s="17">
        <f>IFERROR(SUMPRODUCT(P49:P51,P23:P25)/SUMPRODUCT((P49:P51&lt;&gt;"")*P23:P25),SUMPRODUCT(P28:P51,P2:P25)/SUMPRODUCT((P28:P51&lt;&gt;"")*P2:P25))</f>
        <v/>
      </c>
      <c r="Q58" s="17">
        <f>IFERROR(SUMPRODUCT(Q49:Q51,Q23:Q25)/SUMPRODUCT((Q49:Q51&lt;&gt;"")*Q23:Q25),SUMPRODUCT(Q28:Q51,Q2:Q25)/SUMPRODUCT((Q28:Q51&lt;&gt;"")*Q2:Q25))</f>
        <v/>
      </c>
      <c r="R58" s="17">
        <f>IFERROR(SUMPRODUCT(R49:R51,R23:R25)/SUMPRODUCT((R49:R51&lt;&gt;"")*R23:R25),SUMPRODUCT(R28:R51,R2:R25)/SUMPRODUCT((R28:R51&lt;&gt;"")*R2:R25))</f>
        <v/>
      </c>
      <c r="S58" s="17">
        <f>IFERROR(SUMPRODUCT(S49:S51,S23:S25)/SUMPRODUCT((S49:S51&lt;&gt;"")*S23:S25),SUMPRODUCT(S28:S51,S2:S25)/SUMPRODUCT((S28:S51&lt;&gt;"")*S2:S25))</f>
        <v/>
      </c>
      <c r="T58" s="17">
        <f>IFERROR(SUMPRODUCT(T49:T51,T23:T25)/SUMPRODUCT((T49:T51&lt;&gt;"")*T23:T25),SUMPRODUCT(T28:T51,T2:T25)/SUMPRODUCT((T28:T51&lt;&gt;"")*T2:T25))</f>
        <v/>
      </c>
      <c r="U58" s="17">
        <f>IFERROR(SUMPRODUCT(U49:U51,U23:U25)/SUMPRODUCT((U49:U51&lt;&gt;"")*U23:U25),SUMPRODUCT(U28:U51,U2:U25)/SUMPRODUCT((U28:U51&lt;&gt;"")*U2:U25))</f>
        <v/>
      </c>
      <c r="V58" s="17">
        <f>IFERROR(SUMPRODUCT(V49:V51,V23:V25)/SUMPRODUCT((V49:V51&lt;&gt;"")*V23:V25),SUMPRODUCT(V28:V51,V2:V25)/SUMPRODUCT((V28:V51&lt;&gt;"")*V2:V25))</f>
        <v/>
      </c>
      <c r="W58" s="17">
        <f>IFERROR(SUMPRODUCT(W49:W51,W23:W25)/SUMPRODUCT((W49:W51&lt;&gt;"")*W23:W25),SUMPRODUCT(W28:W51,W2:W25)/SUMPRODUCT((W28:W51&lt;&gt;"")*W2:W25))</f>
        <v/>
      </c>
      <c r="X58" s="17">
        <f>IFERROR(SUMPRODUCT(X49:X51,X23:X25)/SUMPRODUCT((X49:X51&lt;&gt;"")*X23:X25),SUMPRODUCT(X28:X51,X2:X25)/SUMPRODUCT((X28:X51&lt;&gt;"")*X2:X25))</f>
        <v/>
      </c>
      <c r="Y58" s="17" t="n"/>
    </row>
    <row r="59">
      <c r="A59" s="19" t="inlineStr">
        <is>
          <t>exclude_high_low_3yr</t>
        </is>
      </c>
      <c r="B59" s="17">
        <f>IFERROR(TRIMMEAN(B49:B51,2/COUNT(B49:B51)),AVERAGE(B28:B51))</f>
        <v/>
      </c>
      <c r="C59" s="17">
        <f>IFERROR(TRIMMEAN(C49:C51,2/COUNT(C49:C51)),AVERAGE(C28:C51))</f>
        <v/>
      </c>
      <c r="D59" s="17">
        <f>IFERROR(TRIMMEAN(D49:D51,2/COUNT(D49:D51)),AVERAGE(D28:D51))</f>
        <v/>
      </c>
      <c r="E59" s="17">
        <f>IFERROR(TRIMMEAN(E49:E51,2/COUNT(E49:E51)),AVERAGE(E28:E51))</f>
        <v/>
      </c>
      <c r="F59" s="17">
        <f>IFERROR(TRIMMEAN(F49:F51,2/COUNT(F49:F51)),AVERAGE(F28:F51))</f>
        <v/>
      </c>
      <c r="G59" s="17">
        <f>IFERROR(TRIMMEAN(G49:G51,2/COUNT(G49:G51)),AVERAGE(G28:G51))</f>
        <v/>
      </c>
      <c r="H59" s="17">
        <f>IFERROR(TRIMMEAN(H49:H51,2/COUNT(H49:H51)),AVERAGE(H28:H51))</f>
        <v/>
      </c>
      <c r="I59" s="17">
        <f>IFERROR(TRIMMEAN(I49:I51,2/COUNT(I49:I51)),AVERAGE(I28:I51))</f>
        <v/>
      </c>
      <c r="J59" s="17">
        <f>IFERROR(TRIMMEAN(J49:J51,2/COUNT(J49:J51)),AVERAGE(J28:J51))</f>
        <v/>
      </c>
      <c r="K59" s="17">
        <f>IFERROR(TRIMMEAN(K49:K51,2/COUNT(K49:K51)),AVERAGE(K28:K51))</f>
        <v/>
      </c>
      <c r="L59" s="17">
        <f>IFERROR(TRIMMEAN(L49:L51,2/COUNT(L49:L51)),AVERAGE(L28:L51))</f>
        <v/>
      </c>
      <c r="M59" s="17">
        <f>IFERROR(TRIMMEAN(M49:M51,2/COUNT(M49:M51)),AVERAGE(M28:M51))</f>
        <v/>
      </c>
      <c r="N59" s="17">
        <f>IFERROR(TRIMMEAN(N49:N51,2/COUNT(N49:N51)),AVERAGE(N28:N51))</f>
        <v/>
      </c>
      <c r="O59" s="17">
        <f>IFERROR(TRIMMEAN(O49:O51,2/COUNT(O49:O51)),AVERAGE(O28:O51))</f>
        <v/>
      </c>
      <c r="P59" s="17">
        <f>IFERROR(TRIMMEAN(P49:P51,2/COUNT(P49:P51)),AVERAGE(P28:P51))</f>
        <v/>
      </c>
      <c r="Q59" s="17">
        <f>IFERROR(TRIMMEAN(Q49:Q51,2/COUNT(Q49:Q51)),AVERAGE(Q28:Q51))</f>
        <v/>
      </c>
      <c r="R59" s="17">
        <f>IFERROR(TRIMMEAN(R49:R51,2/COUNT(R49:R51)),AVERAGE(R28:R51))</f>
        <v/>
      </c>
      <c r="S59" s="17">
        <f>IFERROR(TRIMMEAN(S49:S51,2/COUNT(S49:S51)),AVERAGE(S28:S51))</f>
        <v/>
      </c>
      <c r="T59" s="17">
        <f>IFERROR(TRIMMEAN(T49:T51,2/COUNT(T49:T51)),AVERAGE(T28:T51))</f>
        <v/>
      </c>
      <c r="U59" s="17">
        <f>IFERROR(TRIMMEAN(U49:U51,2/COUNT(U49:U51)),AVERAGE(U28:U51))</f>
        <v/>
      </c>
      <c r="V59" s="17">
        <f>IFERROR(TRIMMEAN(V49:V51,2/COUNT(V49:V51)),AVERAGE(V28:V51))</f>
        <v/>
      </c>
      <c r="W59" s="17">
        <f>IFERROR(TRIMMEAN(W49:W51,2/COUNT(W49:W51)),AVERAGE(W28:W51))</f>
        <v/>
      </c>
      <c r="X59" s="17">
        <f>IFERROR(TRIMMEAN(X49:X51,2/COUNT(X49:X51)),AVERAGE(X28:X51))</f>
        <v/>
      </c>
      <c r="Y59" s="17" t="n"/>
    </row>
    <row r="60">
      <c r="A60" s="19" t="inlineStr">
        <is>
          <t>simple_5yr</t>
        </is>
      </c>
      <c r="B60" s="17">
        <f>IFERROR(AVERAGE(B47:B51),AVERAGE(B28:B51))</f>
        <v/>
      </c>
      <c r="C60" s="17">
        <f>IFERROR(AVERAGE(C47:C51),AVERAGE(C28:C51))</f>
        <v/>
      </c>
      <c r="D60" s="17">
        <f>IFERROR(AVERAGE(D47:D51),AVERAGE(D28:D51))</f>
        <v/>
      </c>
      <c r="E60" s="17">
        <f>IFERROR(AVERAGE(E47:E51),AVERAGE(E28:E51))</f>
        <v/>
      </c>
      <c r="F60" s="17">
        <f>IFERROR(AVERAGE(F47:F51),AVERAGE(F28:F51))</f>
        <v/>
      </c>
      <c r="G60" s="17">
        <f>IFERROR(AVERAGE(G47:G51),AVERAGE(G28:G51))</f>
        <v/>
      </c>
      <c r="H60" s="17">
        <f>IFERROR(AVERAGE(H47:H51),AVERAGE(H28:H51))</f>
        <v/>
      </c>
      <c r="I60" s="17">
        <f>IFERROR(AVERAGE(I47:I51),AVERAGE(I28:I51))</f>
        <v/>
      </c>
      <c r="J60" s="17">
        <f>IFERROR(AVERAGE(J47:J51),AVERAGE(J28:J51))</f>
        <v/>
      </c>
      <c r="K60" s="17">
        <f>IFERROR(AVERAGE(K47:K51),AVERAGE(K28:K51))</f>
        <v/>
      </c>
      <c r="L60" s="17">
        <f>IFERROR(AVERAGE(L47:L51),AVERAGE(L28:L51))</f>
        <v/>
      </c>
      <c r="M60" s="17">
        <f>IFERROR(AVERAGE(M47:M51),AVERAGE(M28:M51))</f>
        <v/>
      </c>
      <c r="N60" s="17">
        <f>IFERROR(AVERAGE(N47:N51),AVERAGE(N28:N51))</f>
        <v/>
      </c>
      <c r="O60" s="17">
        <f>IFERROR(AVERAGE(O47:O51),AVERAGE(O28:O51))</f>
        <v/>
      </c>
      <c r="P60" s="17">
        <f>IFERROR(AVERAGE(P47:P51),AVERAGE(P28:P51))</f>
        <v/>
      </c>
      <c r="Q60" s="17">
        <f>IFERROR(AVERAGE(Q47:Q51),AVERAGE(Q28:Q51))</f>
        <v/>
      </c>
      <c r="R60" s="17">
        <f>IFERROR(AVERAGE(R47:R51),AVERAGE(R28:R51))</f>
        <v/>
      </c>
      <c r="S60" s="17">
        <f>IFERROR(AVERAGE(S47:S51),AVERAGE(S28:S51))</f>
        <v/>
      </c>
      <c r="T60" s="17">
        <f>IFERROR(AVERAGE(T47:T51),AVERAGE(T28:T51))</f>
        <v/>
      </c>
      <c r="U60" s="17">
        <f>IFERROR(AVERAGE(U47:U51),AVERAGE(U28:U51))</f>
        <v/>
      </c>
      <c r="V60" s="17">
        <f>IFERROR(AVERAGE(V47:V51),AVERAGE(V28:V51))</f>
        <v/>
      </c>
      <c r="W60" s="17">
        <f>IFERROR(AVERAGE(W47:W51),AVERAGE(W28:W51))</f>
        <v/>
      </c>
      <c r="X60" s="17">
        <f>IFERROR(AVERAGE(X47:X51),AVERAGE(X28:X51))</f>
        <v/>
      </c>
      <c r="Y60" s="17" t="n"/>
    </row>
    <row r="61">
      <c r="A61" s="19" t="inlineStr">
        <is>
          <t>weighted_5yr</t>
        </is>
      </c>
      <c r="B61" s="17">
        <f>IFERROR(SUMPRODUCT(B47:B51,B21:B25)/SUMPRODUCT((B47:B51&lt;&gt;"")*B21:B25),SUMPRODUCT(B28:B51,B2:B25)/SUMPRODUCT((B28:B51&lt;&gt;"")*B2:B25))</f>
        <v/>
      </c>
      <c r="C61" s="17">
        <f>IFERROR(SUMPRODUCT(C47:C51,C21:C25)/SUMPRODUCT((C47:C51&lt;&gt;"")*C21:C25),SUMPRODUCT(C28:C51,C2:C25)/SUMPRODUCT((C28:C51&lt;&gt;"")*C2:C25))</f>
        <v/>
      </c>
      <c r="D61" s="17">
        <f>IFERROR(SUMPRODUCT(D47:D51,D21:D25)/SUMPRODUCT((D47:D51&lt;&gt;"")*D21:D25),SUMPRODUCT(D28:D51,D2:D25)/SUMPRODUCT((D28:D51&lt;&gt;"")*D2:D25))</f>
        <v/>
      </c>
      <c r="E61" s="17">
        <f>IFERROR(SUMPRODUCT(E47:E51,E21:E25)/SUMPRODUCT((E47:E51&lt;&gt;"")*E21:E25),SUMPRODUCT(E28:E51,E2:E25)/SUMPRODUCT((E28:E51&lt;&gt;"")*E2:E25))</f>
        <v/>
      </c>
      <c r="F61" s="17">
        <f>IFERROR(SUMPRODUCT(F47:F51,F21:F25)/SUMPRODUCT((F47:F51&lt;&gt;"")*F21:F25),SUMPRODUCT(F28:F51,F2:F25)/SUMPRODUCT((F28:F51&lt;&gt;"")*F2:F25))</f>
        <v/>
      </c>
      <c r="G61" s="17">
        <f>IFERROR(SUMPRODUCT(G47:G51,G21:G25)/SUMPRODUCT((G47:G51&lt;&gt;"")*G21:G25),SUMPRODUCT(G28:G51,G2:G25)/SUMPRODUCT((G28:G51&lt;&gt;"")*G2:G25))</f>
        <v/>
      </c>
      <c r="H61" s="17">
        <f>IFERROR(SUMPRODUCT(H47:H51,H21:H25)/SUMPRODUCT((H47:H51&lt;&gt;"")*H21:H25),SUMPRODUCT(H28:H51,H2:H25)/SUMPRODUCT((H28:H51&lt;&gt;"")*H2:H25))</f>
        <v/>
      </c>
      <c r="I61" s="17">
        <f>IFERROR(SUMPRODUCT(I47:I51,I21:I25)/SUMPRODUCT((I47:I51&lt;&gt;"")*I21:I25),SUMPRODUCT(I28:I51,I2:I25)/SUMPRODUCT((I28:I51&lt;&gt;"")*I2:I25))</f>
        <v/>
      </c>
      <c r="J61" s="17">
        <f>IFERROR(SUMPRODUCT(J47:J51,J21:J25)/SUMPRODUCT((J47:J51&lt;&gt;"")*J21:J25),SUMPRODUCT(J28:J51,J2:J25)/SUMPRODUCT((J28:J51&lt;&gt;"")*J2:J25))</f>
        <v/>
      </c>
      <c r="K61" s="17">
        <f>IFERROR(SUMPRODUCT(K47:K51,K21:K25)/SUMPRODUCT((K47:K51&lt;&gt;"")*K21:K25),SUMPRODUCT(K28:K51,K2:K25)/SUMPRODUCT((K28:K51&lt;&gt;"")*K2:K25))</f>
        <v/>
      </c>
      <c r="L61" s="17">
        <f>IFERROR(SUMPRODUCT(L47:L51,L21:L25)/SUMPRODUCT((L47:L51&lt;&gt;"")*L21:L25),SUMPRODUCT(L28:L51,L2:L25)/SUMPRODUCT((L28:L51&lt;&gt;"")*L2:L25))</f>
        <v/>
      </c>
      <c r="M61" s="17">
        <f>IFERROR(SUMPRODUCT(M47:M51,M21:M25)/SUMPRODUCT((M47:M51&lt;&gt;"")*M21:M25),SUMPRODUCT(M28:M51,M2:M25)/SUMPRODUCT((M28:M51&lt;&gt;"")*M2:M25))</f>
        <v/>
      </c>
      <c r="N61" s="17">
        <f>IFERROR(SUMPRODUCT(N47:N51,N21:N25)/SUMPRODUCT((N47:N51&lt;&gt;"")*N21:N25),SUMPRODUCT(N28:N51,N2:N25)/SUMPRODUCT((N28:N51&lt;&gt;"")*N2:N25))</f>
        <v/>
      </c>
      <c r="O61" s="17">
        <f>IFERROR(SUMPRODUCT(O47:O51,O21:O25)/SUMPRODUCT((O47:O51&lt;&gt;"")*O21:O25),SUMPRODUCT(O28:O51,O2:O25)/SUMPRODUCT((O28:O51&lt;&gt;"")*O2:O25))</f>
        <v/>
      </c>
      <c r="P61" s="17">
        <f>IFERROR(SUMPRODUCT(P47:P51,P21:P25)/SUMPRODUCT((P47:P51&lt;&gt;"")*P21:P25),SUMPRODUCT(P28:P51,P2:P25)/SUMPRODUCT((P28:P51&lt;&gt;"")*P2:P25))</f>
        <v/>
      </c>
      <c r="Q61" s="17">
        <f>IFERROR(SUMPRODUCT(Q47:Q51,Q21:Q25)/SUMPRODUCT((Q47:Q51&lt;&gt;"")*Q21:Q25),SUMPRODUCT(Q28:Q51,Q2:Q25)/SUMPRODUCT((Q28:Q51&lt;&gt;"")*Q2:Q25))</f>
        <v/>
      </c>
      <c r="R61" s="17">
        <f>IFERROR(SUMPRODUCT(R47:R51,R21:R25)/SUMPRODUCT((R47:R51&lt;&gt;"")*R21:R25),SUMPRODUCT(R28:R51,R2:R25)/SUMPRODUCT((R28:R51&lt;&gt;"")*R2:R25))</f>
        <v/>
      </c>
      <c r="S61" s="17">
        <f>IFERROR(SUMPRODUCT(S47:S51,S21:S25)/SUMPRODUCT((S47:S51&lt;&gt;"")*S21:S25),SUMPRODUCT(S28:S51,S2:S25)/SUMPRODUCT((S28:S51&lt;&gt;"")*S2:S25))</f>
        <v/>
      </c>
      <c r="T61" s="17">
        <f>IFERROR(SUMPRODUCT(T47:T51,T21:T25)/SUMPRODUCT((T47:T51&lt;&gt;"")*T21:T25),SUMPRODUCT(T28:T51,T2:T25)/SUMPRODUCT((T28:T51&lt;&gt;"")*T2:T25))</f>
        <v/>
      </c>
      <c r="U61" s="17">
        <f>IFERROR(SUMPRODUCT(U47:U51,U21:U25)/SUMPRODUCT((U47:U51&lt;&gt;"")*U21:U25),SUMPRODUCT(U28:U51,U2:U25)/SUMPRODUCT((U28:U51&lt;&gt;"")*U2:U25))</f>
        <v/>
      </c>
      <c r="V61" s="17">
        <f>IFERROR(SUMPRODUCT(V47:V51,V21:V25)/SUMPRODUCT((V47:V51&lt;&gt;"")*V21:V25),SUMPRODUCT(V28:V51,V2:V25)/SUMPRODUCT((V28:V51&lt;&gt;"")*V2:V25))</f>
        <v/>
      </c>
      <c r="W61" s="17">
        <f>IFERROR(SUMPRODUCT(W47:W51,W21:W25)/SUMPRODUCT((W47:W51&lt;&gt;"")*W21:W25),SUMPRODUCT(W28:W51,W2:W25)/SUMPRODUCT((W28:W51&lt;&gt;"")*W2:W25))</f>
        <v/>
      </c>
      <c r="X61" s="17">
        <f>IFERROR(SUMPRODUCT(X47:X51,X21:X25)/SUMPRODUCT((X47:X51&lt;&gt;"")*X21:X25),SUMPRODUCT(X28:X51,X2:X25)/SUMPRODUCT((X28:X51&lt;&gt;"")*X2:X25))</f>
        <v/>
      </c>
      <c r="Y61" s="17" t="n"/>
    </row>
    <row r="62">
      <c r="A62" s="19" t="inlineStr">
        <is>
          <t>exclude_high_low_5yr</t>
        </is>
      </c>
      <c r="B62" s="17">
        <f>IFERROR(TRIMMEAN(B47:B51,2/COUNT(B47:B51)),AVERAGE(B28:B51))</f>
        <v/>
      </c>
      <c r="C62" s="17">
        <f>IFERROR(TRIMMEAN(C47:C51,2/COUNT(C47:C51)),AVERAGE(C28:C51))</f>
        <v/>
      </c>
      <c r="D62" s="17">
        <f>IFERROR(TRIMMEAN(D47:D51,2/COUNT(D47:D51)),AVERAGE(D28:D51))</f>
        <v/>
      </c>
      <c r="E62" s="17">
        <f>IFERROR(TRIMMEAN(E47:E51,2/COUNT(E47:E51)),AVERAGE(E28:E51))</f>
        <v/>
      </c>
      <c r="F62" s="17">
        <f>IFERROR(TRIMMEAN(F47:F51,2/COUNT(F47:F51)),AVERAGE(F28:F51))</f>
        <v/>
      </c>
      <c r="G62" s="17">
        <f>IFERROR(TRIMMEAN(G47:G51,2/COUNT(G47:G51)),AVERAGE(G28:G51))</f>
        <v/>
      </c>
      <c r="H62" s="17">
        <f>IFERROR(TRIMMEAN(H47:H51,2/COUNT(H47:H51)),AVERAGE(H28:H51))</f>
        <v/>
      </c>
      <c r="I62" s="17">
        <f>IFERROR(TRIMMEAN(I47:I51,2/COUNT(I47:I51)),AVERAGE(I28:I51))</f>
        <v/>
      </c>
      <c r="J62" s="17">
        <f>IFERROR(TRIMMEAN(J47:J51,2/COUNT(J47:J51)),AVERAGE(J28:J51))</f>
        <v/>
      </c>
      <c r="K62" s="17">
        <f>IFERROR(TRIMMEAN(K47:K51,2/COUNT(K47:K51)),AVERAGE(K28:K51))</f>
        <v/>
      </c>
      <c r="L62" s="17">
        <f>IFERROR(TRIMMEAN(L47:L51,2/COUNT(L47:L51)),AVERAGE(L28:L51))</f>
        <v/>
      </c>
      <c r="M62" s="17">
        <f>IFERROR(TRIMMEAN(M47:M51,2/COUNT(M47:M51)),AVERAGE(M28:M51))</f>
        <v/>
      </c>
      <c r="N62" s="17">
        <f>IFERROR(TRIMMEAN(N47:N51,2/COUNT(N47:N51)),AVERAGE(N28:N51))</f>
        <v/>
      </c>
      <c r="O62" s="17">
        <f>IFERROR(TRIMMEAN(O47:O51,2/COUNT(O47:O51)),AVERAGE(O28:O51))</f>
        <v/>
      </c>
      <c r="P62" s="17">
        <f>IFERROR(TRIMMEAN(P47:P51,2/COUNT(P47:P51)),AVERAGE(P28:P51))</f>
        <v/>
      </c>
      <c r="Q62" s="17">
        <f>IFERROR(TRIMMEAN(Q47:Q51,2/COUNT(Q47:Q51)),AVERAGE(Q28:Q51))</f>
        <v/>
      </c>
      <c r="R62" s="17">
        <f>IFERROR(TRIMMEAN(R47:R51,2/COUNT(R47:R51)),AVERAGE(R28:R51))</f>
        <v/>
      </c>
      <c r="S62" s="17">
        <f>IFERROR(TRIMMEAN(S47:S51,2/COUNT(S47:S51)),AVERAGE(S28:S51))</f>
        <v/>
      </c>
      <c r="T62" s="17">
        <f>IFERROR(TRIMMEAN(T47:T51,2/COUNT(T47:T51)),AVERAGE(T28:T51))</f>
        <v/>
      </c>
      <c r="U62" s="17">
        <f>IFERROR(TRIMMEAN(U47:U51,2/COUNT(U47:U51)),AVERAGE(U28:U51))</f>
        <v/>
      </c>
      <c r="V62" s="17">
        <f>IFERROR(TRIMMEAN(V47:V51,2/COUNT(V47:V51)),AVERAGE(V28:V51))</f>
        <v/>
      </c>
      <c r="W62" s="17">
        <f>IFERROR(TRIMMEAN(W47:W51,2/COUNT(W47:W51)),AVERAGE(W28:W51))</f>
        <v/>
      </c>
      <c r="X62" s="17">
        <f>IFERROR(TRIMMEAN(X47:X51,2/COUNT(X47:X51)),AVERAGE(X28:X51))</f>
        <v/>
      </c>
      <c r="Y62" s="17" t="n"/>
    </row>
    <row r="63">
      <c r="A63" s="19" t="inlineStr">
        <is>
          <t>simple_10yr</t>
        </is>
      </c>
      <c r="B63" s="17">
        <f>IFERROR(AVERAGE(B42:B51),AVERAGE(B28:B51))</f>
        <v/>
      </c>
      <c r="C63" s="17">
        <f>IFERROR(AVERAGE(C42:C51),AVERAGE(C28:C51))</f>
        <v/>
      </c>
      <c r="D63" s="17">
        <f>IFERROR(AVERAGE(D42:D51),AVERAGE(D28:D51))</f>
        <v/>
      </c>
      <c r="E63" s="17">
        <f>IFERROR(AVERAGE(E42:E51),AVERAGE(E28:E51))</f>
        <v/>
      </c>
      <c r="F63" s="17">
        <f>IFERROR(AVERAGE(F42:F51),AVERAGE(F28:F51))</f>
        <v/>
      </c>
      <c r="G63" s="17">
        <f>IFERROR(AVERAGE(G42:G51),AVERAGE(G28:G51))</f>
        <v/>
      </c>
      <c r="H63" s="17">
        <f>IFERROR(AVERAGE(H42:H51),AVERAGE(H28:H51))</f>
        <v/>
      </c>
      <c r="I63" s="17">
        <f>IFERROR(AVERAGE(I42:I51),AVERAGE(I28:I51))</f>
        <v/>
      </c>
      <c r="J63" s="17">
        <f>IFERROR(AVERAGE(J42:J51),AVERAGE(J28:J51))</f>
        <v/>
      </c>
      <c r="K63" s="17">
        <f>IFERROR(AVERAGE(K42:K51),AVERAGE(K28:K51))</f>
        <v/>
      </c>
      <c r="L63" s="17">
        <f>IFERROR(AVERAGE(L42:L51),AVERAGE(L28:L51))</f>
        <v/>
      </c>
      <c r="M63" s="17">
        <f>IFERROR(AVERAGE(M42:M51),AVERAGE(M28:M51))</f>
        <v/>
      </c>
      <c r="N63" s="17">
        <f>IFERROR(AVERAGE(N42:N51),AVERAGE(N28:N51))</f>
        <v/>
      </c>
      <c r="O63" s="17">
        <f>IFERROR(AVERAGE(O42:O51),AVERAGE(O28:O51))</f>
        <v/>
      </c>
      <c r="P63" s="17">
        <f>IFERROR(AVERAGE(P42:P51),AVERAGE(P28:P51))</f>
        <v/>
      </c>
      <c r="Q63" s="17">
        <f>IFERROR(AVERAGE(Q42:Q51),AVERAGE(Q28:Q51))</f>
        <v/>
      </c>
      <c r="R63" s="17">
        <f>IFERROR(AVERAGE(R42:R51),AVERAGE(R28:R51))</f>
        <v/>
      </c>
      <c r="S63" s="17">
        <f>IFERROR(AVERAGE(S42:S51),AVERAGE(S28:S51))</f>
        <v/>
      </c>
      <c r="T63" s="17">
        <f>IFERROR(AVERAGE(T42:T51),AVERAGE(T28:T51))</f>
        <v/>
      </c>
      <c r="U63" s="17">
        <f>IFERROR(AVERAGE(U42:U51),AVERAGE(U28:U51))</f>
        <v/>
      </c>
      <c r="V63" s="17">
        <f>IFERROR(AVERAGE(V42:V51),AVERAGE(V28:V51))</f>
        <v/>
      </c>
      <c r="W63" s="17">
        <f>IFERROR(AVERAGE(W42:W51),AVERAGE(W28:W51))</f>
        <v/>
      </c>
      <c r="X63" s="17">
        <f>IFERROR(AVERAGE(X42:X51),AVERAGE(X28:X51))</f>
        <v/>
      </c>
      <c r="Y63" s="17" t="n"/>
    </row>
    <row r="64">
      <c r="A64" s="19" t="inlineStr">
        <is>
          <t>weighted_10yr</t>
        </is>
      </c>
      <c r="B64" s="17">
        <f>IFERROR(SUMPRODUCT(B42:B51,B16:B25)/SUMPRODUCT((B42:B51&lt;&gt;"")*B16:B25),SUMPRODUCT(B28:B51,B2:B25)/SUMPRODUCT((B28:B51&lt;&gt;"")*B2:B25))</f>
        <v/>
      </c>
      <c r="C64" s="17">
        <f>IFERROR(SUMPRODUCT(C42:C51,C16:C25)/SUMPRODUCT((C42:C51&lt;&gt;"")*C16:C25),SUMPRODUCT(C28:C51,C2:C25)/SUMPRODUCT((C28:C51&lt;&gt;"")*C2:C25))</f>
        <v/>
      </c>
      <c r="D64" s="17">
        <f>IFERROR(SUMPRODUCT(D42:D51,D16:D25)/SUMPRODUCT((D42:D51&lt;&gt;"")*D16:D25),SUMPRODUCT(D28:D51,D2:D25)/SUMPRODUCT((D28:D51&lt;&gt;"")*D2:D25))</f>
        <v/>
      </c>
      <c r="E64" s="17">
        <f>IFERROR(SUMPRODUCT(E42:E51,E16:E25)/SUMPRODUCT((E42:E51&lt;&gt;"")*E16:E25),SUMPRODUCT(E28:E51,E2:E25)/SUMPRODUCT((E28:E51&lt;&gt;"")*E2:E25))</f>
        <v/>
      </c>
      <c r="F64" s="17">
        <f>IFERROR(SUMPRODUCT(F42:F51,F16:F25)/SUMPRODUCT((F42:F51&lt;&gt;"")*F16:F25),SUMPRODUCT(F28:F51,F2:F25)/SUMPRODUCT((F28:F51&lt;&gt;"")*F2:F25))</f>
        <v/>
      </c>
      <c r="G64" s="17">
        <f>IFERROR(SUMPRODUCT(G42:G51,G16:G25)/SUMPRODUCT((G42:G51&lt;&gt;"")*G16:G25),SUMPRODUCT(G28:G51,G2:G25)/SUMPRODUCT((G28:G51&lt;&gt;"")*G2:G25))</f>
        <v/>
      </c>
      <c r="H64" s="17">
        <f>IFERROR(SUMPRODUCT(H42:H51,H16:H25)/SUMPRODUCT((H42:H51&lt;&gt;"")*H16:H25),SUMPRODUCT(H28:H51,H2:H25)/SUMPRODUCT((H28:H51&lt;&gt;"")*H2:H25))</f>
        <v/>
      </c>
      <c r="I64" s="17">
        <f>IFERROR(SUMPRODUCT(I42:I51,I16:I25)/SUMPRODUCT((I42:I51&lt;&gt;"")*I16:I25),SUMPRODUCT(I28:I51,I2:I25)/SUMPRODUCT((I28:I51&lt;&gt;"")*I2:I25))</f>
        <v/>
      </c>
      <c r="J64" s="17">
        <f>IFERROR(SUMPRODUCT(J42:J51,J16:J25)/SUMPRODUCT((J42:J51&lt;&gt;"")*J16:J25),SUMPRODUCT(J28:J51,J2:J25)/SUMPRODUCT((J28:J51&lt;&gt;"")*J2:J25))</f>
        <v/>
      </c>
      <c r="K64" s="17">
        <f>IFERROR(SUMPRODUCT(K42:K51,K16:K25)/SUMPRODUCT((K42:K51&lt;&gt;"")*K16:K25),SUMPRODUCT(K28:K51,K2:K25)/SUMPRODUCT((K28:K51&lt;&gt;"")*K2:K25))</f>
        <v/>
      </c>
      <c r="L64" s="17">
        <f>IFERROR(SUMPRODUCT(L42:L51,L16:L25)/SUMPRODUCT((L42:L51&lt;&gt;"")*L16:L25),SUMPRODUCT(L28:L51,L2:L25)/SUMPRODUCT((L28:L51&lt;&gt;"")*L2:L25))</f>
        <v/>
      </c>
      <c r="M64" s="17">
        <f>IFERROR(SUMPRODUCT(M42:M51,M16:M25)/SUMPRODUCT((M42:M51&lt;&gt;"")*M16:M25),SUMPRODUCT(M28:M51,M2:M25)/SUMPRODUCT((M28:M51&lt;&gt;"")*M2:M25))</f>
        <v/>
      </c>
      <c r="N64" s="17">
        <f>IFERROR(SUMPRODUCT(N42:N51,N16:N25)/SUMPRODUCT((N42:N51&lt;&gt;"")*N16:N25),SUMPRODUCT(N28:N51,N2:N25)/SUMPRODUCT((N28:N51&lt;&gt;"")*N2:N25))</f>
        <v/>
      </c>
      <c r="O64" s="17">
        <f>IFERROR(SUMPRODUCT(O42:O51,O16:O25)/SUMPRODUCT((O42:O51&lt;&gt;"")*O16:O25),SUMPRODUCT(O28:O51,O2:O25)/SUMPRODUCT((O28:O51&lt;&gt;"")*O2:O25))</f>
        <v/>
      </c>
      <c r="P64" s="17">
        <f>IFERROR(SUMPRODUCT(P42:P51,P16:P25)/SUMPRODUCT((P42:P51&lt;&gt;"")*P16:P25),SUMPRODUCT(P28:P51,P2:P25)/SUMPRODUCT((P28:P51&lt;&gt;"")*P2:P25))</f>
        <v/>
      </c>
      <c r="Q64" s="17">
        <f>IFERROR(SUMPRODUCT(Q42:Q51,Q16:Q25)/SUMPRODUCT((Q42:Q51&lt;&gt;"")*Q16:Q25),SUMPRODUCT(Q28:Q51,Q2:Q25)/SUMPRODUCT((Q28:Q51&lt;&gt;"")*Q2:Q25))</f>
        <v/>
      </c>
      <c r="R64" s="17">
        <f>IFERROR(SUMPRODUCT(R42:R51,R16:R25)/SUMPRODUCT((R42:R51&lt;&gt;"")*R16:R25),SUMPRODUCT(R28:R51,R2:R25)/SUMPRODUCT((R28:R51&lt;&gt;"")*R2:R25))</f>
        <v/>
      </c>
      <c r="S64" s="17">
        <f>IFERROR(SUMPRODUCT(S42:S51,S16:S25)/SUMPRODUCT((S42:S51&lt;&gt;"")*S16:S25),SUMPRODUCT(S28:S51,S2:S25)/SUMPRODUCT((S28:S51&lt;&gt;"")*S2:S25))</f>
        <v/>
      </c>
      <c r="T64" s="17">
        <f>IFERROR(SUMPRODUCT(T42:T51,T16:T25)/SUMPRODUCT((T42:T51&lt;&gt;"")*T16:T25),SUMPRODUCT(T28:T51,T2:T25)/SUMPRODUCT((T28:T51&lt;&gt;"")*T2:T25))</f>
        <v/>
      </c>
      <c r="U64" s="17">
        <f>IFERROR(SUMPRODUCT(U42:U51,U16:U25)/SUMPRODUCT((U42:U51&lt;&gt;"")*U16:U25),SUMPRODUCT(U28:U51,U2:U25)/SUMPRODUCT((U28:U51&lt;&gt;"")*U2:U25))</f>
        <v/>
      </c>
      <c r="V64" s="17">
        <f>IFERROR(SUMPRODUCT(V42:V51,V16:V25)/SUMPRODUCT((V42:V51&lt;&gt;"")*V16:V25),SUMPRODUCT(V28:V51,V2:V25)/SUMPRODUCT((V28:V51&lt;&gt;"")*V2:V25))</f>
        <v/>
      </c>
      <c r="W64" s="17">
        <f>IFERROR(SUMPRODUCT(W42:W51,W16:W25)/SUMPRODUCT((W42:W51&lt;&gt;"")*W16:W25),SUMPRODUCT(W28:W51,W2:W25)/SUMPRODUCT((W28:W51&lt;&gt;"")*W2:W25))</f>
        <v/>
      </c>
      <c r="X64" s="17">
        <f>IFERROR(SUMPRODUCT(X42:X51,X16:X25)/SUMPRODUCT((X42:X51&lt;&gt;"")*X16:X25),SUMPRODUCT(X28:X51,X2:X25)/SUMPRODUCT((X28:X51&lt;&gt;"")*X2:X25))</f>
        <v/>
      </c>
      <c r="Y64" s="17" t="n"/>
    </row>
    <row r="65">
      <c r="A65" s="19" t="inlineStr">
        <is>
          <t>exclude_high_low_10yr</t>
        </is>
      </c>
      <c r="B65" s="17">
        <f>IFERROR(TRIMMEAN(B42:B51,2/COUNT(B42:B51)),AVERAGE(B28:B51))</f>
        <v/>
      </c>
      <c r="C65" s="17">
        <f>IFERROR(TRIMMEAN(C42:C51,2/COUNT(C42:C51)),AVERAGE(C28:C51))</f>
        <v/>
      </c>
      <c r="D65" s="17">
        <f>IFERROR(TRIMMEAN(D42:D51,2/COUNT(D42:D51)),AVERAGE(D28:D51))</f>
        <v/>
      </c>
      <c r="E65" s="17">
        <f>IFERROR(TRIMMEAN(E42:E51,2/COUNT(E42:E51)),AVERAGE(E28:E51))</f>
        <v/>
      </c>
      <c r="F65" s="17">
        <f>IFERROR(TRIMMEAN(F42:F51,2/COUNT(F42:F51)),AVERAGE(F28:F51))</f>
        <v/>
      </c>
      <c r="G65" s="17">
        <f>IFERROR(TRIMMEAN(G42:G51,2/COUNT(G42:G51)),AVERAGE(G28:G51))</f>
        <v/>
      </c>
      <c r="H65" s="17">
        <f>IFERROR(TRIMMEAN(H42:H51,2/COUNT(H42:H51)),AVERAGE(H28:H51))</f>
        <v/>
      </c>
      <c r="I65" s="17">
        <f>IFERROR(TRIMMEAN(I42:I51,2/COUNT(I42:I51)),AVERAGE(I28:I51))</f>
        <v/>
      </c>
      <c r="J65" s="17">
        <f>IFERROR(TRIMMEAN(J42:J51,2/COUNT(J42:J51)),AVERAGE(J28:J51))</f>
        <v/>
      </c>
      <c r="K65" s="17">
        <f>IFERROR(TRIMMEAN(K42:K51,2/COUNT(K42:K51)),AVERAGE(K28:K51))</f>
        <v/>
      </c>
      <c r="L65" s="17">
        <f>IFERROR(TRIMMEAN(L42:L51,2/COUNT(L42:L51)),AVERAGE(L28:L51))</f>
        <v/>
      </c>
      <c r="M65" s="17">
        <f>IFERROR(TRIMMEAN(M42:M51,2/COUNT(M42:M51)),AVERAGE(M28:M51))</f>
        <v/>
      </c>
      <c r="N65" s="17">
        <f>IFERROR(TRIMMEAN(N42:N51,2/COUNT(N42:N51)),AVERAGE(N28:N51))</f>
        <v/>
      </c>
      <c r="O65" s="17">
        <f>IFERROR(TRIMMEAN(O42:O51,2/COUNT(O42:O51)),AVERAGE(O28:O51))</f>
        <v/>
      </c>
      <c r="P65" s="17">
        <f>IFERROR(TRIMMEAN(P42:P51,2/COUNT(P42:P51)),AVERAGE(P28:P51))</f>
        <v/>
      </c>
      <c r="Q65" s="17">
        <f>IFERROR(TRIMMEAN(Q42:Q51,2/COUNT(Q42:Q51)),AVERAGE(Q28:Q51))</f>
        <v/>
      </c>
      <c r="R65" s="17">
        <f>IFERROR(TRIMMEAN(R42:R51,2/COUNT(R42:R51)),AVERAGE(R28:R51))</f>
        <v/>
      </c>
      <c r="S65" s="17">
        <f>IFERROR(TRIMMEAN(S42:S51,2/COUNT(S42:S51)),AVERAGE(S28:S51))</f>
        <v/>
      </c>
      <c r="T65" s="17">
        <f>IFERROR(TRIMMEAN(T42:T51,2/COUNT(T42:T51)),AVERAGE(T28:T51))</f>
        <v/>
      </c>
      <c r="U65" s="17">
        <f>IFERROR(TRIMMEAN(U42:U51,2/COUNT(U42:U51)),AVERAGE(U28:U51))</f>
        <v/>
      </c>
      <c r="V65" s="17">
        <f>IFERROR(TRIMMEAN(V42:V51,2/COUNT(V42:V51)),AVERAGE(V28:V51))</f>
        <v/>
      </c>
      <c r="W65" s="17">
        <f>IFERROR(TRIMMEAN(W42:W51,2/COUNT(W42:W51)),AVERAGE(W28:W51))</f>
        <v/>
      </c>
      <c r="X65" s="17">
        <f>IFERROR(TRIMMEAN(X42:X51,2/COUNT(X42:X51)),AVERAGE(X28:X51))</f>
        <v/>
      </c>
      <c r="Y65" s="17" t="n"/>
    </row>
    <row r="66"/>
    <row r="67">
      <c r="A67" s="20" t="n"/>
      <c r="B67" s="8" t="inlineStr">
        <is>
          <t>11-23</t>
        </is>
      </c>
      <c r="C67" s="8" t="inlineStr">
        <is>
          <t>23-35</t>
        </is>
      </c>
      <c r="D67" s="8" t="inlineStr">
        <is>
          <t>35-47</t>
        </is>
      </c>
      <c r="E67" s="8" t="inlineStr">
        <is>
          <t>47-59</t>
        </is>
      </c>
      <c r="F67" s="8" t="inlineStr">
        <is>
          <t>59-71</t>
        </is>
      </c>
      <c r="G67" s="8" t="inlineStr">
        <is>
          <t>71-83</t>
        </is>
      </c>
      <c r="H67" s="8" t="inlineStr">
        <is>
          <t>83-95</t>
        </is>
      </c>
      <c r="I67" s="8" t="inlineStr">
        <is>
          <t>95-107</t>
        </is>
      </c>
      <c r="J67" s="8" t="inlineStr">
        <is>
          <t>107-119</t>
        </is>
      </c>
      <c r="K67" s="8" t="inlineStr">
        <is>
          <t>119-131</t>
        </is>
      </c>
      <c r="L67" s="8" t="inlineStr">
        <is>
          <t>131-143</t>
        </is>
      </c>
      <c r="M67" s="8" t="inlineStr">
        <is>
          <t>143-155</t>
        </is>
      </c>
      <c r="N67" s="8" t="inlineStr">
        <is>
          <t>155-167</t>
        </is>
      </c>
      <c r="O67" s="8" t="inlineStr">
        <is>
          <t>167-179</t>
        </is>
      </c>
      <c r="P67" s="8" t="inlineStr">
        <is>
          <t>179-191</t>
        </is>
      </c>
      <c r="Q67" s="8" t="inlineStr">
        <is>
          <t>191-203</t>
        </is>
      </c>
      <c r="R67" s="8" t="inlineStr">
        <is>
          <t>203-215</t>
        </is>
      </c>
      <c r="S67" s="8" t="inlineStr">
        <is>
          <t>215-227</t>
        </is>
      </c>
      <c r="T67" s="8" t="inlineStr">
        <is>
          <t>227-239</t>
        </is>
      </c>
      <c r="U67" s="8" t="inlineStr">
        <is>
          <t>239-251</t>
        </is>
      </c>
      <c r="V67" s="8" t="inlineStr">
        <is>
          <t>251-263</t>
        </is>
      </c>
      <c r="W67" s="8" t="inlineStr">
        <is>
          <t>263-275</t>
        </is>
      </c>
      <c r="X67" s="8" t="inlineStr">
        <is>
          <t>275-287</t>
        </is>
      </c>
    </row>
    <row r="68">
      <c r="A68" s="21" t="inlineStr">
        <is>
          <t>Selected</t>
        </is>
      </c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23">
        <f>A68</f>
        <v/>
      </c>
    </row>
    <row r="70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7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8" t="inlineStr">
        <is>
          <t>Period</t>
        </is>
      </c>
      <c r="B1" s="8" t="inlineStr">
        <is>
          <t>11</t>
        </is>
      </c>
      <c r="C1" s="8" t="inlineStr">
        <is>
          <t>23</t>
        </is>
      </c>
      <c r="D1" s="8" t="inlineStr">
        <is>
          <t>35</t>
        </is>
      </c>
      <c r="E1" s="8" t="inlineStr">
        <is>
          <t>47</t>
        </is>
      </c>
      <c r="F1" s="8" t="inlineStr">
        <is>
          <t>59</t>
        </is>
      </c>
      <c r="G1" s="8" t="inlineStr">
        <is>
          <t>71</t>
        </is>
      </c>
      <c r="H1" s="8" t="inlineStr">
        <is>
          <t>83</t>
        </is>
      </c>
      <c r="I1" s="8" t="inlineStr">
        <is>
          <t>95</t>
        </is>
      </c>
      <c r="J1" s="8" t="inlineStr">
        <is>
          <t>107</t>
        </is>
      </c>
      <c r="K1" s="8" t="inlineStr">
        <is>
          <t>119</t>
        </is>
      </c>
      <c r="L1" s="8" t="inlineStr">
        <is>
          <t>131</t>
        </is>
      </c>
      <c r="M1" s="8" t="inlineStr">
        <is>
          <t>143</t>
        </is>
      </c>
      <c r="N1" s="8" t="inlineStr">
        <is>
          <t>155</t>
        </is>
      </c>
      <c r="O1" s="8" t="inlineStr">
        <is>
          <t>167</t>
        </is>
      </c>
      <c r="P1" s="8" t="inlineStr">
        <is>
          <t>179</t>
        </is>
      </c>
      <c r="Q1" s="8" t="inlineStr">
        <is>
          <t>191</t>
        </is>
      </c>
      <c r="R1" s="8" t="inlineStr">
        <is>
          <t>203</t>
        </is>
      </c>
      <c r="S1" s="8" t="inlineStr">
        <is>
          <t>215</t>
        </is>
      </c>
      <c r="T1" s="8" t="inlineStr">
        <is>
          <t>227</t>
        </is>
      </c>
      <c r="U1" s="8" t="inlineStr">
        <is>
          <t>239</t>
        </is>
      </c>
      <c r="V1" s="8" t="inlineStr">
        <is>
          <t>251</t>
        </is>
      </c>
      <c r="W1" s="8" t="inlineStr">
        <is>
          <t>263</t>
        </is>
      </c>
      <c r="X1" s="8" t="inlineStr">
        <is>
          <t>275</t>
        </is>
      </c>
      <c r="Y1" s="8" t="inlineStr">
        <is>
          <t>287</t>
        </is>
      </c>
    </row>
    <row r="2">
      <c r="A2" s="15" t="inlineStr">
        <is>
          <t>2001</t>
        </is>
      </c>
      <c r="B2" s="16" t="n">
        <v>637.3668</v>
      </c>
      <c r="C2" s="16" t="n">
        <v>682.2332</v>
      </c>
      <c r="D2" s="16" t="n">
        <v>683.5528</v>
      </c>
      <c r="E2" s="16" t="n">
        <v>683.5528</v>
      </c>
      <c r="F2" s="16" t="n">
        <v>683.5528</v>
      </c>
      <c r="G2" s="16" t="n">
        <v>683.5528</v>
      </c>
      <c r="H2" s="16" t="n">
        <v>700.7076</v>
      </c>
      <c r="I2" s="16" t="n">
        <v>700.7076</v>
      </c>
      <c r="J2" s="16" t="n">
        <v>700.7076</v>
      </c>
      <c r="K2" s="16" t="n">
        <v>700.7076</v>
      </c>
      <c r="L2" s="16" t="n">
        <v>700.7076</v>
      </c>
      <c r="M2" s="16" t="n">
        <v>700.7076</v>
      </c>
      <c r="N2" s="16" t="n">
        <v>700.7076</v>
      </c>
      <c r="O2" s="16" t="n">
        <v>700.7076</v>
      </c>
      <c r="P2" s="16" t="n">
        <v>700.7076</v>
      </c>
      <c r="Q2" s="16" t="n">
        <v>700.7076</v>
      </c>
      <c r="R2" s="16" t="n">
        <v>700.7076</v>
      </c>
      <c r="S2" s="16" t="n">
        <v>700.7076</v>
      </c>
      <c r="T2" s="16" t="n">
        <v>700.7076</v>
      </c>
      <c r="U2" s="16" t="n">
        <v>700.7076</v>
      </c>
      <c r="V2" s="16" t="n">
        <v>700.7076</v>
      </c>
      <c r="W2" s="16" t="n">
        <v>700.7076</v>
      </c>
      <c r="X2" s="16" t="n">
        <v>700.7076</v>
      </c>
      <c r="Y2" s="16" t="n">
        <v>700.7076</v>
      </c>
    </row>
    <row r="3">
      <c r="A3" s="15" t="inlineStr">
        <is>
          <t>2002</t>
        </is>
      </c>
      <c r="B3" s="16" t="n">
        <v>613.614</v>
      </c>
      <c r="C3" s="16" t="n">
        <v>634.7276000000001</v>
      </c>
      <c r="D3" s="16" t="n">
        <v>634.7276000000001</v>
      </c>
      <c r="E3" s="16" t="n">
        <v>634.7276000000001</v>
      </c>
      <c r="F3" s="16" t="n">
        <v>634.7276000000001</v>
      </c>
      <c r="G3" s="16" t="n">
        <v>651.8824</v>
      </c>
      <c r="H3" s="16" t="n">
        <v>651.8824</v>
      </c>
      <c r="I3" s="16" t="n">
        <v>651.8824</v>
      </c>
      <c r="J3" s="16" t="n">
        <v>651.8824</v>
      </c>
      <c r="K3" s="16" t="n">
        <v>651.8824</v>
      </c>
      <c r="L3" s="16" t="n">
        <v>651.8824</v>
      </c>
      <c r="M3" s="16" t="n">
        <v>651.8824</v>
      </c>
      <c r="N3" s="16" t="n">
        <v>651.8824</v>
      </c>
      <c r="O3" s="16" t="n">
        <v>651.8824</v>
      </c>
      <c r="P3" s="16" t="n">
        <v>651.8824</v>
      </c>
      <c r="Q3" s="16" t="n">
        <v>651.8824</v>
      </c>
      <c r="R3" s="16" t="n">
        <v>651.8824</v>
      </c>
      <c r="S3" s="16" t="n">
        <v>651.8824</v>
      </c>
      <c r="T3" s="16" t="n">
        <v>651.8824</v>
      </c>
      <c r="U3" s="16" t="n">
        <v>651.8824</v>
      </c>
      <c r="V3" s="16" t="n">
        <v>651.8824</v>
      </c>
      <c r="W3" s="16" t="n">
        <v>651.8824</v>
      </c>
      <c r="X3" s="16" t="n">
        <v>651.8824</v>
      </c>
    </row>
    <row r="4">
      <c r="A4" s="15" t="inlineStr">
        <is>
          <t>2003</t>
        </is>
      </c>
      <c r="B4" s="16" t="n">
        <v>534.438</v>
      </c>
      <c r="C4" s="16" t="n">
        <v>552.9124</v>
      </c>
      <c r="D4" s="16" t="n">
        <v>552.9124</v>
      </c>
      <c r="E4" s="16" t="n">
        <v>552.9124</v>
      </c>
      <c r="F4" s="16" t="n">
        <v>550.2732</v>
      </c>
      <c r="G4" s="16" t="n">
        <v>550.2732</v>
      </c>
      <c r="H4" s="16" t="n">
        <v>551.5928</v>
      </c>
      <c r="I4" s="16" t="n">
        <v>551.5928</v>
      </c>
      <c r="J4" s="16" t="n">
        <v>551.5928</v>
      </c>
      <c r="K4" s="16" t="n">
        <v>551.5928</v>
      </c>
      <c r="L4" s="16" t="n">
        <v>551.5928</v>
      </c>
      <c r="M4" s="16" t="n">
        <v>551.5928</v>
      </c>
      <c r="N4" s="16" t="n">
        <v>551.5928</v>
      </c>
      <c r="O4" s="16" t="n">
        <v>551.5928</v>
      </c>
      <c r="P4" s="16" t="n">
        <v>551.5928</v>
      </c>
      <c r="Q4" s="16" t="n">
        <v>551.5928</v>
      </c>
      <c r="R4" s="16" t="n">
        <v>551.5928</v>
      </c>
      <c r="S4" s="16" t="n">
        <v>551.5928</v>
      </c>
      <c r="T4" s="16" t="n">
        <v>551.5928</v>
      </c>
      <c r="U4" s="16" t="n">
        <v>551.5928</v>
      </c>
      <c r="V4" s="16" t="n">
        <v>551.5928</v>
      </c>
      <c r="W4" s="16" t="n">
        <v>551.5928</v>
      </c>
    </row>
    <row r="5">
      <c r="A5" s="15" t="inlineStr">
        <is>
          <t>2004</t>
        </is>
      </c>
      <c r="B5" s="16" t="n">
        <v>603.0572</v>
      </c>
      <c r="C5" s="16" t="n">
        <v>638.6864</v>
      </c>
      <c r="D5" s="16" t="n">
        <v>638.6864</v>
      </c>
      <c r="E5" s="16" t="n">
        <v>641.3256</v>
      </c>
      <c r="F5" s="16" t="n">
        <v>642.6452</v>
      </c>
      <c r="G5" s="16" t="n">
        <v>642.6452</v>
      </c>
      <c r="H5" s="16" t="n">
        <v>642.6452</v>
      </c>
      <c r="I5" s="16" t="n">
        <v>642.6452</v>
      </c>
      <c r="J5" s="16" t="n">
        <v>642.6452</v>
      </c>
      <c r="K5" s="16" t="n">
        <v>642.6452</v>
      </c>
      <c r="L5" s="16" t="n">
        <v>642.6452</v>
      </c>
      <c r="M5" s="16" t="n">
        <v>642.6452</v>
      </c>
      <c r="N5" s="16" t="n">
        <v>642.6452</v>
      </c>
      <c r="O5" s="16" t="n">
        <v>642.6452</v>
      </c>
      <c r="P5" s="16" t="n">
        <v>642.6452</v>
      </c>
      <c r="Q5" s="16" t="n">
        <v>642.6452</v>
      </c>
      <c r="R5" s="16" t="n">
        <v>642.6452</v>
      </c>
      <c r="S5" s="16" t="n">
        <v>642.6452</v>
      </c>
      <c r="T5" s="16" t="n">
        <v>642.6452</v>
      </c>
      <c r="U5" s="16" t="n">
        <v>642.6452</v>
      </c>
      <c r="V5" s="16" t="n">
        <v>642.6452</v>
      </c>
    </row>
    <row r="6">
      <c r="A6" s="15" t="inlineStr">
        <is>
          <t>2005</t>
        </is>
      </c>
      <c r="B6" s="16" t="n">
        <v>626.8099999999999</v>
      </c>
      <c r="C6" s="16" t="n">
        <v>641.3256</v>
      </c>
      <c r="D6" s="16" t="n">
        <v>642.6452</v>
      </c>
      <c r="E6" s="16" t="n">
        <v>641.3256</v>
      </c>
      <c r="F6" s="16" t="n">
        <v>641.3256</v>
      </c>
      <c r="G6" s="16" t="n">
        <v>641.3256</v>
      </c>
      <c r="H6" s="16" t="n">
        <v>641.3256</v>
      </c>
      <c r="I6" s="16" t="n">
        <v>641.3256</v>
      </c>
      <c r="J6" s="16" t="n">
        <v>641.3256</v>
      </c>
      <c r="K6" s="16" t="n">
        <v>641.3256</v>
      </c>
      <c r="L6" s="16" t="n">
        <v>641.3256</v>
      </c>
      <c r="M6" s="16" t="n">
        <v>641.3256</v>
      </c>
      <c r="N6" s="16" t="n">
        <v>641.3256</v>
      </c>
      <c r="O6" s="16" t="n">
        <v>641.3256</v>
      </c>
      <c r="P6" s="16" t="n">
        <v>641.3256</v>
      </c>
      <c r="Q6" s="16" t="n">
        <v>641.3256</v>
      </c>
      <c r="R6" s="16" t="n">
        <v>641.3256</v>
      </c>
      <c r="S6" s="16" t="n">
        <v>641.3256</v>
      </c>
      <c r="T6" s="16" t="n">
        <v>641.3256</v>
      </c>
      <c r="U6" s="16" t="n">
        <v>641.3256</v>
      </c>
    </row>
    <row r="7">
      <c r="A7" s="15" t="inlineStr">
        <is>
          <t>2006</t>
        </is>
      </c>
      <c r="B7" s="16" t="n">
        <v>479.0148</v>
      </c>
      <c r="C7" s="16" t="n">
        <v>497.4892</v>
      </c>
      <c r="D7" s="16" t="n">
        <v>497.4892</v>
      </c>
      <c r="E7" s="16" t="n">
        <v>497.4892</v>
      </c>
      <c r="F7" s="16" t="n">
        <v>497.4892</v>
      </c>
      <c r="G7" s="16" t="n">
        <v>497.4892</v>
      </c>
      <c r="H7" s="16" t="n">
        <v>497.4892</v>
      </c>
      <c r="I7" s="16" t="n">
        <v>497.4892</v>
      </c>
      <c r="J7" s="16" t="n">
        <v>497.4892</v>
      </c>
      <c r="K7" s="16" t="n">
        <v>497.4892</v>
      </c>
      <c r="L7" s="16" t="n">
        <v>497.4892</v>
      </c>
      <c r="M7" s="16" t="n">
        <v>497.4892</v>
      </c>
      <c r="N7" s="16" t="n">
        <v>497.4892</v>
      </c>
      <c r="O7" s="16" t="n">
        <v>497.4892</v>
      </c>
      <c r="P7" s="16" t="n">
        <v>497.4892</v>
      </c>
      <c r="Q7" s="16" t="n">
        <v>497.4892</v>
      </c>
      <c r="R7" s="16" t="n">
        <v>497.4892</v>
      </c>
      <c r="S7" s="16" t="n">
        <v>497.4892</v>
      </c>
      <c r="T7" s="16" t="n">
        <v>497.4892</v>
      </c>
    </row>
    <row r="8">
      <c r="A8" s="15" t="inlineStr">
        <is>
          <t>2007</t>
        </is>
      </c>
      <c r="B8" s="16" t="n">
        <v>456.5816</v>
      </c>
      <c r="C8" s="16" t="n">
        <v>476.3756</v>
      </c>
      <c r="D8" s="16" t="n">
        <v>476.3756</v>
      </c>
      <c r="E8" s="16" t="n">
        <v>476.3756</v>
      </c>
      <c r="F8" s="16" t="n">
        <v>476.3756</v>
      </c>
      <c r="G8" s="16" t="n">
        <v>476.3756</v>
      </c>
      <c r="H8" s="16" t="n">
        <v>476.3756</v>
      </c>
      <c r="I8" s="16" t="n">
        <v>476.3756</v>
      </c>
      <c r="J8" s="16" t="n">
        <v>476.3756</v>
      </c>
      <c r="K8" s="16" t="n">
        <v>476.3756</v>
      </c>
      <c r="L8" s="16" t="n">
        <v>476.3756</v>
      </c>
      <c r="M8" s="16" t="n">
        <v>476.3756</v>
      </c>
      <c r="N8" s="16" t="n">
        <v>476.3756</v>
      </c>
      <c r="O8" s="16" t="n">
        <v>476.3756</v>
      </c>
      <c r="P8" s="16" t="n">
        <v>476.3756</v>
      </c>
      <c r="Q8" s="16" t="n">
        <v>476.3756</v>
      </c>
      <c r="R8" s="16" t="n">
        <v>476.3756</v>
      </c>
      <c r="S8" s="16" t="n">
        <v>476.3756</v>
      </c>
    </row>
    <row r="9">
      <c r="A9" s="15" t="inlineStr">
        <is>
          <t>2008</t>
        </is>
      </c>
      <c r="B9" s="16" t="n">
        <v>307.4668</v>
      </c>
      <c r="C9" s="16" t="n">
        <v>327.2608</v>
      </c>
      <c r="D9" s="16" t="n">
        <v>328.5804</v>
      </c>
      <c r="E9" s="16" t="n">
        <v>328.5804</v>
      </c>
      <c r="F9" s="16" t="n">
        <v>328.5804</v>
      </c>
      <c r="G9" s="16" t="n">
        <v>328.5804</v>
      </c>
      <c r="H9" s="16" t="n">
        <v>328.5804</v>
      </c>
      <c r="I9" s="16" t="n">
        <v>328.5804</v>
      </c>
      <c r="J9" s="16" t="n">
        <v>328.5804</v>
      </c>
      <c r="K9" s="16" t="n">
        <v>328.5804</v>
      </c>
      <c r="L9" s="16" t="n">
        <v>328.5804</v>
      </c>
      <c r="M9" s="16" t="n">
        <v>328.5804</v>
      </c>
      <c r="N9" s="16" t="n">
        <v>328.5804</v>
      </c>
      <c r="O9" s="16" t="n">
        <v>328.5804</v>
      </c>
      <c r="P9" s="16" t="n">
        <v>328.5804</v>
      </c>
      <c r="Q9" s="16" t="n">
        <v>328.5804</v>
      </c>
      <c r="R9" s="16" t="n">
        <v>328.5804</v>
      </c>
    </row>
    <row r="10">
      <c r="A10" s="15" t="inlineStr">
        <is>
          <t>2009</t>
        </is>
      </c>
      <c r="B10" s="16" t="n">
        <v>306.1472</v>
      </c>
      <c r="C10" s="16" t="n">
        <v>320.6628</v>
      </c>
      <c r="D10" s="16" t="n">
        <v>321.9824</v>
      </c>
      <c r="E10" s="16" t="n">
        <v>321.9824</v>
      </c>
      <c r="F10" s="16" t="n">
        <v>321.9824</v>
      </c>
      <c r="G10" s="16" t="n">
        <v>321.9824</v>
      </c>
      <c r="H10" s="16" t="n">
        <v>321.9824</v>
      </c>
      <c r="I10" s="16" t="n">
        <v>321.9824</v>
      </c>
      <c r="J10" s="16" t="n">
        <v>321.9824</v>
      </c>
      <c r="K10" s="16" t="n">
        <v>321.9824</v>
      </c>
      <c r="L10" s="16" t="n">
        <v>321.9824</v>
      </c>
      <c r="M10" s="16" t="n">
        <v>321.9824</v>
      </c>
      <c r="N10" s="16" t="n">
        <v>321.9824</v>
      </c>
      <c r="O10" s="16" t="n">
        <v>321.9824</v>
      </c>
      <c r="P10" s="16" t="n">
        <v>321.9824</v>
      </c>
      <c r="Q10" s="16" t="n">
        <v>321.9824</v>
      </c>
    </row>
    <row r="11">
      <c r="A11" s="15" t="inlineStr">
        <is>
          <t>2010</t>
        </is>
      </c>
      <c r="B11" s="16" t="n">
        <v>259.9612</v>
      </c>
      <c r="C11" s="16" t="n">
        <v>271.8376</v>
      </c>
      <c r="D11" s="16" t="n">
        <v>271.8376</v>
      </c>
      <c r="E11" s="16" t="n">
        <v>271.8376</v>
      </c>
      <c r="F11" s="16" t="n">
        <v>271.8376</v>
      </c>
      <c r="G11" s="16" t="n">
        <v>271.8376</v>
      </c>
      <c r="H11" s="16" t="n">
        <v>271.8376</v>
      </c>
      <c r="I11" s="16" t="n">
        <v>271.8376</v>
      </c>
      <c r="J11" s="16" t="n">
        <v>271.8376</v>
      </c>
      <c r="K11" s="16" t="n">
        <v>271.8376</v>
      </c>
      <c r="L11" s="16" t="n">
        <v>271.8376</v>
      </c>
      <c r="M11" s="16" t="n">
        <v>271.8376</v>
      </c>
      <c r="N11" s="16" t="n">
        <v>271.8376</v>
      </c>
      <c r="O11" s="16" t="n">
        <v>271.8376</v>
      </c>
      <c r="P11" s="16" t="n">
        <v>271.8376</v>
      </c>
    </row>
    <row r="12">
      <c r="A12" s="15" t="inlineStr">
        <is>
          <t>2011</t>
        </is>
      </c>
      <c r="B12" s="16" t="n">
        <v>345.7352</v>
      </c>
      <c r="C12" s="16" t="n">
        <v>345.7352</v>
      </c>
      <c r="D12" s="16" t="n">
        <v>345.7352</v>
      </c>
      <c r="E12" s="16" t="n">
        <v>345.7352</v>
      </c>
      <c r="F12" s="16" t="n">
        <v>345.7352</v>
      </c>
      <c r="G12" s="16" t="n">
        <v>345.7352</v>
      </c>
      <c r="H12" s="16" t="n">
        <v>345.7352</v>
      </c>
      <c r="I12" s="16" t="n">
        <v>345.7352</v>
      </c>
      <c r="J12" s="16" t="n">
        <v>345.7352</v>
      </c>
      <c r="K12" s="16" t="n">
        <v>345.7352</v>
      </c>
      <c r="L12" s="16" t="n">
        <v>345.7352</v>
      </c>
      <c r="M12" s="16" t="n">
        <v>345.7352</v>
      </c>
      <c r="N12" s="16" t="n">
        <v>345.7352</v>
      </c>
      <c r="O12" s="16" t="n">
        <v>345.7352</v>
      </c>
    </row>
    <row r="13">
      <c r="A13" s="15" t="inlineStr">
        <is>
          <t>2012</t>
        </is>
      </c>
      <c r="B13" s="16" t="n">
        <v>245.4456</v>
      </c>
      <c r="C13" s="16" t="n">
        <v>261.2808</v>
      </c>
      <c r="D13" s="16" t="n">
        <v>261.2808</v>
      </c>
      <c r="E13" s="16" t="n">
        <v>261.2808</v>
      </c>
      <c r="F13" s="16" t="n">
        <v>261.2808</v>
      </c>
      <c r="G13" s="16" t="n">
        <v>261.2808</v>
      </c>
      <c r="H13" s="16" t="n">
        <v>261.2808</v>
      </c>
      <c r="I13" s="16" t="n">
        <v>261.2808</v>
      </c>
      <c r="J13" s="16" t="n">
        <v>261.2808</v>
      </c>
      <c r="K13" s="16" t="n">
        <v>261.2808</v>
      </c>
      <c r="L13" s="16" t="n">
        <v>261.2808</v>
      </c>
      <c r="M13" s="16" t="n">
        <v>261.2808</v>
      </c>
      <c r="N13" s="16" t="n">
        <v>261.2808</v>
      </c>
    </row>
    <row r="14">
      <c r="A14" s="15" t="inlineStr">
        <is>
          <t>2013</t>
        </is>
      </c>
      <c r="B14" s="16" t="n">
        <v>282.3944</v>
      </c>
      <c r="C14" s="16" t="n">
        <v>290.312</v>
      </c>
      <c r="D14" s="16" t="n">
        <v>290.312</v>
      </c>
      <c r="E14" s="16" t="n">
        <v>291.6316</v>
      </c>
      <c r="F14" s="16" t="n">
        <v>291.6316</v>
      </c>
      <c r="G14" s="16" t="n">
        <v>291.6316</v>
      </c>
      <c r="H14" s="16" t="n">
        <v>291.6316</v>
      </c>
      <c r="I14" s="16" t="n">
        <v>291.6316</v>
      </c>
      <c r="J14" s="16" t="n">
        <v>291.6316</v>
      </c>
      <c r="K14" s="16" t="n">
        <v>291.6316</v>
      </c>
      <c r="L14" s="16" t="n">
        <v>291.6316</v>
      </c>
      <c r="M14" s="16" t="n">
        <v>291.6316</v>
      </c>
    </row>
    <row r="15">
      <c r="A15" s="15" t="inlineStr">
        <is>
          <t>2014</t>
        </is>
      </c>
      <c r="B15" s="16" t="n">
        <v>434.1484</v>
      </c>
      <c r="C15" s="16" t="n">
        <v>453.9424</v>
      </c>
      <c r="D15" s="16" t="n">
        <v>455.262</v>
      </c>
      <c r="E15" s="16" t="n">
        <v>455.262</v>
      </c>
      <c r="F15" s="16" t="n">
        <v>455.262</v>
      </c>
      <c r="G15" s="16" t="n">
        <v>455.262</v>
      </c>
      <c r="H15" s="16" t="n">
        <v>455.262</v>
      </c>
      <c r="I15" s="16" t="n">
        <v>455.262</v>
      </c>
      <c r="J15" s="16" t="n">
        <v>455.262</v>
      </c>
      <c r="K15" s="16" t="n">
        <v>455.262</v>
      </c>
      <c r="L15" s="16" t="n">
        <v>455.262</v>
      </c>
    </row>
    <row r="16">
      <c r="A16" s="15" t="inlineStr">
        <is>
          <t>2015</t>
        </is>
      </c>
      <c r="B16" s="16" t="n">
        <v>321.9824</v>
      </c>
      <c r="C16" s="16" t="n">
        <v>332.5392</v>
      </c>
      <c r="D16" s="16" t="n">
        <v>337.8176</v>
      </c>
      <c r="E16" s="16" t="n">
        <v>337.8176</v>
      </c>
      <c r="F16" s="16" t="n">
        <v>337.8176</v>
      </c>
      <c r="G16" s="16" t="n">
        <v>337.8176</v>
      </c>
      <c r="H16" s="16" t="n">
        <v>337.8176</v>
      </c>
      <c r="I16" s="16" t="n">
        <v>337.8176</v>
      </c>
      <c r="J16" s="16" t="n">
        <v>337.8176</v>
      </c>
      <c r="K16" s="16" t="n">
        <v>333.8588</v>
      </c>
    </row>
    <row r="17">
      <c r="A17" s="15" t="inlineStr">
        <is>
          <t>2016</t>
        </is>
      </c>
      <c r="B17" s="16" t="n">
        <v>345.7352</v>
      </c>
      <c r="C17" s="16" t="n">
        <v>373.4468</v>
      </c>
      <c r="D17" s="16" t="n">
        <v>390.6016</v>
      </c>
      <c r="E17" s="16" t="n">
        <v>390.6016</v>
      </c>
      <c r="F17" s="16" t="n">
        <v>390.6016</v>
      </c>
      <c r="G17" s="16" t="n">
        <v>390.6016</v>
      </c>
      <c r="H17" s="16" t="n">
        <v>390.6016</v>
      </c>
      <c r="I17" s="16" t="n">
        <v>390.6016</v>
      </c>
      <c r="J17" s="16" t="n">
        <v>390.6016</v>
      </c>
    </row>
    <row r="18">
      <c r="A18" s="15" t="inlineStr">
        <is>
          <t>2017</t>
        </is>
      </c>
      <c r="B18" s="16" t="n">
        <v>275.7964</v>
      </c>
      <c r="C18" s="16" t="n">
        <v>310.106</v>
      </c>
      <c r="D18" s="16" t="n">
        <v>311.4256</v>
      </c>
      <c r="E18" s="16" t="n">
        <v>312.7452</v>
      </c>
      <c r="F18" s="16" t="n">
        <v>311.4256</v>
      </c>
      <c r="G18" s="16" t="n">
        <v>311.4256</v>
      </c>
      <c r="H18" s="16" t="n">
        <v>311.4256</v>
      </c>
      <c r="I18" s="16" t="n">
        <v>310.106</v>
      </c>
    </row>
    <row r="19">
      <c r="A19" s="15" t="inlineStr">
        <is>
          <t>2018</t>
        </is>
      </c>
      <c r="B19" s="16" t="n">
        <v>288.9924</v>
      </c>
      <c r="C19" s="16" t="n">
        <v>324.6216</v>
      </c>
      <c r="D19" s="16" t="n">
        <v>324.6216</v>
      </c>
      <c r="E19" s="16" t="n">
        <v>324.6216</v>
      </c>
      <c r="F19" s="16" t="n">
        <v>325.9412</v>
      </c>
      <c r="G19" s="16" t="n">
        <v>325.9412</v>
      </c>
      <c r="H19" s="16" t="n">
        <v>325.9412</v>
      </c>
    </row>
    <row r="20">
      <c r="A20" s="15" t="inlineStr">
        <is>
          <t>2019</t>
        </is>
      </c>
      <c r="B20" s="16" t="n">
        <v>314.0648</v>
      </c>
      <c r="C20" s="16" t="n">
        <v>358.9312</v>
      </c>
      <c r="D20" s="16" t="n">
        <v>358.9312</v>
      </c>
      <c r="E20" s="16" t="n">
        <v>358.9312</v>
      </c>
      <c r="F20" s="16" t="n">
        <v>358.9312</v>
      </c>
      <c r="G20" s="16" t="n">
        <v>357.6116</v>
      </c>
    </row>
    <row r="21">
      <c r="A21" s="15" t="inlineStr">
        <is>
          <t>2020</t>
        </is>
      </c>
      <c r="B21" s="16" t="n">
        <v>349.694</v>
      </c>
      <c r="C21" s="16" t="n">
        <v>370.8076</v>
      </c>
      <c r="D21" s="16" t="n">
        <v>370.8076</v>
      </c>
      <c r="E21" s="16" t="n">
        <v>370.8076</v>
      </c>
      <c r="F21" s="16" t="n">
        <v>370.8076</v>
      </c>
    </row>
    <row r="22">
      <c r="A22" s="15" t="inlineStr">
        <is>
          <t>2021</t>
        </is>
      </c>
      <c r="B22" s="16" t="n">
        <v>288.9924</v>
      </c>
      <c r="C22" s="16" t="n">
        <v>329.9</v>
      </c>
      <c r="D22" s="16" t="n">
        <v>329.9</v>
      </c>
      <c r="E22" s="16" t="n">
        <v>329.9</v>
      </c>
    </row>
    <row r="23">
      <c r="A23" s="15" t="inlineStr">
        <is>
          <t>2022</t>
        </is>
      </c>
      <c r="B23" s="16" t="n">
        <v>261.2808</v>
      </c>
      <c r="C23" s="16" t="n">
        <v>298.2296</v>
      </c>
      <c r="D23" s="16" t="n">
        <v>298.2296</v>
      </c>
    </row>
    <row r="24">
      <c r="A24" s="15" t="inlineStr">
        <is>
          <t>2023</t>
        </is>
      </c>
      <c r="B24" s="16" t="n">
        <v>273.1572</v>
      </c>
      <c r="C24" s="16" t="n">
        <v>304.8276</v>
      </c>
    </row>
    <row r="25">
      <c r="A25" s="15" t="inlineStr">
        <is>
          <t>2024</t>
        </is>
      </c>
      <c r="B25" s="16" t="n">
        <v>256.0024</v>
      </c>
    </row>
    <row r="26"/>
    <row r="27">
      <c r="A27" s="8" t="inlineStr">
        <is>
          <t>Period</t>
        </is>
      </c>
      <c r="B27" s="8" t="inlineStr">
        <is>
          <t>11-23</t>
        </is>
      </c>
      <c r="C27" s="8" t="inlineStr">
        <is>
          <t>23-35</t>
        </is>
      </c>
      <c r="D27" s="8" t="inlineStr">
        <is>
          <t>35-47</t>
        </is>
      </c>
      <c r="E27" s="8" t="inlineStr">
        <is>
          <t>47-59</t>
        </is>
      </c>
      <c r="F27" s="8" t="inlineStr">
        <is>
          <t>59-71</t>
        </is>
      </c>
      <c r="G27" s="8" t="inlineStr">
        <is>
          <t>71-83</t>
        </is>
      </c>
      <c r="H27" s="8" t="inlineStr">
        <is>
          <t>83-95</t>
        </is>
      </c>
      <c r="I27" s="8" t="inlineStr">
        <is>
          <t>95-107</t>
        </is>
      </c>
      <c r="J27" s="8" t="inlineStr">
        <is>
          <t>107-119</t>
        </is>
      </c>
      <c r="K27" s="8" t="inlineStr">
        <is>
          <t>119-131</t>
        </is>
      </c>
      <c r="L27" s="8" t="inlineStr">
        <is>
          <t>131-143</t>
        </is>
      </c>
      <c r="M27" s="8" t="inlineStr">
        <is>
          <t>143-155</t>
        </is>
      </c>
      <c r="N27" s="8" t="inlineStr">
        <is>
          <t>155-167</t>
        </is>
      </c>
      <c r="O27" s="8" t="inlineStr">
        <is>
          <t>167-179</t>
        </is>
      </c>
      <c r="P27" s="8" t="inlineStr">
        <is>
          <t>179-191</t>
        </is>
      </c>
      <c r="Q27" s="8" t="inlineStr">
        <is>
          <t>191-203</t>
        </is>
      </c>
      <c r="R27" s="8" t="inlineStr">
        <is>
          <t>203-215</t>
        </is>
      </c>
      <c r="S27" s="8" t="inlineStr">
        <is>
          <t>215-227</t>
        </is>
      </c>
      <c r="T27" s="8" t="inlineStr">
        <is>
          <t>227-239</t>
        </is>
      </c>
      <c r="U27" s="8" t="inlineStr">
        <is>
          <t>239-251</t>
        </is>
      </c>
      <c r="V27" s="8" t="inlineStr">
        <is>
          <t>251-263</t>
        </is>
      </c>
      <c r="W27" s="8" t="inlineStr">
        <is>
          <t>263-275</t>
        </is>
      </c>
      <c r="X27" s="8" t="inlineStr">
        <is>
          <t>275-287</t>
        </is>
      </c>
    </row>
    <row r="28">
      <c r="A28" s="15" t="inlineStr">
        <is>
          <t>2001</t>
        </is>
      </c>
      <c r="B28" s="17">
        <f>IFERROR(IF(C2="","",C2/B2),"")</f>
        <v/>
      </c>
      <c r="C28" s="17">
        <f>IFERROR(IF(D2="","",D2/C2),"")</f>
        <v/>
      </c>
      <c r="D28" s="17">
        <f>IFERROR(IF(E2="","",E2/D2),"")</f>
        <v/>
      </c>
      <c r="E28" s="17">
        <f>IFERROR(IF(F2="","",F2/E2),"")</f>
        <v/>
      </c>
      <c r="F28" s="17">
        <f>IFERROR(IF(G2="","",G2/F2),"")</f>
        <v/>
      </c>
      <c r="G28" s="17">
        <f>IFERROR(IF(H2="","",H2/G2),"")</f>
        <v/>
      </c>
      <c r="H28" s="17">
        <f>IFERROR(IF(I2="","",I2/H2),"")</f>
        <v/>
      </c>
      <c r="I28" s="17">
        <f>IFERROR(IF(J2="","",J2/I2),"")</f>
        <v/>
      </c>
      <c r="J28" s="17">
        <f>IFERROR(IF(K2="","",K2/J2),"")</f>
        <v/>
      </c>
      <c r="K28" s="17">
        <f>IFERROR(IF(L2="","",L2/K2),"")</f>
        <v/>
      </c>
      <c r="L28" s="17">
        <f>IFERROR(IF(M2="","",M2/L2),"")</f>
        <v/>
      </c>
      <c r="M28" s="17">
        <f>IFERROR(IF(N2="","",N2/M2),"")</f>
        <v/>
      </c>
      <c r="N28" s="17">
        <f>IFERROR(IF(O2="","",O2/N2),"")</f>
        <v/>
      </c>
      <c r="O28" s="17">
        <f>IFERROR(IF(P2="","",P2/O2),"")</f>
        <v/>
      </c>
      <c r="P28" s="17">
        <f>IFERROR(IF(Q2="","",Q2/P2),"")</f>
        <v/>
      </c>
      <c r="Q28" s="17">
        <f>IFERROR(IF(R2="","",R2/Q2),"")</f>
        <v/>
      </c>
      <c r="R28" s="17">
        <f>IFERROR(IF(S2="","",S2/R2),"")</f>
        <v/>
      </c>
      <c r="S28" s="17">
        <f>IFERROR(IF(T2="","",T2/S2),"")</f>
        <v/>
      </c>
      <c r="T28" s="17">
        <f>IFERROR(IF(U2="","",U2/T2),"")</f>
        <v/>
      </c>
      <c r="U28" s="17">
        <f>IFERROR(IF(V2="","",V2/U2),"")</f>
        <v/>
      </c>
      <c r="V28" s="17">
        <f>IFERROR(IF(W2="","",W2/V2),"")</f>
        <v/>
      </c>
      <c r="W28" s="17">
        <f>IFERROR(IF(X2="","",X2/W2),"")</f>
        <v/>
      </c>
      <c r="X28" s="17">
        <f>IFERROR(IF(Y2="","",Y2/X2),"")</f>
        <v/>
      </c>
    </row>
    <row r="29">
      <c r="A29" s="15" t="inlineStr">
        <is>
          <t>2002</t>
        </is>
      </c>
      <c r="B29" s="17">
        <f>IFERROR(IF(C3="","",C3/B3),"")</f>
        <v/>
      </c>
      <c r="C29" s="17">
        <f>IFERROR(IF(D3="","",D3/C3),"")</f>
        <v/>
      </c>
      <c r="D29" s="17">
        <f>IFERROR(IF(E3="","",E3/D3),"")</f>
        <v/>
      </c>
      <c r="E29" s="17">
        <f>IFERROR(IF(F3="","",F3/E3),"")</f>
        <v/>
      </c>
      <c r="F29" s="17">
        <f>IFERROR(IF(G3="","",G3/F3),"")</f>
        <v/>
      </c>
      <c r="G29" s="17">
        <f>IFERROR(IF(H3="","",H3/G3),"")</f>
        <v/>
      </c>
      <c r="H29" s="17">
        <f>IFERROR(IF(I3="","",I3/H3),"")</f>
        <v/>
      </c>
      <c r="I29" s="17">
        <f>IFERROR(IF(J3="","",J3/I3),"")</f>
        <v/>
      </c>
      <c r="J29" s="17">
        <f>IFERROR(IF(K3="","",K3/J3),"")</f>
        <v/>
      </c>
      <c r="K29" s="17">
        <f>IFERROR(IF(L3="","",L3/K3),"")</f>
        <v/>
      </c>
      <c r="L29" s="17">
        <f>IFERROR(IF(M3="","",M3/L3),"")</f>
        <v/>
      </c>
      <c r="M29" s="17">
        <f>IFERROR(IF(N3="","",N3/M3),"")</f>
        <v/>
      </c>
      <c r="N29" s="17">
        <f>IFERROR(IF(O3="","",O3/N3),"")</f>
        <v/>
      </c>
      <c r="O29" s="17">
        <f>IFERROR(IF(P3="","",P3/O3),"")</f>
        <v/>
      </c>
      <c r="P29" s="17">
        <f>IFERROR(IF(Q3="","",Q3/P3),"")</f>
        <v/>
      </c>
      <c r="Q29" s="17">
        <f>IFERROR(IF(R3="","",R3/Q3),"")</f>
        <v/>
      </c>
      <c r="R29" s="17">
        <f>IFERROR(IF(S3="","",S3/R3),"")</f>
        <v/>
      </c>
      <c r="S29" s="17">
        <f>IFERROR(IF(T3="","",T3/S3),"")</f>
        <v/>
      </c>
      <c r="T29" s="17">
        <f>IFERROR(IF(U3="","",U3/T3),"")</f>
        <v/>
      </c>
      <c r="U29" s="17">
        <f>IFERROR(IF(V3="","",V3/U3),"")</f>
        <v/>
      </c>
      <c r="V29" s="17">
        <f>IFERROR(IF(W3="","",W3/V3),"")</f>
        <v/>
      </c>
      <c r="W29" s="17">
        <f>IFERROR(IF(X3="","",X3/W3),"")</f>
        <v/>
      </c>
      <c r="X29" s="17">
        <f>IFERROR(IF(Y3="","",Y3/X3),"")</f>
        <v/>
      </c>
    </row>
    <row r="30">
      <c r="A30" s="15" t="inlineStr">
        <is>
          <t>2003</t>
        </is>
      </c>
      <c r="B30" s="17">
        <f>IFERROR(IF(C4="","",C4/B4),"")</f>
        <v/>
      </c>
      <c r="C30" s="17">
        <f>IFERROR(IF(D4="","",D4/C4),"")</f>
        <v/>
      </c>
      <c r="D30" s="17">
        <f>IFERROR(IF(E4="","",E4/D4),"")</f>
        <v/>
      </c>
      <c r="E30" s="17">
        <f>IFERROR(IF(F4="","",F4/E4),"")</f>
        <v/>
      </c>
      <c r="F30" s="17">
        <f>IFERROR(IF(G4="","",G4/F4),"")</f>
        <v/>
      </c>
      <c r="G30" s="17">
        <f>IFERROR(IF(H4="","",H4/G4),"")</f>
        <v/>
      </c>
      <c r="H30" s="17">
        <f>IFERROR(IF(I4="","",I4/H4),"")</f>
        <v/>
      </c>
      <c r="I30" s="17">
        <f>IFERROR(IF(J4="","",J4/I4),"")</f>
        <v/>
      </c>
      <c r="J30" s="17">
        <f>IFERROR(IF(K4="","",K4/J4),"")</f>
        <v/>
      </c>
      <c r="K30" s="17">
        <f>IFERROR(IF(L4="","",L4/K4),"")</f>
        <v/>
      </c>
      <c r="L30" s="17">
        <f>IFERROR(IF(M4="","",M4/L4),"")</f>
        <v/>
      </c>
      <c r="M30" s="17">
        <f>IFERROR(IF(N4="","",N4/M4),"")</f>
        <v/>
      </c>
      <c r="N30" s="17">
        <f>IFERROR(IF(O4="","",O4/N4),"")</f>
        <v/>
      </c>
      <c r="O30" s="17">
        <f>IFERROR(IF(P4="","",P4/O4),"")</f>
        <v/>
      </c>
      <c r="P30" s="17">
        <f>IFERROR(IF(Q4="","",Q4/P4),"")</f>
        <v/>
      </c>
      <c r="Q30" s="17">
        <f>IFERROR(IF(R4="","",R4/Q4),"")</f>
        <v/>
      </c>
      <c r="R30" s="17">
        <f>IFERROR(IF(S4="","",S4/R4),"")</f>
        <v/>
      </c>
      <c r="S30" s="17">
        <f>IFERROR(IF(T4="","",T4/S4),"")</f>
        <v/>
      </c>
      <c r="T30" s="17">
        <f>IFERROR(IF(U4="","",U4/T4),"")</f>
        <v/>
      </c>
      <c r="U30" s="17">
        <f>IFERROR(IF(V4="","",V4/U4),"")</f>
        <v/>
      </c>
      <c r="V30" s="17">
        <f>IFERROR(IF(W4="","",W4/V4),"")</f>
        <v/>
      </c>
      <c r="W30" s="17">
        <f>IFERROR(IF(X4="","",X4/W4),"")</f>
        <v/>
      </c>
      <c r="X30" s="17">
        <f>IFERROR(IF(Y4="","",Y4/X4),"")</f>
        <v/>
      </c>
    </row>
    <row r="31">
      <c r="A31" s="15" t="inlineStr">
        <is>
          <t>2004</t>
        </is>
      </c>
      <c r="B31" s="17">
        <f>IFERROR(IF(C5="","",C5/B5),"")</f>
        <v/>
      </c>
      <c r="C31" s="17">
        <f>IFERROR(IF(D5="","",D5/C5),"")</f>
        <v/>
      </c>
      <c r="D31" s="17">
        <f>IFERROR(IF(E5="","",E5/D5),"")</f>
        <v/>
      </c>
      <c r="E31" s="17">
        <f>IFERROR(IF(F5="","",F5/E5),"")</f>
        <v/>
      </c>
      <c r="F31" s="17">
        <f>IFERROR(IF(G5="","",G5/F5),"")</f>
        <v/>
      </c>
      <c r="G31" s="17">
        <f>IFERROR(IF(H5="","",H5/G5),"")</f>
        <v/>
      </c>
      <c r="H31" s="17">
        <f>IFERROR(IF(I5="","",I5/H5),"")</f>
        <v/>
      </c>
      <c r="I31" s="17">
        <f>IFERROR(IF(J5="","",J5/I5),"")</f>
        <v/>
      </c>
      <c r="J31" s="17">
        <f>IFERROR(IF(K5="","",K5/J5),"")</f>
        <v/>
      </c>
      <c r="K31" s="17">
        <f>IFERROR(IF(L5="","",L5/K5),"")</f>
        <v/>
      </c>
      <c r="L31" s="17">
        <f>IFERROR(IF(M5="","",M5/L5),"")</f>
        <v/>
      </c>
      <c r="M31" s="17">
        <f>IFERROR(IF(N5="","",N5/M5),"")</f>
        <v/>
      </c>
      <c r="N31" s="17">
        <f>IFERROR(IF(O5="","",O5/N5),"")</f>
        <v/>
      </c>
      <c r="O31" s="17">
        <f>IFERROR(IF(P5="","",P5/O5),"")</f>
        <v/>
      </c>
      <c r="P31" s="17">
        <f>IFERROR(IF(Q5="","",Q5/P5),"")</f>
        <v/>
      </c>
      <c r="Q31" s="17">
        <f>IFERROR(IF(R5="","",R5/Q5),"")</f>
        <v/>
      </c>
      <c r="R31" s="17">
        <f>IFERROR(IF(S5="","",S5/R5),"")</f>
        <v/>
      </c>
      <c r="S31" s="17">
        <f>IFERROR(IF(T5="","",T5/S5),"")</f>
        <v/>
      </c>
      <c r="T31" s="17">
        <f>IFERROR(IF(U5="","",U5/T5),"")</f>
        <v/>
      </c>
      <c r="U31" s="17">
        <f>IFERROR(IF(V5="","",V5/U5),"")</f>
        <v/>
      </c>
      <c r="V31" s="17">
        <f>IFERROR(IF(W5="","",W5/V5),"")</f>
        <v/>
      </c>
      <c r="W31" s="17">
        <f>IFERROR(IF(X5="","",X5/W5),"")</f>
        <v/>
      </c>
      <c r="X31" s="17">
        <f>IFERROR(IF(Y5="","",Y5/X5),"")</f>
        <v/>
      </c>
    </row>
    <row r="32">
      <c r="A32" s="15" t="inlineStr">
        <is>
          <t>2005</t>
        </is>
      </c>
      <c r="B32" s="17">
        <f>IFERROR(IF(C6="","",C6/B6),"")</f>
        <v/>
      </c>
      <c r="C32" s="17">
        <f>IFERROR(IF(D6="","",D6/C6),"")</f>
        <v/>
      </c>
      <c r="D32" s="17">
        <f>IFERROR(IF(E6="","",E6/D6),"")</f>
        <v/>
      </c>
      <c r="E32" s="17">
        <f>IFERROR(IF(F6="","",F6/E6),"")</f>
        <v/>
      </c>
      <c r="F32" s="17">
        <f>IFERROR(IF(G6="","",G6/F6),"")</f>
        <v/>
      </c>
      <c r="G32" s="17">
        <f>IFERROR(IF(H6="","",H6/G6),"")</f>
        <v/>
      </c>
      <c r="H32" s="17">
        <f>IFERROR(IF(I6="","",I6/H6),"")</f>
        <v/>
      </c>
      <c r="I32" s="17">
        <f>IFERROR(IF(J6="","",J6/I6),"")</f>
        <v/>
      </c>
      <c r="J32" s="17">
        <f>IFERROR(IF(K6="","",K6/J6),"")</f>
        <v/>
      </c>
      <c r="K32" s="17">
        <f>IFERROR(IF(L6="","",L6/K6),"")</f>
        <v/>
      </c>
      <c r="L32" s="17">
        <f>IFERROR(IF(M6="","",M6/L6),"")</f>
        <v/>
      </c>
      <c r="M32" s="17">
        <f>IFERROR(IF(N6="","",N6/M6),"")</f>
        <v/>
      </c>
      <c r="N32" s="17">
        <f>IFERROR(IF(O6="","",O6/N6),"")</f>
        <v/>
      </c>
      <c r="O32" s="17">
        <f>IFERROR(IF(P6="","",P6/O6),"")</f>
        <v/>
      </c>
      <c r="P32" s="17">
        <f>IFERROR(IF(Q6="","",Q6/P6),"")</f>
        <v/>
      </c>
      <c r="Q32" s="17">
        <f>IFERROR(IF(R6="","",R6/Q6),"")</f>
        <v/>
      </c>
      <c r="R32" s="17">
        <f>IFERROR(IF(S6="","",S6/R6),"")</f>
        <v/>
      </c>
      <c r="S32" s="17">
        <f>IFERROR(IF(T6="","",T6/S6),"")</f>
        <v/>
      </c>
      <c r="T32" s="17">
        <f>IFERROR(IF(U6="","",U6/T6),"")</f>
        <v/>
      </c>
      <c r="U32" s="17">
        <f>IFERROR(IF(V6="","",V6/U6),"")</f>
        <v/>
      </c>
      <c r="V32" s="17">
        <f>IFERROR(IF(W6="","",W6/V6),"")</f>
        <v/>
      </c>
      <c r="W32" s="17">
        <f>IFERROR(IF(X6="","",X6/W6),"")</f>
        <v/>
      </c>
      <c r="X32" s="17">
        <f>IFERROR(IF(Y6="","",Y6/X6),"")</f>
        <v/>
      </c>
    </row>
    <row r="33">
      <c r="A33" s="15" t="inlineStr">
        <is>
          <t>2006</t>
        </is>
      </c>
      <c r="B33" s="17">
        <f>IFERROR(IF(C7="","",C7/B7),"")</f>
        <v/>
      </c>
      <c r="C33" s="17">
        <f>IFERROR(IF(D7="","",D7/C7),"")</f>
        <v/>
      </c>
      <c r="D33" s="17">
        <f>IFERROR(IF(E7="","",E7/D7),"")</f>
        <v/>
      </c>
      <c r="E33" s="17">
        <f>IFERROR(IF(F7="","",F7/E7),"")</f>
        <v/>
      </c>
      <c r="F33" s="17">
        <f>IFERROR(IF(G7="","",G7/F7),"")</f>
        <v/>
      </c>
      <c r="G33" s="17">
        <f>IFERROR(IF(H7="","",H7/G7),"")</f>
        <v/>
      </c>
      <c r="H33" s="17">
        <f>IFERROR(IF(I7="","",I7/H7),"")</f>
        <v/>
      </c>
      <c r="I33" s="17">
        <f>IFERROR(IF(J7="","",J7/I7),"")</f>
        <v/>
      </c>
      <c r="J33" s="17">
        <f>IFERROR(IF(K7="","",K7/J7),"")</f>
        <v/>
      </c>
      <c r="K33" s="17">
        <f>IFERROR(IF(L7="","",L7/K7),"")</f>
        <v/>
      </c>
      <c r="L33" s="17">
        <f>IFERROR(IF(M7="","",M7/L7),"")</f>
        <v/>
      </c>
      <c r="M33" s="17">
        <f>IFERROR(IF(N7="","",N7/M7),"")</f>
        <v/>
      </c>
      <c r="N33" s="17">
        <f>IFERROR(IF(O7="","",O7/N7),"")</f>
        <v/>
      </c>
      <c r="O33" s="17">
        <f>IFERROR(IF(P7="","",P7/O7),"")</f>
        <v/>
      </c>
      <c r="P33" s="17">
        <f>IFERROR(IF(Q7="","",Q7/P7),"")</f>
        <v/>
      </c>
      <c r="Q33" s="17">
        <f>IFERROR(IF(R7="","",R7/Q7),"")</f>
        <v/>
      </c>
      <c r="R33" s="17">
        <f>IFERROR(IF(S7="","",S7/R7),"")</f>
        <v/>
      </c>
      <c r="S33" s="17">
        <f>IFERROR(IF(T7="","",T7/S7),"")</f>
        <v/>
      </c>
      <c r="T33" s="17">
        <f>IFERROR(IF(U7="","",U7/T7),"")</f>
        <v/>
      </c>
      <c r="U33" s="17">
        <f>IFERROR(IF(V7="","",V7/U7),"")</f>
        <v/>
      </c>
      <c r="V33" s="17">
        <f>IFERROR(IF(W7="","",W7/V7),"")</f>
        <v/>
      </c>
      <c r="W33" s="17">
        <f>IFERROR(IF(X7="","",X7/W7),"")</f>
        <v/>
      </c>
      <c r="X33" s="17">
        <f>IFERROR(IF(Y7="","",Y7/X7),"")</f>
        <v/>
      </c>
    </row>
    <row r="34">
      <c r="A34" s="15" t="inlineStr">
        <is>
          <t>2007</t>
        </is>
      </c>
      <c r="B34" s="17">
        <f>IFERROR(IF(C8="","",C8/B8),"")</f>
        <v/>
      </c>
      <c r="C34" s="17">
        <f>IFERROR(IF(D8="","",D8/C8),"")</f>
        <v/>
      </c>
      <c r="D34" s="17">
        <f>IFERROR(IF(E8="","",E8/D8),"")</f>
        <v/>
      </c>
      <c r="E34" s="17">
        <f>IFERROR(IF(F8="","",F8/E8),"")</f>
        <v/>
      </c>
      <c r="F34" s="17">
        <f>IFERROR(IF(G8="","",G8/F8),"")</f>
        <v/>
      </c>
      <c r="G34" s="17">
        <f>IFERROR(IF(H8="","",H8/G8),"")</f>
        <v/>
      </c>
      <c r="H34" s="17">
        <f>IFERROR(IF(I8="","",I8/H8),"")</f>
        <v/>
      </c>
      <c r="I34" s="17">
        <f>IFERROR(IF(J8="","",J8/I8),"")</f>
        <v/>
      </c>
      <c r="J34" s="17">
        <f>IFERROR(IF(K8="","",K8/J8),"")</f>
        <v/>
      </c>
      <c r="K34" s="17">
        <f>IFERROR(IF(L8="","",L8/K8),"")</f>
        <v/>
      </c>
      <c r="L34" s="17">
        <f>IFERROR(IF(M8="","",M8/L8),"")</f>
        <v/>
      </c>
      <c r="M34" s="17">
        <f>IFERROR(IF(N8="","",N8/M8),"")</f>
        <v/>
      </c>
      <c r="N34" s="17">
        <f>IFERROR(IF(O8="","",O8/N8),"")</f>
        <v/>
      </c>
      <c r="O34" s="17">
        <f>IFERROR(IF(P8="","",P8/O8),"")</f>
        <v/>
      </c>
      <c r="P34" s="17">
        <f>IFERROR(IF(Q8="","",Q8/P8),"")</f>
        <v/>
      </c>
      <c r="Q34" s="17">
        <f>IFERROR(IF(R8="","",R8/Q8),"")</f>
        <v/>
      </c>
      <c r="R34" s="17">
        <f>IFERROR(IF(S8="","",S8/R8),"")</f>
        <v/>
      </c>
      <c r="S34" s="17">
        <f>IFERROR(IF(T8="","",T8/S8),"")</f>
        <v/>
      </c>
      <c r="T34" s="17">
        <f>IFERROR(IF(U8="","",U8/T8),"")</f>
        <v/>
      </c>
      <c r="U34" s="17">
        <f>IFERROR(IF(V8="","",V8/U8),"")</f>
        <v/>
      </c>
      <c r="V34" s="17">
        <f>IFERROR(IF(W8="","",W8/V8),"")</f>
        <v/>
      </c>
      <c r="W34" s="17">
        <f>IFERROR(IF(X8="","",X8/W8),"")</f>
        <v/>
      </c>
      <c r="X34" s="17">
        <f>IFERROR(IF(Y8="","",Y8/X8),"")</f>
        <v/>
      </c>
    </row>
    <row r="35">
      <c r="A35" s="15" t="inlineStr">
        <is>
          <t>2008</t>
        </is>
      </c>
      <c r="B35" s="17">
        <f>IFERROR(IF(C9="","",C9/B9),"")</f>
        <v/>
      </c>
      <c r="C35" s="17">
        <f>IFERROR(IF(D9="","",D9/C9),"")</f>
        <v/>
      </c>
      <c r="D35" s="17">
        <f>IFERROR(IF(E9="","",E9/D9),"")</f>
        <v/>
      </c>
      <c r="E35" s="17">
        <f>IFERROR(IF(F9="","",F9/E9),"")</f>
        <v/>
      </c>
      <c r="F35" s="17">
        <f>IFERROR(IF(G9="","",G9/F9),"")</f>
        <v/>
      </c>
      <c r="G35" s="17">
        <f>IFERROR(IF(H9="","",H9/G9),"")</f>
        <v/>
      </c>
      <c r="H35" s="17">
        <f>IFERROR(IF(I9="","",I9/H9),"")</f>
        <v/>
      </c>
      <c r="I35" s="17">
        <f>IFERROR(IF(J9="","",J9/I9),"")</f>
        <v/>
      </c>
      <c r="J35" s="17">
        <f>IFERROR(IF(K9="","",K9/J9),"")</f>
        <v/>
      </c>
      <c r="K35" s="17">
        <f>IFERROR(IF(L9="","",L9/K9),"")</f>
        <v/>
      </c>
      <c r="L35" s="17">
        <f>IFERROR(IF(M9="","",M9/L9),"")</f>
        <v/>
      </c>
      <c r="M35" s="17">
        <f>IFERROR(IF(N9="","",N9/M9),"")</f>
        <v/>
      </c>
      <c r="N35" s="17">
        <f>IFERROR(IF(O9="","",O9/N9),"")</f>
        <v/>
      </c>
      <c r="O35" s="17">
        <f>IFERROR(IF(P9="","",P9/O9),"")</f>
        <v/>
      </c>
      <c r="P35" s="17">
        <f>IFERROR(IF(Q9="","",Q9/P9),"")</f>
        <v/>
      </c>
      <c r="Q35" s="17">
        <f>IFERROR(IF(R9="","",R9/Q9),"")</f>
        <v/>
      </c>
      <c r="R35" s="17">
        <f>IFERROR(IF(S9="","",S9/R9),"")</f>
        <v/>
      </c>
      <c r="S35" s="17">
        <f>IFERROR(IF(T9="","",T9/S9),"")</f>
        <v/>
      </c>
      <c r="T35" s="17">
        <f>IFERROR(IF(U9="","",U9/T9),"")</f>
        <v/>
      </c>
      <c r="U35" s="17">
        <f>IFERROR(IF(V9="","",V9/U9),"")</f>
        <v/>
      </c>
      <c r="V35" s="17">
        <f>IFERROR(IF(W9="","",W9/V9),"")</f>
        <v/>
      </c>
      <c r="W35" s="17">
        <f>IFERROR(IF(X9="","",X9/W9),"")</f>
        <v/>
      </c>
      <c r="X35" s="17">
        <f>IFERROR(IF(Y9="","",Y9/X9),"")</f>
        <v/>
      </c>
    </row>
    <row r="36">
      <c r="A36" s="15" t="inlineStr">
        <is>
          <t>2009</t>
        </is>
      </c>
      <c r="B36" s="17">
        <f>IFERROR(IF(C10="","",C10/B10),"")</f>
        <v/>
      </c>
      <c r="C36" s="17">
        <f>IFERROR(IF(D10="","",D10/C10),"")</f>
        <v/>
      </c>
      <c r="D36" s="17">
        <f>IFERROR(IF(E10="","",E10/D10),"")</f>
        <v/>
      </c>
      <c r="E36" s="17">
        <f>IFERROR(IF(F10="","",F10/E10),"")</f>
        <v/>
      </c>
      <c r="F36" s="17">
        <f>IFERROR(IF(G10="","",G10/F10),"")</f>
        <v/>
      </c>
      <c r="G36" s="17">
        <f>IFERROR(IF(H10="","",H10/G10),"")</f>
        <v/>
      </c>
      <c r="H36" s="17">
        <f>IFERROR(IF(I10="","",I10/H10),"")</f>
        <v/>
      </c>
      <c r="I36" s="17">
        <f>IFERROR(IF(J10="","",J10/I10),"")</f>
        <v/>
      </c>
      <c r="J36" s="17">
        <f>IFERROR(IF(K10="","",K10/J10),"")</f>
        <v/>
      </c>
      <c r="K36" s="17">
        <f>IFERROR(IF(L10="","",L10/K10),"")</f>
        <v/>
      </c>
      <c r="L36" s="17">
        <f>IFERROR(IF(M10="","",M10/L10),"")</f>
        <v/>
      </c>
      <c r="M36" s="17">
        <f>IFERROR(IF(N10="","",N10/M10),"")</f>
        <v/>
      </c>
      <c r="N36" s="17">
        <f>IFERROR(IF(O10="","",O10/N10),"")</f>
        <v/>
      </c>
      <c r="O36" s="17">
        <f>IFERROR(IF(P10="","",P10/O10),"")</f>
        <v/>
      </c>
      <c r="P36" s="17">
        <f>IFERROR(IF(Q10="","",Q10/P10),"")</f>
        <v/>
      </c>
      <c r="Q36" s="17">
        <f>IFERROR(IF(R10="","",R10/Q10),"")</f>
        <v/>
      </c>
      <c r="R36" s="17">
        <f>IFERROR(IF(S10="","",S10/R10),"")</f>
        <v/>
      </c>
      <c r="S36" s="17">
        <f>IFERROR(IF(T10="","",T10/S10),"")</f>
        <v/>
      </c>
      <c r="T36" s="17">
        <f>IFERROR(IF(U10="","",U10/T10),"")</f>
        <v/>
      </c>
      <c r="U36" s="17">
        <f>IFERROR(IF(V10="","",V10/U10),"")</f>
        <v/>
      </c>
      <c r="V36" s="17">
        <f>IFERROR(IF(W10="","",W10/V10),"")</f>
        <v/>
      </c>
      <c r="W36" s="17">
        <f>IFERROR(IF(X10="","",X10/W10),"")</f>
        <v/>
      </c>
      <c r="X36" s="17">
        <f>IFERROR(IF(Y10="","",Y10/X10),"")</f>
        <v/>
      </c>
    </row>
    <row r="37">
      <c r="A37" s="15" t="inlineStr">
        <is>
          <t>2010</t>
        </is>
      </c>
      <c r="B37" s="17">
        <f>IFERROR(IF(C11="","",C11/B11),"")</f>
        <v/>
      </c>
      <c r="C37" s="17">
        <f>IFERROR(IF(D11="","",D11/C11),"")</f>
        <v/>
      </c>
      <c r="D37" s="17">
        <f>IFERROR(IF(E11="","",E11/D11),"")</f>
        <v/>
      </c>
      <c r="E37" s="17">
        <f>IFERROR(IF(F11="","",F11/E11),"")</f>
        <v/>
      </c>
      <c r="F37" s="17">
        <f>IFERROR(IF(G11="","",G11/F11),"")</f>
        <v/>
      </c>
      <c r="G37" s="17">
        <f>IFERROR(IF(H11="","",H11/G11),"")</f>
        <v/>
      </c>
      <c r="H37" s="17">
        <f>IFERROR(IF(I11="","",I11/H11),"")</f>
        <v/>
      </c>
      <c r="I37" s="17">
        <f>IFERROR(IF(J11="","",J11/I11),"")</f>
        <v/>
      </c>
      <c r="J37" s="17">
        <f>IFERROR(IF(K11="","",K11/J11),"")</f>
        <v/>
      </c>
      <c r="K37" s="17">
        <f>IFERROR(IF(L11="","",L11/K11),"")</f>
        <v/>
      </c>
      <c r="L37" s="17">
        <f>IFERROR(IF(M11="","",M11/L11),"")</f>
        <v/>
      </c>
      <c r="M37" s="17">
        <f>IFERROR(IF(N11="","",N11/M11),"")</f>
        <v/>
      </c>
      <c r="N37" s="17">
        <f>IFERROR(IF(O11="","",O11/N11),"")</f>
        <v/>
      </c>
      <c r="O37" s="17">
        <f>IFERROR(IF(P11="","",P11/O11),"")</f>
        <v/>
      </c>
      <c r="P37" s="17">
        <f>IFERROR(IF(Q11="","",Q11/P11),"")</f>
        <v/>
      </c>
      <c r="Q37" s="17">
        <f>IFERROR(IF(R11="","",R11/Q11),"")</f>
        <v/>
      </c>
      <c r="R37" s="17">
        <f>IFERROR(IF(S11="","",S11/R11),"")</f>
        <v/>
      </c>
      <c r="S37" s="17">
        <f>IFERROR(IF(T11="","",T11/S11),"")</f>
        <v/>
      </c>
      <c r="T37" s="17">
        <f>IFERROR(IF(U11="","",U11/T11),"")</f>
        <v/>
      </c>
      <c r="U37" s="17">
        <f>IFERROR(IF(V11="","",V11/U11),"")</f>
        <v/>
      </c>
      <c r="V37" s="17">
        <f>IFERROR(IF(W11="","",W11/V11),"")</f>
        <v/>
      </c>
      <c r="W37" s="17">
        <f>IFERROR(IF(X11="","",X11/W11),"")</f>
        <v/>
      </c>
      <c r="X37" s="17">
        <f>IFERROR(IF(Y11="","",Y11/X11),"")</f>
        <v/>
      </c>
    </row>
    <row r="38">
      <c r="A38" s="15" t="inlineStr">
        <is>
          <t>2011</t>
        </is>
      </c>
      <c r="B38" s="17">
        <f>IFERROR(IF(C12="","",C12/B12),"")</f>
        <v/>
      </c>
      <c r="C38" s="17">
        <f>IFERROR(IF(D12="","",D12/C12),"")</f>
        <v/>
      </c>
      <c r="D38" s="17">
        <f>IFERROR(IF(E12="","",E12/D12),"")</f>
        <v/>
      </c>
      <c r="E38" s="17">
        <f>IFERROR(IF(F12="","",F12/E12),"")</f>
        <v/>
      </c>
      <c r="F38" s="17">
        <f>IFERROR(IF(G12="","",G12/F12),"")</f>
        <v/>
      </c>
      <c r="G38" s="17">
        <f>IFERROR(IF(H12="","",H12/G12),"")</f>
        <v/>
      </c>
      <c r="H38" s="17">
        <f>IFERROR(IF(I12="","",I12/H12),"")</f>
        <v/>
      </c>
      <c r="I38" s="17">
        <f>IFERROR(IF(J12="","",J12/I12),"")</f>
        <v/>
      </c>
      <c r="J38" s="17">
        <f>IFERROR(IF(K12="","",K12/J12),"")</f>
        <v/>
      </c>
      <c r="K38" s="17">
        <f>IFERROR(IF(L12="","",L12/K12),"")</f>
        <v/>
      </c>
      <c r="L38" s="17">
        <f>IFERROR(IF(M12="","",M12/L12),"")</f>
        <v/>
      </c>
      <c r="M38" s="17">
        <f>IFERROR(IF(N12="","",N12/M12),"")</f>
        <v/>
      </c>
      <c r="N38" s="17">
        <f>IFERROR(IF(O12="","",O12/N12),"")</f>
        <v/>
      </c>
      <c r="O38" s="17">
        <f>IFERROR(IF(P12="","",P12/O12),"")</f>
        <v/>
      </c>
      <c r="P38" s="17">
        <f>IFERROR(IF(Q12="","",Q12/P12),"")</f>
        <v/>
      </c>
      <c r="Q38" s="17">
        <f>IFERROR(IF(R12="","",R12/Q12),"")</f>
        <v/>
      </c>
      <c r="R38" s="17">
        <f>IFERROR(IF(S12="","",S12/R12),"")</f>
        <v/>
      </c>
      <c r="S38" s="17">
        <f>IFERROR(IF(T12="","",T12/S12),"")</f>
        <v/>
      </c>
      <c r="T38" s="17">
        <f>IFERROR(IF(U12="","",U12/T12),"")</f>
        <v/>
      </c>
      <c r="U38" s="17">
        <f>IFERROR(IF(V12="","",V12/U12),"")</f>
        <v/>
      </c>
      <c r="V38" s="17">
        <f>IFERROR(IF(W12="","",W12/V12),"")</f>
        <v/>
      </c>
      <c r="W38" s="17">
        <f>IFERROR(IF(X12="","",X12/W12),"")</f>
        <v/>
      </c>
      <c r="X38" s="17">
        <f>IFERROR(IF(Y12="","",Y12/X12),"")</f>
        <v/>
      </c>
    </row>
    <row r="39">
      <c r="A39" s="15" t="inlineStr">
        <is>
          <t>2012</t>
        </is>
      </c>
      <c r="B39" s="17">
        <f>IFERROR(IF(C13="","",C13/B13),"")</f>
        <v/>
      </c>
      <c r="C39" s="17">
        <f>IFERROR(IF(D13="","",D13/C13),"")</f>
        <v/>
      </c>
      <c r="D39" s="17">
        <f>IFERROR(IF(E13="","",E13/D13),"")</f>
        <v/>
      </c>
      <c r="E39" s="17">
        <f>IFERROR(IF(F13="","",F13/E13),"")</f>
        <v/>
      </c>
      <c r="F39" s="17">
        <f>IFERROR(IF(G13="","",G13/F13),"")</f>
        <v/>
      </c>
      <c r="G39" s="17">
        <f>IFERROR(IF(H13="","",H13/G13),"")</f>
        <v/>
      </c>
      <c r="H39" s="17">
        <f>IFERROR(IF(I13="","",I13/H13),"")</f>
        <v/>
      </c>
      <c r="I39" s="17">
        <f>IFERROR(IF(J13="","",J13/I13),"")</f>
        <v/>
      </c>
      <c r="J39" s="17">
        <f>IFERROR(IF(K13="","",K13/J13),"")</f>
        <v/>
      </c>
      <c r="K39" s="17">
        <f>IFERROR(IF(L13="","",L13/K13),"")</f>
        <v/>
      </c>
      <c r="L39" s="17">
        <f>IFERROR(IF(M13="","",M13/L13),"")</f>
        <v/>
      </c>
      <c r="M39" s="17">
        <f>IFERROR(IF(N13="","",N13/M13),"")</f>
        <v/>
      </c>
      <c r="N39" s="17">
        <f>IFERROR(IF(O13="","",O13/N13),"")</f>
        <v/>
      </c>
      <c r="O39" s="17">
        <f>IFERROR(IF(P13="","",P13/O13),"")</f>
        <v/>
      </c>
      <c r="P39" s="17">
        <f>IFERROR(IF(Q13="","",Q13/P13),"")</f>
        <v/>
      </c>
      <c r="Q39" s="17">
        <f>IFERROR(IF(R13="","",R13/Q13),"")</f>
        <v/>
      </c>
      <c r="R39" s="17">
        <f>IFERROR(IF(S13="","",S13/R13),"")</f>
        <v/>
      </c>
      <c r="S39" s="17">
        <f>IFERROR(IF(T13="","",T13/S13),"")</f>
        <v/>
      </c>
      <c r="T39" s="17">
        <f>IFERROR(IF(U13="","",U13/T13),"")</f>
        <v/>
      </c>
      <c r="U39" s="17">
        <f>IFERROR(IF(V13="","",V13/U13),"")</f>
        <v/>
      </c>
      <c r="V39" s="17">
        <f>IFERROR(IF(W13="","",W13/V13),"")</f>
        <v/>
      </c>
      <c r="W39" s="17">
        <f>IFERROR(IF(X13="","",X13/W13),"")</f>
        <v/>
      </c>
      <c r="X39" s="17">
        <f>IFERROR(IF(Y13="","",Y13/X13),"")</f>
        <v/>
      </c>
    </row>
    <row r="40">
      <c r="A40" s="15" t="inlineStr">
        <is>
          <t>2013</t>
        </is>
      </c>
      <c r="B40" s="17">
        <f>IFERROR(IF(C14="","",C14/B14),"")</f>
        <v/>
      </c>
      <c r="C40" s="17">
        <f>IFERROR(IF(D14="","",D14/C14),"")</f>
        <v/>
      </c>
      <c r="D40" s="17">
        <f>IFERROR(IF(E14="","",E14/D14),"")</f>
        <v/>
      </c>
      <c r="E40" s="17">
        <f>IFERROR(IF(F14="","",F14/E14),"")</f>
        <v/>
      </c>
      <c r="F40" s="17">
        <f>IFERROR(IF(G14="","",G14/F14),"")</f>
        <v/>
      </c>
      <c r="G40" s="17">
        <f>IFERROR(IF(H14="","",H14/G14),"")</f>
        <v/>
      </c>
      <c r="H40" s="17">
        <f>IFERROR(IF(I14="","",I14/H14),"")</f>
        <v/>
      </c>
      <c r="I40" s="17">
        <f>IFERROR(IF(J14="","",J14/I14),"")</f>
        <v/>
      </c>
      <c r="J40" s="17">
        <f>IFERROR(IF(K14="","",K14/J14),"")</f>
        <v/>
      </c>
      <c r="K40" s="17">
        <f>IFERROR(IF(L14="","",L14/K14),"")</f>
        <v/>
      </c>
      <c r="L40" s="17">
        <f>IFERROR(IF(M14="","",M14/L14),"")</f>
        <v/>
      </c>
      <c r="M40" s="17">
        <f>IFERROR(IF(N14="","",N14/M14),"")</f>
        <v/>
      </c>
      <c r="N40" s="17">
        <f>IFERROR(IF(O14="","",O14/N14),"")</f>
        <v/>
      </c>
      <c r="O40" s="17">
        <f>IFERROR(IF(P14="","",P14/O14),"")</f>
        <v/>
      </c>
      <c r="P40" s="17">
        <f>IFERROR(IF(Q14="","",Q14/P14),"")</f>
        <v/>
      </c>
      <c r="Q40" s="17">
        <f>IFERROR(IF(R14="","",R14/Q14),"")</f>
        <v/>
      </c>
      <c r="R40" s="17">
        <f>IFERROR(IF(S14="","",S14/R14),"")</f>
        <v/>
      </c>
      <c r="S40" s="17">
        <f>IFERROR(IF(T14="","",T14/S14),"")</f>
        <v/>
      </c>
      <c r="T40" s="17">
        <f>IFERROR(IF(U14="","",U14/T14),"")</f>
        <v/>
      </c>
      <c r="U40" s="17">
        <f>IFERROR(IF(V14="","",V14/U14),"")</f>
        <v/>
      </c>
      <c r="V40" s="17">
        <f>IFERROR(IF(W14="","",W14/V14),"")</f>
        <v/>
      </c>
      <c r="W40" s="17">
        <f>IFERROR(IF(X14="","",X14/W14),"")</f>
        <v/>
      </c>
      <c r="X40" s="17">
        <f>IFERROR(IF(Y14="","",Y14/X14),"")</f>
        <v/>
      </c>
    </row>
    <row r="41">
      <c r="A41" s="15" t="inlineStr">
        <is>
          <t>2014</t>
        </is>
      </c>
      <c r="B41" s="17">
        <f>IFERROR(IF(C15="","",C15/B15),"")</f>
        <v/>
      </c>
      <c r="C41" s="17">
        <f>IFERROR(IF(D15="","",D15/C15),"")</f>
        <v/>
      </c>
      <c r="D41" s="17">
        <f>IFERROR(IF(E15="","",E15/D15),"")</f>
        <v/>
      </c>
      <c r="E41" s="17">
        <f>IFERROR(IF(F15="","",F15/E15),"")</f>
        <v/>
      </c>
      <c r="F41" s="17">
        <f>IFERROR(IF(G15="","",G15/F15),"")</f>
        <v/>
      </c>
      <c r="G41" s="17">
        <f>IFERROR(IF(H15="","",H15/G15),"")</f>
        <v/>
      </c>
      <c r="H41" s="17">
        <f>IFERROR(IF(I15="","",I15/H15),"")</f>
        <v/>
      </c>
      <c r="I41" s="17">
        <f>IFERROR(IF(J15="","",J15/I15),"")</f>
        <v/>
      </c>
      <c r="J41" s="17">
        <f>IFERROR(IF(K15="","",K15/J15),"")</f>
        <v/>
      </c>
      <c r="K41" s="17">
        <f>IFERROR(IF(L15="","",L15/K15),"")</f>
        <v/>
      </c>
      <c r="L41" s="17">
        <f>IFERROR(IF(M15="","",M15/L15),"")</f>
        <v/>
      </c>
      <c r="M41" s="17">
        <f>IFERROR(IF(N15="","",N15/M15),"")</f>
        <v/>
      </c>
      <c r="N41" s="17">
        <f>IFERROR(IF(O15="","",O15/N15),"")</f>
        <v/>
      </c>
      <c r="O41" s="17">
        <f>IFERROR(IF(P15="","",P15/O15),"")</f>
        <v/>
      </c>
      <c r="P41" s="17">
        <f>IFERROR(IF(Q15="","",Q15/P15),"")</f>
        <v/>
      </c>
      <c r="Q41" s="17">
        <f>IFERROR(IF(R15="","",R15/Q15),"")</f>
        <v/>
      </c>
      <c r="R41" s="17">
        <f>IFERROR(IF(S15="","",S15/R15),"")</f>
        <v/>
      </c>
      <c r="S41" s="17">
        <f>IFERROR(IF(T15="","",T15/S15),"")</f>
        <v/>
      </c>
      <c r="T41" s="17">
        <f>IFERROR(IF(U15="","",U15/T15),"")</f>
        <v/>
      </c>
      <c r="U41" s="17">
        <f>IFERROR(IF(V15="","",V15/U15),"")</f>
        <v/>
      </c>
      <c r="V41" s="17">
        <f>IFERROR(IF(W15="","",W15/V15),"")</f>
        <v/>
      </c>
      <c r="W41" s="17">
        <f>IFERROR(IF(X15="","",X15/W15),"")</f>
        <v/>
      </c>
      <c r="X41" s="17">
        <f>IFERROR(IF(Y15="","",Y15/X15),"")</f>
        <v/>
      </c>
    </row>
    <row r="42">
      <c r="A42" s="15" t="inlineStr">
        <is>
          <t>2015</t>
        </is>
      </c>
      <c r="B42" s="17">
        <f>IFERROR(IF(C16="","",C16/B16),"")</f>
        <v/>
      </c>
      <c r="C42" s="17">
        <f>IFERROR(IF(D16="","",D16/C16),"")</f>
        <v/>
      </c>
      <c r="D42" s="17">
        <f>IFERROR(IF(E16="","",E16/D16),"")</f>
        <v/>
      </c>
      <c r="E42" s="17">
        <f>IFERROR(IF(F16="","",F16/E16),"")</f>
        <v/>
      </c>
      <c r="F42" s="17">
        <f>IFERROR(IF(G16="","",G16/F16),"")</f>
        <v/>
      </c>
      <c r="G42" s="17">
        <f>IFERROR(IF(H16="","",H16/G16),"")</f>
        <v/>
      </c>
      <c r="H42" s="17">
        <f>IFERROR(IF(I16="","",I16/H16),"")</f>
        <v/>
      </c>
      <c r="I42" s="17">
        <f>IFERROR(IF(J16="","",J16/I16),"")</f>
        <v/>
      </c>
      <c r="J42" s="17">
        <f>IFERROR(IF(K16="","",K16/J16),"")</f>
        <v/>
      </c>
      <c r="K42" s="17">
        <f>IFERROR(IF(L16="","",L16/K16),"")</f>
        <v/>
      </c>
      <c r="L42" s="17">
        <f>IFERROR(IF(M16="","",M16/L16),"")</f>
        <v/>
      </c>
      <c r="M42" s="17">
        <f>IFERROR(IF(N16="","",N16/M16),"")</f>
        <v/>
      </c>
      <c r="N42" s="17">
        <f>IFERROR(IF(O16="","",O16/N16),"")</f>
        <v/>
      </c>
      <c r="O42" s="17">
        <f>IFERROR(IF(P16="","",P16/O16),"")</f>
        <v/>
      </c>
      <c r="P42" s="17">
        <f>IFERROR(IF(Q16="","",Q16/P16),"")</f>
        <v/>
      </c>
      <c r="Q42" s="17">
        <f>IFERROR(IF(R16="","",R16/Q16),"")</f>
        <v/>
      </c>
      <c r="R42" s="17">
        <f>IFERROR(IF(S16="","",S16/R16),"")</f>
        <v/>
      </c>
      <c r="S42" s="17">
        <f>IFERROR(IF(T16="","",T16/S16),"")</f>
        <v/>
      </c>
      <c r="T42" s="17">
        <f>IFERROR(IF(U16="","",U16/T16),"")</f>
        <v/>
      </c>
      <c r="U42" s="17">
        <f>IFERROR(IF(V16="","",V16/U16),"")</f>
        <v/>
      </c>
      <c r="V42" s="17">
        <f>IFERROR(IF(W16="","",W16/V16),"")</f>
        <v/>
      </c>
      <c r="W42" s="17">
        <f>IFERROR(IF(X16="","",X16/W16),"")</f>
        <v/>
      </c>
      <c r="X42" s="17">
        <f>IFERROR(IF(Y16="","",Y16/X16),"")</f>
        <v/>
      </c>
    </row>
    <row r="43">
      <c r="A43" s="15" t="inlineStr">
        <is>
          <t>2016</t>
        </is>
      </c>
      <c r="B43" s="17">
        <f>IFERROR(IF(C17="","",C17/B17),"")</f>
        <v/>
      </c>
      <c r="C43" s="17">
        <f>IFERROR(IF(D17="","",D17/C17),"")</f>
        <v/>
      </c>
      <c r="D43" s="17">
        <f>IFERROR(IF(E17="","",E17/D17),"")</f>
        <v/>
      </c>
      <c r="E43" s="17">
        <f>IFERROR(IF(F17="","",F17/E17),"")</f>
        <v/>
      </c>
      <c r="F43" s="17">
        <f>IFERROR(IF(G17="","",G17/F17),"")</f>
        <v/>
      </c>
      <c r="G43" s="17">
        <f>IFERROR(IF(H17="","",H17/G17),"")</f>
        <v/>
      </c>
      <c r="H43" s="17">
        <f>IFERROR(IF(I17="","",I17/H17),"")</f>
        <v/>
      </c>
      <c r="I43" s="17">
        <f>IFERROR(IF(J17="","",J17/I17),"")</f>
        <v/>
      </c>
      <c r="J43" s="17">
        <f>IFERROR(IF(K17="","",K17/J17),"")</f>
        <v/>
      </c>
      <c r="K43" s="17">
        <f>IFERROR(IF(L17="","",L17/K17),"")</f>
        <v/>
      </c>
      <c r="L43" s="17">
        <f>IFERROR(IF(M17="","",M17/L17),"")</f>
        <v/>
      </c>
      <c r="M43" s="17">
        <f>IFERROR(IF(N17="","",N17/M17),"")</f>
        <v/>
      </c>
      <c r="N43" s="17">
        <f>IFERROR(IF(O17="","",O17/N17),"")</f>
        <v/>
      </c>
      <c r="O43" s="17">
        <f>IFERROR(IF(P17="","",P17/O17),"")</f>
        <v/>
      </c>
      <c r="P43" s="17">
        <f>IFERROR(IF(Q17="","",Q17/P17),"")</f>
        <v/>
      </c>
      <c r="Q43" s="17">
        <f>IFERROR(IF(R17="","",R17/Q17),"")</f>
        <v/>
      </c>
      <c r="R43" s="17">
        <f>IFERROR(IF(S17="","",S17/R17),"")</f>
        <v/>
      </c>
      <c r="S43" s="17">
        <f>IFERROR(IF(T17="","",T17/S17),"")</f>
        <v/>
      </c>
      <c r="T43" s="17">
        <f>IFERROR(IF(U17="","",U17/T17),"")</f>
        <v/>
      </c>
      <c r="U43" s="17">
        <f>IFERROR(IF(V17="","",V17/U17),"")</f>
        <v/>
      </c>
      <c r="V43" s="17">
        <f>IFERROR(IF(W17="","",W17/V17),"")</f>
        <v/>
      </c>
      <c r="W43" s="17">
        <f>IFERROR(IF(X17="","",X17/W17),"")</f>
        <v/>
      </c>
      <c r="X43" s="17">
        <f>IFERROR(IF(Y17="","",Y17/X17),"")</f>
        <v/>
      </c>
    </row>
    <row r="44">
      <c r="A44" s="15" t="inlineStr">
        <is>
          <t>2017</t>
        </is>
      </c>
      <c r="B44" s="17">
        <f>IFERROR(IF(C18="","",C18/B18),"")</f>
        <v/>
      </c>
      <c r="C44" s="17">
        <f>IFERROR(IF(D18="","",D18/C18),"")</f>
        <v/>
      </c>
      <c r="D44" s="17">
        <f>IFERROR(IF(E18="","",E18/D18),"")</f>
        <v/>
      </c>
      <c r="E44" s="17">
        <f>IFERROR(IF(F18="","",F18/E18),"")</f>
        <v/>
      </c>
      <c r="F44" s="17">
        <f>IFERROR(IF(G18="","",G18/F18),"")</f>
        <v/>
      </c>
      <c r="G44" s="17">
        <f>IFERROR(IF(H18="","",H18/G18),"")</f>
        <v/>
      </c>
      <c r="H44" s="17">
        <f>IFERROR(IF(I18="","",I18/H18),"")</f>
        <v/>
      </c>
      <c r="I44" s="17">
        <f>IFERROR(IF(J18="","",J18/I18),"")</f>
        <v/>
      </c>
      <c r="J44" s="17">
        <f>IFERROR(IF(K18="","",K18/J18),"")</f>
        <v/>
      </c>
      <c r="K44" s="17">
        <f>IFERROR(IF(L18="","",L18/K18),"")</f>
        <v/>
      </c>
      <c r="L44" s="17">
        <f>IFERROR(IF(M18="","",M18/L18),"")</f>
        <v/>
      </c>
      <c r="M44" s="17">
        <f>IFERROR(IF(N18="","",N18/M18),"")</f>
        <v/>
      </c>
      <c r="N44" s="17">
        <f>IFERROR(IF(O18="","",O18/N18),"")</f>
        <v/>
      </c>
      <c r="O44" s="17">
        <f>IFERROR(IF(P18="","",P18/O18),"")</f>
        <v/>
      </c>
      <c r="P44" s="17">
        <f>IFERROR(IF(Q18="","",Q18/P18),"")</f>
        <v/>
      </c>
      <c r="Q44" s="17">
        <f>IFERROR(IF(R18="","",R18/Q18),"")</f>
        <v/>
      </c>
      <c r="R44" s="17">
        <f>IFERROR(IF(S18="","",S18/R18),"")</f>
        <v/>
      </c>
      <c r="S44" s="17">
        <f>IFERROR(IF(T18="","",T18/S18),"")</f>
        <v/>
      </c>
      <c r="T44" s="17">
        <f>IFERROR(IF(U18="","",U18/T18),"")</f>
        <v/>
      </c>
      <c r="U44" s="17">
        <f>IFERROR(IF(V18="","",V18/U18),"")</f>
        <v/>
      </c>
      <c r="V44" s="17">
        <f>IFERROR(IF(W18="","",W18/V18),"")</f>
        <v/>
      </c>
      <c r="W44" s="17">
        <f>IFERROR(IF(X18="","",X18/W18),"")</f>
        <v/>
      </c>
      <c r="X44" s="17">
        <f>IFERROR(IF(Y18="","",Y18/X18),"")</f>
        <v/>
      </c>
    </row>
    <row r="45">
      <c r="A45" s="15" t="inlineStr">
        <is>
          <t>2018</t>
        </is>
      </c>
      <c r="B45" s="17">
        <f>IFERROR(IF(C19="","",C19/B19),"")</f>
        <v/>
      </c>
      <c r="C45" s="17">
        <f>IFERROR(IF(D19="","",D19/C19),"")</f>
        <v/>
      </c>
      <c r="D45" s="17">
        <f>IFERROR(IF(E19="","",E19/D19),"")</f>
        <v/>
      </c>
      <c r="E45" s="17">
        <f>IFERROR(IF(F19="","",F19/E19),"")</f>
        <v/>
      </c>
      <c r="F45" s="17">
        <f>IFERROR(IF(G19="","",G19/F19),"")</f>
        <v/>
      </c>
      <c r="G45" s="17">
        <f>IFERROR(IF(H19="","",H19/G19),"")</f>
        <v/>
      </c>
      <c r="H45" s="17">
        <f>IFERROR(IF(I19="","",I19/H19),"")</f>
        <v/>
      </c>
      <c r="I45" s="17">
        <f>IFERROR(IF(J19="","",J19/I19),"")</f>
        <v/>
      </c>
      <c r="J45" s="17">
        <f>IFERROR(IF(K19="","",K19/J19),"")</f>
        <v/>
      </c>
      <c r="K45" s="17">
        <f>IFERROR(IF(L19="","",L19/K19),"")</f>
        <v/>
      </c>
      <c r="L45" s="17">
        <f>IFERROR(IF(M19="","",M19/L19),"")</f>
        <v/>
      </c>
      <c r="M45" s="17">
        <f>IFERROR(IF(N19="","",N19/M19),"")</f>
        <v/>
      </c>
      <c r="N45" s="17">
        <f>IFERROR(IF(O19="","",O19/N19),"")</f>
        <v/>
      </c>
      <c r="O45" s="17">
        <f>IFERROR(IF(P19="","",P19/O19),"")</f>
        <v/>
      </c>
      <c r="P45" s="17">
        <f>IFERROR(IF(Q19="","",Q19/P19),"")</f>
        <v/>
      </c>
      <c r="Q45" s="17">
        <f>IFERROR(IF(R19="","",R19/Q19),"")</f>
        <v/>
      </c>
      <c r="R45" s="17">
        <f>IFERROR(IF(S19="","",S19/R19),"")</f>
        <v/>
      </c>
      <c r="S45" s="17">
        <f>IFERROR(IF(T19="","",T19/S19),"")</f>
        <v/>
      </c>
      <c r="T45" s="17">
        <f>IFERROR(IF(U19="","",U19/T19),"")</f>
        <v/>
      </c>
      <c r="U45" s="17">
        <f>IFERROR(IF(V19="","",V19/U19),"")</f>
        <v/>
      </c>
      <c r="V45" s="17">
        <f>IFERROR(IF(W19="","",W19/V19),"")</f>
        <v/>
      </c>
      <c r="W45" s="17">
        <f>IFERROR(IF(X19="","",X19/W19),"")</f>
        <v/>
      </c>
      <c r="X45" s="17">
        <f>IFERROR(IF(Y19="","",Y19/X19),"")</f>
        <v/>
      </c>
    </row>
    <row r="46">
      <c r="A46" s="15" t="inlineStr">
        <is>
          <t>2019</t>
        </is>
      </c>
      <c r="B46" s="17">
        <f>IFERROR(IF(C20="","",C20/B20),"")</f>
        <v/>
      </c>
      <c r="C46" s="17">
        <f>IFERROR(IF(D20="","",D20/C20),"")</f>
        <v/>
      </c>
      <c r="D46" s="17">
        <f>IFERROR(IF(E20="","",E20/D20),"")</f>
        <v/>
      </c>
      <c r="E46" s="17">
        <f>IFERROR(IF(F20="","",F20/E20),"")</f>
        <v/>
      </c>
      <c r="F46" s="17">
        <f>IFERROR(IF(G20="","",G20/F20),"")</f>
        <v/>
      </c>
      <c r="G46" s="17">
        <f>IFERROR(IF(H20="","",H20/G20),"")</f>
        <v/>
      </c>
      <c r="H46" s="17">
        <f>IFERROR(IF(I20="","",I20/H20),"")</f>
        <v/>
      </c>
      <c r="I46" s="17">
        <f>IFERROR(IF(J20="","",J20/I20),"")</f>
        <v/>
      </c>
      <c r="J46" s="17">
        <f>IFERROR(IF(K20="","",K20/J20),"")</f>
        <v/>
      </c>
      <c r="K46" s="17">
        <f>IFERROR(IF(L20="","",L20/K20),"")</f>
        <v/>
      </c>
      <c r="L46" s="17">
        <f>IFERROR(IF(M20="","",M20/L20),"")</f>
        <v/>
      </c>
      <c r="M46" s="17">
        <f>IFERROR(IF(N20="","",N20/M20),"")</f>
        <v/>
      </c>
      <c r="N46" s="17">
        <f>IFERROR(IF(O20="","",O20/N20),"")</f>
        <v/>
      </c>
      <c r="O46" s="17">
        <f>IFERROR(IF(P20="","",P20/O20),"")</f>
        <v/>
      </c>
      <c r="P46" s="17">
        <f>IFERROR(IF(Q20="","",Q20/P20),"")</f>
        <v/>
      </c>
      <c r="Q46" s="17">
        <f>IFERROR(IF(R20="","",R20/Q20),"")</f>
        <v/>
      </c>
      <c r="R46" s="17">
        <f>IFERROR(IF(S20="","",S20/R20),"")</f>
        <v/>
      </c>
      <c r="S46" s="17">
        <f>IFERROR(IF(T20="","",T20/S20),"")</f>
        <v/>
      </c>
      <c r="T46" s="17">
        <f>IFERROR(IF(U20="","",U20/T20),"")</f>
        <v/>
      </c>
      <c r="U46" s="17">
        <f>IFERROR(IF(V20="","",V20/U20),"")</f>
        <v/>
      </c>
      <c r="V46" s="17">
        <f>IFERROR(IF(W20="","",W20/V20),"")</f>
        <v/>
      </c>
      <c r="W46" s="17">
        <f>IFERROR(IF(X20="","",X20/W20),"")</f>
        <v/>
      </c>
      <c r="X46" s="17">
        <f>IFERROR(IF(Y20="","",Y20/X20),"")</f>
        <v/>
      </c>
    </row>
    <row r="47">
      <c r="A47" s="15" t="inlineStr">
        <is>
          <t>2020</t>
        </is>
      </c>
      <c r="B47" s="17">
        <f>IFERROR(IF(C21="","",C21/B21),"")</f>
        <v/>
      </c>
      <c r="C47" s="17">
        <f>IFERROR(IF(D21="","",D21/C21),"")</f>
        <v/>
      </c>
      <c r="D47" s="17">
        <f>IFERROR(IF(E21="","",E21/D21),"")</f>
        <v/>
      </c>
      <c r="E47" s="17">
        <f>IFERROR(IF(F21="","",F21/E21),"")</f>
        <v/>
      </c>
      <c r="F47" s="17">
        <f>IFERROR(IF(G21="","",G21/F21),"")</f>
        <v/>
      </c>
      <c r="G47" s="17">
        <f>IFERROR(IF(H21="","",H21/G21),"")</f>
        <v/>
      </c>
      <c r="H47" s="17">
        <f>IFERROR(IF(I21="","",I21/H21),"")</f>
        <v/>
      </c>
      <c r="I47" s="17">
        <f>IFERROR(IF(J21="","",J21/I21),"")</f>
        <v/>
      </c>
      <c r="J47" s="17">
        <f>IFERROR(IF(K21="","",K21/J21),"")</f>
        <v/>
      </c>
      <c r="K47" s="17">
        <f>IFERROR(IF(L21="","",L21/K21),"")</f>
        <v/>
      </c>
      <c r="L47" s="17">
        <f>IFERROR(IF(M21="","",M21/L21),"")</f>
        <v/>
      </c>
      <c r="M47" s="17">
        <f>IFERROR(IF(N21="","",N21/M21),"")</f>
        <v/>
      </c>
      <c r="N47" s="17">
        <f>IFERROR(IF(O21="","",O21/N21),"")</f>
        <v/>
      </c>
      <c r="O47" s="17">
        <f>IFERROR(IF(P21="","",P21/O21),"")</f>
        <v/>
      </c>
      <c r="P47" s="17">
        <f>IFERROR(IF(Q21="","",Q21/P21),"")</f>
        <v/>
      </c>
      <c r="Q47" s="17">
        <f>IFERROR(IF(R21="","",R21/Q21),"")</f>
        <v/>
      </c>
      <c r="R47" s="17">
        <f>IFERROR(IF(S21="","",S21/R21),"")</f>
        <v/>
      </c>
      <c r="S47" s="17">
        <f>IFERROR(IF(T21="","",T21/S21),"")</f>
        <v/>
      </c>
      <c r="T47" s="17">
        <f>IFERROR(IF(U21="","",U21/T21),"")</f>
        <v/>
      </c>
      <c r="U47" s="17">
        <f>IFERROR(IF(V21="","",V21/U21),"")</f>
        <v/>
      </c>
      <c r="V47" s="17">
        <f>IFERROR(IF(W21="","",W21/V21),"")</f>
        <v/>
      </c>
      <c r="W47" s="17">
        <f>IFERROR(IF(X21="","",X21/W21),"")</f>
        <v/>
      </c>
      <c r="X47" s="17">
        <f>IFERROR(IF(Y21="","",Y21/X21),"")</f>
        <v/>
      </c>
    </row>
    <row r="48">
      <c r="A48" s="15" t="inlineStr">
        <is>
          <t>2021</t>
        </is>
      </c>
      <c r="B48" s="17">
        <f>IFERROR(IF(C22="","",C22/B22),"")</f>
        <v/>
      </c>
      <c r="C48" s="17">
        <f>IFERROR(IF(D22="","",D22/C22),"")</f>
        <v/>
      </c>
      <c r="D48" s="17">
        <f>IFERROR(IF(E22="","",E22/D22),"")</f>
        <v/>
      </c>
      <c r="E48" s="17">
        <f>IFERROR(IF(F22="","",F22/E22),"")</f>
        <v/>
      </c>
      <c r="F48" s="17">
        <f>IFERROR(IF(G22="","",G22/F22),"")</f>
        <v/>
      </c>
      <c r="G48" s="17">
        <f>IFERROR(IF(H22="","",H22/G22),"")</f>
        <v/>
      </c>
      <c r="H48" s="17">
        <f>IFERROR(IF(I22="","",I22/H22),"")</f>
        <v/>
      </c>
      <c r="I48" s="17">
        <f>IFERROR(IF(J22="","",J22/I22),"")</f>
        <v/>
      </c>
      <c r="J48" s="17">
        <f>IFERROR(IF(K22="","",K22/J22),"")</f>
        <v/>
      </c>
      <c r="K48" s="17">
        <f>IFERROR(IF(L22="","",L22/K22),"")</f>
        <v/>
      </c>
      <c r="L48" s="17">
        <f>IFERROR(IF(M22="","",M22/L22),"")</f>
        <v/>
      </c>
      <c r="M48" s="17">
        <f>IFERROR(IF(N22="","",N22/M22),"")</f>
        <v/>
      </c>
      <c r="N48" s="17">
        <f>IFERROR(IF(O22="","",O22/N22),"")</f>
        <v/>
      </c>
      <c r="O48" s="17">
        <f>IFERROR(IF(P22="","",P22/O22),"")</f>
        <v/>
      </c>
      <c r="P48" s="17">
        <f>IFERROR(IF(Q22="","",Q22/P22),"")</f>
        <v/>
      </c>
      <c r="Q48" s="17">
        <f>IFERROR(IF(R22="","",R22/Q22),"")</f>
        <v/>
      </c>
      <c r="R48" s="17">
        <f>IFERROR(IF(S22="","",S22/R22),"")</f>
        <v/>
      </c>
      <c r="S48" s="17">
        <f>IFERROR(IF(T22="","",T22/S22),"")</f>
        <v/>
      </c>
      <c r="T48" s="17">
        <f>IFERROR(IF(U22="","",U22/T22),"")</f>
        <v/>
      </c>
      <c r="U48" s="17">
        <f>IFERROR(IF(V22="","",V22/U22),"")</f>
        <v/>
      </c>
      <c r="V48" s="17">
        <f>IFERROR(IF(W22="","",W22/V22),"")</f>
        <v/>
      </c>
      <c r="W48" s="17">
        <f>IFERROR(IF(X22="","",X22/W22),"")</f>
        <v/>
      </c>
      <c r="X48" s="17">
        <f>IFERROR(IF(Y22="","",Y22/X22),"")</f>
        <v/>
      </c>
    </row>
    <row r="49">
      <c r="A49" s="15" t="inlineStr">
        <is>
          <t>2022</t>
        </is>
      </c>
      <c r="B49" s="17">
        <f>IFERROR(IF(C23="","",C23/B23),"")</f>
        <v/>
      </c>
      <c r="C49" s="17">
        <f>IFERROR(IF(D23="","",D23/C23),"")</f>
        <v/>
      </c>
      <c r="D49" s="17">
        <f>IFERROR(IF(E23="","",E23/D23),"")</f>
        <v/>
      </c>
      <c r="E49" s="17">
        <f>IFERROR(IF(F23="","",F23/E23),"")</f>
        <v/>
      </c>
      <c r="F49" s="17">
        <f>IFERROR(IF(G23="","",G23/F23),"")</f>
        <v/>
      </c>
      <c r="G49" s="17">
        <f>IFERROR(IF(H23="","",H23/G23),"")</f>
        <v/>
      </c>
      <c r="H49" s="17">
        <f>IFERROR(IF(I23="","",I23/H23),"")</f>
        <v/>
      </c>
      <c r="I49" s="17">
        <f>IFERROR(IF(J23="","",J23/I23),"")</f>
        <v/>
      </c>
      <c r="J49" s="17">
        <f>IFERROR(IF(K23="","",K23/J23),"")</f>
        <v/>
      </c>
      <c r="K49" s="17">
        <f>IFERROR(IF(L23="","",L23/K23),"")</f>
        <v/>
      </c>
      <c r="L49" s="17">
        <f>IFERROR(IF(M23="","",M23/L23),"")</f>
        <v/>
      </c>
      <c r="M49" s="17">
        <f>IFERROR(IF(N23="","",N23/M23),"")</f>
        <v/>
      </c>
      <c r="N49" s="17">
        <f>IFERROR(IF(O23="","",O23/N23),"")</f>
        <v/>
      </c>
      <c r="O49" s="17">
        <f>IFERROR(IF(P23="","",P23/O23),"")</f>
        <v/>
      </c>
      <c r="P49" s="17">
        <f>IFERROR(IF(Q23="","",Q23/P23),"")</f>
        <v/>
      </c>
      <c r="Q49" s="17">
        <f>IFERROR(IF(R23="","",R23/Q23),"")</f>
        <v/>
      </c>
      <c r="R49" s="17">
        <f>IFERROR(IF(S23="","",S23/R23),"")</f>
        <v/>
      </c>
      <c r="S49" s="17">
        <f>IFERROR(IF(T23="","",T23/S23),"")</f>
        <v/>
      </c>
      <c r="T49" s="17">
        <f>IFERROR(IF(U23="","",U23/T23),"")</f>
        <v/>
      </c>
      <c r="U49" s="17">
        <f>IFERROR(IF(V23="","",V23/U23),"")</f>
        <v/>
      </c>
      <c r="V49" s="17">
        <f>IFERROR(IF(W23="","",W23/V23),"")</f>
        <v/>
      </c>
      <c r="W49" s="17">
        <f>IFERROR(IF(X23="","",X23/W23),"")</f>
        <v/>
      </c>
      <c r="X49" s="17">
        <f>IFERROR(IF(Y23="","",Y23/X23),"")</f>
        <v/>
      </c>
    </row>
    <row r="50">
      <c r="A50" s="15" t="inlineStr">
        <is>
          <t>2023</t>
        </is>
      </c>
      <c r="B50" s="17">
        <f>IFERROR(IF(C24="","",C24/B24),"")</f>
        <v/>
      </c>
      <c r="C50" s="17">
        <f>IFERROR(IF(D24="","",D24/C24),"")</f>
        <v/>
      </c>
      <c r="D50" s="17">
        <f>IFERROR(IF(E24="","",E24/D24),"")</f>
        <v/>
      </c>
      <c r="E50" s="17">
        <f>IFERROR(IF(F24="","",F24/E24),"")</f>
        <v/>
      </c>
      <c r="F50" s="17">
        <f>IFERROR(IF(G24="","",G24/F24),"")</f>
        <v/>
      </c>
      <c r="G50" s="17">
        <f>IFERROR(IF(H24="","",H24/G24),"")</f>
        <v/>
      </c>
      <c r="H50" s="17">
        <f>IFERROR(IF(I24="","",I24/H24),"")</f>
        <v/>
      </c>
      <c r="I50" s="17">
        <f>IFERROR(IF(J24="","",J24/I24),"")</f>
        <v/>
      </c>
      <c r="J50" s="17">
        <f>IFERROR(IF(K24="","",K24/J24),"")</f>
        <v/>
      </c>
      <c r="K50" s="17">
        <f>IFERROR(IF(L24="","",L24/K24),"")</f>
        <v/>
      </c>
      <c r="L50" s="17">
        <f>IFERROR(IF(M24="","",M24/L24),"")</f>
        <v/>
      </c>
      <c r="M50" s="17">
        <f>IFERROR(IF(N24="","",N24/M24),"")</f>
        <v/>
      </c>
      <c r="N50" s="17">
        <f>IFERROR(IF(O24="","",O24/N24),"")</f>
        <v/>
      </c>
      <c r="O50" s="17">
        <f>IFERROR(IF(P24="","",P24/O24),"")</f>
        <v/>
      </c>
      <c r="P50" s="17">
        <f>IFERROR(IF(Q24="","",Q24/P24),"")</f>
        <v/>
      </c>
      <c r="Q50" s="17">
        <f>IFERROR(IF(R24="","",R24/Q24),"")</f>
        <v/>
      </c>
      <c r="R50" s="17">
        <f>IFERROR(IF(S24="","",S24/R24),"")</f>
        <v/>
      </c>
      <c r="S50" s="17">
        <f>IFERROR(IF(T24="","",T24/S24),"")</f>
        <v/>
      </c>
      <c r="T50" s="17">
        <f>IFERROR(IF(U24="","",U24/T24),"")</f>
        <v/>
      </c>
      <c r="U50" s="17">
        <f>IFERROR(IF(V24="","",V24/U24),"")</f>
        <v/>
      </c>
      <c r="V50" s="17">
        <f>IFERROR(IF(W24="","",W24/V24),"")</f>
        <v/>
      </c>
      <c r="W50" s="17">
        <f>IFERROR(IF(X24="","",X24/W24),"")</f>
        <v/>
      </c>
      <c r="X50" s="17">
        <f>IFERROR(IF(Y24="","",Y24/X24),"")</f>
        <v/>
      </c>
    </row>
    <row r="51">
      <c r="A51" s="15" t="inlineStr">
        <is>
          <t>2024</t>
        </is>
      </c>
      <c r="B51" s="17">
        <f>IFERROR(IF(C25="","",C25/B25),"")</f>
        <v/>
      </c>
      <c r="C51" s="17">
        <f>IFERROR(IF(D25="","",D25/C25),"")</f>
        <v/>
      </c>
      <c r="D51" s="17">
        <f>IFERROR(IF(E25="","",E25/D25),"")</f>
        <v/>
      </c>
      <c r="E51" s="17">
        <f>IFERROR(IF(F25="","",F25/E25),"")</f>
        <v/>
      </c>
      <c r="F51" s="17">
        <f>IFERROR(IF(G25="","",G25/F25),"")</f>
        <v/>
      </c>
      <c r="G51" s="17">
        <f>IFERROR(IF(H25="","",H25/G25),"")</f>
        <v/>
      </c>
      <c r="H51" s="17">
        <f>IFERROR(IF(I25="","",I25/H25),"")</f>
        <v/>
      </c>
      <c r="I51" s="17">
        <f>IFERROR(IF(J25="","",J25/I25),"")</f>
        <v/>
      </c>
      <c r="J51" s="17">
        <f>IFERROR(IF(K25="","",K25/J25),"")</f>
        <v/>
      </c>
      <c r="K51" s="17">
        <f>IFERROR(IF(L25="","",L25/K25),"")</f>
        <v/>
      </c>
      <c r="L51" s="17">
        <f>IFERROR(IF(M25="","",M25/L25),"")</f>
        <v/>
      </c>
      <c r="M51" s="17">
        <f>IFERROR(IF(N25="","",N25/M25),"")</f>
        <v/>
      </c>
      <c r="N51" s="17">
        <f>IFERROR(IF(O25="","",O25/N25),"")</f>
        <v/>
      </c>
      <c r="O51" s="17">
        <f>IFERROR(IF(P25="","",P25/O25),"")</f>
        <v/>
      </c>
      <c r="P51" s="17">
        <f>IFERROR(IF(Q25="","",Q25/P25),"")</f>
        <v/>
      </c>
      <c r="Q51" s="17">
        <f>IFERROR(IF(R25="","",R25/Q25),"")</f>
        <v/>
      </c>
      <c r="R51" s="17">
        <f>IFERROR(IF(S25="","",S25/R25),"")</f>
        <v/>
      </c>
      <c r="S51" s="17">
        <f>IFERROR(IF(T25="","",T25/S25),"")</f>
        <v/>
      </c>
      <c r="T51" s="17">
        <f>IFERROR(IF(U25="","",U25/T25),"")</f>
        <v/>
      </c>
      <c r="U51" s="17">
        <f>IFERROR(IF(V25="","",V25/U25),"")</f>
        <v/>
      </c>
      <c r="V51" s="17">
        <f>IFERROR(IF(W25="","",W25/V25),"")</f>
        <v/>
      </c>
      <c r="W51" s="17">
        <f>IFERROR(IF(X25="","",X25/W25),"")</f>
        <v/>
      </c>
      <c r="X51" s="17">
        <f>IFERROR(IF(Y25="","",Y25/X25),"")</f>
        <v/>
      </c>
    </row>
    <row r="52"/>
    <row r="53">
      <c r="A53" s="18" t="inlineStr">
        <is>
          <t>Metric</t>
        </is>
      </c>
      <c r="B53" s="8" t="inlineStr">
        <is>
          <t>11-23</t>
        </is>
      </c>
      <c r="C53" s="8" t="inlineStr">
        <is>
          <t>23-35</t>
        </is>
      </c>
      <c r="D53" s="8" t="inlineStr">
        <is>
          <t>35-47</t>
        </is>
      </c>
      <c r="E53" s="8" t="inlineStr">
        <is>
          <t>47-59</t>
        </is>
      </c>
      <c r="F53" s="8" t="inlineStr">
        <is>
          <t>59-71</t>
        </is>
      </c>
      <c r="G53" s="8" t="inlineStr">
        <is>
          <t>71-83</t>
        </is>
      </c>
      <c r="H53" s="8" t="inlineStr">
        <is>
          <t>83-95</t>
        </is>
      </c>
      <c r="I53" s="8" t="inlineStr">
        <is>
          <t>95-107</t>
        </is>
      </c>
      <c r="J53" s="8" t="inlineStr">
        <is>
          <t>107-119</t>
        </is>
      </c>
      <c r="K53" s="8" t="inlineStr">
        <is>
          <t>119-131</t>
        </is>
      </c>
      <c r="L53" s="8" t="inlineStr">
        <is>
          <t>131-143</t>
        </is>
      </c>
      <c r="M53" s="8" t="inlineStr">
        <is>
          <t>143-155</t>
        </is>
      </c>
      <c r="N53" s="8" t="inlineStr">
        <is>
          <t>155-167</t>
        </is>
      </c>
      <c r="O53" s="8" t="inlineStr">
        <is>
          <t>167-179</t>
        </is>
      </c>
      <c r="P53" s="8" t="inlineStr">
        <is>
          <t>179-191</t>
        </is>
      </c>
      <c r="Q53" s="8" t="inlineStr">
        <is>
          <t>191-203</t>
        </is>
      </c>
      <c r="R53" s="8" t="inlineStr">
        <is>
          <t>203-215</t>
        </is>
      </c>
      <c r="S53" s="8" t="inlineStr">
        <is>
          <t>215-227</t>
        </is>
      </c>
      <c r="T53" s="8" t="inlineStr">
        <is>
          <t>227-239</t>
        </is>
      </c>
      <c r="U53" s="8" t="inlineStr">
        <is>
          <t>239-251</t>
        </is>
      </c>
      <c r="V53" s="8" t="inlineStr">
        <is>
          <t>251-263</t>
        </is>
      </c>
      <c r="W53" s="8" t="inlineStr">
        <is>
          <t>263-275</t>
        </is>
      </c>
      <c r="X53" s="8" t="inlineStr">
        <is>
          <t>275-287</t>
        </is>
      </c>
      <c r="Y53" s="8" t="inlineStr">
        <is>
          <t>Tail</t>
        </is>
      </c>
    </row>
    <row r="54">
      <c r="A54" s="19" t="inlineStr">
        <is>
          <t>simple_all</t>
        </is>
      </c>
      <c r="B54" s="17">
        <f>IFERROR(AVERAGE(B28:B51),AVERAGE(B28:B51))</f>
        <v/>
      </c>
      <c r="C54" s="17">
        <f>IFERROR(AVERAGE(C28:C51),AVERAGE(C28:C51))</f>
        <v/>
      </c>
      <c r="D54" s="17">
        <f>IFERROR(AVERAGE(D28:D51),AVERAGE(D28:D51))</f>
        <v/>
      </c>
      <c r="E54" s="17">
        <f>IFERROR(AVERAGE(E28:E51),AVERAGE(E28:E51))</f>
        <v/>
      </c>
      <c r="F54" s="17">
        <f>IFERROR(AVERAGE(F28:F51),AVERAGE(F28:F51))</f>
        <v/>
      </c>
      <c r="G54" s="17">
        <f>IFERROR(AVERAGE(G28:G51),AVERAGE(G28:G51))</f>
        <v/>
      </c>
      <c r="H54" s="17">
        <f>IFERROR(AVERAGE(H28:H51),AVERAGE(H28:H51))</f>
        <v/>
      </c>
      <c r="I54" s="17">
        <f>IFERROR(AVERAGE(I28:I51),AVERAGE(I28:I51))</f>
        <v/>
      </c>
      <c r="J54" s="17">
        <f>IFERROR(AVERAGE(J28:J51),AVERAGE(J28:J51))</f>
        <v/>
      </c>
      <c r="K54" s="17">
        <f>IFERROR(AVERAGE(K28:K51),AVERAGE(K28:K51))</f>
        <v/>
      </c>
      <c r="L54" s="17">
        <f>IFERROR(AVERAGE(L28:L51),AVERAGE(L28:L51))</f>
        <v/>
      </c>
      <c r="M54" s="17">
        <f>IFERROR(AVERAGE(M28:M51),AVERAGE(M28:M51))</f>
        <v/>
      </c>
      <c r="N54" s="17">
        <f>IFERROR(AVERAGE(N28:N51),AVERAGE(N28:N51))</f>
        <v/>
      </c>
      <c r="O54" s="17">
        <f>IFERROR(AVERAGE(O28:O51),AVERAGE(O28:O51))</f>
        <v/>
      </c>
      <c r="P54" s="17">
        <f>IFERROR(AVERAGE(P28:P51),AVERAGE(P28:P51))</f>
        <v/>
      </c>
      <c r="Q54" s="17">
        <f>IFERROR(AVERAGE(Q28:Q51),AVERAGE(Q28:Q51))</f>
        <v/>
      </c>
      <c r="R54" s="17">
        <f>IFERROR(AVERAGE(R28:R51),AVERAGE(R28:R51))</f>
        <v/>
      </c>
      <c r="S54" s="17">
        <f>IFERROR(AVERAGE(S28:S51),AVERAGE(S28:S51))</f>
        <v/>
      </c>
      <c r="T54" s="17">
        <f>IFERROR(AVERAGE(T28:T51),AVERAGE(T28:T51))</f>
        <v/>
      </c>
      <c r="U54" s="17">
        <f>IFERROR(AVERAGE(U28:U51),AVERAGE(U28:U51))</f>
        <v/>
      </c>
      <c r="V54" s="17">
        <f>IFERROR(AVERAGE(V28:V51),AVERAGE(V28:V51))</f>
        <v/>
      </c>
      <c r="W54" s="17">
        <f>IFERROR(AVERAGE(W28:W51),AVERAGE(W28:W51))</f>
        <v/>
      </c>
      <c r="X54" s="17">
        <f>IFERROR(AVERAGE(X28:X51),AVERAGE(X28:X51))</f>
        <v/>
      </c>
      <c r="Y54" s="17" t="n"/>
    </row>
    <row r="55">
      <c r="A55" s="19" t="inlineStr">
        <is>
          <t>weighted_all</t>
        </is>
      </c>
      <c r="B55" s="17">
        <f>IFERROR(SUMPRODUCT(B28:B51,B2:B25)/SUMPRODUCT((B28:B51&lt;&gt;"")*B2:B25),SUMPRODUCT(B28:B51,B2:B25)/SUMPRODUCT((B28:B51&lt;&gt;"")*B2:B25))</f>
        <v/>
      </c>
      <c r="C55" s="17">
        <f>IFERROR(SUMPRODUCT(C28:C51,C2:C25)/SUMPRODUCT((C28:C51&lt;&gt;"")*C2:C25),SUMPRODUCT(C28:C51,C2:C25)/SUMPRODUCT((C28:C51&lt;&gt;"")*C2:C25))</f>
        <v/>
      </c>
      <c r="D55" s="17">
        <f>IFERROR(SUMPRODUCT(D28:D51,D2:D25)/SUMPRODUCT((D28:D51&lt;&gt;"")*D2:D25),SUMPRODUCT(D28:D51,D2:D25)/SUMPRODUCT((D28:D51&lt;&gt;"")*D2:D25))</f>
        <v/>
      </c>
      <c r="E55" s="17">
        <f>IFERROR(SUMPRODUCT(E28:E51,E2:E25)/SUMPRODUCT((E28:E51&lt;&gt;"")*E2:E25),SUMPRODUCT(E28:E51,E2:E25)/SUMPRODUCT((E28:E51&lt;&gt;"")*E2:E25))</f>
        <v/>
      </c>
      <c r="F55" s="17">
        <f>IFERROR(SUMPRODUCT(F28:F51,F2:F25)/SUMPRODUCT((F28:F51&lt;&gt;"")*F2:F25),SUMPRODUCT(F28:F51,F2:F25)/SUMPRODUCT((F28:F51&lt;&gt;"")*F2:F25))</f>
        <v/>
      </c>
      <c r="G55" s="17">
        <f>IFERROR(SUMPRODUCT(G28:G51,G2:G25)/SUMPRODUCT((G28:G51&lt;&gt;"")*G2:G25),SUMPRODUCT(G28:G51,G2:G25)/SUMPRODUCT((G28:G51&lt;&gt;"")*G2:G25))</f>
        <v/>
      </c>
      <c r="H55" s="17">
        <f>IFERROR(SUMPRODUCT(H28:H51,H2:H25)/SUMPRODUCT((H28:H51&lt;&gt;"")*H2:H25),SUMPRODUCT(H28:H51,H2:H25)/SUMPRODUCT((H28:H51&lt;&gt;"")*H2:H25))</f>
        <v/>
      </c>
      <c r="I55" s="17">
        <f>IFERROR(SUMPRODUCT(I28:I51,I2:I25)/SUMPRODUCT((I28:I51&lt;&gt;"")*I2:I25),SUMPRODUCT(I28:I51,I2:I25)/SUMPRODUCT((I28:I51&lt;&gt;"")*I2:I25))</f>
        <v/>
      </c>
      <c r="J55" s="17">
        <f>IFERROR(SUMPRODUCT(J28:J51,J2:J25)/SUMPRODUCT((J28:J51&lt;&gt;"")*J2:J25),SUMPRODUCT(J28:J51,J2:J25)/SUMPRODUCT((J28:J51&lt;&gt;"")*J2:J25))</f>
        <v/>
      </c>
      <c r="K55" s="17">
        <f>IFERROR(SUMPRODUCT(K28:K51,K2:K25)/SUMPRODUCT((K28:K51&lt;&gt;"")*K2:K25),SUMPRODUCT(K28:K51,K2:K25)/SUMPRODUCT((K28:K51&lt;&gt;"")*K2:K25))</f>
        <v/>
      </c>
      <c r="L55" s="17">
        <f>IFERROR(SUMPRODUCT(L28:L51,L2:L25)/SUMPRODUCT((L28:L51&lt;&gt;"")*L2:L25),SUMPRODUCT(L28:L51,L2:L25)/SUMPRODUCT((L28:L51&lt;&gt;"")*L2:L25))</f>
        <v/>
      </c>
      <c r="M55" s="17">
        <f>IFERROR(SUMPRODUCT(M28:M51,M2:M25)/SUMPRODUCT((M28:M51&lt;&gt;"")*M2:M25),SUMPRODUCT(M28:M51,M2:M25)/SUMPRODUCT((M28:M51&lt;&gt;"")*M2:M25))</f>
        <v/>
      </c>
      <c r="N55" s="17">
        <f>IFERROR(SUMPRODUCT(N28:N51,N2:N25)/SUMPRODUCT((N28:N51&lt;&gt;"")*N2:N25),SUMPRODUCT(N28:N51,N2:N25)/SUMPRODUCT((N28:N51&lt;&gt;"")*N2:N25))</f>
        <v/>
      </c>
      <c r="O55" s="17">
        <f>IFERROR(SUMPRODUCT(O28:O51,O2:O25)/SUMPRODUCT((O28:O51&lt;&gt;"")*O2:O25),SUMPRODUCT(O28:O51,O2:O25)/SUMPRODUCT((O28:O51&lt;&gt;"")*O2:O25))</f>
        <v/>
      </c>
      <c r="P55" s="17">
        <f>IFERROR(SUMPRODUCT(P28:P51,P2:P25)/SUMPRODUCT((P28:P51&lt;&gt;"")*P2:P25),SUMPRODUCT(P28:P51,P2:P25)/SUMPRODUCT((P28:P51&lt;&gt;"")*P2:P25))</f>
        <v/>
      </c>
      <c r="Q55" s="17">
        <f>IFERROR(SUMPRODUCT(Q28:Q51,Q2:Q25)/SUMPRODUCT((Q28:Q51&lt;&gt;"")*Q2:Q25),SUMPRODUCT(Q28:Q51,Q2:Q25)/SUMPRODUCT((Q28:Q51&lt;&gt;"")*Q2:Q25))</f>
        <v/>
      </c>
      <c r="R55" s="17">
        <f>IFERROR(SUMPRODUCT(R28:R51,R2:R25)/SUMPRODUCT((R28:R51&lt;&gt;"")*R2:R25),SUMPRODUCT(R28:R51,R2:R25)/SUMPRODUCT((R28:R51&lt;&gt;"")*R2:R25))</f>
        <v/>
      </c>
      <c r="S55" s="17">
        <f>IFERROR(SUMPRODUCT(S28:S51,S2:S25)/SUMPRODUCT((S28:S51&lt;&gt;"")*S2:S25),SUMPRODUCT(S28:S51,S2:S25)/SUMPRODUCT((S28:S51&lt;&gt;"")*S2:S25))</f>
        <v/>
      </c>
      <c r="T55" s="17">
        <f>IFERROR(SUMPRODUCT(T28:T51,T2:T25)/SUMPRODUCT((T28:T51&lt;&gt;"")*T2:T25),SUMPRODUCT(T28:T51,T2:T25)/SUMPRODUCT((T28:T51&lt;&gt;"")*T2:T25))</f>
        <v/>
      </c>
      <c r="U55" s="17">
        <f>IFERROR(SUMPRODUCT(U28:U51,U2:U25)/SUMPRODUCT((U28:U51&lt;&gt;"")*U2:U25),SUMPRODUCT(U28:U51,U2:U25)/SUMPRODUCT((U28:U51&lt;&gt;"")*U2:U25))</f>
        <v/>
      </c>
      <c r="V55" s="17">
        <f>IFERROR(SUMPRODUCT(V28:V51,V2:V25)/SUMPRODUCT((V28:V51&lt;&gt;"")*V2:V25),SUMPRODUCT(V28:V51,V2:V25)/SUMPRODUCT((V28:V51&lt;&gt;"")*V2:V25))</f>
        <v/>
      </c>
      <c r="W55" s="17">
        <f>IFERROR(SUMPRODUCT(W28:W51,W2:W25)/SUMPRODUCT((W28:W51&lt;&gt;"")*W2:W25),SUMPRODUCT(W28:W51,W2:W25)/SUMPRODUCT((W28:W51&lt;&gt;"")*W2:W25))</f>
        <v/>
      </c>
      <c r="X55" s="17">
        <f>IFERROR(SUMPRODUCT(X28:X51,X2:X25)/SUMPRODUCT((X28:X51&lt;&gt;"")*X2:X25),SUMPRODUCT(X28:X51,X2:X25)/SUMPRODUCT((X28:X51&lt;&gt;"")*X2:X25))</f>
        <v/>
      </c>
      <c r="Y55" s="17" t="n"/>
    </row>
    <row r="56">
      <c r="A56" s="19" t="inlineStr">
        <is>
          <t>exclude_high_low_all</t>
        </is>
      </c>
      <c r="B56" s="17">
        <f>IFERROR(TRIMMEAN(B28:B51,2/COUNT(B28:B51)),AVERAGE(B28:B51))</f>
        <v/>
      </c>
      <c r="C56" s="17">
        <f>IFERROR(TRIMMEAN(C28:C51,2/COUNT(C28:C51)),AVERAGE(C28:C51))</f>
        <v/>
      </c>
      <c r="D56" s="17">
        <f>IFERROR(TRIMMEAN(D28:D51,2/COUNT(D28:D51)),AVERAGE(D28:D51))</f>
        <v/>
      </c>
      <c r="E56" s="17">
        <f>IFERROR(TRIMMEAN(E28:E51,2/COUNT(E28:E51)),AVERAGE(E28:E51))</f>
        <v/>
      </c>
      <c r="F56" s="17">
        <f>IFERROR(TRIMMEAN(F28:F51,2/COUNT(F28:F51)),AVERAGE(F28:F51))</f>
        <v/>
      </c>
      <c r="G56" s="17">
        <f>IFERROR(TRIMMEAN(G28:G51,2/COUNT(G28:G51)),AVERAGE(G28:G51))</f>
        <v/>
      </c>
      <c r="H56" s="17">
        <f>IFERROR(TRIMMEAN(H28:H51,2/COUNT(H28:H51)),AVERAGE(H28:H51))</f>
        <v/>
      </c>
      <c r="I56" s="17">
        <f>IFERROR(TRIMMEAN(I28:I51,2/COUNT(I28:I51)),AVERAGE(I28:I51))</f>
        <v/>
      </c>
      <c r="J56" s="17">
        <f>IFERROR(TRIMMEAN(J28:J51,2/COUNT(J28:J51)),AVERAGE(J28:J51))</f>
        <v/>
      </c>
      <c r="K56" s="17">
        <f>IFERROR(TRIMMEAN(K28:K51,2/COUNT(K28:K51)),AVERAGE(K28:K51))</f>
        <v/>
      </c>
      <c r="L56" s="17">
        <f>IFERROR(TRIMMEAN(L28:L51,2/COUNT(L28:L51)),AVERAGE(L28:L51))</f>
        <v/>
      </c>
      <c r="M56" s="17">
        <f>IFERROR(TRIMMEAN(M28:M51,2/COUNT(M28:M51)),AVERAGE(M28:M51))</f>
        <v/>
      </c>
      <c r="N56" s="17">
        <f>IFERROR(TRIMMEAN(N28:N51,2/COUNT(N28:N51)),AVERAGE(N28:N51))</f>
        <v/>
      </c>
      <c r="O56" s="17">
        <f>IFERROR(TRIMMEAN(O28:O51,2/COUNT(O28:O51)),AVERAGE(O28:O51))</f>
        <v/>
      </c>
      <c r="P56" s="17">
        <f>IFERROR(TRIMMEAN(P28:P51,2/COUNT(P28:P51)),AVERAGE(P28:P51))</f>
        <v/>
      </c>
      <c r="Q56" s="17">
        <f>IFERROR(TRIMMEAN(Q28:Q51,2/COUNT(Q28:Q51)),AVERAGE(Q28:Q51))</f>
        <v/>
      </c>
      <c r="R56" s="17">
        <f>IFERROR(TRIMMEAN(R28:R51,2/COUNT(R28:R51)),AVERAGE(R28:R51))</f>
        <v/>
      </c>
      <c r="S56" s="17">
        <f>IFERROR(TRIMMEAN(S28:S51,2/COUNT(S28:S51)),AVERAGE(S28:S51))</f>
        <v/>
      </c>
      <c r="T56" s="17">
        <f>IFERROR(TRIMMEAN(T28:T51,2/COUNT(T28:T51)),AVERAGE(T28:T51))</f>
        <v/>
      </c>
      <c r="U56" s="17">
        <f>IFERROR(TRIMMEAN(U28:U51,2/COUNT(U28:U51)),AVERAGE(U28:U51))</f>
        <v/>
      </c>
      <c r="V56" s="17">
        <f>IFERROR(TRIMMEAN(V28:V51,2/COUNT(V28:V51)),AVERAGE(V28:V51))</f>
        <v/>
      </c>
      <c r="W56" s="17">
        <f>IFERROR(TRIMMEAN(W28:W51,2/COUNT(W28:W51)),AVERAGE(W28:W51))</f>
        <v/>
      </c>
      <c r="X56" s="17">
        <f>IFERROR(TRIMMEAN(X28:X51,2/COUNT(X28:X51)),AVERAGE(X28:X51))</f>
        <v/>
      </c>
      <c r="Y56" s="17" t="n"/>
    </row>
    <row r="57">
      <c r="A57" s="19" t="inlineStr">
        <is>
          <t>simple_3yr</t>
        </is>
      </c>
      <c r="B57" s="17">
        <f>IFERROR(AVERAGE(B49:B51),AVERAGE(B28:B51))</f>
        <v/>
      </c>
      <c r="C57" s="17">
        <f>IFERROR(AVERAGE(C49:C51),AVERAGE(C28:C51))</f>
        <v/>
      </c>
      <c r="D57" s="17">
        <f>IFERROR(AVERAGE(D49:D51),AVERAGE(D28:D51))</f>
        <v/>
      </c>
      <c r="E57" s="17">
        <f>IFERROR(AVERAGE(E49:E51),AVERAGE(E28:E51))</f>
        <v/>
      </c>
      <c r="F57" s="17">
        <f>IFERROR(AVERAGE(F49:F51),AVERAGE(F28:F51))</f>
        <v/>
      </c>
      <c r="G57" s="17">
        <f>IFERROR(AVERAGE(G49:G51),AVERAGE(G28:G51))</f>
        <v/>
      </c>
      <c r="H57" s="17">
        <f>IFERROR(AVERAGE(H49:H51),AVERAGE(H28:H51))</f>
        <v/>
      </c>
      <c r="I57" s="17">
        <f>IFERROR(AVERAGE(I49:I51),AVERAGE(I28:I51))</f>
        <v/>
      </c>
      <c r="J57" s="17">
        <f>IFERROR(AVERAGE(J49:J51),AVERAGE(J28:J51))</f>
        <v/>
      </c>
      <c r="K57" s="17">
        <f>IFERROR(AVERAGE(K49:K51),AVERAGE(K28:K51))</f>
        <v/>
      </c>
      <c r="L57" s="17">
        <f>IFERROR(AVERAGE(L49:L51),AVERAGE(L28:L51))</f>
        <v/>
      </c>
      <c r="M57" s="17">
        <f>IFERROR(AVERAGE(M49:M51),AVERAGE(M28:M51))</f>
        <v/>
      </c>
      <c r="N57" s="17">
        <f>IFERROR(AVERAGE(N49:N51),AVERAGE(N28:N51))</f>
        <v/>
      </c>
      <c r="O57" s="17">
        <f>IFERROR(AVERAGE(O49:O51),AVERAGE(O28:O51))</f>
        <v/>
      </c>
      <c r="P57" s="17">
        <f>IFERROR(AVERAGE(P49:P51),AVERAGE(P28:P51))</f>
        <v/>
      </c>
      <c r="Q57" s="17">
        <f>IFERROR(AVERAGE(Q49:Q51),AVERAGE(Q28:Q51))</f>
        <v/>
      </c>
      <c r="R57" s="17">
        <f>IFERROR(AVERAGE(R49:R51),AVERAGE(R28:R51))</f>
        <v/>
      </c>
      <c r="S57" s="17">
        <f>IFERROR(AVERAGE(S49:S51),AVERAGE(S28:S51))</f>
        <v/>
      </c>
      <c r="T57" s="17">
        <f>IFERROR(AVERAGE(T49:T51),AVERAGE(T28:T51))</f>
        <v/>
      </c>
      <c r="U57" s="17">
        <f>IFERROR(AVERAGE(U49:U51),AVERAGE(U28:U51))</f>
        <v/>
      </c>
      <c r="V57" s="17">
        <f>IFERROR(AVERAGE(V49:V51),AVERAGE(V28:V51))</f>
        <v/>
      </c>
      <c r="W57" s="17">
        <f>IFERROR(AVERAGE(W49:W51),AVERAGE(W28:W51))</f>
        <v/>
      </c>
      <c r="X57" s="17">
        <f>IFERROR(AVERAGE(X49:X51),AVERAGE(X28:X51))</f>
        <v/>
      </c>
      <c r="Y57" s="17" t="n"/>
    </row>
    <row r="58">
      <c r="A58" s="19" t="inlineStr">
        <is>
          <t>weighted_3yr</t>
        </is>
      </c>
      <c r="B58" s="17">
        <f>IFERROR(SUMPRODUCT(B49:B51,B23:B25)/SUMPRODUCT((B49:B51&lt;&gt;"")*B23:B25),SUMPRODUCT(B28:B51,B2:B25)/SUMPRODUCT((B28:B51&lt;&gt;"")*B2:B25))</f>
        <v/>
      </c>
      <c r="C58" s="17">
        <f>IFERROR(SUMPRODUCT(C49:C51,C23:C25)/SUMPRODUCT((C49:C51&lt;&gt;"")*C23:C25),SUMPRODUCT(C28:C51,C2:C25)/SUMPRODUCT((C28:C51&lt;&gt;"")*C2:C25))</f>
        <v/>
      </c>
      <c r="D58" s="17">
        <f>IFERROR(SUMPRODUCT(D49:D51,D23:D25)/SUMPRODUCT((D49:D51&lt;&gt;"")*D23:D25),SUMPRODUCT(D28:D51,D2:D25)/SUMPRODUCT((D28:D51&lt;&gt;"")*D2:D25))</f>
        <v/>
      </c>
      <c r="E58" s="17">
        <f>IFERROR(SUMPRODUCT(E49:E51,E23:E25)/SUMPRODUCT((E49:E51&lt;&gt;"")*E23:E25),SUMPRODUCT(E28:E51,E2:E25)/SUMPRODUCT((E28:E51&lt;&gt;"")*E2:E25))</f>
        <v/>
      </c>
      <c r="F58" s="17">
        <f>IFERROR(SUMPRODUCT(F49:F51,F23:F25)/SUMPRODUCT((F49:F51&lt;&gt;"")*F23:F25),SUMPRODUCT(F28:F51,F2:F25)/SUMPRODUCT((F28:F51&lt;&gt;"")*F2:F25))</f>
        <v/>
      </c>
      <c r="G58" s="17">
        <f>IFERROR(SUMPRODUCT(G49:G51,G23:G25)/SUMPRODUCT((G49:G51&lt;&gt;"")*G23:G25),SUMPRODUCT(G28:G51,G2:G25)/SUMPRODUCT((G28:G51&lt;&gt;"")*G2:G25))</f>
        <v/>
      </c>
      <c r="H58" s="17">
        <f>IFERROR(SUMPRODUCT(H49:H51,H23:H25)/SUMPRODUCT((H49:H51&lt;&gt;"")*H23:H25),SUMPRODUCT(H28:H51,H2:H25)/SUMPRODUCT((H28:H51&lt;&gt;"")*H2:H25))</f>
        <v/>
      </c>
      <c r="I58" s="17">
        <f>IFERROR(SUMPRODUCT(I49:I51,I23:I25)/SUMPRODUCT((I49:I51&lt;&gt;"")*I23:I25),SUMPRODUCT(I28:I51,I2:I25)/SUMPRODUCT((I28:I51&lt;&gt;"")*I2:I25))</f>
        <v/>
      </c>
      <c r="J58" s="17">
        <f>IFERROR(SUMPRODUCT(J49:J51,J23:J25)/SUMPRODUCT((J49:J51&lt;&gt;"")*J23:J25),SUMPRODUCT(J28:J51,J2:J25)/SUMPRODUCT((J28:J51&lt;&gt;"")*J2:J25))</f>
        <v/>
      </c>
      <c r="K58" s="17">
        <f>IFERROR(SUMPRODUCT(K49:K51,K23:K25)/SUMPRODUCT((K49:K51&lt;&gt;"")*K23:K25),SUMPRODUCT(K28:K51,K2:K25)/SUMPRODUCT((K28:K51&lt;&gt;"")*K2:K25))</f>
        <v/>
      </c>
      <c r="L58" s="17">
        <f>IFERROR(SUMPRODUCT(L49:L51,L23:L25)/SUMPRODUCT((L49:L51&lt;&gt;"")*L23:L25),SUMPRODUCT(L28:L51,L2:L25)/SUMPRODUCT((L28:L51&lt;&gt;"")*L2:L25))</f>
        <v/>
      </c>
      <c r="M58" s="17">
        <f>IFERROR(SUMPRODUCT(M49:M51,M23:M25)/SUMPRODUCT((M49:M51&lt;&gt;"")*M23:M25),SUMPRODUCT(M28:M51,M2:M25)/SUMPRODUCT((M28:M51&lt;&gt;"")*M2:M25))</f>
        <v/>
      </c>
      <c r="N58" s="17">
        <f>IFERROR(SUMPRODUCT(N49:N51,N23:N25)/SUMPRODUCT((N49:N51&lt;&gt;"")*N23:N25),SUMPRODUCT(N28:N51,N2:N25)/SUMPRODUCT((N28:N51&lt;&gt;"")*N2:N25))</f>
        <v/>
      </c>
      <c r="O58" s="17">
        <f>IFERROR(SUMPRODUCT(O49:O51,O23:O25)/SUMPRODUCT((O49:O51&lt;&gt;"")*O23:O25),SUMPRODUCT(O28:O51,O2:O25)/SUMPRODUCT((O28:O51&lt;&gt;"")*O2:O25))</f>
        <v/>
      </c>
      <c r="P58" s="17">
        <f>IFERROR(SUMPRODUCT(P49:P51,P23:P25)/SUMPRODUCT((P49:P51&lt;&gt;"")*P23:P25),SUMPRODUCT(P28:P51,P2:P25)/SUMPRODUCT((P28:P51&lt;&gt;"")*P2:P25))</f>
        <v/>
      </c>
      <c r="Q58" s="17">
        <f>IFERROR(SUMPRODUCT(Q49:Q51,Q23:Q25)/SUMPRODUCT((Q49:Q51&lt;&gt;"")*Q23:Q25),SUMPRODUCT(Q28:Q51,Q2:Q25)/SUMPRODUCT((Q28:Q51&lt;&gt;"")*Q2:Q25))</f>
        <v/>
      </c>
      <c r="R58" s="17">
        <f>IFERROR(SUMPRODUCT(R49:R51,R23:R25)/SUMPRODUCT((R49:R51&lt;&gt;"")*R23:R25),SUMPRODUCT(R28:R51,R2:R25)/SUMPRODUCT((R28:R51&lt;&gt;"")*R2:R25))</f>
        <v/>
      </c>
      <c r="S58" s="17">
        <f>IFERROR(SUMPRODUCT(S49:S51,S23:S25)/SUMPRODUCT((S49:S51&lt;&gt;"")*S23:S25),SUMPRODUCT(S28:S51,S2:S25)/SUMPRODUCT((S28:S51&lt;&gt;"")*S2:S25))</f>
        <v/>
      </c>
      <c r="T58" s="17">
        <f>IFERROR(SUMPRODUCT(T49:T51,T23:T25)/SUMPRODUCT((T49:T51&lt;&gt;"")*T23:T25),SUMPRODUCT(T28:T51,T2:T25)/SUMPRODUCT((T28:T51&lt;&gt;"")*T2:T25))</f>
        <v/>
      </c>
      <c r="U58" s="17">
        <f>IFERROR(SUMPRODUCT(U49:U51,U23:U25)/SUMPRODUCT((U49:U51&lt;&gt;"")*U23:U25),SUMPRODUCT(U28:U51,U2:U25)/SUMPRODUCT((U28:U51&lt;&gt;"")*U2:U25))</f>
        <v/>
      </c>
      <c r="V58" s="17">
        <f>IFERROR(SUMPRODUCT(V49:V51,V23:V25)/SUMPRODUCT((V49:V51&lt;&gt;"")*V23:V25),SUMPRODUCT(V28:V51,V2:V25)/SUMPRODUCT((V28:V51&lt;&gt;"")*V2:V25))</f>
        <v/>
      </c>
      <c r="W58" s="17">
        <f>IFERROR(SUMPRODUCT(W49:W51,W23:W25)/SUMPRODUCT((W49:W51&lt;&gt;"")*W23:W25),SUMPRODUCT(W28:W51,W2:W25)/SUMPRODUCT((W28:W51&lt;&gt;"")*W2:W25))</f>
        <v/>
      </c>
      <c r="X58" s="17">
        <f>IFERROR(SUMPRODUCT(X49:X51,X23:X25)/SUMPRODUCT((X49:X51&lt;&gt;"")*X23:X25),SUMPRODUCT(X28:X51,X2:X25)/SUMPRODUCT((X28:X51&lt;&gt;"")*X2:X25))</f>
        <v/>
      </c>
      <c r="Y58" s="17" t="n"/>
    </row>
    <row r="59">
      <c r="A59" s="19" t="inlineStr">
        <is>
          <t>exclude_high_low_3yr</t>
        </is>
      </c>
      <c r="B59" s="17">
        <f>IFERROR(TRIMMEAN(B49:B51,2/COUNT(B49:B51)),AVERAGE(B28:B51))</f>
        <v/>
      </c>
      <c r="C59" s="17">
        <f>IFERROR(TRIMMEAN(C49:C51,2/COUNT(C49:C51)),AVERAGE(C28:C51))</f>
        <v/>
      </c>
      <c r="D59" s="17">
        <f>IFERROR(TRIMMEAN(D49:D51,2/COUNT(D49:D51)),AVERAGE(D28:D51))</f>
        <v/>
      </c>
      <c r="E59" s="17">
        <f>IFERROR(TRIMMEAN(E49:E51,2/COUNT(E49:E51)),AVERAGE(E28:E51))</f>
        <v/>
      </c>
      <c r="F59" s="17">
        <f>IFERROR(TRIMMEAN(F49:F51,2/COUNT(F49:F51)),AVERAGE(F28:F51))</f>
        <v/>
      </c>
      <c r="G59" s="17">
        <f>IFERROR(TRIMMEAN(G49:G51,2/COUNT(G49:G51)),AVERAGE(G28:G51))</f>
        <v/>
      </c>
      <c r="H59" s="17">
        <f>IFERROR(TRIMMEAN(H49:H51,2/COUNT(H49:H51)),AVERAGE(H28:H51))</f>
        <v/>
      </c>
      <c r="I59" s="17">
        <f>IFERROR(TRIMMEAN(I49:I51,2/COUNT(I49:I51)),AVERAGE(I28:I51))</f>
        <v/>
      </c>
      <c r="J59" s="17">
        <f>IFERROR(TRIMMEAN(J49:J51,2/COUNT(J49:J51)),AVERAGE(J28:J51))</f>
        <v/>
      </c>
      <c r="K59" s="17">
        <f>IFERROR(TRIMMEAN(K49:K51,2/COUNT(K49:K51)),AVERAGE(K28:K51))</f>
        <v/>
      </c>
      <c r="L59" s="17">
        <f>IFERROR(TRIMMEAN(L49:L51,2/COUNT(L49:L51)),AVERAGE(L28:L51))</f>
        <v/>
      </c>
      <c r="M59" s="17">
        <f>IFERROR(TRIMMEAN(M49:M51,2/COUNT(M49:M51)),AVERAGE(M28:M51))</f>
        <v/>
      </c>
      <c r="N59" s="17">
        <f>IFERROR(TRIMMEAN(N49:N51,2/COUNT(N49:N51)),AVERAGE(N28:N51))</f>
        <v/>
      </c>
      <c r="O59" s="17">
        <f>IFERROR(TRIMMEAN(O49:O51,2/COUNT(O49:O51)),AVERAGE(O28:O51))</f>
        <v/>
      </c>
      <c r="P59" s="17">
        <f>IFERROR(TRIMMEAN(P49:P51,2/COUNT(P49:P51)),AVERAGE(P28:P51))</f>
        <v/>
      </c>
      <c r="Q59" s="17">
        <f>IFERROR(TRIMMEAN(Q49:Q51,2/COUNT(Q49:Q51)),AVERAGE(Q28:Q51))</f>
        <v/>
      </c>
      <c r="R59" s="17">
        <f>IFERROR(TRIMMEAN(R49:R51,2/COUNT(R49:R51)),AVERAGE(R28:R51))</f>
        <v/>
      </c>
      <c r="S59" s="17">
        <f>IFERROR(TRIMMEAN(S49:S51,2/COUNT(S49:S51)),AVERAGE(S28:S51))</f>
        <v/>
      </c>
      <c r="T59" s="17">
        <f>IFERROR(TRIMMEAN(T49:T51,2/COUNT(T49:T51)),AVERAGE(T28:T51))</f>
        <v/>
      </c>
      <c r="U59" s="17">
        <f>IFERROR(TRIMMEAN(U49:U51,2/COUNT(U49:U51)),AVERAGE(U28:U51))</f>
        <v/>
      </c>
      <c r="V59" s="17">
        <f>IFERROR(TRIMMEAN(V49:V51,2/COUNT(V49:V51)),AVERAGE(V28:V51))</f>
        <v/>
      </c>
      <c r="W59" s="17">
        <f>IFERROR(TRIMMEAN(W49:W51,2/COUNT(W49:W51)),AVERAGE(W28:W51))</f>
        <v/>
      </c>
      <c r="X59" s="17">
        <f>IFERROR(TRIMMEAN(X49:X51,2/COUNT(X49:X51)),AVERAGE(X28:X51))</f>
        <v/>
      </c>
      <c r="Y59" s="17" t="n"/>
    </row>
    <row r="60">
      <c r="A60" s="19" t="inlineStr">
        <is>
          <t>simple_5yr</t>
        </is>
      </c>
      <c r="B60" s="17">
        <f>IFERROR(AVERAGE(B47:B51),AVERAGE(B28:B51))</f>
        <v/>
      </c>
      <c r="C60" s="17">
        <f>IFERROR(AVERAGE(C47:C51),AVERAGE(C28:C51))</f>
        <v/>
      </c>
      <c r="D60" s="17">
        <f>IFERROR(AVERAGE(D47:D51),AVERAGE(D28:D51))</f>
        <v/>
      </c>
      <c r="E60" s="17">
        <f>IFERROR(AVERAGE(E47:E51),AVERAGE(E28:E51))</f>
        <v/>
      </c>
      <c r="F60" s="17">
        <f>IFERROR(AVERAGE(F47:F51),AVERAGE(F28:F51))</f>
        <v/>
      </c>
      <c r="G60" s="17">
        <f>IFERROR(AVERAGE(G47:G51),AVERAGE(G28:G51))</f>
        <v/>
      </c>
      <c r="H60" s="17">
        <f>IFERROR(AVERAGE(H47:H51),AVERAGE(H28:H51))</f>
        <v/>
      </c>
      <c r="I60" s="17">
        <f>IFERROR(AVERAGE(I47:I51),AVERAGE(I28:I51))</f>
        <v/>
      </c>
      <c r="J60" s="17">
        <f>IFERROR(AVERAGE(J47:J51),AVERAGE(J28:J51))</f>
        <v/>
      </c>
      <c r="K60" s="17">
        <f>IFERROR(AVERAGE(K47:K51),AVERAGE(K28:K51))</f>
        <v/>
      </c>
      <c r="L60" s="17">
        <f>IFERROR(AVERAGE(L47:L51),AVERAGE(L28:L51))</f>
        <v/>
      </c>
      <c r="M60" s="17">
        <f>IFERROR(AVERAGE(M47:M51),AVERAGE(M28:M51))</f>
        <v/>
      </c>
      <c r="N60" s="17">
        <f>IFERROR(AVERAGE(N47:N51),AVERAGE(N28:N51))</f>
        <v/>
      </c>
      <c r="O60" s="17">
        <f>IFERROR(AVERAGE(O47:O51),AVERAGE(O28:O51))</f>
        <v/>
      </c>
      <c r="P60" s="17">
        <f>IFERROR(AVERAGE(P47:P51),AVERAGE(P28:P51))</f>
        <v/>
      </c>
      <c r="Q60" s="17">
        <f>IFERROR(AVERAGE(Q47:Q51),AVERAGE(Q28:Q51))</f>
        <v/>
      </c>
      <c r="R60" s="17">
        <f>IFERROR(AVERAGE(R47:R51),AVERAGE(R28:R51))</f>
        <v/>
      </c>
      <c r="S60" s="17">
        <f>IFERROR(AVERAGE(S47:S51),AVERAGE(S28:S51))</f>
        <v/>
      </c>
      <c r="T60" s="17">
        <f>IFERROR(AVERAGE(T47:T51),AVERAGE(T28:T51))</f>
        <v/>
      </c>
      <c r="U60" s="17">
        <f>IFERROR(AVERAGE(U47:U51),AVERAGE(U28:U51))</f>
        <v/>
      </c>
      <c r="V60" s="17">
        <f>IFERROR(AVERAGE(V47:V51),AVERAGE(V28:V51))</f>
        <v/>
      </c>
      <c r="W60" s="17">
        <f>IFERROR(AVERAGE(W47:W51),AVERAGE(W28:W51))</f>
        <v/>
      </c>
      <c r="X60" s="17">
        <f>IFERROR(AVERAGE(X47:X51),AVERAGE(X28:X51))</f>
        <v/>
      </c>
      <c r="Y60" s="17" t="n"/>
    </row>
    <row r="61">
      <c r="A61" s="19" t="inlineStr">
        <is>
          <t>weighted_5yr</t>
        </is>
      </c>
      <c r="B61" s="17">
        <f>IFERROR(SUMPRODUCT(B47:B51,B21:B25)/SUMPRODUCT((B47:B51&lt;&gt;"")*B21:B25),SUMPRODUCT(B28:B51,B2:B25)/SUMPRODUCT((B28:B51&lt;&gt;"")*B2:B25))</f>
        <v/>
      </c>
      <c r="C61" s="17">
        <f>IFERROR(SUMPRODUCT(C47:C51,C21:C25)/SUMPRODUCT((C47:C51&lt;&gt;"")*C21:C25),SUMPRODUCT(C28:C51,C2:C25)/SUMPRODUCT((C28:C51&lt;&gt;"")*C2:C25))</f>
        <v/>
      </c>
      <c r="D61" s="17">
        <f>IFERROR(SUMPRODUCT(D47:D51,D21:D25)/SUMPRODUCT((D47:D51&lt;&gt;"")*D21:D25),SUMPRODUCT(D28:D51,D2:D25)/SUMPRODUCT((D28:D51&lt;&gt;"")*D2:D25))</f>
        <v/>
      </c>
      <c r="E61" s="17">
        <f>IFERROR(SUMPRODUCT(E47:E51,E21:E25)/SUMPRODUCT((E47:E51&lt;&gt;"")*E21:E25),SUMPRODUCT(E28:E51,E2:E25)/SUMPRODUCT((E28:E51&lt;&gt;"")*E2:E25))</f>
        <v/>
      </c>
      <c r="F61" s="17">
        <f>IFERROR(SUMPRODUCT(F47:F51,F21:F25)/SUMPRODUCT((F47:F51&lt;&gt;"")*F21:F25),SUMPRODUCT(F28:F51,F2:F25)/SUMPRODUCT((F28:F51&lt;&gt;"")*F2:F25))</f>
        <v/>
      </c>
      <c r="G61" s="17">
        <f>IFERROR(SUMPRODUCT(G47:G51,G21:G25)/SUMPRODUCT((G47:G51&lt;&gt;"")*G21:G25),SUMPRODUCT(G28:G51,G2:G25)/SUMPRODUCT((G28:G51&lt;&gt;"")*G2:G25))</f>
        <v/>
      </c>
      <c r="H61" s="17">
        <f>IFERROR(SUMPRODUCT(H47:H51,H21:H25)/SUMPRODUCT((H47:H51&lt;&gt;"")*H21:H25),SUMPRODUCT(H28:H51,H2:H25)/SUMPRODUCT((H28:H51&lt;&gt;"")*H2:H25))</f>
        <v/>
      </c>
      <c r="I61" s="17">
        <f>IFERROR(SUMPRODUCT(I47:I51,I21:I25)/SUMPRODUCT((I47:I51&lt;&gt;"")*I21:I25),SUMPRODUCT(I28:I51,I2:I25)/SUMPRODUCT((I28:I51&lt;&gt;"")*I2:I25))</f>
        <v/>
      </c>
      <c r="J61" s="17">
        <f>IFERROR(SUMPRODUCT(J47:J51,J21:J25)/SUMPRODUCT((J47:J51&lt;&gt;"")*J21:J25),SUMPRODUCT(J28:J51,J2:J25)/SUMPRODUCT((J28:J51&lt;&gt;"")*J2:J25))</f>
        <v/>
      </c>
      <c r="K61" s="17">
        <f>IFERROR(SUMPRODUCT(K47:K51,K21:K25)/SUMPRODUCT((K47:K51&lt;&gt;"")*K21:K25),SUMPRODUCT(K28:K51,K2:K25)/SUMPRODUCT((K28:K51&lt;&gt;"")*K2:K25))</f>
        <v/>
      </c>
      <c r="L61" s="17">
        <f>IFERROR(SUMPRODUCT(L47:L51,L21:L25)/SUMPRODUCT((L47:L51&lt;&gt;"")*L21:L25),SUMPRODUCT(L28:L51,L2:L25)/SUMPRODUCT((L28:L51&lt;&gt;"")*L2:L25))</f>
        <v/>
      </c>
      <c r="M61" s="17">
        <f>IFERROR(SUMPRODUCT(M47:M51,M21:M25)/SUMPRODUCT((M47:M51&lt;&gt;"")*M21:M25),SUMPRODUCT(M28:M51,M2:M25)/SUMPRODUCT((M28:M51&lt;&gt;"")*M2:M25))</f>
        <v/>
      </c>
      <c r="N61" s="17">
        <f>IFERROR(SUMPRODUCT(N47:N51,N21:N25)/SUMPRODUCT((N47:N51&lt;&gt;"")*N21:N25),SUMPRODUCT(N28:N51,N2:N25)/SUMPRODUCT((N28:N51&lt;&gt;"")*N2:N25))</f>
        <v/>
      </c>
      <c r="O61" s="17">
        <f>IFERROR(SUMPRODUCT(O47:O51,O21:O25)/SUMPRODUCT((O47:O51&lt;&gt;"")*O21:O25),SUMPRODUCT(O28:O51,O2:O25)/SUMPRODUCT((O28:O51&lt;&gt;"")*O2:O25))</f>
        <v/>
      </c>
      <c r="P61" s="17">
        <f>IFERROR(SUMPRODUCT(P47:P51,P21:P25)/SUMPRODUCT((P47:P51&lt;&gt;"")*P21:P25),SUMPRODUCT(P28:P51,P2:P25)/SUMPRODUCT((P28:P51&lt;&gt;"")*P2:P25))</f>
        <v/>
      </c>
      <c r="Q61" s="17">
        <f>IFERROR(SUMPRODUCT(Q47:Q51,Q21:Q25)/SUMPRODUCT((Q47:Q51&lt;&gt;"")*Q21:Q25),SUMPRODUCT(Q28:Q51,Q2:Q25)/SUMPRODUCT((Q28:Q51&lt;&gt;"")*Q2:Q25))</f>
        <v/>
      </c>
      <c r="R61" s="17">
        <f>IFERROR(SUMPRODUCT(R47:R51,R21:R25)/SUMPRODUCT((R47:R51&lt;&gt;"")*R21:R25),SUMPRODUCT(R28:R51,R2:R25)/SUMPRODUCT((R28:R51&lt;&gt;"")*R2:R25))</f>
        <v/>
      </c>
      <c r="S61" s="17">
        <f>IFERROR(SUMPRODUCT(S47:S51,S21:S25)/SUMPRODUCT((S47:S51&lt;&gt;"")*S21:S25),SUMPRODUCT(S28:S51,S2:S25)/SUMPRODUCT((S28:S51&lt;&gt;"")*S2:S25))</f>
        <v/>
      </c>
      <c r="T61" s="17">
        <f>IFERROR(SUMPRODUCT(T47:T51,T21:T25)/SUMPRODUCT((T47:T51&lt;&gt;"")*T21:T25),SUMPRODUCT(T28:T51,T2:T25)/SUMPRODUCT((T28:T51&lt;&gt;"")*T2:T25))</f>
        <v/>
      </c>
      <c r="U61" s="17">
        <f>IFERROR(SUMPRODUCT(U47:U51,U21:U25)/SUMPRODUCT((U47:U51&lt;&gt;"")*U21:U25),SUMPRODUCT(U28:U51,U2:U25)/SUMPRODUCT((U28:U51&lt;&gt;"")*U2:U25))</f>
        <v/>
      </c>
      <c r="V61" s="17">
        <f>IFERROR(SUMPRODUCT(V47:V51,V21:V25)/SUMPRODUCT((V47:V51&lt;&gt;"")*V21:V25),SUMPRODUCT(V28:V51,V2:V25)/SUMPRODUCT((V28:V51&lt;&gt;"")*V2:V25))</f>
        <v/>
      </c>
      <c r="W61" s="17">
        <f>IFERROR(SUMPRODUCT(W47:W51,W21:W25)/SUMPRODUCT((W47:W51&lt;&gt;"")*W21:W25),SUMPRODUCT(W28:W51,W2:W25)/SUMPRODUCT((W28:W51&lt;&gt;"")*W2:W25))</f>
        <v/>
      </c>
      <c r="X61" s="17">
        <f>IFERROR(SUMPRODUCT(X47:X51,X21:X25)/SUMPRODUCT((X47:X51&lt;&gt;"")*X21:X25),SUMPRODUCT(X28:X51,X2:X25)/SUMPRODUCT((X28:X51&lt;&gt;"")*X2:X25))</f>
        <v/>
      </c>
      <c r="Y61" s="17" t="n"/>
    </row>
    <row r="62">
      <c r="A62" s="19" t="inlineStr">
        <is>
          <t>exclude_high_low_5yr</t>
        </is>
      </c>
      <c r="B62" s="17">
        <f>IFERROR(TRIMMEAN(B47:B51,2/COUNT(B47:B51)),AVERAGE(B28:B51))</f>
        <v/>
      </c>
      <c r="C62" s="17">
        <f>IFERROR(TRIMMEAN(C47:C51,2/COUNT(C47:C51)),AVERAGE(C28:C51))</f>
        <v/>
      </c>
      <c r="D62" s="17">
        <f>IFERROR(TRIMMEAN(D47:D51,2/COUNT(D47:D51)),AVERAGE(D28:D51))</f>
        <v/>
      </c>
      <c r="E62" s="17">
        <f>IFERROR(TRIMMEAN(E47:E51,2/COUNT(E47:E51)),AVERAGE(E28:E51))</f>
        <v/>
      </c>
      <c r="F62" s="17">
        <f>IFERROR(TRIMMEAN(F47:F51,2/COUNT(F47:F51)),AVERAGE(F28:F51))</f>
        <v/>
      </c>
      <c r="G62" s="17">
        <f>IFERROR(TRIMMEAN(G47:G51,2/COUNT(G47:G51)),AVERAGE(G28:G51))</f>
        <v/>
      </c>
      <c r="H62" s="17">
        <f>IFERROR(TRIMMEAN(H47:H51,2/COUNT(H47:H51)),AVERAGE(H28:H51))</f>
        <v/>
      </c>
      <c r="I62" s="17">
        <f>IFERROR(TRIMMEAN(I47:I51,2/COUNT(I47:I51)),AVERAGE(I28:I51))</f>
        <v/>
      </c>
      <c r="J62" s="17">
        <f>IFERROR(TRIMMEAN(J47:J51,2/COUNT(J47:J51)),AVERAGE(J28:J51))</f>
        <v/>
      </c>
      <c r="K62" s="17">
        <f>IFERROR(TRIMMEAN(K47:K51,2/COUNT(K47:K51)),AVERAGE(K28:K51))</f>
        <v/>
      </c>
      <c r="L62" s="17">
        <f>IFERROR(TRIMMEAN(L47:L51,2/COUNT(L47:L51)),AVERAGE(L28:L51))</f>
        <v/>
      </c>
      <c r="M62" s="17">
        <f>IFERROR(TRIMMEAN(M47:M51,2/COUNT(M47:M51)),AVERAGE(M28:M51))</f>
        <v/>
      </c>
      <c r="N62" s="17">
        <f>IFERROR(TRIMMEAN(N47:N51,2/COUNT(N47:N51)),AVERAGE(N28:N51))</f>
        <v/>
      </c>
      <c r="O62" s="17">
        <f>IFERROR(TRIMMEAN(O47:O51,2/COUNT(O47:O51)),AVERAGE(O28:O51))</f>
        <v/>
      </c>
      <c r="P62" s="17">
        <f>IFERROR(TRIMMEAN(P47:P51,2/COUNT(P47:P51)),AVERAGE(P28:P51))</f>
        <v/>
      </c>
      <c r="Q62" s="17">
        <f>IFERROR(TRIMMEAN(Q47:Q51,2/COUNT(Q47:Q51)),AVERAGE(Q28:Q51))</f>
        <v/>
      </c>
      <c r="R62" s="17">
        <f>IFERROR(TRIMMEAN(R47:R51,2/COUNT(R47:R51)),AVERAGE(R28:R51))</f>
        <v/>
      </c>
      <c r="S62" s="17">
        <f>IFERROR(TRIMMEAN(S47:S51,2/COUNT(S47:S51)),AVERAGE(S28:S51))</f>
        <v/>
      </c>
      <c r="T62" s="17">
        <f>IFERROR(TRIMMEAN(T47:T51,2/COUNT(T47:T51)),AVERAGE(T28:T51))</f>
        <v/>
      </c>
      <c r="U62" s="17">
        <f>IFERROR(TRIMMEAN(U47:U51,2/COUNT(U47:U51)),AVERAGE(U28:U51))</f>
        <v/>
      </c>
      <c r="V62" s="17">
        <f>IFERROR(TRIMMEAN(V47:V51,2/COUNT(V47:V51)),AVERAGE(V28:V51))</f>
        <v/>
      </c>
      <c r="W62" s="17">
        <f>IFERROR(TRIMMEAN(W47:W51,2/COUNT(W47:W51)),AVERAGE(W28:W51))</f>
        <v/>
      </c>
      <c r="X62" s="17">
        <f>IFERROR(TRIMMEAN(X47:X51,2/COUNT(X47:X51)),AVERAGE(X28:X51))</f>
        <v/>
      </c>
      <c r="Y62" s="17" t="n"/>
    </row>
    <row r="63">
      <c r="A63" s="19" t="inlineStr">
        <is>
          <t>simple_10yr</t>
        </is>
      </c>
      <c r="B63" s="17">
        <f>IFERROR(AVERAGE(B42:B51),AVERAGE(B28:B51))</f>
        <v/>
      </c>
      <c r="C63" s="17">
        <f>IFERROR(AVERAGE(C42:C51),AVERAGE(C28:C51))</f>
        <v/>
      </c>
      <c r="D63" s="17">
        <f>IFERROR(AVERAGE(D42:D51),AVERAGE(D28:D51))</f>
        <v/>
      </c>
      <c r="E63" s="17">
        <f>IFERROR(AVERAGE(E42:E51),AVERAGE(E28:E51))</f>
        <v/>
      </c>
      <c r="F63" s="17">
        <f>IFERROR(AVERAGE(F42:F51),AVERAGE(F28:F51))</f>
        <v/>
      </c>
      <c r="G63" s="17">
        <f>IFERROR(AVERAGE(G42:G51),AVERAGE(G28:G51))</f>
        <v/>
      </c>
      <c r="H63" s="17">
        <f>IFERROR(AVERAGE(H42:H51),AVERAGE(H28:H51))</f>
        <v/>
      </c>
      <c r="I63" s="17">
        <f>IFERROR(AVERAGE(I42:I51),AVERAGE(I28:I51))</f>
        <v/>
      </c>
      <c r="J63" s="17">
        <f>IFERROR(AVERAGE(J42:J51),AVERAGE(J28:J51))</f>
        <v/>
      </c>
      <c r="K63" s="17">
        <f>IFERROR(AVERAGE(K42:K51),AVERAGE(K28:K51))</f>
        <v/>
      </c>
      <c r="L63" s="17">
        <f>IFERROR(AVERAGE(L42:L51),AVERAGE(L28:L51))</f>
        <v/>
      </c>
      <c r="M63" s="17">
        <f>IFERROR(AVERAGE(M42:M51),AVERAGE(M28:M51))</f>
        <v/>
      </c>
      <c r="N63" s="17">
        <f>IFERROR(AVERAGE(N42:N51),AVERAGE(N28:N51))</f>
        <v/>
      </c>
      <c r="O63" s="17">
        <f>IFERROR(AVERAGE(O42:O51),AVERAGE(O28:O51))</f>
        <v/>
      </c>
      <c r="P63" s="17">
        <f>IFERROR(AVERAGE(P42:P51),AVERAGE(P28:P51))</f>
        <v/>
      </c>
      <c r="Q63" s="17">
        <f>IFERROR(AVERAGE(Q42:Q51),AVERAGE(Q28:Q51))</f>
        <v/>
      </c>
      <c r="R63" s="17">
        <f>IFERROR(AVERAGE(R42:R51),AVERAGE(R28:R51))</f>
        <v/>
      </c>
      <c r="S63" s="17">
        <f>IFERROR(AVERAGE(S42:S51),AVERAGE(S28:S51))</f>
        <v/>
      </c>
      <c r="T63" s="17">
        <f>IFERROR(AVERAGE(T42:T51),AVERAGE(T28:T51))</f>
        <v/>
      </c>
      <c r="U63" s="17">
        <f>IFERROR(AVERAGE(U42:U51),AVERAGE(U28:U51))</f>
        <v/>
      </c>
      <c r="V63" s="17">
        <f>IFERROR(AVERAGE(V42:V51),AVERAGE(V28:V51))</f>
        <v/>
      </c>
      <c r="W63" s="17">
        <f>IFERROR(AVERAGE(W42:W51),AVERAGE(W28:W51))</f>
        <v/>
      </c>
      <c r="X63" s="17">
        <f>IFERROR(AVERAGE(X42:X51),AVERAGE(X28:X51))</f>
        <v/>
      </c>
      <c r="Y63" s="17" t="n"/>
    </row>
    <row r="64">
      <c r="A64" s="19" t="inlineStr">
        <is>
          <t>weighted_10yr</t>
        </is>
      </c>
      <c r="B64" s="17">
        <f>IFERROR(SUMPRODUCT(B42:B51,B16:B25)/SUMPRODUCT((B42:B51&lt;&gt;"")*B16:B25),SUMPRODUCT(B28:B51,B2:B25)/SUMPRODUCT((B28:B51&lt;&gt;"")*B2:B25))</f>
        <v/>
      </c>
      <c r="C64" s="17">
        <f>IFERROR(SUMPRODUCT(C42:C51,C16:C25)/SUMPRODUCT((C42:C51&lt;&gt;"")*C16:C25),SUMPRODUCT(C28:C51,C2:C25)/SUMPRODUCT((C28:C51&lt;&gt;"")*C2:C25))</f>
        <v/>
      </c>
      <c r="D64" s="17">
        <f>IFERROR(SUMPRODUCT(D42:D51,D16:D25)/SUMPRODUCT((D42:D51&lt;&gt;"")*D16:D25),SUMPRODUCT(D28:D51,D2:D25)/SUMPRODUCT((D28:D51&lt;&gt;"")*D2:D25))</f>
        <v/>
      </c>
      <c r="E64" s="17">
        <f>IFERROR(SUMPRODUCT(E42:E51,E16:E25)/SUMPRODUCT((E42:E51&lt;&gt;"")*E16:E25),SUMPRODUCT(E28:E51,E2:E25)/SUMPRODUCT((E28:E51&lt;&gt;"")*E2:E25))</f>
        <v/>
      </c>
      <c r="F64" s="17">
        <f>IFERROR(SUMPRODUCT(F42:F51,F16:F25)/SUMPRODUCT((F42:F51&lt;&gt;"")*F16:F25),SUMPRODUCT(F28:F51,F2:F25)/SUMPRODUCT((F28:F51&lt;&gt;"")*F2:F25))</f>
        <v/>
      </c>
      <c r="G64" s="17">
        <f>IFERROR(SUMPRODUCT(G42:G51,G16:G25)/SUMPRODUCT((G42:G51&lt;&gt;"")*G16:G25),SUMPRODUCT(G28:G51,G2:G25)/SUMPRODUCT((G28:G51&lt;&gt;"")*G2:G25))</f>
        <v/>
      </c>
      <c r="H64" s="17">
        <f>IFERROR(SUMPRODUCT(H42:H51,H16:H25)/SUMPRODUCT((H42:H51&lt;&gt;"")*H16:H25),SUMPRODUCT(H28:H51,H2:H25)/SUMPRODUCT((H28:H51&lt;&gt;"")*H2:H25))</f>
        <v/>
      </c>
      <c r="I64" s="17">
        <f>IFERROR(SUMPRODUCT(I42:I51,I16:I25)/SUMPRODUCT((I42:I51&lt;&gt;"")*I16:I25),SUMPRODUCT(I28:I51,I2:I25)/SUMPRODUCT((I28:I51&lt;&gt;"")*I2:I25))</f>
        <v/>
      </c>
      <c r="J64" s="17">
        <f>IFERROR(SUMPRODUCT(J42:J51,J16:J25)/SUMPRODUCT((J42:J51&lt;&gt;"")*J16:J25),SUMPRODUCT(J28:J51,J2:J25)/SUMPRODUCT((J28:J51&lt;&gt;"")*J2:J25))</f>
        <v/>
      </c>
      <c r="K64" s="17">
        <f>IFERROR(SUMPRODUCT(K42:K51,K16:K25)/SUMPRODUCT((K42:K51&lt;&gt;"")*K16:K25),SUMPRODUCT(K28:K51,K2:K25)/SUMPRODUCT((K28:K51&lt;&gt;"")*K2:K25))</f>
        <v/>
      </c>
      <c r="L64" s="17">
        <f>IFERROR(SUMPRODUCT(L42:L51,L16:L25)/SUMPRODUCT((L42:L51&lt;&gt;"")*L16:L25),SUMPRODUCT(L28:L51,L2:L25)/SUMPRODUCT((L28:L51&lt;&gt;"")*L2:L25))</f>
        <v/>
      </c>
      <c r="M64" s="17">
        <f>IFERROR(SUMPRODUCT(M42:M51,M16:M25)/SUMPRODUCT((M42:M51&lt;&gt;"")*M16:M25),SUMPRODUCT(M28:M51,M2:M25)/SUMPRODUCT((M28:M51&lt;&gt;"")*M2:M25))</f>
        <v/>
      </c>
      <c r="N64" s="17">
        <f>IFERROR(SUMPRODUCT(N42:N51,N16:N25)/SUMPRODUCT((N42:N51&lt;&gt;"")*N16:N25),SUMPRODUCT(N28:N51,N2:N25)/SUMPRODUCT((N28:N51&lt;&gt;"")*N2:N25))</f>
        <v/>
      </c>
      <c r="O64" s="17">
        <f>IFERROR(SUMPRODUCT(O42:O51,O16:O25)/SUMPRODUCT((O42:O51&lt;&gt;"")*O16:O25),SUMPRODUCT(O28:O51,O2:O25)/SUMPRODUCT((O28:O51&lt;&gt;"")*O2:O25))</f>
        <v/>
      </c>
      <c r="P64" s="17">
        <f>IFERROR(SUMPRODUCT(P42:P51,P16:P25)/SUMPRODUCT((P42:P51&lt;&gt;"")*P16:P25),SUMPRODUCT(P28:P51,P2:P25)/SUMPRODUCT((P28:P51&lt;&gt;"")*P2:P25))</f>
        <v/>
      </c>
      <c r="Q64" s="17">
        <f>IFERROR(SUMPRODUCT(Q42:Q51,Q16:Q25)/SUMPRODUCT((Q42:Q51&lt;&gt;"")*Q16:Q25),SUMPRODUCT(Q28:Q51,Q2:Q25)/SUMPRODUCT((Q28:Q51&lt;&gt;"")*Q2:Q25))</f>
        <v/>
      </c>
      <c r="R64" s="17">
        <f>IFERROR(SUMPRODUCT(R42:R51,R16:R25)/SUMPRODUCT((R42:R51&lt;&gt;"")*R16:R25),SUMPRODUCT(R28:R51,R2:R25)/SUMPRODUCT((R28:R51&lt;&gt;"")*R2:R25))</f>
        <v/>
      </c>
      <c r="S64" s="17">
        <f>IFERROR(SUMPRODUCT(S42:S51,S16:S25)/SUMPRODUCT((S42:S51&lt;&gt;"")*S16:S25),SUMPRODUCT(S28:S51,S2:S25)/SUMPRODUCT((S28:S51&lt;&gt;"")*S2:S25))</f>
        <v/>
      </c>
      <c r="T64" s="17">
        <f>IFERROR(SUMPRODUCT(T42:T51,T16:T25)/SUMPRODUCT((T42:T51&lt;&gt;"")*T16:T25),SUMPRODUCT(T28:T51,T2:T25)/SUMPRODUCT((T28:T51&lt;&gt;"")*T2:T25))</f>
        <v/>
      </c>
      <c r="U64" s="17">
        <f>IFERROR(SUMPRODUCT(U42:U51,U16:U25)/SUMPRODUCT((U42:U51&lt;&gt;"")*U16:U25),SUMPRODUCT(U28:U51,U2:U25)/SUMPRODUCT((U28:U51&lt;&gt;"")*U2:U25))</f>
        <v/>
      </c>
      <c r="V64" s="17">
        <f>IFERROR(SUMPRODUCT(V42:V51,V16:V25)/SUMPRODUCT((V42:V51&lt;&gt;"")*V16:V25),SUMPRODUCT(V28:V51,V2:V25)/SUMPRODUCT((V28:V51&lt;&gt;"")*V2:V25))</f>
        <v/>
      </c>
      <c r="W64" s="17">
        <f>IFERROR(SUMPRODUCT(W42:W51,W16:W25)/SUMPRODUCT((W42:W51&lt;&gt;"")*W16:W25),SUMPRODUCT(W28:W51,W2:W25)/SUMPRODUCT((W28:W51&lt;&gt;"")*W2:W25))</f>
        <v/>
      </c>
      <c r="X64" s="17">
        <f>IFERROR(SUMPRODUCT(X42:X51,X16:X25)/SUMPRODUCT((X42:X51&lt;&gt;"")*X16:X25),SUMPRODUCT(X28:X51,X2:X25)/SUMPRODUCT((X28:X51&lt;&gt;"")*X2:X25))</f>
        <v/>
      </c>
      <c r="Y64" s="17" t="n"/>
    </row>
    <row r="65">
      <c r="A65" s="19" t="inlineStr">
        <is>
          <t>exclude_high_low_10yr</t>
        </is>
      </c>
      <c r="B65" s="17">
        <f>IFERROR(TRIMMEAN(B42:B51,2/COUNT(B42:B51)),AVERAGE(B28:B51))</f>
        <v/>
      </c>
      <c r="C65" s="17">
        <f>IFERROR(TRIMMEAN(C42:C51,2/COUNT(C42:C51)),AVERAGE(C28:C51))</f>
        <v/>
      </c>
      <c r="D65" s="17">
        <f>IFERROR(TRIMMEAN(D42:D51,2/COUNT(D42:D51)),AVERAGE(D28:D51))</f>
        <v/>
      </c>
      <c r="E65" s="17">
        <f>IFERROR(TRIMMEAN(E42:E51,2/COUNT(E42:E51)),AVERAGE(E28:E51))</f>
        <v/>
      </c>
      <c r="F65" s="17">
        <f>IFERROR(TRIMMEAN(F42:F51,2/COUNT(F42:F51)),AVERAGE(F28:F51))</f>
        <v/>
      </c>
      <c r="G65" s="17">
        <f>IFERROR(TRIMMEAN(G42:G51,2/COUNT(G42:G51)),AVERAGE(G28:G51))</f>
        <v/>
      </c>
      <c r="H65" s="17">
        <f>IFERROR(TRIMMEAN(H42:H51,2/COUNT(H42:H51)),AVERAGE(H28:H51))</f>
        <v/>
      </c>
      <c r="I65" s="17">
        <f>IFERROR(TRIMMEAN(I42:I51,2/COUNT(I42:I51)),AVERAGE(I28:I51))</f>
        <v/>
      </c>
      <c r="J65" s="17">
        <f>IFERROR(TRIMMEAN(J42:J51,2/COUNT(J42:J51)),AVERAGE(J28:J51))</f>
        <v/>
      </c>
      <c r="K65" s="17">
        <f>IFERROR(TRIMMEAN(K42:K51,2/COUNT(K42:K51)),AVERAGE(K28:K51))</f>
        <v/>
      </c>
      <c r="L65" s="17">
        <f>IFERROR(TRIMMEAN(L42:L51,2/COUNT(L42:L51)),AVERAGE(L28:L51))</f>
        <v/>
      </c>
      <c r="M65" s="17">
        <f>IFERROR(TRIMMEAN(M42:M51,2/COUNT(M42:M51)),AVERAGE(M28:M51))</f>
        <v/>
      </c>
      <c r="N65" s="17">
        <f>IFERROR(TRIMMEAN(N42:N51,2/COUNT(N42:N51)),AVERAGE(N28:N51))</f>
        <v/>
      </c>
      <c r="O65" s="17">
        <f>IFERROR(TRIMMEAN(O42:O51,2/COUNT(O42:O51)),AVERAGE(O28:O51))</f>
        <v/>
      </c>
      <c r="P65" s="17">
        <f>IFERROR(TRIMMEAN(P42:P51,2/COUNT(P42:P51)),AVERAGE(P28:P51))</f>
        <v/>
      </c>
      <c r="Q65" s="17">
        <f>IFERROR(TRIMMEAN(Q42:Q51,2/COUNT(Q42:Q51)),AVERAGE(Q28:Q51))</f>
        <v/>
      </c>
      <c r="R65" s="17">
        <f>IFERROR(TRIMMEAN(R42:R51,2/COUNT(R42:R51)),AVERAGE(R28:R51))</f>
        <v/>
      </c>
      <c r="S65" s="17">
        <f>IFERROR(TRIMMEAN(S42:S51,2/COUNT(S42:S51)),AVERAGE(S28:S51))</f>
        <v/>
      </c>
      <c r="T65" s="17">
        <f>IFERROR(TRIMMEAN(T42:T51,2/COUNT(T42:T51)),AVERAGE(T28:T51))</f>
        <v/>
      </c>
      <c r="U65" s="17">
        <f>IFERROR(TRIMMEAN(U42:U51,2/COUNT(U42:U51)),AVERAGE(U28:U51))</f>
        <v/>
      </c>
      <c r="V65" s="17">
        <f>IFERROR(TRIMMEAN(V42:V51,2/COUNT(V42:V51)),AVERAGE(V28:V51))</f>
        <v/>
      </c>
      <c r="W65" s="17">
        <f>IFERROR(TRIMMEAN(W42:W51,2/COUNT(W42:W51)),AVERAGE(W28:W51))</f>
        <v/>
      </c>
      <c r="X65" s="17">
        <f>IFERROR(TRIMMEAN(X42:X51,2/COUNT(X42:X51)),AVERAGE(X28:X51))</f>
        <v/>
      </c>
      <c r="Y65" s="17" t="n"/>
    </row>
    <row r="66"/>
    <row r="67">
      <c r="A67" s="20" t="n"/>
      <c r="B67" s="8" t="inlineStr">
        <is>
          <t>11-23</t>
        </is>
      </c>
      <c r="C67" s="8" t="inlineStr">
        <is>
          <t>23-35</t>
        </is>
      </c>
      <c r="D67" s="8" t="inlineStr">
        <is>
          <t>35-47</t>
        </is>
      </c>
      <c r="E67" s="8" t="inlineStr">
        <is>
          <t>47-59</t>
        </is>
      </c>
      <c r="F67" s="8" t="inlineStr">
        <is>
          <t>59-71</t>
        </is>
      </c>
      <c r="G67" s="8" t="inlineStr">
        <is>
          <t>71-83</t>
        </is>
      </c>
      <c r="H67" s="8" t="inlineStr">
        <is>
          <t>83-95</t>
        </is>
      </c>
      <c r="I67" s="8" t="inlineStr">
        <is>
          <t>95-107</t>
        </is>
      </c>
      <c r="J67" s="8" t="inlineStr">
        <is>
          <t>107-119</t>
        </is>
      </c>
      <c r="K67" s="8" t="inlineStr">
        <is>
          <t>119-131</t>
        </is>
      </c>
      <c r="L67" s="8" t="inlineStr">
        <is>
          <t>131-143</t>
        </is>
      </c>
      <c r="M67" s="8" t="inlineStr">
        <is>
          <t>143-155</t>
        </is>
      </c>
      <c r="N67" s="8" t="inlineStr">
        <is>
          <t>155-167</t>
        </is>
      </c>
      <c r="O67" s="8" t="inlineStr">
        <is>
          <t>167-179</t>
        </is>
      </c>
      <c r="P67" s="8" t="inlineStr">
        <is>
          <t>179-191</t>
        </is>
      </c>
      <c r="Q67" s="8" t="inlineStr">
        <is>
          <t>191-203</t>
        </is>
      </c>
      <c r="R67" s="8" t="inlineStr">
        <is>
          <t>203-215</t>
        </is>
      </c>
      <c r="S67" s="8" t="inlineStr">
        <is>
          <t>215-227</t>
        </is>
      </c>
      <c r="T67" s="8" t="inlineStr">
        <is>
          <t>227-239</t>
        </is>
      </c>
      <c r="U67" s="8" t="inlineStr">
        <is>
          <t>239-251</t>
        </is>
      </c>
      <c r="V67" s="8" t="inlineStr">
        <is>
          <t>251-263</t>
        </is>
      </c>
      <c r="W67" s="8" t="inlineStr">
        <is>
          <t>263-275</t>
        </is>
      </c>
      <c r="X67" s="8" t="inlineStr">
        <is>
          <t>275-287</t>
        </is>
      </c>
    </row>
    <row r="68">
      <c r="A68" s="21" t="inlineStr">
        <is>
          <t>Selected</t>
        </is>
      </c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23">
        <f>A68</f>
        <v/>
      </c>
    </row>
    <row r="70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 ht="20" customHeight="1">
      <c r="A1" s="1" t="inlineStr">
        <is>
          <t>Exposure</t>
        </is>
      </c>
      <c r="B1" s="2" t="n"/>
    </row>
    <row r="2">
      <c r="A2" s="8" t="inlineStr">
        <is>
          <t>Period</t>
        </is>
      </c>
      <c r="B2" s="8" t="inlineStr">
        <is>
          <t>Exposure</t>
        </is>
      </c>
    </row>
    <row r="3">
      <c r="A3" s="9" t="n">
        <v>2001</v>
      </c>
      <c r="B3" s="24" t="n">
        <v>316377369.9688</v>
      </c>
    </row>
    <row r="4">
      <c r="A4" s="9" t="n">
        <v>2002</v>
      </c>
      <c r="B4" s="24" t="n">
        <v>322704917.4</v>
      </c>
    </row>
    <row r="5">
      <c r="A5" s="9" t="n">
        <v>2003</v>
      </c>
      <c r="B5" s="24" t="n">
        <v>329159015.7</v>
      </c>
    </row>
    <row r="6">
      <c r="A6" s="9" t="n">
        <v>2004</v>
      </c>
      <c r="B6" s="24" t="n">
        <v>335742196</v>
      </c>
    </row>
    <row r="7">
      <c r="A7" s="9" t="n">
        <v>2005</v>
      </c>
      <c r="B7" s="24" t="n">
        <v>342457040</v>
      </c>
    </row>
    <row r="8">
      <c r="A8" s="9" t="n">
        <v>2006</v>
      </c>
      <c r="B8" s="24" t="n">
        <v>349306180.7</v>
      </c>
    </row>
    <row r="9">
      <c r="A9" s="9" t="n">
        <v>2007</v>
      </c>
      <c r="B9" s="24" t="n">
        <v>356292304.4</v>
      </c>
    </row>
    <row r="10">
      <c r="A10" s="9" t="n">
        <v>2008</v>
      </c>
      <c r="B10" s="24" t="n">
        <v>363418150.5</v>
      </c>
    </row>
    <row r="11">
      <c r="A11" s="9" t="n">
        <v>2009</v>
      </c>
      <c r="B11" s="24" t="n">
        <v>370686513.5</v>
      </c>
    </row>
    <row r="12">
      <c r="A12" s="9" t="n">
        <v>2010</v>
      </c>
      <c r="B12" s="24" t="n">
        <v>378100243.7</v>
      </c>
    </row>
    <row r="13">
      <c r="A13" s="9" t="n">
        <v>2011</v>
      </c>
      <c r="B13" s="24" t="n">
        <v>385662248.6</v>
      </c>
    </row>
    <row r="14">
      <c r="A14" s="9" t="n">
        <v>2012</v>
      </c>
      <c r="B14" s="24" t="n">
        <v>393375493.6</v>
      </c>
    </row>
    <row r="15">
      <c r="A15" s="9" t="n">
        <v>2013</v>
      </c>
      <c r="B15" s="24" t="n">
        <v>401243003.4</v>
      </c>
    </row>
    <row r="16">
      <c r="A16" s="9" t="n">
        <v>2014</v>
      </c>
      <c r="B16" s="24" t="n">
        <v>409267863.5</v>
      </c>
    </row>
    <row r="17">
      <c r="A17" s="9" t="n">
        <v>2015</v>
      </c>
      <c r="B17" s="24" t="n">
        <v>417453220.8</v>
      </c>
    </row>
    <row r="18">
      <c r="A18" s="9" t="n">
        <v>2016</v>
      </c>
      <c r="B18" s="24" t="n">
        <v>425802285.2</v>
      </c>
    </row>
    <row r="19">
      <c r="A19" s="9" t="n">
        <v>2017</v>
      </c>
      <c r="B19" s="24" t="n">
        <v>434318330.9</v>
      </c>
    </row>
    <row r="20">
      <c r="A20" s="9" t="n">
        <v>2018</v>
      </c>
      <c r="B20" s="24" t="n">
        <v>443004697.5</v>
      </c>
    </row>
    <row r="21">
      <c r="A21" s="9" t="n">
        <v>2019</v>
      </c>
      <c r="B21" s="24" t="n">
        <v>451864791.5</v>
      </c>
    </row>
    <row r="22">
      <c r="A22" s="9" t="n">
        <v>2020</v>
      </c>
      <c r="B22" s="24" t="n">
        <v>460902087.3</v>
      </c>
    </row>
    <row r="23">
      <c r="A23" s="9" t="n">
        <v>2021</v>
      </c>
      <c r="B23" s="24" t="n">
        <v>470120129.1</v>
      </c>
    </row>
    <row r="24">
      <c r="A24" s="9" t="n">
        <v>2022</v>
      </c>
      <c r="B24" s="24" t="n">
        <v>479522531.6</v>
      </c>
    </row>
    <row r="25">
      <c r="A25" s="9" t="n">
        <v>2023</v>
      </c>
      <c r="B25" s="24" t="n">
        <v>489112982.3</v>
      </c>
    </row>
    <row r="26">
      <c r="A26" s="9" t="n">
        <v>2024</v>
      </c>
      <c r="B26" s="24" t="n">
        <v>498895241.9</v>
      </c>
    </row>
  </sheetData>
  <mergeCells count="1">
    <mergeCell ref="A1:B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Y8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25" t="inlineStr">
        <is>
          <t>INCURRED SEVERITY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" t="n"/>
    </row>
    <row r="2">
      <c r="A2" s="8" t="inlineStr">
        <is>
          <t>Period</t>
        </is>
      </c>
      <c r="B2" s="8" t="inlineStr">
        <is>
          <t>11</t>
        </is>
      </c>
      <c r="C2" s="8" t="inlineStr">
        <is>
          <t>23</t>
        </is>
      </c>
      <c r="D2" s="8" t="inlineStr">
        <is>
          <t>35</t>
        </is>
      </c>
      <c r="E2" s="8" t="inlineStr">
        <is>
          <t>47</t>
        </is>
      </c>
      <c r="F2" s="8" t="inlineStr">
        <is>
          <t>59</t>
        </is>
      </c>
      <c r="G2" s="8" t="inlineStr">
        <is>
          <t>71</t>
        </is>
      </c>
      <c r="H2" s="8" t="inlineStr">
        <is>
          <t>83</t>
        </is>
      </c>
      <c r="I2" s="8" t="inlineStr">
        <is>
          <t>95</t>
        </is>
      </c>
      <c r="J2" s="8" t="inlineStr">
        <is>
          <t>107</t>
        </is>
      </c>
      <c r="K2" s="8" t="inlineStr">
        <is>
          <t>119</t>
        </is>
      </c>
      <c r="L2" s="8" t="inlineStr">
        <is>
          <t>131</t>
        </is>
      </c>
      <c r="M2" s="8" t="inlineStr">
        <is>
          <t>143</t>
        </is>
      </c>
      <c r="N2" s="8" t="inlineStr">
        <is>
          <t>155</t>
        </is>
      </c>
      <c r="O2" s="8" t="inlineStr">
        <is>
          <t>167</t>
        </is>
      </c>
      <c r="P2" s="8" t="inlineStr">
        <is>
          <t>179</t>
        </is>
      </c>
      <c r="Q2" s="8" t="inlineStr">
        <is>
          <t>191</t>
        </is>
      </c>
      <c r="R2" s="8" t="inlineStr">
        <is>
          <t>203</t>
        </is>
      </c>
      <c r="S2" s="8" t="inlineStr">
        <is>
          <t>215</t>
        </is>
      </c>
      <c r="T2" s="8" t="inlineStr">
        <is>
          <t>227</t>
        </is>
      </c>
      <c r="U2" s="8" t="inlineStr">
        <is>
          <t>239</t>
        </is>
      </c>
      <c r="V2" s="8" t="inlineStr">
        <is>
          <t>251</t>
        </is>
      </c>
      <c r="W2" s="8" t="inlineStr">
        <is>
          <t>263</t>
        </is>
      </c>
      <c r="X2" s="8" t="inlineStr">
        <is>
          <t>275</t>
        </is>
      </c>
      <c r="Y2" s="8" t="inlineStr">
        <is>
          <t>287</t>
        </is>
      </c>
    </row>
    <row r="3">
      <c r="A3" s="15" t="inlineStr">
        <is>
          <t>2001</t>
        </is>
      </c>
      <c r="B3" s="16">
        <f>IFERROR('Incurred Loss'!B2/'Reported Count'!B2,"")</f>
        <v/>
      </c>
      <c r="C3" s="16">
        <f>IFERROR('Incurred Loss'!C2/'Reported Count'!C2,"")</f>
        <v/>
      </c>
      <c r="D3" s="16">
        <f>IFERROR('Incurred Loss'!D2/'Reported Count'!D2,"")</f>
        <v/>
      </c>
      <c r="E3" s="16">
        <f>IFERROR('Incurred Loss'!E2/'Reported Count'!E2,"")</f>
        <v/>
      </c>
      <c r="F3" s="16">
        <f>IFERROR('Incurred Loss'!F2/'Reported Count'!F2,"")</f>
        <v/>
      </c>
      <c r="G3" s="16">
        <f>IFERROR('Incurred Loss'!G2/'Reported Count'!G2,"")</f>
        <v/>
      </c>
      <c r="H3" s="16">
        <f>IFERROR('Incurred Loss'!H2/'Reported Count'!H2,"")</f>
        <v/>
      </c>
      <c r="I3" s="16">
        <f>IFERROR('Incurred Loss'!I2/'Reported Count'!I2,"")</f>
        <v/>
      </c>
      <c r="J3" s="16">
        <f>IFERROR('Incurred Loss'!J2/'Reported Count'!J2,"")</f>
        <v/>
      </c>
      <c r="K3" s="16">
        <f>IFERROR('Incurred Loss'!K2/'Reported Count'!K2,"")</f>
        <v/>
      </c>
      <c r="L3" s="16">
        <f>IFERROR('Incurred Loss'!L2/'Reported Count'!L2,"")</f>
        <v/>
      </c>
      <c r="M3" s="16">
        <f>IFERROR('Incurred Loss'!M2/'Reported Count'!M2,"")</f>
        <v/>
      </c>
      <c r="N3" s="16">
        <f>IFERROR('Incurred Loss'!N2/'Reported Count'!N2,"")</f>
        <v/>
      </c>
      <c r="O3" s="16">
        <f>IFERROR('Incurred Loss'!O2/'Reported Count'!O2,"")</f>
        <v/>
      </c>
      <c r="P3" s="16">
        <f>IFERROR('Incurred Loss'!P2/'Reported Count'!P2,"")</f>
        <v/>
      </c>
      <c r="Q3" s="16">
        <f>IFERROR('Incurred Loss'!Q2/'Reported Count'!Q2,"")</f>
        <v/>
      </c>
      <c r="R3" s="16">
        <f>IFERROR('Incurred Loss'!R2/'Reported Count'!R2,"")</f>
        <v/>
      </c>
      <c r="S3" s="16">
        <f>IFERROR('Incurred Loss'!S2/'Reported Count'!S2,"")</f>
        <v/>
      </c>
      <c r="T3" s="16">
        <f>IFERROR('Incurred Loss'!T2/'Reported Count'!T2,"")</f>
        <v/>
      </c>
      <c r="U3" s="16">
        <f>IFERROR('Incurred Loss'!U2/'Reported Count'!U2,"")</f>
        <v/>
      </c>
      <c r="V3" s="16">
        <f>IFERROR('Incurred Loss'!V2/'Reported Count'!V2,"")</f>
        <v/>
      </c>
      <c r="W3" s="16">
        <f>IFERROR('Incurred Loss'!W2/'Reported Count'!W2,"")</f>
        <v/>
      </c>
      <c r="X3" s="16">
        <f>IFERROR('Incurred Loss'!X2/'Reported Count'!X2,"")</f>
        <v/>
      </c>
      <c r="Y3" s="16">
        <f>IFERROR('Incurred Loss'!Y2/'Reported Count'!Y2,"")</f>
        <v/>
      </c>
    </row>
    <row r="4">
      <c r="A4" s="15" t="inlineStr">
        <is>
          <t>2002</t>
        </is>
      </c>
      <c r="B4" s="16">
        <f>IFERROR('Incurred Loss'!B3/'Reported Count'!B3,"")</f>
        <v/>
      </c>
      <c r="C4" s="16">
        <f>IFERROR('Incurred Loss'!C3/'Reported Count'!C3,"")</f>
        <v/>
      </c>
      <c r="D4" s="16">
        <f>IFERROR('Incurred Loss'!D3/'Reported Count'!D3,"")</f>
        <v/>
      </c>
      <c r="E4" s="16">
        <f>IFERROR('Incurred Loss'!E3/'Reported Count'!E3,"")</f>
        <v/>
      </c>
      <c r="F4" s="16">
        <f>IFERROR('Incurred Loss'!F3/'Reported Count'!F3,"")</f>
        <v/>
      </c>
      <c r="G4" s="16">
        <f>IFERROR('Incurred Loss'!G3/'Reported Count'!G3,"")</f>
        <v/>
      </c>
      <c r="H4" s="16">
        <f>IFERROR('Incurred Loss'!H3/'Reported Count'!H3,"")</f>
        <v/>
      </c>
      <c r="I4" s="16">
        <f>IFERROR('Incurred Loss'!I3/'Reported Count'!I3,"")</f>
        <v/>
      </c>
      <c r="J4" s="16">
        <f>IFERROR('Incurred Loss'!J3/'Reported Count'!J3,"")</f>
        <v/>
      </c>
      <c r="K4" s="16">
        <f>IFERROR('Incurred Loss'!K3/'Reported Count'!K3,"")</f>
        <v/>
      </c>
      <c r="L4" s="16">
        <f>IFERROR('Incurred Loss'!L3/'Reported Count'!L3,"")</f>
        <v/>
      </c>
      <c r="M4" s="16">
        <f>IFERROR('Incurred Loss'!M3/'Reported Count'!M3,"")</f>
        <v/>
      </c>
      <c r="N4" s="16">
        <f>IFERROR('Incurred Loss'!N3/'Reported Count'!N3,"")</f>
        <v/>
      </c>
      <c r="O4" s="16">
        <f>IFERROR('Incurred Loss'!O3/'Reported Count'!O3,"")</f>
        <v/>
      </c>
      <c r="P4" s="16">
        <f>IFERROR('Incurred Loss'!P3/'Reported Count'!P3,"")</f>
        <v/>
      </c>
      <c r="Q4" s="16">
        <f>IFERROR('Incurred Loss'!Q3/'Reported Count'!Q3,"")</f>
        <v/>
      </c>
      <c r="R4" s="16">
        <f>IFERROR('Incurred Loss'!R3/'Reported Count'!R3,"")</f>
        <v/>
      </c>
      <c r="S4" s="16">
        <f>IFERROR('Incurred Loss'!S3/'Reported Count'!S3,"")</f>
        <v/>
      </c>
      <c r="T4" s="16">
        <f>IFERROR('Incurred Loss'!T3/'Reported Count'!T3,"")</f>
        <v/>
      </c>
      <c r="U4" s="16">
        <f>IFERROR('Incurred Loss'!U3/'Reported Count'!U3,"")</f>
        <v/>
      </c>
      <c r="V4" s="16">
        <f>IFERROR('Incurred Loss'!V3/'Reported Count'!V3,"")</f>
        <v/>
      </c>
      <c r="W4" s="16">
        <f>IFERROR('Incurred Loss'!W3/'Reported Count'!W3,"")</f>
        <v/>
      </c>
      <c r="X4" s="16">
        <f>IFERROR('Incurred Loss'!X3/'Reported Count'!X3,"")</f>
        <v/>
      </c>
      <c r="Y4" s="16">
        <f>IFERROR('Incurred Loss'!Y3/'Reported Count'!Y3,"")</f>
        <v/>
      </c>
    </row>
    <row r="5">
      <c r="A5" s="15" t="inlineStr">
        <is>
          <t>2003</t>
        </is>
      </c>
      <c r="B5" s="16">
        <f>IFERROR('Incurred Loss'!B4/'Reported Count'!B4,"")</f>
        <v/>
      </c>
      <c r="C5" s="16">
        <f>IFERROR('Incurred Loss'!C4/'Reported Count'!C4,"")</f>
        <v/>
      </c>
      <c r="D5" s="16">
        <f>IFERROR('Incurred Loss'!D4/'Reported Count'!D4,"")</f>
        <v/>
      </c>
      <c r="E5" s="16">
        <f>IFERROR('Incurred Loss'!E4/'Reported Count'!E4,"")</f>
        <v/>
      </c>
      <c r="F5" s="16">
        <f>IFERROR('Incurred Loss'!F4/'Reported Count'!F4,"")</f>
        <v/>
      </c>
      <c r="G5" s="16">
        <f>IFERROR('Incurred Loss'!G4/'Reported Count'!G4,"")</f>
        <v/>
      </c>
      <c r="H5" s="16">
        <f>IFERROR('Incurred Loss'!H4/'Reported Count'!H4,"")</f>
        <v/>
      </c>
      <c r="I5" s="16">
        <f>IFERROR('Incurred Loss'!I4/'Reported Count'!I4,"")</f>
        <v/>
      </c>
      <c r="J5" s="16">
        <f>IFERROR('Incurred Loss'!J4/'Reported Count'!J4,"")</f>
        <v/>
      </c>
      <c r="K5" s="16">
        <f>IFERROR('Incurred Loss'!K4/'Reported Count'!K4,"")</f>
        <v/>
      </c>
      <c r="L5" s="16">
        <f>IFERROR('Incurred Loss'!L4/'Reported Count'!L4,"")</f>
        <v/>
      </c>
      <c r="M5" s="16">
        <f>IFERROR('Incurred Loss'!M4/'Reported Count'!M4,"")</f>
        <v/>
      </c>
      <c r="N5" s="16">
        <f>IFERROR('Incurred Loss'!N4/'Reported Count'!N4,"")</f>
        <v/>
      </c>
      <c r="O5" s="16">
        <f>IFERROR('Incurred Loss'!O4/'Reported Count'!O4,"")</f>
        <v/>
      </c>
      <c r="P5" s="16">
        <f>IFERROR('Incurred Loss'!P4/'Reported Count'!P4,"")</f>
        <v/>
      </c>
      <c r="Q5" s="16">
        <f>IFERROR('Incurred Loss'!Q4/'Reported Count'!Q4,"")</f>
        <v/>
      </c>
      <c r="R5" s="16">
        <f>IFERROR('Incurred Loss'!R4/'Reported Count'!R4,"")</f>
        <v/>
      </c>
      <c r="S5" s="16">
        <f>IFERROR('Incurred Loss'!S4/'Reported Count'!S4,"")</f>
        <v/>
      </c>
      <c r="T5" s="16">
        <f>IFERROR('Incurred Loss'!T4/'Reported Count'!T4,"")</f>
        <v/>
      </c>
      <c r="U5" s="16">
        <f>IFERROR('Incurred Loss'!U4/'Reported Count'!U4,"")</f>
        <v/>
      </c>
      <c r="V5" s="16">
        <f>IFERROR('Incurred Loss'!V4/'Reported Count'!V4,"")</f>
        <v/>
      </c>
      <c r="W5" s="16">
        <f>IFERROR('Incurred Loss'!W4/'Reported Count'!W4,"")</f>
        <v/>
      </c>
      <c r="X5" s="16">
        <f>IFERROR('Incurred Loss'!X4/'Reported Count'!X4,"")</f>
        <v/>
      </c>
      <c r="Y5" s="16">
        <f>IFERROR('Incurred Loss'!Y4/'Reported Count'!Y4,"")</f>
        <v/>
      </c>
    </row>
    <row r="6">
      <c r="A6" s="15" t="inlineStr">
        <is>
          <t>2004</t>
        </is>
      </c>
      <c r="B6" s="16">
        <f>IFERROR('Incurred Loss'!B5/'Reported Count'!B5,"")</f>
        <v/>
      </c>
      <c r="C6" s="16">
        <f>IFERROR('Incurred Loss'!C5/'Reported Count'!C5,"")</f>
        <v/>
      </c>
      <c r="D6" s="16">
        <f>IFERROR('Incurred Loss'!D5/'Reported Count'!D5,"")</f>
        <v/>
      </c>
      <c r="E6" s="16">
        <f>IFERROR('Incurred Loss'!E5/'Reported Count'!E5,"")</f>
        <v/>
      </c>
      <c r="F6" s="16">
        <f>IFERROR('Incurred Loss'!F5/'Reported Count'!F5,"")</f>
        <v/>
      </c>
      <c r="G6" s="16">
        <f>IFERROR('Incurred Loss'!G5/'Reported Count'!G5,"")</f>
        <v/>
      </c>
      <c r="H6" s="16">
        <f>IFERROR('Incurred Loss'!H5/'Reported Count'!H5,"")</f>
        <v/>
      </c>
      <c r="I6" s="16">
        <f>IFERROR('Incurred Loss'!I5/'Reported Count'!I5,"")</f>
        <v/>
      </c>
      <c r="J6" s="16">
        <f>IFERROR('Incurred Loss'!J5/'Reported Count'!J5,"")</f>
        <v/>
      </c>
      <c r="K6" s="16">
        <f>IFERROR('Incurred Loss'!K5/'Reported Count'!K5,"")</f>
        <v/>
      </c>
      <c r="L6" s="16">
        <f>IFERROR('Incurred Loss'!L5/'Reported Count'!L5,"")</f>
        <v/>
      </c>
      <c r="M6" s="16">
        <f>IFERROR('Incurred Loss'!M5/'Reported Count'!M5,"")</f>
        <v/>
      </c>
      <c r="N6" s="16">
        <f>IFERROR('Incurred Loss'!N5/'Reported Count'!N5,"")</f>
        <v/>
      </c>
      <c r="O6" s="16">
        <f>IFERROR('Incurred Loss'!O5/'Reported Count'!O5,"")</f>
        <v/>
      </c>
      <c r="P6" s="16">
        <f>IFERROR('Incurred Loss'!P5/'Reported Count'!P5,"")</f>
        <v/>
      </c>
      <c r="Q6" s="16">
        <f>IFERROR('Incurred Loss'!Q5/'Reported Count'!Q5,"")</f>
        <v/>
      </c>
      <c r="R6" s="16">
        <f>IFERROR('Incurred Loss'!R5/'Reported Count'!R5,"")</f>
        <v/>
      </c>
      <c r="S6" s="16">
        <f>IFERROR('Incurred Loss'!S5/'Reported Count'!S5,"")</f>
        <v/>
      </c>
      <c r="T6" s="16">
        <f>IFERROR('Incurred Loss'!T5/'Reported Count'!T5,"")</f>
        <v/>
      </c>
      <c r="U6" s="16">
        <f>IFERROR('Incurred Loss'!U5/'Reported Count'!U5,"")</f>
        <v/>
      </c>
      <c r="V6" s="16">
        <f>IFERROR('Incurred Loss'!V5/'Reported Count'!V5,"")</f>
        <v/>
      </c>
      <c r="W6" s="16">
        <f>IFERROR('Incurred Loss'!W5/'Reported Count'!W5,"")</f>
        <v/>
      </c>
      <c r="X6" s="16">
        <f>IFERROR('Incurred Loss'!X5/'Reported Count'!X5,"")</f>
        <v/>
      </c>
      <c r="Y6" s="16">
        <f>IFERROR('Incurred Loss'!Y5/'Reported Count'!Y5,"")</f>
        <v/>
      </c>
    </row>
    <row r="7">
      <c r="A7" s="15" t="inlineStr">
        <is>
          <t>2005</t>
        </is>
      </c>
      <c r="B7" s="16">
        <f>IFERROR('Incurred Loss'!B6/'Reported Count'!B6,"")</f>
        <v/>
      </c>
      <c r="C7" s="16">
        <f>IFERROR('Incurred Loss'!C6/'Reported Count'!C6,"")</f>
        <v/>
      </c>
      <c r="D7" s="16">
        <f>IFERROR('Incurred Loss'!D6/'Reported Count'!D6,"")</f>
        <v/>
      </c>
      <c r="E7" s="16">
        <f>IFERROR('Incurred Loss'!E6/'Reported Count'!E6,"")</f>
        <v/>
      </c>
      <c r="F7" s="16">
        <f>IFERROR('Incurred Loss'!F6/'Reported Count'!F6,"")</f>
        <v/>
      </c>
      <c r="G7" s="16">
        <f>IFERROR('Incurred Loss'!G6/'Reported Count'!G6,"")</f>
        <v/>
      </c>
      <c r="H7" s="16">
        <f>IFERROR('Incurred Loss'!H6/'Reported Count'!H6,"")</f>
        <v/>
      </c>
      <c r="I7" s="16">
        <f>IFERROR('Incurred Loss'!I6/'Reported Count'!I6,"")</f>
        <v/>
      </c>
      <c r="J7" s="16">
        <f>IFERROR('Incurred Loss'!J6/'Reported Count'!J6,"")</f>
        <v/>
      </c>
      <c r="K7" s="16">
        <f>IFERROR('Incurred Loss'!K6/'Reported Count'!K6,"")</f>
        <v/>
      </c>
      <c r="L7" s="16">
        <f>IFERROR('Incurred Loss'!L6/'Reported Count'!L6,"")</f>
        <v/>
      </c>
      <c r="M7" s="16">
        <f>IFERROR('Incurred Loss'!M6/'Reported Count'!M6,"")</f>
        <v/>
      </c>
      <c r="N7" s="16">
        <f>IFERROR('Incurred Loss'!N6/'Reported Count'!N6,"")</f>
        <v/>
      </c>
      <c r="O7" s="16">
        <f>IFERROR('Incurred Loss'!O6/'Reported Count'!O6,"")</f>
        <v/>
      </c>
      <c r="P7" s="16">
        <f>IFERROR('Incurred Loss'!P6/'Reported Count'!P6,"")</f>
        <v/>
      </c>
      <c r="Q7" s="16">
        <f>IFERROR('Incurred Loss'!Q6/'Reported Count'!Q6,"")</f>
        <v/>
      </c>
      <c r="R7" s="16">
        <f>IFERROR('Incurred Loss'!R6/'Reported Count'!R6,"")</f>
        <v/>
      </c>
      <c r="S7" s="16">
        <f>IFERROR('Incurred Loss'!S6/'Reported Count'!S6,"")</f>
        <v/>
      </c>
      <c r="T7" s="16">
        <f>IFERROR('Incurred Loss'!T6/'Reported Count'!T6,"")</f>
        <v/>
      </c>
      <c r="U7" s="16">
        <f>IFERROR('Incurred Loss'!U6/'Reported Count'!U6,"")</f>
        <v/>
      </c>
      <c r="V7" s="16">
        <f>IFERROR('Incurred Loss'!V6/'Reported Count'!V6,"")</f>
        <v/>
      </c>
      <c r="W7" s="16">
        <f>IFERROR('Incurred Loss'!W6/'Reported Count'!W6,"")</f>
        <v/>
      </c>
      <c r="X7" s="16">
        <f>IFERROR('Incurred Loss'!X6/'Reported Count'!X6,"")</f>
        <v/>
      </c>
      <c r="Y7" s="16">
        <f>IFERROR('Incurred Loss'!Y6/'Reported Count'!Y6,"")</f>
        <v/>
      </c>
    </row>
    <row r="8">
      <c r="A8" s="15" t="inlineStr">
        <is>
          <t>2006</t>
        </is>
      </c>
      <c r="B8" s="16">
        <f>IFERROR('Incurred Loss'!B7/'Reported Count'!B7,"")</f>
        <v/>
      </c>
      <c r="C8" s="16">
        <f>IFERROR('Incurred Loss'!C7/'Reported Count'!C7,"")</f>
        <v/>
      </c>
      <c r="D8" s="16">
        <f>IFERROR('Incurred Loss'!D7/'Reported Count'!D7,"")</f>
        <v/>
      </c>
      <c r="E8" s="16">
        <f>IFERROR('Incurred Loss'!E7/'Reported Count'!E7,"")</f>
        <v/>
      </c>
      <c r="F8" s="16">
        <f>IFERROR('Incurred Loss'!F7/'Reported Count'!F7,"")</f>
        <v/>
      </c>
      <c r="G8" s="16">
        <f>IFERROR('Incurred Loss'!G7/'Reported Count'!G7,"")</f>
        <v/>
      </c>
      <c r="H8" s="16">
        <f>IFERROR('Incurred Loss'!H7/'Reported Count'!H7,"")</f>
        <v/>
      </c>
      <c r="I8" s="16">
        <f>IFERROR('Incurred Loss'!I7/'Reported Count'!I7,"")</f>
        <v/>
      </c>
      <c r="J8" s="16">
        <f>IFERROR('Incurred Loss'!J7/'Reported Count'!J7,"")</f>
        <v/>
      </c>
      <c r="K8" s="16">
        <f>IFERROR('Incurred Loss'!K7/'Reported Count'!K7,"")</f>
        <v/>
      </c>
      <c r="L8" s="16">
        <f>IFERROR('Incurred Loss'!L7/'Reported Count'!L7,"")</f>
        <v/>
      </c>
      <c r="M8" s="16">
        <f>IFERROR('Incurred Loss'!M7/'Reported Count'!M7,"")</f>
        <v/>
      </c>
      <c r="N8" s="16">
        <f>IFERROR('Incurred Loss'!N7/'Reported Count'!N7,"")</f>
        <v/>
      </c>
      <c r="O8" s="16">
        <f>IFERROR('Incurred Loss'!O7/'Reported Count'!O7,"")</f>
        <v/>
      </c>
      <c r="P8" s="16">
        <f>IFERROR('Incurred Loss'!P7/'Reported Count'!P7,"")</f>
        <v/>
      </c>
      <c r="Q8" s="16">
        <f>IFERROR('Incurred Loss'!Q7/'Reported Count'!Q7,"")</f>
        <v/>
      </c>
      <c r="R8" s="16">
        <f>IFERROR('Incurred Loss'!R7/'Reported Count'!R7,"")</f>
        <v/>
      </c>
      <c r="S8" s="16">
        <f>IFERROR('Incurred Loss'!S7/'Reported Count'!S7,"")</f>
        <v/>
      </c>
      <c r="T8" s="16">
        <f>IFERROR('Incurred Loss'!T7/'Reported Count'!T7,"")</f>
        <v/>
      </c>
      <c r="U8" s="16">
        <f>IFERROR('Incurred Loss'!U7/'Reported Count'!U7,"")</f>
        <v/>
      </c>
      <c r="V8" s="16">
        <f>IFERROR('Incurred Loss'!V7/'Reported Count'!V7,"")</f>
        <v/>
      </c>
      <c r="W8" s="16">
        <f>IFERROR('Incurred Loss'!W7/'Reported Count'!W7,"")</f>
        <v/>
      </c>
      <c r="X8" s="16">
        <f>IFERROR('Incurred Loss'!X7/'Reported Count'!X7,"")</f>
        <v/>
      </c>
      <c r="Y8" s="16">
        <f>IFERROR('Incurred Loss'!Y7/'Reported Count'!Y7,"")</f>
        <v/>
      </c>
    </row>
    <row r="9">
      <c r="A9" s="15" t="inlineStr">
        <is>
          <t>2007</t>
        </is>
      </c>
      <c r="B9" s="16">
        <f>IFERROR('Incurred Loss'!B8/'Reported Count'!B8,"")</f>
        <v/>
      </c>
      <c r="C9" s="16">
        <f>IFERROR('Incurred Loss'!C8/'Reported Count'!C8,"")</f>
        <v/>
      </c>
      <c r="D9" s="16">
        <f>IFERROR('Incurred Loss'!D8/'Reported Count'!D8,"")</f>
        <v/>
      </c>
      <c r="E9" s="16">
        <f>IFERROR('Incurred Loss'!E8/'Reported Count'!E8,"")</f>
        <v/>
      </c>
      <c r="F9" s="16">
        <f>IFERROR('Incurred Loss'!F8/'Reported Count'!F8,"")</f>
        <v/>
      </c>
      <c r="G9" s="16">
        <f>IFERROR('Incurred Loss'!G8/'Reported Count'!G8,"")</f>
        <v/>
      </c>
      <c r="H9" s="16">
        <f>IFERROR('Incurred Loss'!H8/'Reported Count'!H8,"")</f>
        <v/>
      </c>
      <c r="I9" s="16">
        <f>IFERROR('Incurred Loss'!I8/'Reported Count'!I8,"")</f>
        <v/>
      </c>
      <c r="J9" s="16">
        <f>IFERROR('Incurred Loss'!J8/'Reported Count'!J8,"")</f>
        <v/>
      </c>
      <c r="K9" s="16">
        <f>IFERROR('Incurred Loss'!K8/'Reported Count'!K8,"")</f>
        <v/>
      </c>
      <c r="L9" s="16">
        <f>IFERROR('Incurred Loss'!L8/'Reported Count'!L8,"")</f>
        <v/>
      </c>
      <c r="M9" s="16">
        <f>IFERROR('Incurred Loss'!M8/'Reported Count'!M8,"")</f>
        <v/>
      </c>
      <c r="N9" s="16">
        <f>IFERROR('Incurred Loss'!N8/'Reported Count'!N8,"")</f>
        <v/>
      </c>
      <c r="O9" s="16">
        <f>IFERROR('Incurred Loss'!O8/'Reported Count'!O8,"")</f>
        <v/>
      </c>
      <c r="P9" s="16">
        <f>IFERROR('Incurred Loss'!P8/'Reported Count'!P8,"")</f>
        <v/>
      </c>
      <c r="Q9" s="16">
        <f>IFERROR('Incurred Loss'!Q8/'Reported Count'!Q8,"")</f>
        <v/>
      </c>
      <c r="R9" s="16">
        <f>IFERROR('Incurred Loss'!R8/'Reported Count'!R8,"")</f>
        <v/>
      </c>
      <c r="S9" s="16">
        <f>IFERROR('Incurred Loss'!S8/'Reported Count'!S8,"")</f>
        <v/>
      </c>
      <c r="T9" s="16">
        <f>IFERROR('Incurred Loss'!T8/'Reported Count'!T8,"")</f>
        <v/>
      </c>
      <c r="U9" s="16">
        <f>IFERROR('Incurred Loss'!U8/'Reported Count'!U8,"")</f>
        <v/>
      </c>
      <c r="V9" s="16">
        <f>IFERROR('Incurred Loss'!V8/'Reported Count'!V8,"")</f>
        <v/>
      </c>
      <c r="W9" s="16">
        <f>IFERROR('Incurred Loss'!W8/'Reported Count'!W8,"")</f>
        <v/>
      </c>
      <c r="X9" s="16">
        <f>IFERROR('Incurred Loss'!X8/'Reported Count'!X8,"")</f>
        <v/>
      </c>
      <c r="Y9" s="16">
        <f>IFERROR('Incurred Loss'!Y8/'Reported Count'!Y8,"")</f>
        <v/>
      </c>
    </row>
    <row r="10">
      <c r="A10" s="15" t="inlineStr">
        <is>
          <t>2008</t>
        </is>
      </c>
      <c r="B10" s="16">
        <f>IFERROR('Incurred Loss'!B9/'Reported Count'!B9,"")</f>
        <v/>
      </c>
      <c r="C10" s="16">
        <f>IFERROR('Incurred Loss'!C9/'Reported Count'!C9,"")</f>
        <v/>
      </c>
      <c r="D10" s="16">
        <f>IFERROR('Incurred Loss'!D9/'Reported Count'!D9,"")</f>
        <v/>
      </c>
      <c r="E10" s="16">
        <f>IFERROR('Incurred Loss'!E9/'Reported Count'!E9,"")</f>
        <v/>
      </c>
      <c r="F10" s="16">
        <f>IFERROR('Incurred Loss'!F9/'Reported Count'!F9,"")</f>
        <v/>
      </c>
      <c r="G10" s="16">
        <f>IFERROR('Incurred Loss'!G9/'Reported Count'!G9,"")</f>
        <v/>
      </c>
      <c r="H10" s="16">
        <f>IFERROR('Incurred Loss'!H9/'Reported Count'!H9,"")</f>
        <v/>
      </c>
      <c r="I10" s="16">
        <f>IFERROR('Incurred Loss'!I9/'Reported Count'!I9,"")</f>
        <v/>
      </c>
      <c r="J10" s="16">
        <f>IFERROR('Incurred Loss'!J9/'Reported Count'!J9,"")</f>
        <v/>
      </c>
      <c r="K10" s="16">
        <f>IFERROR('Incurred Loss'!K9/'Reported Count'!K9,"")</f>
        <v/>
      </c>
      <c r="L10" s="16">
        <f>IFERROR('Incurred Loss'!L9/'Reported Count'!L9,"")</f>
        <v/>
      </c>
      <c r="M10" s="16">
        <f>IFERROR('Incurred Loss'!M9/'Reported Count'!M9,"")</f>
        <v/>
      </c>
      <c r="N10" s="16">
        <f>IFERROR('Incurred Loss'!N9/'Reported Count'!N9,"")</f>
        <v/>
      </c>
      <c r="O10" s="16">
        <f>IFERROR('Incurred Loss'!O9/'Reported Count'!O9,"")</f>
        <v/>
      </c>
      <c r="P10" s="16">
        <f>IFERROR('Incurred Loss'!P9/'Reported Count'!P9,"")</f>
        <v/>
      </c>
      <c r="Q10" s="16">
        <f>IFERROR('Incurred Loss'!Q9/'Reported Count'!Q9,"")</f>
        <v/>
      </c>
      <c r="R10" s="16">
        <f>IFERROR('Incurred Loss'!R9/'Reported Count'!R9,"")</f>
        <v/>
      </c>
      <c r="S10" s="16">
        <f>IFERROR('Incurred Loss'!S9/'Reported Count'!S9,"")</f>
        <v/>
      </c>
      <c r="T10" s="16">
        <f>IFERROR('Incurred Loss'!T9/'Reported Count'!T9,"")</f>
        <v/>
      </c>
      <c r="U10" s="16">
        <f>IFERROR('Incurred Loss'!U9/'Reported Count'!U9,"")</f>
        <v/>
      </c>
      <c r="V10" s="16">
        <f>IFERROR('Incurred Loss'!V9/'Reported Count'!V9,"")</f>
        <v/>
      </c>
      <c r="W10" s="16">
        <f>IFERROR('Incurred Loss'!W9/'Reported Count'!W9,"")</f>
        <v/>
      </c>
      <c r="X10" s="16">
        <f>IFERROR('Incurred Loss'!X9/'Reported Count'!X9,"")</f>
        <v/>
      </c>
      <c r="Y10" s="16">
        <f>IFERROR('Incurred Loss'!Y9/'Reported Count'!Y9,"")</f>
        <v/>
      </c>
    </row>
    <row r="11">
      <c r="A11" s="15" t="inlineStr">
        <is>
          <t>2009</t>
        </is>
      </c>
      <c r="B11" s="16">
        <f>IFERROR('Incurred Loss'!B10/'Reported Count'!B10,"")</f>
        <v/>
      </c>
      <c r="C11" s="16">
        <f>IFERROR('Incurred Loss'!C10/'Reported Count'!C10,"")</f>
        <v/>
      </c>
      <c r="D11" s="16">
        <f>IFERROR('Incurred Loss'!D10/'Reported Count'!D10,"")</f>
        <v/>
      </c>
      <c r="E11" s="16">
        <f>IFERROR('Incurred Loss'!E10/'Reported Count'!E10,"")</f>
        <v/>
      </c>
      <c r="F11" s="16">
        <f>IFERROR('Incurred Loss'!F10/'Reported Count'!F10,"")</f>
        <v/>
      </c>
      <c r="G11" s="16">
        <f>IFERROR('Incurred Loss'!G10/'Reported Count'!G10,"")</f>
        <v/>
      </c>
      <c r="H11" s="16">
        <f>IFERROR('Incurred Loss'!H10/'Reported Count'!H10,"")</f>
        <v/>
      </c>
      <c r="I11" s="16">
        <f>IFERROR('Incurred Loss'!I10/'Reported Count'!I10,"")</f>
        <v/>
      </c>
      <c r="J11" s="16">
        <f>IFERROR('Incurred Loss'!J10/'Reported Count'!J10,"")</f>
        <v/>
      </c>
      <c r="K11" s="16">
        <f>IFERROR('Incurred Loss'!K10/'Reported Count'!K10,"")</f>
        <v/>
      </c>
      <c r="L11" s="16">
        <f>IFERROR('Incurred Loss'!L10/'Reported Count'!L10,"")</f>
        <v/>
      </c>
      <c r="M11" s="16">
        <f>IFERROR('Incurred Loss'!M10/'Reported Count'!M10,"")</f>
        <v/>
      </c>
      <c r="N11" s="16">
        <f>IFERROR('Incurred Loss'!N10/'Reported Count'!N10,"")</f>
        <v/>
      </c>
      <c r="O11" s="16">
        <f>IFERROR('Incurred Loss'!O10/'Reported Count'!O10,"")</f>
        <v/>
      </c>
      <c r="P11" s="16">
        <f>IFERROR('Incurred Loss'!P10/'Reported Count'!P10,"")</f>
        <v/>
      </c>
      <c r="Q11" s="16">
        <f>IFERROR('Incurred Loss'!Q10/'Reported Count'!Q10,"")</f>
        <v/>
      </c>
      <c r="R11" s="16">
        <f>IFERROR('Incurred Loss'!R10/'Reported Count'!R10,"")</f>
        <v/>
      </c>
      <c r="S11" s="16">
        <f>IFERROR('Incurred Loss'!S10/'Reported Count'!S10,"")</f>
        <v/>
      </c>
      <c r="T11" s="16">
        <f>IFERROR('Incurred Loss'!T10/'Reported Count'!T10,"")</f>
        <v/>
      </c>
      <c r="U11" s="16">
        <f>IFERROR('Incurred Loss'!U10/'Reported Count'!U10,"")</f>
        <v/>
      </c>
      <c r="V11" s="16">
        <f>IFERROR('Incurred Loss'!V10/'Reported Count'!V10,"")</f>
        <v/>
      </c>
      <c r="W11" s="16">
        <f>IFERROR('Incurred Loss'!W10/'Reported Count'!W10,"")</f>
        <v/>
      </c>
      <c r="X11" s="16">
        <f>IFERROR('Incurred Loss'!X10/'Reported Count'!X10,"")</f>
        <v/>
      </c>
      <c r="Y11" s="16">
        <f>IFERROR('Incurred Loss'!Y10/'Reported Count'!Y10,"")</f>
        <v/>
      </c>
    </row>
    <row r="12">
      <c r="A12" s="15" t="inlineStr">
        <is>
          <t>2010</t>
        </is>
      </c>
      <c r="B12" s="16">
        <f>IFERROR('Incurred Loss'!B11/'Reported Count'!B11,"")</f>
        <v/>
      </c>
      <c r="C12" s="16">
        <f>IFERROR('Incurred Loss'!C11/'Reported Count'!C11,"")</f>
        <v/>
      </c>
      <c r="D12" s="16">
        <f>IFERROR('Incurred Loss'!D11/'Reported Count'!D11,"")</f>
        <v/>
      </c>
      <c r="E12" s="16">
        <f>IFERROR('Incurred Loss'!E11/'Reported Count'!E11,"")</f>
        <v/>
      </c>
      <c r="F12" s="16">
        <f>IFERROR('Incurred Loss'!F11/'Reported Count'!F11,"")</f>
        <v/>
      </c>
      <c r="G12" s="16">
        <f>IFERROR('Incurred Loss'!G11/'Reported Count'!G11,"")</f>
        <v/>
      </c>
      <c r="H12" s="16">
        <f>IFERROR('Incurred Loss'!H11/'Reported Count'!H11,"")</f>
        <v/>
      </c>
      <c r="I12" s="16">
        <f>IFERROR('Incurred Loss'!I11/'Reported Count'!I11,"")</f>
        <v/>
      </c>
      <c r="J12" s="16">
        <f>IFERROR('Incurred Loss'!J11/'Reported Count'!J11,"")</f>
        <v/>
      </c>
      <c r="K12" s="16">
        <f>IFERROR('Incurred Loss'!K11/'Reported Count'!K11,"")</f>
        <v/>
      </c>
      <c r="L12" s="16">
        <f>IFERROR('Incurred Loss'!L11/'Reported Count'!L11,"")</f>
        <v/>
      </c>
      <c r="M12" s="16">
        <f>IFERROR('Incurred Loss'!M11/'Reported Count'!M11,"")</f>
        <v/>
      </c>
      <c r="N12" s="16">
        <f>IFERROR('Incurred Loss'!N11/'Reported Count'!N11,"")</f>
        <v/>
      </c>
      <c r="O12" s="16">
        <f>IFERROR('Incurred Loss'!O11/'Reported Count'!O11,"")</f>
        <v/>
      </c>
      <c r="P12" s="16">
        <f>IFERROR('Incurred Loss'!P11/'Reported Count'!P11,"")</f>
        <v/>
      </c>
      <c r="Q12" s="16">
        <f>IFERROR('Incurred Loss'!Q11/'Reported Count'!Q11,"")</f>
        <v/>
      </c>
      <c r="R12" s="16">
        <f>IFERROR('Incurred Loss'!R11/'Reported Count'!R11,"")</f>
        <v/>
      </c>
      <c r="S12" s="16">
        <f>IFERROR('Incurred Loss'!S11/'Reported Count'!S11,"")</f>
        <v/>
      </c>
      <c r="T12" s="16">
        <f>IFERROR('Incurred Loss'!T11/'Reported Count'!T11,"")</f>
        <v/>
      </c>
      <c r="U12" s="16">
        <f>IFERROR('Incurred Loss'!U11/'Reported Count'!U11,"")</f>
        <v/>
      </c>
      <c r="V12" s="16">
        <f>IFERROR('Incurred Loss'!V11/'Reported Count'!V11,"")</f>
        <v/>
      </c>
      <c r="W12" s="16">
        <f>IFERROR('Incurred Loss'!W11/'Reported Count'!W11,"")</f>
        <v/>
      </c>
      <c r="X12" s="16">
        <f>IFERROR('Incurred Loss'!X11/'Reported Count'!X11,"")</f>
        <v/>
      </c>
      <c r="Y12" s="16">
        <f>IFERROR('Incurred Loss'!Y11/'Reported Count'!Y11,"")</f>
        <v/>
      </c>
    </row>
    <row r="13">
      <c r="A13" s="15" t="inlineStr">
        <is>
          <t>2011</t>
        </is>
      </c>
      <c r="B13" s="16">
        <f>IFERROR('Incurred Loss'!B12/'Reported Count'!B12,"")</f>
        <v/>
      </c>
      <c r="C13" s="16">
        <f>IFERROR('Incurred Loss'!C12/'Reported Count'!C12,"")</f>
        <v/>
      </c>
      <c r="D13" s="16">
        <f>IFERROR('Incurred Loss'!D12/'Reported Count'!D12,"")</f>
        <v/>
      </c>
      <c r="E13" s="16">
        <f>IFERROR('Incurred Loss'!E12/'Reported Count'!E12,"")</f>
        <v/>
      </c>
      <c r="F13" s="16">
        <f>IFERROR('Incurred Loss'!F12/'Reported Count'!F12,"")</f>
        <v/>
      </c>
      <c r="G13" s="16">
        <f>IFERROR('Incurred Loss'!G12/'Reported Count'!G12,"")</f>
        <v/>
      </c>
      <c r="H13" s="16">
        <f>IFERROR('Incurred Loss'!H12/'Reported Count'!H12,"")</f>
        <v/>
      </c>
      <c r="I13" s="16">
        <f>IFERROR('Incurred Loss'!I12/'Reported Count'!I12,"")</f>
        <v/>
      </c>
      <c r="J13" s="16">
        <f>IFERROR('Incurred Loss'!J12/'Reported Count'!J12,"")</f>
        <v/>
      </c>
      <c r="K13" s="16">
        <f>IFERROR('Incurred Loss'!K12/'Reported Count'!K12,"")</f>
        <v/>
      </c>
      <c r="L13" s="16">
        <f>IFERROR('Incurred Loss'!L12/'Reported Count'!L12,"")</f>
        <v/>
      </c>
      <c r="M13" s="16">
        <f>IFERROR('Incurred Loss'!M12/'Reported Count'!M12,"")</f>
        <v/>
      </c>
      <c r="N13" s="16">
        <f>IFERROR('Incurred Loss'!N12/'Reported Count'!N12,"")</f>
        <v/>
      </c>
      <c r="O13" s="16">
        <f>IFERROR('Incurred Loss'!O12/'Reported Count'!O12,"")</f>
        <v/>
      </c>
      <c r="P13" s="16">
        <f>IFERROR('Incurred Loss'!P12/'Reported Count'!P12,"")</f>
        <v/>
      </c>
      <c r="Q13" s="16">
        <f>IFERROR('Incurred Loss'!Q12/'Reported Count'!Q12,"")</f>
        <v/>
      </c>
      <c r="R13" s="16">
        <f>IFERROR('Incurred Loss'!R12/'Reported Count'!R12,"")</f>
        <v/>
      </c>
      <c r="S13" s="16">
        <f>IFERROR('Incurred Loss'!S12/'Reported Count'!S12,"")</f>
        <v/>
      </c>
      <c r="T13" s="16">
        <f>IFERROR('Incurred Loss'!T12/'Reported Count'!T12,"")</f>
        <v/>
      </c>
      <c r="U13" s="16">
        <f>IFERROR('Incurred Loss'!U12/'Reported Count'!U12,"")</f>
        <v/>
      </c>
      <c r="V13" s="16">
        <f>IFERROR('Incurred Loss'!V12/'Reported Count'!V12,"")</f>
        <v/>
      </c>
      <c r="W13" s="16">
        <f>IFERROR('Incurred Loss'!W12/'Reported Count'!W12,"")</f>
        <v/>
      </c>
      <c r="X13" s="16">
        <f>IFERROR('Incurred Loss'!X12/'Reported Count'!X12,"")</f>
        <v/>
      </c>
      <c r="Y13" s="16">
        <f>IFERROR('Incurred Loss'!Y12/'Reported Count'!Y12,"")</f>
        <v/>
      </c>
    </row>
    <row r="14">
      <c r="A14" s="15" t="inlineStr">
        <is>
          <t>2012</t>
        </is>
      </c>
      <c r="B14" s="16">
        <f>IFERROR('Incurred Loss'!B13/'Reported Count'!B13,"")</f>
        <v/>
      </c>
      <c r="C14" s="16">
        <f>IFERROR('Incurred Loss'!C13/'Reported Count'!C13,"")</f>
        <v/>
      </c>
      <c r="D14" s="16">
        <f>IFERROR('Incurred Loss'!D13/'Reported Count'!D13,"")</f>
        <v/>
      </c>
      <c r="E14" s="16">
        <f>IFERROR('Incurred Loss'!E13/'Reported Count'!E13,"")</f>
        <v/>
      </c>
      <c r="F14" s="16">
        <f>IFERROR('Incurred Loss'!F13/'Reported Count'!F13,"")</f>
        <v/>
      </c>
      <c r="G14" s="16">
        <f>IFERROR('Incurred Loss'!G13/'Reported Count'!G13,"")</f>
        <v/>
      </c>
      <c r="H14" s="16">
        <f>IFERROR('Incurred Loss'!H13/'Reported Count'!H13,"")</f>
        <v/>
      </c>
      <c r="I14" s="16">
        <f>IFERROR('Incurred Loss'!I13/'Reported Count'!I13,"")</f>
        <v/>
      </c>
      <c r="J14" s="16">
        <f>IFERROR('Incurred Loss'!J13/'Reported Count'!J13,"")</f>
        <v/>
      </c>
      <c r="K14" s="16">
        <f>IFERROR('Incurred Loss'!K13/'Reported Count'!K13,"")</f>
        <v/>
      </c>
      <c r="L14" s="16">
        <f>IFERROR('Incurred Loss'!L13/'Reported Count'!L13,"")</f>
        <v/>
      </c>
      <c r="M14" s="16">
        <f>IFERROR('Incurred Loss'!M13/'Reported Count'!M13,"")</f>
        <v/>
      </c>
      <c r="N14" s="16">
        <f>IFERROR('Incurred Loss'!N13/'Reported Count'!N13,"")</f>
        <v/>
      </c>
      <c r="O14" s="16">
        <f>IFERROR('Incurred Loss'!O13/'Reported Count'!O13,"")</f>
        <v/>
      </c>
      <c r="P14" s="16">
        <f>IFERROR('Incurred Loss'!P13/'Reported Count'!P13,"")</f>
        <v/>
      </c>
      <c r="Q14" s="16">
        <f>IFERROR('Incurred Loss'!Q13/'Reported Count'!Q13,"")</f>
        <v/>
      </c>
      <c r="R14" s="16">
        <f>IFERROR('Incurred Loss'!R13/'Reported Count'!R13,"")</f>
        <v/>
      </c>
      <c r="S14" s="16">
        <f>IFERROR('Incurred Loss'!S13/'Reported Count'!S13,"")</f>
        <v/>
      </c>
      <c r="T14" s="16">
        <f>IFERROR('Incurred Loss'!T13/'Reported Count'!T13,"")</f>
        <v/>
      </c>
      <c r="U14" s="16">
        <f>IFERROR('Incurred Loss'!U13/'Reported Count'!U13,"")</f>
        <v/>
      </c>
      <c r="V14" s="16">
        <f>IFERROR('Incurred Loss'!V13/'Reported Count'!V13,"")</f>
        <v/>
      </c>
      <c r="W14" s="16">
        <f>IFERROR('Incurred Loss'!W13/'Reported Count'!W13,"")</f>
        <v/>
      </c>
      <c r="X14" s="16">
        <f>IFERROR('Incurred Loss'!X13/'Reported Count'!X13,"")</f>
        <v/>
      </c>
      <c r="Y14" s="16">
        <f>IFERROR('Incurred Loss'!Y13/'Reported Count'!Y13,"")</f>
        <v/>
      </c>
    </row>
    <row r="15">
      <c r="A15" s="15" t="inlineStr">
        <is>
          <t>2013</t>
        </is>
      </c>
      <c r="B15" s="16">
        <f>IFERROR('Incurred Loss'!B14/'Reported Count'!B14,"")</f>
        <v/>
      </c>
      <c r="C15" s="16">
        <f>IFERROR('Incurred Loss'!C14/'Reported Count'!C14,"")</f>
        <v/>
      </c>
      <c r="D15" s="16">
        <f>IFERROR('Incurred Loss'!D14/'Reported Count'!D14,"")</f>
        <v/>
      </c>
      <c r="E15" s="16">
        <f>IFERROR('Incurred Loss'!E14/'Reported Count'!E14,"")</f>
        <v/>
      </c>
      <c r="F15" s="16">
        <f>IFERROR('Incurred Loss'!F14/'Reported Count'!F14,"")</f>
        <v/>
      </c>
      <c r="G15" s="16">
        <f>IFERROR('Incurred Loss'!G14/'Reported Count'!G14,"")</f>
        <v/>
      </c>
      <c r="H15" s="16">
        <f>IFERROR('Incurred Loss'!H14/'Reported Count'!H14,"")</f>
        <v/>
      </c>
      <c r="I15" s="16">
        <f>IFERROR('Incurred Loss'!I14/'Reported Count'!I14,"")</f>
        <v/>
      </c>
      <c r="J15" s="16">
        <f>IFERROR('Incurred Loss'!J14/'Reported Count'!J14,"")</f>
        <v/>
      </c>
      <c r="K15" s="16">
        <f>IFERROR('Incurred Loss'!K14/'Reported Count'!K14,"")</f>
        <v/>
      </c>
      <c r="L15" s="16">
        <f>IFERROR('Incurred Loss'!L14/'Reported Count'!L14,"")</f>
        <v/>
      </c>
      <c r="M15" s="16">
        <f>IFERROR('Incurred Loss'!M14/'Reported Count'!M14,"")</f>
        <v/>
      </c>
      <c r="N15" s="16">
        <f>IFERROR('Incurred Loss'!N14/'Reported Count'!N14,"")</f>
        <v/>
      </c>
      <c r="O15" s="16">
        <f>IFERROR('Incurred Loss'!O14/'Reported Count'!O14,"")</f>
        <v/>
      </c>
      <c r="P15" s="16">
        <f>IFERROR('Incurred Loss'!P14/'Reported Count'!P14,"")</f>
        <v/>
      </c>
      <c r="Q15" s="16">
        <f>IFERROR('Incurred Loss'!Q14/'Reported Count'!Q14,"")</f>
        <v/>
      </c>
      <c r="R15" s="16">
        <f>IFERROR('Incurred Loss'!R14/'Reported Count'!R14,"")</f>
        <v/>
      </c>
      <c r="S15" s="16">
        <f>IFERROR('Incurred Loss'!S14/'Reported Count'!S14,"")</f>
        <v/>
      </c>
      <c r="T15" s="16">
        <f>IFERROR('Incurred Loss'!T14/'Reported Count'!T14,"")</f>
        <v/>
      </c>
      <c r="U15" s="16">
        <f>IFERROR('Incurred Loss'!U14/'Reported Count'!U14,"")</f>
        <v/>
      </c>
      <c r="V15" s="16">
        <f>IFERROR('Incurred Loss'!V14/'Reported Count'!V14,"")</f>
        <v/>
      </c>
      <c r="W15" s="16">
        <f>IFERROR('Incurred Loss'!W14/'Reported Count'!W14,"")</f>
        <v/>
      </c>
      <c r="X15" s="16">
        <f>IFERROR('Incurred Loss'!X14/'Reported Count'!X14,"")</f>
        <v/>
      </c>
      <c r="Y15" s="16">
        <f>IFERROR('Incurred Loss'!Y14/'Reported Count'!Y14,"")</f>
        <v/>
      </c>
    </row>
    <row r="16">
      <c r="A16" s="15" t="inlineStr">
        <is>
          <t>2014</t>
        </is>
      </c>
      <c r="B16" s="16">
        <f>IFERROR('Incurred Loss'!B15/'Reported Count'!B15,"")</f>
        <v/>
      </c>
      <c r="C16" s="16">
        <f>IFERROR('Incurred Loss'!C15/'Reported Count'!C15,"")</f>
        <v/>
      </c>
      <c r="D16" s="16">
        <f>IFERROR('Incurred Loss'!D15/'Reported Count'!D15,"")</f>
        <v/>
      </c>
      <c r="E16" s="16">
        <f>IFERROR('Incurred Loss'!E15/'Reported Count'!E15,"")</f>
        <v/>
      </c>
      <c r="F16" s="16">
        <f>IFERROR('Incurred Loss'!F15/'Reported Count'!F15,"")</f>
        <v/>
      </c>
      <c r="G16" s="16">
        <f>IFERROR('Incurred Loss'!G15/'Reported Count'!G15,"")</f>
        <v/>
      </c>
      <c r="H16" s="16">
        <f>IFERROR('Incurred Loss'!H15/'Reported Count'!H15,"")</f>
        <v/>
      </c>
      <c r="I16" s="16">
        <f>IFERROR('Incurred Loss'!I15/'Reported Count'!I15,"")</f>
        <v/>
      </c>
      <c r="J16" s="16">
        <f>IFERROR('Incurred Loss'!J15/'Reported Count'!J15,"")</f>
        <v/>
      </c>
      <c r="K16" s="16">
        <f>IFERROR('Incurred Loss'!K15/'Reported Count'!K15,"")</f>
        <v/>
      </c>
      <c r="L16" s="16">
        <f>IFERROR('Incurred Loss'!L15/'Reported Count'!L15,"")</f>
        <v/>
      </c>
      <c r="M16" s="16">
        <f>IFERROR('Incurred Loss'!M15/'Reported Count'!M15,"")</f>
        <v/>
      </c>
      <c r="N16" s="16">
        <f>IFERROR('Incurred Loss'!N15/'Reported Count'!N15,"")</f>
        <v/>
      </c>
      <c r="O16" s="16">
        <f>IFERROR('Incurred Loss'!O15/'Reported Count'!O15,"")</f>
        <v/>
      </c>
      <c r="P16" s="16">
        <f>IFERROR('Incurred Loss'!P15/'Reported Count'!P15,"")</f>
        <v/>
      </c>
      <c r="Q16" s="16">
        <f>IFERROR('Incurred Loss'!Q15/'Reported Count'!Q15,"")</f>
        <v/>
      </c>
      <c r="R16" s="16">
        <f>IFERROR('Incurred Loss'!R15/'Reported Count'!R15,"")</f>
        <v/>
      </c>
      <c r="S16" s="16">
        <f>IFERROR('Incurred Loss'!S15/'Reported Count'!S15,"")</f>
        <v/>
      </c>
      <c r="T16" s="16">
        <f>IFERROR('Incurred Loss'!T15/'Reported Count'!T15,"")</f>
        <v/>
      </c>
      <c r="U16" s="16">
        <f>IFERROR('Incurred Loss'!U15/'Reported Count'!U15,"")</f>
        <v/>
      </c>
      <c r="V16" s="16">
        <f>IFERROR('Incurred Loss'!V15/'Reported Count'!V15,"")</f>
        <v/>
      </c>
      <c r="W16" s="16">
        <f>IFERROR('Incurred Loss'!W15/'Reported Count'!W15,"")</f>
        <v/>
      </c>
      <c r="X16" s="16">
        <f>IFERROR('Incurred Loss'!X15/'Reported Count'!X15,"")</f>
        <v/>
      </c>
      <c r="Y16" s="16">
        <f>IFERROR('Incurred Loss'!Y15/'Reported Count'!Y15,"")</f>
        <v/>
      </c>
    </row>
    <row r="17">
      <c r="A17" s="15" t="inlineStr">
        <is>
          <t>2015</t>
        </is>
      </c>
      <c r="B17" s="16">
        <f>IFERROR('Incurred Loss'!B16/'Reported Count'!B16,"")</f>
        <v/>
      </c>
      <c r="C17" s="16">
        <f>IFERROR('Incurred Loss'!C16/'Reported Count'!C16,"")</f>
        <v/>
      </c>
      <c r="D17" s="16">
        <f>IFERROR('Incurred Loss'!D16/'Reported Count'!D16,"")</f>
        <v/>
      </c>
      <c r="E17" s="16">
        <f>IFERROR('Incurred Loss'!E16/'Reported Count'!E16,"")</f>
        <v/>
      </c>
      <c r="F17" s="16">
        <f>IFERROR('Incurred Loss'!F16/'Reported Count'!F16,"")</f>
        <v/>
      </c>
      <c r="G17" s="16">
        <f>IFERROR('Incurred Loss'!G16/'Reported Count'!G16,"")</f>
        <v/>
      </c>
      <c r="H17" s="16">
        <f>IFERROR('Incurred Loss'!H16/'Reported Count'!H16,"")</f>
        <v/>
      </c>
      <c r="I17" s="16">
        <f>IFERROR('Incurred Loss'!I16/'Reported Count'!I16,"")</f>
        <v/>
      </c>
      <c r="J17" s="16">
        <f>IFERROR('Incurred Loss'!J16/'Reported Count'!J16,"")</f>
        <v/>
      </c>
      <c r="K17" s="16">
        <f>IFERROR('Incurred Loss'!K16/'Reported Count'!K16,"")</f>
        <v/>
      </c>
      <c r="L17" s="16">
        <f>IFERROR('Incurred Loss'!L16/'Reported Count'!L16,"")</f>
        <v/>
      </c>
      <c r="M17" s="16">
        <f>IFERROR('Incurred Loss'!M16/'Reported Count'!M16,"")</f>
        <v/>
      </c>
      <c r="N17" s="16">
        <f>IFERROR('Incurred Loss'!N16/'Reported Count'!N16,"")</f>
        <v/>
      </c>
      <c r="O17" s="16">
        <f>IFERROR('Incurred Loss'!O16/'Reported Count'!O16,"")</f>
        <v/>
      </c>
      <c r="P17" s="16">
        <f>IFERROR('Incurred Loss'!P16/'Reported Count'!P16,"")</f>
        <v/>
      </c>
      <c r="Q17" s="16">
        <f>IFERROR('Incurred Loss'!Q16/'Reported Count'!Q16,"")</f>
        <v/>
      </c>
      <c r="R17" s="16">
        <f>IFERROR('Incurred Loss'!R16/'Reported Count'!R16,"")</f>
        <v/>
      </c>
      <c r="S17" s="16">
        <f>IFERROR('Incurred Loss'!S16/'Reported Count'!S16,"")</f>
        <v/>
      </c>
      <c r="T17" s="16">
        <f>IFERROR('Incurred Loss'!T16/'Reported Count'!T16,"")</f>
        <v/>
      </c>
      <c r="U17" s="16">
        <f>IFERROR('Incurred Loss'!U16/'Reported Count'!U16,"")</f>
        <v/>
      </c>
      <c r="V17" s="16">
        <f>IFERROR('Incurred Loss'!V16/'Reported Count'!V16,"")</f>
        <v/>
      </c>
      <c r="W17" s="16">
        <f>IFERROR('Incurred Loss'!W16/'Reported Count'!W16,"")</f>
        <v/>
      </c>
      <c r="X17" s="16">
        <f>IFERROR('Incurred Loss'!X16/'Reported Count'!X16,"")</f>
        <v/>
      </c>
      <c r="Y17" s="16">
        <f>IFERROR('Incurred Loss'!Y16/'Reported Count'!Y16,"")</f>
        <v/>
      </c>
    </row>
    <row r="18">
      <c r="A18" s="15" t="inlineStr">
        <is>
          <t>2016</t>
        </is>
      </c>
      <c r="B18" s="16">
        <f>IFERROR('Incurred Loss'!B17/'Reported Count'!B17,"")</f>
        <v/>
      </c>
      <c r="C18" s="16">
        <f>IFERROR('Incurred Loss'!C17/'Reported Count'!C17,"")</f>
        <v/>
      </c>
      <c r="D18" s="16">
        <f>IFERROR('Incurred Loss'!D17/'Reported Count'!D17,"")</f>
        <v/>
      </c>
      <c r="E18" s="16">
        <f>IFERROR('Incurred Loss'!E17/'Reported Count'!E17,"")</f>
        <v/>
      </c>
      <c r="F18" s="16">
        <f>IFERROR('Incurred Loss'!F17/'Reported Count'!F17,"")</f>
        <v/>
      </c>
      <c r="G18" s="16">
        <f>IFERROR('Incurred Loss'!G17/'Reported Count'!G17,"")</f>
        <v/>
      </c>
      <c r="H18" s="16">
        <f>IFERROR('Incurred Loss'!H17/'Reported Count'!H17,"")</f>
        <v/>
      </c>
      <c r="I18" s="16">
        <f>IFERROR('Incurred Loss'!I17/'Reported Count'!I17,"")</f>
        <v/>
      </c>
      <c r="J18" s="16">
        <f>IFERROR('Incurred Loss'!J17/'Reported Count'!J17,"")</f>
        <v/>
      </c>
      <c r="K18" s="16">
        <f>IFERROR('Incurred Loss'!K17/'Reported Count'!K17,"")</f>
        <v/>
      </c>
      <c r="L18" s="16">
        <f>IFERROR('Incurred Loss'!L17/'Reported Count'!L17,"")</f>
        <v/>
      </c>
      <c r="M18" s="16">
        <f>IFERROR('Incurred Loss'!M17/'Reported Count'!M17,"")</f>
        <v/>
      </c>
      <c r="N18" s="16">
        <f>IFERROR('Incurred Loss'!N17/'Reported Count'!N17,"")</f>
        <v/>
      </c>
      <c r="O18" s="16">
        <f>IFERROR('Incurred Loss'!O17/'Reported Count'!O17,"")</f>
        <v/>
      </c>
      <c r="P18" s="16">
        <f>IFERROR('Incurred Loss'!P17/'Reported Count'!P17,"")</f>
        <v/>
      </c>
      <c r="Q18" s="16">
        <f>IFERROR('Incurred Loss'!Q17/'Reported Count'!Q17,"")</f>
        <v/>
      </c>
      <c r="R18" s="16">
        <f>IFERROR('Incurred Loss'!R17/'Reported Count'!R17,"")</f>
        <v/>
      </c>
      <c r="S18" s="16">
        <f>IFERROR('Incurred Loss'!S17/'Reported Count'!S17,"")</f>
        <v/>
      </c>
      <c r="T18" s="16">
        <f>IFERROR('Incurred Loss'!T17/'Reported Count'!T17,"")</f>
        <v/>
      </c>
      <c r="U18" s="16">
        <f>IFERROR('Incurred Loss'!U17/'Reported Count'!U17,"")</f>
        <v/>
      </c>
      <c r="V18" s="16">
        <f>IFERROR('Incurred Loss'!V17/'Reported Count'!V17,"")</f>
        <v/>
      </c>
      <c r="W18" s="16">
        <f>IFERROR('Incurred Loss'!W17/'Reported Count'!W17,"")</f>
        <v/>
      </c>
      <c r="X18" s="16">
        <f>IFERROR('Incurred Loss'!X17/'Reported Count'!X17,"")</f>
        <v/>
      </c>
      <c r="Y18" s="16">
        <f>IFERROR('Incurred Loss'!Y17/'Reported Count'!Y17,"")</f>
        <v/>
      </c>
    </row>
    <row r="19">
      <c r="A19" s="15" t="inlineStr">
        <is>
          <t>2017</t>
        </is>
      </c>
      <c r="B19" s="16">
        <f>IFERROR('Incurred Loss'!B18/'Reported Count'!B18,"")</f>
        <v/>
      </c>
      <c r="C19" s="16">
        <f>IFERROR('Incurred Loss'!C18/'Reported Count'!C18,"")</f>
        <v/>
      </c>
      <c r="D19" s="16">
        <f>IFERROR('Incurred Loss'!D18/'Reported Count'!D18,"")</f>
        <v/>
      </c>
      <c r="E19" s="16">
        <f>IFERROR('Incurred Loss'!E18/'Reported Count'!E18,"")</f>
        <v/>
      </c>
      <c r="F19" s="16">
        <f>IFERROR('Incurred Loss'!F18/'Reported Count'!F18,"")</f>
        <v/>
      </c>
      <c r="G19" s="16">
        <f>IFERROR('Incurred Loss'!G18/'Reported Count'!G18,"")</f>
        <v/>
      </c>
      <c r="H19" s="16">
        <f>IFERROR('Incurred Loss'!H18/'Reported Count'!H18,"")</f>
        <v/>
      </c>
      <c r="I19" s="16">
        <f>IFERROR('Incurred Loss'!I18/'Reported Count'!I18,"")</f>
        <v/>
      </c>
      <c r="J19" s="16">
        <f>IFERROR('Incurred Loss'!J18/'Reported Count'!J18,"")</f>
        <v/>
      </c>
      <c r="K19" s="16">
        <f>IFERROR('Incurred Loss'!K18/'Reported Count'!K18,"")</f>
        <v/>
      </c>
      <c r="L19" s="16">
        <f>IFERROR('Incurred Loss'!L18/'Reported Count'!L18,"")</f>
        <v/>
      </c>
      <c r="M19" s="16">
        <f>IFERROR('Incurred Loss'!M18/'Reported Count'!M18,"")</f>
        <v/>
      </c>
      <c r="N19" s="16">
        <f>IFERROR('Incurred Loss'!N18/'Reported Count'!N18,"")</f>
        <v/>
      </c>
      <c r="O19" s="16">
        <f>IFERROR('Incurred Loss'!O18/'Reported Count'!O18,"")</f>
        <v/>
      </c>
      <c r="P19" s="16">
        <f>IFERROR('Incurred Loss'!P18/'Reported Count'!P18,"")</f>
        <v/>
      </c>
      <c r="Q19" s="16">
        <f>IFERROR('Incurred Loss'!Q18/'Reported Count'!Q18,"")</f>
        <v/>
      </c>
      <c r="R19" s="16">
        <f>IFERROR('Incurred Loss'!R18/'Reported Count'!R18,"")</f>
        <v/>
      </c>
      <c r="S19" s="16">
        <f>IFERROR('Incurred Loss'!S18/'Reported Count'!S18,"")</f>
        <v/>
      </c>
      <c r="T19" s="16">
        <f>IFERROR('Incurred Loss'!T18/'Reported Count'!T18,"")</f>
        <v/>
      </c>
      <c r="U19" s="16">
        <f>IFERROR('Incurred Loss'!U18/'Reported Count'!U18,"")</f>
        <v/>
      </c>
      <c r="V19" s="16">
        <f>IFERROR('Incurred Loss'!V18/'Reported Count'!V18,"")</f>
        <v/>
      </c>
      <c r="W19" s="16">
        <f>IFERROR('Incurred Loss'!W18/'Reported Count'!W18,"")</f>
        <v/>
      </c>
      <c r="X19" s="16">
        <f>IFERROR('Incurred Loss'!X18/'Reported Count'!X18,"")</f>
        <v/>
      </c>
      <c r="Y19" s="16">
        <f>IFERROR('Incurred Loss'!Y18/'Reported Count'!Y18,"")</f>
        <v/>
      </c>
    </row>
    <row r="20">
      <c r="A20" s="15" t="inlineStr">
        <is>
          <t>2018</t>
        </is>
      </c>
      <c r="B20" s="16">
        <f>IFERROR('Incurred Loss'!B19/'Reported Count'!B19,"")</f>
        <v/>
      </c>
      <c r="C20" s="16">
        <f>IFERROR('Incurred Loss'!C19/'Reported Count'!C19,"")</f>
        <v/>
      </c>
      <c r="D20" s="16">
        <f>IFERROR('Incurred Loss'!D19/'Reported Count'!D19,"")</f>
        <v/>
      </c>
      <c r="E20" s="16">
        <f>IFERROR('Incurred Loss'!E19/'Reported Count'!E19,"")</f>
        <v/>
      </c>
      <c r="F20" s="16">
        <f>IFERROR('Incurred Loss'!F19/'Reported Count'!F19,"")</f>
        <v/>
      </c>
      <c r="G20" s="16">
        <f>IFERROR('Incurred Loss'!G19/'Reported Count'!G19,"")</f>
        <v/>
      </c>
      <c r="H20" s="16">
        <f>IFERROR('Incurred Loss'!H19/'Reported Count'!H19,"")</f>
        <v/>
      </c>
      <c r="I20" s="16">
        <f>IFERROR('Incurred Loss'!I19/'Reported Count'!I19,"")</f>
        <v/>
      </c>
      <c r="J20" s="16">
        <f>IFERROR('Incurred Loss'!J19/'Reported Count'!J19,"")</f>
        <v/>
      </c>
      <c r="K20" s="16">
        <f>IFERROR('Incurred Loss'!K19/'Reported Count'!K19,"")</f>
        <v/>
      </c>
      <c r="L20" s="16">
        <f>IFERROR('Incurred Loss'!L19/'Reported Count'!L19,"")</f>
        <v/>
      </c>
      <c r="M20" s="16">
        <f>IFERROR('Incurred Loss'!M19/'Reported Count'!M19,"")</f>
        <v/>
      </c>
      <c r="N20" s="16">
        <f>IFERROR('Incurred Loss'!N19/'Reported Count'!N19,"")</f>
        <v/>
      </c>
      <c r="O20" s="16">
        <f>IFERROR('Incurred Loss'!O19/'Reported Count'!O19,"")</f>
        <v/>
      </c>
      <c r="P20" s="16">
        <f>IFERROR('Incurred Loss'!P19/'Reported Count'!P19,"")</f>
        <v/>
      </c>
      <c r="Q20" s="16">
        <f>IFERROR('Incurred Loss'!Q19/'Reported Count'!Q19,"")</f>
        <v/>
      </c>
      <c r="R20" s="16">
        <f>IFERROR('Incurred Loss'!R19/'Reported Count'!R19,"")</f>
        <v/>
      </c>
      <c r="S20" s="16">
        <f>IFERROR('Incurred Loss'!S19/'Reported Count'!S19,"")</f>
        <v/>
      </c>
      <c r="T20" s="16">
        <f>IFERROR('Incurred Loss'!T19/'Reported Count'!T19,"")</f>
        <v/>
      </c>
      <c r="U20" s="16">
        <f>IFERROR('Incurred Loss'!U19/'Reported Count'!U19,"")</f>
        <v/>
      </c>
      <c r="V20" s="16">
        <f>IFERROR('Incurred Loss'!V19/'Reported Count'!V19,"")</f>
        <v/>
      </c>
      <c r="W20" s="16">
        <f>IFERROR('Incurred Loss'!W19/'Reported Count'!W19,"")</f>
        <v/>
      </c>
      <c r="X20" s="16">
        <f>IFERROR('Incurred Loss'!X19/'Reported Count'!X19,"")</f>
        <v/>
      </c>
      <c r="Y20" s="16">
        <f>IFERROR('Incurred Loss'!Y19/'Reported Count'!Y19,"")</f>
        <v/>
      </c>
    </row>
    <row r="21">
      <c r="A21" s="15" t="inlineStr">
        <is>
          <t>2019</t>
        </is>
      </c>
      <c r="B21" s="16">
        <f>IFERROR('Incurred Loss'!B20/'Reported Count'!B20,"")</f>
        <v/>
      </c>
      <c r="C21" s="16">
        <f>IFERROR('Incurred Loss'!C20/'Reported Count'!C20,"")</f>
        <v/>
      </c>
      <c r="D21" s="16">
        <f>IFERROR('Incurred Loss'!D20/'Reported Count'!D20,"")</f>
        <v/>
      </c>
      <c r="E21" s="16">
        <f>IFERROR('Incurred Loss'!E20/'Reported Count'!E20,"")</f>
        <v/>
      </c>
      <c r="F21" s="16">
        <f>IFERROR('Incurred Loss'!F20/'Reported Count'!F20,"")</f>
        <v/>
      </c>
      <c r="G21" s="16">
        <f>IFERROR('Incurred Loss'!G20/'Reported Count'!G20,"")</f>
        <v/>
      </c>
      <c r="H21" s="16">
        <f>IFERROR('Incurred Loss'!H20/'Reported Count'!H20,"")</f>
        <v/>
      </c>
      <c r="I21" s="16">
        <f>IFERROR('Incurred Loss'!I20/'Reported Count'!I20,"")</f>
        <v/>
      </c>
      <c r="J21" s="16">
        <f>IFERROR('Incurred Loss'!J20/'Reported Count'!J20,"")</f>
        <v/>
      </c>
      <c r="K21" s="16">
        <f>IFERROR('Incurred Loss'!K20/'Reported Count'!K20,"")</f>
        <v/>
      </c>
      <c r="L21" s="16">
        <f>IFERROR('Incurred Loss'!L20/'Reported Count'!L20,"")</f>
        <v/>
      </c>
      <c r="M21" s="16">
        <f>IFERROR('Incurred Loss'!M20/'Reported Count'!M20,"")</f>
        <v/>
      </c>
      <c r="N21" s="16">
        <f>IFERROR('Incurred Loss'!N20/'Reported Count'!N20,"")</f>
        <v/>
      </c>
      <c r="O21" s="16">
        <f>IFERROR('Incurred Loss'!O20/'Reported Count'!O20,"")</f>
        <v/>
      </c>
      <c r="P21" s="16">
        <f>IFERROR('Incurred Loss'!P20/'Reported Count'!P20,"")</f>
        <v/>
      </c>
      <c r="Q21" s="16">
        <f>IFERROR('Incurred Loss'!Q20/'Reported Count'!Q20,"")</f>
        <v/>
      </c>
      <c r="R21" s="16">
        <f>IFERROR('Incurred Loss'!R20/'Reported Count'!R20,"")</f>
        <v/>
      </c>
      <c r="S21" s="16">
        <f>IFERROR('Incurred Loss'!S20/'Reported Count'!S20,"")</f>
        <v/>
      </c>
      <c r="T21" s="16">
        <f>IFERROR('Incurred Loss'!T20/'Reported Count'!T20,"")</f>
        <v/>
      </c>
      <c r="U21" s="16">
        <f>IFERROR('Incurred Loss'!U20/'Reported Count'!U20,"")</f>
        <v/>
      </c>
      <c r="V21" s="16">
        <f>IFERROR('Incurred Loss'!V20/'Reported Count'!V20,"")</f>
        <v/>
      </c>
      <c r="W21" s="16">
        <f>IFERROR('Incurred Loss'!W20/'Reported Count'!W20,"")</f>
        <v/>
      </c>
      <c r="X21" s="16">
        <f>IFERROR('Incurred Loss'!X20/'Reported Count'!X20,"")</f>
        <v/>
      </c>
      <c r="Y21" s="16">
        <f>IFERROR('Incurred Loss'!Y20/'Reported Count'!Y20,"")</f>
        <v/>
      </c>
    </row>
    <row r="22">
      <c r="A22" s="15" t="inlineStr">
        <is>
          <t>2020</t>
        </is>
      </c>
      <c r="B22" s="16">
        <f>IFERROR('Incurred Loss'!B21/'Reported Count'!B21,"")</f>
        <v/>
      </c>
      <c r="C22" s="16">
        <f>IFERROR('Incurred Loss'!C21/'Reported Count'!C21,"")</f>
        <v/>
      </c>
      <c r="D22" s="16">
        <f>IFERROR('Incurred Loss'!D21/'Reported Count'!D21,"")</f>
        <v/>
      </c>
      <c r="E22" s="16">
        <f>IFERROR('Incurred Loss'!E21/'Reported Count'!E21,"")</f>
        <v/>
      </c>
      <c r="F22" s="16">
        <f>IFERROR('Incurred Loss'!F21/'Reported Count'!F21,"")</f>
        <v/>
      </c>
      <c r="G22" s="16">
        <f>IFERROR('Incurred Loss'!G21/'Reported Count'!G21,"")</f>
        <v/>
      </c>
      <c r="H22" s="16">
        <f>IFERROR('Incurred Loss'!H21/'Reported Count'!H21,"")</f>
        <v/>
      </c>
      <c r="I22" s="16">
        <f>IFERROR('Incurred Loss'!I21/'Reported Count'!I21,"")</f>
        <v/>
      </c>
      <c r="J22" s="16">
        <f>IFERROR('Incurred Loss'!J21/'Reported Count'!J21,"")</f>
        <v/>
      </c>
      <c r="K22" s="16">
        <f>IFERROR('Incurred Loss'!K21/'Reported Count'!K21,"")</f>
        <v/>
      </c>
      <c r="L22" s="16">
        <f>IFERROR('Incurred Loss'!L21/'Reported Count'!L21,"")</f>
        <v/>
      </c>
      <c r="M22" s="16">
        <f>IFERROR('Incurred Loss'!M21/'Reported Count'!M21,"")</f>
        <v/>
      </c>
      <c r="N22" s="16">
        <f>IFERROR('Incurred Loss'!N21/'Reported Count'!N21,"")</f>
        <v/>
      </c>
      <c r="O22" s="16">
        <f>IFERROR('Incurred Loss'!O21/'Reported Count'!O21,"")</f>
        <v/>
      </c>
      <c r="P22" s="16">
        <f>IFERROR('Incurred Loss'!P21/'Reported Count'!P21,"")</f>
        <v/>
      </c>
      <c r="Q22" s="16">
        <f>IFERROR('Incurred Loss'!Q21/'Reported Count'!Q21,"")</f>
        <v/>
      </c>
      <c r="R22" s="16">
        <f>IFERROR('Incurred Loss'!R21/'Reported Count'!R21,"")</f>
        <v/>
      </c>
      <c r="S22" s="16">
        <f>IFERROR('Incurred Loss'!S21/'Reported Count'!S21,"")</f>
        <v/>
      </c>
      <c r="T22" s="16">
        <f>IFERROR('Incurred Loss'!T21/'Reported Count'!T21,"")</f>
        <v/>
      </c>
      <c r="U22" s="16">
        <f>IFERROR('Incurred Loss'!U21/'Reported Count'!U21,"")</f>
        <v/>
      </c>
      <c r="V22" s="16">
        <f>IFERROR('Incurred Loss'!V21/'Reported Count'!V21,"")</f>
        <v/>
      </c>
      <c r="W22" s="16">
        <f>IFERROR('Incurred Loss'!W21/'Reported Count'!W21,"")</f>
        <v/>
      </c>
      <c r="X22" s="16">
        <f>IFERROR('Incurred Loss'!X21/'Reported Count'!X21,"")</f>
        <v/>
      </c>
      <c r="Y22" s="16">
        <f>IFERROR('Incurred Loss'!Y21/'Reported Count'!Y21,"")</f>
        <v/>
      </c>
    </row>
    <row r="23">
      <c r="A23" s="15" t="inlineStr">
        <is>
          <t>2021</t>
        </is>
      </c>
      <c r="B23" s="16">
        <f>IFERROR('Incurred Loss'!B22/'Reported Count'!B22,"")</f>
        <v/>
      </c>
      <c r="C23" s="16">
        <f>IFERROR('Incurred Loss'!C22/'Reported Count'!C22,"")</f>
        <v/>
      </c>
      <c r="D23" s="16">
        <f>IFERROR('Incurred Loss'!D22/'Reported Count'!D22,"")</f>
        <v/>
      </c>
      <c r="E23" s="16">
        <f>IFERROR('Incurred Loss'!E22/'Reported Count'!E22,"")</f>
        <v/>
      </c>
      <c r="F23" s="16">
        <f>IFERROR('Incurred Loss'!F22/'Reported Count'!F22,"")</f>
        <v/>
      </c>
      <c r="G23" s="16">
        <f>IFERROR('Incurred Loss'!G22/'Reported Count'!G22,"")</f>
        <v/>
      </c>
      <c r="H23" s="16">
        <f>IFERROR('Incurred Loss'!H22/'Reported Count'!H22,"")</f>
        <v/>
      </c>
      <c r="I23" s="16">
        <f>IFERROR('Incurred Loss'!I22/'Reported Count'!I22,"")</f>
        <v/>
      </c>
      <c r="J23" s="16">
        <f>IFERROR('Incurred Loss'!J22/'Reported Count'!J22,"")</f>
        <v/>
      </c>
      <c r="K23" s="16">
        <f>IFERROR('Incurred Loss'!K22/'Reported Count'!K22,"")</f>
        <v/>
      </c>
      <c r="L23" s="16">
        <f>IFERROR('Incurred Loss'!L22/'Reported Count'!L22,"")</f>
        <v/>
      </c>
      <c r="M23" s="16">
        <f>IFERROR('Incurred Loss'!M22/'Reported Count'!M22,"")</f>
        <v/>
      </c>
      <c r="N23" s="16">
        <f>IFERROR('Incurred Loss'!N22/'Reported Count'!N22,"")</f>
        <v/>
      </c>
      <c r="O23" s="16">
        <f>IFERROR('Incurred Loss'!O22/'Reported Count'!O22,"")</f>
        <v/>
      </c>
      <c r="P23" s="16">
        <f>IFERROR('Incurred Loss'!P22/'Reported Count'!P22,"")</f>
        <v/>
      </c>
      <c r="Q23" s="16">
        <f>IFERROR('Incurred Loss'!Q22/'Reported Count'!Q22,"")</f>
        <v/>
      </c>
      <c r="R23" s="16">
        <f>IFERROR('Incurred Loss'!R22/'Reported Count'!R22,"")</f>
        <v/>
      </c>
      <c r="S23" s="16">
        <f>IFERROR('Incurred Loss'!S22/'Reported Count'!S22,"")</f>
        <v/>
      </c>
      <c r="T23" s="16">
        <f>IFERROR('Incurred Loss'!T22/'Reported Count'!T22,"")</f>
        <v/>
      </c>
      <c r="U23" s="16">
        <f>IFERROR('Incurred Loss'!U22/'Reported Count'!U22,"")</f>
        <v/>
      </c>
      <c r="V23" s="16">
        <f>IFERROR('Incurred Loss'!V22/'Reported Count'!V22,"")</f>
        <v/>
      </c>
      <c r="W23" s="16">
        <f>IFERROR('Incurred Loss'!W22/'Reported Count'!W22,"")</f>
        <v/>
      </c>
      <c r="X23" s="16">
        <f>IFERROR('Incurred Loss'!X22/'Reported Count'!X22,"")</f>
        <v/>
      </c>
      <c r="Y23" s="16">
        <f>IFERROR('Incurred Loss'!Y22/'Reported Count'!Y22,"")</f>
        <v/>
      </c>
    </row>
    <row r="24">
      <c r="A24" s="15" t="inlineStr">
        <is>
          <t>2022</t>
        </is>
      </c>
      <c r="B24" s="16">
        <f>IFERROR('Incurred Loss'!B23/'Reported Count'!B23,"")</f>
        <v/>
      </c>
      <c r="C24" s="16">
        <f>IFERROR('Incurred Loss'!C23/'Reported Count'!C23,"")</f>
        <v/>
      </c>
      <c r="D24" s="16">
        <f>IFERROR('Incurred Loss'!D23/'Reported Count'!D23,"")</f>
        <v/>
      </c>
      <c r="E24" s="16">
        <f>IFERROR('Incurred Loss'!E23/'Reported Count'!E23,"")</f>
        <v/>
      </c>
      <c r="F24" s="16">
        <f>IFERROR('Incurred Loss'!F23/'Reported Count'!F23,"")</f>
        <v/>
      </c>
      <c r="G24" s="16">
        <f>IFERROR('Incurred Loss'!G23/'Reported Count'!G23,"")</f>
        <v/>
      </c>
      <c r="H24" s="16">
        <f>IFERROR('Incurred Loss'!H23/'Reported Count'!H23,"")</f>
        <v/>
      </c>
      <c r="I24" s="16">
        <f>IFERROR('Incurred Loss'!I23/'Reported Count'!I23,"")</f>
        <v/>
      </c>
      <c r="J24" s="16">
        <f>IFERROR('Incurred Loss'!J23/'Reported Count'!J23,"")</f>
        <v/>
      </c>
      <c r="K24" s="16">
        <f>IFERROR('Incurred Loss'!K23/'Reported Count'!K23,"")</f>
        <v/>
      </c>
      <c r="L24" s="16">
        <f>IFERROR('Incurred Loss'!L23/'Reported Count'!L23,"")</f>
        <v/>
      </c>
      <c r="M24" s="16">
        <f>IFERROR('Incurred Loss'!M23/'Reported Count'!M23,"")</f>
        <v/>
      </c>
      <c r="N24" s="16">
        <f>IFERROR('Incurred Loss'!N23/'Reported Count'!N23,"")</f>
        <v/>
      </c>
      <c r="O24" s="16">
        <f>IFERROR('Incurred Loss'!O23/'Reported Count'!O23,"")</f>
        <v/>
      </c>
      <c r="P24" s="16">
        <f>IFERROR('Incurred Loss'!P23/'Reported Count'!P23,"")</f>
        <v/>
      </c>
      <c r="Q24" s="16">
        <f>IFERROR('Incurred Loss'!Q23/'Reported Count'!Q23,"")</f>
        <v/>
      </c>
      <c r="R24" s="16">
        <f>IFERROR('Incurred Loss'!R23/'Reported Count'!R23,"")</f>
        <v/>
      </c>
      <c r="S24" s="16">
        <f>IFERROR('Incurred Loss'!S23/'Reported Count'!S23,"")</f>
        <v/>
      </c>
      <c r="T24" s="16">
        <f>IFERROR('Incurred Loss'!T23/'Reported Count'!T23,"")</f>
        <v/>
      </c>
      <c r="U24" s="16">
        <f>IFERROR('Incurred Loss'!U23/'Reported Count'!U23,"")</f>
        <v/>
      </c>
      <c r="V24" s="16">
        <f>IFERROR('Incurred Loss'!V23/'Reported Count'!V23,"")</f>
        <v/>
      </c>
      <c r="W24" s="16">
        <f>IFERROR('Incurred Loss'!W23/'Reported Count'!W23,"")</f>
        <v/>
      </c>
      <c r="X24" s="16">
        <f>IFERROR('Incurred Loss'!X23/'Reported Count'!X23,"")</f>
        <v/>
      </c>
      <c r="Y24" s="16">
        <f>IFERROR('Incurred Loss'!Y23/'Reported Count'!Y23,"")</f>
        <v/>
      </c>
    </row>
    <row r="25">
      <c r="A25" s="15" t="inlineStr">
        <is>
          <t>2023</t>
        </is>
      </c>
      <c r="B25" s="16">
        <f>IFERROR('Incurred Loss'!B24/'Reported Count'!B24,"")</f>
        <v/>
      </c>
      <c r="C25" s="16">
        <f>IFERROR('Incurred Loss'!C24/'Reported Count'!C24,"")</f>
        <v/>
      </c>
      <c r="D25" s="16">
        <f>IFERROR('Incurred Loss'!D24/'Reported Count'!D24,"")</f>
        <v/>
      </c>
      <c r="E25" s="16">
        <f>IFERROR('Incurred Loss'!E24/'Reported Count'!E24,"")</f>
        <v/>
      </c>
      <c r="F25" s="16">
        <f>IFERROR('Incurred Loss'!F24/'Reported Count'!F24,"")</f>
        <v/>
      </c>
      <c r="G25" s="16">
        <f>IFERROR('Incurred Loss'!G24/'Reported Count'!G24,"")</f>
        <v/>
      </c>
      <c r="H25" s="16">
        <f>IFERROR('Incurred Loss'!H24/'Reported Count'!H24,"")</f>
        <v/>
      </c>
      <c r="I25" s="16">
        <f>IFERROR('Incurred Loss'!I24/'Reported Count'!I24,"")</f>
        <v/>
      </c>
      <c r="J25" s="16">
        <f>IFERROR('Incurred Loss'!J24/'Reported Count'!J24,"")</f>
        <v/>
      </c>
      <c r="K25" s="16">
        <f>IFERROR('Incurred Loss'!K24/'Reported Count'!K24,"")</f>
        <v/>
      </c>
      <c r="L25" s="16">
        <f>IFERROR('Incurred Loss'!L24/'Reported Count'!L24,"")</f>
        <v/>
      </c>
      <c r="M25" s="16">
        <f>IFERROR('Incurred Loss'!M24/'Reported Count'!M24,"")</f>
        <v/>
      </c>
      <c r="N25" s="16">
        <f>IFERROR('Incurred Loss'!N24/'Reported Count'!N24,"")</f>
        <v/>
      </c>
      <c r="O25" s="16">
        <f>IFERROR('Incurred Loss'!O24/'Reported Count'!O24,"")</f>
        <v/>
      </c>
      <c r="P25" s="16">
        <f>IFERROR('Incurred Loss'!P24/'Reported Count'!P24,"")</f>
        <v/>
      </c>
      <c r="Q25" s="16">
        <f>IFERROR('Incurred Loss'!Q24/'Reported Count'!Q24,"")</f>
        <v/>
      </c>
      <c r="R25" s="16">
        <f>IFERROR('Incurred Loss'!R24/'Reported Count'!R24,"")</f>
        <v/>
      </c>
      <c r="S25" s="16">
        <f>IFERROR('Incurred Loss'!S24/'Reported Count'!S24,"")</f>
        <v/>
      </c>
      <c r="T25" s="16">
        <f>IFERROR('Incurred Loss'!T24/'Reported Count'!T24,"")</f>
        <v/>
      </c>
      <c r="U25" s="16">
        <f>IFERROR('Incurred Loss'!U24/'Reported Count'!U24,"")</f>
        <v/>
      </c>
      <c r="V25" s="16">
        <f>IFERROR('Incurred Loss'!V24/'Reported Count'!V24,"")</f>
        <v/>
      </c>
      <c r="W25" s="16">
        <f>IFERROR('Incurred Loss'!W24/'Reported Count'!W24,"")</f>
        <v/>
      </c>
      <c r="X25" s="16">
        <f>IFERROR('Incurred Loss'!X24/'Reported Count'!X24,"")</f>
        <v/>
      </c>
      <c r="Y25" s="16">
        <f>IFERROR('Incurred Loss'!Y24/'Reported Count'!Y24,"")</f>
        <v/>
      </c>
    </row>
    <row r="26">
      <c r="A26" s="15" t="inlineStr">
        <is>
          <t>2024</t>
        </is>
      </c>
      <c r="B26" s="16">
        <f>IFERROR('Incurred Loss'!B25/'Reported Count'!B25,"")</f>
        <v/>
      </c>
      <c r="C26" s="16">
        <f>IFERROR('Incurred Loss'!C25/'Reported Count'!C25,"")</f>
        <v/>
      </c>
      <c r="D26" s="16">
        <f>IFERROR('Incurred Loss'!D25/'Reported Count'!D25,"")</f>
        <v/>
      </c>
      <c r="E26" s="16">
        <f>IFERROR('Incurred Loss'!E25/'Reported Count'!E25,"")</f>
        <v/>
      </c>
      <c r="F26" s="16">
        <f>IFERROR('Incurred Loss'!F25/'Reported Count'!F25,"")</f>
        <v/>
      </c>
      <c r="G26" s="16">
        <f>IFERROR('Incurred Loss'!G25/'Reported Count'!G25,"")</f>
        <v/>
      </c>
      <c r="H26" s="16">
        <f>IFERROR('Incurred Loss'!H25/'Reported Count'!H25,"")</f>
        <v/>
      </c>
      <c r="I26" s="16">
        <f>IFERROR('Incurred Loss'!I25/'Reported Count'!I25,"")</f>
        <v/>
      </c>
      <c r="J26" s="16">
        <f>IFERROR('Incurred Loss'!J25/'Reported Count'!J25,"")</f>
        <v/>
      </c>
      <c r="K26" s="16">
        <f>IFERROR('Incurred Loss'!K25/'Reported Count'!K25,"")</f>
        <v/>
      </c>
      <c r="L26" s="16">
        <f>IFERROR('Incurred Loss'!L25/'Reported Count'!L25,"")</f>
        <v/>
      </c>
      <c r="M26" s="16">
        <f>IFERROR('Incurred Loss'!M25/'Reported Count'!M25,"")</f>
        <v/>
      </c>
      <c r="N26" s="16">
        <f>IFERROR('Incurred Loss'!N25/'Reported Count'!N25,"")</f>
        <v/>
      </c>
      <c r="O26" s="16">
        <f>IFERROR('Incurred Loss'!O25/'Reported Count'!O25,"")</f>
        <v/>
      </c>
      <c r="P26" s="16">
        <f>IFERROR('Incurred Loss'!P25/'Reported Count'!P25,"")</f>
        <v/>
      </c>
      <c r="Q26" s="16">
        <f>IFERROR('Incurred Loss'!Q25/'Reported Count'!Q25,"")</f>
        <v/>
      </c>
      <c r="R26" s="16">
        <f>IFERROR('Incurred Loss'!R25/'Reported Count'!R25,"")</f>
        <v/>
      </c>
      <c r="S26" s="16">
        <f>IFERROR('Incurred Loss'!S25/'Reported Count'!S25,"")</f>
        <v/>
      </c>
      <c r="T26" s="16">
        <f>IFERROR('Incurred Loss'!T25/'Reported Count'!T25,"")</f>
        <v/>
      </c>
      <c r="U26" s="16">
        <f>IFERROR('Incurred Loss'!U25/'Reported Count'!U25,"")</f>
        <v/>
      </c>
      <c r="V26" s="16">
        <f>IFERROR('Incurred Loss'!V25/'Reported Count'!V25,"")</f>
        <v/>
      </c>
      <c r="W26" s="16">
        <f>IFERROR('Incurred Loss'!W25/'Reported Count'!W25,"")</f>
        <v/>
      </c>
      <c r="X26" s="16">
        <f>IFERROR('Incurred Loss'!X25/'Reported Count'!X25,"")</f>
        <v/>
      </c>
      <c r="Y26" s="16">
        <f>IFERROR('Incurred Loss'!Y25/'Reported Count'!Y25,"")</f>
        <v/>
      </c>
    </row>
    <row r="27"/>
    <row r="28">
      <c r="A28" s="25" t="inlineStr">
        <is>
          <t>PAID TO INCURRED</t>
        </is>
      </c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" t="n"/>
    </row>
    <row r="29">
      <c r="A29" s="8" t="inlineStr">
        <is>
          <t>Period</t>
        </is>
      </c>
      <c r="B29" s="8" t="inlineStr">
        <is>
          <t>11</t>
        </is>
      </c>
      <c r="C29" s="8" t="inlineStr">
        <is>
          <t>23</t>
        </is>
      </c>
      <c r="D29" s="8" t="inlineStr">
        <is>
          <t>35</t>
        </is>
      </c>
      <c r="E29" s="8" t="inlineStr">
        <is>
          <t>47</t>
        </is>
      </c>
      <c r="F29" s="8" t="inlineStr">
        <is>
          <t>59</t>
        </is>
      </c>
      <c r="G29" s="8" t="inlineStr">
        <is>
          <t>71</t>
        </is>
      </c>
      <c r="H29" s="8" t="inlineStr">
        <is>
          <t>83</t>
        </is>
      </c>
      <c r="I29" s="8" t="inlineStr">
        <is>
          <t>95</t>
        </is>
      </c>
      <c r="J29" s="8" t="inlineStr">
        <is>
          <t>107</t>
        </is>
      </c>
      <c r="K29" s="8" t="inlineStr">
        <is>
          <t>119</t>
        </is>
      </c>
      <c r="L29" s="8" t="inlineStr">
        <is>
          <t>131</t>
        </is>
      </c>
      <c r="M29" s="8" t="inlineStr">
        <is>
          <t>143</t>
        </is>
      </c>
      <c r="N29" s="8" t="inlineStr">
        <is>
          <t>155</t>
        </is>
      </c>
      <c r="O29" s="8" t="inlineStr">
        <is>
          <t>167</t>
        </is>
      </c>
      <c r="P29" s="8" t="inlineStr">
        <is>
          <t>179</t>
        </is>
      </c>
      <c r="Q29" s="8" t="inlineStr">
        <is>
          <t>191</t>
        </is>
      </c>
      <c r="R29" s="8" t="inlineStr">
        <is>
          <t>203</t>
        </is>
      </c>
      <c r="S29" s="8" t="inlineStr">
        <is>
          <t>215</t>
        </is>
      </c>
      <c r="T29" s="8" t="inlineStr">
        <is>
          <t>227</t>
        </is>
      </c>
      <c r="U29" s="8" t="inlineStr">
        <is>
          <t>239</t>
        </is>
      </c>
      <c r="V29" s="8" t="inlineStr">
        <is>
          <t>251</t>
        </is>
      </c>
      <c r="W29" s="8" t="inlineStr">
        <is>
          <t>263</t>
        </is>
      </c>
      <c r="X29" s="8" t="inlineStr">
        <is>
          <t>275</t>
        </is>
      </c>
      <c r="Y29" s="8" t="inlineStr">
        <is>
          <t>287</t>
        </is>
      </c>
    </row>
    <row r="30">
      <c r="A30" s="15" t="inlineStr">
        <is>
          <t>2001</t>
        </is>
      </c>
      <c r="B30" s="27">
        <f>IFERROR('Paid Loss'!B2/'Incurred Loss'!B2,"")</f>
        <v/>
      </c>
      <c r="C30" s="27">
        <f>IFERROR('Paid Loss'!C2/'Incurred Loss'!C2,"")</f>
        <v/>
      </c>
      <c r="D30" s="27">
        <f>IFERROR('Paid Loss'!D2/'Incurred Loss'!D2,"")</f>
        <v/>
      </c>
      <c r="E30" s="27">
        <f>IFERROR('Paid Loss'!E2/'Incurred Loss'!E2,"")</f>
        <v/>
      </c>
      <c r="F30" s="27">
        <f>IFERROR('Paid Loss'!F2/'Incurred Loss'!F2,"")</f>
        <v/>
      </c>
      <c r="G30" s="27">
        <f>IFERROR('Paid Loss'!G2/'Incurred Loss'!G2,"")</f>
        <v/>
      </c>
      <c r="H30" s="27">
        <f>IFERROR('Paid Loss'!H2/'Incurred Loss'!H2,"")</f>
        <v/>
      </c>
      <c r="I30" s="27">
        <f>IFERROR('Paid Loss'!I2/'Incurred Loss'!I2,"")</f>
        <v/>
      </c>
      <c r="J30" s="27">
        <f>IFERROR('Paid Loss'!J2/'Incurred Loss'!J2,"")</f>
        <v/>
      </c>
      <c r="K30" s="27">
        <f>IFERROR('Paid Loss'!K2/'Incurred Loss'!K2,"")</f>
        <v/>
      </c>
      <c r="L30" s="27">
        <f>IFERROR('Paid Loss'!L2/'Incurred Loss'!L2,"")</f>
        <v/>
      </c>
      <c r="M30" s="27">
        <f>IFERROR('Paid Loss'!M2/'Incurred Loss'!M2,"")</f>
        <v/>
      </c>
      <c r="N30" s="27">
        <f>IFERROR('Paid Loss'!N2/'Incurred Loss'!N2,"")</f>
        <v/>
      </c>
      <c r="O30" s="27">
        <f>IFERROR('Paid Loss'!O2/'Incurred Loss'!O2,"")</f>
        <v/>
      </c>
      <c r="P30" s="27">
        <f>IFERROR('Paid Loss'!P2/'Incurred Loss'!P2,"")</f>
        <v/>
      </c>
      <c r="Q30" s="27">
        <f>IFERROR('Paid Loss'!Q2/'Incurred Loss'!Q2,"")</f>
        <v/>
      </c>
      <c r="R30" s="27">
        <f>IFERROR('Paid Loss'!R2/'Incurred Loss'!R2,"")</f>
        <v/>
      </c>
      <c r="S30" s="27">
        <f>IFERROR('Paid Loss'!S2/'Incurred Loss'!S2,"")</f>
        <v/>
      </c>
      <c r="T30" s="27">
        <f>IFERROR('Paid Loss'!T2/'Incurred Loss'!T2,"")</f>
        <v/>
      </c>
      <c r="U30" s="27">
        <f>IFERROR('Paid Loss'!U2/'Incurred Loss'!U2,"")</f>
        <v/>
      </c>
      <c r="V30" s="27">
        <f>IFERROR('Paid Loss'!V2/'Incurred Loss'!V2,"")</f>
        <v/>
      </c>
      <c r="W30" s="27">
        <f>IFERROR('Paid Loss'!W2/'Incurred Loss'!W2,"")</f>
        <v/>
      </c>
      <c r="X30" s="27">
        <f>IFERROR('Paid Loss'!X2/'Incurred Loss'!X2,"")</f>
        <v/>
      </c>
      <c r="Y30" s="27">
        <f>IFERROR('Paid Loss'!Y2/'Incurred Loss'!Y2,"")</f>
        <v/>
      </c>
    </row>
    <row r="31">
      <c r="A31" s="15" t="inlineStr">
        <is>
          <t>2002</t>
        </is>
      </c>
      <c r="B31" s="27">
        <f>IFERROR('Paid Loss'!B3/'Incurred Loss'!B3,"")</f>
        <v/>
      </c>
      <c r="C31" s="27">
        <f>IFERROR('Paid Loss'!C3/'Incurred Loss'!C3,"")</f>
        <v/>
      </c>
      <c r="D31" s="27">
        <f>IFERROR('Paid Loss'!D3/'Incurred Loss'!D3,"")</f>
        <v/>
      </c>
      <c r="E31" s="27">
        <f>IFERROR('Paid Loss'!E3/'Incurred Loss'!E3,"")</f>
        <v/>
      </c>
      <c r="F31" s="27">
        <f>IFERROR('Paid Loss'!F3/'Incurred Loss'!F3,"")</f>
        <v/>
      </c>
      <c r="G31" s="27">
        <f>IFERROR('Paid Loss'!G3/'Incurred Loss'!G3,"")</f>
        <v/>
      </c>
      <c r="H31" s="27">
        <f>IFERROR('Paid Loss'!H3/'Incurred Loss'!H3,"")</f>
        <v/>
      </c>
      <c r="I31" s="27">
        <f>IFERROR('Paid Loss'!I3/'Incurred Loss'!I3,"")</f>
        <v/>
      </c>
      <c r="J31" s="27">
        <f>IFERROR('Paid Loss'!J3/'Incurred Loss'!J3,"")</f>
        <v/>
      </c>
      <c r="K31" s="27">
        <f>IFERROR('Paid Loss'!K3/'Incurred Loss'!K3,"")</f>
        <v/>
      </c>
      <c r="L31" s="27">
        <f>IFERROR('Paid Loss'!L3/'Incurred Loss'!L3,"")</f>
        <v/>
      </c>
      <c r="M31" s="27">
        <f>IFERROR('Paid Loss'!M3/'Incurred Loss'!M3,"")</f>
        <v/>
      </c>
      <c r="N31" s="27">
        <f>IFERROR('Paid Loss'!N3/'Incurred Loss'!N3,"")</f>
        <v/>
      </c>
      <c r="O31" s="27">
        <f>IFERROR('Paid Loss'!O3/'Incurred Loss'!O3,"")</f>
        <v/>
      </c>
      <c r="P31" s="27">
        <f>IFERROR('Paid Loss'!P3/'Incurred Loss'!P3,"")</f>
        <v/>
      </c>
      <c r="Q31" s="27">
        <f>IFERROR('Paid Loss'!Q3/'Incurred Loss'!Q3,"")</f>
        <v/>
      </c>
      <c r="R31" s="27">
        <f>IFERROR('Paid Loss'!R3/'Incurred Loss'!R3,"")</f>
        <v/>
      </c>
      <c r="S31" s="27">
        <f>IFERROR('Paid Loss'!S3/'Incurred Loss'!S3,"")</f>
        <v/>
      </c>
      <c r="T31" s="27">
        <f>IFERROR('Paid Loss'!T3/'Incurred Loss'!T3,"")</f>
        <v/>
      </c>
      <c r="U31" s="27">
        <f>IFERROR('Paid Loss'!U3/'Incurred Loss'!U3,"")</f>
        <v/>
      </c>
      <c r="V31" s="27">
        <f>IFERROR('Paid Loss'!V3/'Incurred Loss'!V3,"")</f>
        <v/>
      </c>
      <c r="W31" s="27">
        <f>IFERROR('Paid Loss'!W3/'Incurred Loss'!W3,"")</f>
        <v/>
      </c>
      <c r="X31" s="27">
        <f>IFERROR('Paid Loss'!X3/'Incurred Loss'!X3,"")</f>
        <v/>
      </c>
      <c r="Y31" s="27">
        <f>IFERROR('Paid Loss'!Y3/'Incurred Loss'!Y3,"")</f>
        <v/>
      </c>
    </row>
    <row r="32">
      <c r="A32" s="15" t="inlineStr">
        <is>
          <t>2003</t>
        </is>
      </c>
      <c r="B32" s="27">
        <f>IFERROR('Paid Loss'!B4/'Incurred Loss'!B4,"")</f>
        <v/>
      </c>
      <c r="C32" s="27">
        <f>IFERROR('Paid Loss'!C4/'Incurred Loss'!C4,"")</f>
        <v/>
      </c>
      <c r="D32" s="27">
        <f>IFERROR('Paid Loss'!D4/'Incurred Loss'!D4,"")</f>
        <v/>
      </c>
      <c r="E32" s="27">
        <f>IFERROR('Paid Loss'!E4/'Incurred Loss'!E4,"")</f>
        <v/>
      </c>
      <c r="F32" s="27">
        <f>IFERROR('Paid Loss'!F4/'Incurred Loss'!F4,"")</f>
        <v/>
      </c>
      <c r="G32" s="27">
        <f>IFERROR('Paid Loss'!G4/'Incurred Loss'!G4,"")</f>
        <v/>
      </c>
      <c r="H32" s="27">
        <f>IFERROR('Paid Loss'!H4/'Incurred Loss'!H4,"")</f>
        <v/>
      </c>
      <c r="I32" s="27">
        <f>IFERROR('Paid Loss'!I4/'Incurred Loss'!I4,"")</f>
        <v/>
      </c>
      <c r="J32" s="27">
        <f>IFERROR('Paid Loss'!J4/'Incurred Loss'!J4,"")</f>
        <v/>
      </c>
      <c r="K32" s="27">
        <f>IFERROR('Paid Loss'!K4/'Incurred Loss'!K4,"")</f>
        <v/>
      </c>
      <c r="L32" s="27">
        <f>IFERROR('Paid Loss'!L4/'Incurred Loss'!L4,"")</f>
        <v/>
      </c>
      <c r="M32" s="27">
        <f>IFERROR('Paid Loss'!M4/'Incurred Loss'!M4,"")</f>
        <v/>
      </c>
      <c r="N32" s="27">
        <f>IFERROR('Paid Loss'!N4/'Incurred Loss'!N4,"")</f>
        <v/>
      </c>
      <c r="O32" s="27">
        <f>IFERROR('Paid Loss'!O4/'Incurred Loss'!O4,"")</f>
        <v/>
      </c>
      <c r="P32" s="27">
        <f>IFERROR('Paid Loss'!P4/'Incurred Loss'!P4,"")</f>
        <v/>
      </c>
      <c r="Q32" s="27">
        <f>IFERROR('Paid Loss'!Q4/'Incurred Loss'!Q4,"")</f>
        <v/>
      </c>
      <c r="R32" s="27">
        <f>IFERROR('Paid Loss'!R4/'Incurred Loss'!R4,"")</f>
        <v/>
      </c>
      <c r="S32" s="27">
        <f>IFERROR('Paid Loss'!S4/'Incurred Loss'!S4,"")</f>
        <v/>
      </c>
      <c r="T32" s="27">
        <f>IFERROR('Paid Loss'!T4/'Incurred Loss'!T4,"")</f>
        <v/>
      </c>
      <c r="U32" s="27">
        <f>IFERROR('Paid Loss'!U4/'Incurred Loss'!U4,"")</f>
        <v/>
      </c>
      <c r="V32" s="27">
        <f>IFERROR('Paid Loss'!V4/'Incurred Loss'!V4,"")</f>
        <v/>
      </c>
      <c r="W32" s="27">
        <f>IFERROR('Paid Loss'!W4/'Incurred Loss'!W4,"")</f>
        <v/>
      </c>
      <c r="X32" s="27">
        <f>IFERROR('Paid Loss'!X4/'Incurred Loss'!X4,"")</f>
        <v/>
      </c>
      <c r="Y32" s="27">
        <f>IFERROR('Paid Loss'!Y4/'Incurred Loss'!Y4,"")</f>
        <v/>
      </c>
    </row>
    <row r="33">
      <c r="A33" s="15" t="inlineStr">
        <is>
          <t>2004</t>
        </is>
      </c>
      <c r="B33" s="27">
        <f>IFERROR('Paid Loss'!B5/'Incurred Loss'!B5,"")</f>
        <v/>
      </c>
      <c r="C33" s="27">
        <f>IFERROR('Paid Loss'!C5/'Incurred Loss'!C5,"")</f>
        <v/>
      </c>
      <c r="D33" s="27">
        <f>IFERROR('Paid Loss'!D5/'Incurred Loss'!D5,"")</f>
        <v/>
      </c>
      <c r="E33" s="27">
        <f>IFERROR('Paid Loss'!E5/'Incurred Loss'!E5,"")</f>
        <v/>
      </c>
      <c r="F33" s="27">
        <f>IFERROR('Paid Loss'!F5/'Incurred Loss'!F5,"")</f>
        <v/>
      </c>
      <c r="G33" s="27">
        <f>IFERROR('Paid Loss'!G5/'Incurred Loss'!G5,"")</f>
        <v/>
      </c>
      <c r="H33" s="27">
        <f>IFERROR('Paid Loss'!H5/'Incurred Loss'!H5,"")</f>
        <v/>
      </c>
      <c r="I33" s="27">
        <f>IFERROR('Paid Loss'!I5/'Incurred Loss'!I5,"")</f>
        <v/>
      </c>
      <c r="J33" s="27">
        <f>IFERROR('Paid Loss'!J5/'Incurred Loss'!J5,"")</f>
        <v/>
      </c>
      <c r="K33" s="27">
        <f>IFERROR('Paid Loss'!K5/'Incurred Loss'!K5,"")</f>
        <v/>
      </c>
      <c r="L33" s="27">
        <f>IFERROR('Paid Loss'!L5/'Incurred Loss'!L5,"")</f>
        <v/>
      </c>
      <c r="M33" s="27">
        <f>IFERROR('Paid Loss'!M5/'Incurred Loss'!M5,"")</f>
        <v/>
      </c>
      <c r="N33" s="27">
        <f>IFERROR('Paid Loss'!N5/'Incurred Loss'!N5,"")</f>
        <v/>
      </c>
      <c r="O33" s="27">
        <f>IFERROR('Paid Loss'!O5/'Incurred Loss'!O5,"")</f>
        <v/>
      </c>
      <c r="P33" s="27">
        <f>IFERROR('Paid Loss'!P5/'Incurred Loss'!P5,"")</f>
        <v/>
      </c>
      <c r="Q33" s="27">
        <f>IFERROR('Paid Loss'!Q5/'Incurred Loss'!Q5,"")</f>
        <v/>
      </c>
      <c r="R33" s="27">
        <f>IFERROR('Paid Loss'!R5/'Incurred Loss'!R5,"")</f>
        <v/>
      </c>
      <c r="S33" s="27">
        <f>IFERROR('Paid Loss'!S5/'Incurred Loss'!S5,"")</f>
        <v/>
      </c>
      <c r="T33" s="27">
        <f>IFERROR('Paid Loss'!T5/'Incurred Loss'!T5,"")</f>
        <v/>
      </c>
      <c r="U33" s="27">
        <f>IFERROR('Paid Loss'!U5/'Incurred Loss'!U5,"")</f>
        <v/>
      </c>
      <c r="V33" s="27">
        <f>IFERROR('Paid Loss'!V5/'Incurred Loss'!V5,"")</f>
        <v/>
      </c>
      <c r="W33" s="27">
        <f>IFERROR('Paid Loss'!W5/'Incurred Loss'!W5,"")</f>
        <v/>
      </c>
      <c r="X33" s="27">
        <f>IFERROR('Paid Loss'!X5/'Incurred Loss'!X5,"")</f>
        <v/>
      </c>
      <c r="Y33" s="27">
        <f>IFERROR('Paid Loss'!Y5/'Incurred Loss'!Y5,"")</f>
        <v/>
      </c>
    </row>
    <row r="34">
      <c r="A34" s="15" t="inlineStr">
        <is>
          <t>2005</t>
        </is>
      </c>
      <c r="B34" s="27">
        <f>IFERROR('Paid Loss'!B6/'Incurred Loss'!B6,"")</f>
        <v/>
      </c>
      <c r="C34" s="27">
        <f>IFERROR('Paid Loss'!C6/'Incurred Loss'!C6,"")</f>
        <v/>
      </c>
      <c r="D34" s="27">
        <f>IFERROR('Paid Loss'!D6/'Incurred Loss'!D6,"")</f>
        <v/>
      </c>
      <c r="E34" s="27">
        <f>IFERROR('Paid Loss'!E6/'Incurred Loss'!E6,"")</f>
        <v/>
      </c>
      <c r="F34" s="27">
        <f>IFERROR('Paid Loss'!F6/'Incurred Loss'!F6,"")</f>
        <v/>
      </c>
      <c r="G34" s="27">
        <f>IFERROR('Paid Loss'!G6/'Incurred Loss'!G6,"")</f>
        <v/>
      </c>
      <c r="H34" s="27">
        <f>IFERROR('Paid Loss'!H6/'Incurred Loss'!H6,"")</f>
        <v/>
      </c>
      <c r="I34" s="27">
        <f>IFERROR('Paid Loss'!I6/'Incurred Loss'!I6,"")</f>
        <v/>
      </c>
      <c r="J34" s="27">
        <f>IFERROR('Paid Loss'!J6/'Incurred Loss'!J6,"")</f>
        <v/>
      </c>
      <c r="K34" s="27">
        <f>IFERROR('Paid Loss'!K6/'Incurred Loss'!K6,"")</f>
        <v/>
      </c>
      <c r="L34" s="27">
        <f>IFERROR('Paid Loss'!L6/'Incurred Loss'!L6,"")</f>
        <v/>
      </c>
      <c r="M34" s="27">
        <f>IFERROR('Paid Loss'!M6/'Incurred Loss'!M6,"")</f>
        <v/>
      </c>
      <c r="N34" s="27">
        <f>IFERROR('Paid Loss'!N6/'Incurred Loss'!N6,"")</f>
        <v/>
      </c>
      <c r="O34" s="27">
        <f>IFERROR('Paid Loss'!O6/'Incurred Loss'!O6,"")</f>
        <v/>
      </c>
      <c r="P34" s="27">
        <f>IFERROR('Paid Loss'!P6/'Incurred Loss'!P6,"")</f>
        <v/>
      </c>
      <c r="Q34" s="27">
        <f>IFERROR('Paid Loss'!Q6/'Incurred Loss'!Q6,"")</f>
        <v/>
      </c>
      <c r="R34" s="27">
        <f>IFERROR('Paid Loss'!R6/'Incurred Loss'!R6,"")</f>
        <v/>
      </c>
      <c r="S34" s="27">
        <f>IFERROR('Paid Loss'!S6/'Incurred Loss'!S6,"")</f>
        <v/>
      </c>
      <c r="T34" s="27">
        <f>IFERROR('Paid Loss'!T6/'Incurred Loss'!T6,"")</f>
        <v/>
      </c>
      <c r="U34" s="27">
        <f>IFERROR('Paid Loss'!U6/'Incurred Loss'!U6,"")</f>
        <v/>
      </c>
      <c r="V34" s="27">
        <f>IFERROR('Paid Loss'!V6/'Incurred Loss'!V6,"")</f>
        <v/>
      </c>
      <c r="W34" s="27">
        <f>IFERROR('Paid Loss'!W6/'Incurred Loss'!W6,"")</f>
        <v/>
      </c>
      <c r="X34" s="27">
        <f>IFERROR('Paid Loss'!X6/'Incurred Loss'!X6,"")</f>
        <v/>
      </c>
      <c r="Y34" s="27">
        <f>IFERROR('Paid Loss'!Y6/'Incurred Loss'!Y6,"")</f>
        <v/>
      </c>
    </row>
    <row r="35">
      <c r="A35" s="15" t="inlineStr">
        <is>
          <t>2006</t>
        </is>
      </c>
      <c r="B35" s="27">
        <f>IFERROR('Paid Loss'!B7/'Incurred Loss'!B7,"")</f>
        <v/>
      </c>
      <c r="C35" s="27">
        <f>IFERROR('Paid Loss'!C7/'Incurred Loss'!C7,"")</f>
        <v/>
      </c>
      <c r="D35" s="27">
        <f>IFERROR('Paid Loss'!D7/'Incurred Loss'!D7,"")</f>
        <v/>
      </c>
      <c r="E35" s="27">
        <f>IFERROR('Paid Loss'!E7/'Incurred Loss'!E7,"")</f>
        <v/>
      </c>
      <c r="F35" s="27">
        <f>IFERROR('Paid Loss'!F7/'Incurred Loss'!F7,"")</f>
        <v/>
      </c>
      <c r="G35" s="27">
        <f>IFERROR('Paid Loss'!G7/'Incurred Loss'!G7,"")</f>
        <v/>
      </c>
      <c r="H35" s="27">
        <f>IFERROR('Paid Loss'!H7/'Incurred Loss'!H7,"")</f>
        <v/>
      </c>
      <c r="I35" s="27">
        <f>IFERROR('Paid Loss'!I7/'Incurred Loss'!I7,"")</f>
        <v/>
      </c>
      <c r="J35" s="27">
        <f>IFERROR('Paid Loss'!J7/'Incurred Loss'!J7,"")</f>
        <v/>
      </c>
      <c r="K35" s="27">
        <f>IFERROR('Paid Loss'!K7/'Incurred Loss'!K7,"")</f>
        <v/>
      </c>
      <c r="L35" s="27">
        <f>IFERROR('Paid Loss'!L7/'Incurred Loss'!L7,"")</f>
        <v/>
      </c>
      <c r="M35" s="27">
        <f>IFERROR('Paid Loss'!M7/'Incurred Loss'!M7,"")</f>
        <v/>
      </c>
      <c r="N35" s="27">
        <f>IFERROR('Paid Loss'!N7/'Incurred Loss'!N7,"")</f>
        <v/>
      </c>
      <c r="O35" s="27">
        <f>IFERROR('Paid Loss'!O7/'Incurred Loss'!O7,"")</f>
        <v/>
      </c>
      <c r="P35" s="27">
        <f>IFERROR('Paid Loss'!P7/'Incurred Loss'!P7,"")</f>
        <v/>
      </c>
      <c r="Q35" s="27">
        <f>IFERROR('Paid Loss'!Q7/'Incurred Loss'!Q7,"")</f>
        <v/>
      </c>
      <c r="R35" s="27">
        <f>IFERROR('Paid Loss'!R7/'Incurred Loss'!R7,"")</f>
        <v/>
      </c>
      <c r="S35" s="27">
        <f>IFERROR('Paid Loss'!S7/'Incurred Loss'!S7,"")</f>
        <v/>
      </c>
      <c r="T35" s="27">
        <f>IFERROR('Paid Loss'!T7/'Incurred Loss'!T7,"")</f>
        <v/>
      </c>
      <c r="U35" s="27">
        <f>IFERROR('Paid Loss'!U7/'Incurred Loss'!U7,"")</f>
        <v/>
      </c>
      <c r="V35" s="27">
        <f>IFERROR('Paid Loss'!V7/'Incurred Loss'!V7,"")</f>
        <v/>
      </c>
      <c r="W35" s="27">
        <f>IFERROR('Paid Loss'!W7/'Incurred Loss'!W7,"")</f>
        <v/>
      </c>
      <c r="X35" s="27">
        <f>IFERROR('Paid Loss'!X7/'Incurred Loss'!X7,"")</f>
        <v/>
      </c>
      <c r="Y35" s="27">
        <f>IFERROR('Paid Loss'!Y7/'Incurred Loss'!Y7,"")</f>
        <v/>
      </c>
    </row>
    <row r="36">
      <c r="A36" s="15" t="inlineStr">
        <is>
          <t>2007</t>
        </is>
      </c>
      <c r="B36" s="27">
        <f>IFERROR('Paid Loss'!B8/'Incurred Loss'!B8,"")</f>
        <v/>
      </c>
      <c r="C36" s="27">
        <f>IFERROR('Paid Loss'!C8/'Incurred Loss'!C8,"")</f>
        <v/>
      </c>
      <c r="D36" s="27">
        <f>IFERROR('Paid Loss'!D8/'Incurred Loss'!D8,"")</f>
        <v/>
      </c>
      <c r="E36" s="27">
        <f>IFERROR('Paid Loss'!E8/'Incurred Loss'!E8,"")</f>
        <v/>
      </c>
      <c r="F36" s="27">
        <f>IFERROR('Paid Loss'!F8/'Incurred Loss'!F8,"")</f>
        <v/>
      </c>
      <c r="G36" s="27">
        <f>IFERROR('Paid Loss'!G8/'Incurred Loss'!G8,"")</f>
        <v/>
      </c>
      <c r="H36" s="27">
        <f>IFERROR('Paid Loss'!H8/'Incurred Loss'!H8,"")</f>
        <v/>
      </c>
      <c r="I36" s="27">
        <f>IFERROR('Paid Loss'!I8/'Incurred Loss'!I8,"")</f>
        <v/>
      </c>
      <c r="J36" s="27">
        <f>IFERROR('Paid Loss'!J8/'Incurred Loss'!J8,"")</f>
        <v/>
      </c>
      <c r="K36" s="27">
        <f>IFERROR('Paid Loss'!K8/'Incurred Loss'!K8,"")</f>
        <v/>
      </c>
      <c r="L36" s="27">
        <f>IFERROR('Paid Loss'!L8/'Incurred Loss'!L8,"")</f>
        <v/>
      </c>
      <c r="M36" s="27">
        <f>IFERROR('Paid Loss'!M8/'Incurred Loss'!M8,"")</f>
        <v/>
      </c>
      <c r="N36" s="27">
        <f>IFERROR('Paid Loss'!N8/'Incurred Loss'!N8,"")</f>
        <v/>
      </c>
      <c r="O36" s="27">
        <f>IFERROR('Paid Loss'!O8/'Incurred Loss'!O8,"")</f>
        <v/>
      </c>
      <c r="P36" s="27">
        <f>IFERROR('Paid Loss'!P8/'Incurred Loss'!P8,"")</f>
        <v/>
      </c>
      <c r="Q36" s="27">
        <f>IFERROR('Paid Loss'!Q8/'Incurred Loss'!Q8,"")</f>
        <v/>
      </c>
      <c r="R36" s="27">
        <f>IFERROR('Paid Loss'!R8/'Incurred Loss'!R8,"")</f>
        <v/>
      </c>
      <c r="S36" s="27">
        <f>IFERROR('Paid Loss'!S8/'Incurred Loss'!S8,"")</f>
        <v/>
      </c>
      <c r="T36" s="27">
        <f>IFERROR('Paid Loss'!T8/'Incurred Loss'!T8,"")</f>
        <v/>
      </c>
      <c r="U36" s="27">
        <f>IFERROR('Paid Loss'!U8/'Incurred Loss'!U8,"")</f>
        <v/>
      </c>
      <c r="V36" s="27">
        <f>IFERROR('Paid Loss'!V8/'Incurred Loss'!V8,"")</f>
        <v/>
      </c>
      <c r="W36" s="27">
        <f>IFERROR('Paid Loss'!W8/'Incurred Loss'!W8,"")</f>
        <v/>
      </c>
      <c r="X36" s="27">
        <f>IFERROR('Paid Loss'!X8/'Incurred Loss'!X8,"")</f>
        <v/>
      </c>
      <c r="Y36" s="27">
        <f>IFERROR('Paid Loss'!Y8/'Incurred Loss'!Y8,"")</f>
        <v/>
      </c>
    </row>
    <row r="37">
      <c r="A37" s="15" t="inlineStr">
        <is>
          <t>2008</t>
        </is>
      </c>
      <c r="B37" s="27">
        <f>IFERROR('Paid Loss'!B9/'Incurred Loss'!B9,"")</f>
        <v/>
      </c>
      <c r="C37" s="27">
        <f>IFERROR('Paid Loss'!C9/'Incurred Loss'!C9,"")</f>
        <v/>
      </c>
      <c r="D37" s="27">
        <f>IFERROR('Paid Loss'!D9/'Incurred Loss'!D9,"")</f>
        <v/>
      </c>
      <c r="E37" s="27">
        <f>IFERROR('Paid Loss'!E9/'Incurred Loss'!E9,"")</f>
        <v/>
      </c>
      <c r="F37" s="27">
        <f>IFERROR('Paid Loss'!F9/'Incurred Loss'!F9,"")</f>
        <v/>
      </c>
      <c r="G37" s="27">
        <f>IFERROR('Paid Loss'!G9/'Incurred Loss'!G9,"")</f>
        <v/>
      </c>
      <c r="H37" s="27">
        <f>IFERROR('Paid Loss'!H9/'Incurred Loss'!H9,"")</f>
        <v/>
      </c>
      <c r="I37" s="27">
        <f>IFERROR('Paid Loss'!I9/'Incurred Loss'!I9,"")</f>
        <v/>
      </c>
      <c r="J37" s="27">
        <f>IFERROR('Paid Loss'!J9/'Incurred Loss'!J9,"")</f>
        <v/>
      </c>
      <c r="K37" s="27">
        <f>IFERROR('Paid Loss'!K9/'Incurred Loss'!K9,"")</f>
        <v/>
      </c>
      <c r="L37" s="27">
        <f>IFERROR('Paid Loss'!L9/'Incurred Loss'!L9,"")</f>
        <v/>
      </c>
      <c r="M37" s="27">
        <f>IFERROR('Paid Loss'!M9/'Incurred Loss'!M9,"")</f>
        <v/>
      </c>
      <c r="N37" s="27">
        <f>IFERROR('Paid Loss'!N9/'Incurred Loss'!N9,"")</f>
        <v/>
      </c>
      <c r="O37" s="27">
        <f>IFERROR('Paid Loss'!O9/'Incurred Loss'!O9,"")</f>
        <v/>
      </c>
      <c r="P37" s="27">
        <f>IFERROR('Paid Loss'!P9/'Incurred Loss'!P9,"")</f>
        <v/>
      </c>
      <c r="Q37" s="27">
        <f>IFERROR('Paid Loss'!Q9/'Incurred Loss'!Q9,"")</f>
        <v/>
      </c>
      <c r="R37" s="27">
        <f>IFERROR('Paid Loss'!R9/'Incurred Loss'!R9,"")</f>
        <v/>
      </c>
      <c r="S37" s="27">
        <f>IFERROR('Paid Loss'!S9/'Incurred Loss'!S9,"")</f>
        <v/>
      </c>
      <c r="T37" s="27">
        <f>IFERROR('Paid Loss'!T9/'Incurred Loss'!T9,"")</f>
        <v/>
      </c>
      <c r="U37" s="27">
        <f>IFERROR('Paid Loss'!U9/'Incurred Loss'!U9,"")</f>
        <v/>
      </c>
      <c r="V37" s="27">
        <f>IFERROR('Paid Loss'!V9/'Incurred Loss'!V9,"")</f>
        <v/>
      </c>
      <c r="W37" s="27">
        <f>IFERROR('Paid Loss'!W9/'Incurred Loss'!W9,"")</f>
        <v/>
      </c>
      <c r="X37" s="27">
        <f>IFERROR('Paid Loss'!X9/'Incurred Loss'!X9,"")</f>
        <v/>
      </c>
      <c r="Y37" s="27">
        <f>IFERROR('Paid Loss'!Y9/'Incurred Loss'!Y9,"")</f>
        <v/>
      </c>
    </row>
    <row r="38">
      <c r="A38" s="15" t="inlineStr">
        <is>
          <t>2009</t>
        </is>
      </c>
      <c r="B38" s="27">
        <f>IFERROR('Paid Loss'!B10/'Incurred Loss'!B10,"")</f>
        <v/>
      </c>
      <c r="C38" s="27">
        <f>IFERROR('Paid Loss'!C10/'Incurred Loss'!C10,"")</f>
        <v/>
      </c>
      <c r="D38" s="27">
        <f>IFERROR('Paid Loss'!D10/'Incurred Loss'!D10,"")</f>
        <v/>
      </c>
      <c r="E38" s="27">
        <f>IFERROR('Paid Loss'!E10/'Incurred Loss'!E10,"")</f>
        <v/>
      </c>
      <c r="F38" s="27">
        <f>IFERROR('Paid Loss'!F10/'Incurred Loss'!F10,"")</f>
        <v/>
      </c>
      <c r="G38" s="27">
        <f>IFERROR('Paid Loss'!G10/'Incurred Loss'!G10,"")</f>
        <v/>
      </c>
      <c r="H38" s="27">
        <f>IFERROR('Paid Loss'!H10/'Incurred Loss'!H10,"")</f>
        <v/>
      </c>
      <c r="I38" s="27">
        <f>IFERROR('Paid Loss'!I10/'Incurred Loss'!I10,"")</f>
        <v/>
      </c>
      <c r="J38" s="27">
        <f>IFERROR('Paid Loss'!J10/'Incurred Loss'!J10,"")</f>
        <v/>
      </c>
      <c r="K38" s="27">
        <f>IFERROR('Paid Loss'!K10/'Incurred Loss'!K10,"")</f>
        <v/>
      </c>
      <c r="L38" s="27">
        <f>IFERROR('Paid Loss'!L10/'Incurred Loss'!L10,"")</f>
        <v/>
      </c>
      <c r="M38" s="27">
        <f>IFERROR('Paid Loss'!M10/'Incurred Loss'!M10,"")</f>
        <v/>
      </c>
      <c r="N38" s="27">
        <f>IFERROR('Paid Loss'!N10/'Incurred Loss'!N10,"")</f>
        <v/>
      </c>
      <c r="O38" s="27">
        <f>IFERROR('Paid Loss'!O10/'Incurred Loss'!O10,"")</f>
        <v/>
      </c>
      <c r="P38" s="27">
        <f>IFERROR('Paid Loss'!P10/'Incurred Loss'!P10,"")</f>
        <v/>
      </c>
      <c r="Q38" s="27">
        <f>IFERROR('Paid Loss'!Q10/'Incurred Loss'!Q10,"")</f>
        <v/>
      </c>
      <c r="R38" s="27">
        <f>IFERROR('Paid Loss'!R10/'Incurred Loss'!R10,"")</f>
        <v/>
      </c>
      <c r="S38" s="27">
        <f>IFERROR('Paid Loss'!S10/'Incurred Loss'!S10,"")</f>
        <v/>
      </c>
      <c r="T38" s="27">
        <f>IFERROR('Paid Loss'!T10/'Incurred Loss'!T10,"")</f>
        <v/>
      </c>
      <c r="U38" s="27">
        <f>IFERROR('Paid Loss'!U10/'Incurred Loss'!U10,"")</f>
        <v/>
      </c>
      <c r="V38" s="27">
        <f>IFERROR('Paid Loss'!V10/'Incurred Loss'!V10,"")</f>
        <v/>
      </c>
      <c r="W38" s="27">
        <f>IFERROR('Paid Loss'!W10/'Incurred Loss'!W10,"")</f>
        <v/>
      </c>
      <c r="X38" s="27">
        <f>IFERROR('Paid Loss'!X10/'Incurred Loss'!X10,"")</f>
        <v/>
      </c>
      <c r="Y38" s="27">
        <f>IFERROR('Paid Loss'!Y10/'Incurred Loss'!Y10,"")</f>
        <v/>
      </c>
    </row>
    <row r="39">
      <c r="A39" s="15" t="inlineStr">
        <is>
          <t>2010</t>
        </is>
      </c>
      <c r="B39" s="27">
        <f>IFERROR('Paid Loss'!B11/'Incurred Loss'!B11,"")</f>
        <v/>
      </c>
      <c r="C39" s="27">
        <f>IFERROR('Paid Loss'!C11/'Incurred Loss'!C11,"")</f>
        <v/>
      </c>
      <c r="D39" s="27">
        <f>IFERROR('Paid Loss'!D11/'Incurred Loss'!D11,"")</f>
        <v/>
      </c>
      <c r="E39" s="27">
        <f>IFERROR('Paid Loss'!E11/'Incurred Loss'!E11,"")</f>
        <v/>
      </c>
      <c r="F39" s="27">
        <f>IFERROR('Paid Loss'!F11/'Incurred Loss'!F11,"")</f>
        <v/>
      </c>
      <c r="G39" s="27">
        <f>IFERROR('Paid Loss'!G11/'Incurred Loss'!G11,"")</f>
        <v/>
      </c>
      <c r="H39" s="27">
        <f>IFERROR('Paid Loss'!H11/'Incurred Loss'!H11,"")</f>
        <v/>
      </c>
      <c r="I39" s="27">
        <f>IFERROR('Paid Loss'!I11/'Incurred Loss'!I11,"")</f>
        <v/>
      </c>
      <c r="J39" s="27">
        <f>IFERROR('Paid Loss'!J11/'Incurred Loss'!J11,"")</f>
        <v/>
      </c>
      <c r="K39" s="27">
        <f>IFERROR('Paid Loss'!K11/'Incurred Loss'!K11,"")</f>
        <v/>
      </c>
      <c r="L39" s="27">
        <f>IFERROR('Paid Loss'!L11/'Incurred Loss'!L11,"")</f>
        <v/>
      </c>
      <c r="M39" s="27">
        <f>IFERROR('Paid Loss'!M11/'Incurred Loss'!M11,"")</f>
        <v/>
      </c>
      <c r="N39" s="27">
        <f>IFERROR('Paid Loss'!N11/'Incurred Loss'!N11,"")</f>
        <v/>
      </c>
      <c r="O39" s="27">
        <f>IFERROR('Paid Loss'!O11/'Incurred Loss'!O11,"")</f>
        <v/>
      </c>
      <c r="P39" s="27">
        <f>IFERROR('Paid Loss'!P11/'Incurred Loss'!P11,"")</f>
        <v/>
      </c>
      <c r="Q39" s="27">
        <f>IFERROR('Paid Loss'!Q11/'Incurred Loss'!Q11,"")</f>
        <v/>
      </c>
      <c r="R39" s="27">
        <f>IFERROR('Paid Loss'!R11/'Incurred Loss'!R11,"")</f>
        <v/>
      </c>
      <c r="S39" s="27">
        <f>IFERROR('Paid Loss'!S11/'Incurred Loss'!S11,"")</f>
        <v/>
      </c>
      <c r="T39" s="27">
        <f>IFERROR('Paid Loss'!T11/'Incurred Loss'!T11,"")</f>
        <v/>
      </c>
      <c r="U39" s="27">
        <f>IFERROR('Paid Loss'!U11/'Incurred Loss'!U11,"")</f>
        <v/>
      </c>
      <c r="V39" s="27">
        <f>IFERROR('Paid Loss'!V11/'Incurred Loss'!V11,"")</f>
        <v/>
      </c>
      <c r="W39" s="27">
        <f>IFERROR('Paid Loss'!W11/'Incurred Loss'!W11,"")</f>
        <v/>
      </c>
      <c r="X39" s="27">
        <f>IFERROR('Paid Loss'!X11/'Incurred Loss'!X11,"")</f>
        <v/>
      </c>
      <c r="Y39" s="27">
        <f>IFERROR('Paid Loss'!Y11/'Incurred Loss'!Y11,"")</f>
        <v/>
      </c>
    </row>
    <row r="40">
      <c r="A40" s="15" t="inlineStr">
        <is>
          <t>2011</t>
        </is>
      </c>
      <c r="B40" s="27">
        <f>IFERROR('Paid Loss'!B12/'Incurred Loss'!B12,"")</f>
        <v/>
      </c>
      <c r="C40" s="27">
        <f>IFERROR('Paid Loss'!C12/'Incurred Loss'!C12,"")</f>
        <v/>
      </c>
      <c r="D40" s="27">
        <f>IFERROR('Paid Loss'!D12/'Incurred Loss'!D12,"")</f>
        <v/>
      </c>
      <c r="E40" s="27">
        <f>IFERROR('Paid Loss'!E12/'Incurred Loss'!E12,"")</f>
        <v/>
      </c>
      <c r="F40" s="27">
        <f>IFERROR('Paid Loss'!F12/'Incurred Loss'!F12,"")</f>
        <v/>
      </c>
      <c r="G40" s="27">
        <f>IFERROR('Paid Loss'!G12/'Incurred Loss'!G12,"")</f>
        <v/>
      </c>
      <c r="H40" s="27">
        <f>IFERROR('Paid Loss'!H12/'Incurred Loss'!H12,"")</f>
        <v/>
      </c>
      <c r="I40" s="27">
        <f>IFERROR('Paid Loss'!I12/'Incurred Loss'!I12,"")</f>
        <v/>
      </c>
      <c r="J40" s="27">
        <f>IFERROR('Paid Loss'!J12/'Incurred Loss'!J12,"")</f>
        <v/>
      </c>
      <c r="K40" s="27">
        <f>IFERROR('Paid Loss'!K12/'Incurred Loss'!K12,"")</f>
        <v/>
      </c>
      <c r="L40" s="27">
        <f>IFERROR('Paid Loss'!L12/'Incurred Loss'!L12,"")</f>
        <v/>
      </c>
      <c r="M40" s="27">
        <f>IFERROR('Paid Loss'!M12/'Incurred Loss'!M12,"")</f>
        <v/>
      </c>
      <c r="N40" s="27">
        <f>IFERROR('Paid Loss'!N12/'Incurred Loss'!N12,"")</f>
        <v/>
      </c>
      <c r="O40" s="27">
        <f>IFERROR('Paid Loss'!O12/'Incurred Loss'!O12,"")</f>
        <v/>
      </c>
      <c r="P40" s="27">
        <f>IFERROR('Paid Loss'!P12/'Incurred Loss'!P12,"")</f>
        <v/>
      </c>
      <c r="Q40" s="27">
        <f>IFERROR('Paid Loss'!Q12/'Incurred Loss'!Q12,"")</f>
        <v/>
      </c>
      <c r="R40" s="27">
        <f>IFERROR('Paid Loss'!R12/'Incurred Loss'!R12,"")</f>
        <v/>
      </c>
      <c r="S40" s="27">
        <f>IFERROR('Paid Loss'!S12/'Incurred Loss'!S12,"")</f>
        <v/>
      </c>
      <c r="T40" s="27">
        <f>IFERROR('Paid Loss'!T12/'Incurred Loss'!T12,"")</f>
        <v/>
      </c>
      <c r="U40" s="27">
        <f>IFERROR('Paid Loss'!U12/'Incurred Loss'!U12,"")</f>
        <v/>
      </c>
      <c r="V40" s="27">
        <f>IFERROR('Paid Loss'!V12/'Incurred Loss'!V12,"")</f>
        <v/>
      </c>
      <c r="W40" s="27">
        <f>IFERROR('Paid Loss'!W12/'Incurred Loss'!W12,"")</f>
        <v/>
      </c>
      <c r="X40" s="27">
        <f>IFERROR('Paid Loss'!X12/'Incurred Loss'!X12,"")</f>
        <v/>
      </c>
      <c r="Y40" s="27">
        <f>IFERROR('Paid Loss'!Y12/'Incurred Loss'!Y12,"")</f>
        <v/>
      </c>
    </row>
    <row r="41">
      <c r="A41" s="15" t="inlineStr">
        <is>
          <t>2012</t>
        </is>
      </c>
      <c r="B41" s="27">
        <f>IFERROR('Paid Loss'!B13/'Incurred Loss'!B13,"")</f>
        <v/>
      </c>
      <c r="C41" s="27">
        <f>IFERROR('Paid Loss'!C13/'Incurred Loss'!C13,"")</f>
        <v/>
      </c>
      <c r="D41" s="27">
        <f>IFERROR('Paid Loss'!D13/'Incurred Loss'!D13,"")</f>
        <v/>
      </c>
      <c r="E41" s="27">
        <f>IFERROR('Paid Loss'!E13/'Incurred Loss'!E13,"")</f>
        <v/>
      </c>
      <c r="F41" s="27">
        <f>IFERROR('Paid Loss'!F13/'Incurred Loss'!F13,"")</f>
        <v/>
      </c>
      <c r="G41" s="27">
        <f>IFERROR('Paid Loss'!G13/'Incurred Loss'!G13,"")</f>
        <v/>
      </c>
      <c r="H41" s="27">
        <f>IFERROR('Paid Loss'!H13/'Incurred Loss'!H13,"")</f>
        <v/>
      </c>
      <c r="I41" s="27">
        <f>IFERROR('Paid Loss'!I13/'Incurred Loss'!I13,"")</f>
        <v/>
      </c>
      <c r="J41" s="27">
        <f>IFERROR('Paid Loss'!J13/'Incurred Loss'!J13,"")</f>
        <v/>
      </c>
      <c r="K41" s="27">
        <f>IFERROR('Paid Loss'!K13/'Incurred Loss'!K13,"")</f>
        <v/>
      </c>
      <c r="L41" s="27">
        <f>IFERROR('Paid Loss'!L13/'Incurred Loss'!L13,"")</f>
        <v/>
      </c>
      <c r="M41" s="27">
        <f>IFERROR('Paid Loss'!M13/'Incurred Loss'!M13,"")</f>
        <v/>
      </c>
      <c r="N41" s="27">
        <f>IFERROR('Paid Loss'!N13/'Incurred Loss'!N13,"")</f>
        <v/>
      </c>
      <c r="O41" s="27">
        <f>IFERROR('Paid Loss'!O13/'Incurred Loss'!O13,"")</f>
        <v/>
      </c>
      <c r="P41" s="27">
        <f>IFERROR('Paid Loss'!P13/'Incurred Loss'!P13,"")</f>
        <v/>
      </c>
      <c r="Q41" s="27">
        <f>IFERROR('Paid Loss'!Q13/'Incurred Loss'!Q13,"")</f>
        <v/>
      </c>
      <c r="R41" s="27">
        <f>IFERROR('Paid Loss'!R13/'Incurred Loss'!R13,"")</f>
        <v/>
      </c>
      <c r="S41" s="27">
        <f>IFERROR('Paid Loss'!S13/'Incurred Loss'!S13,"")</f>
        <v/>
      </c>
      <c r="T41" s="27">
        <f>IFERROR('Paid Loss'!T13/'Incurred Loss'!T13,"")</f>
        <v/>
      </c>
      <c r="U41" s="27">
        <f>IFERROR('Paid Loss'!U13/'Incurred Loss'!U13,"")</f>
        <v/>
      </c>
      <c r="V41" s="27">
        <f>IFERROR('Paid Loss'!V13/'Incurred Loss'!V13,"")</f>
        <v/>
      </c>
      <c r="W41" s="27">
        <f>IFERROR('Paid Loss'!W13/'Incurred Loss'!W13,"")</f>
        <v/>
      </c>
      <c r="X41" s="27">
        <f>IFERROR('Paid Loss'!X13/'Incurred Loss'!X13,"")</f>
        <v/>
      </c>
      <c r="Y41" s="27">
        <f>IFERROR('Paid Loss'!Y13/'Incurred Loss'!Y13,"")</f>
        <v/>
      </c>
    </row>
    <row r="42">
      <c r="A42" s="15" t="inlineStr">
        <is>
          <t>2013</t>
        </is>
      </c>
      <c r="B42" s="27">
        <f>IFERROR('Paid Loss'!B14/'Incurred Loss'!B14,"")</f>
        <v/>
      </c>
      <c r="C42" s="27">
        <f>IFERROR('Paid Loss'!C14/'Incurred Loss'!C14,"")</f>
        <v/>
      </c>
      <c r="D42" s="27">
        <f>IFERROR('Paid Loss'!D14/'Incurred Loss'!D14,"")</f>
        <v/>
      </c>
      <c r="E42" s="27">
        <f>IFERROR('Paid Loss'!E14/'Incurred Loss'!E14,"")</f>
        <v/>
      </c>
      <c r="F42" s="27">
        <f>IFERROR('Paid Loss'!F14/'Incurred Loss'!F14,"")</f>
        <v/>
      </c>
      <c r="G42" s="27">
        <f>IFERROR('Paid Loss'!G14/'Incurred Loss'!G14,"")</f>
        <v/>
      </c>
      <c r="H42" s="27">
        <f>IFERROR('Paid Loss'!H14/'Incurred Loss'!H14,"")</f>
        <v/>
      </c>
      <c r="I42" s="27">
        <f>IFERROR('Paid Loss'!I14/'Incurred Loss'!I14,"")</f>
        <v/>
      </c>
      <c r="J42" s="27">
        <f>IFERROR('Paid Loss'!J14/'Incurred Loss'!J14,"")</f>
        <v/>
      </c>
      <c r="K42" s="27">
        <f>IFERROR('Paid Loss'!K14/'Incurred Loss'!K14,"")</f>
        <v/>
      </c>
      <c r="L42" s="27">
        <f>IFERROR('Paid Loss'!L14/'Incurred Loss'!L14,"")</f>
        <v/>
      </c>
      <c r="M42" s="27">
        <f>IFERROR('Paid Loss'!M14/'Incurred Loss'!M14,"")</f>
        <v/>
      </c>
      <c r="N42" s="27">
        <f>IFERROR('Paid Loss'!N14/'Incurred Loss'!N14,"")</f>
        <v/>
      </c>
      <c r="O42" s="27">
        <f>IFERROR('Paid Loss'!O14/'Incurred Loss'!O14,"")</f>
        <v/>
      </c>
      <c r="P42" s="27">
        <f>IFERROR('Paid Loss'!P14/'Incurred Loss'!P14,"")</f>
        <v/>
      </c>
      <c r="Q42" s="27">
        <f>IFERROR('Paid Loss'!Q14/'Incurred Loss'!Q14,"")</f>
        <v/>
      </c>
      <c r="R42" s="27">
        <f>IFERROR('Paid Loss'!R14/'Incurred Loss'!R14,"")</f>
        <v/>
      </c>
      <c r="S42" s="27">
        <f>IFERROR('Paid Loss'!S14/'Incurred Loss'!S14,"")</f>
        <v/>
      </c>
      <c r="T42" s="27">
        <f>IFERROR('Paid Loss'!T14/'Incurred Loss'!T14,"")</f>
        <v/>
      </c>
      <c r="U42" s="27">
        <f>IFERROR('Paid Loss'!U14/'Incurred Loss'!U14,"")</f>
        <v/>
      </c>
      <c r="V42" s="27">
        <f>IFERROR('Paid Loss'!V14/'Incurred Loss'!V14,"")</f>
        <v/>
      </c>
      <c r="W42" s="27">
        <f>IFERROR('Paid Loss'!W14/'Incurred Loss'!W14,"")</f>
        <v/>
      </c>
      <c r="X42" s="27">
        <f>IFERROR('Paid Loss'!X14/'Incurred Loss'!X14,"")</f>
        <v/>
      </c>
      <c r="Y42" s="27">
        <f>IFERROR('Paid Loss'!Y14/'Incurred Loss'!Y14,"")</f>
        <v/>
      </c>
    </row>
    <row r="43">
      <c r="A43" s="15" t="inlineStr">
        <is>
          <t>2014</t>
        </is>
      </c>
      <c r="B43" s="27">
        <f>IFERROR('Paid Loss'!B15/'Incurred Loss'!B15,"")</f>
        <v/>
      </c>
      <c r="C43" s="27">
        <f>IFERROR('Paid Loss'!C15/'Incurred Loss'!C15,"")</f>
        <v/>
      </c>
      <c r="D43" s="27">
        <f>IFERROR('Paid Loss'!D15/'Incurred Loss'!D15,"")</f>
        <v/>
      </c>
      <c r="E43" s="27">
        <f>IFERROR('Paid Loss'!E15/'Incurred Loss'!E15,"")</f>
        <v/>
      </c>
      <c r="F43" s="27">
        <f>IFERROR('Paid Loss'!F15/'Incurred Loss'!F15,"")</f>
        <v/>
      </c>
      <c r="G43" s="27">
        <f>IFERROR('Paid Loss'!G15/'Incurred Loss'!G15,"")</f>
        <v/>
      </c>
      <c r="H43" s="27">
        <f>IFERROR('Paid Loss'!H15/'Incurred Loss'!H15,"")</f>
        <v/>
      </c>
      <c r="I43" s="27">
        <f>IFERROR('Paid Loss'!I15/'Incurred Loss'!I15,"")</f>
        <v/>
      </c>
      <c r="J43" s="27">
        <f>IFERROR('Paid Loss'!J15/'Incurred Loss'!J15,"")</f>
        <v/>
      </c>
      <c r="K43" s="27">
        <f>IFERROR('Paid Loss'!K15/'Incurred Loss'!K15,"")</f>
        <v/>
      </c>
      <c r="L43" s="27">
        <f>IFERROR('Paid Loss'!L15/'Incurred Loss'!L15,"")</f>
        <v/>
      </c>
      <c r="M43" s="27">
        <f>IFERROR('Paid Loss'!M15/'Incurred Loss'!M15,"")</f>
        <v/>
      </c>
      <c r="N43" s="27">
        <f>IFERROR('Paid Loss'!N15/'Incurred Loss'!N15,"")</f>
        <v/>
      </c>
      <c r="O43" s="27">
        <f>IFERROR('Paid Loss'!O15/'Incurred Loss'!O15,"")</f>
        <v/>
      </c>
      <c r="P43" s="27">
        <f>IFERROR('Paid Loss'!P15/'Incurred Loss'!P15,"")</f>
        <v/>
      </c>
      <c r="Q43" s="27">
        <f>IFERROR('Paid Loss'!Q15/'Incurred Loss'!Q15,"")</f>
        <v/>
      </c>
      <c r="R43" s="27">
        <f>IFERROR('Paid Loss'!R15/'Incurred Loss'!R15,"")</f>
        <v/>
      </c>
      <c r="S43" s="27">
        <f>IFERROR('Paid Loss'!S15/'Incurred Loss'!S15,"")</f>
        <v/>
      </c>
      <c r="T43" s="27">
        <f>IFERROR('Paid Loss'!T15/'Incurred Loss'!T15,"")</f>
        <v/>
      </c>
      <c r="U43" s="27">
        <f>IFERROR('Paid Loss'!U15/'Incurred Loss'!U15,"")</f>
        <v/>
      </c>
      <c r="V43" s="27">
        <f>IFERROR('Paid Loss'!V15/'Incurred Loss'!V15,"")</f>
        <v/>
      </c>
      <c r="W43" s="27">
        <f>IFERROR('Paid Loss'!W15/'Incurred Loss'!W15,"")</f>
        <v/>
      </c>
      <c r="X43" s="27">
        <f>IFERROR('Paid Loss'!X15/'Incurred Loss'!X15,"")</f>
        <v/>
      </c>
      <c r="Y43" s="27">
        <f>IFERROR('Paid Loss'!Y15/'Incurred Loss'!Y15,"")</f>
        <v/>
      </c>
    </row>
    <row r="44">
      <c r="A44" s="15" t="inlineStr">
        <is>
          <t>2015</t>
        </is>
      </c>
      <c r="B44" s="27">
        <f>IFERROR('Paid Loss'!B16/'Incurred Loss'!B16,"")</f>
        <v/>
      </c>
      <c r="C44" s="27">
        <f>IFERROR('Paid Loss'!C16/'Incurred Loss'!C16,"")</f>
        <v/>
      </c>
      <c r="D44" s="27">
        <f>IFERROR('Paid Loss'!D16/'Incurred Loss'!D16,"")</f>
        <v/>
      </c>
      <c r="E44" s="27">
        <f>IFERROR('Paid Loss'!E16/'Incurred Loss'!E16,"")</f>
        <v/>
      </c>
      <c r="F44" s="27">
        <f>IFERROR('Paid Loss'!F16/'Incurred Loss'!F16,"")</f>
        <v/>
      </c>
      <c r="G44" s="27">
        <f>IFERROR('Paid Loss'!G16/'Incurred Loss'!G16,"")</f>
        <v/>
      </c>
      <c r="H44" s="27">
        <f>IFERROR('Paid Loss'!H16/'Incurred Loss'!H16,"")</f>
        <v/>
      </c>
      <c r="I44" s="27">
        <f>IFERROR('Paid Loss'!I16/'Incurred Loss'!I16,"")</f>
        <v/>
      </c>
      <c r="J44" s="27">
        <f>IFERROR('Paid Loss'!J16/'Incurred Loss'!J16,"")</f>
        <v/>
      </c>
      <c r="K44" s="27">
        <f>IFERROR('Paid Loss'!K16/'Incurred Loss'!K16,"")</f>
        <v/>
      </c>
      <c r="L44" s="27">
        <f>IFERROR('Paid Loss'!L16/'Incurred Loss'!L16,"")</f>
        <v/>
      </c>
      <c r="M44" s="27">
        <f>IFERROR('Paid Loss'!M16/'Incurred Loss'!M16,"")</f>
        <v/>
      </c>
      <c r="N44" s="27">
        <f>IFERROR('Paid Loss'!N16/'Incurred Loss'!N16,"")</f>
        <v/>
      </c>
      <c r="O44" s="27">
        <f>IFERROR('Paid Loss'!O16/'Incurred Loss'!O16,"")</f>
        <v/>
      </c>
      <c r="P44" s="27">
        <f>IFERROR('Paid Loss'!P16/'Incurred Loss'!P16,"")</f>
        <v/>
      </c>
      <c r="Q44" s="27">
        <f>IFERROR('Paid Loss'!Q16/'Incurred Loss'!Q16,"")</f>
        <v/>
      </c>
      <c r="R44" s="27">
        <f>IFERROR('Paid Loss'!R16/'Incurred Loss'!R16,"")</f>
        <v/>
      </c>
      <c r="S44" s="27">
        <f>IFERROR('Paid Loss'!S16/'Incurred Loss'!S16,"")</f>
        <v/>
      </c>
      <c r="T44" s="27">
        <f>IFERROR('Paid Loss'!T16/'Incurred Loss'!T16,"")</f>
        <v/>
      </c>
      <c r="U44" s="27">
        <f>IFERROR('Paid Loss'!U16/'Incurred Loss'!U16,"")</f>
        <v/>
      </c>
      <c r="V44" s="27">
        <f>IFERROR('Paid Loss'!V16/'Incurred Loss'!V16,"")</f>
        <v/>
      </c>
      <c r="W44" s="27">
        <f>IFERROR('Paid Loss'!W16/'Incurred Loss'!W16,"")</f>
        <v/>
      </c>
      <c r="X44" s="27">
        <f>IFERROR('Paid Loss'!X16/'Incurred Loss'!X16,"")</f>
        <v/>
      </c>
      <c r="Y44" s="27">
        <f>IFERROR('Paid Loss'!Y16/'Incurred Loss'!Y16,"")</f>
        <v/>
      </c>
    </row>
    <row r="45">
      <c r="A45" s="15" t="inlineStr">
        <is>
          <t>2016</t>
        </is>
      </c>
      <c r="B45" s="27">
        <f>IFERROR('Paid Loss'!B17/'Incurred Loss'!B17,"")</f>
        <v/>
      </c>
      <c r="C45" s="27">
        <f>IFERROR('Paid Loss'!C17/'Incurred Loss'!C17,"")</f>
        <v/>
      </c>
      <c r="D45" s="27">
        <f>IFERROR('Paid Loss'!D17/'Incurred Loss'!D17,"")</f>
        <v/>
      </c>
      <c r="E45" s="27">
        <f>IFERROR('Paid Loss'!E17/'Incurred Loss'!E17,"")</f>
        <v/>
      </c>
      <c r="F45" s="27">
        <f>IFERROR('Paid Loss'!F17/'Incurred Loss'!F17,"")</f>
        <v/>
      </c>
      <c r="G45" s="27">
        <f>IFERROR('Paid Loss'!G17/'Incurred Loss'!G17,"")</f>
        <v/>
      </c>
      <c r="H45" s="27">
        <f>IFERROR('Paid Loss'!H17/'Incurred Loss'!H17,"")</f>
        <v/>
      </c>
      <c r="I45" s="27">
        <f>IFERROR('Paid Loss'!I17/'Incurred Loss'!I17,"")</f>
        <v/>
      </c>
      <c r="J45" s="27">
        <f>IFERROR('Paid Loss'!J17/'Incurred Loss'!J17,"")</f>
        <v/>
      </c>
      <c r="K45" s="27">
        <f>IFERROR('Paid Loss'!K17/'Incurred Loss'!K17,"")</f>
        <v/>
      </c>
      <c r="L45" s="27">
        <f>IFERROR('Paid Loss'!L17/'Incurred Loss'!L17,"")</f>
        <v/>
      </c>
      <c r="M45" s="27">
        <f>IFERROR('Paid Loss'!M17/'Incurred Loss'!M17,"")</f>
        <v/>
      </c>
      <c r="N45" s="27">
        <f>IFERROR('Paid Loss'!N17/'Incurred Loss'!N17,"")</f>
        <v/>
      </c>
      <c r="O45" s="27">
        <f>IFERROR('Paid Loss'!O17/'Incurred Loss'!O17,"")</f>
        <v/>
      </c>
      <c r="P45" s="27">
        <f>IFERROR('Paid Loss'!P17/'Incurred Loss'!P17,"")</f>
        <v/>
      </c>
      <c r="Q45" s="27">
        <f>IFERROR('Paid Loss'!Q17/'Incurred Loss'!Q17,"")</f>
        <v/>
      </c>
      <c r="R45" s="27">
        <f>IFERROR('Paid Loss'!R17/'Incurred Loss'!R17,"")</f>
        <v/>
      </c>
      <c r="S45" s="27">
        <f>IFERROR('Paid Loss'!S17/'Incurred Loss'!S17,"")</f>
        <v/>
      </c>
      <c r="T45" s="27">
        <f>IFERROR('Paid Loss'!T17/'Incurred Loss'!T17,"")</f>
        <v/>
      </c>
      <c r="U45" s="27">
        <f>IFERROR('Paid Loss'!U17/'Incurred Loss'!U17,"")</f>
        <v/>
      </c>
      <c r="V45" s="27">
        <f>IFERROR('Paid Loss'!V17/'Incurred Loss'!V17,"")</f>
        <v/>
      </c>
      <c r="W45" s="27">
        <f>IFERROR('Paid Loss'!W17/'Incurred Loss'!W17,"")</f>
        <v/>
      </c>
      <c r="X45" s="27">
        <f>IFERROR('Paid Loss'!X17/'Incurred Loss'!X17,"")</f>
        <v/>
      </c>
      <c r="Y45" s="27">
        <f>IFERROR('Paid Loss'!Y17/'Incurred Loss'!Y17,"")</f>
        <v/>
      </c>
    </row>
    <row r="46">
      <c r="A46" s="15" t="inlineStr">
        <is>
          <t>2017</t>
        </is>
      </c>
      <c r="B46" s="27">
        <f>IFERROR('Paid Loss'!B18/'Incurred Loss'!B18,"")</f>
        <v/>
      </c>
      <c r="C46" s="27">
        <f>IFERROR('Paid Loss'!C18/'Incurred Loss'!C18,"")</f>
        <v/>
      </c>
      <c r="D46" s="27">
        <f>IFERROR('Paid Loss'!D18/'Incurred Loss'!D18,"")</f>
        <v/>
      </c>
      <c r="E46" s="27">
        <f>IFERROR('Paid Loss'!E18/'Incurred Loss'!E18,"")</f>
        <v/>
      </c>
      <c r="F46" s="27">
        <f>IFERROR('Paid Loss'!F18/'Incurred Loss'!F18,"")</f>
        <v/>
      </c>
      <c r="G46" s="27">
        <f>IFERROR('Paid Loss'!G18/'Incurred Loss'!G18,"")</f>
        <v/>
      </c>
      <c r="H46" s="27">
        <f>IFERROR('Paid Loss'!H18/'Incurred Loss'!H18,"")</f>
        <v/>
      </c>
      <c r="I46" s="27">
        <f>IFERROR('Paid Loss'!I18/'Incurred Loss'!I18,"")</f>
        <v/>
      </c>
      <c r="J46" s="27">
        <f>IFERROR('Paid Loss'!J18/'Incurred Loss'!J18,"")</f>
        <v/>
      </c>
      <c r="K46" s="27">
        <f>IFERROR('Paid Loss'!K18/'Incurred Loss'!K18,"")</f>
        <v/>
      </c>
      <c r="L46" s="27">
        <f>IFERROR('Paid Loss'!L18/'Incurred Loss'!L18,"")</f>
        <v/>
      </c>
      <c r="M46" s="27">
        <f>IFERROR('Paid Loss'!M18/'Incurred Loss'!M18,"")</f>
        <v/>
      </c>
      <c r="N46" s="27">
        <f>IFERROR('Paid Loss'!N18/'Incurred Loss'!N18,"")</f>
        <v/>
      </c>
      <c r="O46" s="27">
        <f>IFERROR('Paid Loss'!O18/'Incurred Loss'!O18,"")</f>
        <v/>
      </c>
      <c r="P46" s="27">
        <f>IFERROR('Paid Loss'!P18/'Incurred Loss'!P18,"")</f>
        <v/>
      </c>
      <c r="Q46" s="27">
        <f>IFERROR('Paid Loss'!Q18/'Incurred Loss'!Q18,"")</f>
        <v/>
      </c>
      <c r="R46" s="27">
        <f>IFERROR('Paid Loss'!R18/'Incurred Loss'!R18,"")</f>
        <v/>
      </c>
      <c r="S46" s="27">
        <f>IFERROR('Paid Loss'!S18/'Incurred Loss'!S18,"")</f>
        <v/>
      </c>
      <c r="T46" s="27">
        <f>IFERROR('Paid Loss'!T18/'Incurred Loss'!T18,"")</f>
        <v/>
      </c>
      <c r="U46" s="27">
        <f>IFERROR('Paid Loss'!U18/'Incurred Loss'!U18,"")</f>
        <v/>
      </c>
      <c r="V46" s="27">
        <f>IFERROR('Paid Loss'!V18/'Incurred Loss'!V18,"")</f>
        <v/>
      </c>
      <c r="W46" s="27">
        <f>IFERROR('Paid Loss'!W18/'Incurred Loss'!W18,"")</f>
        <v/>
      </c>
      <c r="X46" s="27">
        <f>IFERROR('Paid Loss'!X18/'Incurred Loss'!X18,"")</f>
        <v/>
      </c>
      <c r="Y46" s="27">
        <f>IFERROR('Paid Loss'!Y18/'Incurred Loss'!Y18,"")</f>
        <v/>
      </c>
    </row>
    <row r="47">
      <c r="A47" s="15" t="inlineStr">
        <is>
          <t>2018</t>
        </is>
      </c>
      <c r="B47" s="27">
        <f>IFERROR('Paid Loss'!B19/'Incurred Loss'!B19,"")</f>
        <v/>
      </c>
      <c r="C47" s="27">
        <f>IFERROR('Paid Loss'!C19/'Incurred Loss'!C19,"")</f>
        <v/>
      </c>
      <c r="D47" s="27">
        <f>IFERROR('Paid Loss'!D19/'Incurred Loss'!D19,"")</f>
        <v/>
      </c>
      <c r="E47" s="27">
        <f>IFERROR('Paid Loss'!E19/'Incurred Loss'!E19,"")</f>
        <v/>
      </c>
      <c r="F47" s="27">
        <f>IFERROR('Paid Loss'!F19/'Incurred Loss'!F19,"")</f>
        <v/>
      </c>
      <c r="G47" s="27">
        <f>IFERROR('Paid Loss'!G19/'Incurred Loss'!G19,"")</f>
        <v/>
      </c>
      <c r="H47" s="27">
        <f>IFERROR('Paid Loss'!H19/'Incurred Loss'!H19,"")</f>
        <v/>
      </c>
      <c r="I47" s="27">
        <f>IFERROR('Paid Loss'!I19/'Incurred Loss'!I19,"")</f>
        <v/>
      </c>
      <c r="J47" s="27">
        <f>IFERROR('Paid Loss'!J19/'Incurred Loss'!J19,"")</f>
        <v/>
      </c>
      <c r="K47" s="27">
        <f>IFERROR('Paid Loss'!K19/'Incurred Loss'!K19,"")</f>
        <v/>
      </c>
      <c r="L47" s="27">
        <f>IFERROR('Paid Loss'!L19/'Incurred Loss'!L19,"")</f>
        <v/>
      </c>
      <c r="M47" s="27">
        <f>IFERROR('Paid Loss'!M19/'Incurred Loss'!M19,"")</f>
        <v/>
      </c>
      <c r="N47" s="27">
        <f>IFERROR('Paid Loss'!N19/'Incurred Loss'!N19,"")</f>
        <v/>
      </c>
      <c r="O47" s="27">
        <f>IFERROR('Paid Loss'!O19/'Incurred Loss'!O19,"")</f>
        <v/>
      </c>
      <c r="P47" s="27">
        <f>IFERROR('Paid Loss'!P19/'Incurred Loss'!P19,"")</f>
        <v/>
      </c>
      <c r="Q47" s="27">
        <f>IFERROR('Paid Loss'!Q19/'Incurred Loss'!Q19,"")</f>
        <v/>
      </c>
      <c r="R47" s="27">
        <f>IFERROR('Paid Loss'!R19/'Incurred Loss'!R19,"")</f>
        <v/>
      </c>
      <c r="S47" s="27">
        <f>IFERROR('Paid Loss'!S19/'Incurred Loss'!S19,"")</f>
        <v/>
      </c>
      <c r="T47" s="27">
        <f>IFERROR('Paid Loss'!T19/'Incurred Loss'!T19,"")</f>
        <v/>
      </c>
      <c r="U47" s="27">
        <f>IFERROR('Paid Loss'!U19/'Incurred Loss'!U19,"")</f>
        <v/>
      </c>
      <c r="V47" s="27">
        <f>IFERROR('Paid Loss'!V19/'Incurred Loss'!V19,"")</f>
        <v/>
      </c>
      <c r="W47" s="27">
        <f>IFERROR('Paid Loss'!W19/'Incurred Loss'!W19,"")</f>
        <v/>
      </c>
      <c r="X47" s="27">
        <f>IFERROR('Paid Loss'!X19/'Incurred Loss'!X19,"")</f>
        <v/>
      </c>
      <c r="Y47" s="27">
        <f>IFERROR('Paid Loss'!Y19/'Incurred Loss'!Y19,"")</f>
        <v/>
      </c>
    </row>
    <row r="48">
      <c r="A48" s="15" t="inlineStr">
        <is>
          <t>2019</t>
        </is>
      </c>
      <c r="B48" s="27">
        <f>IFERROR('Paid Loss'!B20/'Incurred Loss'!B20,"")</f>
        <v/>
      </c>
      <c r="C48" s="27">
        <f>IFERROR('Paid Loss'!C20/'Incurred Loss'!C20,"")</f>
        <v/>
      </c>
      <c r="D48" s="27">
        <f>IFERROR('Paid Loss'!D20/'Incurred Loss'!D20,"")</f>
        <v/>
      </c>
      <c r="E48" s="27">
        <f>IFERROR('Paid Loss'!E20/'Incurred Loss'!E20,"")</f>
        <v/>
      </c>
      <c r="F48" s="27">
        <f>IFERROR('Paid Loss'!F20/'Incurred Loss'!F20,"")</f>
        <v/>
      </c>
      <c r="G48" s="27">
        <f>IFERROR('Paid Loss'!G20/'Incurred Loss'!G20,"")</f>
        <v/>
      </c>
      <c r="H48" s="27">
        <f>IFERROR('Paid Loss'!H20/'Incurred Loss'!H20,"")</f>
        <v/>
      </c>
      <c r="I48" s="27">
        <f>IFERROR('Paid Loss'!I20/'Incurred Loss'!I20,"")</f>
        <v/>
      </c>
      <c r="J48" s="27">
        <f>IFERROR('Paid Loss'!J20/'Incurred Loss'!J20,"")</f>
        <v/>
      </c>
      <c r="K48" s="27">
        <f>IFERROR('Paid Loss'!K20/'Incurred Loss'!K20,"")</f>
        <v/>
      </c>
      <c r="L48" s="27">
        <f>IFERROR('Paid Loss'!L20/'Incurred Loss'!L20,"")</f>
        <v/>
      </c>
      <c r="M48" s="27">
        <f>IFERROR('Paid Loss'!M20/'Incurred Loss'!M20,"")</f>
        <v/>
      </c>
      <c r="N48" s="27">
        <f>IFERROR('Paid Loss'!N20/'Incurred Loss'!N20,"")</f>
        <v/>
      </c>
      <c r="O48" s="27">
        <f>IFERROR('Paid Loss'!O20/'Incurred Loss'!O20,"")</f>
        <v/>
      </c>
      <c r="P48" s="27">
        <f>IFERROR('Paid Loss'!P20/'Incurred Loss'!P20,"")</f>
        <v/>
      </c>
      <c r="Q48" s="27">
        <f>IFERROR('Paid Loss'!Q20/'Incurred Loss'!Q20,"")</f>
        <v/>
      </c>
      <c r="R48" s="27">
        <f>IFERROR('Paid Loss'!R20/'Incurred Loss'!R20,"")</f>
        <v/>
      </c>
      <c r="S48" s="27">
        <f>IFERROR('Paid Loss'!S20/'Incurred Loss'!S20,"")</f>
        <v/>
      </c>
      <c r="T48" s="27">
        <f>IFERROR('Paid Loss'!T20/'Incurred Loss'!T20,"")</f>
        <v/>
      </c>
      <c r="U48" s="27">
        <f>IFERROR('Paid Loss'!U20/'Incurred Loss'!U20,"")</f>
        <v/>
      </c>
      <c r="V48" s="27">
        <f>IFERROR('Paid Loss'!V20/'Incurred Loss'!V20,"")</f>
        <v/>
      </c>
      <c r="W48" s="27">
        <f>IFERROR('Paid Loss'!W20/'Incurred Loss'!W20,"")</f>
        <v/>
      </c>
      <c r="X48" s="27">
        <f>IFERROR('Paid Loss'!X20/'Incurred Loss'!X20,"")</f>
        <v/>
      </c>
      <c r="Y48" s="27">
        <f>IFERROR('Paid Loss'!Y20/'Incurred Loss'!Y20,"")</f>
        <v/>
      </c>
    </row>
    <row r="49">
      <c r="A49" s="15" t="inlineStr">
        <is>
          <t>2020</t>
        </is>
      </c>
      <c r="B49" s="27">
        <f>IFERROR('Paid Loss'!B21/'Incurred Loss'!B21,"")</f>
        <v/>
      </c>
      <c r="C49" s="27">
        <f>IFERROR('Paid Loss'!C21/'Incurred Loss'!C21,"")</f>
        <v/>
      </c>
      <c r="D49" s="27">
        <f>IFERROR('Paid Loss'!D21/'Incurred Loss'!D21,"")</f>
        <v/>
      </c>
      <c r="E49" s="27">
        <f>IFERROR('Paid Loss'!E21/'Incurred Loss'!E21,"")</f>
        <v/>
      </c>
      <c r="F49" s="27">
        <f>IFERROR('Paid Loss'!F21/'Incurred Loss'!F21,"")</f>
        <v/>
      </c>
      <c r="G49" s="27">
        <f>IFERROR('Paid Loss'!G21/'Incurred Loss'!G21,"")</f>
        <v/>
      </c>
      <c r="H49" s="27">
        <f>IFERROR('Paid Loss'!H21/'Incurred Loss'!H21,"")</f>
        <v/>
      </c>
      <c r="I49" s="27">
        <f>IFERROR('Paid Loss'!I21/'Incurred Loss'!I21,"")</f>
        <v/>
      </c>
      <c r="J49" s="27">
        <f>IFERROR('Paid Loss'!J21/'Incurred Loss'!J21,"")</f>
        <v/>
      </c>
      <c r="K49" s="27">
        <f>IFERROR('Paid Loss'!K21/'Incurred Loss'!K21,"")</f>
        <v/>
      </c>
      <c r="L49" s="27">
        <f>IFERROR('Paid Loss'!L21/'Incurred Loss'!L21,"")</f>
        <v/>
      </c>
      <c r="M49" s="27">
        <f>IFERROR('Paid Loss'!M21/'Incurred Loss'!M21,"")</f>
        <v/>
      </c>
      <c r="N49" s="27">
        <f>IFERROR('Paid Loss'!N21/'Incurred Loss'!N21,"")</f>
        <v/>
      </c>
      <c r="O49" s="27">
        <f>IFERROR('Paid Loss'!O21/'Incurred Loss'!O21,"")</f>
        <v/>
      </c>
      <c r="P49" s="27">
        <f>IFERROR('Paid Loss'!P21/'Incurred Loss'!P21,"")</f>
        <v/>
      </c>
      <c r="Q49" s="27">
        <f>IFERROR('Paid Loss'!Q21/'Incurred Loss'!Q21,"")</f>
        <v/>
      </c>
      <c r="R49" s="27">
        <f>IFERROR('Paid Loss'!R21/'Incurred Loss'!R21,"")</f>
        <v/>
      </c>
      <c r="S49" s="27">
        <f>IFERROR('Paid Loss'!S21/'Incurred Loss'!S21,"")</f>
        <v/>
      </c>
      <c r="T49" s="27">
        <f>IFERROR('Paid Loss'!T21/'Incurred Loss'!T21,"")</f>
        <v/>
      </c>
      <c r="U49" s="27">
        <f>IFERROR('Paid Loss'!U21/'Incurred Loss'!U21,"")</f>
        <v/>
      </c>
      <c r="V49" s="27">
        <f>IFERROR('Paid Loss'!V21/'Incurred Loss'!V21,"")</f>
        <v/>
      </c>
      <c r="W49" s="27">
        <f>IFERROR('Paid Loss'!W21/'Incurred Loss'!W21,"")</f>
        <v/>
      </c>
      <c r="X49" s="27">
        <f>IFERROR('Paid Loss'!X21/'Incurred Loss'!X21,"")</f>
        <v/>
      </c>
      <c r="Y49" s="27">
        <f>IFERROR('Paid Loss'!Y21/'Incurred Loss'!Y21,"")</f>
        <v/>
      </c>
    </row>
    <row r="50">
      <c r="A50" s="15" t="inlineStr">
        <is>
          <t>2021</t>
        </is>
      </c>
      <c r="B50" s="27">
        <f>IFERROR('Paid Loss'!B22/'Incurred Loss'!B22,"")</f>
        <v/>
      </c>
      <c r="C50" s="27">
        <f>IFERROR('Paid Loss'!C22/'Incurred Loss'!C22,"")</f>
        <v/>
      </c>
      <c r="D50" s="27">
        <f>IFERROR('Paid Loss'!D22/'Incurred Loss'!D22,"")</f>
        <v/>
      </c>
      <c r="E50" s="27">
        <f>IFERROR('Paid Loss'!E22/'Incurred Loss'!E22,"")</f>
        <v/>
      </c>
      <c r="F50" s="27">
        <f>IFERROR('Paid Loss'!F22/'Incurred Loss'!F22,"")</f>
        <v/>
      </c>
      <c r="G50" s="27">
        <f>IFERROR('Paid Loss'!G22/'Incurred Loss'!G22,"")</f>
        <v/>
      </c>
      <c r="H50" s="27">
        <f>IFERROR('Paid Loss'!H22/'Incurred Loss'!H22,"")</f>
        <v/>
      </c>
      <c r="I50" s="27">
        <f>IFERROR('Paid Loss'!I22/'Incurred Loss'!I22,"")</f>
        <v/>
      </c>
      <c r="J50" s="27">
        <f>IFERROR('Paid Loss'!J22/'Incurred Loss'!J22,"")</f>
        <v/>
      </c>
      <c r="K50" s="27">
        <f>IFERROR('Paid Loss'!K22/'Incurred Loss'!K22,"")</f>
        <v/>
      </c>
      <c r="L50" s="27">
        <f>IFERROR('Paid Loss'!L22/'Incurred Loss'!L22,"")</f>
        <v/>
      </c>
      <c r="M50" s="27">
        <f>IFERROR('Paid Loss'!M22/'Incurred Loss'!M22,"")</f>
        <v/>
      </c>
      <c r="N50" s="27">
        <f>IFERROR('Paid Loss'!N22/'Incurred Loss'!N22,"")</f>
        <v/>
      </c>
      <c r="O50" s="27">
        <f>IFERROR('Paid Loss'!O22/'Incurred Loss'!O22,"")</f>
        <v/>
      </c>
      <c r="P50" s="27">
        <f>IFERROR('Paid Loss'!P22/'Incurred Loss'!P22,"")</f>
        <v/>
      </c>
      <c r="Q50" s="27">
        <f>IFERROR('Paid Loss'!Q22/'Incurred Loss'!Q22,"")</f>
        <v/>
      </c>
      <c r="R50" s="27">
        <f>IFERROR('Paid Loss'!R22/'Incurred Loss'!R22,"")</f>
        <v/>
      </c>
      <c r="S50" s="27">
        <f>IFERROR('Paid Loss'!S22/'Incurred Loss'!S22,"")</f>
        <v/>
      </c>
      <c r="T50" s="27">
        <f>IFERROR('Paid Loss'!T22/'Incurred Loss'!T22,"")</f>
        <v/>
      </c>
      <c r="U50" s="27">
        <f>IFERROR('Paid Loss'!U22/'Incurred Loss'!U22,"")</f>
        <v/>
      </c>
      <c r="V50" s="27">
        <f>IFERROR('Paid Loss'!V22/'Incurred Loss'!V22,"")</f>
        <v/>
      </c>
      <c r="W50" s="27">
        <f>IFERROR('Paid Loss'!W22/'Incurred Loss'!W22,"")</f>
        <v/>
      </c>
      <c r="X50" s="27">
        <f>IFERROR('Paid Loss'!X22/'Incurred Loss'!X22,"")</f>
        <v/>
      </c>
      <c r="Y50" s="27">
        <f>IFERROR('Paid Loss'!Y22/'Incurred Loss'!Y22,"")</f>
        <v/>
      </c>
    </row>
    <row r="51">
      <c r="A51" s="15" t="inlineStr">
        <is>
          <t>2022</t>
        </is>
      </c>
      <c r="B51" s="27">
        <f>IFERROR('Paid Loss'!B23/'Incurred Loss'!B23,"")</f>
        <v/>
      </c>
      <c r="C51" s="27">
        <f>IFERROR('Paid Loss'!C23/'Incurred Loss'!C23,"")</f>
        <v/>
      </c>
      <c r="D51" s="27">
        <f>IFERROR('Paid Loss'!D23/'Incurred Loss'!D23,"")</f>
        <v/>
      </c>
      <c r="E51" s="27">
        <f>IFERROR('Paid Loss'!E23/'Incurred Loss'!E23,"")</f>
        <v/>
      </c>
      <c r="F51" s="27">
        <f>IFERROR('Paid Loss'!F23/'Incurred Loss'!F23,"")</f>
        <v/>
      </c>
      <c r="G51" s="27">
        <f>IFERROR('Paid Loss'!G23/'Incurred Loss'!G23,"")</f>
        <v/>
      </c>
      <c r="H51" s="27">
        <f>IFERROR('Paid Loss'!H23/'Incurred Loss'!H23,"")</f>
        <v/>
      </c>
      <c r="I51" s="27">
        <f>IFERROR('Paid Loss'!I23/'Incurred Loss'!I23,"")</f>
        <v/>
      </c>
      <c r="J51" s="27">
        <f>IFERROR('Paid Loss'!J23/'Incurred Loss'!J23,"")</f>
        <v/>
      </c>
      <c r="K51" s="27">
        <f>IFERROR('Paid Loss'!K23/'Incurred Loss'!K23,"")</f>
        <v/>
      </c>
      <c r="L51" s="27">
        <f>IFERROR('Paid Loss'!L23/'Incurred Loss'!L23,"")</f>
        <v/>
      </c>
      <c r="M51" s="27">
        <f>IFERROR('Paid Loss'!M23/'Incurred Loss'!M23,"")</f>
        <v/>
      </c>
      <c r="N51" s="27">
        <f>IFERROR('Paid Loss'!N23/'Incurred Loss'!N23,"")</f>
        <v/>
      </c>
      <c r="O51" s="27">
        <f>IFERROR('Paid Loss'!O23/'Incurred Loss'!O23,"")</f>
        <v/>
      </c>
      <c r="P51" s="27">
        <f>IFERROR('Paid Loss'!P23/'Incurred Loss'!P23,"")</f>
        <v/>
      </c>
      <c r="Q51" s="27">
        <f>IFERROR('Paid Loss'!Q23/'Incurred Loss'!Q23,"")</f>
        <v/>
      </c>
      <c r="R51" s="27">
        <f>IFERROR('Paid Loss'!R23/'Incurred Loss'!R23,"")</f>
        <v/>
      </c>
      <c r="S51" s="27">
        <f>IFERROR('Paid Loss'!S23/'Incurred Loss'!S23,"")</f>
        <v/>
      </c>
      <c r="T51" s="27">
        <f>IFERROR('Paid Loss'!T23/'Incurred Loss'!T23,"")</f>
        <v/>
      </c>
      <c r="U51" s="27">
        <f>IFERROR('Paid Loss'!U23/'Incurred Loss'!U23,"")</f>
        <v/>
      </c>
      <c r="V51" s="27">
        <f>IFERROR('Paid Loss'!V23/'Incurred Loss'!V23,"")</f>
        <v/>
      </c>
      <c r="W51" s="27">
        <f>IFERROR('Paid Loss'!W23/'Incurred Loss'!W23,"")</f>
        <v/>
      </c>
      <c r="X51" s="27">
        <f>IFERROR('Paid Loss'!X23/'Incurred Loss'!X23,"")</f>
        <v/>
      </c>
      <c r="Y51" s="27">
        <f>IFERROR('Paid Loss'!Y23/'Incurred Loss'!Y23,"")</f>
        <v/>
      </c>
    </row>
    <row r="52">
      <c r="A52" s="15" t="inlineStr">
        <is>
          <t>2023</t>
        </is>
      </c>
      <c r="B52" s="27">
        <f>IFERROR('Paid Loss'!B24/'Incurred Loss'!B24,"")</f>
        <v/>
      </c>
      <c r="C52" s="27">
        <f>IFERROR('Paid Loss'!C24/'Incurred Loss'!C24,"")</f>
        <v/>
      </c>
      <c r="D52" s="27">
        <f>IFERROR('Paid Loss'!D24/'Incurred Loss'!D24,"")</f>
        <v/>
      </c>
      <c r="E52" s="27">
        <f>IFERROR('Paid Loss'!E24/'Incurred Loss'!E24,"")</f>
        <v/>
      </c>
      <c r="F52" s="27">
        <f>IFERROR('Paid Loss'!F24/'Incurred Loss'!F24,"")</f>
        <v/>
      </c>
      <c r="G52" s="27">
        <f>IFERROR('Paid Loss'!G24/'Incurred Loss'!G24,"")</f>
        <v/>
      </c>
      <c r="H52" s="27">
        <f>IFERROR('Paid Loss'!H24/'Incurred Loss'!H24,"")</f>
        <v/>
      </c>
      <c r="I52" s="27">
        <f>IFERROR('Paid Loss'!I24/'Incurred Loss'!I24,"")</f>
        <v/>
      </c>
      <c r="J52" s="27">
        <f>IFERROR('Paid Loss'!J24/'Incurred Loss'!J24,"")</f>
        <v/>
      </c>
      <c r="K52" s="27">
        <f>IFERROR('Paid Loss'!K24/'Incurred Loss'!K24,"")</f>
        <v/>
      </c>
      <c r="L52" s="27">
        <f>IFERROR('Paid Loss'!L24/'Incurred Loss'!L24,"")</f>
        <v/>
      </c>
      <c r="M52" s="27">
        <f>IFERROR('Paid Loss'!M24/'Incurred Loss'!M24,"")</f>
        <v/>
      </c>
      <c r="N52" s="27">
        <f>IFERROR('Paid Loss'!N24/'Incurred Loss'!N24,"")</f>
        <v/>
      </c>
      <c r="O52" s="27">
        <f>IFERROR('Paid Loss'!O24/'Incurred Loss'!O24,"")</f>
        <v/>
      </c>
      <c r="P52" s="27">
        <f>IFERROR('Paid Loss'!P24/'Incurred Loss'!P24,"")</f>
        <v/>
      </c>
      <c r="Q52" s="27">
        <f>IFERROR('Paid Loss'!Q24/'Incurred Loss'!Q24,"")</f>
        <v/>
      </c>
      <c r="R52" s="27">
        <f>IFERROR('Paid Loss'!R24/'Incurred Loss'!R24,"")</f>
        <v/>
      </c>
      <c r="S52" s="27">
        <f>IFERROR('Paid Loss'!S24/'Incurred Loss'!S24,"")</f>
        <v/>
      </c>
      <c r="T52" s="27">
        <f>IFERROR('Paid Loss'!T24/'Incurred Loss'!T24,"")</f>
        <v/>
      </c>
      <c r="U52" s="27">
        <f>IFERROR('Paid Loss'!U24/'Incurred Loss'!U24,"")</f>
        <v/>
      </c>
      <c r="V52" s="27">
        <f>IFERROR('Paid Loss'!V24/'Incurred Loss'!V24,"")</f>
        <v/>
      </c>
      <c r="W52" s="27">
        <f>IFERROR('Paid Loss'!W24/'Incurred Loss'!W24,"")</f>
        <v/>
      </c>
      <c r="X52" s="27">
        <f>IFERROR('Paid Loss'!X24/'Incurred Loss'!X24,"")</f>
        <v/>
      </c>
      <c r="Y52" s="27">
        <f>IFERROR('Paid Loss'!Y24/'Incurred Loss'!Y24,"")</f>
        <v/>
      </c>
    </row>
    <row r="53">
      <c r="A53" s="15" t="inlineStr">
        <is>
          <t>2024</t>
        </is>
      </c>
      <c r="B53" s="27">
        <f>IFERROR('Paid Loss'!B25/'Incurred Loss'!B25,"")</f>
        <v/>
      </c>
      <c r="C53" s="27">
        <f>IFERROR('Paid Loss'!C25/'Incurred Loss'!C25,"")</f>
        <v/>
      </c>
      <c r="D53" s="27">
        <f>IFERROR('Paid Loss'!D25/'Incurred Loss'!D25,"")</f>
        <v/>
      </c>
      <c r="E53" s="27">
        <f>IFERROR('Paid Loss'!E25/'Incurred Loss'!E25,"")</f>
        <v/>
      </c>
      <c r="F53" s="27">
        <f>IFERROR('Paid Loss'!F25/'Incurred Loss'!F25,"")</f>
        <v/>
      </c>
      <c r="G53" s="27">
        <f>IFERROR('Paid Loss'!G25/'Incurred Loss'!G25,"")</f>
        <v/>
      </c>
      <c r="H53" s="27">
        <f>IFERROR('Paid Loss'!H25/'Incurred Loss'!H25,"")</f>
        <v/>
      </c>
      <c r="I53" s="27">
        <f>IFERROR('Paid Loss'!I25/'Incurred Loss'!I25,"")</f>
        <v/>
      </c>
      <c r="J53" s="27">
        <f>IFERROR('Paid Loss'!J25/'Incurred Loss'!J25,"")</f>
        <v/>
      </c>
      <c r="K53" s="27">
        <f>IFERROR('Paid Loss'!K25/'Incurred Loss'!K25,"")</f>
        <v/>
      </c>
      <c r="L53" s="27">
        <f>IFERROR('Paid Loss'!L25/'Incurred Loss'!L25,"")</f>
        <v/>
      </c>
      <c r="M53" s="27">
        <f>IFERROR('Paid Loss'!M25/'Incurred Loss'!M25,"")</f>
        <v/>
      </c>
      <c r="N53" s="27">
        <f>IFERROR('Paid Loss'!N25/'Incurred Loss'!N25,"")</f>
        <v/>
      </c>
      <c r="O53" s="27">
        <f>IFERROR('Paid Loss'!O25/'Incurred Loss'!O25,"")</f>
        <v/>
      </c>
      <c r="P53" s="27">
        <f>IFERROR('Paid Loss'!P25/'Incurred Loss'!P25,"")</f>
        <v/>
      </c>
      <c r="Q53" s="27">
        <f>IFERROR('Paid Loss'!Q25/'Incurred Loss'!Q25,"")</f>
        <v/>
      </c>
      <c r="R53" s="27">
        <f>IFERROR('Paid Loss'!R25/'Incurred Loss'!R25,"")</f>
        <v/>
      </c>
      <c r="S53" s="27">
        <f>IFERROR('Paid Loss'!S25/'Incurred Loss'!S25,"")</f>
        <v/>
      </c>
      <c r="T53" s="27">
        <f>IFERROR('Paid Loss'!T25/'Incurred Loss'!T25,"")</f>
        <v/>
      </c>
      <c r="U53" s="27">
        <f>IFERROR('Paid Loss'!U25/'Incurred Loss'!U25,"")</f>
        <v/>
      </c>
      <c r="V53" s="27">
        <f>IFERROR('Paid Loss'!V25/'Incurred Loss'!V25,"")</f>
        <v/>
      </c>
      <c r="W53" s="27">
        <f>IFERROR('Paid Loss'!W25/'Incurred Loss'!W25,"")</f>
        <v/>
      </c>
      <c r="X53" s="27">
        <f>IFERROR('Paid Loss'!X25/'Incurred Loss'!X25,"")</f>
        <v/>
      </c>
      <c r="Y53" s="27">
        <f>IFERROR('Paid Loss'!Y25/'Incurred Loss'!Y25,"")</f>
        <v/>
      </c>
    </row>
    <row r="54"/>
    <row r="55">
      <c r="A55" s="25" t="inlineStr">
        <is>
          <t>INCREMENTAL INCURRED SEVERITY</t>
        </is>
      </c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" t="n"/>
    </row>
    <row r="56">
      <c r="A56" s="8" t="inlineStr">
        <is>
          <t>Period</t>
        </is>
      </c>
      <c r="B56" s="8" t="inlineStr">
        <is>
          <t>11</t>
        </is>
      </c>
      <c r="C56" s="8" t="inlineStr">
        <is>
          <t>23</t>
        </is>
      </c>
      <c r="D56" s="8" t="inlineStr">
        <is>
          <t>35</t>
        </is>
      </c>
      <c r="E56" s="8" t="inlineStr">
        <is>
          <t>47</t>
        </is>
      </c>
      <c r="F56" s="8" t="inlineStr">
        <is>
          <t>59</t>
        </is>
      </c>
      <c r="G56" s="8" t="inlineStr">
        <is>
          <t>71</t>
        </is>
      </c>
      <c r="H56" s="8" t="inlineStr">
        <is>
          <t>83</t>
        </is>
      </c>
      <c r="I56" s="8" t="inlineStr">
        <is>
          <t>95</t>
        </is>
      </c>
      <c r="J56" s="8" t="inlineStr">
        <is>
          <t>107</t>
        </is>
      </c>
      <c r="K56" s="8" t="inlineStr">
        <is>
          <t>119</t>
        </is>
      </c>
      <c r="L56" s="8" t="inlineStr">
        <is>
          <t>131</t>
        </is>
      </c>
      <c r="M56" s="8" t="inlineStr">
        <is>
          <t>143</t>
        </is>
      </c>
      <c r="N56" s="8" t="inlineStr">
        <is>
          <t>155</t>
        </is>
      </c>
      <c r="O56" s="8" t="inlineStr">
        <is>
          <t>167</t>
        </is>
      </c>
      <c r="P56" s="8" t="inlineStr">
        <is>
          <t>179</t>
        </is>
      </c>
      <c r="Q56" s="8" t="inlineStr">
        <is>
          <t>191</t>
        </is>
      </c>
      <c r="R56" s="8" t="inlineStr">
        <is>
          <t>203</t>
        </is>
      </c>
      <c r="S56" s="8" t="inlineStr">
        <is>
          <t>215</t>
        </is>
      </c>
      <c r="T56" s="8" t="inlineStr">
        <is>
          <t>227</t>
        </is>
      </c>
      <c r="U56" s="8" t="inlineStr">
        <is>
          <t>239</t>
        </is>
      </c>
      <c r="V56" s="8" t="inlineStr">
        <is>
          <t>251</t>
        </is>
      </c>
      <c r="W56" s="8" t="inlineStr">
        <is>
          <t>263</t>
        </is>
      </c>
      <c r="X56" s="8" t="inlineStr">
        <is>
          <t>275</t>
        </is>
      </c>
      <c r="Y56" s="8" t="inlineStr">
        <is>
          <t>287</t>
        </is>
      </c>
    </row>
    <row r="57">
      <c r="A57" s="15" t="inlineStr">
        <is>
          <t>2001</t>
        </is>
      </c>
      <c r="B57" s="16">
        <f>IFERROR('Incurred Loss'!B2/'Reported Count'!B2,"")</f>
        <v/>
      </c>
      <c r="C57" s="16">
        <f>IFERROR(('Incurred Loss'!C2-'Incurred Loss'!B2)/('Reported Count'!C2-'Reported Count'!B2),"")</f>
        <v/>
      </c>
      <c r="D57" s="16">
        <f>IFERROR(('Incurred Loss'!D2-'Incurred Loss'!C2)/('Reported Count'!D2-'Reported Count'!C2),"")</f>
        <v/>
      </c>
      <c r="E57" s="16">
        <f>IFERROR(('Incurred Loss'!E2-'Incurred Loss'!D2)/('Reported Count'!E2-'Reported Count'!D2),"")</f>
        <v/>
      </c>
      <c r="F57" s="16">
        <f>IFERROR(('Incurred Loss'!F2-'Incurred Loss'!E2)/('Reported Count'!F2-'Reported Count'!E2),"")</f>
        <v/>
      </c>
      <c r="G57" s="16">
        <f>IFERROR(('Incurred Loss'!G2-'Incurred Loss'!F2)/('Reported Count'!G2-'Reported Count'!F2),"")</f>
        <v/>
      </c>
      <c r="H57" s="16">
        <f>IFERROR(('Incurred Loss'!H2-'Incurred Loss'!G2)/('Reported Count'!H2-'Reported Count'!G2),"")</f>
        <v/>
      </c>
      <c r="I57" s="16">
        <f>IFERROR(('Incurred Loss'!I2-'Incurred Loss'!H2)/('Reported Count'!I2-'Reported Count'!H2),"")</f>
        <v/>
      </c>
      <c r="J57" s="16">
        <f>IFERROR(('Incurred Loss'!J2-'Incurred Loss'!I2)/('Reported Count'!J2-'Reported Count'!I2),"")</f>
        <v/>
      </c>
      <c r="K57" s="16">
        <f>IFERROR(('Incurred Loss'!K2-'Incurred Loss'!J2)/('Reported Count'!K2-'Reported Count'!J2),"")</f>
        <v/>
      </c>
      <c r="L57" s="16">
        <f>IFERROR(('Incurred Loss'!L2-'Incurred Loss'!K2)/('Reported Count'!L2-'Reported Count'!K2),"")</f>
        <v/>
      </c>
      <c r="M57" s="16">
        <f>IFERROR(('Incurred Loss'!M2-'Incurred Loss'!L2)/('Reported Count'!M2-'Reported Count'!L2),"")</f>
        <v/>
      </c>
      <c r="N57" s="16">
        <f>IFERROR(('Incurred Loss'!N2-'Incurred Loss'!M2)/('Reported Count'!N2-'Reported Count'!M2),"")</f>
        <v/>
      </c>
      <c r="O57" s="16">
        <f>IFERROR(('Incurred Loss'!O2-'Incurred Loss'!N2)/('Reported Count'!O2-'Reported Count'!N2),"")</f>
        <v/>
      </c>
      <c r="P57" s="16">
        <f>IFERROR(('Incurred Loss'!P2-'Incurred Loss'!O2)/('Reported Count'!P2-'Reported Count'!O2),"")</f>
        <v/>
      </c>
      <c r="Q57" s="16">
        <f>IFERROR(('Incurred Loss'!Q2-'Incurred Loss'!P2)/('Reported Count'!Q2-'Reported Count'!P2),"")</f>
        <v/>
      </c>
      <c r="R57" s="16">
        <f>IFERROR(('Incurred Loss'!R2-'Incurred Loss'!Q2)/('Reported Count'!R2-'Reported Count'!Q2),"")</f>
        <v/>
      </c>
      <c r="S57" s="16">
        <f>IFERROR(('Incurred Loss'!S2-'Incurred Loss'!R2)/('Reported Count'!S2-'Reported Count'!R2),"")</f>
        <v/>
      </c>
      <c r="T57" s="16">
        <f>IFERROR(('Incurred Loss'!T2-'Incurred Loss'!S2)/('Reported Count'!T2-'Reported Count'!S2),"")</f>
        <v/>
      </c>
      <c r="U57" s="16">
        <f>IFERROR(('Incurred Loss'!U2-'Incurred Loss'!T2)/('Reported Count'!U2-'Reported Count'!T2),"")</f>
        <v/>
      </c>
      <c r="V57" s="16">
        <f>IFERROR(('Incurred Loss'!V2-'Incurred Loss'!U2)/('Reported Count'!V2-'Reported Count'!U2),"")</f>
        <v/>
      </c>
      <c r="W57" s="16">
        <f>IFERROR(('Incurred Loss'!W2-'Incurred Loss'!V2)/('Reported Count'!W2-'Reported Count'!V2),"")</f>
        <v/>
      </c>
      <c r="X57" s="16">
        <f>IFERROR(('Incurred Loss'!X2-'Incurred Loss'!W2)/('Reported Count'!X2-'Reported Count'!W2),"")</f>
        <v/>
      </c>
      <c r="Y57" s="16">
        <f>IFERROR(('Incurred Loss'!Y2-'Incurred Loss'!X2)/('Reported Count'!Y2-'Reported Count'!X2),"")</f>
        <v/>
      </c>
    </row>
    <row r="58">
      <c r="A58" s="15" t="inlineStr">
        <is>
          <t>2002</t>
        </is>
      </c>
      <c r="B58" s="16">
        <f>IFERROR('Incurred Loss'!B3/'Reported Count'!B3,"")</f>
        <v/>
      </c>
      <c r="C58" s="16">
        <f>IFERROR(('Incurred Loss'!C3-'Incurred Loss'!B3)/('Reported Count'!C3-'Reported Count'!B3),"")</f>
        <v/>
      </c>
      <c r="D58" s="16">
        <f>IFERROR(('Incurred Loss'!D3-'Incurred Loss'!C3)/('Reported Count'!D3-'Reported Count'!C3),"")</f>
        <v/>
      </c>
      <c r="E58" s="16">
        <f>IFERROR(('Incurred Loss'!E3-'Incurred Loss'!D3)/('Reported Count'!E3-'Reported Count'!D3),"")</f>
        <v/>
      </c>
      <c r="F58" s="16">
        <f>IFERROR(('Incurred Loss'!F3-'Incurred Loss'!E3)/('Reported Count'!F3-'Reported Count'!E3),"")</f>
        <v/>
      </c>
      <c r="G58" s="16">
        <f>IFERROR(('Incurred Loss'!G3-'Incurred Loss'!F3)/('Reported Count'!G3-'Reported Count'!F3),"")</f>
        <v/>
      </c>
      <c r="H58" s="16">
        <f>IFERROR(('Incurred Loss'!H3-'Incurred Loss'!G3)/('Reported Count'!H3-'Reported Count'!G3),"")</f>
        <v/>
      </c>
      <c r="I58" s="16">
        <f>IFERROR(('Incurred Loss'!I3-'Incurred Loss'!H3)/('Reported Count'!I3-'Reported Count'!H3),"")</f>
        <v/>
      </c>
      <c r="J58" s="16">
        <f>IFERROR(('Incurred Loss'!J3-'Incurred Loss'!I3)/('Reported Count'!J3-'Reported Count'!I3),"")</f>
        <v/>
      </c>
      <c r="K58" s="16">
        <f>IFERROR(('Incurred Loss'!K3-'Incurred Loss'!J3)/('Reported Count'!K3-'Reported Count'!J3),"")</f>
        <v/>
      </c>
      <c r="L58" s="16">
        <f>IFERROR(('Incurred Loss'!L3-'Incurred Loss'!K3)/('Reported Count'!L3-'Reported Count'!K3),"")</f>
        <v/>
      </c>
      <c r="M58" s="16">
        <f>IFERROR(('Incurred Loss'!M3-'Incurred Loss'!L3)/('Reported Count'!M3-'Reported Count'!L3),"")</f>
        <v/>
      </c>
      <c r="N58" s="16">
        <f>IFERROR(('Incurred Loss'!N3-'Incurred Loss'!M3)/('Reported Count'!N3-'Reported Count'!M3),"")</f>
        <v/>
      </c>
      <c r="O58" s="16">
        <f>IFERROR(('Incurred Loss'!O3-'Incurred Loss'!N3)/('Reported Count'!O3-'Reported Count'!N3),"")</f>
        <v/>
      </c>
      <c r="P58" s="16">
        <f>IFERROR(('Incurred Loss'!P3-'Incurred Loss'!O3)/('Reported Count'!P3-'Reported Count'!O3),"")</f>
        <v/>
      </c>
      <c r="Q58" s="16">
        <f>IFERROR(('Incurred Loss'!Q3-'Incurred Loss'!P3)/('Reported Count'!Q3-'Reported Count'!P3),"")</f>
        <v/>
      </c>
      <c r="R58" s="16">
        <f>IFERROR(('Incurred Loss'!R3-'Incurred Loss'!Q3)/('Reported Count'!R3-'Reported Count'!Q3),"")</f>
        <v/>
      </c>
      <c r="S58" s="16">
        <f>IFERROR(('Incurred Loss'!S3-'Incurred Loss'!R3)/('Reported Count'!S3-'Reported Count'!R3),"")</f>
        <v/>
      </c>
      <c r="T58" s="16">
        <f>IFERROR(('Incurred Loss'!T3-'Incurred Loss'!S3)/('Reported Count'!T3-'Reported Count'!S3),"")</f>
        <v/>
      </c>
      <c r="U58" s="16">
        <f>IFERROR(('Incurred Loss'!U3-'Incurred Loss'!T3)/('Reported Count'!U3-'Reported Count'!T3),"")</f>
        <v/>
      </c>
      <c r="V58" s="16">
        <f>IFERROR(('Incurred Loss'!V3-'Incurred Loss'!U3)/('Reported Count'!V3-'Reported Count'!U3),"")</f>
        <v/>
      </c>
      <c r="W58" s="16">
        <f>IFERROR(('Incurred Loss'!W3-'Incurred Loss'!V3)/('Reported Count'!W3-'Reported Count'!V3),"")</f>
        <v/>
      </c>
      <c r="X58" s="16">
        <f>IFERROR(('Incurred Loss'!X3-'Incurred Loss'!W3)/('Reported Count'!X3-'Reported Count'!W3),"")</f>
        <v/>
      </c>
      <c r="Y58" s="16">
        <f>IFERROR(('Incurred Loss'!Y3-'Incurred Loss'!X3)/('Reported Count'!Y3-'Reported Count'!X3),"")</f>
        <v/>
      </c>
    </row>
    <row r="59">
      <c r="A59" s="15" t="inlineStr">
        <is>
          <t>2003</t>
        </is>
      </c>
      <c r="B59" s="16">
        <f>IFERROR('Incurred Loss'!B4/'Reported Count'!B4,"")</f>
        <v/>
      </c>
      <c r="C59" s="16">
        <f>IFERROR(('Incurred Loss'!C4-'Incurred Loss'!B4)/('Reported Count'!C4-'Reported Count'!B4),"")</f>
        <v/>
      </c>
      <c r="D59" s="16">
        <f>IFERROR(('Incurred Loss'!D4-'Incurred Loss'!C4)/('Reported Count'!D4-'Reported Count'!C4),"")</f>
        <v/>
      </c>
      <c r="E59" s="16">
        <f>IFERROR(('Incurred Loss'!E4-'Incurred Loss'!D4)/('Reported Count'!E4-'Reported Count'!D4),"")</f>
        <v/>
      </c>
      <c r="F59" s="16">
        <f>IFERROR(('Incurred Loss'!F4-'Incurred Loss'!E4)/('Reported Count'!F4-'Reported Count'!E4),"")</f>
        <v/>
      </c>
      <c r="G59" s="16">
        <f>IFERROR(('Incurred Loss'!G4-'Incurred Loss'!F4)/('Reported Count'!G4-'Reported Count'!F4),"")</f>
        <v/>
      </c>
      <c r="H59" s="16">
        <f>IFERROR(('Incurred Loss'!H4-'Incurred Loss'!G4)/('Reported Count'!H4-'Reported Count'!G4),"")</f>
        <v/>
      </c>
      <c r="I59" s="16">
        <f>IFERROR(('Incurred Loss'!I4-'Incurred Loss'!H4)/('Reported Count'!I4-'Reported Count'!H4),"")</f>
        <v/>
      </c>
      <c r="J59" s="16">
        <f>IFERROR(('Incurred Loss'!J4-'Incurred Loss'!I4)/('Reported Count'!J4-'Reported Count'!I4),"")</f>
        <v/>
      </c>
      <c r="K59" s="16">
        <f>IFERROR(('Incurred Loss'!K4-'Incurred Loss'!J4)/('Reported Count'!K4-'Reported Count'!J4),"")</f>
        <v/>
      </c>
      <c r="L59" s="16">
        <f>IFERROR(('Incurred Loss'!L4-'Incurred Loss'!K4)/('Reported Count'!L4-'Reported Count'!K4),"")</f>
        <v/>
      </c>
      <c r="M59" s="16">
        <f>IFERROR(('Incurred Loss'!M4-'Incurred Loss'!L4)/('Reported Count'!M4-'Reported Count'!L4),"")</f>
        <v/>
      </c>
      <c r="N59" s="16">
        <f>IFERROR(('Incurred Loss'!N4-'Incurred Loss'!M4)/('Reported Count'!N4-'Reported Count'!M4),"")</f>
        <v/>
      </c>
      <c r="O59" s="16">
        <f>IFERROR(('Incurred Loss'!O4-'Incurred Loss'!N4)/('Reported Count'!O4-'Reported Count'!N4),"")</f>
        <v/>
      </c>
      <c r="P59" s="16">
        <f>IFERROR(('Incurred Loss'!P4-'Incurred Loss'!O4)/('Reported Count'!P4-'Reported Count'!O4),"")</f>
        <v/>
      </c>
      <c r="Q59" s="16">
        <f>IFERROR(('Incurred Loss'!Q4-'Incurred Loss'!P4)/('Reported Count'!Q4-'Reported Count'!P4),"")</f>
        <v/>
      </c>
      <c r="R59" s="16">
        <f>IFERROR(('Incurred Loss'!R4-'Incurred Loss'!Q4)/('Reported Count'!R4-'Reported Count'!Q4),"")</f>
        <v/>
      </c>
      <c r="S59" s="16">
        <f>IFERROR(('Incurred Loss'!S4-'Incurred Loss'!R4)/('Reported Count'!S4-'Reported Count'!R4),"")</f>
        <v/>
      </c>
      <c r="T59" s="16">
        <f>IFERROR(('Incurred Loss'!T4-'Incurred Loss'!S4)/('Reported Count'!T4-'Reported Count'!S4),"")</f>
        <v/>
      </c>
      <c r="U59" s="16">
        <f>IFERROR(('Incurred Loss'!U4-'Incurred Loss'!T4)/('Reported Count'!U4-'Reported Count'!T4),"")</f>
        <v/>
      </c>
      <c r="V59" s="16">
        <f>IFERROR(('Incurred Loss'!V4-'Incurred Loss'!U4)/('Reported Count'!V4-'Reported Count'!U4),"")</f>
        <v/>
      </c>
      <c r="W59" s="16">
        <f>IFERROR(('Incurred Loss'!W4-'Incurred Loss'!V4)/('Reported Count'!W4-'Reported Count'!V4),"")</f>
        <v/>
      </c>
      <c r="X59" s="16">
        <f>IFERROR(('Incurred Loss'!X4-'Incurred Loss'!W4)/('Reported Count'!X4-'Reported Count'!W4),"")</f>
        <v/>
      </c>
      <c r="Y59" s="16">
        <f>IFERROR(('Incurred Loss'!Y4-'Incurred Loss'!X4)/('Reported Count'!Y4-'Reported Count'!X4),"")</f>
        <v/>
      </c>
    </row>
    <row r="60">
      <c r="A60" s="15" t="inlineStr">
        <is>
          <t>2004</t>
        </is>
      </c>
      <c r="B60" s="16">
        <f>IFERROR('Incurred Loss'!B5/'Reported Count'!B5,"")</f>
        <v/>
      </c>
      <c r="C60" s="16">
        <f>IFERROR(('Incurred Loss'!C5-'Incurred Loss'!B5)/('Reported Count'!C5-'Reported Count'!B5),"")</f>
        <v/>
      </c>
      <c r="D60" s="16">
        <f>IFERROR(('Incurred Loss'!D5-'Incurred Loss'!C5)/('Reported Count'!D5-'Reported Count'!C5),"")</f>
        <v/>
      </c>
      <c r="E60" s="16">
        <f>IFERROR(('Incurred Loss'!E5-'Incurred Loss'!D5)/('Reported Count'!E5-'Reported Count'!D5),"")</f>
        <v/>
      </c>
      <c r="F60" s="16">
        <f>IFERROR(('Incurred Loss'!F5-'Incurred Loss'!E5)/('Reported Count'!F5-'Reported Count'!E5),"")</f>
        <v/>
      </c>
      <c r="G60" s="16">
        <f>IFERROR(('Incurred Loss'!G5-'Incurred Loss'!F5)/('Reported Count'!G5-'Reported Count'!F5),"")</f>
        <v/>
      </c>
      <c r="H60" s="16">
        <f>IFERROR(('Incurred Loss'!H5-'Incurred Loss'!G5)/('Reported Count'!H5-'Reported Count'!G5),"")</f>
        <v/>
      </c>
      <c r="I60" s="16">
        <f>IFERROR(('Incurred Loss'!I5-'Incurred Loss'!H5)/('Reported Count'!I5-'Reported Count'!H5),"")</f>
        <v/>
      </c>
      <c r="J60" s="16">
        <f>IFERROR(('Incurred Loss'!J5-'Incurred Loss'!I5)/('Reported Count'!J5-'Reported Count'!I5),"")</f>
        <v/>
      </c>
      <c r="K60" s="16">
        <f>IFERROR(('Incurred Loss'!K5-'Incurred Loss'!J5)/('Reported Count'!K5-'Reported Count'!J5),"")</f>
        <v/>
      </c>
      <c r="L60" s="16">
        <f>IFERROR(('Incurred Loss'!L5-'Incurred Loss'!K5)/('Reported Count'!L5-'Reported Count'!K5),"")</f>
        <v/>
      </c>
      <c r="M60" s="16">
        <f>IFERROR(('Incurred Loss'!M5-'Incurred Loss'!L5)/('Reported Count'!M5-'Reported Count'!L5),"")</f>
        <v/>
      </c>
      <c r="N60" s="16">
        <f>IFERROR(('Incurred Loss'!N5-'Incurred Loss'!M5)/('Reported Count'!N5-'Reported Count'!M5),"")</f>
        <v/>
      </c>
      <c r="O60" s="16">
        <f>IFERROR(('Incurred Loss'!O5-'Incurred Loss'!N5)/('Reported Count'!O5-'Reported Count'!N5),"")</f>
        <v/>
      </c>
      <c r="P60" s="16">
        <f>IFERROR(('Incurred Loss'!P5-'Incurred Loss'!O5)/('Reported Count'!P5-'Reported Count'!O5),"")</f>
        <v/>
      </c>
      <c r="Q60" s="16">
        <f>IFERROR(('Incurred Loss'!Q5-'Incurred Loss'!P5)/('Reported Count'!Q5-'Reported Count'!P5),"")</f>
        <v/>
      </c>
      <c r="R60" s="16">
        <f>IFERROR(('Incurred Loss'!R5-'Incurred Loss'!Q5)/('Reported Count'!R5-'Reported Count'!Q5),"")</f>
        <v/>
      </c>
      <c r="S60" s="16">
        <f>IFERROR(('Incurred Loss'!S5-'Incurred Loss'!R5)/('Reported Count'!S5-'Reported Count'!R5),"")</f>
        <v/>
      </c>
      <c r="T60" s="16">
        <f>IFERROR(('Incurred Loss'!T5-'Incurred Loss'!S5)/('Reported Count'!T5-'Reported Count'!S5),"")</f>
        <v/>
      </c>
      <c r="U60" s="16">
        <f>IFERROR(('Incurred Loss'!U5-'Incurred Loss'!T5)/('Reported Count'!U5-'Reported Count'!T5),"")</f>
        <v/>
      </c>
      <c r="V60" s="16">
        <f>IFERROR(('Incurred Loss'!V5-'Incurred Loss'!U5)/('Reported Count'!V5-'Reported Count'!U5),"")</f>
        <v/>
      </c>
      <c r="W60" s="16">
        <f>IFERROR(('Incurred Loss'!W5-'Incurred Loss'!V5)/('Reported Count'!W5-'Reported Count'!V5),"")</f>
        <v/>
      </c>
      <c r="X60" s="16">
        <f>IFERROR(('Incurred Loss'!X5-'Incurred Loss'!W5)/('Reported Count'!X5-'Reported Count'!W5),"")</f>
        <v/>
      </c>
      <c r="Y60" s="16">
        <f>IFERROR(('Incurred Loss'!Y5-'Incurred Loss'!X5)/('Reported Count'!Y5-'Reported Count'!X5),"")</f>
        <v/>
      </c>
    </row>
    <row r="61">
      <c r="A61" s="15" t="inlineStr">
        <is>
          <t>2005</t>
        </is>
      </c>
      <c r="B61" s="16">
        <f>IFERROR('Incurred Loss'!B6/'Reported Count'!B6,"")</f>
        <v/>
      </c>
      <c r="C61" s="16">
        <f>IFERROR(('Incurred Loss'!C6-'Incurred Loss'!B6)/('Reported Count'!C6-'Reported Count'!B6),"")</f>
        <v/>
      </c>
      <c r="D61" s="16">
        <f>IFERROR(('Incurred Loss'!D6-'Incurred Loss'!C6)/('Reported Count'!D6-'Reported Count'!C6),"")</f>
        <v/>
      </c>
      <c r="E61" s="16">
        <f>IFERROR(('Incurred Loss'!E6-'Incurred Loss'!D6)/('Reported Count'!E6-'Reported Count'!D6),"")</f>
        <v/>
      </c>
      <c r="F61" s="16">
        <f>IFERROR(('Incurred Loss'!F6-'Incurred Loss'!E6)/('Reported Count'!F6-'Reported Count'!E6),"")</f>
        <v/>
      </c>
      <c r="G61" s="16">
        <f>IFERROR(('Incurred Loss'!G6-'Incurred Loss'!F6)/('Reported Count'!G6-'Reported Count'!F6),"")</f>
        <v/>
      </c>
      <c r="H61" s="16">
        <f>IFERROR(('Incurred Loss'!H6-'Incurred Loss'!G6)/('Reported Count'!H6-'Reported Count'!G6),"")</f>
        <v/>
      </c>
      <c r="I61" s="16">
        <f>IFERROR(('Incurred Loss'!I6-'Incurred Loss'!H6)/('Reported Count'!I6-'Reported Count'!H6),"")</f>
        <v/>
      </c>
      <c r="J61" s="16">
        <f>IFERROR(('Incurred Loss'!J6-'Incurred Loss'!I6)/('Reported Count'!J6-'Reported Count'!I6),"")</f>
        <v/>
      </c>
      <c r="K61" s="16">
        <f>IFERROR(('Incurred Loss'!K6-'Incurred Loss'!J6)/('Reported Count'!K6-'Reported Count'!J6),"")</f>
        <v/>
      </c>
      <c r="L61" s="16">
        <f>IFERROR(('Incurred Loss'!L6-'Incurred Loss'!K6)/('Reported Count'!L6-'Reported Count'!K6),"")</f>
        <v/>
      </c>
      <c r="M61" s="16">
        <f>IFERROR(('Incurred Loss'!M6-'Incurred Loss'!L6)/('Reported Count'!M6-'Reported Count'!L6),"")</f>
        <v/>
      </c>
      <c r="N61" s="16">
        <f>IFERROR(('Incurred Loss'!N6-'Incurred Loss'!M6)/('Reported Count'!N6-'Reported Count'!M6),"")</f>
        <v/>
      </c>
      <c r="O61" s="16">
        <f>IFERROR(('Incurred Loss'!O6-'Incurred Loss'!N6)/('Reported Count'!O6-'Reported Count'!N6),"")</f>
        <v/>
      </c>
      <c r="P61" s="16">
        <f>IFERROR(('Incurred Loss'!P6-'Incurred Loss'!O6)/('Reported Count'!P6-'Reported Count'!O6),"")</f>
        <v/>
      </c>
      <c r="Q61" s="16">
        <f>IFERROR(('Incurred Loss'!Q6-'Incurred Loss'!P6)/('Reported Count'!Q6-'Reported Count'!P6),"")</f>
        <v/>
      </c>
      <c r="R61" s="16">
        <f>IFERROR(('Incurred Loss'!R6-'Incurred Loss'!Q6)/('Reported Count'!R6-'Reported Count'!Q6),"")</f>
        <v/>
      </c>
      <c r="S61" s="16">
        <f>IFERROR(('Incurred Loss'!S6-'Incurred Loss'!R6)/('Reported Count'!S6-'Reported Count'!R6),"")</f>
        <v/>
      </c>
      <c r="T61" s="16">
        <f>IFERROR(('Incurred Loss'!T6-'Incurred Loss'!S6)/('Reported Count'!T6-'Reported Count'!S6),"")</f>
        <v/>
      </c>
      <c r="U61" s="16">
        <f>IFERROR(('Incurred Loss'!U6-'Incurred Loss'!T6)/('Reported Count'!U6-'Reported Count'!T6),"")</f>
        <v/>
      </c>
      <c r="V61" s="16">
        <f>IFERROR(('Incurred Loss'!V6-'Incurred Loss'!U6)/('Reported Count'!V6-'Reported Count'!U6),"")</f>
        <v/>
      </c>
      <c r="W61" s="16">
        <f>IFERROR(('Incurred Loss'!W6-'Incurred Loss'!V6)/('Reported Count'!W6-'Reported Count'!V6),"")</f>
        <v/>
      </c>
      <c r="X61" s="16">
        <f>IFERROR(('Incurred Loss'!X6-'Incurred Loss'!W6)/('Reported Count'!X6-'Reported Count'!W6),"")</f>
        <v/>
      </c>
      <c r="Y61" s="16">
        <f>IFERROR(('Incurred Loss'!Y6-'Incurred Loss'!X6)/('Reported Count'!Y6-'Reported Count'!X6),"")</f>
        <v/>
      </c>
    </row>
    <row r="62">
      <c r="A62" s="15" t="inlineStr">
        <is>
          <t>2006</t>
        </is>
      </c>
      <c r="B62" s="16">
        <f>IFERROR('Incurred Loss'!B7/'Reported Count'!B7,"")</f>
        <v/>
      </c>
      <c r="C62" s="16">
        <f>IFERROR(('Incurred Loss'!C7-'Incurred Loss'!B7)/('Reported Count'!C7-'Reported Count'!B7),"")</f>
        <v/>
      </c>
      <c r="D62" s="16">
        <f>IFERROR(('Incurred Loss'!D7-'Incurred Loss'!C7)/('Reported Count'!D7-'Reported Count'!C7),"")</f>
        <v/>
      </c>
      <c r="E62" s="16">
        <f>IFERROR(('Incurred Loss'!E7-'Incurred Loss'!D7)/('Reported Count'!E7-'Reported Count'!D7),"")</f>
        <v/>
      </c>
      <c r="F62" s="16">
        <f>IFERROR(('Incurred Loss'!F7-'Incurred Loss'!E7)/('Reported Count'!F7-'Reported Count'!E7),"")</f>
        <v/>
      </c>
      <c r="G62" s="16">
        <f>IFERROR(('Incurred Loss'!G7-'Incurred Loss'!F7)/('Reported Count'!G7-'Reported Count'!F7),"")</f>
        <v/>
      </c>
      <c r="H62" s="16">
        <f>IFERROR(('Incurred Loss'!H7-'Incurred Loss'!G7)/('Reported Count'!H7-'Reported Count'!G7),"")</f>
        <v/>
      </c>
      <c r="I62" s="16">
        <f>IFERROR(('Incurred Loss'!I7-'Incurred Loss'!H7)/('Reported Count'!I7-'Reported Count'!H7),"")</f>
        <v/>
      </c>
      <c r="J62" s="16">
        <f>IFERROR(('Incurred Loss'!J7-'Incurred Loss'!I7)/('Reported Count'!J7-'Reported Count'!I7),"")</f>
        <v/>
      </c>
      <c r="K62" s="16">
        <f>IFERROR(('Incurred Loss'!K7-'Incurred Loss'!J7)/('Reported Count'!K7-'Reported Count'!J7),"")</f>
        <v/>
      </c>
      <c r="L62" s="16">
        <f>IFERROR(('Incurred Loss'!L7-'Incurred Loss'!K7)/('Reported Count'!L7-'Reported Count'!K7),"")</f>
        <v/>
      </c>
      <c r="M62" s="16">
        <f>IFERROR(('Incurred Loss'!M7-'Incurred Loss'!L7)/('Reported Count'!M7-'Reported Count'!L7),"")</f>
        <v/>
      </c>
      <c r="N62" s="16">
        <f>IFERROR(('Incurred Loss'!N7-'Incurred Loss'!M7)/('Reported Count'!N7-'Reported Count'!M7),"")</f>
        <v/>
      </c>
      <c r="O62" s="16">
        <f>IFERROR(('Incurred Loss'!O7-'Incurred Loss'!N7)/('Reported Count'!O7-'Reported Count'!N7),"")</f>
        <v/>
      </c>
      <c r="P62" s="16">
        <f>IFERROR(('Incurred Loss'!P7-'Incurred Loss'!O7)/('Reported Count'!P7-'Reported Count'!O7),"")</f>
        <v/>
      </c>
      <c r="Q62" s="16">
        <f>IFERROR(('Incurred Loss'!Q7-'Incurred Loss'!P7)/('Reported Count'!Q7-'Reported Count'!P7),"")</f>
        <v/>
      </c>
      <c r="R62" s="16">
        <f>IFERROR(('Incurred Loss'!R7-'Incurred Loss'!Q7)/('Reported Count'!R7-'Reported Count'!Q7),"")</f>
        <v/>
      </c>
      <c r="S62" s="16">
        <f>IFERROR(('Incurred Loss'!S7-'Incurred Loss'!R7)/('Reported Count'!S7-'Reported Count'!R7),"")</f>
        <v/>
      </c>
      <c r="T62" s="16">
        <f>IFERROR(('Incurred Loss'!T7-'Incurred Loss'!S7)/('Reported Count'!T7-'Reported Count'!S7),"")</f>
        <v/>
      </c>
      <c r="U62" s="16">
        <f>IFERROR(('Incurred Loss'!U7-'Incurred Loss'!T7)/('Reported Count'!U7-'Reported Count'!T7),"")</f>
        <v/>
      </c>
      <c r="V62" s="16">
        <f>IFERROR(('Incurred Loss'!V7-'Incurred Loss'!U7)/('Reported Count'!V7-'Reported Count'!U7),"")</f>
        <v/>
      </c>
      <c r="W62" s="16">
        <f>IFERROR(('Incurred Loss'!W7-'Incurred Loss'!V7)/('Reported Count'!W7-'Reported Count'!V7),"")</f>
        <v/>
      </c>
      <c r="X62" s="16">
        <f>IFERROR(('Incurred Loss'!X7-'Incurred Loss'!W7)/('Reported Count'!X7-'Reported Count'!W7),"")</f>
        <v/>
      </c>
      <c r="Y62" s="16">
        <f>IFERROR(('Incurred Loss'!Y7-'Incurred Loss'!X7)/('Reported Count'!Y7-'Reported Count'!X7),"")</f>
        <v/>
      </c>
    </row>
    <row r="63">
      <c r="A63" s="15" t="inlineStr">
        <is>
          <t>2007</t>
        </is>
      </c>
      <c r="B63" s="16">
        <f>IFERROR('Incurred Loss'!B8/'Reported Count'!B8,"")</f>
        <v/>
      </c>
      <c r="C63" s="16">
        <f>IFERROR(('Incurred Loss'!C8-'Incurred Loss'!B8)/('Reported Count'!C8-'Reported Count'!B8),"")</f>
        <v/>
      </c>
      <c r="D63" s="16">
        <f>IFERROR(('Incurred Loss'!D8-'Incurred Loss'!C8)/('Reported Count'!D8-'Reported Count'!C8),"")</f>
        <v/>
      </c>
      <c r="E63" s="16">
        <f>IFERROR(('Incurred Loss'!E8-'Incurred Loss'!D8)/('Reported Count'!E8-'Reported Count'!D8),"")</f>
        <v/>
      </c>
      <c r="F63" s="16">
        <f>IFERROR(('Incurred Loss'!F8-'Incurred Loss'!E8)/('Reported Count'!F8-'Reported Count'!E8),"")</f>
        <v/>
      </c>
      <c r="G63" s="16">
        <f>IFERROR(('Incurred Loss'!G8-'Incurred Loss'!F8)/('Reported Count'!G8-'Reported Count'!F8),"")</f>
        <v/>
      </c>
      <c r="H63" s="16">
        <f>IFERROR(('Incurred Loss'!H8-'Incurred Loss'!G8)/('Reported Count'!H8-'Reported Count'!G8),"")</f>
        <v/>
      </c>
      <c r="I63" s="16">
        <f>IFERROR(('Incurred Loss'!I8-'Incurred Loss'!H8)/('Reported Count'!I8-'Reported Count'!H8),"")</f>
        <v/>
      </c>
      <c r="J63" s="16">
        <f>IFERROR(('Incurred Loss'!J8-'Incurred Loss'!I8)/('Reported Count'!J8-'Reported Count'!I8),"")</f>
        <v/>
      </c>
      <c r="K63" s="16">
        <f>IFERROR(('Incurred Loss'!K8-'Incurred Loss'!J8)/('Reported Count'!K8-'Reported Count'!J8),"")</f>
        <v/>
      </c>
      <c r="L63" s="16">
        <f>IFERROR(('Incurred Loss'!L8-'Incurred Loss'!K8)/('Reported Count'!L8-'Reported Count'!K8),"")</f>
        <v/>
      </c>
      <c r="M63" s="16">
        <f>IFERROR(('Incurred Loss'!M8-'Incurred Loss'!L8)/('Reported Count'!M8-'Reported Count'!L8),"")</f>
        <v/>
      </c>
      <c r="N63" s="16">
        <f>IFERROR(('Incurred Loss'!N8-'Incurred Loss'!M8)/('Reported Count'!N8-'Reported Count'!M8),"")</f>
        <v/>
      </c>
      <c r="O63" s="16">
        <f>IFERROR(('Incurred Loss'!O8-'Incurred Loss'!N8)/('Reported Count'!O8-'Reported Count'!N8),"")</f>
        <v/>
      </c>
      <c r="P63" s="16">
        <f>IFERROR(('Incurred Loss'!P8-'Incurred Loss'!O8)/('Reported Count'!P8-'Reported Count'!O8),"")</f>
        <v/>
      </c>
      <c r="Q63" s="16">
        <f>IFERROR(('Incurred Loss'!Q8-'Incurred Loss'!P8)/('Reported Count'!Q8-'Reported Count'!P8),"")</f>
        <v/>
      </c>
      <c r="R63" s="16">
        <f>IFERROR(('Incurred Loss'!R8-'Incurred Loss'!Q8)/('Reported Count'!R8-'Reported Count'!Q8),"")</f>
        <v/>
      </c>
      <c r="S63" s="16">
        <f>IFERROR(('Incurred Loss'!S8-'Incurred Loss'!R8)/('Reported Count'!S8-'Reported Count'!R8),"")</f>
        <v/>
      </c>
      <c r="T63" s="16">
        <f>IFERROR(('Incurred Loss'!T8-'Incurred Loss'!S8)/('Reported Count'!T8-'Reported Count'!S8),"")</f>
        <v/>
      </c>
      <c r="U63" s="16">
        <f>IFERROR(('Incurred Loss'!U8-'Incurred Loss'!T8)/('Reported Count'!U8-'Reported Count'!T8),"")</f>
        <v/>
      </c>
      <c r="V63" s="16">
        <f>IFERROR(('Incurred Loss'!V8-'Incurred Loss'!U8)/('Reported Count'!V8-'Reported Count'!U8),"")</f>
        <v/>
      </c>
      <c r="W63" s="16">
        <f>IFERROR(('Incurred Loss'!W8-'Incurred Loss'!V8)/('Reported Count'!W8-'Reported Count'!V8),"")</f>
        <v/>
      </c>
      <c r="X63" s="16">
        <f>IFERROR(('Incurred Loss'!X8-'Incurred Loss'!W8)/('Reported Count'!X8-'Reported Count'!W8),"")</f>
        <v/>
      </c>
      <c r="Y63" s="16">
        <f>IFERROR(('Incurred Loss'!Y8-'Incurred Loss'!X8)/('Reported Count'!Y8-'Reported Count'!X8),"")</f>
        <v/>
      </c>
    </row>
    <row r="64">
      <c r="A64" s="15" t="inlineStr">
        <is>
          <t>2008</t>
        </is>
      </c>
      <c r="B64" s="16">
        <f>IFERROR('Incurred Loss'!B9/'Reported Count'!B9,"")</f>
        <v/>
      </c>
      <c r="C64" s="16">
        <f>IFERROR(('Incurred Loss'!C9-'Incurred Loss'!B9)/('Reported Count'!C9-'Reported Count'!B9),"")</f>
        <v/>
      </c>
      <c r="D64" s="16">
        <f>IFERROR(('Incurred Loss'!D9-'Incurred Loss'!C9)/('Reported Count'!D9-'Reported Count'!C9),"")</f>
        <v/>
      </c>
      <c r="E64" s="16">
        <f>IFERROR(('Incurred Loss'!E9-'Incurred Loss'!D9)/('Reported Count'!E9-'Reported Count'!D9),"")</f>
        <v/>
      </c>
      <c r="F64" s="16">
        <f>IFERROR(('Incurred Loss'!F9-'Incurred Loss'!E9)/('Reported Count'!F9-'Reported Count'!E9),"")</f>
        <v/>
      </c>
      <c r="G64" s="16">
        <f>IFERROR(('Incurred Loss'!G9-'Incurred Loss'!F9)/('Reported Count'!G9-'Reported Count'!F9),"")</f>
        <v/>
      </c>
      <c r="H64" s="16">
        <f>IFERROR(('Incurred Loss'!H9-'Incurred Loss'!G9)/('Reported Count'!H9-'Reported Count'!G9),"")</f>
        <v/>
      </c>
      <c r="I64" s="16">
        <f>IFERROR(('Incurred Loss'!I9-'Incurred Loss'!H9)/('Reported Count'!I9-'Reported Count'!H9),"")</f>
        <v/>
      </c>
      <c r="J64" s="16">
        <f>IFERROR(('Incurred Loss'!J9-'Incurred Loss'!I9)/('Reported Count'!J9-'Reported Count'!I9),"")</f>
        <v/>
      </c>
      <c r="K64" s="16">
        <f>IFERROR(('Incurred Loss'!K9-'Incurred Loss'!J9)/('Reported Count'!K9-'Reported Count'!J9),"")</f>
        <v/>
      </c>
      <c r="L64" s="16">
        <f>IFERROR(('Incurred Loss'!L9-'Incurred Loss'!K9)/('Reported Count'!L9-'Reported Count'!K9),"")</f>
        <v/>
      </c>
      <c r="M64" s="16">
        <f>IFERROR(('Incurred Loss'!M9-'Incurred Loss'!L9)/('Reported Count'!M9-'Reported Count'!L9),"")</f>
        <v/>
      </c>
      <c r="N64" s="16">
        <f>IFERROR(('Incurred Loss'!N9-'Incurred Loss'!M9)/('Reported Count'!N9-'Reported Count'!M9),"")</f>
        <v/>
      </c>
      <c r="O64" s="16">
        <f>IFERROR(('Incurred Loss'!O9-'Incurred Loss'!N9)/('Reported Count'!O9-'Reported Count'!N9),"")</f>
        <v/>
      </c>
      <c r="P64" s="16">
        <f>IFERROR(('Incurred Loss'!P9-'Incurred Loss'!O9)/('Reported Count'!P9-'Reported Count'!O9),"")</f>
        <v/>
      </c>
      <c r="Q64" s="16">
        <f>IFERROR(('Incurred Loss'!Q9-'Incurred Loss'!P9)/('Reported Count'!Q9-'Reported Count'!P9),"")</f>
        <v/>
      </c>
      <c r="R64" s="16">
        <f>IFERROR(('Incurred Loss'!R9-'Incurred Loss'!Q9)/('Reported Count'!R9-'Reported Count'!Q9),"")</f>
        <v/>
      </c>
      <c r="S64" s="16">
        <f>IFERROR(('Incurred Loss'!S9-'Incurred Loss'!R9)/('Reported Count'!S9-'Reported Count'!R9),"")</f>
        <v/>
      </c>
      <c r="T64" s="16">
        <f>IFERROR(('Incurred Loss'!T9-'Incurred Loss'!S9)/('Reported Count'!T9-'Reported Count'!S9),"")</f>
        <v/>
      </c>
      <c r="U64" s="16">
        <f>IFERROR(('Incurred Loss'!U9-'Incurred Loss'!T9)/('Reported Count'!U9-'Reported Count'!T9),"")</f>
        <v/>
      </c>
      <c r="V64" s="16">
        <f>IFERROR(('Incurred Loss'!V9-'Incurred Loss'!U9)/('Reported Count'!V9-'Reported Count'!U9),"")</f>
        <v/>
      </c>
      <c r="W64" s="16">
        <f>IFERROR(('Incurred Loss'!W9-'Incurred Loss'!V9)/('Reported Count'!W9-'Reported Count'!V9),"")</f>
        <v/>
      </c>
      <c r="X64" s="16">
        <f>IFERROR(('Incurred Loss'!X9-'Incurred Loss'!W9)/('Reported Count'!X9-'Reported Count'!W9),"")</f>
        <v/>
      </c>
      <c r="Y64" s="16">
        <f>IFERROR(('Incurred Loss'!Y9-'Incurred Loss'!X9)/('Reported Count'!Y9-'Reported Count'!X9),"")</f>
        <v/>
      </c>
    </row>
    <row r="65">
      <c r="A65" s="15" t="inlineStr">
        <is>
          <t>2009</t>
        </is>
      </c>
      <c r="B65" s="16">
        <f>IFERROR('Incurred Loss'!B10/'Reported Count'!B10,"")</f>
        <v/>
      </c>
      <c r="C65" s="16">
        <f>IFERROR(('Incurred Loss'!C10-'Incurred Loss'!B10)/('Reported Count'!C10-'Reported Count'!B10),"")</f>
        <v/>
      </c>
      <c r="D65" s="16">
        <f>IFERROR(('Incurred Loss'!D10-'Incurred Loss'!C10)/('Reported Count'!D10-'Reported Count'!C10),"")</f>
        <v/>
      </c>
      <c r="E65" s="16">
        <f>IFERROR(('Incurred Loss'!E10-'Incurred Loss'!D10)/('Reported Count'!E10-'Reported Count'!D10),"")</f>
        <v/>
      </c>
      <c r="F65" s="16">
        <f>IFERROR(('Incurred Loss'!F10-'Incurred Loss'!E10)/('Reported Count'!F10-'Reported Count'!E10),"")</f>
        <v/>
      </c>
      <c r="G65" s="16">
        <f>IFERROR(('Incurred Loss'!G10-'Incurred Loss'!F10)/('Reported Count'!G10-'Reported Count'!F10),"")</f>
        <v/>
      </c>
      <c r="H65" s="16">
        <f>IFERROR(('Incurred Loss'!H10-'Incurred Loss'!G10)/('Reported Count'!H10-'Reported Count'!G10),"")</f>
        <v/>
      </c>
      <c r="I65" s="16">
        <f>IFERROR(('Incurred Loss'!I10-'Incurred Loss'!H10)/('Reported Count'!I10-'Reported Count'!H10),"")</f>
        <v/>
      </c>
      <c r="J65" s="16">
        <f>IFERROR(('Incurred Loss'!J10-'Incurred Loss'!I10)/('Reported Count'!J10-'Reported Count'!I10),"")</f>
        <v/>
      </c>
      <c r="K65" s="16">
        <f>IFERROR(('Incurred Loss'!K10-'Incurred Loss'!J10)/('Reported Count'!K10-'Reported Count'!J10),"")</f>
        <v/>
      </c>
      <c r="L65" s="16">
        <f>IFERROR(('Incurred Loss'!L10-'Incurred Loss'!K10)/('Reported Count'!L10-'Reported Count'!K10),"")</f>
        <v/>
      </c>
      <c r="M65" s="16">
        <f>IFERROR(('Incurred Loss'!M10-'Incurred Loss'!L10)/('Reported Count'!M10-'Reported Count'!L10),"")</f>
        <v/>
      </c>
      <c r="N65" s="16">
        <f>IFERROR(('Incurred Loss'!N10-'Incurred Loss'!M10)/('Reported Count'!N10-'Reported Count'!M10),"")</f>
        <v/>
      </c>
      <c r="O65" s="16">
        <f>IFERROR(('Incurred Loss'!O10-'Incurred Loss'!N10)/('Reported Count'!O10-'Reported Count'!N10),"")</f>
        <v/>
      </c>
      <c r="P65" s="16">
        <f>IFERROR(('Incurred Loss'!P10-'Incurred Loss'!O10)/('Reported Count'!P10-'Reported Count'!O10),"")</f>
        <v/>
      </c>
      <c r="Q65" s="16">
        <f>IFERROR(('Incurred Loss'!Q10-'Incurred Loss'!P10)/('Reported Count'!Q10-'Reported Count'!P10),"")</f>
        <v/>
      </c>
      <c r="R65" s="16">
        <f>IFERROR(('Incurred Loss'!R10-'Incurred Loss'!Q10)/('Reported Count'!R10-'Reported Count'!Q10),"")</f>
        <v/>
      </c>
      <c r="S65" s="16">
        <f>IFERROR(('Incurred Loss'!S10-'Incurred Loss'!R10)/('Reported Count'!S10-'Reported Count'!R10),"")</f>
        <v/>
      </c>
      <c r="T65" s="16">
        <f>IFERROR(('Incurred Loss'!T10-'Incurred Loss'!S10)/('Reported Count'!T10-'Reported Count'!S10),"")</f>
        <v/>
      </c>
      <c r="U65" s="16">
        <f>IFERROR(('Incurred Loss'!U10-'Incurred Loss'!T10)/('Reported Count'!U10-'Reported Count'!T10),"")</f>
        <v/>
      </c>
      <c r="V65" s="16">
        <f>IFERROR(('Incurred Loss'!V10-'Incurred Loss'!U10)/('Reported Count'!V10-'Reported Count'!U10),"")</f>
        <v/>
      </c>
      <c r="W65" s="16">
        <f>IFERROR(('Incurred Loss'!W10-'Incurred Loss'!V10)/('Reported Count'!W10-'Reported Count'!V10),"")</f>
        <v/>
      </c>
      <c r="X65" s="16">
        <f>IFERROR(('Incurred Loss'!X10-'Incurred Loss'!W10)/('Reported Count'!X10-'Reported Count'!W10),"")</f>
        <v/>
      </c>
      <c r="Y65" s="16">
        <f>IFERROR(('Incurred Loss'!Y10-'Incurred Loss'!X10)/('Reported Count'!Y10-'Reported Count'!X10),"")</f>
        <v/>
      </c>
    </row>
    <row r="66">
      <c r="A66" s="15" t="inlineStr">
        <is>
          <t>2010</t>
        </is>
      </c>
      <c r="B66" s="16">
        <f>IFERROR('Incurred Loss'!B11/'Reported Count'!B11,"")</f>
        <v/>
      </c>
      <c r="C66" s="16">
        <f>IFERROR(('Incurred Loss'!C11-'Incurred Loss'!B11)/('Reported Count'!C11-'Reported Count'!B11),"")</f>
        <v/>
      </c>
      <c r="D66" s="16">
        <f>IFERROR(('Incurred Loss'!D11-'Incurred Loss'!C11)/('Reported Count'!D11-'Reported Count'!C11),"")</f>
        <v/>
      </c>
      <c r="E66" s="16">
        <f>IFERROR(('Incurred Loss'!E11-'Incurred Loss'!D11)/('Reported Count'!E11-'Reported Count'!D11),"")</f>
        <v/>
      </c>
      <c r="F66" s="16">
        <f>IFERROR(('Incurred Loss'!F11-'Incurred Loss'!E11)/('Reported Count'!F11-'Reported Count'!E11),"")</f>
        <v/>
      </c>
      <c r="G66" s="16">
        <f>IFERROR(('Incurred Loss'!G11-'Incurred Loss'!F11)/('Reported Count'!G11-'Reported Count'!F11),"")</f>
        <v/>
      </c>
      <c r="H66" s="16">
        <f>IFERROR(('Incurred Loss'!H11-'Incurred Loss'!G11)/('Reported Count'!H11-'Reported Count'!G11),"")</f>
        <v/>
      </c>
      <c r="I66" s="16">
        <f>IFERROR(('Incurred Loss'!I11-'Incurred Loss'!H11)/('Reported Count'!I11-'Reported Count'!H11),"")</f>
        <v/>
      </c>
      <c r="J66" s="16">
        <f>IFERROR(('Incurred Loss'!J11-'Incurred Loss'!I11)/('Reported Count'!J11-'Reported Count'!I11),"")</f>
        <v/>
      </c>
      <c r="K66" s="16">
        <f>IFERROR(('Incurred Loss'!K11-'Incurred Loss'!J11)/('Reported Count'!K11-'Reported Count'!J11),"")</f>
        <v/>
      </c>
      <c r="L66" s="16">
        <f>IFERROR(('Incurred Loss'!L11-'Incurred Loss'!K11)/('Reported Count'!L11-'Reported Count'!K11),"")</f>
        <v/>
      </c>
      <c r="M66" s="16">
        <f>IFERROR(('Incurred Loss'!M11-'Incurred Loss'!L11)/('Reported Count'!M11-'Reported Count'!L11),"")</f>
        <v/>
      </c>
      <c r="N66" s="16">
        <f>IFERROR(('Incurred Loss'!N11-'Incurred Loss'!M11)/('Reported Count'!N11-'Reported Count'!M11),"")</f>
        <v/>
      </c>
      <c r="O66" s="16">
        <f>IFERROR(('Incurred Loss'!O11-'Incurred Loss'!N11)/('Reported Count'!O11-'Reported Count'!N11),"")</f>
        <v/>
      </c>
      <c r="P66" s="16">
        <f>IFERROR(('Incurred Loss'!P11-'Incurred Loss'!O11)/('Reported Count'!P11-'Reported Count'!O11),"")</f>
        <v/>
      </c>
      <c r="Q66" s="16">
        <f>IFERROR(('Incurred Loss'!Q11-'Incurred Loss'!P11)/('Reported Count'!Q11-'Reported Count'!P11),"")</f>
        <v/>
      </c>
      <c r="R66" s="16">
        <f>IFERROR(('Incurred Loss'!R11-'Incurred Loss'!Q11)/('Reported Count'!R11-'Reported Count'!Q11),"")</f>
        <v/>
      </c>
      <c r="S66" s="16">
        <f>IFERROR(('Incurred Loss'!S11-'Incurred Loss'!R11)/('Reported Count'!S11-'Reported Count'!R11),"")</f>
        <v/>
      </c>
      <c r="T66" s="16">
        <f>IFERROR(('Incurred Loss'!T11-'Incurred Loss'!S11)/('Reported Count'!T11-'Reported Count'!S11),"")</f>
        <v/>
      </c>
      <c r="U66" s="16">
        <f>IFERROR(('Incurred Loss'!U11-'Incurred Loss'!T11)/('Reported Count'!U11-'Reported Count'!T11),"")</f>
        <v/>
      </c>
      <c r="V66" s="16">
        <f>IFERROR(('Incurred Loss'!V11-'Incurred Loss'!U11)/('Reported Count'!V11-'Reported Count'!U11),"")</f>
        <v/>
      </c>
      <c r="W66" s="16">
        <f>IFERROR(('Incurred Loss'!W11-'Incurred Loss'!V11)/('Reported Count'!W11-'Reported Count'!V11),"")</f>
        <v/>
      </c>
      <c r="X66" s="16">
        <f>IFERROR(('Incurred Loss'!X11-'Incurred Loss'!W11)/('Reported Count'!X11-'Reported Count'!W11),"")</f>
        <v/>
      </c>
      <c r="Y66" s="16">
        <f>IFERROR(('Incurred Loss'!Y11-'Incurred Loss'!X11)/('Reported Count'!Y11-'Reported Count'!X11),"")</f>
        <v/>
      </c>
    </row>
    <row r="67">
      <c r="A67" s="15" t="inlineStr">
        <is>
          <t>2011</t>
        </is>
      </c>
      <c r="B67" s="16">
        <f>IFERROR('Incurred Loss'!B12/'Reported Count'!B12,"")</f>
        <v/>
      </c>
      <c r="C67" s="16">
        <f>IFERROR(('Incurred Loss'!C12-'Incurred Loss'!B12)/('Reported Count'!C12-'Reported Count'!B12),"")</f>
        <v/>
      </c>
      <c r="D67" s="16">
        <f>IFERROR(('Incurred Loss'!D12-'Incurred Loss'!C12)/('Reported Count'!D12-'Reported Count'!C12),"")</f>
        <v/>
      </c>
      <c r="E67" s="16">
        <f>IFERROR(('Incurred Loss'!E12-'Incurred Loss'!D12)/('Reported Count'!E12-'Reported Count'!D12),"")</f>
        <v/>
      </c>
      <c r="F67" s="16">
        <f>IFERROR(('Incurred Loss'!F12-'Incurred Loss'!E12)/('Reported Count'!F12-'Reported Count'!E12),"")</f>
        <v/>
      </c>
      <c r="G67" s="16">
        <f>IFERROR(('Incurred Loss'!G12-'Incurred Loss'!F12)/('Reported Count'!G12-'Reported Count'!F12),"")</f>
        <v/>
      </c>
      <c r="H67" s="16">
        <f>IFERROR(('Incurred Loss'!H12-'Incurred Loss'!G12)/('Reported Count'!H12-'Reported Count'!G12),"")</f>
        <v/>
      </c>
      <c r="I67" s="16">
        <f>IFERROR(('Incurred Loss'!I12-'Incurred Loss'!H12)/('Reported Count'!I12-'Reported Count'!H12),"")</f>
        <v/>
      </c>
      <c r="J67" s="16">
        <f>IFERROR(('Incurred Loss'!J12-'Incurred Loss'!I12)/('Reported Count'!J12-'Reported Count'!I12),"")</f>
        <v/>
      </c>
      <c r="K67" s="16">
        <f>IFERROR(('Incurred Loss'!K12-'Incurred Loss'!J12)/('Reported Count'!K12-'Reported Count'!J12),"")</f>
        <v/>
      </c>
      <c r="L67" s="16">
        <f>IFERROR(('Incurred Loss'!L12-'Incurred Loss'!K12)/('Reported Count'!L12-'Reported Count'!K12),"")</f>
        <v/>
      </c>
      <c r="M67" s="16">
        <f>IFERROR(('Incurred Loss'!M12-'Incurred Loss'!L12)/('Reported Count'!M12-'Reported Count'!L12),"")</f>
        <v/>
      </c>
      <c r="N67" s="16">
        <f>IFERROR(('Incurred Loss'!N12-'Incurred Loss'!M12)/('Reported Count'!N12-'Reported Count'!M12),"")</f>
        <v/>
      </c>
      <c r="O67" s="16">
        <f>IFERROR(('Incurred Loss'!O12-'Incurred Loss'!N12)/('Reported Count'!O12-'Reported Count'!N12),"")</f>
        <v/>
      </c>
      <c r="P67" s="16">
        <f>IFERROR(('Incurred Loss'!P12-'Incurred Loss'!O12)/('Reported Count'!P12-'Reported Count'!O12),"")</f>
        <v/>
      </c>
      <c r="Q67" s="16">
        <f>IFERROR(('Incurred Loss'!Q12-'Incurred Loss'!P12)/('Reported Count'!Q12-'Reported Count'!P12),"")</f>
        <v/>
      </c>
      <c r="R67" s="16">
        <f>IFERROR(('Incurred Loss'!R12-'Incurred Loss'!Q12)/('Reported Count'!R12-'Reported Count'!Q12),"")</f>
        <v/>
      </c>
      <c r="S67" s="16">
        <f>IFERROR(('Incurred Loss'!S12-'Incurred Loss'!R12)/('Reported Count'!S12-'Reported Count'!R12),"")</f>
        <v/>
      </c>
      <c r="T67" s="16">
        <f>IFERROR(('Incurred Loss'!T12-'Incurred Loss'!S12)/('Reported Count'!T12-'Reported Count'!S12),"")</f>
        <v/>
      </c>
      <c r="U67" s="16">
        <f>IFERROR(('Incurred Loss'!U12-'Incurred Loss'!T12)/('Reported Count'!U12-'Reported Count'!T12),"")</f>
        <v/>
      </c>
      <c r="V67" s="16">
        <f>IFERROR(('Incurred Loss'!V12-'Incurred Loss'!U12)/('Reported Count'!V12-'Reported Count'!U12),"")</f>
        <v/>
      </c>
      <c r="W67" s="16">
        <f>IFERROR(('Incurred Loss'!W12-'Incurred Loss'!V12)/('Reported Count'!W12-'Reported Count'!V12),"")</f>
        <v/>
      </c>
      <c r="X67" s="16">
        <f>IFERROR(('Incurred Loss'!X12-'Incurred Loss'!W12)/('Reported Count'!X12-'Reported Count'!W12),"")</f>
        <v/>
      </c>
      <c r="Y67" s="16">
        <f>IFERROR(('Incurred Loss'!Y12-'Incurred Loss'!X12)/('Reported Count'!Y12-'Reported Count'!X12),"")</f>
        <v/>
      </c>
    </row>
    <row r="68">
      <c r="A68" s="15" t="inlineStr">
        <is>
          <t>2012</t>
        </is>
      </c>
      <c r="B68" s="16">
        <f>IFERROR('Incurred Loss'!B13/'Reported Count'!B13,"")</f>
        <v/>
      </c>
      <c r="C68" s="16">
        <f>IFERROR(('Incurred Loss'!C13-'Incurred Loss'!B13)/('Reported Count'!C13-'Reported Count'!B13),"")</f>
        <v/>
      </c>
      <c r="D68" s="16">
        <f>IFERROR(('Incurred Loss'!D13-'Incurred Loss'!C13)/('Reported Count'!D13-'Reported Count'!C13),"")</f>
        <v/>
      </c>
      <c r="E68" s="16">
        <f>IFERROR(('Incurred Loss'!E13-'Incurred Loss'!D13)/('Reported Count'!E13-'Reported Count'!D13),"")</f>
        <v/>
      </c>
      <c r="F68" s="16">
        <f>IFERROR(('Incurred Loss'!F13-'Incurred Loss'!E13)/('Reported Count'!F13-'Reported Count'!E13),"")</f>
        <v/>
      </c>
      <c r="G68" s="16">
        <f>IFERROR(('Incurred Loss'!G13-'Incurred Loss'!F13)/('Reported Count'!G13-'Reported Count'!F13),"")</f>
        <v/>
      </c>
      <c r="H68" s="16">
        <f>IFERROR(('Incurred Loss'!H13-'Incurred Loss'!G13)/('Reported Count'!H13-'Reported Count'!G13),"")</f>
        <v/>
      </c>
      <c r="I68" s="16">
        <f>IFERROR(('Incurred Loss'!I13-'Incurred Loss'!H13)/('Reported Count'!I13-'Reported Count'!H13),"")</f>
        <v/>
      </c>
      <c r="J68" s="16">
        <f>IFERROR(('Incurred Loss'!J13-'Incurred Loss'!I13)/('Reported Count'!J13-'Reported Count'!I13),"")</f>
        <v/>
      </c>
      <c r="K68" s="16">
        <f>IFERROR(('Incurred Loss'!K13-'Incurred Loss'!J13)/('Reported Count'!K13-'Reported Count'!J13),"")</f>
        <v/>
      </c>
      <c r="L68" s="16">
        <f>IFERROR(('Incurred Loss'!L13-'Incurred Loss'!K13)/('Reported Count'!L13-'Reported Count'!K13),"")</f>
        <v/>
      </c>
      <c r="M68" s="16">
        <f>IFERROR(('Incurred Loss'!M13-'Incurred Loss'!L13)/('Reported Count'!M13-'Reported Count'!L13),"")</f>
        <v/>
      </c>
      <c r="N68" s="16">
        <f>IFERROR(('Incurred Loss'!N13-'Incurred Loss'!M13)/('Reported Count'!N13-'Reported Count'!M13),"")</f>
        <v/>
      </c>
      <c r="O68" s="16">
        <f>IFERROR(('Incurred Loss'!O13-'Incurred Loss'!N13)/('Reported Count'!O13-'Reported Count'!N13),"")</f>
        <v/>
      </c>
      <c r="P68" s="16">
        <f>IFERROR(('Incurred Loss'!P13-'Incurred Loss'!O13)/('Reported Count'!P13-'Reported Count'!O13),"")</f>
        <v/>
      </c>
      <c r="Q68" s="16">
        <f>IFERROR(('Incurred Loss'!Q13-'Incurred Loss'!P13)/('Reported Count'!Q13-'Reported Count'!P13),"")</f>
        <v/>
      </c>
      <c r="R68" s="16">
        <f>IFERROR(('Incurred Loss'!R13-'Incurred Loss'!Q13)/('Reported Count'!R13-'Reported Count'!Q13),"")</f>
        <v/>
      </c>
      <c r="S68" s="16">
        <f>IFERROR(('Incurred Loss'!S13-'Incurred Loss'!R13)/('Reported Count'!S13-'Reported Count'!R13),"")</f>
        <v/>
      </c>
      <c r="T68" s="16">
        <f>IFERROR(('Incurred Loss'!T13-'Incurred Loss'!S13)/('Reported Count'!T13-'Reported Count'!S13),"")</f>
        <v/>
      </c>
      <c r="U68" s="16">
        <f>IFERROR(('Incurred Loss'!U13-'Incurred Loss'!T13)/('Reported Count'!U13-'Reported Count'!T13),"")</f>
        <v/>
      </c>
      <c r="V68" s="16">
        <f>IFERROR(('Incurred Loss'!V13-'Incurred Loss'!U13)/('Reported Count'!V13-'Reported Count'!U13),"")</f>
        <v/>
      </c>
      <c r="W68" s="16">
        <f>IFERROR(('Incurred Loss'!W13-'Incurred Loss'!V13)/('Reported Count'!W13-'Reported Count'!V13),"")</f>
        <v/>
      </c>
      <c r="X68" s="16">
        <f>IFERROR(('Incurred Loss'!X13-'Incurred Loss'!W13)/('Reported Count'!X13-'Reported Count'!W13),"")</f>
        <v/>
      </c>
      <c r="Y68" s="16">
        <f>IFERROR(('Incurred Loss'!Y13-'Incurred Loss'!X13)/('Reported Count'!Y13-'Reported Count'!X13),"")</f>
        <v/>
      </c>
    </row>
    <row r="69">
      <c r="A69" s="15" t="inlineStr">
        <is>
          <t>2013</t>
        </is>
      </c>
      <c r="B69" s="16">
        <f>IFERROR('Incurred Loss'!B14/'Reported Count'!B14,"")</f>
        <v/>
      </c>
      <c r="C69" s="16">
        <f>IFERROR(('Incurred Loss'!C14-'Incurred Loss'!B14)/('Reported Count'!C14-'Reported Count'!B14),"")</f>
        <v/>
      </c>
      <c r="D69" s="16">
        <f>IFERROR(('Incurred Loss'!D14-'Incurred Loss'!C14)/('Reported Count'!D14-'Reported Count'!C14),"")</f>
        <v/>
      </c>
      <c r="E69" s="16">
        <f>IFERROR(('Incurred Loss'!E14-'Incurred Loss'!D14)/('Reported Count'!E14-'Reported Count'!D14),"")</f>
        <v/>
      </c>
      <c r="F69" s="16">
        <f>IFERROR(('Incurred Loss'!F14-'Incurred Loss'!E14)/('Reported Count'!F14-'Reported Count'!E14),"")</f>
        <v/>
      </c>
      <c r="G69" s="16">
        <f>IFERROR(('Incurred Loss'!G14-'Incurred Loss'!F14)/('Reported Count'!G14-'Reported Count'!F14),"")</f>
        <v/>
      </c>
      <c r="H69" s="16">
        <f>IFERROR(('Incurred Loss'!H14-'Incurred Loss'!G14)/('Reported Count'!H14-'Reported Count'!G14),"")</f>
        <v/>
      </c>
      <c r="I69" s="16">
        <f>IFERROR(('Incurred Loss'!I14-'Incurred Loss'!H14)/('Reported Count'!I14-'Reported Count'!H14),"")</f>
        <v/>
      </c>
      <c r="J69" s="16">
        <f>IFERROR(('Incurred Loss'!J14-'Incurred Loss'!I14)/('Reported Count'!J14-'Reported Count'!I14),"")</f>
        <v/>
      </c>
      <c r="K69" s="16">
        <f>IFERROR(('Incurred Loss'!K14-'Incurred Loss'!J14)/('Reported Count'!K14-'Reported Count'!J14),"")</f>
        <v/>
      </c>
      <c r="L69" s="16">
        <f>IFERROR(('Incurred Loss'!L14-'Incurred Loss'!K14)/('Reported Count'!L14-'Reported Count'!K14),"")</f>
        <v/>
      </c>
      <c r="M69" s="16">
        <f>IFERROR(('Incurred Loss'!M14-'Incurred Loss'!L14)/('Reported Count'!M14-'Reported Count'!L14),"")</f>
        <v/>
      </c>
      <c r="N69" s="16">
        <f>IFERROR(('Incurred Loss'!N14-'Incurred Loss'!M14)/('Reported Count'!N14-'Reported Count'!M14),"")</f>
        <v/>
      </c>
      <c r="O69" s="16">
        <f>IFERROR(('Incurred Loss'!O14-'Incurred Loss'!N14)/('Reported Count'!O14-'Reported Count'!N14),"")</f>
        <v/>
      </c>
      <c r="P69" s="16">
        <f>IFERROR(('Incurred Loss'!P14-'Incurred Loss'!O14)/('Reported Count'!P14-'Reported Count'!O14),"")</f>
        <v/>
      </c>
      <c r="Q69" s="16">
        <f>IFERROR(('Incurred Loss'!Q14-'Incurred Loss'!P14)/('Reported Count'!Q14-'Reported Count'!P14),"")</f>
        <v/>
      </c>
      <c r="R69" s="16">
        <f>IFERROR(('Incurred Loss'!R14-'Incurred Loss'!Q14)/('Reported Count'!R14-'Reported Count'!Q14),"")</f>
        <v/>
      </c>
      <c r="S69" s="16">
        <f>IFERROR(('Incurred Loss'!S14-'Incurred Loss'!R14)/('Reported Count'!S14-'Reported Count'!R14),"")</f>
        <v/>
      </c>
      <c r="T69" s="16">
        <f>IFERROR(('Incurred Loss'!T14-'Incurred Loss'!S14)/('Reported Count'!T14-'Reported Count'!S14),"")</f>
        <v/>
      </c>
      <c r="U69" s="16">
        <f>IFERROR(('Incurred Loss'!U14-'Incurred Loss'!T14)/('Reported Count'!U14-'Reported Count'!T14),"")</f>
        <v/>
      </c>
      <c r="V69" s="16">
        <f>IFERROR(('Incurred Loss'!V14-'Incurred Loss'!U14)/('Reported Count'!V14-'Reported Count'!U14),"")</f>
        <v/>
      </c>
      <c r="W69" s="16">
        <f>IFERROR(('Incurred Loss'!W14-'Incurred Loss'!V14)/('Reported Count'!W14-'Reported Count'!V14),"")</f>
        <v/>
      </c>
      <c r="X69" s="16">
        <f>IFERROR(('Incurred Loss'!X14-'Incurred Loss'!W14)/('Reported Count'!X14-'Reported Count'!W14),"")</f>
        <v/>
      </c>
      <c r="Y69" s="16">
        <f>IFERROR(('Incurred Loss'!Y14-'Incurred Loss'!X14)/('Reported Count'!Y14-'Reported Count'!X14),"")</f>
        <v/>
      </c>
    </row>
    <row r="70">
      <c r="A70" s="15" t="inlineStr">
        <is>
          <t>2014</t>
        </is>
      </c>
      <c r="B70" s="16">
        <f>IFERROR('Incurred Loss'!B15/'Reported Count'!B15,"")</f>
        <v/>
      </c>
      <c r="C70" s="16">
        <f>IFERROR(('Incurred Loss'!C15-'Incurred Loss'!B15)/('Reported Count'!C15-'Reported Count'!B15),"")</f>
        <v/>
      </c>
      <c r="D70" s="16">
        <f>IFERROR(('Incurred Loss'!D15-'Incurred Loss'!C15)/('Reported Count'!D15-'Reported Count'!C15),"")</f>
        <v/>
      </c>
      <c r="E70" s="16">
        <f>IFERROR(('Incurred Loss'!E15-'Incurred Loss'!D15)/('Reported Count'!E15-'Reported Count'!D15),"")</f>
        <v/>
      </c>
      <c r="F70" s="16">
        <f>IFERROR(('Incurred Loss'!F15-'Incurred Loss'!E15)/('Reported Count'!F15-'Reported Count'!E15),"")</f>
        <v/>
      </c>
      <c r="G70" s="16">
        <f>IFERROR(('Incurred Loss'!G15-'Incurred Loss'!F15)/('Reported Count'!G15-'Reported Count'!F15),"")</f>
        <v/>
      </c>
      <c r="H70" s="16">
        <f>IFERROR(('Incurred Loss'!H15-'Incurred Loss'!G15)/('Reported Count'!H15-'Reported Count'!G15),"")</f>
        <v/>
      </c>
      <c r="I70" s="16">
        <f>IFERROR(('Incurred Loss'!I15-'Incurred Loss'!H15)/('Reported Count'!I15-'Reported Count'!H15),"")</f>
        <v/>
      </c>
      <c r="J70" s="16">
        <f>IFERROR(('Incurred Loss'!J15-'Incurred Loss'!I15)/('Reported Count'!J15-'Reported Count'!I15),"")</f>
        <v/>
      </c>
      <c r="K70" s="16">
        <f>IFERROR(('Incurred Loss'!K15-'Incurred Loss'!J15)/('Reported Count'!K15-'Reported Count'!J15),"")</f>
        <v/>
      </c>
      <c r="L70" s="16">
        <f>IFERROR(('Incurred Loss'!L15-'Incurred Loss'!K15)/('Reported Count'!L15-'Reported Count'!K15),"")</f>
        <v/>
      </c>
      <c r="M70" s="16">
        <f>IFERROR(('Incurred Loss'!M15-'Incurred Loss'!L15)/('Reported Count'!M15-'Reported Count'!L15),"")</f>
        <v/>
      </c>
      <c r="N70" s="16">
        <f>IFERROR(('Incurred Loss'!N15-'Incurred Loss'!M15)/('Reported Count'!N15-'Reported Count'!M15),"")</f>
        <v/>
      </c>
      <c r="O70" s="16">
        <f>IFERROR(('Incurred Loss'!O15-'Incurred Loss'!N15)/('Reported Count'!O15-'Reported Count'!N15),"")</f>
        <v/>
      </c>
      <c r="P70" s="16">
        <f>IFERROR(('Incurred Loss'!P15-'Incurred Loss'!O15)/('Reported Count'!P15-'Reported Count'!O15),"")</f>
        <v/>
      </c>
      <c r="Q70" s="16">
        <f>IFERROR(('Incurred Loss'!Q15-'Incurred Loss'!P15)/('Reported Count'!Q15-'Reported Count'!P15),"")</f>
        <v/>
      </c>
      <c r="R70" s="16">
        <f>IFERROR(('Incurred Loss'!R15-'Incurred Loss'!Q15)/('Reported Count'!R15-'Reported Count'!Q15),"")</f>
        <v/>
      </c>
      <c r="S70" s="16">
        <f>IFERROR(('Incurred Loss'!S15-'Incurred Loss'!R15)/('Reported Count'!S15-'Reported Count'!R15),"")</f>
        <v/>
      </c>
      <c r="T70" s="16">
        <f>IFERROR(('Incurred Loss'!T15-'Incurred Loss'!S15)/('Reported Count'!T15-'Reported Count'!S15),"")</f>
        <v/>
      </c>
      <c r="U70" s="16">
        <f>IFERROR(('Incurred Loss'!U15-'Incurred Loss'!T15)/('Reported Count'!U15-'Reported Count'!T15),"")</f>
        <v/>
      </c>
      <c r="V70" s="16">
        <f>IFERROR(('Incurred Loss'!V15-'Incurred Loss'!U15)/('Reported Count'!V15-'Reported Count'!U15),"")</f>
        <v/>
      </c>
      <c r="W70" s="16">
        <f>IFERROR(('Incurred Loss'!W15-'Incurred Loss'!V15)/('Reported Count'!W15-'Reported Count'!V15),"")</f>
        <v/>
      </c>
      <c r="X70" s="16">
        <f>IFERROR(('Incurred Loss'!X15-'Incurred Loss'!W15)/('Reported Count'!X15-'Reported Count'!W15),"")</f>
        <v/>
      </c>
      <c r="Y70" s="16">
        <f>IFERROR(('Incurred Loss'!Y15-'Incurred Loss'!X15)/('Reported Count'!Y15-'Reported Count'!X15),"")</f>
        <v/>
      </c>
    </row>
    <row r="71">
      <c r="A71" s="15" t="inlineStr">
        <is>
          <t>2015</t>
        </is>
      </c>
      <c r="B71" s="16">
        <f>IFERROR('Incurred Loss'!B16/'Reported Count'!B16,"")</f>
        <v/>
      </c>
      <c r="C71" s="16">
        <f>IFERROR(('Incurred Loss'!C16-'Incurred Loss'!B16)/('Reported Count'!C16-'Reported Count'!B16),"")</f>
        <v/>
      </c>
      <c r="D71" s="16">
        <f>IFERROR(('Incurred Loss'!D16-'Incurred Loss'!C16)/('Reported Count'!D16-'Reported Count'!C16),"")</f>
        <v/>
      </c>
      <c r="E71" s="16">
        <f>IFERROR(('Incurred Loss'!E16-'Incurred Loss'!D16)/('Reported Count'!E16-'Reported Count'!D16),"")</f>
        <v/>
      </c>
      <c r="F71" s="16">
        <f>IFERROR(('Incurred Loss'!F16-'Incurred Loss'!E16)/('Reported Count'!F16-'Reported Count'!E16),"")</f>
        <v/>
      </c>
      <c r="G71" s="16">
        <f>IFERROR(('Incurred Loss'!G16-'Incurred Loss'!F16)/('Reported Count'!G16-'Reported Count'!F16),"")</f>
        <v/>
      </c>
      <c r="H71" s="16">
        <f>IFERROR(('Incurred Loss'!H16-'Incurred Loss'!G16)/('Reported Count'!H16-'Reported Count'!G16),"")</f>
        <v/>
      </c>
      <c r="I71" s="16">
        <f>IFERROR(('Incurred Loss'!I16-'Incurred Loss'!H16)/('Reported Count'!I16-'Reported Count'!H16),"")</f>
        <v/>
      </c>
      <c r="J71" s="16">
        <f>IFERROR(('Incurred Loss'!J16-'Incurred Loss'!I16)/('Reported Count'!J16-'Reported Count'!I16),"")</f>
        <v/>
      </c>
      <c r="K71" s="16">
        <f>IFERROR(('Incurred Loss'!K16-'Incurred Loss'!J16)/('Reported Count'!K16-'Reported Count'!J16),"")</f>
        <v/>
      </c>
      <c r="L71" s="16">
        <f>IFERROR(('Incurred Loss'!L16-'Incurred Loss'!K16)/('Reported Count'!L16-'Reported Count'!K16),"")</f>
        <v/>
      </c>
      <c r="M71" s="16">
        <f>IFERROR(('Incurred Loss'!M16-'Incurred Loss'!L16)/('Reported Count'!M16-'Reported Count'!L16),"")</f>
        <v/>
      </c>
      <c r="N71" s="16">
        <f>IFERROR(('Incurred Loss'!N16-'Incurred Loss'!M16)/('Reported Count'!N16-'Reported Count'!M16),"")</f>
        <v/>
      </c>
      <c r="O71" s="16">
        <f>IFERROR(('Incurred Loss'!O16-'Incurred Loss'!N16)/('Reported Count'!O16-'Reported Count'!N16),"")</f>
        <v/>
      </c>
      <c r="P71" s="16">
        <f>IFERROR(('Incurred Loss'!P16-'Incurred Loss'!O16)/('Reported Count'!P16-'Reported Count'!O16),"")</f>
        <v/>
      </c>
      <c r="Q71" s="16">
        <f>IFERROR(('Incurred Loss'!Q16-'Incurred Loss'!P16)/('Reported Count'!Q16-'Reported Count'!P16),"")</f>
        <v/>
      </c>
      <c r="R71" s="16">
        <f>IFERROR(('Incurred Loss'!R16-'Incurred Loss'!Q16)/('Reported Count'!R16-'Reported Count'!Q16),"")</f>
        <v/>
      </c>
      <c r="S71" s="16">
        <f>IFERROR(('Incurred Loss'!S16-'Incurred Loss'!R16)/('Reported Count'!S16-'Reported Count'!R16),"")</f>
        <v/>
      </c>
      <c r="T71" s="16">
        <f>IFERROR(('Incurred Loss'!T16-'Incurred Loss'!S16)/('Reported Count'!T16-'Reported Count'!S16),"")</f>
        <v/>
      </c>
      <c r="U71" s="16">
        <f>IFERROR(('Incurred Loss'!U16-'Incurred Loss'!T16)/('Reported Count'!U16-'Reported Count'!T16),"")</f>
        <v/>
      </c>
      <c r="V71" s="16">
        <f>IFERROR(('Incurred Loss'!V16-'Incurred Loss'!U16)/('Reported Count'!V16-'Reported Count'!U16),"")</f>
        <v/>
      </c>
      <c r="W71" s="16">
        <f>IFERROR(('Incurred Loss'!W16-'Incurred Loss'!V16)/('Reported Count'!W16-'Reported Count'!V16),"")</f>
        <v/>
      </c>
      <c r="X71" s="16">
        <f>IFERROR(('Incurred Loss'!X16-'Incurred Loss'!W16)/('Reported Count'!X16-'Reported Count'!W16),"")</f>
        <v/>
      </c>
      <c r="Y71" s="16">
        <f>IFERROR(('Incurred Loss'!Y16-'Incurred Loss'!X16)/('Reported Count'!Y16-'Reported Count'!X16),"")</f>
        <v/>
      </c>
    </row>
    <row r="72">
      <c r="A72" s="15" t="inlineStr">
        <is>
          <t>2016</t>
        </is>
      </c>
      <c r="B72" s="16">
        <f>IFERROR('Incurred Loss'!B17/'Reported Count'!B17,"")</f>
        <v/>
      </c>
      <c r="C72" s="16">
        <f>IFERROR(('Incurred Loss'!C17-'Incurred Loss'!B17)/('Reported Count'!C17-'Reported Count'!B17),"")</f>
        <v/>
      </c>
      <c r="D72" s="16">
        <f>IFERROR(('Incurred Loss'!D17-'Incurred Loss'!C17)/('Reported Count'!D17-'Reported Count'!C17),"")</f>
        <v/>
      </c>
      <c r="E72" s="16">
        <f>IFERROR(('Incurred Loss'!E17-'Incurred Loss'!D17)/('Reported Count'!E17-'Reported Count'!D17),"")</f>
        <v/>
      </c>
      <c r="F72" s="16">
        <f>IFERROR(('Incurred Loss'!F17-'Incurred Loss'!E17)/('Reported Count'!F17-'Reported Count'!E17),"")</f>
        <v/>
      </c>
      <c r="G72" s="16">
        <f>IFERROR(('Incurred Loss'!G17-'Incurred Loss'!F17)/('Reported Count'!G17-'Reported Count'!F17),"")</f>
        <v/>
      </c>
      <c r="H72" s="16">
        <f>IFERROR(('Incurred Loss'!H17-'Incurred Loss'!G17)/('Reported Count'!H17-'Reported Count'!G17),"")</f>
        <v/>
      </c>
      <c r="I72" s="16">
        <f>IFERROR(('Incurred Loss'!I17-'Incurred Loss'!H17)/('Reported Count'!I17-'Reported Count'!H17),"")</f>
        <v/>
      </c>
      <c r="J72" s="16">
        <f>IFERROR(('Incurred Loss'!J17-'Incurred Loss'!I17)/('Reported Count'!J17-'Reported Count'!I17),"")</f>
        <v/>
      </c>
      <c r="K72" s="16">
        <f>IFERROR(('Incurred Loss'!K17-'Incurred Loss'!J17)/('Reported Count'!K17-'Reported Count'!J17),"")</f>
        <v/>
      </c>
      <c r="L72" s="16">
        <f>IFERROR(('Incurred Loss'!L17-'Incurred Loss'!K17)/('Reported Count'!L17-'Reported Count'!K17),"")</f>
        <v/>
      </c>
      <c r="M72" s="16">
        <f>IFERROR(('Incurred Loss'!M17-'Incurred Loss'!L17)/('Reported Count'!M17-'Reported Count'!L17),"")</f>
        <v/>
      </c>
      <c r="N72" s="16">
        <f>IFERROR(('Incurred Loss'!N17-'Incurred Loss'!M17)/('Reported Count'!N17-'Reported Count'!M17),"")</f>
        <v/>
      </c>
      <c r="O72" s="16">
        <f>IFERROR(('Incurred Loss'!O17-'Incurred Loss'!N17)/('Reported Count'!O17-'Reported Count'!N17),"")</f>
        <v/>
      </c>
      <c r="P72" s="16">
        <f>IFERROR(('Incurred Loss'!P17-'Incurred Loss'!O17)/('Reported Count'!P17-'Reported Count'!O17),"")</f>
        <v/>
      </c>
      <c r="Q72" s="16">
        <f>IFERROR(('Incurred Loss'!Q17-'Incurred Loss'!P17)/('Reported Count'!Q17-'Reported Count'!P17),"")</f>
        <v/>
      </c>
      <c r="R72" s="16">
        <f>IFERROR(('Incurred Loss'!R17-'Incurred Loss'!Q17)/('Reported Count'!R17-'Reported Count'!Q17),"")</f>
        <v/>
      </c>
      <c r="S72" s="16">
        <f>IFERROR(('Incurred Loss'!S17-'Incurred Loss'!R17)/('Reported Count'!S17-'Reported Count'!R17),"")</f>
        <v/>
      </c>
      <c r="T72" s="16">
        <f>IFERROR(('Incurred Loss'!T17-'Incurred Loss'!S17)/('Reported Count'!T17-'Reported Count'!S17),"")</f>
        <v/>
      </c>
      <c r="U72" s="16">
        <f>IFERROR(('Incurred Loss'!U17-'Incurred Loss'!T17)/('Reported Count'!U17-'Reported Count'!T17),"")</f>
        <v/>
      </c>
      <c r="V72" s="16">
        <f>IFERROR(('Incurred Loss'!V17-'Incurred Loss'!U17)/('Reported Count'!V17-'Reported Count'!U17),"")</f>
        <v/>
      </c>
      <c r="W72" s="16">
        <f>IFERROR(('Incurred Loss'!W17-'Incurred Loss'!V17)/('Reported Count'!W17-'Reported Count'!V17),"")</f>
        <v/>
      </c>
      <c r="X72" s="16">
        <f>IFERROR(('Incurred Loss'!X17-'Incurred Loss'!W17)/('Reported Count'!X17-'Reported Count'!W17),"")</f>
        <v/>
      </c>
      <c r="Y72" s="16">
        <f>IFERROR(('Incurred Loss'!Y17-'Incurred Loss'!X17)/('Reported Count'!Y17-'Reported Count'!X17),"")</f>
        <v/>
      </c>
    </row>
    <row r="73">
      <c r="A73" s="15" t="inlineStr">
        <is>
          <t>2017</t>
        </is>
      </c>
      <c r="B73" s="16">
        <f>IFERROR('Incurred Loss'!B18/'Reported Count'!B18,"")</f>
        <v/>
      </c>
      <c r="C73" s="16">
        <f>IFERROR(('Incurred Loss'!C18-'Incurred Loss'!B18)/('Reported Count'!C18-'Reported Count'!B18),"")</f>
        <v/>
      </c>
      <c r="D73" s="16">
        <f>IFERROR(('Incurred Loss'!D18-'Incurred Loss'!C18)/('Reported Count'!D18-'Reported Count'!C18),"")</f>
        <v/>
      </c>
      <c r="E73" s="16">
        <f>IFERROR(('Incurred Loss'!E18-'Incurred Loss'!D18)/('Reported Count'!E18-'Reported Count'!D18),"")</f>
        <v/>
      </c>
      <c r="F73" s="16">
        <f>IFERROR(('Incurred Loss'!F18-'Incurred Loss'!E18)/('Reported Count'!F18-'Reported Count'!E18),"")</f>
        <v/>
      </c>
      <c r="G73" s="16">
        <f>IFERROR(('Incurred Loss'!G18-'Incurred Loss'!F18)/('Reported Count'!G18-'Reported Count'!F18),"")</f>
        <v/>
      </c>
      <c r="H73" s="16">
        <f>IFERROR(('Incurred Loss'!H18-'Incurred Loss'!G18)/('Reported Count'!H18-'Reported Count'!G18),"")</f>
        <v/>
      </c>
      <c r="I73" s="16">
        <f>IFERROR(('Incurred Loss'!I18-'Incurred Loss'!H18)/('Reported Count'!I18-'Reported Count'!H18),"")</f>
        <v/>
      </c>
      <c r="J73" s="16">
        <f>IFERROR(('Incurred Loss'!J18-'Incurred Loss'!I18)/('Reported Count'!J18-'Reported Count'!I18),"")</f>
        <v/>
      </c>
      <c r="K73" s="16">
        <f>IFERROR(('Incurred Loss'!K18-'Incurred Loss'!J18)/('Reported Count'!K18-'Reported Count'!J18),"")</f>
        <v/>
      </c>
      <c r="L73" s="16">
        <f>IFERROR(('Incurred Loss'!L18-'Incurred Loss'!K18)/('Reported Count'!L18-'Reported Count'!K18),"")</f>
        <v/>
      </c>
      <c r="M73" s="16">
        <f>IFERROR(('Incurred Loss'!M18-'Incurred Loss'!L18)/('Reported Count'!M18-'Reported Count'!L18),"")</f>
        <v/>
      </c>
      <c r="N73" s="16">
        <f>IFERROR(('Incurred Loss'!N18-'Incurred Loss'!M18)/('Reported Count'!N18-'Reported Count'!M18),"")</f>
        <v/>
      </c>
      <c r="O73" s="16">
        <f>IFERROR(('Incurred Loss'!O18-'Incurred Loss'!N18)/('Reported Count'!O18-'Reported Count'!N18),"")</f>
        <v/>
      </c>
      <c r="P73" s="16">
        <f>IFERROR(('Incurred Loss'!P18-'Incurred Loss'!O18)/('Reported Count'!P18-'Reported Count'!O18),"")</f>
        <v/>
      </c>
      <c r="Q73" s="16">
        <f>IFERROR(('Incurred Loss'!Q18-'Incurred Loss'!P18)/('Reported Count'!Q18-'Reported Count'!P18),"")</f>
        <v/>
      </c>
      <c r="R73" s="16">
        <f>IFERROR(('Incurred Loss'!R18-'Incurred Loss'!Q18)/('Reported Count'!R18-'Reported Count'!Q18),"")</f>
        <v/>
      </c>
      <c r="S73" s="16">
        <f>IFERROR(('Incurred Loss'!S18-'Incurred Loss'!R18)/('Reported Count'!S18-'Reported Count'!R18),"")</f>
        <v/>
      </c>
      <c r="T73" s="16">
        <f>IFERROR(('Incurred Loss'!T18-'Incurred Loss'!S18)/('Reported Count'!T18-'Reported Count'!S18),"")</f>
        <v/>
      </c>
      <c r="U73" s="16">
        <f>IFERROR(('Incurred Loss'!U18-'Incurred Loss'!T18)/('Reported Count'!U18-'Reported Count'!T18),"")</f>
        <v/>
      </c>
      <c r="V73" s="16">
        <f>IFERROR(('Incurred Loss'!V18-'Incurred Loss'!U18)/('Reported Count'!V18-'Reported Count'!U18),"")</f>
        <v/>
      </c>
      <c r="W73" s="16">
        <f>IFERROR(('Incurred Loss'!W18-'Incurred Loss'!V18)/('Reported Count'!W18-'Reported Count'!V18),"")</f>
        <v/>
      </c>
      <c r="X73" s="16">
        <f>IFERROR(('Incurred Loss'!X18-'Incurred Loss'!W18)/('Reported Count'!X18-'Reported Count'!W18),"")</f>
        <v/>
      </c>
      <c r="Y73" s="16">
        <f>IFERROR(('Incurred Loss'!Y18-'Incurred Loss'!X18)/('Reported Count'!Y18-'Reported Count'!X18),"")</f>
        <v/>
      </c>
    </row>
    <row r="74">
      <c r="A74" s="15" t="inlineStr">
        <is>
          <t>2018</t>
        </is>
      </c>
      <c r="B74" s="16">
        <f>IFERROR('Incurred Loss'!B19/'Reported Count'!B19,"")</f>
        <v/>
      </c>
      <c r="C74" s="16">
        <f>IFERROR(('Incurred Loss'!C19-'Incurred Loss'!B19)/('Reported Count'!C19-'Reported Count'!B19),"")</f>
        <v/>
      </c>
      <c r="D74" s="16">
        <f>IFERROR(('Incurred Loss'!D19-'Incurred Loss'!C19)/('Reported Count'!D19-'Reported Count'!C19),"")</f>
        <v/>
      </c>
      <c r="E74" s="16">
        <f>IFERROR(('Incurred Loss'!E19-'Incurred Loss'!D19)/('Reported Count'!E19-'Reported Count'!D19),"")</f>
        <v/>
      </c>
      <c r="F74" s="16">
        <f>IFERROR(('Incurred Loss'!F19-'Incurred Loss'!E19)/('Reported Count'!F19-'Reported Count'!E19),"")</f>
        <v/>
      </c>
      <c r="G74" s="16">
        <f>IFERROR(('Incurred Loss'!G19-'Incurred Loss'!F19)/('Reported Count'!G19-'Reported Count'!F19),"")</f>
        <v/>
      </c>
      <c r="H74" s="16">
        <f>IFERROR(('Incurred Loss'!H19-'Incurred Loss'!G19)/('Reported Count'!H19-'Reported Count'!G19),"")</f>
        <v/>
      </c>
      <c r="I74" s="16">
        <f>IFERROR(('Incurred Loss'!I19-'Incurred Loss'!H19)/('Reported Count'!I19-'Reported Count'!H19),"")</f>
        <v/>
      </c>
      <c r="J74" s="16">
        <f>IFERROR(('Incurred Loss'!J19-'Incurred Loss'!I19)/('Reported Count'!J19-'Reported Count'!I19),"")</f>
        <v/>
      </c>
      <c r="K74" s="16">
        <f>IFERROR(('Incurred Loss'!K19-'Incurred Loss'!J19)/('Reported Count'!K19-'Reported Count'!J19),"")</f>
        <v/>
      </c>
      <c r="L74" s="16">
        <f>IFERROR(('Incurred Loss'!L19-'Incurred Loss'!K19)/('Reported Count'!L19-'Reported Count'!K19),"")</f>
        <v/>
      </c>
      <c r="M74" s="16">
        <f>IFERROR(('Incurred Loss'!M19-'Incurred Loss'!L19)/('Reported Count'!M19-'Reported Count'!L19),"")</f>
        <v/>
      </c>
      <c r="N74" s="16">
        <f>IFERROR(('Incurred Loss'!N19-'Incurred Loss'!M19)/('Reported Count'!N19-'Reported Count'!M19),"")</f>
        <v/>
      </c>
      <c r="O74" s="16">
        <f>IFERROR(('Incurred Loss'!O19-'Incurred Loss'!N19)/('Reported Count'!O19-'Reported Count'!N19),"")</f>
        <v/>
      </c>
      <c r="P74" s="16">
        <f>IFERROR(('Incurred Loss'!P19-'Incurred Loss'!O19)/('Reported Count'!P19-'Reported Count'!O19),"")</f>
        <v/>
      </c>
      <c r="Q74" s="16">
        <f>IFERROR(('Incurred Loss'!Q19-'Incurred Loss'!P19)/('Reported Count'!Q19-'Reported Count'!P19),"")</f>
        <v/>
      </c>
      <c r="R74" s="16">
        <f>IFERROR(('Incurred Loss'!R19-'Incurred Loss'!Q19)/('Reported Count'!R19-'Reported Count'!Q19),"")</f>
        <v/>
      </c>
      <c r="S74" s="16">
        <f>IFERROR(('Incurred Loss'!S19-'Incurred Loss'!R19)/('Reported Count'!S19-'Reported Count'!R19),"")</f>
        <v/>
      </c>
      <c r="T74" s="16">
        <f>IFERROR(('Incurred Loss'!T19-'Incurred Loss'!S19)/('Reported Count'!T19-'Reported Count'!S19),"")</f>
        <v/>
      </c>
      <c r="U74" s="16">
        <f>IFERROR(('Incurred Loss'!U19-'Incurred Loss'!T19)/('Reported Count'!U19-'Reported Count'!T19),"")</f>
        <v/>
      </c>
      <c r="V74" s="16">
        <f>IFERROR(('Incurred Loss'!V19-'Incurred Loss'!U19)/('Reported Count'!V19-'Reported Count'!U19),"")</f>
        <v/>
      </c>
      <c r="W74" s="16">
        <f>IFERROR(('Incurred Loss'!W19-'Incurred Loss'!V19)/('Reported Count'!W19-'Reported Count'!V19),"")</f>
        <v/>
      </c>
      <c r="X74" s="16">
        <f>IFERROR(('Incurred Loss'!X19-'Incurred Loss'!W19)/('Reported Count'!X19-'Reported Count'!W19),"")</f>
        <v/>
      </c>
      <c r="Y74" s="16">
        <f>IFERROR(('Incurred Loss'!Y19-'Incurred Loss'!X19)/('Reported Count'!Y19-'Reported Count'!X19),"")</f>
        <v/>
      </c>
    </row>
    <row r="75">
      <c r="A75" s="15" t="inlineStr">
        <is>
          <t>2019</t>
        </is>
      </c>
      <c r="B75" s="16">
        <f>IFERROR('Incurred Loss'!B20/'Reported Count'!B20,"")</f>
        <v/>
      </c>
      <c r="C75" s="16">
        <f>IFERROR(('Incurred Loss'!C20-'Incurred Loss'!B20)/('Reported Count'!C20-'Reported Count'!B20),"")</f>
        <v/>
      </c>
      <c r="D75" s="16">
        <f>IFERROR(('Incurred Loss'!D20-'Incurred Loss'!C20)/('Reported Count'!D20-'Reported Count'!C20),"")</f>
        <v/>
      </c>
      <c r="E75" s="16">
        <f>IFERROR(('Incurred Loss'!E20-'Incurred Loss'!D20)/('Reported Count'!E20-'Reported Count'!D20),"")</f>
        <v/>
      </c>
      <c r="F75" s="16">
        <f>IFERROR(('Incurred Loss'!F20-'Incurred Loss'!E20)/('Reported Count'!F20-'Reported Count'!E20),"")</f>
        <v/>
      </c>
      <c r="G75" s="16">
        <f>IFERROR(('Incurred Loss'!G20-'Incurred Loss'!F20)/('Reported Count'!G20-'Reported Count'!F20),"")</f>
        <v/>
      </c>
      <c r="H75" s="16">
        <f>IFERROR(('Incurred Loss'!H20-'Incurred Loss'!G20)/('Reported Count'!H20-'Reported Count'!G20),"")</f>
        <v/>
      </c>
      <c r="I75" s="16">
        <f>IFERROR(('Incurred Loss'!I20-'Incurred Loss'!H20)/('Reported Count'!I20-'Reported Count'!H20),"")</f>
        <v/>
      </c>
      <c r="J75" s="16">
        <f>IFERROR(('Incurred Loss'!J20-'Incurred Loss'!I20)/('Reported Count'!J20-'Reported Count'!I20),"")</f>
        <v/>
      </c>
      <c r="K75" s="16">
        <f>IFERROR(('Incurred Loss'!K20-'Incurred Loss'!J20)/('Reported Count'!K20-'Reported Count'!J20),"")</f>
        <v/>
      </c>
      <c r="L75" s="16">
        <f>IFERROR(('Incurred Loss'!L20-'Incurred Loss'!K20)/('Reported Count'!L20-'Reported Count'!K20),"")</f>
        <v/>
      </c>
      <c r="M75" s="16">
        <f>IFERROR(('Incurred Loss'!M20-'Incurred Loss'!L20)/('Reported Count'!M20-'Reported Count'!L20),"")</f>
        <v/>
      </c>
      <c r="N75" s="16">
        <f>IFERROR(('Incurred Loss'!N20-'Incurred Loss'!M20)/('Reported Count'!N20-'Reported Count'!M20),"")</f>
        <v/>
      </c>
      <c r="O75" s="16">
        <f>IFERROR(('Incurred Loss'!O20-'Incurred Loss'!N20)/('Reported Count'!O20-'Reported Count'!N20),"")</f>
        <v/>
      </c>
      <c r="P75" s="16">
        <f>IFERROR(('Incurred Loss'!P20-'Incurred Loss'!O20)/('Reported Count'!P20-'Reported Count'!O20),"")</f>
        <v/>
      </c>
      <c r="Q75" s="16">
        <f>IFERROR(('Incurred Loss'!Q20-'Incurred Loss'!P20)/('Reported Count'!Q20-'Reported Count'!P20),"")</f>
        <v/>
      </c>
      <c r="R75" s="16">
        <f>IFERROR(('Incurred Loss'!R20-'Incurred Loss'!Q20)/('Reported Count'!R20-'Reported Count'!Q20),"")</f>
        <v/>
      </c>
      <c r="S75" s="16">
        <f>IFERROR(('Incurred Loss'!S20-'Incurred Loss'!R20)/('Reported Count'!S20-'Reported Count'!R20),"")</f>
        <v/>
      </c>
      <c r="T75" s="16">
        <f>IFERROR(('Incurred Loss'!T20-'Incurred Loss'!S20)/('Reported Count'!T20-'Reported Count'!S20),"")</f>
        <v/>
      </c>
      <c r="U75" s="16">
        <f>IFERROR(('Incurred Loss'!U20-'Incurred Loss'!T20)/('Reported Count'!U20-'Reported Count'!T20),"")</f>
        <v/>
      </c>
      <c r="V75" s="16">
        <f>IFERROR(('Incurred Loss'!V20-'Incurred Loss'!U20)/('Reported Count'!V20-'Reported Count'!U20),"")</f>
        <v/>
      </c>
      <c r="W75" s="16">
        <f>IFERROR(('Incurred Loss'!W20-'Incurred Loss'!V20)/('Reported Count'!W20-'Reported Count'!V20),"")</f>
        <v/>
      </c>
      <c r="X75" s="16">
        <f>IFERROR(('Incurred Loss'!X20-'Incurred Loss'!W20)/('Reported Count'!X20-'Reported Count'!W20),"")</f>
        <v/>
      </c>
      <c r="Y75" s="16">
        <f>IFERROR(('Incurred Loss'!Y20-'Incurred Loss'!X20)/('Reported Count'!Y20-'Reported Count'!X20),"")</f>
        <v/>
      </c>
    </row>
    <row r="76">
      <c r="A76" s="15" t="inlineStr">
        <is>
          <t>2020</t>
        </is>
      </c>
      <c r="B76" s="16">
        <f>IFERROR('Incurred Loss'!B21/'Reported Count'!B21,"")</f>
        <v/>
      </c>
      <c r="C76" s="16">
        <f>IFERROR(('Incurred Loss'!C21-'Incurred Loss'!B21)/('Reported Count'!C21-'Reported Count'!B21),"")</f>
        <v/>
      </c>
      <c r="D76" s="16">
        <f>IFERROR(('Incurred Loss'!D21-'Incurred Loss'!C21)/('Reported Count'!D21-'Reported Count'!C21),"")</f>
        <v/>
      </c>
      <c r="E76" s="16">
        <f>IFERROR(('Incurred Loss'!E21-'Incurred Loss'!D21)/('Reported Count'!E21-'Reported Count'!D21),"")</f>
        <v/>
      </c>
      <c r="F76" s="16">
        <f>IFERROR(('Incurred Loss'!F21-'Incurred Loss'!E21)/('Reported Count'!F21-'Reported Count'!E21),"")</f>
        <v/>
      </c>
      <c r="G76" s="16">
        <f>IFERROR(('Incurred Loss'!G21-'Incurred Loss'!F21)/('Reported Count'!G21-'Reported Count'!F21),"")</f>
        <v/>
      </c>
      <c r="H76" s="16">
        <f>IFERROR(('Incurred Loss'!H21-'Incurred Loss'!G21)/('Reported Count'!H21-'Reported Count'!G21),"")</f>
        <v/>
      </c>
      <c r="I76" s="16">
        <f>IFERROR(('Incurred Loss'!I21-'Incurred Loss'!H21)/('Reported Count'!I21-'Reported Count'!H21),"")</f>
        <v/>
      </c>
      <c r="J76" s="16">
        <f>IFERROR(('Incurred Loss'!J21-'Incurred Loss'!I21)/('Reported Count'!J21-'Reported Count'!I21),"")</f>
        <v/>
      </c>
      <c r="K76" s="16">
        <f>IFERROR(('Incurred Loss'!K21-'Incurred Loss'!J21)/('Reported Count'!K21-'Reported Count'!J21),"")</f>
        <v/>
      </c>
      <c r="L76" s="16">
        <f>IFERROR(('Incurred Loss'!L21-'Incurred Loss'!K21)/('Reported Count'!L21-'Reported Count'!K21),"")</f>
        <v/>
      </c>
      <c r="M76" s="16">
        <f>IFERROR(('Incurred Loss'!M21-'Incurred Loss'!L21)/('Reported Count'!M21-'Reported Count'!L21),"")</f>
        <v/>
      </c>
      <c r="N76" s="16">
        <f>IFERROR(('Incurred Loss'!N21-'Incurred Loss'!M21)/('Reported Count'!N21-'Reported Count'!M21),"")</f>
        <v/>
      </c>
      <c r="O76" s="16">
        <f>IFERROR(('Incurred Loss'!O21-'Incurred Loss'!N21)/('Reported Count'!O21-'Reported Count'!N21),"")</f>
        <v/>
      </c>
      <c r="P76" s="16">
        <f>IFERROR(('Incurred Loss'!P21-'Incurred Loss'!O21)/('Reported Count'!P21-'Reported Count'!O21),"")</f>
        <v/>
      </c>
      <c r="Q76" s="16">
        <f>IFERROR(('Incurred Loss'!Q21-'Incurred Loss'!P21)/('Reported Count'!Q21-'Reported Count'!P21),"")</f>
        <v/>
      </c>
      <c r="R76" s="16">
        <f>IFERROR(('Incurred Loss'!R21-'Incurred Loss'!Q21)/('Reported Count'!R21-'Reported Count'!Q21),"")</f>
        <v/>
      </c>
      <c r="S76" s="16">
        <f>IFERROR(('Incurred Loss'!S21-'Incurred Loss'!R21)/('Reported Count'!S21-'Reported Count'!R21),"")</f>
        <v/>
      </c>
      <c r="T76" s="16">
        <f>IFERROR(('Incurred Loss'!T21-'Incurred Loss'!S21)/('Reported Count'!T21-'Reported Count'!S21),"")</f>
        <v/>
      </c>
      <c r="U76" s="16">
        <f>IFERROR(('Incurred Loss'!U21-'Incurred Loss'!T21)/('Reported Count'!U21-'Reported Count'!T21),"")</f>
        <v/>
      </c>
      <c r="V76" s="16">
        <f>IFERROR(('Incurred Loss'!V21-'Incurred Loss'!U21)/('Reported Count'!V21-'Reported Count'!U21),"")</f>
        <v/>
      </c>
      <c r="W76" s="16">
        <f>IFERROR(('Incurred Loss'!W21-'Incurred Loss'!V21)/('Reported Count'!W21-'Reported Count'!V21),"")</f>
        <v/>
      </c>
      <c r="X76" s="16">
        <f>IFERROR(('Incurred Loss'!X21-'Incurred Loss'!W21)/('Reported Count'!X21-'Reported Count'!W21),"")</f>
        <v/>
      </c>
      <c r="Y76" s="16">
        <f>IFERROR(('Incurred Loss'!Y21-'Incurred Loss'!X21)/('Reported Count'!Y21-'Reported Count'!X21),"")</f>
        <v/>
      </c>
    </row>
    <row r="77">
      <c r="A77" s="15" t="inlineStr">
        <is>
          <t>2021</t>
        </is>
      </c>
      <c r="B77" s="16">
        <f>IFERROR('Incurred Loss'!B22/'Reported Count'!B22,"")</f>
        <v/>
      </c>
      <c r="C77" s="16">
        <f>IFERROR(('Incurred Loss'!C22-'Incurred Loss'!B22)/('Reported Count'!C22-'Reported Count'!B22),"")</f>
        <v/>
      </c>
      <c r="D77" s="16">
        <f>IFERROR(('Incurred Loss'!D22-'Incurred Loss'!C22)/('Reported Count'!D22-'Reported Count'!C22),"")</f>
        <v/>
      </c>
      <c r="E77" s="16">
        <f>IFERROR(('Incurred Loss'!E22-'Incurred Loss'!D22)/('Reported Count'!E22-'Reported Count'!D22),"")</f>
        <v/>
      </c>
      <c r="F77" s="16">
        <f>IFERROR(('Incurred Loss'!F22-'Incurred Loss'!E22)/('Reported Count'!F22-'Reported Count'!E22),"")</f>
        <v/>
      </c>
      <c r="G77" s="16">
        <f>IFERROR(('Incurred Loss'!G22-'Incurred Loss'!F22)/('Reported Count'!G22-'Reported Count'!F22),"")</f>
        <v/>
      </c>
      <c r="H77" s="16">
        <f>IFERROR(('Incurred Loss'!H22-'Incurred Loss'!G22)/('Reported Count'!H22-'Reported Count'!G22),"")</f>
        <v/>
      </c>
      <c r="I77" s="16">
        <f>IFERROR(('Incurred Loss'!I22-'Incurred Loss'!H22)/('Reported Count'!I22-'Reported Count'!H22),"")</f>
        <v/>
      </c>
      <c r="J77" s="16">
        <f>IFERROR(('Incurred Loss'!J22-'Incurred Loss'!I22)/('Reported Count'!J22-'Reported Count'!I22),"")</f>
        <v/>
      </c>
      <c r="K77" s="16">
        <f>IFERROR(('Incurred Loss'!K22-'Incurred Loss'!J22)/('Reported Count'!K22-'Reported Count'!J22),"")</f>
        <v/>
      </c>
      <c r="L77" s="16">
        <f>IFERROR(('Incurred Loss'!L22-'Incurred Loss'!K22)/('Reported Count'!L22-'Reported Count'!K22),"")</f>
        <v/>
      </c>
      <c r="M77" s="16">
        <f>IFERROR(('Incurred Loss'!M22-'Incurred Loss'!L22)/('Reported Count'!M22-'Reported Count'!L22),"")</f>
        <v/>
      </c>
      <c r="N77" s="16">
        <f>IFERROR(('Incurred Loss'!N22-'Incurred Loss'!M22)/('Reported Count'!N22-'Reported Count'!M22),"")</f>
        <v/>
      </c>
      <c r="O77" s="16">
        <f>IFERROR(('Incurred Loss'!O22-'Incurred Loss'!N22)/('Reported Count'!O22-'Reported Count'!N22),"")</f>
        <v/>
      </c>
      <c r="P77" s="16">
        <f>IFERROR(('Incurred Loss'!P22-'Incurred Loss'!O22)/('Reported Count'!P22-'Reported Count'!O22),"")</f>
        <v/>
      </c>
      <c r="Q77" s="16">
        <f>IFERROR(('Incurred Loss'!Q22-'Incurred Loss'!P22)/('Reported Count'!Q22-'Reported Count'!P22),"")</f>
        <v/>
      </c>
      <c r="R77" s="16">
        <f>IFERROR(('Incurred Loss'!R22-'Incurred Loss'!Q22)/('Reported Count'!R22-'Reported Count'!Q22),"")</f>
        <v/>
      </c>
      <c r="S77" s="16">
        <f>IFERROR(('Incurred Loss'!S22-'Incurred Loss'!R22)/('Reported Count'!S22-'Reported Count'!R22),"")</f>
        <v/>
      </c>
      <c r="T77" s="16">
        <f>IFERROR(('Incurred Loss'!T22-'Incurred Loss'!S22)/('Reported Count'!T22-'Reported Count'!S22),"")</f>
        <v/>
      </c>
      <c r="U77" s="16">
        <f>IFERROR(('Incurred Loss'!U22-'Incurred Loss'!T22)/('Reported Count'!U22-'Reported Count'!T22),"")</f>
        <v/>
      </c>
      <c r="V77" s="16">
        <f>IFERROR(('Incurred Loss'!V22-'Incurred Loss'!U22)/('Reported Count'!V22-'Reported Count'!U22),"")</f>
        <v/>
      </c>
      <c r="W77" s="16">
        <f>IFERROR(('Incurred Loss'!W22-'Incurred Loss'!V22)/('Reported Count'!W22-'Reported Count'!V22),"")</f>
        <v/>
      </c>
      <c r="X77" s="16">
        <f>IFERROR(('Incurred Loss'!X22-'Incurred Loss'!W22)/('Reported Count'!X22-'Reported Count'!W22),"")</f>
        <v/>
      </c>
      <c r="Y77" s="16">
        <f>IFERROR(('Incurred Loss'!Y22-'Incurred Loss'!X22)/('Reported Count'!Y22-'Reported Count'!X22),"")</f>
        <v/>
      </c>
    </row>
    <row r="78">
      <c r="A78" s="15" t="inlineStr">
        <is>
          <t>2022</t>
        </is>
      </c>
      <c r="B78" s="16">
        <f>IFERROR('Incurred Loss'!B23/'Reported Count'!B23,"")</f>
        <v/>
      </c>
      <c r="C78" s="16">
        <f>IFERROR(('Incurred Loss'!C23-'Incurred Loss'!B23)/('Reported Count'!C23-'Reported Count'!B23),"")</f>
        <v/>
      </c>
      <c r="D78" s="16">
        <f>IFERROR(('Incurred Loss'!D23-'Incurred Loss'!C23)/('Reported Count'!D23-'Reported Count'!C23),"")</f>
        <v/>
      </c>
      <c r="E78" s="16">
        <f>IFERROR(('Incurred Loss'!E23-'Incurred Loss'!D23)/('Reported Count'!E23-'Reported Count'!D23),"")</f>
        <v/>
      </c>
      <c r="F78" s="16">
        <f>IFERROR(('Incurred Loss'!F23-'Incurred Loss'!E23)/('Reported Count'!F23-'Reported Count'!E23),"")</f>
        <v/>
      </c>
      <c r="G78" s="16">
        <f>IFERROR(('Incurred Loss'!G23-'Incurred Loss'!F23)/('Reported Count'!G23-'Reported Count'!F23),"")</f>
        <v/>
      </c>
      <c r="H78" s="16">
        <f>IFERROR(('Incurred Loss'!H23-'Incurred Loss'!G23)/('Reported Count'!H23-'Reported Count'!G23),"")</f>
        <v/>
      </c>
      <c r="I78" s="16">
        <f>IFERROR(('Incurred Loss'!I23-'Incurred Loss'!H23)/('Reported Count'!I23-'Reported Count'!H23),"")</f>
        <v/>
      </c>
      <c r="J78" s="16">
        <f>IFERROR(('Incurred Loss'!J23-'Incurred Loss'!I23)/('Reported Count'!J23-'Reported Count'!I23),"")</f>
        <v/>
      </c>
      <c r="K78" s="16">
        <f>IFERROR(('Incurred Loss'!K23-'Incurred Loss'!J23)/('Reported Count'!K23-'Reported Count'!J23),"")</f>
        <v/>
      </c>
      <c r="L78" s="16">
        <f>IFERROR(('Incurred Loss'!L23-'Incurred Loss'!K23)/('Reported Count'!L23-'Reported Count'!K23),"")</f>
        <v/>
      </c>
      <c r="M78" s="16">
        <f>IFERROR(('Incurred Loss'!M23-'Incurred Loss'!L23)/('Reported Count'!M23-'Reported Count'!L23),"")</f>
        <v/>
      </c>
      <c r="N78" s="16">
        <f>IFERROR(('Incurred Loss'!N23-'Incurred Loss'!M23)/('Reported Count'!N23-'Reported Count'!M23),"")</f>
        <v/>
      </c>
      <c r="O78" s="16">
        <f>IFERROR(('Incurred Loss'!O23-'Incurred Loss'!N23)/('Reported Count'!O23-'Reported Count'!N23),"")</f>
        <v/>
      </c>
      <c r="P78" s="16">
        <f>IFERROR(('Incurred Loss'!P23-'Incurred Loss'!O23)/('Reported Count'!P23-'Reported Count'!O23),"")</f>
        <v/>
      </c>
      <c r="Q78" s="16">
        <f>IFERROR(('Incurred Loss'!Q23-'Incurred Loss'!P23)/('Reported Count'!Q23-'Reported Count'!P23),"")</f>
        <v/>
      </c>
      <c r="R78" s="16">
        <f>IFERROR(('Incurred Loss'!R23-'Incurred Loss'!Q23)/('Reported Count'!R23-'Reported Count'!Q23),"")</f>
        <v/>
      </c>
      <c r="S78" s="16">
        <f>IFERROR(('Incurred Loss'!S23-'Incurred Loss'!R23)/('Reported Count'!S23-'Reported Count'!R23),"")</f>
        <v/>
      </c>
      <c r="T78" s="16">
        <f>IFERROR(('Incurred Loss'!T23-'Incurred Loss'!S23)/('Reported Count'!T23-'Reported Count'!S23),"")</f>
        <v/>
      </c>
      <c r="U78" s="16">
        <f>IFERROR(('Incurred Loss'!U23-'Incurred Loss'!T23)/('Reported Count'!U23-'Reported Count'!T23),"")</f>
        <v/>
      </c>
      <c r="V78" s="16">
        <f>IFERROR(('Incurred Loss'!V23-'Incurred Loss'!U23)/('Reported Count'!V23-'Reported Count'!U23),"")</f>
        <v/>
      </c>
      <c r="W78" s="16">
        <f>IFERROR(('Incurred Loss'!W23-'Incurred Loss'!V23)/('Reported Count'!W23-'Reported Count'!V23),"")</f>
        <v/>
      </c>
      <c r="X78" s="16">
        <f>IFERROR(('Incurred Loss'!X23-'Incurred Loss'!W23)/('Reported Count'!X23-'Reported Count'!W23),"")</f>
        <v/>
      </c>
      <c r="Y78" s="16">
        <f>IFERROR(('Incurred Loss'!Y23-'Incurred Loss'!X23)/('Reported Count'!Y23-'Reported Count'!X23),"")</f>
        <v/>
      </c>
    </row>
    <row r="79">
      <c r="A79" s="15" t="inlineStr">
        <is>
          <t>2023</t>
        </is>
      </c>
      <c r="B79" s="16">
        <f>IFERROR('Incurred Loss'!B24/'Reported Count'!B24,"")</f>
        <v/>
      </c>
      <c r="C79" s="16">
        <f>IFERROR(('Incurred Loss'!C24-'Incurred Loss'!B24)/('Reported Count'!C24-'Reported Count'!B24),"")</f>
        <v/>
      </c>
      <c r="D79" s="16">
        <f>IFERROR(('Incurred Loss'!D24-'Incurred Loss'!C24)/('Reported Count'!D24-'Reported Count'!C24),"")</f>
        <v/>
      </c>
      <c r="E79" s="16">
        <f>IFERROR(('Incurred Loss'!E24-'Incurred Loss'!D24)/('Reported Count'!E24-'Reported Count'!D24),"")</f>
        <v/>
      </c>
      <c r="F79" s="16">
        <f>IFERROR(('Incurred Loss'!F24-'Incurred Loss'!E24)/('Reported Count'!F24-'Reported Count'!E24),"")</f>
        <v/>
      </c>
      <c r="G79" s="16">
        <f>IFERROR(('Incurred Loss'!G24-'Incurred Loss'!F24)/('Reported Count'!G24-'Reported Count'!F24),"")</f>
        <v/>
      </c>
      <c r="H79" s="16">
        <f>IFERROR(('Incurred Loss'!H24-'Incurred Loss'!G24)/('Reported Count'!H24-'Reported Count'!G24),"")</f>
        <v/>
      </c>
      <c r="I79" s="16">
        <f>IFERROR(('Incurred Loss'!I24-'Incurred Loss'!H24)/('Reported Count'!I24-'Reported Count'!H24),"")</f>
        <v/>
      </c>
      <c r="J79" s="16">
        <f>IFERROR(('Incurred Loss'!J24-'Incurred Loss'!I24)/('Reported Count'!J24-'Reported Count'!I24),"")</f>
        <v/>
      </c>
      <c r="K79" s="16">
        <f>IFERROR(('Incurred Loss'!K24-'Incurred Loss'!J24)/('Reported Count'!K24-'Reported Count'!J24),"")</f>
        <v/>
      </c>
      <c r="L79" s="16">
        <f>IFERROR(('Incurred Loss'!L24-'Incurred Loss'!K24)/('Reported Count'!L24-'Reported Count'!K24),"")</f>
        <v/>
      </c>
      <c r="M79" s="16">
        <f>IFERROR(('Incurred Loss'!M24-'Incurred Loss'!L24)/('Reported Count'!M24-'Reported Count'!L24),"")</f>
        <v/>
      </c>
      <c r="N79" s="16">
        <f>IFERROR(('Incurred Loss'!N24-'Incurred Loss'!M24)/('Reported Count'!N24-'Reported Count'!M24),"")</f>
        <v/>
      </c>
      <c r="O79" s="16">
        <f>IFERROR(('Incurred Loss'!O24-'Incurred Loss'!N24)/('Reported Count'!O24-'Reported Count'!N24),"")</f>
        <v/>
      </c>
      <c r="P79" s="16">
        <f>IFERROR(('Incurred Loss'!P24-'Incurred Loss'!O24)/('Reported Count'!P24-'Reported Count'!O24),"")</f>
        <v/>
      </c>
      <c r="Q79" s="16">
        <f>IFERROR(('Incurred Loss'!Q24-'Incurred Loss'!P24)/('Reported Count'!Q24-'Reported Count'!P24),"")</f>
        <v/>
      </c>
      <c r="R79" s="16">
        <f>IFERROR(('Incurred Loss'!R24-'Incurred Loss'!Q24)/('Reported Count'!R24-'Reported Count'!Q24),"")</f>
        <v/>
      </c>
      <c r="S79" s="16">
        <f>IFERROR(('Incurred Loss'!S24-'Incurred Loss'!R24)/('Reported Count'!S24-'Reported Count'!R24),"")</f>
        <v/>
      </c>
      <c r="T79" s="16">
        <f>IFERROR(('Incurred Loss'!T24-'Incurred Loss'!S24)/('Reported Count'!T24-'Reported Count'!S24),"")</f>
        <v/>
      </c>
      <c r="U79" s="16">
        <f>IFERROR(('Incurred Loss'!U24-'Incurred Loss'!T24)/('Reported Count'!U24-'Reported Count'!T24),"")</f>
        <v/>
      </c>
      <c r="V79" s="16">
        <f>IFERROR(('Incurred Loss'!V24-'Incurred Loss'!U24)/('Reported Count'!V24-'Reported Count'!U24),"")</f>
        <v/>
      </c>
      <c r="W79" s="16">
        <f>IFERROR(('Incurred Loss'!W24-'Incurred Loss'!V24)/('Reported Count'!W24-'Reported Count'!V24),"")</f>
        <v/>
      </c>
      <c r="X79" s="16">
        <f>IFERROR(('Incurred Loss'!X24-'Incurred Loss'!W24)/('Reported Count'!X24-'Reported Count'!W24),"")</f>
        <v/>
      </c>
      <c r="Y79" s="16">
        <f>IFERROR(('Incurred Loss'!Y24-'Incurred Loss'!X24)/('Reported Count'!Y24-'Reported Count'!X24),"")</f>
        <v/>
      </c>
    </row>
    <row r="80">
      <c r="A80" s="15" t="inlineStr">
        <is>
          <t>2024</t>
        </is>
      </c>
      <c r="B80" s="16">
        <f>IFERROR('Incurred Loss'!B25/'Reported Count'!B25,"")</f>
        <v/>
      </c>
      <c r="C80" s="16">
        <f>IFERROR(('Incurred Loss'!C25-'Incurred Loss'!B25)/('Reported Count'!C25-'Reported Count'!B25),"")</f>
        <v/>
      </c>
      <c r="D80" s="16">
        <f>IFERROR(('Incurred Loss'!D25-'Incurred Loss'!C25)/('Reported Count'!D25-'Reported Count'!C25),"")</f>
        <v/>
      </c>
      <c r="E80" s="16">
        <f>IFERROR(('Incurred Loss'!E25-'Incurred Loss'!D25)/('Reported Count'!E25-'Reported Count'!D25),"")</f>
        <v/>
      </c>
      <c r="F80" s="16">
        <f>IFERROR(('Incurred Loss'!F25-'Incurred Loss'!E25)/('Reported Count'!F25-'Reported Count'!E25),"")</f>
        <v/>
      </c>
      <c r="G80" s="16">
        <f>IFERROR(('Incurred Loss'!G25-'Incurred Loss'!F25)/('Reported Count'!G25-'Reported Count'!F25),"")</f>
        <v/>
      </c>
      <c r="H80" s="16">
        <f>IFERROR(('Incurred Loss'!H25-'Incurred Loss'!G25)/('Reported Count'!H25-'Reported Count'!G25),"")</f>
        <v/>
      </c>
      <c r="I80" s="16">
        <f>IFERROR(('Incurred Loss'!I25-'Incurred Loss'!H25)/('Reported Count'!I25-'Reported Count'!H25),"")</f>
        <v/>
      </c>
      <c r="J80" s="16">
        <f>IFERROR(('Incurred Loss'!J25-'Incurred Loss'!I25)/('Reported Count'!J25-'Reported Count'!I25),"")</f>
        <v/>
      </c>
      <c r="K80" s="16">
        <f>IFERROR(('Incurred Loss'!K25-'Incurred Loss'!J25)/('Reported Count'!K25-'Reported Count'!J25),"")</f>
        <v/>
      </c>
      <c r="L80" s="16">
        <f>IFERROR(('Incurred Loss'!L25-'Incurred Loss'!K25)/('Reported Count'!L25-'Reported Count'!K25),"")</f>
        <v/>
      </c>
      <c r="M80" s="16">
        <f>IFERROR(('Incurred Loss'!M25-'Incurred Loss'!L25)/('Reported Count'!M25-'Reported Count'!L25),"")</f>
        <v/>
      </c>
      <c r="N80" s="16">
        <f>IFERROR(('Incurred Loss'!N25-'Incurred Loss'!M25)/('Reported Count'!N25-'Reported Count'!M25),"")</f>
        <v/>
      </c>
      <c r="O80" s="16">
        <f>IFERROR(('Incurred Loss'!O25-'Incurred Loss'!N25)/('Reported Count'!O25-'Reported Count'!N25),"")</f>
        <v/>
      </c>
      <c r="P80" s="16">
        <f>IFERROR(('Incurred Loss'!P25-'Incurred Loss'!O25)/('Reported Count'!P25-'Reported Count'!O25),"")</f>
        <v/>
      </c>
      <c r="Q80" s="16">
        <f>IFERROR(('Incurred Loss'!Q25-'Incurred Loss'!P25)/('Reported Count'!Q25-'Reported Count'!P25),"")</f>
        <v/>
      </c>
      <c r="R80" s="16">
        <f>IFERROR(('Incurred Loss'!R25-'Incurred Loss'!Q25)/('Reported Count'!R25-'Reported Count'!Q25),"")</f>
        <v/>
      </c>
      <c r="S80" s="16">
        <f>IFERROR(('Incurred Loss'!S25-'Incurred Loss'!R25)/('Reported Count'!S25-'Reported Count'!R25),"")</f>
        <v/>
      </c>
      <c r="T80" s="16">
        <f>IFERROR(('Incurred Loss'!T25-'Incurred Loss'!S25)/('Reported Count'!T25-'Reported Count'!S25),"")</f>
        <v/>
      </c>
      <c r="U80" s="16">
        <f>IFERROR(('Incurred Loss'!U25-'Incurred Loss'!T25)/('Reported Count'!U25-'Reported Count'!T25),"")</f>
        <v/>
      </c>
      <c r="V80" s="16">
        <f>IFERROR(('Incurred Loss'!V25-'Incurred Loss'!U25)/('Reported Count'!V25-'Reported Count'!U25),"")</f>
        <v/>
      </c>
      <c r="W80" s="16">
        <f>IFERROR(('Incurred Loss'!W25-'Incurred Loss'!V25)/('Reported Count'!W25-'Reported Count'!V25),"")</f>
        <v/>
      </c>
      <c r="X80" s="16">
        <f>IFERROR(('Incurred Loss'!X25-'Incurred Loss'!W25)/('Reported Count'!X25-'Reported Count'!W25),"")</f>
        <v/>
      </c>
      <c r="Y80" s="16">
        <f>IFERROR(('Incurred Loss'!Y25-'Incurred Loss'!X25)/('Reported Count'!Y25-'Reported Count'!X25),"")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25" t="inlineStr">
        <is>
          <t>INCURRED LOSS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" t="n"/>
    </row>
    <row r="2">
      <c r="A2" s="18" t="inlineStr">
        <is>
          <t>Metric</t>
        </is>
      </c>
      <c r="B2" s="8" t="inlineStr">
        <is>
          <t>11-23</t>
        </is>
      </c>
      <c r="C2" s="8" t="inlineStr">
        <is>
          <t>23-35</t>
        </is>
      </c>
      <c r="D2" s="8" t="inlineStr">
        <is>
          <t>35-47</t>
        </is>
      </c>
      <c r="E2" s="8" t="inlineStr">
        <is>
          <t>47-59</t>
        </is>
      </c>
      <c r="F2" s="8" t="inlineStr">
        <is>
          <t>59-71</t>
        </is>
      </c>
      <c r="G2" s="8" t="inlineStr">
        <is>
          <t>71-83</t>
        </is>
      </c>
      <c r="H2" s="8" t="inlineStr">
        <is>
          <t>83-95</t>
        </is>
      </c>
      <c r="I2" s="8" t="inlineStr">
        <is>
          <t>95-107</t>
        </is>
      </c>
      <c r="J2" s="8" t="inlineStr">
        <is>
          <t>107-119</t>
        </is>
      </c>
      <c r="K2" s="8" t="inlineStr">
        <is>
          <t>119-131</t>
        </is>
      </c>
      <c r="L2" s="8" t="inlineStr">
        <is>
          <t>131-143</t>
        </is>
      </c>
      <c r="M2" s="8" t="inlineStr">
        <is>
          <t>143-155</t>
        </is>
      </c>
      <c r="N2" s="8" t="inlineStr">
        <is>
          <t>155-167</t>
        </is>
      </c>
      <c r="O2" s="8" t="inlineStr">
        <is>
          <t>167-179</t>
        </is>
      </c>
      <c r="P2" s="8" t="inlineStr">
        <is>
          <t>179-191</t>
        </is>
      </c>
      <c r="Q2" s="8" t="inlineStr">
        <is>
          <t>191-203</t>
        </is>
      </c>
      <c r="R2" s="8" t="inlineStr">
        <is>
          <t>203-215</t>
        </is>
      </c>
      <c r="S2" s="8" t="inlineStr">
        <is>
          <t>215-227</t>
        </is>
      </c>
      <c r="T2" s="8" t="inlineStr">
        <is>
          <t>227-239</t>
        </is>
      </c>
      <c r="U2" s="8" t="inlineStr">
        <is>
          <t>239-251</t>
        </is>
      </c>
      <c r="V2" s="8" t="inlineStr">
        <is>
          <t>251-263</t>
        </is>
      </c>
      <c r="W2" s="8" t="inlineStr">
        <is>
          <t>263-275</t>
        </is>
      </c>
      <c r="X2" s="8" t="inlineStr">
        <is>
          <t>275-287</t>
        </is>
      </c>
      <c r="Y2" s="8" t="inlineStr">
        <is>
          <t>Tail</t>
        </is>
      </c>
    </row>
    <row r="3">
      <c r="A3" s="19" t="inlineStr">
        <is>
          <t>cv_3yr</t>
        </is>
      </c>
      <c r="B3" s="17">
        <f>IFERROR(STDEV.S('Incurred Loss'!B49:B51)/AVERAGE('Incurred Loss'!B49:B51),"")</f>
        <v/>
      </c>
      <c r="C3" s="17">
        <f>IFERROR(STDEV.S('Incurred Loss'!C49:C51)/AVERAGE('Incurred Loss'!C49:C51),"")</f>
        <v/>
      </c>
      <c r="D3" s="17">
        <f>IFERROR(STDEV.S('Incurred Loss'!D49:D51)/AVERAGE('Incurred Loss'!D49:D51),"")</f>
        <v/>
      </c>
      <c r="E3" s="17">
        <f>IFERROR(STDEV.S('Incurred Loss'!E49:E51)/AVERAGE('Incurred Loss'!E49:E51),"")</f>
        <v/>
      </c>
      <c r="F3" s="17">
        <f>IFERROR(STDEV.S('Incurred Loss'!F49:F51)/AVERAGE('Incurred Loss'!F49:F51),"")</f>
        <v/>
      </c>
      <c r="G3" s="17">
        <f>IFERROR(STDEV.S('Incurred Loss'!G49:G51)/AVERAGE('Incurred Loss'!G49:G51),"")</f>
        <v/>
      </c>
      <c r="H3" s="17">
        <f>IFERROR(STDEV.S('Incurred Loss'!H49:H51)/AVERAGE('Incurred Loss'!H49:H51),"")</f>
        <v/>
      </c>
      <c r="I3" s="17">
        <f>IFERROR(STDEV.S('Incurred Loss'!I49:I51)/AVERAGE('Incurred Loss'!I49:I51),"")</f>
        <v/>
      </c>
      <c r="J3" s="17">
        <f>IFERROR(STDEV.S('Incurred Loss'!J49:J51)/AVERAGE('Incurred Loss'!J49:J51),"")</f>
        <v/>
      </c>
      <c r="K3" s="17">
        <f>IFERROR(STDEV.S('Incurred Loss'!K49:K51)/AVERAGE('Incurred Loss'!K49:K51),"")</f>
        <v/>
      </c>
      <c r="L3" s="17">
        <f>IFERROR(STDEV.S('Incurred Loss'!L49:L51)/AVERAGE('Incurred Loss'!L49:L51),"")</f>
        <v/>
      </c>
      <c r="M3" s="17">
        <f>IFERROR(STDEV.S('Incurred Loss'!M49:M51)/AVERAGE('Incurred Loss'!M49:M51),"")</f>
        <v/>
      </c>
      <c r="N3" s="17">
        <f>IFERROR(STDEV.S('Incurred Loss'!N49:N51)/AVERAGE('Incurred Loss'!N49:N51),"")</f>
        <v/>
      </c>
      <c r="O3" s="17">
        <f>IFERROR(STDEV.S('Incurred Loss'!O49:O51)/AVERAGE('Incurred Loss'!O49:O51),"")</f>
        <v/>
      </c>
      <c r="P3" s="17">
        <f>IFERROR(STDEV.S('Incurred Loss'!P49:P51)/AVERAGE('Incurred Loss'!P49:P51),"")</f>
        <v/>
      </c>
      <c r="Q3" s="17">
        <f>IFERROR(STDEV.S('Incurred Loss'!Q49:Q51)/AVERAGE('Incurred Loss'!Q49:Q51),"")</f>
        <v/>
      </c>
      <c r="R3" s="17">
        <f>IFERROR(STDEV.S('Incurred Loss'!R49:R51)/AVERAGE('Incurred Loss'!R49:R51),"")</f>
        <v/>
      </c>
      <c r="S3" s="17">
        <f>IFERROR(STDEV.S('Incurred Loss'!S49:S51)/AVERAGE('Incurred Loss'!S49:S51),"")</f>
        <v/>
      </c>
      <c r="T3" s="17">
        <f>IFERROR(STDEV.S('Incurred Loss'!T49:T51)/AVERAGE('Incurred Loss'!T49:T51),"")</f>
        <v/>
      </c>
      <c r="U3" s="17">
        <f>IFERROR(STDEV.S('Incurred Loss'!U49:U51)/AVERAGE('Incurred Loss'!U49:U51),"")</f>
        <v/>
      </c>
      <c r="V3" s="17">
        <f>IFERROR(STDEV.S('Incurred Loss'!V49:V51)/AVERAGE('Incurred Loss'!V49:V51),"")</f>
        <v/>
      </c>
      <c r="W3" s="17">
        <f>IFERROR(STDEV.S('Incurred Loss'!W49:W51)/AVERAGE('Incurred Loss'!W49:W51),"")</f>
        <v/>
      </c>
      <c r="X3" s="17">
        <f>IFERROR(STDEV.S('Incurred Loss'!X49:X51)/AVERAGE('Incurred Loss'!X49:X51),"")</f>
        <v/>
      </c>
    </row>
    <row r="4">
      <c r="A4" s="19" t="inlineStr">
        <is>
          <t>cv_5yr</t>
        </is>
      </c>
      <c r="B4" s="17">
        <f>IFERROR(STDEV.S('Incurred Loss'!B47:B51)/AVERAGE('Incurred Loss'!B47:B51),"")</f>
        <v/>
      </c>
      <c r="C4" s="17">
        <f>IFERROR(STDEV.S('Incurred Loss'!C47:C51)/AVERAGE('Incurred Loss'!C47:C51),"")</f>
        <v/>
      </c>
      <c r="D4" s="17">
        <f>IFERROR(STDEV.S('Incurred Loss'!D47:D51)/AVERAGE('Incurred Loss'!D47:D51),"")</f>
        <v/>
      </c>
      <c r="E4" s="17">
        <f>IFERROR(STDEV.S('Incurred Loss'!E47:E51)/AVERAGE('Incurred Loss'!E47:E51),"")</f>
        <v/>
      </c>
      <c r="F4" s="17">
        <f>IFERROR(STDEV.S('Incurred Loss'!F47:F51)/AVERAGE('Incurred Loss'!F47:F51),"")</f>
        <v/>
      </c>
      <c r="G4" s="17">
        <f>IFERROR(STDEV.S('Incurred Loss'!G47:G51)/AVERAGE('Incurred Loss'!G47:G51),"")</f>
        <v/>
      </c>
      <c r="H4" s="17">
        <f>IFERROR(STDEV.S('Incurred Loss'!H47:H51)/AVERAGE('Incurred Loss'!H47:H51),"")</f>
        <v/>
      </c>
      <c r="I4" s="17">
        <f>IFERROR(STDEV.S('Incurred Loss'!I47:I51)/AVERAGE('Incurred Loss'!I47:I51),"")</f>
        <v/>
      </c>
      <c r="J4" s="17">
        <f>IFERROR(STDEV.S('Incurred Loss'!J47:J51)/AVERAGE('Incurred Loss'!J47:J51),"")</f>
        <v/>
      </c>
      <c r="K4" s="17">
        <f>IFERROR(STDEV.S('Incurred Loss'!K47:K51)/AVERAGE('Incurred Loss'!K47:K51),"")</f>
        <v/>
      </c>
      <c r="L4" s="17">
        <f>IFERROR(STDEV.S('Incurred Loss'!L47:L51)/AVERAGE('Incurred Loss'!L47:L51),"")</f>
        <v/>
      </c>
      <c r="M4" s="17">
        <f>IFERROR(STDEV.S('Incurred Loss'!M47:M51)/AVERAGE('Incurred Loss'!M47:M51),"")</f>
        <v/>
      </c>
      <c r="N4" s="17">
        <f>IFERROR(STDEV.S('Incurred Loss'!N47:N51)/AVERAGE('Incurred Loss'!N47:N51),"")</f>
        <v/>
      </c>
      <c r="O4" s="17">
        <f>IFERROR(STDEV.S('Incurred Loss'!O47:O51)/AVERAGE('Incurred Loss'!O47:O51),"")</f>
        <v/>
      </c>
      <c r="P4" s="17">
        <f>IFERROR(STDEV.S('Incurred Loss'!P47:P51)/AVERAGE('Incurred Loss'!P47:P51),"")</f>
        <v/>
      </c>
      <c r="Q4" s="17">
        <f>IFERROR(STDEV.S('Incurred Loss'!Q47:Q51)/AVERAGE('Incurred Loss'!Q47:Q51),"")</f>
        <v/>
      </c>
      <c r="R4" s="17">
        <f>IFERROR(STDEV.S('Incurred Loss'!R47:R51)/AVERAGE('Incurred Loss'!R47:R51),"")</f>
        <v/>
      </c>
      <c r="S4" s="17">
        <f>IFERROR(STDEV.S('Incurred Loss'!S47:S51)/AVERAGE('Incurred Loss'!S47:S51),"")</f>
        <v/>
      </c>
      <c r="T4" s="17">
        <f>IFERROR(STDEV.S('Incurred Loss'!T47:T51)/AVERAGE('Incurred Loss'!T47:T51),"")</f>
        <v/>
      </c>
      <c r="U4" s="17">
        <f>IFERROR(STDEV.S('Incurred Loss'!U47:U51)/AVERAGE('Incurred Loss'!U47:U51),"")</f>
        <v/>
      </c>
      <c r="V4" s="17">
        <f>IFERROR(STDEV.S('Incurred Loss'!V47:V51)/AVERAGE('Incurred Loss'!V47:V51),"")</f>
        <v/>
      </c>
      <c r="W4" s="17">
        <f>IFERROR(STDEV.S('Incurred Loss'!W47:W51)/AVERAGE('Incurred Loss'!W47:W51),"")</f>
        <v/>
      </c>
      <c r="X4" s="17">
        <f>IFERROR(STDEV.S('Incurred Loss'!X47:X51)/AVERAGE('Incurred Loss'!X47:X51),"")</f>
        <v/>
      </c>
    </row>
    <row r="5">
      <c r="A5" s="19" t="inlineStr">
        <is>
          <t>cv_10yr</t>
        </is>
      </c>
      <c r="B5" s="17">
        <f>IFERROR(STDEV.S('Incurred Loss'!B42:B51)/AVERAGE('Incurred Loss'!B42:B51),"")</f>
        <v/>
      </c>
      <c r="C5" s="17">
        <f>IFERROR(STDEV.S('Incurred Loss'!C42:C51)/AVERAGE('Incurred Loss'!C42:C51),"")</f>
        <v/>
      </c>
      <c r="D5" s="17">
        <f>IFERROR(STDEV.S('Incurred Loss'!D42:D51)/AVERAGE('Incurred Loss'!D42:D51),"")</f>
        <v/>
      </c>
      <c r="E5" s="17">
        <f>IFERROR(STDEV.S('Incurred Loss'!E42:E51)/AVERAGE('Incurred Loss'!E42:E51),"")</f>
        <v/>
      </c>
      <c r="F5" s="17">
        <f>IFERROR(STDEV.S('Incurred Loss'!F42:F51)/AVERAGE('Incurred Loss'!F42:F51),"")</f>
        <v/>
      </c>
      <c r="G5" s="17">
        <f>IFERROR(STDEV.S('Incurred Loss'!G42:G51)/AVERAGE('Incurred Loss'!G42:G51),"")</f>
        <v/>
      </c>
      <c r="H5" s="17">
        <f>IFERROR(STDEV.S('Incurred Loss'!H42:H51)/AVERAGE('Incurred Loss'!H42:H51),"")</f>
        <v/>
      </c>
      <c r="I5" s="17">
        <f>IFERROR(STDEV.S('Incurred Loss'!I42:I51)/AVERAGE('Incurred Loss'!I42:I51),"")</f>
        <v/>
      </c>
      <c r="J5" s="17">
        <f>IFERROR(STDEV.S('Incurred Loss'!J42:J51)/AVERAGE('Incurred Loss'!J42:J51),"")</f>
        <v/>
      </c>
      <c r="K5" s="17">
        <f>IFERROR(STDEV.S('Incurred Loss'!K42:K51)/AVERAGE('Incurred Loss'!K42:K51),"")</f>
        <v/>
      </c>
      <c r="L5" s="17">
        <f>IFERROR(STDEV.S('Incurred Loss'!L42:L51)/AVERAGE('Incurred Loss'!L42:L51),"")</f>
        <v/>
      </c>
      <c r="M5" s="17">
        <f>IFERROR(STDEV.S('Incurred Loss'!M42:M51)/AVERAGE('Incurred Loss'!M42:M51),"")</f>
        <v/>
      </c>
      <c r="N5" s="17">
        <f>IFERROR(STDEV.S('Incurred Loss'!N42:N51)/AVERAGE('Incurred Loss'!N42:N51),"")</f>
        <v/>
      </c>
      <c r="O5" s="17">
        <f>IFERROR(STDEV.S('Incurred Loss'!O42:O51)/AVERAGE('Incurred Loss'!O42:O51),"")</f>
        <v/>
      </c>
      <c r="P5" s="17">
        <f>IFERROR(STDEV.S('Incurred Loss'!P42:P51)/AVERAGE('Incurred Loss'!P42:P51),"")</f>
        <v/>
      </c>
      <c r="Q5" s="17">
        <f>IFERROR(STDEV.S('Incurred Loss'!Q42:Q51)/AVERAGE('Incurred Loss'!Q42:Q51),"")</f>
        <v/>
      </c>
      <c r="R5" s="17">
        <f>IFERROR(STDEV.S('Incurred Loss'!R42:R51)/AVERAGE('Incurred Loss'!R42:R51),"")</f>
        <v/>
      </c>
      <c r="S5" s="17">
        <f>IFERROR(STDEV.S('Incurred Loss'!S42:S51)/AVERAGE('Incurred Loss'!S42:S51),"")</f>
        <v/>
      </c>
      <c r="T5" s="17">
        <f>IFERROR(STDEV.S('Incurred Loss'!T42:T51)/AVERAGE('Incurred Loss'!T42:T51),"")</f>
        <v/>
      </c>
      <c r="U5" s="17">
        <f>IFERROR(STDEV.S('Incurred Loss'!U42:U51)/AVERAGE('Incurred Loss'!U42:U51),"")</f>
        <v/>
      </c>
      <c r="V5" s="17">
        <f>IFERROR(STDEV.S('Incurred Loss'!V42:V51)/AVERAGE('Incurred Loss'!V42:V51),"")</f>
        <v/>
      </c>
      <c r="W5" s="17">
        <f>IFERROR(STDEV.S('Incurred Loss'!W42:W51)/AVERAGE('Incurred Loss'!W42:W51),"")</f>
        <v/>
      </c>
      <c r="X5" s="17">
        <f>IFERROR(STDEV.S('Incurred Loss'!X42:X51)/AVERAGE('Incurred Loss'!X42:X51),"")</f>
        <v/>
      </c>
    </row>
    <row r="6">
      <c r="A6" s="19" t="inlineStr">
        <is>
          <t>slope_3yr</t>
        </is>
      </c>
      <c r="B6" s="17">
        <f>IFERROR(SLOPE('Incurred Loss'!B49:B51,{1,2,3}),"")</f>
        <v/>
      </c>
      <c r="C6" s="17">
        <f>IFERROR(SLOPE('Incurred Loss'!C49:C51,{1,2,3}),"")</f>
        <v/>
      </c>
      <c r="D6" s="17">
        <f>IFERROR(SLOPE('Incurred Loss'!D49:D51,{1,2,3}),"")</f>
        <v/>
      </c>
      <c r="E6" s="17">
        <f>IFERROR(SLOPE('Incurred Loss'!E49:E51,{1,2,3}),"")</f>
        <v/>
      </c>
      <c r="F6" s="17">
        <f>IFERROR(SLOPE('Incurred Loss'!F49:F51,{1,2,3}),"")</f>
        <v/>
      </c>
      <c r="G6" s="17">
        <f>IFERROR(SLOPE('Incurred Loss'!G49:G51,{1,2,3}),"")</f>
        <v/>
      </c>
      <c r="H6" s="17">
        <f>IFERROR(SLOPE('Incurred Loss'!H49:H51,{1,2,3}),"")</f>
        <v/>
      </c>
      <c r="I6" s="17">
        <f>IFERROR(SLOPE('Incurred Loss'!I49:I51,{1,2,3}),"")</f>
        <v/>
      </c>
      <c r="J6" s="17">
        <f>IFERROR(SLOPE('Incurred Loss'!J49:J51,{1,2,3}),"")</f>
        <v/>
      </c>
      <c r="K6" s="17">
        <f>IFERROR(SLOPE('Incurred Loss'!K49:K51,{1,2,3}),"")</f>
        <v/>
      </c>
      <c r="L6" s="17">
        <f>IFERROR(SLOPE('Incurred Loss'!L49:L51,{1,2,3}),"")</f>
        <v/>
      </c>
      <c r="M6" s="17">
        <f>IFERROR(SLOPE('Incurred Loss'!M49:M51,{1,2,3}),"")</f>
        <v/>
      </c>
      <c r="N6" s="17">
        <f>IFERROR(SLOPE('Incurred Loss'!N49:N51,{1,2,3}),"")</f>
        <v/>
      </c>
      <c r="O6" s="17">
        <f>IFERROR(SLOPE('Incurred Loss'!O49:O51,{1,2,3}),"")</f>
        <v/>
      </c>
      <c r="P6" s="17">
        <f>IFERROR(SLOPE('Incurred Loss'!P49:P51,{1,2,3}),"")</f>
        <v/>
      </c>
      <c r="Q6" s="17">
        <f>IFERROR(SLOPE('Incurred Loss'!Q49:Q51,{1,2,3}),"")</f>
        <v/>
      </c>
      <c r="R6" s="17">
        <f>IFERROR(SLOPE('Incurred Loss'!R49:R51,{1,2,3}),"")</f>
        <v/>
      </c>
      <c r="S6" s="17">
        <f>IFERROR(SLOPE('Incurred Loss'!S49:S51,{1,2,3}),"")</f>
        <v/>
      </c>
      <c r="T6" s="17">
        <f>IFERROR(SLOPE('Incurred Loss'!T49:T51,{1,2,3}),"")</f>
        <v/>
      </c>
      <c r="U6" s="17">
        <f>IFERROR(SLOPE('Incurred Loss'!U49:U51,{1,2,3}),"")</f>
        <v/>
      </c>
      <c r="V6" s="17">
        <f>IFERROR(SLOPE('Incurred Loss'!V49:V51,{1,2,3}),"")</f>
        <v/>
      </c>
      <c r="W6" s="17">
        <f>IFERROR(SLOPE('Incurred Loss'!W49:W51,{1,2,3}),"")</f>
        <v/>
      </c>
      <c r="X6" s="17">
        <f>IFERROR(SLOPE('Incurred Loss'!X49:X51,{1,2,3}),"")</f>
        <v/>
      </c>
    </row>
    <row r="7">
      <c r="A7" s="19" t="inlineStr">
        <is>
          <t>slope_5yr</t>
        </is>
      </c>
      <c r="B7" s="17">
        <f>IFERROR(SLOPE('Incurred Loss'!B47:B51,{1,2,3,4,5}),"")</f>
        <v/>
      </c>
      <c r="C7" s="17">
        <f>IFERROR(SLOPE('Incurred Loss'!C47:C51,{1,2,3,4,5}),"")</f>
        <v/>
      </c>
      <c r="D7" s="17">
        <f>IFERROR(SLOPE('Incurred Loss'!D47:D51,{1,2,3,4,5}),"")</f>
        <v/>
      </c>
      <c r="E7" s="17">
        <f>IFERROR(SLOPE('Incurred Loss'!E47:E51,{1,2,3,4,5}),"")</f>
        <v/>
      </c>
      <c r="F7" s="17">
        <f>IFERROR(SLOPE('Incurred Loss'!F47:F51,{1,2,3,4,5}),"")</f>
        <v/>
      </c>
      <c r="G7" s="17">
        <f>IFERROR(SLOPE('Incurred Loss'!G47:G51,{1,2,3,4,5}),"")</f>
        <v/>
      </c>
      <c r="H7" s="17">
        <f>IFERROR(SLOPE('Incurred Loss'!H47:H51,{1,2,3,4,5}),"")</f>
        <v/>
      </c>
      <c r="I7" s="17">
        <f>IFERROR(SLOPE('Incurred Loss'!I47:I51,{1,2,3,4,5}),"")</f>
        <v/>
      </c>
      <c r="J7" s="17">
        <f>IFERROR(SLOPE('Incurred Loss'!J47:J51,{1,2,3,4,5}),"")</f>
        <v/>
      </c>
      <c r="K7" s="17">
        <f>IFERROR(SLOPE('Incurred Loss'!K47:K51,{1,2,3,4,5}),"")</f>
        <v/>
      </c>
      <c r="L7" s="17">
        <f>IFERROR(SLOPE('Incurred Loss'!L47:L51,{1,2,3,4,5}),"")</f>
        <v/>
      </c>
      <c r="M7" s="17">
        <f>IFERROR(SLOPE('Incurred Loss'!M47:M51,{1,2,3,4,5}),"")</f>
        <v/>
      </c>
      <c r="N7" s="17">
        <f>IFERROR(SLOPE('Incurred Loss'!N47:N51,{1,2,3,4,5}),"")</f>
        <v/>
      </c>
      <c r="O7" s="17">
        <f>IFERROR(SLOPE('Incurred Loss'!O47:O51,{1,2,3,4,5}),"")</f>
        <v/>
      </c>
      <c r="P7" s="17">
        <f>IFERROR(SLOPE('Incurred Loss'!P47:P51,{1,2,3,4,5}),"")</f>
        <v/>
      </c>
      <c r="Q7" s="17">
        <f>IFERROR(SLOPE('Incurred Loss'!Q47:Q51,{1,2,3,4,5}),"")</f>
        <v/>
      </c>
      <c r="R7" s="17">
        <f>IFERROR(SLOPE('Incurred Loss'!R47:R51,{1,2,3,4,5}),"")</f>
        <v/>
      </c>
      <c r="S7" s="17">
        <f>IFERROR(SLOPE('Incurred Loss'!S47:S51,{1,2,3,4,5}),"")</f>
        <v/>
      </c>
      <c r="T7" s="17">
        <f>IFERROR(SLOPE('Incurred Loss'!T47:T51,{1,2,3,4,5}),"")</f>
        <v/>
      </c>
      <c r="U7" s="17">
        <f>IFERROR(SLOPE('Incurred Loss'!U47:U51,{1,2,3,4,5}),"")</f>
        <v/>
      </c>
      <c r="V7" s="17">
        <f>IFERROR(SLOPE('Incurred Loss'!V47:V51,{1,2,3,4,5}),"")</f>
        <v/>
      </c>
      <c r="W7" s="17">
        <f>IFERROR(SLOPE('Incurred Loss'!W47:W51,{1,2,3,4,5}),"")</f>
        <v/>
      </c>
      <c r="X7" s="17">
        <f>IFERROR(SLOPE('Incurred Loss'!X47:X51,{1,2,3,4,5}),"")</f>
        <v/>
      </c>
    </row>
    <row r="8">
      <c r="A8" s="19" t="inlineStr">
        <is>
          <t>slope_10yr</t>
        </is>
      </c>
      <c r="B8" s="17">
        <f>IFERROR(SLOPE('Incurred Loss'!B42:B51,{1,2,3,4,5,6,7,8,9,10}),"")</f>
        <v/>
      </c>
      <c r="C8" s="17">
        <f>IFERROR(SLOPE('Incurred Loss'!C42:C51,{1,2,3,4,5,6,7,8,9,10}),"")</f>
        <v/>
      </c>
      <c r="D8" s="17">
        <f>IFERROR(SLOPE('Incurred Loss'!D42:D51,{1,2,3,4,5,6,7,8,9,10}),"")</f>
        <v/>
      </c>
      <c r="E8" s="17">
        <f>IFERROR(SLOPE('Incurred Loss'!E42:E51,{1,2,3,4,5,6,7,8,9,10}),"")</f>
        <v/>
      </c>
      <c r="F8" s="17">
        <f>IFERROR(SLOPE('Incurred Loss'!F42:F51,{1,2,3,4,5,6,7,8,9,10}),"")</f>
        <v/>
      </c>
      <c r="G8" s="17">
        <f>IFERROR(SLOPE('Incurred Loss'!G42:G51,{1,2,3,4,5,6,7,8,9,10}),"")</f>
        <v/>
      </c>
      <c r="H8" s="17">
        <f>IFERROR(SLOPE('Incurred Loss'!H42:H51,{1,2,3,4,5,6,7,8,9,10}),"")</f>
        <v/>
      </c>
      <c r="I8" s="17">
        <f>IFERROR(SLOPE('Incurred Loss'!I42:I51,{1,2,3,4,5,6,7,8,9,10}),"")</f>
        <v/>
      </c>
      <c r="J8" s="17">
        <f>IFERROR(SLOPE('Incurred Loss'!J42:J51,{1,2,3,4,5,6,7,8,9,10}),"")</f>
        <v/>
      </c>
      <c r="K8" s="17">
        <f>IFERROR(SLOPE('Incurred Loss'!K42:K51,{1,2,3,4,5,6,7,8,9,10}),"")</f>
        <v/>
      </c>
      <c r="L8" s="17">
        <f>IFERROR(SLOPE('Incurred Loss'!L42:L51,{1,2,3,4,5,6,7,8,9,10}),"")</f>
        <v/>
      </c>
      <c r="M8" s="17">
        <f>IFERROR(SLOPE('Incurred Loss'!M42:M51,{1,2,3,4,5,6,7,8,9,10}),"")</f>
        <v/>
      </c>
      <c r="N8" s="17">
        <f>IFERROR(SLOPE('Incurred Loss'!N42:N51,{1,2,3,4,5,6,7,8,9,10}),"")</f>
        <v/>
      </c>
      <c r="O8" s="17">
        <f>IFERROR(SLOPE('Incurred Loss'!O42:O51,{1,2,3,4,5,6,7,8,9,10}),"")</f>
        <v/>
      </c>
      <c r="P8" s="17">
        <f>IFERROR(SLOPE('Incurred Loss'!P42:P51,{1,2,3,4,5,6,7,8,9,10}),"")</f>
        <v/>
      </c>
      <c r="Q8" s="17">
        <f>IFERROR(SLOPE('Incurred Loss'!Q42:Q51,{1,2,3,4,5,6,7,8,9,10}),"")</f>
        <v/>
      </c>
      <c r="R8" s="17">
        <f>IFERROR(SLOPE('Incurred Loss'!R42:R51,{1,2,3,4,5,6,7,8,9,10}),"")</f>
        <v/>
      </c>
      <c r="S8" s="17">
        <f>IFERROR(SLOPE('Incurred Loss'!S42:S51,{1,2,3,4,5,6,7,8,9,10}),"")</f>
        <v/>
      </c>
      <c r="T8" s="17">
        <f>IFERROR(SLOPE('Incurred Loss'!T42:T51,{1,2,3,4,5,6,7,8,9,10}),"")</f>
        <v/>
      </c>
      <c r="U8" s="17">
        <f>IFERROR(SLOPE('Incurred Loss'!U42:U51,{1,2,3,4,5,6,7,8,9,10}),"")</f>
        <v/>
      </c>
      <c r="V8" s="17">
        <f>IFERROR(SLOPE('Incurred Loss'!V42:V51,{1,2,3,4,5,6,7,8,9,10}),"")</f>
        <v/>
      </c>
      <c r="W8" s="17">
        <f>IFERROR(SLOPE('Incurred Loss'!W42:W51,{1,2,3,4,5,6,7,8,9,10}),"")</f>
        <v/>
      </c>
      <c r="X8" s="17">
        <f>IFERROR(SLOPE('Incurred Loss'!X42:X51,{1,2,3,4,5,6,7,8,9,10}),"")</f>
        <v/>
      </c>
    </row>
    <row r="9"/>
    <row r="10">
      <c r="A10" s="25" t="inlineStr">
        <is>
          <t>PAID LOSS</t>
        </is>
      </c>
      <c r="B10" s="26" t="n"/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" t="n"/>
    </row>
    <row r="11">
      <c r="A11" s="18" t="inlineStr">
        <is>
          <t>Metric</t>
        </is>
      </c>
      <c r="B11" s="8" t="inlineStr">
        <is>
          <t>11-23</t>
        </is>
      </c>
      <c r="C11" s="8" t="inlineStr">
        <is>
          <t>23-35</t>
        </is>
      </c>
      <c r="D11" s="8" t="inlineStr">
        <is>
          <t>35-47</t>
        </is>
      </c>
      <c r="E11" s="8" t="inlineStr">
        <is>
          <t>47-59</t>
        </is>
      </c>
      <c r="F11" s="8" t="inlineStr">
        <is>
          <t>59-71</t>
        </is>
      </c>
      <c r="G11" s="8" t="inlineStr">
        <is>
          <t>71-83</t>
        </is>
      </c>
      <c r="H11" s="8" t="inlineStr">
        <is>
          <t>83-95</t>
        </is>
      </c>
      <c r="I11" s="8" t="inlineStr">
        <is>
          <t>95-107</t>
        </is>
      </c>
      <c r="J11" s="8" t="inlineStr">
        <is>
          <t>107-119</t>
        </is>
      </c>
      <c r="K11" s="8" t="inlineStr">
        <is>
          <t>119-131</t>
        </is>
      </c>
      <c r="L11" s="8" t="inlineStr">
        <is>
          <t>131-143</t>
        </is>
      </c>
      <c r="M11" s="8" t="inlineStr">
        <is>
          <t>143-155</t>
        </is>
      </c>
      <c r="N11" s="8" t="inlineStr">
        <is>
          <t>155-167</t>
        </is>
      </c>
      <c r="O11" s="8" t="inlineStr">
        <is>
          <t>167-179</t>
        </is>
      </c>
      <c r="P11" s="8" t="inlineStr">
        <is>
          <t>179-191</t>
        </is>
      </c>
      <c r="Q11" s="8" t="inlineStr">
        <is>
          <t>191-203</t>
        </is>
      </c>
      <c r="R11" s="8" t="inlineStr">
        <is>
          <t>203-215</t>
        </is>
      </c>
      <c r="S11" s="8" t="inlineStr">
        <is>
          <t>215-227</t>
        </is>
      </c>
      <c r="T11" s="8" t="inlineStr">
        <is>
          <t>227-239</t>
        </is>
      </c>
      <c r="U11" s="8" t="inlineStr">
        <is>
          <t>239-251</t>
        </is>
      </c>
      <c r="V11" s="8" t="inlineStr">
        <is>
          <t>251-263</t>
        </is>
      </c>
      <c r="W11" s="8" t="inlineStr">
        <is>
          <t>263-275</t>
        </is>
      </c>
      <c r="X11" s="8" t="inlineStr">
        <is>
          <t>275-287</t>
        </is>
      </c>
      <c r="Y11" s="8" t="inlineStr">
        <is>
          <t>Tail</t>
        </is>
      </c>
    </row>
    <row r="12">
      <c r="A12" s="19" t="inlineStr">
        <is>
          <t>cv_3yr</t>
        </is>
      </c>
      <c r="B12" s="17">
        <f>IFERROR(STDEV.S('Paid Loss'!B49:B51)/AVERAGE('Paid Loss'!B49:B51),"")</f>
        <v/>
      </c>
      <c r="C12" s="17">
        <f>IFERROR(STDEV.S('Paid Loss'!C49:C51)/AVERAGE('Paid Loss'!C49:C51),"")</f>
        <v/>
      </c>
      <c r="D12" s="17">
        <f>IFERROR(STDEV.S('Paid Loss'!D49:D51)/AVERAGE('Paid Loss'!D49:D51),"")</f>
        <v/>
      </c>
      <c r="E12" s="17">
        <f>IFERROR(STDEV.S('Paid Loss'!E49:E51)/AVERAGE('Paid Loss'!E49:E51),"")</f>
        <v/>
      </c>
      <c r="F12" s="17">
        <f>IFERROR(STDEV.S('Paid Loss'!F49:F51)/AVERAGE('Paid Loss'!F49:F51),"")</f>
        <v/>
      </c>
      <c r="G12" s="17">
        <f>IFERROR(STDEV.S('Paid Loss'!G49:G51)/AVERAGE('Paid Loss'!G49:G51),"")</f>
        <v/>
      </c>
      <c r="H12" s="17">
        <f>IFERROR(STDEV.S('Paid Loss'!H49:H51)/AVERAGE('Paid Loss'!H49:H51),"")</f>
        <v/>
      </c>
      <c r="I12" s="17">
        <f>IFERROR(STDEV.S('Paid Loss'!I49:I51)/AVERAGE('Paid Loss'!I49:I51),"")</f>
        <v/>
      </c>
      <c r="J12" s="17">
        <f>IFERROR(STDEV.S('Paid Loss'!J49:J51)/AVERAGE('Paid Loss'!J49:J51),"")</f>
        <v/>
      </c>
      <c r="K12" s="17">
        <f>IFERROR(STDEV.S('Paid Loss'!K49:K51)/AVERAGE('Paid Loss'!K49:K51),"")</f>
        <v/>
      </c>
      <c r="L12" s="17">
        <f>IFERROR(STDEV.S('Paid Loss'!L49:L51)/AVERAGE('Paid Loss'!L49:L51),"")</f>
        <v/>
      </c>
      <c r="M12" s="17">
        <f>IFERROR(STDEV.S('Paid Loss'!M49:M51)/AVERAGE('Paid Loss'!M49:M51),"")</f>
        <v/>
      </c>
      <c r="N12" s="17">
        <f>IFERROR(STDEV.S('Paid Loss'!N49:N51)/AVERAGE('Paid Loss'!N49:N51),"")</f>
        <v/>
      </c>
      <c r="O12" s="17">
        <f>IFERROR(STDEV.S('Paid Loss'!O49:O51)/AVERAGE('Paid Loss'!O49:O51),"")</f>
        <v/>
      </c>
      <c r="P12" s="17">
        <f>IFERROR(STDEV.S('Paid Loss'!P49:P51)/AVERAGE('Paid Loss'!P49:P51),"")</f>
        <v/>
      </c>
      <c r="Q12" s="17">
        <f>IFERROR(STDEV.S('Paid Loss'!Q49:Q51)/AVERAGE('Paid Loss'!Q49:Q51),"")</f>
        <v/>
      </c>
      <c r="R12" s="17">
        <f>IFERROR(STDEV.S('Paid Loss'!R49:R51)/AVERAGE('Paid Loss'!R49:R51),"")</f>
        <v/>
      </c>
      <c r="S12" s="17">
        <f>IFERROR(STDEV.S('Paid Loss'!S49:S51)/AVERAGE('Paid Loss'!S49:S51),"")</f>
        <v/>
      </c>
      <c r="T12" s="17">
        <f>IFERROR(STDEV.S('Paid Loss'!T49:T51)/AVERAGE('Paid Loss'!T49:T51),"")</f>
        <v/>
      </c>
      <c r="U12" s="17">
        <f>IFERROR(STDEV.S('Paid Loss'!U49:U51)/AVERAGE('Paid Loss'!U49:U51),"")</f>
        <v/>
      </c>
      <c r="V12" s="17">
        <f>IFERROR(STDEV.S('Paid Loss'!V49:V51)/AVERAGE('Paid Loss'!V49:V51),"")</f>
        <v/>
      </c>
      <c r="W12" s="17">
        <f>IFERROR(STDEV.S('Paid Loss'!W49:W51)/AVERAGE('Paid Loss'!W49:W51),"")</f>
        <v/>
      </c>
      <c r="X12" s="17">
        <f>IFERROR(STDEV.S('Paid Loss'!X49:X51)/AVERAGE('Paid Loss'!X49:X51),"")</f>
        <v/>
      </c>
    </row>
    <row r="13">
      <c r="A13" s="19" t="inlineStr">
        <is>
          <t>cv_5yr</t>
        </is>
      </c>
      <c r="B13" s="17">
        <f>IFERROR(STDEV.S('Paid Loss'!B47:B51)/AVERAGE('Paid Loss'!B47:B51),"")</f>
        <v/>
      </c>
      <c r="C13" s="17">
        <f>IFERROR(STDEV.S('Paid Loss'!C47:C51)/AVERAGE('Paid Loss'!C47:C51),"")</f>
        <v/>
      </c>
      <c r="D13" s="17">
        <f>IFERROR(STDEV.S('Paid Loss'!D47:D51)/AVERAGE('Paid Loss'!D47:D51),"")</f>
        <v/>
      </c>
      <c r="E13" s="17">
        <f>IFERROR(STDEV.S('Paid Loss'!E47:E51)/AVERAGE('Paid Loss'!E47:E51),"")</f>
        <v/>
      </c>
      <c r="F13" s="17">
        <f>IFERROR(STDEV.S('Paid Loss'!F47:F51)/AVERAGE('Paid Loss'!F47:F51),"")</f>
        <v/>
      </c>
      <c r="G13" s="17">
        <f>IFERROR(STDEV.S('Paid Loss'!G47:G51)/AVERAGE('Paid Loss'!G47:G51),"")</f>
        <v/>
      </c>
      <c r="H13" s="17">
        <f>IFERROR(STDEV.S('Paid Loss'!H47:H51)/AVERAGE('Paid Loss'!H47:H51),"")</f>
        <v/>
      </c>
      <c r="I13" s="17">
        <f>IFERROR(STDEV.S('Paid Loss'!I47:I51)/AVERAGE('Paid Loss'!I47:I51),"")</f>
        <v/>
      </c>
      <c r="J13" s="17">
        <f>IFERROR(STDEV.S('Paid Loss'!J47:J51)/AVERAGE('Paid Loss'!J47:J51),"")</f>
        <v/>
      </c>
      <c r="K13" s="17">
        <f>IFERROR(STDEV.S('Paid Loss'!K47:K51)/AVERAGE('Paid Loss'!K47:K51),"")</f>
        <v/>
      </c>
      <c r="L13" s="17">
        <f>IFERROR(STDEV.S('Paid Loss'!L47:L51)/AVERAGE('Paid Loss'!L47:L51),"")</f>
        <v/>
      </c>
      <c r="M13" s="17">
        <f>IFERROR(STDEV.S('Paid Loss'!M47:M51)/AVERAGE('Paid Loss'!M47:M51),"")</f>
        <v/>
      </c>
      <c r="N13" s="17">
        <f>IFERROR(STDEV.S('Paid Loss'!N47:N51)/AVERAGE('Paid Loss'!N47:N51),"")</f>
        <v/>
      </c>
      <c r="O13" s="17">
        <f>IFERROR(STDEV.S('Paid Loss'!O47:O51)/AVERAGE('Paid Loss'!O47:O51),"")</f>
        <v/>
      </c>
      <c r="P13" s="17">
        <f>IFERROR(STDEV.S('Paid Loss'!P47:P51)/AVERAGE('Paid Loss'!P47:P51),"")</f>
        <v/>
      </c>
      <c r="Q13" s="17">
        <f>IFERROR(STDEV.S('Paid Loss'!Q47:Q51)/AVERAGE('Paid Loss'!Q47:Q51),"")</f>
        <v/>
      </c>
      <c r="R13" s="17">
        <f>IFERROR(STDEV.S('Paid Loss'!R47:R51)/AVERAGE('Paid Loss'!R47:R51),"")</f>
        <v/>
      </c>
      <c r="S13" s="17">
        <f>IFERROR(STDEV.S('Paid Loss'!S47:S51)/AVERAGE('Paid Loss'!S47:S51),"")</f>
        <v/>
      </c>
      <c r="T13" s="17">
        <f>IFERROR(STDEV.S('Paid Loss'!T47:T51)/AVERAGE('Paid Loss'!T47:T51),"")</f>
        <v/>
      </c>
      <c r="U13" s="17">
        <f>IFERROR(STDEV.S('Paid Loss'!U47:U51)/AVERAGE('Paid Loss'!U47:U51),"")</f>
        <v/>
      </c>
      <c r="V13" s="17">
        <f>IFERROR(STDEV.S('Paid Loss'!V47:V51)/AVERAGE('Paid Loss'!V47:V51),"")</f>
        <v/>
      </c>
      <c r="W13" s="17">
        <f>IFERROR(STDEV.S('Paid Loss'!W47:W51)/AVERAGE('Paid Loss'!W47:W51),"")</f>
        <v/>
      </c>
      <c r="X13" s="17">
        <f>IFERROR(STDEV.S('Paid Loss'!X47:X51)/AVERAGE('Paid Loss'!X47:X51),"")</f>
        <v/>
      </c>
    </row>
    <row r="14">
      <c r="A14" s="19" t="inlineStr">
        <is>
          <t>cv_10yr</t>
        </is>
      </c>
      <c r="B14" s="17">
        <f>IFERROR(STDEV.S('Paid Loss'!B42:B51)/AVERAGE('Paid Loss'!B42:B51),"")</f>
        <v/>
      </c>
      <c r="C14" s="17">
        <f>IFERROR(STDEV.S('Paid Loss'!C42:C51)/AVERAGE('Paid Loss'!C42:C51),"")</f>
        <v/>
      </c>
      <c r="D14" s="17">
        <f>IFERROR(STDEV.S('Paid Loss'!D42:D51)/AVERAGE('Paid Loss'!D42:D51),"")</f>
        <v/>
      </c>
      <c r="E14" s="17">
        <f>IFERROR(STDEV.S('Paid Loss'!E42:E51)/AVERAGE('Paid Loss'!E42:E51),"")</f>
        <v/>
      </c>
      <c r="F14" s="17">
        <f>IFERROR(STDEV.S('Paid Loss'!F42:F51)/AVERAGE('Paid Loss'!F42:F51),"")</f>
        <v/>
      </c>
      <c r="G14" s="17">
        <f>IFERROR(STDEV.S('Paid Loss'!G42:G51)/AVERAGE('Paid Loss'!G42:G51),"")</f>
        <v/>
      </c>
      <c r="H14" s="17">
        <f>IFERROR(STDEV.S('Paid Loss'!H42:H51)/AVERAGE('Paid Loss'!H42:H51),"")</f>
        <v/>
      </c>
      <c r="I14" s="17">
        <f>IFERROR(STDEV.S('Paid Loss'!I42:I51)/AVERAGE('Paid Loss'!I42:I51),"")</f>
        <v/>
      </c>
      <c r="J14" s="17">
        <f>IFERROR(STDEV.S('Paid Loss'!J42:J51)/AVERAGE('Paid Loss'!J42:J51),"")</f>
        <v/>
      </c>
      <c r="K14" s="17">
        <f>IFERROR(STDEV.S('Paid Loss'!K42:K51)/AVERAGE('Paid Loss'!K42:K51),"")</f>
        <v/>
      </c>
      <c r="L14" s="17">
        <f>IFERROR(STDEV.S('Paid Loss'!L42:L51)/AVERAGE('Paid Loss'!L42:L51),"")</f>
        <v/>
      </c>
      <c r="M14" s="17">
        <f>IFERROR(STDEV.S('Paid Loss'!M42:M51)/AVERAGE('Paid Loss'!M42:M51),"")</f>
        <v/>
      </c>
      <c r="N14" s="17">
        <f>IFERROR(STDEV.S('Paid Loss'!N42:N51)/AVERAGE('Paid Loss'!N42:N51),"")</f>
        <v/>
      </c>
      <c r="O14" s="17">
        <f>IFERROR(STDEV.S('Paid Loss'!O42:O51)/AVERAGE('Paid Loss'!O42:O51),"")</f>
        <v/>
      </c>
      <c r="P14" s="17">
        <f>IFERROR(STDEV.S('Paid Loss'!P42:P51)/AVERAGE('Paid Loss'!P42:P51),"")</f>
        <v/>
      </c>
      <c r="Q14" s="17">
        <f>IFERROR(STDEV.S('Paid Loss'!Q42:Q51)/AVERAGE('Paid Loss'!Q42:Q51),"")</f>
        <v/>
      </c>
      <c r="R14" s="17">
        <f>IFERROR(STDEV.S('Paid Loss'!R42:R51)/AVERAGE('Paid Loss'!R42:R51),"")</f>
        <v/>
      </c>
      <c r="S14" s="17">
        <f>IFERROR(STDEV.S('Paid Loss'!S42:S51)/AVERAGE('Paid Loss'!S42:S51),"")</f>
        <v/>
      </c>
      <c r="T14" s="17">
        <f>IFERROR(STDEV.S('Paid Loss'!T42:T51)/AVERAGE('Paid Loss'!T42:T51),"")</f>
        <v/>
      </c>
      <c r="U14" s="17">
        <f>IFERROR(STDEV.S('Paid Loss'!U42:U51)/AVERAGE('Paid Loss'!U42:U51),"")</f>
        <v/>
      </c>
      <c r="V14" s="17">
        <f>IFERROR(STDEV.S('Paid Loss'!V42:V51)/AVERAGE('Paid Loss'!V42:V51),"")</f>
        <v/>
      </c>
      <c r="W14" s="17">
        <f>IFERROR(STDEV.S('Paid Loss'!W42:W51)/AVERAGE('Paid Loss'!W42:W51),"")</f>
        <v/>
      </c>
      <c r="X14" s="17">
        <f>IFERROR(STDEV.S('Paid Loss'!X42:X51)/AVERAGE('Paid Loss'!X42:X51),"")</f>
        <v/>
      </c>
    </row>
    <row r="15">
      <c r="A15" s="19" t="inlineStr">
        <is>
          <t>slope_3yr</t>
        </is>
      </c>
      <c r="B15" s="17">
        <f>IFERROR(SLOPE('Paid Loss'!B49:B51,{1,2,3}),"")</f>
        <v/>
      </c>
      <c r="C15" s="17">
        <f>IFERROR(SLOPE('Paid Loss'!C49:C51,{1,2,3}),"")</f>
        <v/>
      </c>
      <c r="D15" s="17">
        <f>IFERROR(SLOPE('Paid Loss'!D49:D51,{1,2,3}),"")</f>
        <v/>
      </c>
      <c r="E15" s="17">
        <f>IFERROR(SLOPE('Paid Loss'!E49:E51,{1,2,3}),"")</f>
        <v/>
      </c>
      <c r="F15" s="17">
        <f>IFERROR(SLOPE('Paid Loss'!F49:F51,{1,2,3}),"")</f>
        <v/>
      </c>
      <c r="G15" s="17">
        <f>IFERROR(SLOPE('Paid Loss'!G49:G51,{1,2,3}),"")</f>
        <v/>
      </c>
      <c r="H15" s="17">
        <f>IFERROR(SLOPE('Paid Loss'!H49:H51,{1,2,3}),"")</f>
        <v/>
      </c>
      <c r="I15" s="17">
        <f>IFERROR(SLOPE('Paid Loss'!I49:I51,{1,2,3}),"")</f>
        <v/>
      </c>
      <c r="J15" s="17">
        <f>IFERROR(SLOPE('Paid Loss'!J49:J51,{1,2,3}),"")</f>
        <v/>
      </c>
      <c r="K15" s="17">
        <f>IFERROR(SLOPE('Paid Loss'!K49:K51,{1,2,3}),"")</f>
        <v/>
      </c>
      <c r="L15" s="17">
        <f>IFERROR(SLOPE('Paid Loss'!L49:L51,{1,2,3}),"")</f>
        <v/>
      </c>
      <c r="M15" s="17">
        <f>IFERROR(SLOPE('Paid Loss'!M49:M51,{1,2,3}),"")</f>
        <v/>
      </c>
      <c r="N15" s="17">
        <f>IFERROR(SLOPE('Paid Loss'!N49:N51,{1,2,3}),"")</f>
        <v/>
      </c>
      <c r="O15" s="17">
        <f>IFERROR(SLOPE('Paid Loss'!O49:O51,{1,2,3}),"")</f>
        <v/>
      </c>
      <c r="P15" s="17">
        <f>IFERROR(SLOPE('Paid Loss'!P49:P51,{1,2,3}),"")</f>
        <v/>
      </c>
      <c r="Q15" s="17">
        <f>IFERROR(SLOPE('Paid Loss'!Q49:Q51,{1,2,3}),"")</f>
        <v/>
      </c>
      <c r="R15" s="17">
        <f>IFERROR(SLOPE('Paid Loss'!R49:R51,{1,2,3}),"")</f>
        <v/>
      </c>
      <c r="S15" s="17">
        <f>IFERROR(SLOPE('Paid Loss'!S49:S51,{1,2,3}),"")</f>
        <v/>
      </c>
      <c r="T15" s="17">
        <f>IFERROR(SLOPE('Paid Loss'!T49:T51,{1,2,3}),"")</f>
        <v/>
      </c>
      <c r="U15" s="17">
        <f>IFERROR(SLOPE('Paid Loss'!U49:U51,{1,2,3}),"")</f>
        <v/>
      </c>
      <c r="V15" s="17">
        <f>IFERROR(SLOPE('Paid Loss'!V49:V51,{1,2,3}),"")</f>
        <v/>
      </c>
      <c r="W15" s="17">
        <f>IFERROR(SLOPE('Paid Loss'!W49:W51,{1,2,3}),"")</f>
        <v/>
      </c>
      <c r="X15" s="17">
        <f>IFERROR(SLOPE('Paid Loss'!X49:X51,{1,2,3}),"")</f>
        <v/>
      </c>
    </row>
    <row r="16">
      <c r="A16" s="19" t="inlineStr">
        <is>
          <t>slope_5yr</t>
        </is>
      </c>
      <c r="B16" s="17">
        <f>IFERROR(SLOPE('Paid Loss'!B47:B51,{1,2,3,4,5}),"")</f>
        <v/>
      </c>
      <c r="C16" s="17">
        <f>IFERROR(SLOPE('Paid Loss'!C47:C51,{1,2,3,4,5}),"")</f>
        <v/>
      </c>
      <c r="D16" s="17">
        <f>IFERROR(SLOPE('Paid Loss'!D47:D51,{1,2,3,4,5}),"")</f>
        <v/>
      </c>
      <c r="E16" s="17">
        <f>IFERROR(SLOPE('Paid Loss'!E47:E51,{1,2,3,4,5}),"")</f>
        <v/>
      </c>
      <c r="F16" s="17">
        <f>IFERROR(SLOPE('Paid Loss'!F47:F51,{1,2,3,4,5}),"")</f>
        <v/>
      </c>
      <c r="G16" s="17">
        <f>IFERROR(SLOPE('Paid Loss'!G47:G51,{1,2,3,4,5}),"")</f>
        <v/>
      </c>
      <c r="H16" s="17">
        <f>IFERROR(SLOPE('Paid Loss'!H47:H51,{1,2,3,4,5}),"")</f>
        <v/>
      </c>
      <c r="I16" s="17">
        <f>IFERROR(SLOPE('Paid Loss'!I47:I51,{1,2,3,4,5}),"")</f>
        <v/>
      </c>
      <c r="J16" s="17">
        <f>IFERROR(SLOPE('Paid Loss'!J47:J51,{1,2,3,4,5}),"")</f>
        <v/>
      </c>
      <c r="K16" s="17">
        <f>IFERROR(SLOPE('Paid Loss'!K47:K51,{1,2,3,4,5}),"")</f>
        <v/>
      </c>
      <c r="L16" s="17">
        <f>IFERROR(SLOPE('Paid Loss'!L47:L51,{1,2,3,4,5}),"")</f>
        <v/>
      </c>
      <c r="M16" s="17">
        <f>IFERROR(SLOPE('Paid Loss'!M47:M51,{1,2,3,4,5}),"")</f>
        <v/>
      </c>
      <c r="N16" s="17">
        <f>IFERROR(SLOPE('Paid Loss'!N47:N51,{1,2,3,4,5}),"")</f>
        <v/>
      </c>
      <c r="O16" s="17">
        <f>IFERROR(SLOPE('Paid Loss'!O47:O51,{1,2,3,4,5}),"")</f>
        <v/>
      </c>
      <c r="P16" s="17">
        <f>IFERROR(SLOPE('Paid Loss'!P47:P51,{1,2,3,4,5}),"")</f>
        <v/>
      </c>
      <c r="Q16" s="17">
        <f>IFERROR(SLOPE('Paid Loss'!Q47:Q51,{1,2,3,4,5}),"")</f>
        <v/>
      </c>
      <c r="R16" s="17">
        <f>IFERROR(SLOPE('Paid Loss'!R47:R51,{1,2,3,4,5}),"")</f>
        <v/>
      </c>
      <c r="S16" s="17">
        <f>IFERROR(SLOPE('Paid Loss'!S47:S51,{1,2,3,4,5}),"")</f>
        <v/>
      </c>
      <c r="T16" s="17">
        <f>IFERROR(SLOPE('Paid Loss'!T47:T51,{1,2,3,4,5}),"")</f>
        <v/>
      </c>
      <c r="U16" s="17">
        <f>IFERROR(SLOPE('Paid Loss'!U47:U51,{1,2,3,4,5}),"")</f>
        <v/>
      </c>
      <c r="V16" s="17">
        <f>IFERROR(SLOPE('Paid Loss'!V47:V51,{1,2,3,4,5}),"")</f>
        <v/>
      </c>
      <c r="W16" s="17">
        <f>IFERROR(SLOPE('Paid Loss'!W47:W51,{1,2,3,4,5}),"")</f>
        <v/>
      </c>
      <c r="X16" s="17">
        <f>IFERROR(SLOPE('Paid Loss'!X47:X51,{1,2,3,4,5}),"")</f>
        <v/>
      </c>
    </row>
    <row r="17">
      <c r="A17" s="19" t="inlineStr">
        <is>
          <t>slope_10yr</t>
        </is>
      </c>
      <c r="B17" s="17">
        <f>IFERROR(SLOPE('Paid Loss'!B42:B51,{1,2,3,4,5,6,7,8,9,10}),"")</f>
        <v/>
      </c>
      <c r="C17" s="17">
        <f>IFERROR(SLOPE('Paid Loss'!C42:C51,{1,2,3,4,5,6,7,8,9,10}),"")</f>
        <v/>
      </c>
      <c r="D17" s="17">
        <f>IFERROR(SLOPE('Paid Loss'!D42:D51,{1,2,3,4,5,6,7,8,9,10}),"")</f>
        <v/>
      </c>
      <c r="E17" s="17">
        <f>IFERROR(SLOPE('Paid Loss'!E42:E51,{1,2,3,4,5,6,7,8,9,10}),"")</f>
        <v/>
      </c>
      <c r="F17" s="17">
        <f>IFERROR(SLOPE('Paid Loss'!F42:F51,{1,2,3,4,5,6,7,8,9,10}),"")</f>
        <v/>
      </c>
      <c r="G17" s="17">
        <f>IFERROR(SLOPE('Paid Loss'!G42:G51,{1,2,3,4,5,6,7,8,9,10}),"")</f>
        <v/>
      </c>
      <c r="H17" s="17">
        <f>IFERROR(SLOPE('Paid Loss'!H42:H51,{1,2,3,4,5,6,7,8,9,10}),"")</f>
        <v/>
      </c>
      <c r="I17" s="17">
        <f>IFERROR(SLOPE('Paid Loss'!I42:I51,{1,2,3,4,5,6,7,8,9,10}),"")</f>
        <v/>
      </c>
      <c r="J17" s="17">
        <f>IFERROR(SLOPE('Paid Loss'!J42:J51,{1,2,3,4,5,6,7,8,9,10}),"")</f>
        <v/>
      </c>
      <c r="K17" s="17">
        <f>IFERROR(SLOPE('Paid Loss'!K42:K51,{1,2,3,4,5,6,7,8,9,10}),"")</f>
        <v/>
      </c>
      <c r="L17" s="17">
        <f>IFERROR(SLOPE('Paid Loss'!L42:L51,{1,2,3,4,5,6,7,8,9,10}),"")</f>
        <v/>
      </c>
      <c r="M17" s="17">
        <f>IFERROR(SLOPE('Paid Loss'!M42:M51,{1,2,3,4,5,6,7,8,9,10}),"")</f>
        <v/>
      </c>
      <c r="N17" s="17">
        <f>IFERROR(SLOPE('Paid Loss'!N42:N51,{1,2,3,4,5,6,7,8,9,10}),"")</f>
        <v/>
      </c>
      <c r="O17" s="17">
        <f>IFERROR(SLOPE('Paid Loss'!O42:O51,{1,2,3,4,5,6,7,8,9,10}),"")</f>
        <v/>
      </c>
      <c r="P17" s="17">
        <f>IFERROR(SLOPE('Paid Loss'!P42:P51,{1,2,3,4,5,6,7,8,9,10}),"")</f>
        <v/>
      </c>
      <c r="Q17" s="17">
        <f>IFERROR(SLOPE('Paid Loss'!Q42:Q51,{1,2,3,4,5,6,7,8,9,10}),"")</f>
        <v/>
      </c>
      <c r="R17" s="17">
        <f>IFERROR(SLOPE('Paid Loss'!R42:R51,{1,2,3,4,5,6,7,8,9,10}),"")</f>
        <v/>
      </c>
      <c r="S17" s="17">
        <f>IFERROR(SLOPE('Paid Loss'!S42:S51,{1,2,3,4,5,6,7,8,9,10}),"")</f>
        <v/>
      </c>
      <c r="T17" s="17">
        <f>IFERROR(SLOPE('Paid Loss'!T42:T51,{1,2,3,4,5,6,7,8,9,10}),"")</f>
        <v/>
      </c>
      <c r="U17" s="17">
        <f>IFERROR(SLOPE('Paid Loss'!U42:U51,{1,2,3,4,5,6,7,8,9,10}),"")</f>
        <v/>
      </c>
      <c r="V17" s="17">
        <f>IFERROR(SLOPE('Paid Loss'!V42:V51,{1,2,3,4,5,6,7,8,9,10}),"")</f>
        <v/>
      </c>
      <c r="W17" s="17">
        <f>IFERROR(SLOPE('Paid Loss'!W42:W51,{1,2,3,4,5,6,7,8,9,10}),"")</f>
        <v/>
      </c>
      <c r="X17" s="17">
        <f>IFERROR(SLOPE('Paid Loss'!X42:X51,{1,2,3,4,5,6,7,8,9,10}),"")</f>
        <v/>
      </c>
    </row>
    <row r="18"/>
    <row r="19">
      <c r="A19" s="25" t="inlineStr">
        <is>
          <t>REPORTED COUNT</t>
        </is>
      </c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" t="n"/>
    </row>
    <row r="20">
      <c r="A20" s="18" t="inlineStr">
        <is>
          <t>Metric</t>
        </is>
      </c>
      <c r="B20" s="8" t="inlineStr">
        <is>
          <t>11-23</t>
        </is>
      </c>
      <c r="C20" s="8" t="inlineStr">
        <is>
          <t>23-35</t>
        </is>
      </c>
      <c r="D20" s="8" t="inlineStr">
        <is>
          <t>35-47</t>
        </is>
      </c>
      <c r="E20" s="8" t="inlineStr">
        <is>
          <t>47-59</t>
        </is>
      </c>
      <c r="F20" s="8" t="inlineStr">
        <is>
          <t>59-71</t>
        </is>
      </c>
      <c r="G20" s="8" t="inlineStr">
        <is>
          <t>71-83</t>
        </is>
      </c>
      <c r="H20" s="8" t="inlineStr">
        <is>
          <t>83-95</t>
        </is>
      </c>
      <c r="I20" s="8" t="inlineStr">
        <is>
          <t>95-107</t>
        </is>
      </c>
      <c r="J20" s="8" t="inlineStr">
        <is>
          <t>107-119</t>
        </is>
      </c>
      <c r="K20" s="8" t="inlineStr">
        <is>
          <t>119-131</t>
        </is>
      </c>
      <c r="L20" s="8" t="inlineStr">
        <is>
          <t>131-143</t>
        </is>
      </c>
      <c r="M20" s="8" t="inlineStr">
        <is>
          <t>143-155</t>
        </is>
      </c>
      <c r="N20" s="8" t="inlineStr">
        <is>
          <t>155-167</t>
        </is>
      </c>
      <c r="O20" s="8" t="inlineStr">
        <is>
          <t>167-179</t>
        </is>
      </c>
      <c r="P20" s="8" t="inlineStr">
        <is>
          <t>179-191</t>
        </is>
      </c>
      <c r="Q20" s="8" t="inlineStr">
        <is>
          <t>191-203</t>
        </is>
      </c>
      <c r="R20" s="8" t="inlineStr">
        <is>
          <t>203-215</t>
        </is>
      </c>
      <c r="S20" s="8" t="inlineStr">
        <is>
          <t>215-227</t>
        </is>
      </c>
      <c r="T20" s="8" t="inlineStr">
        <is>
          <t>227-239</t>
        </is>
      </c>
      <c r="U20" s="8" t="inlineStr">
        <is>
          <t>239-251</t>
        </is>
      </c>
      <c r="V20" s="8" t="inlineStr">
        <is>
          <t>251-263</t>
        </is>
      </c>
      <c r="W20" s="8" t="inlineStr">
        <is>
          <t>263-275</t>
        </is>
      </c>
      <c r="X20" s="8" t="inlineStr">
        <is>
          <t>275-287</t>
        </is>
      </c>
      <c r="Y20" s="8" t="inlineStr">
        <is>
          <t>Tail</t>
        </is>
      </c>
    </row>
    <row r="21">
      <c r="A21" s="19" t="inlineStr">
        <is>
          <t>cv_3yr</t>
        </is>
      </c>
      <c r="B21" s="17">
        <f>IFERROR(STDEV.S('Reported Count'!B49:B51)/AVERAGE('Reported Count'!B49:B51),"")</f>
        <v/>
      </c>
      <c r="C21" s="17">
        <f>IFERROR(STDEV.S('Reported Count'!C49:C51)/AVERAGE('Reported Count'!C49:C51),"")</f>
        <v/>
      </c>
      <c r="D21" s="17">
        <f>IFERROR(STDEV.S('Reported Count'!D49:D51)/AVERAGE('Reported Count'!D49:D51),"")</f>
        <v/>
      </c>
      <c r="E21" s="17">
        <f>IFERROR(STDEV.S('Reported Count'!E49:E51)/AVERAGE('Reported Count'!E49:E51),"")</f>
        <v/>
      </c>
      <c r="F21" s="17">
        <f>IFERROR(STDEV.S('Reported Count'!F49:F51)/AVERAGE('Reported Count'!F49:F51),"")</f>
        <v/>
      </c>
      <c r="G21" s="17">
        <f>IFERROR(STDEV.S('Reported Count'!G49:G51)/AVERAGE('Reported Count'!G49:G51),"")</f>
        <v/>
      </c>
      <c r="H21" s="17">
        <f>IFERROR(STDEV.S('Reported Count'!H49:H51)/AVERAGE('Reported Count'!H49:H51),"")</f>
        <v/>
      </c>
      <c r="I21" s="17">
        <f>IFERROR(STDEV.S('Reported Count'!I49:I51)/AVERAGE('Reported Count'!I49:I51),"")</f>
        <v/>
      </c>
      <c r="J21" s="17">
        <f>IFERROR(STDEV.S('Reported Count'!J49:J51)/AVERAGE('Reported Count'!J49:J51),"")</f>
        <v/>
      </c>
      <c r="K21" s="17">
        <f>IFERROR(STDEV.S('Reported Count'!K49:K51)/AVERAGE('Reported Count'!K49:K51),"")</f>
        <v/>
      </c>
      <c r="L21" s="17">
        <f>IFERROR(STDEV.S('Reported Count'!L49:L51)/AVERAGE('Reported Count'!L49:L51),"")</f>
        <v/>
      </c>
      <c r="M21" s="17">
        <f>IFERROR(STDEV.S('Reported Count'!M49:M51)/AVERAGE('Reported Count'!M49:M51),"")</f>
        <v/>
      </c>
      <c r="N21" s="17">
        <f>IFERROR(STDEV.S('Reported Count'!N49:N51)/AVERAGE('Reported Count'!N49:N51),"")</f>
        <v/>
      </c>
      <c r="O21" s="17">
        <f>IFERROR(STDEV.S('Reported Count'!O49:O51)/AVERAGE('Reported Count'!O49:O51),"")</f>
        <v/>
      </c>
      <c r="P21" s="17">
        <f>IFERROR(STDEV.S('Reported Count'!P49:P51)/AVERAGE('Reported Count'!P49:P51),"")</f>
        <v/>
      </c>
      <c r="Q21" s="17">
        <f>IFERROR(STDEV.S('Reported Count'!Q49:Q51)/AVERAGE('Reported Count'!Q49:Q51),"")</f>
        <v/>
      </c>
      <c r="R21" s="17">
        <f>IFERROR(STDEV.S('Reported Count'!R49:R51)/AVERAGE('Reported Count'!R49:R51),"")</f>
        <v/>
      </c>
      <c r="S21" s="17">
        <f>IFERROR(STDEV.S('Reported Count'!S49:S51)/AVERAGE('Reported Count'!S49:S51),"")</f>
        <v/>
      </c>
      <c r="T21" s="17">
        <f>IFERROR(STDEV.S('Reported Count'!T49:T51)/AVERAGE('Reported Count'!T49:T51),"")</f>
        <v/>
      </c>
      <c r="U21" s="17">
        <f>IFERROR(STDEV.S('Reported Count'!U49:U51)/AVERAGE('Reported Count'!U49:U51),"")</f>
        <v/>
      </c>
      <c r="V21" s="17">
        <f>IFERROR(STDEV.S('Reported Count'!V49:V51)/AVERAGE('Reported Count'!V49:V51),"")</f>
        <v/>
      </c>
      <c r="W21" s="17">
        <f>IFERROR(STDEV.S('Reported Count'!W49:W51)/AVERAGE('Reported Count'!W49:W51),"")</f>
        <v/>
      </c>
      <c r="X21" s="17">
        <f>IFERROR(STDEV.S('Reported Count'!X49:X51)/AVERAGE('Reported Count'!X49:X51),"")</f>
        <v/>
      </c>
    </row>
    <row r="22">
      <c r="A22" s="19" t="inlineStr">
        <is>
          <t>cv_5yr</t>
        </is>
      </c>
      <c r="B22" s="17">
        <f>IFERROR(STDEV.S('Reported Count'!B47:B51)/AVERAGE('Reported Count'!B47:B51),"")</f>
        <v/>
      </c>
      <c r="C22" s="17">
        <f>IFERROR(STDEV.S('Reported Count'!C47:C51)/AVERAGE('Reported Count'!C47:C51),"")</f>
        <v/>
      </c>
      <c r="D22" s="17">
        <f>IFERROR(STDEV.S('Reported Count'!D47:D51)/AVERAGE('Reported Count'!D47:D51),"")</f>
        <v/>
      </c>
      <c r="E22" s="17">
        <f>IFERROR(STDEV.S('Reported Count'!E47:E51)/AVERAGE('Reported Count'!E47:E51),"")</f>
        <v/>
      </c>
      <c r="F22" s="17">
        <f>IFERROR(STDEV.S('Reported Count'!F47:F51)/AVERAGE('Reported Count'!F47:F51),"")</f>
        <v/>
      </c>
      <c r="G22" s="17">
        <f>IFERROR(STDEV.S('Reported Count'!G47:G51)/AVERAGE('Reported Count'!G47:G51),"")</f>
        <v/>
      </c>
      <c r="H22" s="17">
        <f>IFERROR(STDEV.S('Reported Count'!H47:H51)/AVERAGE('Reported Count'!H47:H51),"")</f>
        <v/>
      </c>
      <c r="I22" s="17">
        <f>IFERROR(STDEV.S('Reported Count'!I47:I51)/AVERAGE('Reported Count'!I47:I51),"")</f>
        <v/>
      </c>
      <c r="J22" s="17">
        <f>IFERROR(STDEV.S('Reported Count'!J47:J51)/AVERAGE('Reported Count'!J47:J51),"")</f>
        <v/>
      </c>
      <c r="K22" s="17">
        <f>IFERROR(STDEV.S('Reported Count'!K47:K51)/AVERAGE('Reported Count'!K47:K51),"")</f>
        <v/>
      </c>
      <c r="L22" s="17">
        <f>IFERROR(STDEV.S('Reported Count'!L47:L51)/AVERAGE('Reported Count'!L47:L51),"")</f>
        <v/>
      </c>
      <c r="M22" s="17">
        <f>IFERROR(STDEV.S('Reported Count'!M47:M51)/AVERAGE('Reported Count'!M47:M51),"")</f>
        <v/>
      </c>
      <c r="N22" s="17">
        <f>IFERROR(STDEV.S('Reported Count'!N47:N51)/AVERAGE('Reported Count'!N47:N51),"")</f>
        <v/>
      </c>
      <c r="O22" s="17">
        <f>IFERROR(STDEV.S('Reported Count'!O47:O51)/AVERAGE('Reported Count'!O47:O51),"")</f>
        <v/>
      </c>
      <c r="P22" s="17">
        <f>IFERROR(STDEV.S('Reported Count'!P47:P51)/AVERAGE('Reported Count'!P47:P51),"")</f>
        <v/>
      </c>
      <c r="Q22" s="17">
        <f>IFERROR(STDEV.S('Reported Count'!Q47:Q51)/AVERAGE('Reported Count'!Q47:Q51),"")</f>
        <v/>
      </c>
      <c r="R22" s="17">
        <f>IFERROR(STDEV.S('Reported Count'!R47:R51)/AVERAGE('Reported Count'!R47:R51),"")</f>
        <v/>
      </c>
      <c r="S22" s="17">
        <f>IFERROR(STDEV.S('Reported Count'!S47:S51)/AVERAGE('Reported Count'!S47:S51),"")</f>
        <v/>
      </c>
      <c r="T22" s="17">
        <f>IFERROR(STDEV.S('Reported Count'!T47:T51)/AVERAGE('Reported Count'!T47:T51),"")</f>
        <v/>
      </c>
      <c r="U22" s="17">
        <f>IFERROR(STDEV.S('Reported Count'!U47:U51)/AVERAGE('Reported Count'!U47:U51),"")</f>
        <v/>
      </c>
      <c r="V22" s="17">
        <f>IFERROR(STDEV.S('Reported Count'!V47:V51)/AVERAGE('Reported Count'!V47:V51),"")</f>
        <v/>
      </c>
      <c r="W22" s="17">
        <f>IFERROR(STDEV.S('Reported Count'!W47:W51)/AVERAGE('Reported Count'!W47:W51),"")</f>
        <v/>
      </c>
      <c r="X22" s="17">
        <f>IFERROR(STDEV.S('Reported Count'!X47:X51)/AVERAGE('Reported Count'!X47:X51),"")</f>
        <v/>
      </c>
    </row>
    <row r="23">
      <c r="A23" s="19" t="inlineStr">
        <is>
          <t>cv_10yr</t>
        </is>
      </c>
      <c r="B23" s="17">
        <f>IFERROR(STDEV.S('Reported Count'!B42:B51)/AVERAGE('Reported Count'!B42:B51),"")</f>
        <v/>
      </c>
      <c r="C23" s="17">
        <f>IFERROR(STDEV.S('Reported Count'!C42:C51)/AVERAGE('Reported Count'!C42:C51),"")</f>
        <v/>
      </c>
      <c r="D23" s="17">
        <f>IFERROR(STDEV.S('Reported Count'!D42:D51)/AVERAGE('Reported Count'!D42:D51),"")</f>
        <v/>
      </c>
      <c r="E23" s="17">
        <f>IFERROR(STDEV.S('Reported Count'!E42:E51)/AVERAGE('Reported Count'!E42:E51),"")</f>
        <v/>
      </c>
      <c r="F23" s="17">
        <f>IFERROR(STDEV.S('Reported Count'!F42:F51)/AVERAGE('Reported Count'!F42:F51),"")</f>
        <v/>
      </c>
      <c r="G23" s="17">
        <f>IFERROR(STDEV.S('Reported Count'!G42:G51)/AVERAGE('Reported Count'!G42:G51),"")</f>
        <v/>
      </c>
      <c r="H23" s="17">
        <f>IFERROR(STDEV.S('Reported Count'!H42:H51)/AVERAGE('Reported Count'!H42:H51),"")</f>
        <v/>
      </c>
      <c r="I23" s="17">
        <f>IFERROR(STDEV.S('Reported Count'!I42:I51)/AVERAGE('Reported Count'!I42:I51),"")</f>
        <v/>
      </c>
      <c r="J23" s="17">
        <f>IFERROR(STDEV.S('Reported Count'!J42:J51)/AVERAGE('Reported Count'!J42:J51),"")</f>
        <v/>
      </c>
      <c r="K23" s="17">
        <f>IFERROR(STDEV.S('Reported Count'!K42:K51)/AVERAGE('Reported Count'!K42:K51),"")</f>
        <v/>
      </c>
      <c r="L23" s="17">
        <f>IFERROR(STDEV.S('Reported Count'!L42:L51)/AVERAGE('Reported Count'!L42:L51),"")</f>
        <v/>
      </c>
      <c r="M23" s="17">
        <f>IFERROR(STDEV.S('Reported Count'!M42:M51)/AVERAGE('Reported Count'!M42:M51),"")</f>
        <v/>
      </c>
      <c r="N23" s="17">
        <f>IFERROR(STDEV.S('Reported Count'!N42:N51)/AVERAGE('Reported Count'!N42:N51),"")</f>
        <v/>
      </c>
      <c r="O23" s="17">
        <f>IFERROR(STDEV.S('Reported Count'!O42:O51)/AVERAGE('Reported Count'!O42:O51),"")</f>
        <v/>
      </c>
      <c r="P23" s="17">
        <f>IFERROR(STDEV.S('Reported Count'!P42:P51)/AVERAGE('Reported Count'!P42:P51),"")</f>
        <v/>
      </c>
      <c r="Q23" s="17">
        <f>IFERROR(STDEV.S('Reported Count'!Q42:Q51)/AVERAGE('Reported Count'!Q42:Q51),"")</f>
        <v/>
      </c>
      <c r="R23" s="17">
        <f>IFERROR(STDEV.S('Reported Count'!R42:R51)/AVERAGE('Reported Count'!R42:R51),"")</f>
        <v/>
      </c>
      <c r="S23" s="17">
        <f>IFERROR(STDEV.S('Reported Count'!S42:S51)/AVERAGE('Reported Count'!S42:S51),"")</f>
        <v/>
      </c>
      <c r="T23" s="17">
        <f>IFERROR(STDEV.S('Reported Count'!T42:T51)/AVERAGE('Reported Count'!T42:T51),"")</f>
        <v/>
      </c>
      <c r="U23" s="17">
        <f>IFERROR(STDEV.S('Reported Count'!U42:U51)/AVERAGE('Reported Count'!U42:U51),"")</f>
        <v/>
      </c>
      <c r="V23" s="17">
        <f>IFERROR(STDEV.S('Reported Count'!V42:V51)/AVERAGE('Reported Count'!V42:V51),"")</f>
        <v/>
      </c>
      <c r="W23" s="17">
        <f>IFERROR(STDEV.S('Reported Count'!W42:W51)/AVERAGE('Reported Count'!W42:W51),"")</f>
        <v/>
      </c>
      <c r="X23" s="17">
        <f>IFERROR(STDEV.S('Reported Count'!X42:X51)/AVERAGE('Reported Count'!X42:X51),"")</f>
        <v/>
      </c>
    </row>
    <row r="24">
      <c r="A24" s="19" t="inlineStr">
        <is>
          <t>slope_3yr</t>
        </is>
      </c>
      <c r="B24" s="17">
        <f>IFERROR(SLOPE('Reported Count'!B49:B51,{1,2,3}),"")</f>
        <v/>
      </c>
      <c r="C24" s="17">
        <f>IFERROR(SLOPE('Reported Count'!C49:C51,{1,2,3}),"")</f>
        <v/>
      </c>
      <c r="D24" s="17">
        <f>IFERROR(SLOPE('Reported Count'!D49:D51,{1,2,3}),"")</f>
        <v/>
      </c>
      <c r="E24" s="17">
        <f>IFERROR(SLOPE('Reported Count'!E49:E51,{1,2,3}),"")</f>
        <v/>
      </c>
      <c r="F24" s="17">
        <f>IFERROR(SLOPE('Reported Count'!F49:F51,{1,2,3}),"")</f>
        <v/>
      </c>
      <c r="G24" s="17">
        <f>IFERROR(SLOPE('Reported Count'!G49:G51,{1,2,3}),"")</f>
        <v/>
      </c>
      <c r="H24" s="17">
        <f>IFERROR(SLOPE('Reported Count'!H49:H51,{1,2,3}),"")</f>
        <v/>
      </c>
      <c r="I24" s="17">
        <f>IFERROR(SLOPE('Reported Count'!I49:I51,{1,2,3}),"")</f>
        <v/>
      </c>
      <c r="J24" s="17">
        <f>IFERROR(SLOPE('Reported Count'!J49:J51,{1,2,3}),"")</f>
        <v/>
      </c>
      <c r="K24" s="17">
        <f>IFERROR(SLOPE('Reported Count'!K49:K51,{1,2,3}),"")</f>
        <v/>
      </c>
      <c r="L24" s="17">
        <f>IFERROR(SLOPE('Reported Count'!L49:L51,{1,2,3}),"")</f>
        <v/>
      </c>
      <c r="M24" s="17">
        <f>IFERROR(SLOPE('Reported Count'!M49:M51,{1,2,3}),"")</f>
        <v/>
      </c>
      <c r="N24" s="17">
        <f>IFERROR(SLOPE('Reported Count'!N49:N51,{1,2,3}),"")</f>
        <v/>
      </c>
      <c r="O24" s="17">
        <f>IFERROR(SLOPE('Reported Count'!O49:O51,{1,2,3}),"")</f>
        <v/>
      </c>
      <c r="P24" s="17">
        <f>IFERROR(SLOPE('Reported Count'!P49:P51,{1,2,3}),"")</f>
        <v/>
      </c>
      <c r="Q24" s="17">
        <f>IFERROR(SLOPE('Reported Count'!Q49:Q51,{1,2,3}),"")</f>
        <v/>
      </c>
      <c r="R24" s="17">
        <f>IFERROR(SLOPE('Reported Count'!R49:R51,{1,2,3}),"")</f>
        <v/>
      </c>
      <c r="S24" s="17">
        <f>IFERROR(SLOPE('Reported Count'!S49:S51,{1,2,3}),"")</f>
        <v/>
      </c>
      <c r="T24" s="17">
        <f>IFERROR(SLOPE('Reported Count'!T49:T51,{1,2,3}),"")</f>
        <v/>
      </c>
      <c r="U24" s="17">
        <f>IFERROR(SLOPE('Reported Count'!U49:U51,{1,2,3}),"")</f>
        <v/>
      </c>
      <c r="V24" s="17">
        <f>IFERROR(SLOPE('Reported Count'!V49:V51,{1,2,3}),"")</f>
        <v/>
      </c>
      <c r="W24" s="17">
        <f>IFERROR(SLOPE('Reported Count'!W49:W51,{1,2,3}),"")</f>
        <v/>
      </c>
      <c r="X24" s="17">
        <f>IFERROR(SLOPE('Reported Count'!X49:X51,{1,2,3}),"")</f>
        <v/>
      </c>
    </row>
    <row r="25">
      <c r="A25" s="19" t="inlineStr">
        <is>
          <t>slope_5yr</t>
        </is>
      </c>
      <c r="B25" s="17">
        <f>IFERROR(SLOPE('Reported Count'!B47:B51,{1,2,3,4,5}),"")</f>
        <v/>
      </c>
      <c r="C25" s="17">
        <f>IFERROR(SLOPE('Reported Count'!C47:C51,{1,2,3,4,5}),"")</f>
        <v/>
      </c>
      <c r="D25" s="17">
        <f>IFERROR(SLOPE('Reported Count'!D47:D51,{1,2,3,4,5}),"")</f>
        <v/>
      </c>
      <c r="E25" s="17">
        <f>IFERROR(SLOPE('Reported Count'!E47:E51,{1,2,3,4,5}),"")</f>
        <v/>
      </c>
      <c r="F25" s="17">
        <f>IFERROR(SLOPE('Reported Count'!F47:F51,{1,2,3,4,5}),"")</f>
        <v/>
      </c>
      <c r="G25" s="17">
        <f>IFERROR(SLOPE('Reported Count'!G47:G51,{1,2,3,4,5}),"")</f>
        <v/>
      </c>
      <c r="H25" s="17">
        <f>IFERROR(SLOPE('Reported Count'!H47:H51,{1,2,3,4,5}),"")</f>
        <v/>
      </c>
      <c r="I25" s="17">
        <f>IFERROR(SLOPE('Reported Count'!I47:I51,{1,2,3,4,5}),"")</f>
        <v/>
      </c>
      <c r="J25" s="17">
        <f>IFERROR(SLOPE('Reported Count'!J47:J51,{1,2,3,4,5}),"")</f>
        <v/>
      </c>
      <c r="K25" s="17">
        <f>IFERROR(SLOPE('Reported Count'!K47:K51,{1,2,3,4,5}),"")</f>
        <v/>
      </c>
      <c r="L25" s="17">
        <f>IFERROR(SLOPE('Reported Count'!L47:L51,{1,2,3,4,5}),"")</f>
        <v/>
      </c>
      <c r="M25" s="17">
        <f>IFERROR(SLOPE('Reported Count'!M47:M51,{1,2,3,4,5}),"")</f>
        <v/>
      </c>
      <c r="N25" s="17">
        <f>IFERROR(SLOPE('Reported Count'!N47:N51,{1,2,3,4,5}),"")</f>
        <v/>
      </c>
      <c r="O25" s="17">
        <f>IFERROR(SLOPE('Reported Count'!O47:O51,{1,2,3,4,5}),"")</f>
        <v/>
      </c>
      <c r="P25" s="17">
        <f>IFERROR(SLOPE('Reported Count'!P47:P51,{1,2,3,4,5}),"")</f>
        <v/>
      </c>
      <c r="Q25" s="17">
        <f>IFERROR(SLOPE('Reported Count'!Q47:Q51,{1,2,3,4,5}),"")</f>
        <v/>
      </c>
      <c r="R25" s="17">
        <f>IFERROR(SLOPE('Reported Count'!R47:R51,{1,2,3,4,5}),"")</f>
        <v/>
      </c>
      <c r="S25" s="17">
        <f>IFERROR(SLOPE('Reported Count'!S47:S51,{1,2,3,4,5}),"")</f>
        <v/>
      </c>
      <c r="T25" s="17">
        <f>IFERROR(SLOPE('Reported Count'!T47:T51,{1,2,3,4,5}),"")</f>
        <v/>
      </c>
      <c r="U25" s="17">
        <f>IFERROR(SLOPE('Reported Count'!U47:U51,{1,2,3,4,5}),"")</f>
        <v/>
      </c>
      <c r="V25" s="17">
        <f>IFERROR(SLOPE('Reported Count'!V47:V51,{1,2,3,4,5}),"")</f>
        <v/>
      </c>
      <c r="W25" s="17">
        <f>IFERROR(SLOPE('Reported Count'!W47:W51,{1,2,3,4,5}),"")</f>
        <v/>
      </c>
      <c r="X25" s="17">
        <f>IFERROR(SLOPE('Reported Count'!X47:X51,{1,2,3,4,5}),"")</f>
        <v/>
      </c>
    </row>
    <row r="26">
      <c r="A26" s="19" t="inlineStr">
        <is>
          <t>slope_10yr</t>
        </is>
      </c>
      <c r="B26" s="17">
        <f>IFERROR(SLOPE('Reported Count'!B42:B51,{1,2,3,4,5,6,7,8,9,10}),"")</f>
        <v/>
      </c>
      <c r="C26" s="17">
        <f>IFERROR(SLOPE('Reported Count'!C42:C51,{1,2,3,4,5,6,7,8,9,10}),"")</f>
        <v/>
      </c>
      <c r="D26" s="17">
        <f>IFERROR(SLOPE('Reported Count'!D42:D51,{1,2,3,4,5,6,7,8,9,10}),"")</f>
        <v/>
      </c>
      <c r="E26" s="17">
        <f>IFERROR(SLOPE('Reported Count'!E42:E51,{1,2,3,4,5,6,7,8,9,10}),"")</f>
        <v/>
      </c>
      <c r="F26" s="17">
        <f>IFERROR(SLOPE('Reported Count'!F42:F51,{1,2,3,4,5,6,7,8,9,10}),"")</f>
        <v/>
      </c>
      <c r="G26" s="17">
        <f>IFERROR(SLOPE('Reported Count'!G42:G51,{1,2,3,4,5,6,7,8,9,10}),"")</f>
        <v/>
      </c>
      <c r="H26" s="17">
        <f>IFERROR(SLOPE('Reported Count'!H42:H51,{1,2,3,4,5,6,7,8,9,10}),"")</f>
        <v/>
      </c>
      <c r="I26" s="17">
        <f>IFERROR(SLOPE('Reported Count'!I42:I51,{1,2,3,4,5,6,7,8,9,10}),"")</f>
        <v/>
      </c>
      <c r="J26" s="17">
        <f>IFERROR(SLOPE('Reported Count'!J42:J51,{1,2,3,4,5,6,7,8,9,10}),"")</f>
        <v/>
      </c>
      <c r="K26" s="17">
        <f>IFERROR(SLOPE('Reported Count'!K42:K51,{1,2,3,4,5,6,7,8,9,10}),"")</f>
        <v/>
      </c>
      <c r="L26" s="17">
        <f>IFERROR(SLOPE('Reported Count'!L42:L51,{1,2,3,4,5,6,7,8,9,10}),"")</f>
        <v/>
      </c>
      <c r="M26" s="17">
        <f>IFERROR(SLOPE('Reported Count'!M42:M51,{1,2,3,4,5,6,7,8,9,10}),"")</f>
        <v/>
      </c>
      <c r="N26" s="17">
        <f>IFERROR(SLOPE('Reported Count'!N42:N51,{1,2,3,4,5,6,7,8,9,10}),"")</f>
        <v/>
      </c>
      <c r="O26" s="17">
        <f>IFERROR(SLOPE('Reported Count'!O42:O51,{1,2,3,4,5,6,7,8,9,10}),"")</f>
        <v/>
      </c>
      <c r="P26" s="17">
        <f>IFERROR(SLOPE('Reported Count'!P42:P51,{1,2,3,4,5,6,7,8,9,10}),"")</f>
        <v/>
      </c>
      <c r="Q26" s="17">
        <f>IFERROR(SLOPE('Reported Count'!Q42:Q51,{1,2,3,4,5,6,7,8,9,10}),"")</f>
        <v/>
      </c>
      <c r="R26" s="17">
        <f>IFERROR(SLOPE('Reported Count'!R42:R51,{1,2,3,4,5,6,7,8,9,10}),"")</f>
        <v/>
      </c>
      <c r="S26" s="17">
        <f>IFERROR(SLOPE('Reported Count'!S42:S51,{1,2,3,4,5,6,7,8,9,10}),"")</f>
        <v/>
      </c>
      <c r="T26" s="17">
        <f>IFERROR(SLOPE('Reported Count'!T42:T51,{1,2,3,4,5,6,7,8,9,10}),"")</f>
        <v/>
      </c>
      <c r="U26" s="17">
        <f>IFERROR(SLOPE('Reported Count'!U42:U51,{1,2,3,4,5,6,7,8,9,10}),"")</f>
        <v/>
      </c>
      <c r="V26" s="17">
        <f>IFERROR(SLOPE('Reported Count'!V42:V51,{1,2,3,4,5,6,7,8,9,10}),"")</f>
        <v/>
      </c>
      <c r="W26" s="17">
        <f>IFERROR(SLOPE('Reported Count'!W42:W51,{1,2,3,4,5,6,7,8,9,10}),"")</f>
        <v/>
      </c>
      <c r="X26" s="17">
        <f>IFERROR(SLOPE('Reported Count'!X42:X51,{1,2,3,4,5,6,7,8,9,10}),"")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 ht="20" customHeight="1">
      <c r="A1" s="1" t="inlineStr">
        <is>
          <t>Incurred-to-Ult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" t="n"/>
    </row>
    <row r="2">
      <c r="A2" s="8" t="inlineStr">
        <is>
          <t>Period</t>
        </is>
      </c>
      <c r="B2" s="8" t="inlineStr">
        <is>
          <t>11</t>
        </is>
      </c>
      <c r="C2" s="8" t="inlineStr">
        <is>
          <t>23</t>
        </is>
      </c>
      <c r="D2" s="8" t="inlineStr">
        <is>
          <t>35</t>
        </is>
      </c>
      <c r="E2" s="8" t="inlineStr">
        <is>
          <t>47</t>
        </is>
      </c>
      <c r="F2" s="8" t="inlineStr">
        <is>
          <t>59</t>
        </is>
      </c>
      <c r="G2" s="8" t="inlineStr">
        <is>
          <t>71</t>
        </is>
      </c>
      <c r="H2" s="8" t="inlineStr">
        <is>
          <t>83</t>
        </is>
      </c>
      <c r="I2" s="8" t="inlineStr">
        <is>
          <t>95</t>
        </is>
      </c>
      <c r="J2" s="8" t="inlineStr">
        <is>
          <t>107</t>
        </is>
      </c>
      <c r="K2" s="8" t="inlineStr">
        <is>
          <t>119</t>
        </is>
      </c>
      <c r="L2" s="8" t="inlineStr">
        <is>
          <t>131</t>
        </is>
      </c>
      <c r="M2" s="8" t="inlineStr">
        <is>
          <t>143</t>
        </is>
      </c>
      <c r="N2" s="8" t="inlineStr">
        <is>
          <t>155</t>
        </is>
      </c>
      <c r="O2" s="8" t="inlineStr">
        <is>
          <t>167</t>
        </is>
      </c>
      <c r="P2" s="8" t="inlineStr">
        <is>
          <t>179</t>
        </is>
      </c>
      <c r="Q2" s="8" t="inlineStr">
        <is>
          <t>191</t>
        </is>
      </c>
      <c r="R2" s="8" t="inlineStr">
        <is>
          <t>203</t>
        </is>
      </c>
      <c r="S2" s="8" t="inlineStr">
        <is>
          <t>215</t>
        </is>
      </c>
      <c r="T2" s="8" t="inlineStr">
        <is>
          <t>227</t>
        </is>
      </c>
      <c r="U2" s="8" t="inlineStr">
        <is>
          <t>239</t>
        </is>
      </c>
      <c r="V2" s="8" t="inlineStr">
        <is>
          <t>251</t>
        </is>
      </c>
      <c r="W2" s="8" t="inlineStr">
        <is>
          <t>263</t>
        </is>
      </c>
      <c r="X2" s="8" t="inlineStr">
        <is>
          <t>275</t>
        </is>
      </c>
      <c r="Y2" s="8" t="inlineStr">
        <is>
          <t>287</t>
        </is>
      </c>
    </row>
    <row r="3">
      <c r="A3" s="9" t="n">
        <v>2001</v>
      </c>
      <c r="B3" s="12" t="n">
        <v>0.1857570466659403</v>
      </c>
      <c r="C3" s="12" t="n">
        <v>0.5089466642511196</v>
      </c>
      <c r="D3" s="12" t="n">
        <v>0.6228514869267098</v>
      </c>
      <c r="E3" s="12" t="n">
        <v>0.6854393413970923</v>
      </c>
      <c r="F3" s="12" t="n">
        <v>0.7369191986662413</v>
      </c>
      <c r="G3" s="12" t="n">
        <v>0.7867919371260366</v>
      </c>
      <c r="H3" s="12" t="n">
        <v>0.7849404976827654</v>
      </c>
      <c r="I3" s="12" t="n">
        <v>0.7922607970262565</v>
      </c>
      <c r="J3" s="12" t="n">
        <v>0.7980288845690027</v>
      </c>
      <c r="K3" s="12" t="n">
        <v>0.8047498472118162</v>
      </c>
      <c r="L3" s="12" t="n">
        <v>0.8220056233393775</v>
      </c>
      <c r="M3" s="12" t="n">
        <v>0.8391052981674394</v>
      </c>
      <c r="N3" s="12" t="n">
        <v>0.8381981745872149</v>
      </c>
      <c r="O3" s="12" t="n">
        <v>0.8573692798288299</v>
      </c>
      <c r="P3" s="12" t="n">
        <v>0.8719805887289566</v>
      </c>
      <c r="Q3" s="12" t="n">
        <v>0.9183465071100197</v>
      </c>
      <c r="R3" s="12" t="n">
        <v>0.9400418614009503</v>
      </c>
      <c r="S3" s="12" t="n">
        <v>0.9691042862321138</v>
      </c>
      <c r="T3" s="12" t="n">
        <v>0.9865222428345847</v>
      </c>
      <c r="U3" s="12" t="n">
        <v>0.9865222428345847</v>
      </c>
      <c r="V3" s="12" t="n">
        <v>1.00963779965383</v>
      </c>
      <c r="W3" s="12" t="n">
        <v>1.023679960338419</v>
      </c>
      <c r="X3" s="12" t="n">
        <v>1.023679960338419</v>
      </c>
      <c r="Y3" s="12" t="n">
        <v>1.035890098647464</v>
      </c>
    </row>
    <row r="4">
      <c r="A4" s="9" t="n">
        <v>2002</v>
      </c>
      <c r="B4" s="12" t="n">
        <v>0.4185415981860244</v>
      </c>
      <c r="C4" s="12" t="n">
        <v>0.5986942368377092</v>
      </c>
      <c r="D4" s="12" t="n">
        <v>0.6057379785711167</v>
      </c>
      <c r="E4" s="12" t="n">
        <v>0.7236636562166979</v>
      </c>
      <c r="F4" s="12" t="n">
        <v>0.7332050303131679</v>
      </c>
      <c r="G4" s="12" t="n">
        <v>0.7791702578213545</v>
      </c>
      <c r="H4" s="12" t="n">
        <v>0.793969663390622</v>
      </c>
      <c r="I4" s="12" t="n">
        <v>0.794134521353359</v>
      </c>
      <c r="J4" s="12" t="n">
        <v>0.8115344504171537</v>
      </c>
      <c r="K4" s="12" t="n">
        <v>0.8193548609603866</v>
      </c>
      <c r="L4" s="12" t="n">
        <v>0.8277569620657664</v>
      </c>
      <c r="M4" s="12" t="n">
        <v>0.8558327761167349</v>
      </c>
      <c r="N4" s="12" t="n">
        <v>0.856967679880721</v>
      </c>
      <c r="O4" s="12" t="n">
        <v>0.8913366155443829</v>
      </c>
      <c r="P4" s="12" t="n">
        <v>0.9148346046364357</v>
      </c>
      <c r="Q4" s="12" t="n">
        <v>0.9282976576901396</v>
      </c>
      <c r="R4" s="12" t="n">
        <v>0.9774037642236499</v>
      </c>
      <c r="S4" s="12" t="n">
        <v>0.9785138991130033</v>
      </c>
      <c r="T4" s="12" t="n">
        <v>0.9785138991130033</v>
      </c>
      <c r="U4" s="12" t="n">
        <v>1.019963506598566</v>
      </c>
      <c r="V4" s="12" t="n">
        <v>1.013631907214754</v>
      </c>
      <c r="W4" s="12" t="n">
        <v>1.050024801021336</v>
      </c>
      <c r="X4" s="12" t="n">
        <v>1.050024801021336</v>
      </c>
      <c r="Y4" s="5" t="n"/>
    </row>
    <row r="5">
      <c r="A5" s="9" t="n">
        <v>2003</v>
      </c>
      <c r="B5" s="12" t="n">
        <v>0.5591271191459942</v>
      </c>
      <c r="C5" s="12" t="n">
        <v>0.8080293688551811</v>
      </c>
      <c r="D5" s="12" t="n">
        <v>0.8746333170629967</v>
      </c>
      <c r="E5" s="12" t="n">
        <v>1.039707960070028</v>
      </c>
      <c r="F5" s="12" t="n">
        <v>0.9437111272485024</v>
      </c>
      <c r="G5" s="12" t="n">
        <v>1.007741822166039</v>
      </c>
      <c r="H5" s="12" t="n">
        <v>1.004956138859203</v>
      </c>
      <c r="I5" s="12" t="n">
        <v>0.9973698778147123</v>
      </c>
      <c r="J5" s="12" t="n">
        <v>0.9955083648586343</v>
      </c>
      <c r="K5" s="12" t="n">
        <v>0.9976936287328964</v>
      </c>
      <c r="L5" s="12" t="n">
        <v>0.995609729816468</v>
      </c>
      <c r="M5" s="12" t="n">
        <v>0.9879079154977695</v>
      </c>
      <c r="N5" s="12" t="n">
        <v>0.9828731391674823</v>
      </c>
      <c r="O5" s="12" t="n">
        <v>0.9828730879989017</v>
      </c>
      <c r="P5" s="12" t="n">
        <v>0.9828730879989017</v>
      </c>
      <c r="Q5" s="12" t="n">
        <v>0.9828730879989017</v>
      </c>
      <c r="R5" s="12" t="n">
        <v>0.9849567164528331</v>
      </c>
      <c r="S5" s="12" t="n">
        <v>0.9849567164528332</v>
      </c>
      <c r="T5" s="12" t="n">
        <v>0.9849567164528332</v>
      </c>
      <c r="U5" s="12" t="n">
        <v>0.9849567164528332</v>
      </c>
      <c r="V5" s="12" t="n">
        <v>0.9849567164528332</v>
      </c>
      <c r="W5" s="12" t="n">
        <v>0.9849567164528332</v>
      </c>
      <c r="X5" s="5" t="n"/>
      <c r="Y5" s="5" t="n"/>
    </row>
    <row r="6">
      <c r="A6" s="9" t="n">
        <v>2004</v>
      </c>
      <c r="B6" s="12" t="n">
        <v>0.6164750409301059</v>
      </c>
      <c r="C6" s="12" t="n">
        <v>0.7037520765010946</v>
      </c>
      <c r="D6" s="12" t="n">
        <v>0.7770542003724542</v>
      </c>
      <c r="E6" s="12" t="n">
        <v>0.8138717618077684</v>
      </c>
      <c r="F6" s="12" t="n">
        <v>0.9200550629524337</v>
      </c>
      <c r="G6" s="12" t="n">
        <v>0.9251617533417138</v>
      </c>
      <c r="H6" s="12" t="n">
        <v>0.9422362942888186</v>
      </c>
      <c r="I6" s="12" t="n">
        <v>0.9494763184881095</v>
      </c>
      <c r="J6" s="12" t="n">
        <v>0.9720288655710834</v>
      </c>
      <c r="K6" s="12" t="n">
        <v>0.9633543682120701</v>
      </c>
      <c r="L6" s="12" t="n">
        <v>0.9855872178453003</v>
      </c>
      <c r="M6" s="12" t="n">
        <v>0.9744501157929673</v>
      </c>
      <c r="N6" s="12" t="n">
        <v>0.974842488490788</v>
      </c>
      <c r="O6" s="12" t="n">
        <v>0.975125549146694</v>
      </c>
      <c r="P6" s="12" t="n">
        <v>0.9751250083397498</v>
      </c>
      <c r="Q6" s="12" t="n">
        <v>0.9788582677148193</v>
      </c>
      <c r="R6" s="12" t="n">
        <v>0.9788582677148193</v>
      </c>
      <c r="S6" s="12" t="n">
        <v>0.9788582677148193</v>
      </c>
      <c r="T6" s="12" t="n">
        <v>0.9788582677148193</v>
      </c>
      <c r="U6" s="12" t="n">
        <v>0.9788876093681754</v>
      </c>
      <c r="V6" s="12" t="n">
        <v>0.9788876093681754</v>
      </c>
      <c r="W6" s="5" t="n"/>
      <c r="X6" s="5" t="n"/>
      <c r="Y6" s="5" t="n"/>
    </row>
    <row r="7">
      <c r="A7" s="9" t="n">
        <v>2005</v>
      </c>
      <c r="B7" s="12" t="n">
        <v>0.5426655963817765</v>
      </c>
      <c r="C7" s="12" t="n">
        <v>0.7070384974266634</v>
      </c>
      <c r="D7" s="12" t="n">
        <v>0.7726894979245409</v>
      </c>
      <c r="E7" s="12" t="n">
        <v>0.7537451582383323</v>
      </c>
      <c r="F7" s="12" t="n">
        <v>0.781754721431695</v>
      </c>
      <c r="G7" s="12" t="n">
        <v>0.7945188861449527</v>
      </c>
      <c r="H7" s="12" t="n">
        <v>0.8106879569696319</v>
      </c>
      <c r="I7" s="12" t="n">
        <v>0.8152668947365576</v>
      </c>
      <c r="J7" s="12" t="n">
        <v>0.8257960706915195</v>
      </c>
      <c r="K7" s="12" t="n">
        <v>0.8483422586318643</v>
      </c>
      <c r="L7" s="12" t="n">
        <v>0.8582853069441279</v>
      </c>
      <c r="M7" s="12" t="n">
        <v>0.9607715477683458</v>
      </c>
      <c r="N7" s="12" t="n">
        <v>0.9607767049718854</v>
      </c>
      <c r="O7" s="12" t="n">
        <v>0.9430594588353749</v>
      </c>
      <c r="P7" s="12" t="n">
        <v>0.9524467611640131</v>
      </c>
      <c r="Q7" s="12" t="n">
        <v>0.9591074385209502</v>
      </c>
      <c r="R7" s="12" t="n">
        <v>0.9736300090832074</v>
      </c>
      <c r="S7" s="12" t="n">
        <v>0.9736300090832074</v>
      </c>
      <c r="T7" s="12" t="n">
        <v>0.9736300090832074</v>
      </c>
      <c r="U7" s="12" t="n">
        <v>0.9736300090832074</v>
      </c>
      <c r="V7" s="5" t="n"/>
      <c r="W7" s="5" t="n"/>
      <c r="X7" s="5" t="n"/>
      <c r="Y7" s="5" t="n"/>
    </row>
    <row r="8">
      <c r="A8" s="9" t="n">
        <v>2006</v>
      </c>
      <c r="B8" s="12" t="n">
        <v>0.5087925724374082</v>
      </c>
      <c r="C8" s="12" t="n">
        <v>0.7692479543417012</v>
      </c>
      <c r="D8" s="12" t="n">
        <v>0.6686413592594018</v>
      </c>
      <c r="E8" s="12" t="n">
        <v>0.7150706724473518</v>
      </c>
      <c r="F8" s="12" t="n">
        <v>0.7215165595770644</v>
      </c>
      <c r="G8" s="12" t="n">
        <v>0.7579116903442407</v>
      </c>
      <c r="H8" s="12" t="n">
        <v>0.7913112121843143</v>
      </c>
      <c r="I8" s="12" t="n">
        <v>0.7767392424677497</v>
      </c>
      <c r="J8" s="12" t="n">
        <v>0.7969725423755608</v>
      </c>
      <c r="K8" s="12" t="n">
        <v>0.8265484579404148</v>
      </c>
      <c r="L8" s="12" t="n">
        <v>0.8952870335184484</v>
      </c>
      <c r="M8" s="12" t="n">
        <v>0.9491072117546886</v>
      </c>
      <c r="N8" s="12" t="n">
        <v>0.9752228129448077</v>
      </c>
      <c r="O8" s="12" t="n">
        <v>0.9857242251953728</v>
      </c>
      <c r="P8" s="12" t="n">
        <v>0.9862939642242897</v>
      </c>
      <c r="Q8" s="12" t="n">
        <v>0.9976887448026279</v>
      </c>
      <c r="R8" s="12" t="n">
        <v>1.00075657034295</v>
      </c>
      <c r="S8" s="12" t="n">
        <v>1.008064113249565</v>
      </c>
      <c r="T8" s="12" t="n">
        <v>1.008064113249565</v>
      </c>
      <c r="U8" s="5" t="n"/>
      <c r="V8" s="5" t="n"/>
      <c r="W8" s="5" t="n"/>
      <c r="X8" s="5" t="n"/>
      <c r="Y8" s="5" t="n"/>
    </row>
    <row r="9">
      <c r="A9" s="9" t="n">
        <v>2007</v>
      </c>
      <c r="B9" s="12" t="n">
        <v>0.3479986172372034</v>
      </c>
      <c r="C9" s="12" t="n">
        <v>0.3788920461465655</v>
      </c>
      <c r="D9" s="12" t="n">
        <v>0.4126585051447869</v>
      </c>
      <c r="E9" s="12" t="n">
        <v>0.4623609932155079</v>
      </c>
      <c r="F9" s="12" t="n">
        <v>0.5153808308872757</v>
      </c>
      <c r="G9" s="12" t="n">
        <v>0.6152374249155851</v>
      </c>
      <c r="H9" s="12" t="n">
        <v>0.6543745104791397</v>
      </c>
      <c r="I9" s="12" t="n">
        <v>0.7260437270752803</v>
      </c>
      <c r="J9" s="12" t="n">
        <v>0.7780562665584075</v>
      </c>
      <c r="K9" s="12" t="n">
        <v>0.8571348618268596</v>
      </c>
      <c r="L9" s="12" t="n">
        <v>0.8834345722947391</v>
      </c>
      <c r="M9" s="12" t="n">
        <v>0.9089590388066541</v>
      </c>
      <c r="N9" s="12" t="n">
        <v>0.9236066504632237</v>
      </c>
      <c r="O9" s="12" t="n">
        <v>0.9244682234611021</v>
      </c>
      <c r="P9" s="12" t="n">
        <v>0.9647974123913573</v>
      </c>
      <c r="Q9" s="12" t="n">
        <v>0.9647974123913573</v>
      </c>
      <c r="R9" s="12" t="n">
        <v>0.9682628862475904</v>
      </c>
      <c r="S9" s="12" t="n">
        <v>0.9707107147849359</v>
      </c>
      <c r="T9" s="5" t="n"/>
      <c r="U9" s="5" t="n"/>
      <c r="V9" s="5" t="n"/>
      <c r="W9" s="5" t="n"/>
      <c r="X9" s="5" t="n"/>
      <c r="Y9" s="5" t="n"/>
    </row>
    <row r="10">
      <c r="A10" s="9" t="n">
        <v>2008</v>
      </c>
      <c r="B10" s="12" t="n">
        <v>0.3893394257507361</v>
      </c>
      <c r="C10" s="12" t="n">
        <v>0.5394914403001073</v>
      </c>
      <c r="D10" s="12" t="n">
        <v>0.6530356388326661</v>
      </c>
      <c r="E10" s="12" t="n">
        <v>0.9083537175455415</v>
      </c>
      <c r="F10" s="12" t="n">
        <v>0.8804400640205478</v>
      </c>
      <c r="G10" s="12" t="n">
        <v>0.8952732634925409</v>
      </c>
      <c r="H10" s="12" t="n">
        <v>0.9001219892853731</v>
      </c>
      <c r="I10" s="12" t="n">
        <v>0.9119695070188574</v>
      </c>
      <c r="J10" s="12" t="n">
        <v>0.9171815423320504</v>
      </c>
      <c r="K10" s="12" t="n">
        <v>0.9489792056805935</v>
      </c>
      <c r="L10" s="12" t="n">
        <v>0.9536488716493244</v>
      </c>
      <c r="M10" s="12" t="n">
        <v>0.9538063223971791</v>
      </c>
      <c r="N10" s="12" t="n">
        <v>0.939916719254566</v>
      </c>
      <c r="O10" s="12" t="n">
        <v>0.9401475854537684</v>
      </c>
      <c r="P10" s="12" t="n">
        <v>0.9401475854537684</v>
      </c>
      <c r="Q10" s="12" t="n">
        <v>0.9447649094378161</v>
      </c>
      <c r="R10" s="12" t="n">
        <v>0.9646329775017344</v>
      </c>
      <c r="S10" s="5" t="n"/>
      <c r="T10" s="5" t="n"/>
      <c r="U10" s="5" t="n"/>
      <c r="V10" s="5" t="n"/>
      <c r="W10" s="5" t="n"/>
      <c r="X10" s="5" t="n"/>
      <c r="Y10" s="5" t="n"/>
    </row>
    <row r="11">
      <c r="A11" s="9" t="n">
        <v>2009</v>
      </c>
      <c r="B11" s="12" t="n">
        <v>0.2914862733843726</v>
      </c>
      <c r="C11" s="12" t="n">
        <v>0.7114591352103926</v>
      </c>
      <c r="D11" s="12" t="n">
        <v>0.6704470813187264</v>
      </c>
      <c r="E11" s="12" t="n">
        <v>0.6871739143685239</v>
      </c>
      <c r="F11" s="12" t="n">
        <v>0.7328416473773709</v>
      </c>
      <c r="G11" s="12" t="n">
        <v>0.7704544447816357</v>
      </c>
      <c r="H11" s="12" t="n">
        <v>0.7984899422913585</v>
      </c>
      <c r="I11" s="12" t="n">
        <v>0.9135261729647381</v>
      </c>
      <c r="J11" s="12" t="n">
        <v>0.9135315529141673</v>
      </c>
      <c r="K11" s="12" t="n">
        <v>0.9135329409411201</v>
      </c>
      <c r="L11" s="12" t="n">
        <v>0.9135329409411204</v>
      </c>
      <c r="M11" s="12" t="n">
        <v>0.9259068246281139</v>
      </c>
      <c r="N11" s="12" t="n">
        <v>0.953665825016876</v>
      </c>
      <c r="O11" s="12" t="n">
        <v>0.953665825016876</v>
      </c>
      <c r="P11" s="12" t="n">
        <v>0.953665825016876</v>
      </c>
      <c r="Q11" s="12" t="n">
        <v>0.953665825016876</v>
      </c>
      <c r="R11" s="5" t="n"/>
      <c r="S11" s="5" t="n"/>
      <c r="T11" s="5" t="n"/>
      <c r="U11" s="5" t="n"/>
      <c r="V11" s="5" t="n"/>
      <c r="W11" s="5" t="n"/>
      <c r="X11" s="5" t="n"/>
      <c r="Y11" s="5" t="n"/>
    </row>
    <row r="12">
      <c r="A12" s="9" t="n">
        <v>2010</v>
      </c>
      <c r="B12" s="12" t="n">
        <v>0.2646021350910759</v>
      </c>
      <c r="C12" s="12" t="n">
        <v>0.5369428492365419</v>
      </c>
      <c r="D12" s="12" t="n">
        <v>0.6991682667559026</v>
      </c>
      <c r="E12" s="12" t="n">
        <v>0.8123611985898369</v>
      </c>
      <c r="F12" s="12" t="n">
        <v>0.9085270258909232</v>
      </c>
      <c r="G12" s="12" t="n">
        <v>0.8987625457476784</v>
      </c>
      <c r="H12" s="12" t="n">
        <v>0.9343834987245933</v>
      </c>
      <c r="I12" s="12" t="n">
        <v>0.9354832880103299</v>
      </c>
      <c r="J12" s="12" t="n">
        <v>0.9310430002998277</v>
      </c>
      <c r="K12" s="12" t="n">
        <v>0.9316305729089669</v>
      </c>
      <c r="L12" s="12" t="n">
        <v>0.9323618261024815</v>
      </c>
      <c r="M12" s="12" t="n">
        <v>0.9324161366844932</v>
      </c>
      <c r="N12" s="12" t="n">
        <v>0.9336284264615398</v>
      </c>
      <c r="O12" s="12" t="n">
        <v>0.9334295139549219</v>
      </c>
      <c r="P12" s="12" t="n">
        <v>0.9390171515036939</v>
      </c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</row>
    <row r="13">
      <c r="A13" s="9" t="n">
        <v>2011</v>
      </c>
      <c r="B13" s="12" t="n">
        <v>0.2220935872075143</v>
      </c>
      <c r="C13" s="12" t="n">
        <v>0.4338296388564406</v>
      </c>
      <c r="D13" s="12" t="n">
        <v>0.6398063790387581</v>
      </c>
      <c r="E13" s="12" t="n">
        <v>0.7387774495535461</v>
      </c>
      <c r="F13" s="12" t="n">
        <v>0.788271321077739</v>
      </c>
      <c r="G13" s="12" t="n">
        <v>0.8513539142276526</v>
      </c>
      <c r="H13" s="12" t="n">
        <v>0.8984081545202472</v>
      </c>
      <c r="I13" s="12" t="n">
        <v>0.8984645429265623</v>
      </c>
      <c r="J13" s="12" t="n">
        <v>0.9108524354860686</v>
      </c>
      <c r="K13" s="12" t="n">
        <v>0.9143483101266631</v>
      </c>
      <c r="L13" s="12" t="n">
        <v>0.9401238986106226</v>
      </c>
      <c r="M13" s="12" t="n">
        <v>0.9372358323812755</v>
      </c>
      <c r="N13" s="12" t="n">
        <v>0.9372358323812755</v>
      </c>
      <c r="O13" s="12" t="n">
        <v>0.9372358323812755</v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</row>
    <row r="14">
      <c r="A14" s="9" t="n">
        <v>2012</v>
      </c>
      <c r="B14" s="12" t="n">
        <v>0.2569384217549325</v>
      </c>
      <c r="C14" s="12" t="n">
        <v>0.5220743377783271</v>
      </c>
      <c r="D14" s="12" t="n">
        <v>0.6823479747112705</v>
      </c>
      <c r="E14" s="12" t="n">
        <v>0.7415465380008769</v>
      </c>
      <c r="F14" s="12" t="n">
        <v>0.7392288770034987</v>
      </c>
      <c r="G14" s="12" t="n">
        <v>0.7457033881695196</v>
      </c>
      <c r="H14" s="12" t="n">
        <v>0.74869074821398</v>
      </c>
      <c r="I14" s="12" t="n">
        <v>0.7872884849547246</v>
      </c>
      <c r="J14" s="12" t="n">
        <v>0.8312752074767521</v>
      </c>
      <c r="K14" s="12" t="n">
        <v>0.8782822682596095</v>
      </c>
      <c r="L14" s="12" t="n">
        <v>0.8848435907696089</v>
      </c>
      <c r="M14" s="12" t="n">
        <v>1.043209568607311</v>
      </c>
      <c r="N14" s="12" t="n">
        <v>1.043209568607311</v>
      </c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</row>
    <row r="15">
      <c r="A15" s="9" t="n">
        <v>2013</v>
      </c>
      <c r="B15" s="12" t="n">
        <v>0.3536618997863469</v>
      </c>
      <c r="C15" s="12" t="n">
        <v>0.6458189918469647</v>
      </c>
      <c r="D15" s="12" t="n">
        <v>0.7021635373387534</v>
      </c>
      <c r="E15" s="12" t="n">
        <v>0.8465288127656035</v>
      </c>
      <c r="F15" s="12" t="n">
        <v>0.8979725806292401</v>
      </c>
      <c r="G15" s="12" t="n">
        <v>0.8956388746079975</v>
      </c>
      <c r="H15" s="12" t="n">
        <v>0.8960804566075885</v>
      </c>
      <c r="I15" s="12" t="n">
        <v>0.8960804566075888</v>
      </c>
      <c r="J15" s="12" t="n">
        <v>0.8978109671020491</v>
      </c>
      <c r="K15" s="12" t="n">
        <v>0.8978109671020491</v>
      </c>
      <c r="L15" s="12" t="n">
        <v>0.8978251803972496</v>
      </c>
      <c r="M15" s="12" t="n">
        <v>0.8978251803972496</v>
      </c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</row>
    <row r="16">
      <c r="A16" s="9" t="n">
        <v>2014</v>
      </c>
      <c r="B16" s="12" t="n">
        <v>0.3674414537132812</v>
      </c>
      <c r="C16" s="12" t="n">
        <v>0.5020139302399099</v>
      </c>
      <c r="D16" s="12" t="n">
        <v>0.7086183914431315</v>
      </c>
      <c r="E16" s="12" t="n">
        <v>0.8193529067562375</v>
      </c>
      <c r="F16" s="12" t="n">
        <v>0.8310671062465813</v>
      </c>
      <c r="G16" s="12" t="n">
        <v>0.8597050832749772</v>
      </c>
      <c r="H16" s="12" t="n">
        <v>0.8350906734030671</v>
      </c>
      <c r="I16" s="12" t="n">
        <v>0.8350906734030671</v>
      </c>
      <c r="J16" s="12" t="n">
        <v>0.8693986753363371</v>
      </c>
      <c r="K16" s="12" t="n">
        <v>0.8873336101050266</v>
      </c>
      <c r="L16" s="12" t="n">
        <v>0.8811710478094711</v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</row>
    <row r="17">
      <c r="A17" s="9" t="n">
        <v>2015</v>
      </c>
      <c r="B17" s="12" t="n">
        <v>0.1397722264058047</v>
      </c>
      <c r="C17" s="12" t="n">
        <v>0.2775466783530121</v>
      </c>
      <c r="D17" s="12" t="n">
        <v>0.4170830659071499</v>
      </c>
      <c r="E17" s="12" t="n">
        <v>0.5540898486806202</v>
      </c>
      <c r="F17" s="12" t="n">
        <v>0.6127820318999951</v>
      </c>
      <c r="G17" s="12" t="n">
        <v>0.6962467383821356</v>
      </c>
      <c r="H17" s="12" t="n">
        <v>0.7936759397482254</v>
      </c>
      <c r="I17" s="12" t="n">
        <v>0.7990577274970203</v>
      </c>
      <c r="J17" s="12" t="n">
        <v>0.801695417086291</v>
      </c>
      <c r="K17" s="12" t="n">
        <v>0.8787834866450946</v>
      </c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</row>
    <row r="18">
      <c r="A18" s="9" t="n">
        <v>2016</v>
      </c>
      <c r="B18" s="12" t="n">
        <v>0.2293312874291928</v>
      </c>
      <c r="C18" s="12" t="n">
        <v>0.4287732133265181</v>
      </c>
      <c r="D18" s="12" t="n">
        <v>0.5779845870451189</v>
      </c>
      <c r="E18" s="12" t="n">
        <v>0.6282644928375015</v>
      </c>
      <c r="F18" s="12" t="n">
        <v>0.7176722180915138</v>
      </c>
      <c r="G18" s="12" t="n">
        <v>0.7403457178752868</v>
      </c>
      <c r="H18" s="12" t="n">
        <v>0.8347730580698678</v>
      </c>
      <c r="I18" s="12" t="n">
        <v>0.8345743940452716</v>
      </c>
      <c r="J18" s="12" t="n">
        <v>0.8356743676045613</v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</row>
    <row r="19">
      <c r="A19" s="9" t="n">
        <v>2017</v>
      </c>
      <c r="B19" s="12" t="n">
        <v>0.3099979545896595</v>
      </c>
      <c r="C19" s="12" t="n">
        <v>0.4131761728772568</v>
      </c>
      <c r="D19" s="12" t="n">
        <v>0.4273725657233136</v>
      </c>
      <c r="E19" s="12" t="n">
        <v>0.5595968340227696</v>
      </c>
      <c r="F19" s="12" t="n">
        <v>0.6016079253787757</v>
      </c>
      <c r="G19" s="12" t="n">
        <v>0.6814506387625185</v>
      </c>
      <c r="H19" s="12" t="n">
        <v>0.7855016052704782</v>
      </c>
      <c r="I19" s="12" t="n">
        <v>0.8102697143672726</v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</row>
    <row r="20">
      <c r="A20" s="9" t="n">
        <v>2018</v>
      </c>
      <c r="B20" s="12" t="n">
        <v>0.1663705423791184</v>
      </c>
      <c r="C20" s="12" t="n">
        <v>0.3825556741896091</v>
      </c>
      <c r="D20" s="12" t="n">
        <v>0.5465702509823124</v>
      </c>
      <c r="E20" s="12" t="n">
        <v>0.7587850710184616</v>
      </c>
      <c r="F20" s="12" t="n">
        <v>0.7544286675124915</v>
      </c>
      <c r="G20" s="12" t="n">
        <v>0.7643055107343517</v>
      </c>
      <c r="H20" s="12" t="n">
        <v>0.7845369033108536</v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</row>
    <row r="21">
      <c r="A21" s="9" t="n">
        <v>2019</v>
      </c>
      <c r="B21" s="12" t="n">
        <v>0.1206966767137252</v>
      </c>
      <c r="C21" s="12" t="n">
        <v>0.3327565577425519</v>
      </c>
      <c r="D21" s="12" t="n">
        <v>0.5148594372788778</v>
      </c>
      <c r="E21" s="12" t="n">
        <v>0.5919405049367673</v>
      </c>
      <c r="F21" s="12" t="n">
        <v>0.6294635997916861</v>
      </c>
      <c r="G21" s="12" t="n">
        <v>0.7692714233196886</v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</row>
    <row r="22">
      <c r="A22" s="9" t="n">
        <v>2020</v>
      </c>
      <c r="B22" s="12" t="n">
        <v>0.3387204869397044</v>
      </c>
      <c r="C22" s="12" t="n">
        <v>0.6045916586308263</v>
      </c>
      <c r="D22" s="12" t="n">
        <v>0.5944555774915785</v>
      </c>
      <c r="E22" s="12" t="n">
        <v>0.6289544872264183</v>
      </c>
      <c r="F22" s="12" t="n">
        <v>0.6350730991743013</v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</row>
    <row r="23">
      <c r="A23" s="9" t="n">
        <v>2021</v>
      </c>
      <c r="B23" s="12" t="n">
        <v>0.3250671961000247</v>
      </c>
      <c r="C23" s="12" t="n">
        <v>0.4738454738209796</v>
      </c>
      <c r="D23" s="12" t="n">
        <v>0.5799703892174801</v>
      </c>
      <c r="E23" s="12" t="n">
        <v>0.5983083883598156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</row>
    <row r="24">
      <c r="A24" s="9" t="n">
        <v>2022</v>
      </c>
      <c r="B24" s="12" t="n">
        <v>0.4220904389637121</v>
      </c>
      <c r="C24" s="12" t="n">
        <v>0.5175120918932772</v>
      </c>
      <c r="D24" s="12" t="n">
        <v>0.5027826977526815</v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</row>
    <row r="25">
      <c r="A25" s="9" t="n">
        <v>2023</v>
      </c>
      <c r="B25" s="12" t="n">
        <v>0.5279218869280361</v>
      </c>
      <c r="C25" s="12" t="n">
        <v>0.8943571585988016</v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</row>
    <row r="26">
      <c r="A26" s="9" t="n">
        <v>2024</v>
      </c>
      <c r="B26" s="12" t="n">
        <v>0.7269617042904062</v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</row>
  </sheetData>
  <mergeCells count="1">
    <mergeCell ref="A1:Y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 ht="20" customHeight="1">
      <c r="A1" s="1" t="inlineStr">
        <is>
          <t>Paid-to-Ult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" t="n"/>
    </row>
    <row r="2">
      <c r="A2" s="8" t="inlineStr">
        <is>
          <t>Period</t>
        </is>
      </c>
      <c r="B2" s="8" t="inlineStr">
        <is>
          <t>11</t>
        </is>
      </c>
      <c r="C2" s="8" t="inlineStr">
        <is>
          <t>23</t>
        </is>
      </c>
      <c r="D2" s="8" t="inlineStr">
        <is>
          <t>35</t>
        </is>
      </c>
      <c r="E2" s="8" t="inlineStr">
        <is>
          <t>47</t>
        </is>
      </c>
      <c r="F2" s="8" t="inlineStr">
        <is>
          <t>59</t>
        </is>
      </c>
      <c r="G2" s="8" t="inlineStr">
        <is>
          <t>71</t>
        </is>
      </c>
      <c r="H2" s="8" t="inlineStr">
        <is>
          <t>83</t>
        </is>
      </c>
      <c r="I2" s="8" t="inlineStr">
        <is>
          <t>95</t>
        </is>
      </c>
      <c r="J2" s="8" t="inlineStr">
        <is>
          <t>107</t>
        </is>
      </c>
      <c r="K2" s="8" t="inlineStr">
        <is>
          <t>119</t>
        </is>
      </c>
      <c r="L2" s="8" t="inlineStr">
        <is>
          <t>131</t>
        </is>
      </c>
      <c r="M2" s="8" t="inlineStr">
        <is>
          <t>143</t>
        </is>
      </c>
      <c r="N2" s="8" t="inlineStr">
        <is>
          <t>155</t>
        </is>
      </c>
      <c r="O2" s="8" t="inlineStr">
        <is>
          <t>167</t>
        </is>
      </c>
      <c r="P2" s="8" t="inlineStr">
        <is>
          <t>179</t>
        </is>
      </c>
      <c r="Q2" s="8" t="inlineStr">
        <is>
          <t>191</t>
        </is>
      </c>
      <c r="R2" s="8" t="inlineStr">
        <is>
          <t>203</t>
        </is>
      </c>
      <c r="S2" s="8" t="inlineStr">
        <is>
          <t>215</t>
        </is>
      </c>
      <c r="T2" s="8" t="inlineStr">
        <is>
          <t>227</t>
        </is>
      </c>
      <c r="U2" s="8" t="inlineStr">
        <is>
          <t>239</t>
        </is>
      </c>
      <c r="V2" s="8" t="inlineStr">
        <is>
          <t>251</t>
        </is>
      </c>
      <c r="W2" s="8" t="inlineStr">
        <is>
          <t>263</t>
        </is>
      </c>
      <c r="X2" s="8" t="inlineStr">
        <is>
          <t>275</t>
        </is>
      </c>
      <c r="Y2" s="8" t="inlineStr">
        <is>
          <t>287</t>
        </is>
      </c>
    </row>
    <row r="3">
      <c r="A3" s="9" t="n">
        <v>2001</v>
      </c>
      <c r="B3" s="12" t="n">
        <v>0.1067541223885153</v>
      </c>
      <c r="C3" s="12" t="n">
        <v>0.3429328955077106</v>
      </c>
      <c r="D3" s="12" t="n">
        <v>0.5061053950615241</v>
      </c>
      <c r="E3" s="12" t="n">
        <v>0.6256927561163054</v>
      </c>
      <c r="F3" s="12" t="n">
        <v>0.728259290155435</v>
      </c>
      <c r="G3" s="12" t="n">
        <v>0.7477592152729701</v>
      </c>
      <c r="H3" s="12" t="n">
        <v>0.7405549430627171</v>
      </c>
      <c r="I3" s="12" t="n">
        <v>0.7505548063940249</v>
      </c>
      <c r="J3" s="12" t="n">
        <v>0.7578337958611142</v>
      </c>
      <c r="K3" s="12" t="n">
        <v>0.7669489771453039</v>
      </c>
      <c r="L3" s="12" t="n">
        <v>0.7852241925352421</v>
      </c>
      <c r="M3" s="12" t="n">
        <v>0.8040527641107796</v>
      </c>
      <c r="N3" s="12" t="n">
        <v>0.8171556727514971</v>
      </c>
      <c r="O3" s="12" t="n">
        <v>0.8379119089391664</v>
      </c>
      <c r="P3" s="12" t="n">
        <v>0.8559357998975045</v>
      </c>
      <c r="Q3" s="12" t="n">
        <v>0.8821903197128589</v>
      </c>
      <c r="R3" s="12" t="n">
        <v>0.911023844362869</v>
      </c>
      <c r="S3" s="12" t="n">
        <v>0.9356571038328937</v>
      </c>
      <c r="T3" s="12" t="n">
        <v>0.9714855255963522</v>
      </c>
      <c r="U3" s="12" t="n">
        <v>0.9714855255963522</v>
      </c>
      <c r="V3" s="12" t="n">
        <v>0.9787183444391107</v>
      </c>
      <c r="W3" s="12" t="n">
        <v>0.985994901371903</v>
      </c>
      <c r="X3" s="12" t="n">
        <v>0.9922144249376672</v>
      </c>
      <c r="Y3" s="12" t="n">
        <v>0.9961151513872585</v>
      </c>
    </row>
    <row r="4">
      <c r="A4" s="9" t="n">
        <v>2002</v>
      </c>
      <c r="B4" s="12" t="n">
        <v>0.1612030506907876</v>
      </c>
      <c r="C4" s="12" t="n">
        <v>0.4109787875105455</v>
      </c>
      <c r="D4" s="12" t="n">
        <v>0.5505005904065303</v>
      </c>
      <c r="E4" s="12" t="n">
        <v>0.5946964535636818</v>
      </c>
      <c r="F4" s="12" t="n">
        <v>0.6691705843424396</v>
      </c>
      <c r="G4" s="12" t="n">
        <v>0.7315536231886935</v>
      </c>
      <c r="H4" s="12" t="n">
        <v>0.7480608012931289</v>
      </c>
      <c r="I4" s="12" t="n">
        <v>0.7613118992112784</v>
      </c>
      <c r="J4" s="12" t="n">
        <v>0.7802016037598219</v>
      </c>
      <c r="K4" s="12" t="n">
        <v>0.7895027656075722</v>
      </c>
      <c r="L4" s="12" t="n">
        <v>0.8033956756052417</v>
      </c>
      <c r="M4" s="12" t="n">
        <v>0.8184740985887492</v>
      </c>
      <c r="N4" s="12" t="n">
        <v>0.8372502329957126</v>
      </c>
      <c r="O4" s="12" t="n">
        <v>0.8586066995915662</v>
      </c>
      <c r="P4" s="12" t="n">
        <v>0.876753278374878</v>
      </c>
      <c r="Q4" s="12" t="n">
        <v>0.8938724339999155</v>
      </c>
      <c r="R4" s="12" t="n">
        <v>0.9193413790575927</v>
      </c>
      <c r="S4" s="12" t="n">
        <v>0.9379187731575728</v>
      </c>
      <c r="T4" s="12" t="n">
        <v>0.9528168911152164</v>
      </c>
      <c r="U4" s="12" t="n">
        <v>0.9643606391346071</v>
      </c>
      <c r="V4" s="12" t="n">
        <v>0.974085366001188</v>
      </c>
      <c r="W4" s="12" t="n">
        <v>0.9834061834182815</v>
      </c>
      <c r="X4" s="12" t="n">
        <v>0.9922453917654648</v>
      </c>
      <c r="Y4" s="5" t="n"/>
    </row>
    <row r="5">
      <c r="A5" s="9" t="n">
        <v>2003</v>
      </c>
      <c r="B5" s="12" t="n">
        <v>0.2568816243375344</v>
      </c>
      <c r="C5" s="12" t="n">
        <v>0.6380181054747236</v>
      </c>
      <c r="D5" s="12" t="n">
        <v>0.7365556337497792</v>
      </c>
      <c r="E5" s="12" t="n">
        <v>0.8028508672922604</v>
      </c>
      <c r="F5" s="12" t="n">
        <v>0.928907793777127</v>
      </c>
      <c r="G5" s="12" t="n">
        <v>0.9751486717872473</v>
      </c>
      <c r="H5" s="12" t="n">
        <v>0.9766183284445881</v>
      </c>
      <c r="I5" s="12" t="n">
        <v>0.9834658102150197</v>
      </c>
      <c r="J5" s="12" t="n">
        <v>0.9820521392944676</v>
      </c>
      <c r="K5" s="12" t="n">
        <v>0.9844535246328756</v>
      </c>
      <c r="L5" s="12" t="n">
        <v>0.9825858641373485</v>
      </c>
      <c r="M5" s="12" t="n">
        <v>0.9828011961433963</v>
      </c>
      <c r="N5" s="12" t="n">
        <v>0.9828731391674823</v>
      </c>
      <c r="O5" s="12" t="n">
        <v>0.9828734242495731</v>
      </c>
      <c r="P5" s="12" t="n">
        <v>0.9828734242495731</v>
      </c>
      <c r="Q5" s="12" t="n">
        <v>0.9828730879989017</v>
      </c>
      <c r="R5" s="12" t="n">
        <v>0.9849567164528331</v>
      </c>
      <c r="S5" s="12" t="n">
        <v>0.9849567164528332</v>
      </c>
      <c r="T5" s="12" t="n">
        <v>0.9849567164528332</v>
      </c>
      <c r="U5" s="12" t="n">
        <v>0.9849567164528332</v>
      </c>
      <c r="V5" s="12" t="n">
        <v>0.9849567164528332</v>
      </c>
      <c r="W5" s="12" t="n">
        <v>0.9849567164528332</v>
      </c>
      <c r="X5" s="5" t="n"/>
      <c r="Y5" s="5" t="n"/>
    </row>
    <row r="6">
      <c r="A6" s="9" t="n">
        <v>2004</v>
      </c>
      <c r="B6" s="12" t="n">
        <v>0.2239987843327615</v>
      </c>
      <c r="C6" s="12" t="n">
        <v>0.5458387500977807</v>
      </c>
      <c r="D6" s="12" t="n">
        <v>0.7036490585314867</v>
      </c>
      <c r="E6" s="12" t="n">
        <v>0.7879366283801885</v>
      </c>
      <c r="F6" s="12" t="n">
        <v>0.9200550629524337</v>
      </c>
      <c r="G6" s="12" t="n">
        <v>0.923435796745593</v>
      </c>
      <c r="H6" s="12" t="n">
        <v>0.9384544543410163</v>
      </c>
      <c r="I6" s="12" t="n">
        <v>0.9457766811958271</v>
      </c>
      <c r="J6" s="12" t="n">
        <v>0.9632563670898606</v>
      </c>
      <c r="K6" s="12" t="n">
        <v>0.957350260478261</v>
      </c>
      <c r="L6" s="12" t="n">
        <v>0.9607868124519813</v>
      </c>
      <c r="M6" s="12" t="n">
        <v>0.9669305979622962</v>
      </c>
      <c r="N6" s="12" t="n">
        <v>0.9673321758846991</v>
      </c>
      <c r="O6" s="12" t="n">
        <v>0.9690892231268468</v>
      </c>
      <c r="P6" s="12" t="n">
        <v>0.9696525483516917</v>
      </c>
      <c r="Q6" s="12" t="n">
        <v>0.9788582677148193</v>
      </c>
      <c r="R6" s="12" t="n">
        <v>0.9788582677148193</v>
      </c>
      <c r="S6" s="12" t="n">
        <v>0.9788582677148193</v>
      </c>
      <c r="T6" s="12" t="n">
        <v>0.9788582677148193</v>
      </c>
      <c r="U6" s="12" t="n">
        <v>0.9788876093681754</v>
      </c>
      <c r="V6" s="12" t="n">
        <v>0.9788876093681754</v>
      </c>
      <c r="W6" s="5" t="n"/>
      <c r="X6" s="5" t="n"/>
      <c r="Y6" s="5" t="n"/>
    </row>
    <row r="7">
      <c r="A7" s="9" t="n">
        <v>2005</v>
      </c>
      <c r="B7" s="12" t="n">
        <v>0.2644487909997931</v>
      </c>
      <c r="C7" s="12" t="n">
        <v>0.537109041921255</v>
      </c>
      <c r="D7" s="12" t="n">
        <v>0.6807276884280284</v>
      </c>
      <c r="E7" s="12" t="n">
        <v>0.7106007670087484</v>
      </c>
      <c r="F7" s="12" t="n">
        <v>0.7636702709427314</v>
      </c>
      <c r="G7" s="12" t="n">
        <v>0.7795180479869096</v>
      </c>
      <c r="H7" s="12" t="n">
        <v>0.7959615450723693</v>
      </c>
      <c r="I7" s="12" t="n">
        <v>0.8042498129454172</v>
      </c>
      <c r="J7" s="12" t="n">
        <v>0.8076031756725759</v>
      </c>
      <c r="K7" s="12" t="n">
        <v>0.8318379581166758</v>
      </c>
      <c r="L7" s="12" t="n">
        <v>0.8554671817211865</v>
      </c>
      <c r="M7" s="12" t="n">
        <v>0.8727988237490604</v>
      </c>
      <c r="N7" s="12" t="n">
        <v>0.901358270904692</v>
      </c>
      <c r="O7" s="12" t="n">
        <v>0.9183641896872473</v>
      </c>
      <c r="P7" s="12" t="n">
        <v>0.9460286500104359</v>
      </c>
      <c r="Q7" s="12" t="n">
        <v>0.9535613875649706</v>
      </c>
      <c r="R7" s="12" t="n">
        <v>0.9720009917407839</v>
      </c>
      <c r="S7" s="12" t="n">
        <v>0.9736300090832074</v>
      </c>
      <c r="T7" s="12" t="n">
        <v>0.9736300090832074</v>
      </c>
      <c r="U7" s="12" t="n">
        <v>0.9736300090832074</v>
      </c>
      <c r="V7" s="5" t="n"/>
      <c r="W7" s="5" t="n"/>
      <c r="X7" s="5" t="n"/>
      <c r="Y7" s="5" t="n"/>
    </row>
    <row r="8">
      <c r="A8" s="9" t="n">
        <v>2006</v>
      </c>
      <c r="B8" s="12" t="n">
        <v>0.1891644806593015</v>
      </c>
      <c r="C8" s="12" t="n">
        <v>0.4646854366443811</v>
      </c>
      <c r="D8" s="12" t="n">
        <v>0.5933328073911573</v>
      </c>
      <c r="E8" s="12" t="n">
        <v>0.6461948598850759</v>
      </c>
      <c r="F8" s="12" t="n">
        <v>0.6857332408747866</v>
      </c>
      <c r="G8" s="12" t="n">
        <v>0.7176608024901822</v>
      </c>
      <c r="H8" s="12" t="n">
        <v>0.7473362733764274</v>
      </c>
      <c r="I8" s="12" t="n">
        <v>0.7524105094114147</v>
      </c>
      <c r="J8" s="12" t="n">
        <v>0.7761819763409581</v>
      </c>
      <c r="K8" s="12" t="n">
        <v>0.8079951255941313</v>
      </c>
      <c r="L8" s="12" t="n">
        <v>0.8825161140548802</v>
      </c>
      <c r="M8" s="12" t="n">
        <v>0.9069053271004386</v>
      </c>
      <c r="N8" s="12" t="n">
        <v>0.9163597080245233</v>
      </c>
      <c r="O8" s="12" t="n">
        <v>0.9334858002772904</v>
      </c>
      <c r="P8" s="12" t="n">
        <v>0.939843912535687</v>
      </c>
      <c r="Q8" s="12" t="n">
        <v>0.9476942151368956</v>
      </c>
      <c r="R8" s="12" t="n">
        <v>0.9585641258261479</v>
      </c>
      <c r="S8" s="12" t="n">
        <v>0.9658828619133772</v>
      </c>
      <c r="T8" s="12" t="n">
        <v>0.9712020068438562</v>
      </c>
      <c r="U8" s="5" t="n"/>
      <c r="V8" s="5" t="n"/>
      <c r="W8" s="5" t="n"/>
      <c r="X8" s="5" t="n"/>
      <c r="Y8" s="5" t="n"/>
    </row>
    <row r="9">
      <c r="A9" s="9" t="n">
        <v>2007</v>
      </c>
      <c r="B9" s="12" t="n">
        <v>0.1016111701644261</v>
      </c>
      <c r="C9" s="12" t="n">
        <v>0.2226096192818307</v>
      </c>
      <c r="D9" s="12" t="n">
        <v>0.2882457906139991</v>
      </c>
      <c r="E9" s="12" t="n">
        <v>0.3670626322440167</v>
      </c>
      <c r="F9" s="12" t="n">
        <v>0.4353695347541685</v>
      </c>
      <c r="G9" s="12" t="n">
        <v>0.5288213856301898</v>
      </c>
      <c r="H9" s="12" t="n">
        <v>0.5900297920051245</v>
      </c>
      <c r="I9" s="12" t="n">
        <v>0.6358411892917937</v>
      </c>
      <c r="J9" s="12" t="n">
        <v>0.6871365176814727</v>
      </c>
      <c r="K9" s="12" t="n">
        <v>0.745458279742907</v>
      </c>
      <c r="L9" s="12" t="n">
        <v>0.8067502486470619</v>
      </c>
      <c r="M9" s="12" t="n">
        <v>0.8470876306086526</v>
      </c>
      <c r="N9" s="12" t="n">
        <v>0.8818510033879071</v>
      </c>
      <c r="O9" s="12" t="n">
        <v>0.9073434859243894</v>
      </c>
      <c r="P9" s="12" t="n">
        <v>0.9316739346108678</v>
      </c>
      <c r="Q9" s="12" t="n">
        <v>0.958743531745454</v>
      </c>
      <c r="R9" s="12" t="n">
        <v>0.9647693292254494</v>
      </c>
      <c r="S9" s="12" t="n">
        <v>0.9666587082856597</v>
      </c>
      <c r="T9" s="5" t="n"/>
      <c r="U9" s="5" t="n"/>
      <c r="V9" s="5" t="n"/>
      <c r="W9" s="5" t="n"/>
      <c r="X9" s="5" t="n"/>
      <c r="Y9" s="5" t="n"/>
    </row>
    <row r="10">
      <c r="A10" s="9" t="n">
        <v>2008</v>
      </c>
      <c r="B10" s="12" t="n">
        <v>0.2473933655590543</v>
      </c>
      <c r="C10" s="12" t="n">
        <v>0.4524774896190338</v>
      </c>
      <c r="D10" s="12" t="n">
        <v>0.6085780211263496</v>
      </c>
      <c r="E10" s="12" t="n">
        <v>0.8316191951997298</v>
      </c>
      <c r="F10" s="12" t="n">
        <v>0.8606589309326012</v>
      </c>
      <c r="G10" s="12" t="n">
        <v>0.8871809414780989</v>
      </c>
      <c r="H10" s="12" t="n">
        <v>0.8933839745686921</v>
      </c>
      <c r="I10" s="12" t="n">
        <v>0.8990954842865355</v>
      </c>
      <c r="J10" s="12" t="n">
        <v>0.9096571511676463</v>
      </c>
      <c r="K10" s="12" t="n">
        <v>0.9218505803447195</v>
      </c>
      <c r="L10" s="12" t="n">
        <v>0.9317098876053208</v>
      </c>
      <c r="M10" s="12" t="n">
        <v>0.9335185857563508</v>
      </c>
      <c r="N10" s="12" t="n">
        <v>0.9356835658606389</v>
      </c>
      <c r="O10" s="12" t="n">
        <v>0.936746695473318</v>
      </c>
      <c r="P10" s="12" t="n">
        <v>0.9373607626246044</v>
      </c>
      <c r="Q10" s="12" t="n">
        <v>0.9398411151916511</v>
      </c>
      <c r="R10" s="12" t="n">
        <v>0.9646329775017344</v>
      </c>
      <c r="S10" s="5" t="n"/>
      <c r="T10" s="5" t="n"/>
      <c r="U10" s="5" t="n"/>
      <c r="V10" s="5" t="n"/>
      <c r="W10" s="5" t="n"/>
      <c r="X10" s="5" t="n"/>
      <c r="Y10" s="5" t="n"/>
    </row>
    <row r="11">
      <c r="A11" s="9" t="n">
        <v>2009</v>
      </c>
      <c r="B11" s="12" t="n">
        <v>0.1864535206795129</v>
      </c>
      <c r="C11" s="12" t="n">
        <v>0.6052217257491604</v>
      </c>
      <c r="D11" s="12" t="n">
        <v>0.6620573407012711</v>
      </c>
      <c r="E11" s="12" t="n">
        <v>0.6800865411489729</v>
      </c>
      <c r="F11" s="12" t="n">
        <v>0.7297621643241382</v>
      </c>
      <c r="G11" s="12" t="n">
        <v>0.7673521292230259</v>
      </c>
      <c r="H11" s="12" t="n">
        <v>0.7904329300262968</v>
      </c>
      <c r="I11" s="12" t="n">
        <v>0.8302768354984165</v>
      </c>
      <c r="J11" s="12" t="n">
        <v>0.8607348811964799</v>
      </c>
      <c r="K11" s="12" t="n">
        <v>0.8733701335866394</v>
      </c>
      <c r="L11" s="12" t="n">
        <v>0.8815863170355114</v>
      </c>
      <c r="M11" s="12" t="n">
        <v>0.9085131898861714</v>
      </c>
      <c r="N11" s="12" t="n">
        <v>0.953665825016876</v>
      </c>
      <c r="O11" s="12" t="n">
        <v>0.953665825016876</v>
      </c>
      <c r="P11" s="12" t="n">
        <v>0.953665825016876</v>
      </c>
      <c r="Q11" s="12" t="n">
        <v>0.953665825016876</v>
      </c>
      <c r="R11" s="5" t="n"/>
      <c r="S11" s="5" t="n"/>
      <c r="T11" s="5" t="n"/>
      <c r="U11" s="5" t="n"/>
      <c r="V11" s="5" t="n"/>
      <c r="W11" s="5" t="n"/>
      <c r="X11" s="5" t="n"/>
      <c r="Y11" s="5" t="n"/>
    </row>
    <row r="12">
      <c r="A12" s="9" t="n">
        <v>2010</v>
      </c>
      <c r="B12" s="12" t="n">
        <v>0.1790493228889394</v>
      </c>
      <c r="C12" s="12" t="n">
        <v>0.4947278254362693</v>
      </c>
      <c r="D12" s="12" t="n">
        <v>0.672659339564226</v>
      </c>
      <c r="E12" s="12" t="n">
        <v>0.7914758703108786</v>
      </c>
      <c r="F12" s="12" t="n">
        <v>0.8650173251003559</v>
      </c>
      <c r="G12" s="12" t="n">
        <v>0.8830609685553713</v>
      </c>
      <c r="H12" s="12" t="n">
        <v>0.9262563080592732</v>
      </c>
      <c r="I12" s="12" t="n">
        <v>0.9278681685468342</v>
      </c>
      <c r="J12" s="12" t="n">
        <v>0.9310430002998277</v>
      </c>
      <c r="K12" s="12" t="n">
        <v>0.9316305729089669</v>
      </c>
      <c r="L12" s="12" t="n">
        <v>0.932102784022922</v>
      </c>
      <c r="M12" s="12" t="n">
        <v>0.9321570946049338</v>
      </c>
      <c r="N12" s="12" t="n">
        <v>0.9327500691773194</v>
      </c>
      <c r="O12" s="12" t="n">
        <v>0.9334295139549219</v>
      </c>
      <c r="P12" s="12" t="n">
        <v>0.9390171515036939</v>
      </c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</row>
    <row r="13">
      <c r="A13" s="9" t="n">
        <v>2011</v>
      </c>
      <c r="B13" s="12" t="n">
        <v>0.1780858312596732</v>
      </c>
      <c r="C13" s="12" t="n">
        <v>0.4104125909964174</v>
      </c>
      <c r="D13" s="12" t="n">
        <v>0.6398063790387581</v>
      </c>
      <c r="E13" s="12" t="n">
        <v>0.6881377689694839</v>
      </c>
      <c r="F13" s="12" t="n">
        <v>0.7451660765479134</v>
      </c>
      <c r="G13" s="12" t="n">
        <v>0.8113959896290565</v>
      </c>
      <c r="H13" s="12" t="n">
        <v>0.8912982839208846</v>
      </c>
      <c r="I13" s="12" t="n">
        <v>0.8930538313523364</v>
      </c>
      <c r="J13" s="12" t="n">
        <v>0.8971176952559914</v>
      </c>
      <c r="K13" s="12" t="n">
        <v>0.9039956801528736</v>
      </c>
      <c r="L13" s="12" t="n">
        <v>0.9087011622745846</v>
      </c>
      <c r="M13" s="12" t="n">
        <v>0.9180908453165849</v>
      </c>
      <c r="N13" s="12" t="n">
        <v>0.922821307192467</v>
      </c>
      <c r="O13" s="12" t="n">
        <v>0.925778522803322</v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</row>
    <row r="14">
      <c r="A14" s="9" t="n">
        <v>2012</v>
      </c>
      <c r="B14" s="12" t="n">
        <v>0.1742643247323305</v>
      </c>
      <c r="C14" s="12" t="n">
        <v>0.4854227902374706</v>
      </c>
      <c r="D14" s="12" t="n">
        <v>0.6114617377289446</v>
      </c>
      <c r="E14" s="12" t="n">
        <v>0.727908072088169</v>
      </c>
      <c r="F14" s="12" t="n">
        <v>0.7352577627336007</v>
      </c>
      <c r="G14" s="12" t="n">
        <v>0.7400444998632032</v>
      </c>
      <c r="H14" s="12" t="n">
        <v>0.7478671508238403</v>
      </c>
      <c r="I14" s="12" t="n">
        <v>0.7773329499329332</v>
      </c>
      <c r="J14" s="12" t="n">
        <v>0.8018565691349916</v>
      </c>
      <c r="K14" s="12" t="n">
        <v>0.8055283861550107</v>
      </c>
      <c r="L14" s="12" t="n">
        <v>0.8294555306691982</v>
      </c>
      <c r="M14" s="12" t="n">
        <v>0.8763133869781782</v>
      </c>
      <c r="N14" s="12" t="n">
        <v>0.913537122219276</v>
      </c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</row>
    <row r="15">
      <c r="A15" s="9" t="n">
        <v>2013</v>
      </c>
      <c r="B15" s="12" t="n">
        <v>0.2566753897958131</v>
      </c>
      <c r="C15" s="12" t="n">
        <v>0.590639117206946</v>
      </c>
      <c r="D15" s="12" t="n">
        <v>0.6902778782464495</v>
      </c>
      <c r="E15" s="12" t="n">
        <v>0.7572559416879562</v>
      </c>
      <c r="F15" s="12" t="n">
        <v>0.8979725806292401</v>
      </c>
      <c r="G15" s="12" t="n">
        <v>0.8956388746079975</v>
      </c>
      <c r="H15" s="12" t="n">
        <v>0.8960804566075885</v>
      </c>
      <c r="I15" s="12" t="n">
        <v>0.8960804566075888</v>
      </c>
      <c r="J15" s="12" t="n">
        <v>0.8978109671020491</v>
      </c>
      <c r="K15" s="12" t="n">
        <v>0.8978109671020491</v>
      </c>
      <c r="L15" s="12" t="n">
        <v>0.8978251803972496</v>
      </c>
      <c r="M15" s="12" t="n">
        <v>0.8978251803972496</v>
      </c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</row>
    <row r="16">
      <c r="A16" s="9" t="n">
        <v>2014</v>
      </c>
      <c r="B16" s="12" t="n">
        <v>0.2610793007870474</v>
      </c>
      <c r="C16" s="12" t="n">
        <v>0.4681285024767937</v>
      </c>
      <c r="D16" s="12" t="n">
        <v>0.5873939953437944</v>
      </c>
      <c r="E16" s="12" t="n">
        <v>0.7479613018552425</v>
      </c>
      <c r="F16" s="12" t="n">
        <v>0.7980663563362439</v>
      </c>
      <c r="G16" s="12" t="n">
        <v>0.8113125085265726</v>
      </c>
      <c r="H16" s="12" t="n">
        <v>0.8162703913571707</v>
      </c>
      <c r="I16" s="12" t="n">
        <v>0.8186937747288512</v>
      </c>
      <c r="J16" s="12" t="n">
        <v>0.8238735215504883</v>
      </c>
      <c r="K16" s="12" t="n">
        <v>0.8746487368263265</v>
      </c>
      <c r="L16" s="12" t="n">
        <v>0.8811710478094711</v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</row>
    <row r="17">
      <c r="A17" s="9" t="n">
        <v>2015</v>
      </c>
      <c r="B17" s="12" t="n">
        <v>0.09882196347290402</v>
      </c>
      <c r="C17" s="12" t="n">
        <v>0.2194243990331126</v>
      </c>
      <c r="D17" s="12" t="n">
        <v>0.3689068102516634</v>
      </c>
      <c r="E17" s="12" t="n">
        <v>0.540543271896652</v>
      </c>
      <c r="F17" s="12" t="n">
        <v>0.5804818924205005</v>
      </c>
      <c r="G17" s="12" t="n">
        <v>0.646318851357918</v>
      </c>
      <c r="H17" s="12" t="n">
        <v>0.7179143300423269</v>
      </c>
      <c r="I17" s="12" t="n">
        <v>0.7572064333188114</v>
      </c>
      <c r="J17" s="12" t="n">
        <v>0.7680628532247936</v>
      </c>
      <c r="K17" s="12" t="n">
        <v>0.8739175346822959</v>
      </c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</row>
    <row r="18">
      <c r="A18" s="9" t="n">
        <v>2016</v>
      </c>
      <c r="B18" s="12" t="n">
        <v>0.1132391980029095</v>
      </c>
      <c r="C18" s="12" t="n">
        <v>0.3754055761557475</v>
      </c>
      <c r="D18" s="12" t="n">
        <v>0.5306457597563055</v>
      </c>
      <c r="E18" s="12" t="n">
        <v>0.5972077953655736</v>
      </c>
      <c r="F18" s="12" t="n">
        <v>0.642142458844684</v>
      </c>
      <c r="G18" s="12" t="n">
        <v>0.7078069820279852</v>
      </c>
      <c r="H18" s="12" t="n">
        <v>0.8066138273498302</v>
      </c>
      <c r="I18" s="12" t="n">
        <v>0.8119564737255023</v>
      </c>
      <c r="J18" s="12" t="n">
        <v>0.8209652747756619</v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</row>
    <row r="19">
      <c r="A19" s="9" t="n">
        <v>2017</v>
      </c>
      <c r="B19" s="12" t="n">
        <v>0.2262204034973231</v>
      </c>
      <c r="C19" s="12" t="n">
        <v>0.3929616985365932</v>
      </c>
      <c r="D19" s="12" t="n">
        <v>0.423426714803482</v>
      </c>
      <c r="E19" s="12" t="n">
        <v>0.477480034395471</v>
      </c>
      <c r="F19" s="12" t="n">
        <v>0.5192150240136982</v>
      </c>
      <c r="G19" s="12" t="n">
        <v>0.5750252256850832</v>
      </c>
      <c r="H19" s="12" t="n">
        <v>0.7425861448315695</v>
      </c>
      <c r="I19" s="12" t="n">
        <v>0.8102697143672726</v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</row>
    <row r="20">
      <c r="A20" s="9" t="n">
        <v>2018</v>
      </c>
      <c r="B20" s="12" t="n">
        <v>0.1131287497372007</v>
      </c>
      <c r="C20" s="12" t="n">
        <v>0.3252582566174493</v>
      </c>
      <c r="D20" s="12" t="n">
        <v>0.4826610162876347</v>
      </c>
      <c r="E20" s="12" t="n">
        <v>0.662917065686535</v>
      </c>
      <c r="F20" s="12" t="n">
        <v>0.7010072764153261</v>
      </c>
      <c r="G20" s="12" t="n">
        <v>0.7404541478402825</v>
      </c>
      <c r="H20" s="12" t="n">
        <v>0.7845369033108536</v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</row>
    <row r="21">
      <c r="A21" s="9" t="n">
        <v>2019</v>
      </c>
      <c r="B21" s="12" t="n">
        <v>0.08559413699764794</v>
      </c>
      <c r="C21" s="12" t="n">
        <v>0.2289181993520122</v>
      </c>
      <c r="D21" s="12" t="n">
        <v>0.4005372790292559</v>
      </c>
      <c r="E21" s="12" t="n">
        <v>0.4736249984258816</v>
      </c>
      <c r="F21" s="12" t="n">
        <v>0.5831459857762644</v>
      </c>
      <c r="G21" s="12" t="n">
        <v>0.70870542335458</v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</row>
    <row r="22">
      <c r="A22" s="9" t="n">
        <v>2020</v>
      </c>
      <c r="B22" s="12" t="n">
        <v>0.1854916101014599</v>
      </c>
      <c r="C22" s="12" t="n">
        <v>0.4736535495773997</v>
      </c>
      <c r="D22" s="12" t="n">
        <v>0.559040975994374</v>
      </c>
      <c r="E22" s="12" t="n">
        <v>0.6266628949659216</v>
      </c>
      <c r="F22" s="12" t="n">
        <v>0.6332250044461302</v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</row>
    <row r="23">
      <c r="A23" s="9" t="n">
        <v>2021</v>
      </c>
      <c r="B23" s="12" t="n">
        <v>0.1619322634203711</v>
      </c>
      <c r="C23" s="12" t="n">
        <v>0.3235614218041527</v>
      </c>
      <c r="D23" s="12" t="n">
        <v>0.539185879255522</v>
      </c>
      <c r="E23" s="12" t="n">
        <v>0.5768127178448001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</row>
    <row r="24">
      <c r="A24" s="9" t="n">
        <v>2022</v>
      </c>
      <c r="B24" s="12" t="n">
        <v>0.1867569139998063</v>
      </c>
      <c r="C24" s="12" t="n">
        <v>0.4537015483297083</v>
      </c>
      <c r="D24" s="12" t="n">
        <v>0.4807173251649892</v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</row>
    <row r="25">
      <c r="A25" s="9" t="n">
        <v>2023</v>
      </c>
      <c r="B25" s="12" t="n">
        <v>0.198859846081525</v>
      </c>
      <c r="C25" s="12" t="n">
        <v>0.6493394247356652</v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</row>
    <row r="26">
      <c r="A26" s="9" t="n">
        <v>2024</v>
      </c>
      <c r="B26" s="12" t="n">
        <v>0.2901196458771974</v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</row>
  </sheetData>
  <mergeCells count="1">
    <mergeCell ref="A1:Y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 ht="20" customHeight="1">
      <c r="A1" s="1" t="inlineStr">
        <is>
          <t>Reported-to-Ult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" t="n"/>
    </row>
    <row r="2">
      <c r="A2" s="8" t="inlineStr">
        <is>
          <t>Period</t>
        </is>
      </c>
      <c r="B2" s="8" t="inlineStr">
        <is>
          <t>11</t>
        </is>
      </c>
      <c r="C2" s="8" t="inlineStr">
        <is>
          <t>23</t>
        </is>
      </c>
      <c r="D2" s="8" t="inlineStr">
        <is>
          <t>35</t>
        </is>
      </c>
      <c r="E2" s="8" t="inlineStr">
        <is>
          <t>47</t>
        </is>
      </c>
      <c r="F2" s="8" t="inlineStr">
        <is>
          <t>59</t>
        </is>
      </c>
      <c r="G2" s="8" t="inlineStr">
        <is>
          <t>71</t>
        </is>
      </c>
      <c r="H2" s="8" t="inlineStr">
        <is>
          <t>83</t>
        </is>
      </c>
      <c r="I2" s="8" t="inlineStr">
        <is>
          <t>95</t>
        </is>
      </c>
      <c r="J2" s="8" t="inlineStr">
        <is>
          <t>107</t>
        </is>
      </c>
      <c r="K2" s="8" t="inlineStr">
        <is>
          <t>119</t>
        </is>
      </c>
      <c r="L2" s="8" t="inlineStr">
        <is>
          <t>131</t>
        </is>
      </c>
      <c r="M2" s="8" t="inlineStr">
        <is>
          <t>143</t>
        </is>
      </c>
      <c r="N2" s="8" t="inlineStr">
        <is>
          <t>155</t>
        </is>
      </c>
      <c r="O2" s="8" t="inlineStr">
        <is>
          <t>167</t>
        </is>
      </c>
      <c r="P2" s="8" t="inlineStr">
        <is>
          <t>179</t>
        </is>
      </c>
      <c r="Q2" s="8" t="inlineStr">
        <is>
          <t>191</t>
        </is>
      </c>
      <c r="R2" s="8" t="inlineStr">
        <is>
          <t>203</t>
        </is>
      </c>
      <c r="S2" s="8" t="inlineStr">
        <is>
          <t>215</t>
        </is>
      </c>
      <c r="T2" s="8" t="inlineStr">
        <is>
          <t>227</t>
        </is>
      </c>
      <c r="U2" s="8" t="inlineStr">
        <is>
          <t>239</t>
        </is>
      </c>
      <c r="V2" s="8" t="inlineStr">
        <is>
          <t>251</t>
        </is>
      </c>
      <c r="W2" s="8" t="inlineStr">
        <is>
          <t>263</t>
        </is>
      </c>
      <c r="X2" s="8" t="inlineStr">
        <is>
          <t>275</t>
        </is>
      </c>
      <c r="Y2" s="8" t="inlineStr">
        <is>
          <t>287</t>
        </is>
      </c>
    </row>
    <row r="3">
      <c r="A3" s="9" t="n">
        <v>2001</v>
      </c>
      <c r="B3" s="12" t="n">
        <v>0.9096014042899344</v>
      </c>
      <c r="C3" s="12" t="n">
        <v>0.9736313168072384</v>
      </c>
      <c r="D3" s="12" t="n">
        <v>0.9755145495283356</v>
      </c>
      <c r="E3" s="12" t="n">
        <v>0.9755145495283356</v>
      </c>
      <c r="F3" s="12" t="n">
        <v>0.9755145495283356</v>
      </c>
      <c r="G3" s="12" t="n">
        <v>0.9755145495283356</v>
      </c>
      <c r="H3" s="12" t="n">
        <v>0.9999965749025989</v>
      </c>
      <c r="I3" s="12" t="n">
        <v>0.9999965749025989</v>
      </c>
      <c r="J3" s="12" t="n">
        <v>0.9999965749025989</v>
      </c>
      <c r="K3" s="12" t="n">
        <v>0.9999965749025989</v>
      </c>
      <c r="L3" s="12" t="n">
        <v>0.9999965749025989</v>
      </c>
      <c r="M3" s="12" t="n">
        <v>0.9999965749025989</v>
      </c>
      <c r="N3" s="12" t="n">
        <v>0.9999965749025989</v>
      </c>
      <c r="O3" s="12" t="n">
        <v>0.9999965749025989</v>
      </c>
      <c r="P3" s="12" t="n">
        <v>0.9999965749025989</v>
      </c>
      <c r="Q3" s="12" t="n">
        <v>0.9999965749025989</v>
      </c>
      <c r="R3" s="12" t="n">
        <v>0.9999965749025989</v>
      </c>
      <c r="S3" s="12" t="n">
        <v>0.9999965749025989</v>
      </c>
      <c r="T3" s="12" t="n">
        <v>0.9999965749025989</v>
      </c>
      <c r="U3" s="12" t="n">
        <v>0.9999965749025989</v>
      </c>
      <c r="V3" s="12" t="n">
        <v>0.9999965749025989</v>
      </c>
      <c r="W3" s="12" t="n">
        <v>0.9999965749025989</v>
      </c>
      <c r="X3" s="12" t="n">
        <v>0.9999965749025989</v>
      </c>
      <c r="Y3" s="12" t="n">
        <v>0.9999965749025989</v>
      </c>
    </row>
    <row r="4">
      <c r="A4" s="9" t="n">
        <v>2002</v>
      </c>
      <c r="B4" s="12" t="n">
        <v>0.9412990120881144</v>
      </c>
      <c r="C4" s="12" t="n">
        <v>0.9736877952997485</v>
      </c>
      <c r="D4" s="12" t="n">
        <v>0.9736877952997485</v>
      </c>
      <c r="E4" s="12" t="n">
        <v>0.9736877952997485</v>
      </c>
      <c r="F4" s="12" t="n">
        <v>0.9736877952997485</v>
      </c>
      <c r="G4" s="12" t="n">
        <v>1.000003681659201</v>
      </c>
      <c r="H4" s="12" t="n">
        <v>1.000003681659201</v>
      </c>
      <c r="I4" s="12" t="n">
        <v>1.000003681659201</v>
      </c>
      <c r="J4" s="12" t="n">
        <v>1.000003681659201</v>
      </c>
      <c r="K4" s="12" t="n">
        <v>1.000003681659201</v>
      </c>
      <c r="L4" s="12" t="n">
        <v>1.000003681659201</v>
      </c>
      <c r="M4" s="12" t="n">
        <v>1.000003681659201</v>
      </c>
      <c r="N4" s="12" t="n">
        <v>1.000003681659201</v>
      </c>
      <c r="O4" s="12" t="n">
        <v>1.000003681659201</v>
      </c>
      <c r="P4" s="12" t="n">
        <v>1.000003681659201</v>
      </c>
      <c r="Q4" s="12" t="n">
        <v>1.000003681659201</v>
      </c>
      <c r="R4" s="12" t="n">
        <v>1.000003681659201</v>
      </c>
      <c r="S4" s="12" t="n">
        <v>1.000003681659201</v>
      </c>
      <c r="T4" s="12" t="n">
        <v>1.000003681659201</v>
      </c>
      <c r="U4" s="12" t="n">
        <v>1.000003681659201</v>
      </c>
      <c r="V4" s="12" t="n">
        <v>1.000003681659201</v>
      </c>
      <c r="W4" s="12" t="n">
        <v>1.000003681659201</v>
      </c>
      <c r="X4" s="12" t="n">
        <v>1.000003681659201</v>
      </c>
      <c r="Y4" s="5" t="n"/>
    </row>
    <row r="5">
      <c r="A5" s="9" t="n">
        <v>2003</v>
      </c>
      <c r="B5" s="12" t="n">
        <v>0.9689044398919486</v>
      </c>
      <c r="C5" s="12" t="n">
        <v>1.002397432875868</v>
      </c>
      <c r="D5" s="12" t="n">
        <v>1.002397432875868</v>
      </c>
      <c r="E5" s="12" t="n">
        <v>1.002397432875868</v>
      </c>
      <c r="F5" s="12" t="n">
        <v>0.997612719592451</v>
      </c>
      <c r="G5" s="12" t="n">
        <v>0.997612719592451</v>
      </c>
      <c r="H5" s="12" t="n">
        <v>1.000005076234159</v>
      </c>
      <c r="I5" s="12" t="n">
        <v>1.000005076234159</v>
      </c>
      <c r="J5" s="12" t="n">
        <v>1.000005076234159</v>
      </c>
      <c r="K5" s="12" t="n">
        <v>1.000005076234159</v>
      </c>
      <c r="L5" s="12" t="n">
        <v>1.000005076234159</v>
      </c>
      <c r="M5" s="12" t="n">
        <v>1.000005076234159</v>
      </c>
      <c r="N5" s="12" t="n">
        <v>1.000005076234159</v>
      </c>
      <c r="O5" s="12" t="n">
        <v>1.000005076234159</v>
      </c>
      <c r="P5" s="12" t="n">
        <v>1.000005076234159</v>
      </c>
      <c r="Q5" s="12" t="n">
        <v>1.000005076234159</v>
      </c>
      <c r="R5" s="12" t="n">
        <v>1.000005076234159</v>
      </c>
      <c r="S5" s="12" t="n">
        <v>1.000005076234159</v>
      </c>
      <c r="T5" s="12" t="n">
        <v>1.000005076234159</v>
      </c>
      <c r="U5" s="12" t="n">
        <v>1.000005076234159</v>
      </c>
      <c r="V5" s="12" t="n">
        <v>1.000005076234159</v>
      </c>
      <c r="W5" s="12" t="n">
        <v>1.000005076234159</v>
      </c>
      <c r="X5" s="5" t="n"/>
      <c r="Y5" s="5" t="n"/>
    </row>
    <row r="6">
      <c r="A6" s="9" t="n">
        <v>2004</v>
      </c>
      <c r="B6" s="12" t="n">
        <v>0.9383913483233488</v>
      </c>
      <c r="C6" s="12" t="n">
        <v>0.9938324126663037</v>
      </c>
      <c r="D6" s="12" t="n">
        <v>0.9938324126663037</v>
      </c>
      <c r="E6" s="12" t="n">
        <v>0.9979391581731892</v>
      </c>
      <c r="F6" s="12" t="n">
        <v>0.999992530926632</v>
      </c>
      <c r="G6" s="12" t="n">
        <v>0.999992530926632</v>
      </c>
      <c r="H6" s="12" t="n">
        <v>0.999992530926632</v>
      </c>
      <c r="I6" s="12" t="n">
        <v>0.999992530926632</v>
      </c>
      <c r="J6" s="12" t="n">
        <v>0.999992530926632</v>
      </c>
      <c r="K6" s="12" t="n">
        <v>0.999992530926632</v>
      </c>
      <c r="L6" s="12" t="n">
        <v>0.999992530926632</v>
      </c>
      <c r="M6" s="12" t="n">
        <v>0.999992530926632</v>
      </c>
      <c r="N6" s="12" t="n">
        <v>0.999992530926632</v>
      </c>
      <c r="O6" s="12" t="n">
        <v>0.999992530926632</v>
      </c>
      <c r="P6" s="12" t="n">
        <v>0.999992530926632</v>
      </c>
      <c r="Q6" s="12" t="n">
        <v>0.999992530926632</v>
      </c>
      <c r="R6" s="12" t="n">
        <v>0.999992530926632</v>
      </c>
      <c r="S6" s="12" t="n">
        <v>0.999992530926632</v>
      </c>
      <c r="T6" s="12" t="n">
        <v>0.999992530926632</v>
      </c>
      <c r="U6" s="12" t="n">
        <v>0.999992530926632</v>
      </c>
      <c r="V6" s="12" t="n">
        <v>0.999992530926632</v>
      </c>
      <c r="W6" s="5" t="n"/>
      <c r="X6" s="5" t="n"/>
      <c r="Y6" s="5" t="n"/>
    </row>
    <row r="7">
      <c r="A7" s="9" t="n">
        <v>2005</v>
      </c>
      <c r="B7" s="12" t="n">
        <v>0.9773595496858092</v>
      </c>
      <c r="C7" s="12" t="n">
        <v>0.9999931392574805</v>
      </c>
      <c r="D7" s="12" t="n">
        <v>1.002050738309451</v>
      </c>
      <c r="E7" s="12" t="n">
        <v>0.9999931392574805</v>
      </c>
      <c r="F7" s="12" t="n">
        <v>0.9999931392574805</v>
      </c>
      <c r="G7" s="12" t="n">
        <v>0.9999931392574805</v>
      </c>
      <c r="H7" s="12" t="n">
        <v>0.9999931392574805</v>
      </c>
      <c r="I7" s="12" t="n">
        <v>0.9999931392574805</v>
      </c>
      <c r="J7" s="12" t="n">
        <v>0.9999931392574805</v>
      </c>
      <c r="K7" s="12" t="n">
        <v>0.9999931392574805</v>
      </c>
      <c r="L7" s="12" t="n">
        <v>0.9999931392574805</v>
      </c>
      <c r="M7" s="12" t="n">
        <v>0.9999931392574805</v>
      </c>
      <c r="N7" s="12" t="n">
        <v>0.9999931392574805</v>
      </c>
      <c r="O7" s="12" t="n">
        <v>0.9999931392574805</v>
      </c>
      <c r="P7" s="12" t="n">
        <v>0.9999931392574805</v>
      </c>
      <c r="Q7" s="12" t="n">
        <v>0.9999931392574805</v>
      </c>
      <c r="R7" s="12" t="n">
        <v>0.9999931392574805</v>
      </c>
      <c r="S7" s="12" t="n">
        <v>0.9999931392574805</v>
      </c>
      <c r="T7" s="12" t="n">
        <v>0.9999931392574805</v>
      </c>
      <c r="U7" s="12" t="n">
        <v>0.9999931392574805</v>
      </c>
      <c r="V7" s="5" t="n"/>
      <c r="W7" s="5" t="n"/>
      <c r="X7" s="5" t="n"/>
      <c r="Y7" s="5" t="n"/>
    </row>
    <row r="8">
      <c r="A8" s="9" t="n">
        <v>2006</v>
      </c>
      <c r="B8" s="12" t="n">
        <v>0.9628631731291082</v>
      </c>
      <c r="C8" s="12" t="n">
        <v>0.999998391927476</v>
      </c>
      <c r="D8" s="12" t="n">
        <v>0.999998391927476</v>
      </c>
      <c r="E8" s="12" t="n">
        <v>0.999998391927476</v>
      </c>
      <c r="F8" s="12" t="n">
        <v>0.999998391927476</v>
      </c>
      <c r="G8" s="12" t="n">
        <v>0.999998391927476</v>
      </c>
      <c r="H8" s="12" t="n">
        <v>0.999998391927476</v>
      </c>
      <c r="I8" s="12" t="n">
        <v>0.999998391927476</v>
      </c>
      <c r="J8" s="12" t="n">
        <v>0.999998391927476</v>
      </c>
      <c r="K8" s="12" t="n">
        <v>0.999998391927476</v>
      </c>
      <c r="L8" s="12" t="n">
        <v>0.999998391927476</v>
      </c>
      <c r="M8" s="12" t="n">
        <v>0.999998391927476</v>
      </c>
      <c r="N8" s="12" t="n">
        <v>0.999998391927476</v>
      </c>
      <c r="O8" s="12" t="n">
        <v>0.999998391927476</v>
      </c>
      <c r="P8" s="12" t="n">
        <v>0.999998391927476</v>
      </c>
      <c r="Q8" s="12" t="n">
        <v>0.999998391927476</v>
      </c>
      <c r="R8" s="12" t="n">
        <v>0.999998391927476</v>
      </c>
      <c r="S8" s="12" t="n">
        <v>0.999998391927476</v>
      </c>
      <c r="T8" s="12" t="n">
        <v>0.999998391927476</v>
      </c>
      <c r="U8" s="5" t="n"/>
      <c r="V8" s="5" t="n"/>
      <c r="W8" s="5" t="n"/>
      <c r="X8" s="5" t="n"/>
      <c r="Y8" s="5" t="n"/>
    </row>
    <row r="9">
      <c r="A9" s="9" t="n">
        <v>2007</v>
      </c>
      <c r="B9" s="12" t="n">
        <v>0.9584399009194342</v>
      </c>
      <c r="C9" s="12" t="n">
        <v>0.999990763676057</v>
      </c>
      <c r="D9" s="12" t="n">
        <v>0.999990763676057</v>
      </c>
      <c r="E9" s="12" t="n">
        <v>0.999990763676057</v>
      </c>
      <c r="F9" s="12" t="n">
        <v>0.999990763676057</v>
      </c>
      <c r="G9" s="12" t="n">
        <v>0.999990763676057</v>
      </c>
      <c r="H9" s="12" t="n">
        <v>0.999990763676057</v>
      </c>
      <c r="I9" s="12" t="n">
        <v>0.999990763676057</v>
      </c>
      <c r="J9" s="12" t="n">
        <v>0.999990763676057</v>
      </c>
      <c r="K9" s="12" t="n">
        <v>0.999990763676057</v>
      </c>
      <c r="L9" s="12" t="n">
        <v>0.999990763676057</v>
      </c>
      <c r="M9" s="12" t="n">
        <v>0.999990763676057</v>
      </c>
      <c r="N9" s="12" t="n">
        <v>0.999990763676057</v>
      </c>
      <c r="O9" s="12" t="n">
        <v>0.999990763676057</v>
      </c>
      <c r="P9" s="12" t="n">
        <v>0.999990763676057</v>
      </c>
      <c r="Q9" s="12" t="n">
        <v>0.999990763676057</v>
      </c>
      <c r="R9" s="12" t="n">
        <v>0.999990763676057</v>
      </c>
      <c r="S9" s="12" t="n">
        <v>0.999990763676057</v>
      </c>
      <c r="T9" s="5" t="n"/>
      <c r="U9" s="5" t="n"/>
      <c r="V9" s="5" t="n"/>
      <c r="W9" s="5" t="n"/>
      <c r="X9" s="5" t="n"/>
      <c r="Y9" s="5" t="n"/>
    </row>
    <row r="10">
      <c r="A10" s="9" t="n">
        <v>2008</v>
      </c>
      <c r="B10" s="12" t="n">
        <v>0.9357441110231909</v>
      </c>
      <c r="C10" s="12" t="n">
        <v>0.995985148213525</v>
      </c>
      <c r="D10" s="12" t="n">
        <v>1.000001217359547</v>
      </c>
      <c r="E10" s="12" t="n">
        <v>1.000001217359547</v>
      </c>
      <c r="F10" s="12" t="n">
        <v>1.000001217359547</v>
      </c>
      <c r="G10" s="12" t="n">
        <v>1.000001217359547</v>
      </c>
      <c r="H10" s="12" t="n">
        <v>1.000001217359547</v>
      </c>
      <c r="I10" s="12" t="n">
        <v>1.000001217359547</v>
      </c>
      <c r="J10" s="12" t="n">
        <v>1.000001217359547</v>
      </c>
      <c r="K10" s="12" t="n">
        <v>1.000001217359547</v>
      </c>
      <c r="L10" s="12" t="n">
        <v>1.000001217359547</v>
      </c>
      <c r="M10" s="12" t="n">
        <v>1.000001217359547</v>
      </c>
      <c r="N10" s="12" t="n">
        <v>1.000001217359547</v>
      </c>
      <c r="O10" s="12" t="n">
        <v>1.000001217359547</v>
      </c>
      <c r="P10" s="12" t="n">
        <v>1.000001217359547</v>
      </c>
      <c r="Q10" s="12" t="n">
        <v>1.000001217359547</v>
      </c>
      <c r="R10" s="12" t="n">
        <v>1.000001217359547</v>
      </c>
      <c r="S10" s="5" t="n"/>
      <c r="T10" s="5" t="n"/>
      <c r="U10" s="5" t="n"/>
      <c r="V10" s="5" t="n"/>
      <c r="W10" s="5" t="n"/>
      <c r="X10" s="5" t="n"/>
      <c r="Y10" s="5" t="n"/>
    </row>
    <row r="11">
      <c r="A11" s="9" t="n">
        <v>2009</v>
      </c>
      <c r="B11" s="12" t="n">
        <v>0.9508267594260512</v>
      </c>
      <c r="C11" s="12" t="n">
        <v>0.9959090626747003</v>
      </c>
      <c r="D11" s="12" t="n">
        <v>1.000007453879123</v>
      </c>
      <c r="E11" s="12" t="n">
        <v>1.000007453879123</v>
      </c>
      <c r="F11" s="12" t="n">
        <v>1.000007453879123</v>
      </c>
      <c r="G11" s="12" t="n">
        <v>1.000007453879123</v>
      </c>
      <c r="H11" s="12" t="n">
        <v>1.000007453879123</v>
      </c>
      <c r="I11" s="12" t="n">
        <v>1.000007453879123</v>
      </c>
      <c r="J11" s="12" t="n">
        <v>1.000007453879123</v>
      </c>
      <c r="K11" s="12" t="n">
        <v>1.000007453879123</v>
      </c>
      <c r="L11" s="12" t="n">
        <v>1.000007453879123</v>
      </c>
      <c r="M11" s="12" t="n">
        <v>1.000007453879123</v>
      </c>
      <c r="N11" s="12" t="n">
        <v>1.000007453879123</v>
      </c>
      <c r="O11" s="12" t="n">
        <v>1.000007453879123</v>
      </c>
      <c r="P11" s="12" t="n">
        <v>1.000007453879123</v>
      </c>
      <c r="Q11" s="12" t="n">
        <v>1.000007453879123</v>
      </c>
      <c r="R11" s="5" t="n"/>
      <c r="S11" s="5" t="n"/>
      <c r="T11" s="5" t="n"/>
      <c r="U11" s="5" t="n"/>
      <c r="V11" s="5" t="n"/>
      <c r="W11" s="5" t="n"/>
      <c r="X11" s="5" t="n"/>
      <c r="Y11" s="5" t="n"/>
    </row>
    <row r="12">
      <c r="A12" s="9" t="n">
        <v>2010</v>
      </c>
      <c r="B12" s="12" t="n">
        <v>0.9563022366097707</v>
      </c>
      <c r="C12" s="12" t="n">
        <v>0.999991171277222</v>
      </c>
      <c r="D12" s="12" t="n">
        <v>0.999991171277222</v>
      </c>
      <c r="E12" s="12" t="n">
        <v>0.999991171277222</v>
      </c>
      <c r="F12" s="12" t="n">
        <v>0.999991171277222</v>
      </c>
      <c r="G12" s="12" t="n">
        <v>0.999991171277222</v>
      </c>
      <c r="H12" s="12" t="n">
        <v>0.999991171277222</v>
      </c>
      <c r="I12" s="12" t="n">
        <v>0.999991171277222</v>
      </c>
      <c r="J12" s="12" t="n">
        <v>0.999991171277222</v>
      </c>
      <c r="K12" s="12" t="n">
        <v>0.999991171277222</v>
      </c>
      <c r="L12" s="12" t="n">
        <v>0.999991171277222</v>
      </c>
      <c r="M12" s="12" t="n">
        <v>0.999991171277222</v>
      </c>
      <c r="N12" s="12" t="n">
        <v>0.999991171277222</v>
      </c>
      <c r="O12" s="12" t="n">
        <v>0.999991171277222</v>
      </c>
      <c r="P12" s="12" t="n">
        <v>0.999991171277222</v>
      </c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</row>
    <row r="13">
      <c r="A13" s="9" t="n">
        <v>2011</v>
      </c>
      <c r="B13" s="12" t="n">
        <v>0.9999861167351189</v>
      </c>
      <c r="C13" s="12" t="n">
        <v>0.9999861167351189</v>
      </c>
      <c r="D13" s="12" t="n">
        <v>0.9999861167351189</v>
      </c>
      <c r="E13" s="12" t="n">
        <v>0.9999861167351189</v>
      </c>
      <c r="F13" s="12" t="n">
        <v>0.9999861167351189</v>
      </c>
      <c r="G13" s="12" t="n">
        <v>0.9999861167351189</v>
      </c>
      <c r="H13" s="12" t="n">
        <v>0.9999861167351189</v>
      </c>
      <c r="I13" s="12" t="n">
        <v>0.9999861167351189</v>
      </c>
      <c r="J13" s="12" t="n">
        <v>0.9999861167351189</v>
      </c>
      <c r="K13" s="12" t="n">
        <v>0.9999861167351189</v>
      </c>
      <c r="L13" s="12" t="n">
        <v>0.9999861167351189</v>
      </c>
      <c r="M13" s="12" t="n">
        <v>0.9999861167351189</v>
      </c>
      <c r="N13" s="12" t="n">
        <v>0.9999861167351189</v>
      </c>
      <c r="O13" s="12" t="n">
        <v>0.9999861167351189</v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</row>
    <row r="14">
      <c r="A14" s="9" t="n">
        <v>2012</v>
      </c>
      <c r="B14" s="12" t="n">
        <v>0.9393968156766689</v>
      </c>
      <c r="C14" s="12" t="n">
        <v>1.000003061849357</v>
      </c>
      <c r="D14" s="12" t="n">
        <v>1.000003061849357</v>
      </c>
      <c r="E14" s="12" t="n">
        <v>1.000003061849357</v>
      </c>
      <c r="F14" s="12" t="n">
        <v>1.000003061849357</v>
      </c>
      <c r="G14" s="12" t="n">
        <v>1.000003061849357</v>
      </c>
      <c r="H14" s="12" t="n">
        <v>1.000003061849357</v>
      </c>
      <c r="I14" s="12" t="n">
        <v>1.000003061849357</v>
      </c>
      <c r="J14" s="12" t="n">
        <v>1.000003061849357</v>
      </c>
      <c r="K14" s="12" t="n">
        <v>1.000003061849357</v>
      </c>
      <c r="L14" s="12" t="n">
        <v>1.000003061849357</v>
      </c>
      <c r="M14" s="12" t="n">
        <v>1.000003061849357</v>
      </c>
      <c r="N14" s="12" t="n">
        <v>1.000003061849357</v>
      </c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</row>
    <row r="15">
      <c r="A15" s="9" t="n">
        <v>2013</v>
      </c>
      <c r="B15" s="12" t="n">
        <v>0.9683311044817063</v>
      </c>
      <c r="C15" s="12" t="n">
        <v>0.9954805747008196</v>
      </c>
      <c r="D15" s="12" t="n">
        <v>0.9954805747008196</v>
      </c>
      <c r="E15" s="12" t="n">
        <v>1.000005486404005</v>
      </c>
      <c r="F15" s="12" t="n">
        <v>1.000005486404005</v>
      </c>
      <c r="G15" s="12" t="n">
        <v>1.000005486404005</v>
      </c>
      <c r="H15" s="12" t="n">
        <v>1.000005486404005</v>
      </c>
      <c r="I15" s="12" t="n">
        <v>1.000005486404005</v>
      </c>
      <c r="J15" s="12" t="n">
        <v>1.000005486404005</v>
      </c>
      <c r="K15" s="12" t="n">
        <v>1.000005486404005</v>
      </c>
      <c r="L15" s="12" t="n">
        <v>1.000005486404005</v>
      </c>
      <c r="M15" s="12" t="n">
        <v>1.000005486404005</v>
      </c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</row>
    <row r="16">
      <c r="A16" s="9" t="n">
        <v>2014</v>
      </c>
      <c r="B16" s="12" t="n">
        <v>0.953627377762158</v>
      </c>
      <c r="C16" s="12" t="n">
        <v>0.9971058296358125</v>
      </c>
      <c r="D16" s="12" t="n">
        <v>1.000004393094056</v>
      </c>
      <c r="E16" s="12" t="n">
        <v>1.000004393094056</v>
      </c>
      <c r="F16" s="12" t="n">
        <v>1.000004393094056</v>
      </c>
      <c r="G16" s="12" t="n">
        <v>1.000004393094056</v>
      </c>
      <c r="H16" s="12" t="n">
        <v>1.000004393094056</v>
      </c>
      <c r="I16" s="12" t="n">
        <v>1.000004393094056</v>
      </c>
      <c r="J16" s="12" t="n">
        <v>1.000004393094056</v>
      </c>
      <c r="K16" s="12" t="n">
        <v>1.000004393094056</v>
      </c>
      <c r="L16" s="12" t="n">
        <v>1.000004393094056</v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</row>
    <row r="17">
      <c r="A17" s="9" t="n">
        <v>2015</v>
      </c>
      <c r="B17" s="12" t="n">
        <v>0.9644234110106034</v>
      </c>
      <c r="C17" s="12" t="n">
        <v>0.996043850715869</v>
      </c>
      <c r="D17" s="12" t="n">
        <v>1.011854070568502</v>
      </c>
      <c r="E17" s="12" t="n">
        <v>1.011854070568502</v>
      </c>
      <c r="F17" s="12" t="n">
        <v>1.011854070568502</v>
      </c>
      <c r="G17" s="12" t="n">
        <v>1.011854070568502</v>
      </c>
      <c r="H17" s="12" t="n">
        <v>1.011854070568502</v>
      </c>
      <c r="I17" s="12" t="n">
        <v>1.011854070568502</v>
      </c>
      <c r="J17" s="12" t="n">
        <v>1.011854070568502</v>
      </c>
      <c r="K17" s="12" t="n">
        <v>0.9999964056790271</v>
      </c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</row>
    <row r="18">
      <c r="A18" s="9" t="n">
        <v>2016</v>
      </c>
      <c r="B18" s="12" t="n">
        <v>0.8871829612522454</v>
      </c>
      <c r="C18" s="12" t="n">
        <v>0.958293045932769</v>
      </c>
      <c r="D18" s="12" t="n">
        <v>1.002313574544522</v>
      </c>
      <c r="E18" s="12" t="n">
        <v>1.002313574544522</v>
      </c>
      <c r="F18" s="12" t="n">
        <v>1.002313574544522</v>
      </c>
      <c r="G18" s="12" t="n">
        <v>1.002313574544522</v>
      </c>
      <c r="H18" s="12" t="n">
        <v>1.002313574544522</v>
      </c>
      <c r="I18" s="12" t="n">
        <v>1.002313574544522</v>
      </c>
      <c r="J18" s="12" t="n">
        <v>1.002313574544522</v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</row>
    <row r="19">
      <c r="A19" s="9" t="n">
        <v>2017</v>
      </c>
      <c r="B19" s="12" t="n">
        <v>0.8914198907527716</v>
      </c>
      <c r="C19" s="12" t="n">
        <v>1.002314231229193</v>
      </c>
      <c r="D19" s="12" t="n">
        <v>1.006579398170594</v>
      </c>
      <c r="E19" s="12" t="n">
        <v>1.010844565111995</v>
      </c>
      <c r="F19" s="12" t="n">
        <v>1.006579398170594</v>
      </c>
      <c r="G19" s="12" t="n">
        <v>1.006579398170594</v>
      </c>
      <c r="H19" s="12" t="n">
        <v>1.006579398170594</v>
      </c>
      <c r="I19" s="12" t="n">
        <v>1.002314231229193</v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</row>
    <row r="20">
      <c r="A20" s="9" t="n">
        <v>2018</v>
      </c>
      <c r="B20" s="12" t="n">
        <v>0.8893168389955688</v>
      </c>
      <c r="C20" s="12" t="n">
        <v>0.9989586410635156</v>
      </c>
      <c r="D20" s="12" t="n">
        <v>0.9989586410635156</v>
      </c>
      <c r="E20" s="12" t="n">
        <v>0.9989586410635156</v>
      </c>
      <c r="F20" s="12" t="n">
        <v>1.003019448547514</v>
      </c>
      <c r="G20" s="12" t="n">
        <v>1.003019448547514</v>
      </c>
      <c r="H20" s="12" t="n">
        <v>1.003019448547514</v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</row>
    <row r="21">
      <c r="A21" s="9" t="n">
        <v>2019</v>
      </c>
      <c r="B21" s="12" t="n">
        <v>0.8808683457676559</v>
      </c>
      <c r="C21" s="12" t="n">
        <v>1.006706680877321</v>
      </c>
      <c r="D21" s="12" t="n">
        <v>1.006706680877321</v>
      </c>
      <c r="E21" s="12" t="n">
        <v>1.006706680877321</v>
      </c>
      <c r="F21" s="12" t="n">
        <v>1.006706680877321</v>
      </c>
      <c r="G21" s="12" t="n">
        <v>1.003005553374095</v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</row>
    <row r="22">
      <c r="A22" s="9" t="n">
        <v>2020</v>
      </c>
      <c r="B22" s="12" t="n">
        <v>0.9466540335679481</v>
      </c>
      <c r="C22" s="12" t="n">
        <v>1.00381050351922</v>
      </c>
      <c r="D22" s="12" t="n">
        <v>1.00381050351922</v>
      </c>
      <c r="E22" s="12" t="n">
        <v>1.00381050351922</v>
      </c>
      <c r="F22" s="12" t="n">
        <v>1.00381050351922</v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</row>
    <row r="23">
      <c r="A23" s="9" t="n">
        <v>2021</v>
      </c>
      <c r="B23" s="12" t="n">
        <v>0.8793318119580102</v>
      </c>
      <c r="C23" s="12" t="n">
        <v>1.003803438308231</v>
      </c>
      <c r="D23" s="12" t="n">
        <v>1.003803438308231</v>
      </c>
      <c r="E23" s="12" t="n">
        <v>1.003803438308231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</row>
    <row r="24">
      <c r="A24" s="9" t="n">
        <v>2022</v>
      </c>
      <c r="B24" s="12" t="n">
        <v>0.8787273827941078</v>
      </c>
      <c r="C24" s="12" t="n">
        <v>1.002991861169032</v>
      </c>
      <c r="D24" s="12" t="n">
        <v>1.002991861169032</v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</row>
    <row r="25">
      <c r="A25" s="9" t="n">
        <v>2023</v>
      </c>
      <c r="B25" s="12" t="n">
        <v>0.8988095159751243</v>
      </c>
      <c r="C25" s="12" t="n">
        <v>1.003019314928762</v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</row>
    <row r="26">
      <c r="A26" s="9" t="n">
        <v>2024</v>
      </c>
      <c r="B26" s="12" t="n">
        <v>0.8948942566504703</v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</row>
  </sheetData>
  <mergeCells count="1">
    <mergeCell ref="A1:Y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 ht="20" customHeight="1">
      <c r="A1" s="1" t="inlineStr">
        <is>
          <t>Average IBNR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" t="n"/>
    </row>
    <row r="2">
      <c r="A2" s="8" t="inlineStr">
        <is>
          <t>Period</t>
        </is>
      </c>
      <c r="B2" s="8" t="inlineStr">
        <is>
          <t>11</t>
        </is>
      </c>
      <c r="C2" s="8" t="inlineStr">
        <is>
          <t>23</t>
        </is>
      </c>
      <c r="D2" s="8" t="inlineStr">
        <is>
          <t>35</t>
        </is>
      </c>
      <c r="E2" s="8" t="inlineStr">
        <is>
          <t>47</t>
        </is>
      </c>
      <c r="F2" s="8" t="inlineStr">
        <is>
          <t>59</t>
        </is>
      </c>
      <c r="G2" s="8" t="inlineStr">
        <is>
          <t>71</t>
        </is>
      </c>
      <c r="H2" s="8" t="inlineStr">
        <is>
          <t>83</t>
        </is>
      </c>
      <c r="I2" s="8" t="inlineStr">
        <is>
          <t>95</t>
        </is>
      </c>
      <c r="J2" s="8" t="inlineStr">
        <is>
          <t>107</t>
        </is>
      </c>
      <c r="K2" s="8" t="inlineStr">
        <is>
          <t>119</t>
        </is>
      </c>
      <c r="L2" s="8" t="inlineStr">
        <is>
          <t>131</t>
        </is>
      </c>
      <c r="M2" s="8" t="inlineStr">
        <is>
          <t>143</t>
        </is>
      </c>
      <c r="N2" s="8" t="inlineStr">
        <is>
          <t>155</t>
        </is>
      </c>
      <c r="O2" s="8" t="inlineStr">
        <is>
          <t>167</t>
        </is>
      </c>
      <c r="P2" s="8" t="inlineStr">
        <is>
          <t>179</t>
        </is>
      </c>
      <c r="Q2" s="8" t="inlineStr">
        <is>
          <t>191</t>
        </is>
      </c>
      <c r="R2" s="8" t="inlineStr">
        <is>
          <t>203</t>
        </is>
      </c>
      <c r="S2" s="8" t="inlineStr">
        <is>
          <t>215</t>
        </is>
      </c>
      <c r="T2" s="8" t="inlineStr">
        <is>
          <t>227</t>
        </is>
      </c>
      <c r="U2" s="8" t="inlineStr">
        <is>
          <t>239</t>
        </is>
      </c>
      <c r="V2" s="8" t="inlineStr">
        <is>
          <t>251</t>
        </is>
      </c>
      <c r="W2" s="8" t="inlineStr">
        <is>
          <t>263</t>
        </is>
      </c>
      <c r="X2" s="8" t="inlineStr">
        <is>
          <t>275</t>
        </is>
      </c>
      <c r="Y2" s="8" t="inlineStr">
        <is>
          <t>287</t>
        </is>
      </c>
    </row>
    <row r="3">
      <c r="A3" s="9" t="n">
        <v>2001</v>
      </c>
      <c r="B3" s="12" t="n">
        <v>2486827.9408</v>
      </c>
      <c r="C3" s="12" t="n">
        <v>1499755.2644</v>
      </c>
      <c r="D3" s="12" t="n">
        <v>1151871.7556</v>
      </c>
      <c r="E3" s="12" t="n">
        <v>960718.4583999997</v>
      </c>
      <c r="F3" s="12" t="n">
        <v>803490.7575999997</v>
      </c>
      <c r="G3" s="12" t="n">
        <v>651171.4541559997</v>
      </c>
      <c r="H3" s="12" t="n">
        <v>656826.0457239994</v>
      </c>
      <c r="I3" s="12" t="n">
        <v>634468.6831359994</v>
      </c>
      <c r="J3" s="12" t="n">
        <v>616852.0231359997</v>
      </c>
      <c r="K3" s="12" t="n">
        <v>596325.1304919999</v>
      </c>
      <c r="L3" s="12" t="n">
        <v>543623.2360039996</v>
      </c>
      <c r="M3" s="12" t="n">
        <v>491398.0997999995</v>
      </c>
      <c r="N3" s="12" t="n">
        <v>494168.5999999996</v>
      </c>
      <c r="O3" s="12" t="n">
        <v>435616.9846919999</v>
      </c>
      <c r="P3" s="12" t="n">
        <v>390991.7151999995</v>
      </c>
      <c r="Q3" s="12" t="n">
        <v>249382.7999999998</v>
      </c>
      <c r="R3" s="12" t="n">
        <v>183121.7251999998</v>
      </c>
      <c r="S3" s="12" t="n">
        <v>94360.4411119991</v>
      </c>
      <c r="T3" s="12" t="n">
        <v>41163.22156799957</v>
      </c>
      <c r="U3" s="12" t="n">
        <v>41163.22156799957</v>
      </c>
      <c r="V3" s="12" t="n">
        <v>-29435.37843200006</v>
      </c>
      <c r="W3" s="12" t="n">
        <v>-72322.37843200006</v>
      </c>
      <c r="X3" s="12" t="n">
        <v>-72322.37843200006</v>
      </c>
      <c r="Y3" s="12" t="n">
        <v>-109614.0896880003</v>
      </c>
    </row>
    <row r="4">
      <c r="A4" s="9" t="n">
        <v>2002</v>
      </c>
      <c r="B4" s="12" t="n">
        <v>1288998.4584</v>
      </c>
      <c r="C4" s="12" t="n">
        <v>889629.436</v>
      </c>
      <c r="D4" s="12" t="n">
        <v>874014.6092000001</v>
      </c>
      <c r="E4" s="12" t="n">
        <v>612592.612</v>
      </c>
      <c r="F4" s="12" t="n">
        <v>591440.94154</v>
      </c>
      <c r="G4" s="12" t="n">
        <v>489543.527704</v>
      </c>
      <c r="H4" s="12" t="n">
        <v>456735.6588960001</v>
      </c>
      <c r="I4" s="12" t="n">
        <v>456370.1956760001</v>
      </c>
      <c r="J4" s="12" t="n">
        <v>417797.390348</v>
      </c>
      <c r="K4" s="12" t="n">
        <v>400460.8154479999</v>
      </c>
      <c r="L4" s="12" t="n">
        <v>381834.727428</v>
      </c>
      <c r="M4" s="12" t="n">
        <v>319595.226</v>
      </c>
      <c r="N4" s="12" t="n">
        <v>317079.3294239999</v>
      </c>
      <c r="O4" s="12" t="n">
        <v>240889.0035999999</v>
      </c>
      <c r="P4" s="12" t="n">
        <v>188797.7936</v>
      </c>
      <c r="Q4" s="12" t="n">
        <v>158952.4003999999</v>
      </c>
      <c r="R4" s="12" t="n">
        <v>50092.169948</v>
      </c>
      <c r="S4" s="12" t="n">
        <v>47631.18192799995</v>
      </c>
      <c r="T4" s="12" t="n">
        <v>47631.18192799995</v>
      </c>
      <c r="U4" s="12" t="n">
        <v>-44255.83868000004</v>
      </c>
      <c r="V4" s="12" t="n">
        <v>-30219.71534000011</v>
      </c>
      <c r="W4" s="12" t="n">
        <v>-110896.8263199991</v>
      </c>
      <c r="X4" s="12" t="n">
        <v>-110896.8263199991</v>
      </c>
      <c r="Y4" s="5" t="n"/>
    </row>
    <row r="5">
      <c r="A5" s="9" t="n">
        <v>2003</v>
      </c>
      <c r="B5" s="12" t="n">
        <v>795885.0803999999</v>
      </c>
      <c r="C5" s="12" t="n">
        <v>346554.6823999998</v>
      </c>
      <c r="D5" s="12" t="n">
        <v>226318.0087999997</v>
      </c>
      <c r="E5" s="12" t="n">
        <v>-71682.73297200026</v>
      </c>
      <c r="F5" s="12" t="n">
        <v>101615.3997239997</v>
      </c>
      <c r="G5" s="12" t="n">
        <v>-13975.91238800017</v>
      </c>
      <c r="H5" s="12" t="n">
        <v>-8947.061943999957</v>
      </c>
      <c r="I5" s="12" t="n">
        <v>4748.023971999995</v>
      </c>
      <c r="J5" s="12" t="n">
        <v>8108.517331999727</v>
      </c>
      <c r="K5" s="12" t="n">
        <v>4163.573131999699</v>
      </c>
      <c r="L5" s="12" t="n">
        <v>7925.528399999719</v>
      </c>
      <c r="M5" s="12" t="n">
        <v>21829.21668399987</v>
      </c>
      <c r="N5" s="12" t="n">
        <v>30918.2387999997</v>
      </c>
      <c r="O5" s="12" t="n">
        <v>30918.33117199992</v>
      </c>
      <c r="P5" s="12" t="n">
        <v>30918.33117199992</v>
      </c>
      <c r="Q5" s="12" t="n">
        <v>30918.33117199992</v>
      </c>
      <c r="R5" s="12" t="n">
        <v>27156.86415600078</v>
      </c>
      <c r="S5" s="12" t="n">
        <v>27156.86415600055</v>
      </c>
      <c r="T5" s="12" t="n">
        <v>27156.86415600055</v>
      </c>
      <c r="U5" s="12" t="n">
        <v>27156.86415600055</v>
      </c>
      <c r="V5" s="12" t="n">
        <v>27156.86415600055</v>
      </c>
      <c r="W5" s="12" t="n">
        <v>27156.86415600055</v>
      </c>
      <c r="X5" s="5" t="n"/>
      <c r="Y5" s="5" t="n"/>
    </row>
    <row r="6">
      <c r="A6" s="9" t="n">
        <v>2004</v>
      </c>
      <c r="B6" s="12" t="n">
        <v>439836.7743999999</v>
      </c>
      <c r="C6" s="12" t="n">
        <v>339745.1144</v>
      </c>
      <c r="D6" s="12" t="n">
        <v>255680.2603200014</v>
      </c>
      <c r="E6" s="12" t="n">
        <v>213456.8871599999</v>
      </c>
      <c r="F6" s="12" t="n">
        <v>91683.01151999994</v>
      </c>
      <c r="G6" s="12" t="n">
        <v>85826.52115199994</v>
      </c>
      <c r="H6" s="12" t="n">
        <v>66244.97675199993</v>
      </c>
      <c r="I6" s="12" t="n">
        <v>57941.92159199994</v>
      </c>
      <c r="J6" s="12" t="n">
        <v>32078.05190399988</v>
      </c>
      <c r="K6" s="12" t="n">
        <v>42026.19959999993</v>
      </c>
      <c r="L6" s="12" t="n">
        <v>16528.96757599991</v>
      </c>
      <c r="M6" s="12" t="n">
        <v>29301.29679999989</v>
      </c>
      <c r="N6" s="12" t="n">
        <v>28851.31319999998</v>
      </c>
      <c r="O6" s="12" t="n">
        <v>28526.69159999979</v>
      </c>
      <c r="P6" s="12" t="n">
        <v>28527.31181199988</v>
      </c>
      <c r="Q6" s="12" t="n">
        <v>24245.90919999965</v>
      </c>
      <c r="R6" s="12" t="n">
        <v>24245.90919999965</v>
      </c>
      <c r="S6" s="12" t="n">
        <v>24245.90919999965</v>
      </c>
      <c r="T6" s="12" t="n">
        <v>24245.90919999965</v>
      </c>
      <c r="U6" s="12" t="n">
        <v>24212.25939999963</v>
      </c>
      <c r="V6" s="12" t="n">
        <v>24212.25939999963</v>
      </c>
      <c r="W6" s="5" t="n"/>
      <c r="X6" s="5" t="n"/>
      <c r="Y6" s="5" t="n"/>
    </row>
    <row r="7">
      <c r="A7" s="9" t="n">
        <v>2005</v>
      </c>
      <c r="B7" s="12" t="n">
        <v>1053184.3992</v>
      </c>
      <c r="C7" s="12" t="n">
        <v>674653.9985520002</v>
      </c>
      <c r="D7" s="12" t="n">
        <v>523467.8884119999</v>
      </c>
      <c r="E7" s="12" t="n">
        <v>567094.3526640001</v>
      </c>
      <c r="F7" s="12" t="n">
        <v>502591.8032160001</v>
      </c>
      <c r="G7" s="12" t="n">
        <v>473197.5152760001</v>
      </c>
      <c r="H7" s="12" t="n">
        <v>435962.1509399998</v>
      </c>
      <c r="I7" s="12" t="n">
        <v>425417.4252800001</v>
      </c>
      <c r="J7" s="12" t="n">
        <v>401170.0392</v>
      </c>
      <c r="K7" s="12" t="n">
        <v>349248.965228</v>
      </c>
      <c r="L7" s="12" t="n">
        <v>326351.3584</v>
      </c>
      <c r="M7" s="12" t="n">
        <v>90338.2592000002</v>
      </c>
      <c r="N7" s="12" t="n">
        <v>90326.38279999979</v>
      </c>
      <c r="O7" s="12" t="n">
        <v>131127.0028280001</v>
      </c>
      <c r="P7" s="12" t="n">
        <v>109509.2100600004</v>
      </c>
      <c r="Q7" s="12" t="n">
        <v>94170.49636400025</v>
      </c>
      <c r="R7" s="12" t="n">
        <v>60726.81788400002</v>
      </c>
      <c r="S7" s="12" t="n">
        <v>60726.81788400002</v>
      </c>
      <c r="T7" s="12" t="n">
        <v>60726.81788400002</v>
      </c>
      <c r="U7" s="12" t="n">
        <v>60726.81788400002</v>
      </c>
      <c r="V7" s="5" t="n"/>
      <c r="W7" s="5" t="n"/>
      <c r="X7" s="5" t="n"/>
      <c r="Y7" s="5" t="n"/>
    </row>
    <row r="8">
      <c r="A8" s="9" t="n">
        <v>2006</v>
      </c>
      <c r="B8" s="12" t="n">
        <v>739510.9647280001</v>
      </c>
      <c r="C8" s="12" t="n">
        <v>347396.3509559999</v>
      </c>
      <c r="D8" s="12" t="n">
        <v>498859.2076079999</v>
      </c>
      <c r="E8" s="12" t="n">
        <v>428960.0483919999</v>
      </c>
      <c r="F8" s="12" t="n">
        <v>419255.789168</v>
      </c>
      <c r="G8" s="12" t="n">
        <v>364463.05446</v>
      </c>
      <c r="H8" s="12" t="n">
        <v>314180.1979079999</v>
      </c>
      <c r="I8" s="12" t="n">
        <v>336118.2444</v>
      </c>
      <c r="J8" s="12" t="n">
        <v>305657.086252</v>
      </c>
      <c r="K8" s="12" t="n">
        <v>261130.6547999999</v>
      </c>
      <c r="L8" s="12" t="n">
        <v>157644.9835999999</v>
      </c>
      <c r="M8" s="12" t="n">
        <v>76618.90439999988</v>
      </c>
      <c r="N8" s="12" t="n">
        <v>37301.96343599982</v>
      </c>
      <c r="O8" s="12" t="n">
        <v>21492.12614799943</v>
      </c>
      <c r="P8" s="12" t="n">
        <v>20634.38614799944</v>
      </c>
      <c r="Q8" s="12" t="n">
        <v>3479.586147999391</v>
      </c>
      <c r="R8" s="12" t="n">
        <v>-1139.013852000469</v>
      </c>
      <c r="S8" s="12" t="n">
        <v>-12140.49266000045</v>
      </c>
      <c r="T8" s="12" t="n">
        <v>-12140.49266000045</v>
      </c>
      <c r="U8" s="5" t="n"/>
      <c r="V8" s="5" t="n"/>
      <c r="W8" s="5" t="n"/>
      <c r="X8" s="5" t="n"/>
      <c r="Y8" s="5" t="n"/>
    </row>
    <row r="9">
      <c r="A9" s="9" t="n">
        <v>2007</v>
      </c>
      <c r="B9" s="12" t="n">
        <v>3231273.388915999</v>
      </c>
      <c r="C9" s="12" t="n">
        <v>3078167.709439999</v>
      </c>
      <c r="D9" s="12" t="n">
        <v>2910823.493179999</v>
      </c>
      <c r="E9" s="12" t="n">
        <v>2664501.428055999</v>
      </c>
      <c r="F9" s="12" t="n">
        <v>2401738.809627999</v>
      </c>
      <c r="G9" s="12" t="n">
        <v>1906856.492623999</v>
      </c>
      <c r="H9" s="12" t="n">
        <v>1712895.825599999</v>
      </c>
      <c r="I9" s="12" t="n">
        <v>1357708.185643999</v>
      </c>
      <c r="J9" s="12" t="n">
        <v>1099937.666799999</v>
      </c>
      <c r="K9" s="12" t="n">
        <v>708029.6627999991</v>
      </c>
      <c r="L9" s="12" t="n">
        <v>577690.131599999</v>
      </c>
      <c r="M9" s="12" t="n">
        <v>451192.6553879986</v>
      </c>
      <c r="N9" s="12" t="n">
        <v>378600.1133960001</v>
      </c>
      <c r="O9" s="12" t="n">
        <v>374330.2176959999</v>
      </c>
      <c r="P9" s="12" t="n">
        <v>174461.5695119994</v>
      </c>
      <c r="Q9" s="12" t="n">
        <v>174461.5695119994</v>
      </c>
      <c r="R9" s="12" t="n">
        <v>157286.9227280002</v>
      </c>
      <c r="S9" s="12" t="n">
        <v>145155.6551839998</v>
      </c>
      <c r="T9" s="5" t="n"/>
      <c r="U9" s="5" t="n"/>
      <c r="V9" s="5" t="n"/>
      <c r="W9" s="5" t="n"/>
      <c r="X9" s="5" t="n"/>
      <c r="Y9" s="5" t="n"/>
    </row>
    <row r="10">
      <c r="A10" s="9" t="n">
        <v>2008</v>
      </c>
      <c r="B10" s="12" t="n">
        <v>872613.3324879999</v>
      </c>
      <c r="C10" s="12" t="n">
        <v>658051.175832</v>
      </c>
      <c r="D10" s="12" t="n">
        <v>495800.3516519999</v>
      </c>
      <c r="E10" s="12" t="n">
        <v>130959.4418159998</v>
      </c>
      <c r="F10" s="12" t="n">
        <v>170847.1097799998</v>
      </c>
      <c r="G10" s="12" t="n">
        <v>149650.9687999999</v>
      </c>
      <c r="H10" s="12" t="n">
        <v>142722.3034319999</v>
      </c>
      <c r="I10" s="12" t="n">
        <v>125792.6007999999</v>
      </c>
      <c r="J10" s="12" t="n">
        <v>118344.7784</v>
      </c>
      <c r="K10" s="12" t="n">
        <v>72906.99159999983</v>
      </c>
      <c r="L10" s="12" t="n">
        <v>66234.19667199976</v>
      </c>
      <c r="M10" s="12" t="n">
        <v>66009.20487200166</v>
      </c>
      <c r="N10" s="12" t="n">
        <v>85856.97857200168</v>
      </c>
      <c r="O10" s="12" t="n">
        <v>85527.07857200154</v>
      </c>
      <c r="P10" s="12" t="n">
        <v>85527.07857200154</v>
      </c>
      <c r="Q10" s="12" t="n">
        <v>78929.07857200154</v>
      </c>
      <c r="R10" s="12" t="n">
        <v>50538.28045200161</v>
      </c>
      <c r="S10" s="5" t="n"/>
      <c r="T10" s="5" t="n"/>
      <c r="U10" s="5" t="n"/>
      <c r="V10" s="5" t="n"/>
      <c r="W10" s="5" t="n"/>
      <c r="X10" s="5" t="n"/>
      <c r="Y10" s="5" t="n"/>
    </row>
    <row r="11">
      <c r="A11" s="9" t="n">
        <v>2009</v>
      </c>
      <c r="B11" s="12" t="n">
        <v>868925.1878280001</v>
      </c>
      <c r="C11" s="12" t="n">
        <v>353868.126636</v>
      </c>
      <c r="D11" s="12" t="n">
        <v>404165.5383760001</v>
      </c>
      <c r="E11" s="12" t="n">
        <v>383651.656988</v>
      </c>
      <c r="F11" s="12" t="n">
        <v>327644.4944</v>
      </c>
      <c r="G11" s="12" t="n">
        <v>281515.9497840001</v>
      </c>
      <c r="H11" s="12" t="n">
        <v>247133.0592</v>
      </c>
      <c r="I11" s="12" t="n">
        <v>106051.9839999999</v>
      </c>
      <c r="J11" s="12" t="n">
        <v>106045.3859999999</v>
      </c>
      <c r="K11" s="12" t="n">
        <v>106043.6837159998</v>
      </c>
      <c r="L11" s="12" t="n">
        <v>106043.6837159996</v>
      </c>
      <c r="M11" s="12" t="n">
        <v>90868.28371599969</v>
      </c>
      <c r="N11" s="12" t="n">
        <v>56824.4907439996</v>
      </c>
      <c r="O11" s="12" t="n">
        <v>56824.4907439996</v>
      </c>
      <c r="P11" s="12" t="n">
        <v>56824.4907439996</v>
      </c>
      <c r="Q11" s="12" t="n">
        <v>56824.4907439996</v>
      </c>
      <c r="R11" s="5" t="n"/>
      <c r="S11" s="5" t="n"/>
      <c r="T11" s="5" t="n"/>
      <c r="U11" s="5" t="n"/>
      <c r="V11" s="5" t="n"/>
      <c r="W11" s="5" t="n"/>
      <c r="X11" s="5" t="n"/>
      <c r="Y11" s="5" t="n"/>
    </row>
    <row r="12">
      <c r="A12" s="9" t="n">
        <v>2010</v>
      </c>
      <c r="B12" s="12" t="n">
        <v>1000617.840004</v>
      </c>
      <c r="C12" s="12" t="n">
        <v>630057.915728</v>
      </c>
      <c r="D12" s="12" t="n">
        <v>409326.1804079999</v>
      </c>
      <c r="E12" s="12" t="n">
        <v>255310.4124</v>
      </c>
      <c r="F12" s="12" t="n">
        <v>124462.544888</v>
      </c>
      <c r="G12" s="12" t="n">
        <v>137748.568</v>
      </c>
      <c r="H12" s="12" t="n">
        <v>89280.97959999996</v>
      </c>
      <c r="I12" s="12" t="n">
        <v>87784.55319999997</v>
      </c>
      <c r="J12" s="12" t="n">
        <v>93826.22303600004</v>
      </c>
      <c r="K12" s="12" t="n">
        <v>93026.74337599962</v>
      </c>
      <c r="L12" s="12" t="n">
        <v>92031.76497599948</v>
      </c>
      <c r="M12" s="12" t="n">
        <v>91957.86737599946</v>
      </c>
      <c r="N12" s="12" t="n">
        <v>90308.36737599946</v>
      </c>
      <c r="O12" s="12" t="n">
        <v>90579.01733599952</v>
      </c>
      <c r="P12" s="12" t="n">
        <v>82976.20791599946</v>
      </c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</row>
    <row r="13">
      <c r="A13" s="9" t="n">
        <v>2011</v>
      </c>
      <c r="B13" s="12" t="n">
        <v>1590349.085408</v>
      </c>
      <c r="C13" s="12" t="n">
        <v>1157476.659432</v>
      </c>
      <c r="D13" s="12" t="n">
        <v>736378.5491999998</v>
      </c>
      <c r="E13" s="12" t="n">
        <v>534042.4469559998</v>
      </c>
      <c r="F13" s="12" t="n">
        <v>432857.3531999998</v>
      </c>
      <c r="G13" s="12" t="n">
        <v>303891.5255999998</v>
      </c>
      <c r="H13" s="12" t="n">
        <v>207694.0051999998</v>
      </c>
      <c r="I13" s="12" t="n">
        <v>207578.7249439997</v>
      </c>
      <c r="J13" s="12" t="n">
        <v>182252.9617440002</v>
      </c>
      <c r="K13" s="12" t="n">
        <v>175106.0081440003</v>
      </c>
      <c r="L13" s="12" t="n">
        <v>122410.4873240001</v>
      </c>
      <c r="M13" s="12" t="n">
        <v>128314.8395840002</v>
      </c>
      <c r="N13" s="12" t="n">
        <v>128314.8395840002</v>
      </c>
      <c r="O13" s="12" t="n">
        <v>128314.8395840002</v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</row>
    <row r="14">
      <c r="A14" s="9" t="n">
        <v>2012</v>
      </c>
      <c r="B14" s="12" t="n">
        <v>971379.8356239999</v>
      </c>
      <c r="C14" s="12" t="n">
        <v>624776.4179999999</v>
      </c>
      <c r="D14" s="12" t="n">
        <v>415255.991084</v>
      </c>
      <c r="E14" s="12" t="n">
        <v>337867.6663999999</v>
      </c>
      <c r="F14" s="12" t="n">
        <v>340897.4679999999</v>
      </c>
      <c r="G14" s="12" t="n">
        <v>332433.5535999999</v>
      </c>
      <c r="H14" s="12" t="n">
        <v>328528.2765759999</v>
      </c>
      <c r="I14" s="12" t="n">
        <v>278070.7313760011</v>
      </c>
      <c r="J14" s="12" t="n">
        <v>220568.3432240011</v>
      </c>
      <c r="K14" s="12" t="n">
        <v>159117.5667160011</v>
      </c>
      <c r="L14" s="12" t="n">
        <v>150540.166716001</v>
      </c>
      <c r="M14" s="12" t="n">
        <v>-56486.44053199911</v>
      </c>
      <c r="N14" s="12" t="n">
        <v>-56486.44053199911</v>
      </c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</row>
    <row r="15">
      <c r="A15" s="9" t="n">
        <v>2013</v>
      </c>
      <c r="B15" s="12" t="n">
        <v>510065.8104</v>
      </c>
      <c r="C15" s="12" t="n">
        <v>279506.380472</v>
      </c>
      <c r="D15" s="12" t="n">
        <v>235041.3764</v>
      </c>
      <c r="E15" s="12" t="n">
        <v>121113.7104</v>
      </c>
      <c r="F15" s="12" t="n">
        <v>80516.21639999992</v>
      </c>
      <c r="G15" s="12" t="n">
        <v>82357.88974799996</v>
      </c>
      <c r="H15" s="12" t="n">
        <v>82009.40978000022</v>
      </c>
      <c r="I15" s="12" t="n">
        <v>82009.40977999999</v>
      </c>
      <c r="J15" s="12" t="n">
        <v>80643.75574000017</v>
      </c>
      <c r="K15" s="12" t="n">
        <v>80643.75574000017</v>
      </c>
      <c r="L15" s="12" t="n">
        <v>80632.53914000012</v>
      </c>
      <c r="M15" s="12" t="n">
        <v>80632.53914000012</v>
      </c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</row>
    <row r="16">
      <c r="A16" s="9" t="n">
        <v>2014</v>
      </c>
      <c r="B16" s="12" t="n">
        <v>997542.632516</v>
      </c>
      <c r="C16" s="12" t="n">
        <v>785322.304</v>
      </c>
      <c r="D16" s="12" t="n">
        <v>459507.7855999998</v>
      </c>
      <c r="E16" s="12" t="n">
        <v>284879.8391999998</v>
      </c>
      <c r="F16" s="12" t="n">
        <v>266406.5872519999</v>
      </c>
      <c r="G16" s="12" t="n">
        <v>221244.5968519999</v>
      </c>
      <c r="H16" s="12" t="n">
        <v>260061.4358079999</v>
      </c>
      <c r="I16" s="12" t="n">
        <v>260061.4358079999</v>
      </c>
      <c r="J16" s="12" t="n">
        <v>205957.8358079998</v>
      </c>
      <c r="K16" s="12" t="n">
        <v>177674.5059120001</v>
      </c>
      <c r="L16" s="12" t="n">
        <v>187392.8452679999</v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</row>
    <row r="17">
      <c r="A17" s="9" t="n">
        <v>2015</v>
      </c>
      <c r="B17" s="12" t="n">
        <v>3311531.22</v>
      </c>
      <c r="C17" s="12" t="n">
        <v>2781154.9488</v>
      </c>
      <c r="D17" s="12" t="n">
        <v>2243995.9336</v>
      </c>
      <c r="E17" s="12" t="n">
        <v>1716574.880208</v>
      </c>
      <c r="F17" s="12" t="n">
        <v>1490633.562027999</v>
      </c>
      <c r="G17" s="12" t="n">
        <v>1169327.984867999</v>
      </c>
      <c r="H17" s="12" t="n">
        <v>794264.7144559985</v>
      </c>
      <c r="I17" s="12" t="n">
        <v>773546.9944559983</v>
      </c>
      <c r="J17" s="12" t="n">
        <v>763392.9495719983</v>
      </c>
      <c r="K17" s="12" t="n">
        <v>466634.8619239987</v>
      </c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</row>
    <row r="18">
      <c r="A18" s="9" t="n">
        <v>2016</v>
      </c>
      <c r="B18" s="12" t="n">
        <v>2311361.088</v>
      </c>
      <c r="C18" s="12" t="n">
        <v>1713202.2432</v>
      </c>
      <c r="D18" s="12" t="n">
        <v>1265693.011964</v>
      </c>
      <c r="E18" s="12" t="n">
        <v>1114895.378868</v>
      </c>
      <c r="F18" s="12" t="n">
        <v>846747.037372001</v>
      </c>
      <c r="G18" s="12" t="n">
        <v>778745.5157400011</v>
      </c>
      <c r="H18" s="12" t="n">
        <v>495542.5308400011</v>
      </c>
      <c r="I18" s="12" t="n">
        <v>496138.3566320012</v>
      </c>
      <c r="J18" s="12" t="n">
        <v>492839.3566320012</v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</row>
    <row r="19">
      <c r="A19" s="9" t="n">
        <v>2017</v>
      </c>
      <c r="B19" s="12" t="n">
        <v>1026834.1684</v>
      </c>
      <c r="C19" s="12" t="n">
        <v>873288.362736</v>
      </c>
      <c r="D19" s="12" t="n">
        <v>852161.8438519996</v>
      </c>
      <c r="E19" s="12" t="n">
        <v>655390.8379039995</v>
      </c>
      <c r="F19" s="12" t="n">
        <v>592871.5680799995</v>
      </c>
      <c r="G19" s="12" t="n">
        <v>474052.7518959997</v>
      </c>
      <c r="H19" s="12" t="n">
        <v>319208.1563239996</v>
      </c>
      <c r="I19" s="12" t="n">
        <v>282349.2210839996</v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</row>
    <row r="20">
      <c r="A20" s="9" t="n">
        <v>2018</v>
      </c>
      <c r="B20" s="12" t="n">
        <v>2545344.089552</v>
      </c>
      <c r="C20" s="12" t="n">
        <v>1885259.992868</v>
      </c>
      <c r="D20" s="12" t="n">
        <v>1384469.707900001</v>
      </c>
      <c r="E20" s="12" t="n">
        <v>736508.2749679992</v>
      </c>
      <c r="F20" s="12" t="n">
        <v>749809.8033799995</v>
      </c>
      <c r="G20" s="12" t="n">
        <v>719652.5623079995</v>
      </c>
      <c r="H20" s="12" t="n">
        <v>657879.4866959993</v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</row>
    <row r="21">
      <c r="A21" s="9" t="n">
        <v>2019</v>
      </c>
      <c r="B21" s="12" t="n">
        <v>2971754.288824</v>
      </c>
      <c r="C21" s="12" t="n">
        <v>2255062.057320001</v>
      </c>
      <c r="D21" s="12" t="n">
        <v>1639614.578688</v>
      </c>
      <c r="E21" s="12" t="n">
        <v>1379106.074588</v>
      </c>
      <c r="F21" s="12" t="n">
        <v>1252290.42962</v>
      </c>
      <c r="G21" s="12" t="n">
        <v>779786.2457080008</v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</row>
    <row r="22">
      <c r="A22" s="9" t="n">
        <v>2020</v>
      </c>
      <c r="B22" s="12" t="n">
        <v>1019293.986468</v>
      </c>
      <c r="C22" s="12" t="n">
        <v>609481.0690440004</v>
      </c>
      <c r="D22" s="12" t="n">
        <v>625104.7899480002</v>
      </c>
      <c r="E22" s="12" t="n">
        <v>571928.2881240002</v>
      </c>
      <c r="F22" s="12" t="n">
        <v>562497.0805320002</v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</row>
    <row r="23">
      <c r="A23" s="9" t="n">
        <v>2021</v>
      </c>
      <c r="B23" s="12" t="n">
        <v>1140830.583012</v>
      </c>
      <c r="C23" s="12" t="n">
        <v>889352.4975919998</v>
      </c>
      <c r="D23" s="12" t="n">
        <v>709970.8637400002</v>
      </c>
      <c r="E23" s="12" t="n">
        <v>678974.3702639999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</row>
    <row r="24">
      <c r="A24" s="9" t="n">
        <v>2022</v>
      </c>
      <c r="B24" s="12" t="n">
        <v>951050.3864239998</v>
      </c>
      <c r="C24" s="12" t="n">
        <v>794017.5113679989</v>
      </c>
      <c r="D24" s="12" t="n">
        <v>818257.2833559992</v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</row>
    <row r="25">
      <c r="A25" s="9" t="n">
        <v>2023</v>
      </c>
      <c r="B25" s="12" t="n">
        <v>871864.4073959998</v>
      </c>
      <c r="C25" s="12" t="n">
        <v>195108.0356480002</v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</row>
    <row r="26">
      <c r="A26" s="9" t="n">
        <v>2024</v>
      </c>
      <c r="B26" s="12" t="n">
        <v>334331.868172</v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</row>
  </sheetData>
  <mergeCells count="1">
    <mergeCell ref="A1:Y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 ht="20" customHeight="1">
      <c r="A1" s="1" t="inlineStr">
        <is>
          <t>Average Unpaid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" t="n"/>
    </row>
    <row r="2">
      <c r="A2" s="8" t="inlineStr">
        <is>
          <t>Period</t>
        </is>
      </c>
      <c r="B2" s="8" t="inlineStr">
        <is>
          <t>11</t>
        </is>
      </c>
      <c r="C2" s="8" t="inlineStr">
        <is>
          <t>23</t>
        </is>
      </c>
      <c r="D2" s="8" t="inlineStr">
        <is>
          <t>35</t>
        </is>
      </c>
      <c r="E2" s="8" t="inlineStr">
        <is>
          <t>47</t>
        </is>
      </c>
      <c r="F2" s="8" t="inlineStr">
        <is>
          <t>59</t>
        </is>
      </c>
      <c r="G2" s="8" t="inlineStr">
        <is>
          <t>71</t>
        </is>
      </c>
      <c r="H2" s="8" t="inlineStr">
        <is>
          <t>83</t>
        </is>
      </c>
      <c r="I2" s="8" t="inlineStr">
        <is>
          <t>95</t>
        </is>
      </c>
      <c r="J2" s="8" t="inlineStr">
        <is>
          <t>107</t>
        </is>
      </c>
      <c r="K2" s="8" t="inlineStr">
        <is>
          <t>119</t>
        </is>
      </c>
      <c r="L2" s="8" t="inlineStr">
        <is>
          <t>131</t>
        </is>
      </c>
      <c r="M2" s="8" t="inlineStr">
        <is>
          <t>143</t>
        </is>
      </c>
      <c r="N2" s="8" t="inlineStr">
        <is>
          <t>155</t>
        </is>
      </c>
      <c r="O2" s="8" t="inlineStr">
        <is>
          <t>167</t>
        </is>
      </c>
      <c r="P2" s="8" t="inlineStr">
        <is>
          <t>179</t>
        </is>
      </c>
      <c r="Q2" s="8" t="inlineStr">
        <is>
          <t>191</t>
        </is>
      </c>
      <c r="R2" s="8" t="inlineStr">
        <is>
          <t>203</t>
        </is>
      </c>
      <c r="S2" s="8" t="inlineStr">
        <is>
          <t>215</t>
        </is>
      </c>
      <c r="T2" s="8" t="inlineStr">
        <is>
          <t>227</t>
        </is>
      </c>
      <c r="U2" s="8" t="inlineStr">
        <is>
          <t>239</t>
        </is>
      </c>
      <c r="V2" s="8" t="inlineStr">
        <is>
          <t>251</t>
        </is>
      </c>
      <c r="W2" s="8" t="inlineStr">
        <is>
          <t>263</t>
        </is>
      </c>
      <c r="X2" s="8" t="inlineStr">
        <is>
          <t>275</t>
        </is>
      </c>
      <c r="Y2" s="8" t="inlineStr">
        <is>
          <t>287</t>
        </is>
      </c>
    </row>
    <row r="3">
      <c r="A3" s="9" t="n">
        <v>2001</v>
      </c>
      <c r="B3" s="12" t="n">
        <v>2728115.4812</v>
      </c>
      <c r="C3" s="12" t="n">
        <v>2006787.8116</v>
      </c>
      <c r="D3" s="12" t="n">
        <v>1508432.954</v>
      </c>
      <c r="E3" s="12" t="n">
        <v>1143194.066</v>
      </c>
      <c r="F3" s="12" t="n">
        <v>829939.5003999998</v>
      </c>
      <c r="G3" s="12" t="n">
        <v>770383.6167079997</v>
      </c>
      <c r="H3" s="12" t="n">
        <v>792386.6139119999</v>
      </c>
      <c r="I3" s="12" t="n">
        <v>761845.4352199994</v>
      </c>
      <c r="J3" s="12" t="n">
        <v>739614.2395879999</v>
      </c>
      <c r="K3" s="12" t="n">
        <v>711775.0210719998</v>
      </c>
      <c r="L3" s="12" t="n">
        <v>655959.5963639999</v>
      </c>
      <c r="M3" s="12" t="n">
        <v>598454.1335439994</v>
      </c>
      <c r="N3" s="12" t="n">
        <v>558435.7591999997</v>
      </c>
      <c r="O3" s="12" t="n">
        <v>495042.9009799999</v>
      </c>
      <c r="P3" s="12" t="n">
        <v>439995.0611999999</v>
      </c>
      <c r="Q3" s="12" t="n">
        <v>359809.5671999995</v>
      </c>
      <c r="R3" s="12" t="n">
        <v>271747.3807999995</v>
      </c>
      <c r="S3" s="12" t="n">
        <v>196513.4746639999</v>
      </c>
      <c r="T3" s="12" t="n">
        <v>87087.75602400023</v>
      </c>
      <c r="U3" s="12" t="n">
        <v>87087.75602400023</v>
      </c>
      <c r="V3" s="12" t="n">
        <v>64997.5728480001</v>
      </c>
      <c r="W3" s="12" t="n">
        <v>42773.80656399997</v>
      </c>
      <c r="X3" s="12" t="n">
        <v>23778.38889600011</v>
      </c>
      <c r="Y3" s="12" t="n">
        <v>11864.94772399962</v>
      </c>
    </row>
    <row r="4">
      <c r="A4" s="9" t="n">
        <v>2002</v>
      </c>
      <c r="B4" s="12" t="n">
        <v>1859476.054</v>
      </c>
      <c r="C4" s="12" t="n">
        <v>1305763.9764</v>
      </c>
      <c r="D4" s="12" t="n">
        <v>996466.8912</v>
      </c>
      <c r="E4" s="12" t="n">
        <v>898491.8696000001</v>
      </c>
      <c r="F4" s="12" t="n">
        <v>733394.8661600002</v>
      </c>
      <c r="G4" s="12" t="n">
        <v>595101.8418399999</v>
      </c>
      <c r="H4" s="12" t="n">
        <v>558508.119808</v>
      </c>
      <c r="I4" s="12" t="n">
        <v>529132.5965800001</v>
      </c>
      <c r="J4" s="12" t="n">
        <v>487257.2019399998</v>
      </c>
      <c r="K4" s="12" t="n">
        <v>466638.0428640002</v>
      </c>
      <c r="L4" s="12" t="n">
        <v>435839.726916</v>
      </c>
      <c r="M4" s="12" t="n">
        <v>402413.3219999999</v>
      </c>
      <c r="N4" s="12" t="n">
        <v>360789.6938439999</v>
      </c>
      <c r="O4" s="12" t="n">
        <v>313445.8900000001</v>
      </c>
      <c r="P4" s="12" t="n">
        <v>273217.8840000001</v>
      </c>
      <c r="Q4" s="12" t="n">
        <v>235267.5075999999</v>
      </c>
      <c r="R4" s="12" t="n">
        <v>178807.009628</v>
      </c>
      <c r="S4" s="12" t="n">
        <v>137623.9563239999</v>
      </c>
      <c r="T4" s="12" t="n">
        <v>104597.2582479995</v>
      </c>
      <c r="U4" s="12" t="n">
        <v>79006.65132799977</v>
      </c>
      <c r="V4" s="12" t="n">
        <v>57448.51767600002</v>
      </c>
      <c r="W4" s="12" t="n">
        <v>36785.785408</v>
      </c>
      <c r="X4" s="12" t="n">
        <v>17190.70191199984</v>
      </c>
      <c r="Y4" s="5" t="n"/>
    </row>
    <row r="5">
      <c r="A5" s="9" t="n">
        <v>2003</v>
      </c>
      <c r="B5" s="12" t="n">
        <v>1341513.2884</v>
      </c>
      <c r="C5" s="12" t="n">
        <v>653467.2503999998</v>
      </c>
      <c r="D5" s="12" t="n">
        <v>475582.5311999999</v>
      </c>
      <c r="E5" s="12" t="n">
        <v>355903.1642679998</v>
      </c>
      <c r="F5" s="12" t="n">
        <v>128339.0943799999</v>
      </c>
      <c r="G5" s="12" t="n">
        <v>44862.82148799975</v>
      </c>
      <c r="H5" s="12" t="n">
        <v>42209.72609999985</v>
      </c>
      <c r="I5" s="12" t="n">
        <v>29848.32031599968</v>
      </c>
      <c r="J5" s="12" t="n">
        <v>32400.34753999976</v>
      </c>
      <c r="K5" s="12" t="n">
        <v>28065.25040399982</v>
      </c>
      <c r="L5" s="12" t="n">
        <v>31436.84159999969</v>
      </c>
      <c r="M5" s="12" t="n">
        <v>31048.11383199971</v>
      </c>
      <c r="N5" s="12" t="n">
        <v>30918.2387999997</v>
      </c>
      <c r="O5" s="12" t="n">
        <v>30917.72415599995</v>
      </c>
      <c r="P5" s="12" t="n">
        <v>30917.72415599995</v>
      </c>
      <c r="Q5" s="12" t="n">
        <v>30918.33117199992</v>
      </c>
      <c r="R5" s="12" t="n">
        <v>27156.86415600078</v>
      </c>
      <c r="S5" s="12" t="n">
        <v>27156.86415600055</v>
      </c>
      <c r="T5" s="12" t="n">
        <v>27156.86415600055</v>
      </c>
      <c r="U5" s="12" t="n">
        <v>27156.86415600055</v>
      </c>
      <c r="V5" s="12" t="n">
        <v>27156.86415600055</v>
      </c>
      <c r="W5" s="12" t="n">
        <v>27156.86415600055</v>
      </c>
      <c r="X5" s="5" t="n"/>
      <c r="Y5" s="5" t="n"/>
    </row>
    <row r="6">
      <c r="A6" s="9" t="n">
        <v>2004</v>
      </c>
      <c r="B6" s="12" t="n">
        <v>889939.1383999999</v>
      </c>
      <c r="C6" s="12" t="n">
        <v>520844.3792</v>
      </c>
      <c r="D6" s="12" t="n">
        <v>339863.2581880012</v>
      </c>
      <c r="E6" s="12" t="n">
        <v>243199.9981639999</v>
      </c>
      <c r="F6" s="12" t="n">
        <v>91683.01151999994</v>
      </c>
      <c r="G6" s="12" t="n">
        <v>87805.89475999982</v>
      </c>
      <c r="H6" s="12" t="n">
        <v>70582.09287599986</v>
      </c>
      <c r="I6" s="12" t="n">
        <v>62184.76549199992</v>
      </c>
      <c r="J6" s="12" t="n">
        <v>42138.58993200003</v>
      </c>
      <c r="K6" s="12" t="n">
        <v>48911.87239999999</v>
      </c>
      <c r="L6" s="12" t="n">
        <v>44970.74184399983</v>
      </c>
      <c r="M6" s="12" t="n">
        <v>37924.88279999979</v>
      </c>
      <c r="N6" s="12" t="n">
        <v>37464.34239999996</v>
      </c>
      <c r="O6" s="12" t="n">
        <v>35449.31319999998</v>
      </c>
      <c r="P6" s="12" t="n">
        <v>34803.27662799996</v>
      </c>
      <c r="Q6" s="12" t="n">
        <v>24245.90919999965</v>
      </c>
      <c r="R6" s="12" t="n">
        <v>24245.90919999965</v>
      </c>
      <c r="S6" s="12" t="n">
        <v>24245.90919999965</v>
      </c>
      <c r="T6" s="12" t="n">
        <v>24245.90919999965</v>
      </c>
      <c r="U6" s="12" t="n">
        <v>24212.25939999963</v>
      </c>
      <c r="V6" s="12" t="n">
        <v>24212.25939999963</v>
      </c>
      <c r="W6" s="5" t="n"/>
      <c r="X6" s="5" t="n"/>
      <c r="Y6" s="5" t="n"/>
    </row>
    <row r="7">
      <c r="A7" s="9" t="n">
        <v>2005</v>
      </c>
      <c r="B7" s="12" t="n">
        <v>1693883.1892</v>
      </c>
      <c r="C7" s="12" t="n">
        <v>1065980.454832</v>
      </c>
      <c r="D7" s="12" t="n">
        <v>735244.52782</v>
      </c>
      <c r="E7" s="12" t="n">
        <v>666450.533604</v>
      </c>
      <c r="F7" s="12" t="n">
        <v>544238.049316</v>
      </c>
      <c r="G7" s="12" t="n">
        <v>507742.5847</v>
      </c>
      <c r="H7" s="12" t="n">
        <v>469875.250728</v>
      </c>
      <c r="I7" s="12" t="n">
        <v>450788.3979760001</v>
      </c>
      <c r="J7" s="12" t="n">
        <v>443066.0196</v>
      </c>
      <c r="K7" s="12" t="n">
        <v>387256.3219560001</v>
      </c>
      <c r="L7" s="12" t="n">
        <v>332841.1512</v>
      </c>
      <c r="M7" s="12" t="n">
        <v>292928.5296</v>
      </c>
      <c r="N7" s="12" t="n">
        <v>227159.6655999999</v>
      </c>
      <c r="O7" s="12" t="n">
        <v>187997.1442280002</v>
      </c>
      <c r="P7" s="12" t="n">
        <v>124289.32388</v>
      </c>
      <c r="Q7" s="12" t="n">
        <v>106942.3637280003</v>
      </c>
      <c r="R7" s="12" t="n">
        <v>64478.24274400016</v>
      </c>
      <c r="S7" s="12" t="n">
        <v>60726.81788400002</v>
      </c>
      <c r="T7" s="12" t="n">
        <v>60726.81788400002</v>
      </c>
      <c r="U7" s="12" t="n">
        <v>60726.81788400002</v>
      </c>
      <c r="V7" s="5" t="n"/>
      <c r="W7" s="5" t="n"/>
      <c r="X7" s="5" t="n"/>
      <c r="Y7" s="5" t="n"/>
    </row>
    <row r="8">
      <c r="A8" s="9" t="n">
        <v>2006</v>
      </c>
      <c r="B8" s="12" t="n">
        <v>1220709.874276</v>
      </c>
      <c r="C8" s="12" t="n">
        <v>805914.0944679999</v>
      </c>
      <c r="D8" s="12" t="n">
        <v>612235.9538039999</v>
      </c>
      <c r="E8" s="12" t="n">
        <v>532652.3293639999</v>
      </c>
      <c r="F8" s="12" t="n">
        <v>473127.4430760001</v>
      </c>
      <c r="G8" s="12" t="n">
        <v>425060.6171959999</v>
      </c>
      <c r="H8" s="12" t="n">
        <v>380384.3055760001</v>
      </c>
      <c r="I8" s="12" t="n">
        <v>372745.0619999999</v>
      </c>
      <c r="J8" s="12" t="n">
        <v>336957.206492</v>
      </c>
      <c r="K8" s="12" t="n">
        <v>289062.628</v>
      </c>
      <c r="L8" s="12" t="n">
        <v>176871.5555999998</v>
      </c>
      <c r="M8" s="12" t="n">
        <v>140153.6856</v>
      </c>
      <c r="N8" s="12" t="n">
        <v>125920.1501</v>
      </c>
      <c r="O8" s="12" t="n">
        <v>100136.8815800003</v>
      </c>
      <c r="P8" s="12" t="n">
        <v>90564.76709999959</v>
      </c>
      <c r="Q8" s="12" t="n">
        <v>78746.1655799998</v>
      </c>
      <c r="R8" s="12" t="n">
        <v>62381.55525599979</v>
      </c>
      <c r="S8" s="12" t="n">
        <v>51363.22515599965</v>
      </c>
      <c r="T8" s="12" t="n">
        <v>43355.27214399981</v>
      </c>
      <c r="U8" s="5" t="n"/>
      <c r="V8" s="5" t="n"/>
      <c r="W8" s="5" t="n"/>
      <c r="X8" s="5" t="n"/>
      <c r="Y8" s="5" t="n"/>
    </row>
    <row r="9">
      <c r="A9" s="9" t="n">
        <v>2007</v>
      </c>
      <c r="B9" s="12" t="n">
        <v>4452352.396012</v>
      </c>
      <c r="C9" s="12" t="n">
        <v>3852692.519408</v>
      </c>
      <c r="D9" s="12" t="n">
        <v>3527404.231095999</v>
      </c>
      <c r="E9" s="12" t="n">
        <v>3136793.459875999</v>
      </c>
      <c r="F9" s="12" t="n">
        <v>2798269.214075999</v>
      </c>
      <c r="G9" s="12" t="n">
        <v>2335128.357531999</v>
      </c>
      <c r="H9" s="12" t="n">
        <v>2031783.763599999</v>
      </c>
      <c r="I9" s="12" t="n">
        <v>1804745.673076</v>
      </c>
      <c r="J9" s="12" t="n">
        <v>1550529.602399999</v>
      </c>
      <c r="K9" s="12" t="n">
        <v>1261491.016399999</v>
      </c>
      <c r="L9" s="12" t="n">
        <v>957732.2923999992</v>
      </c>
      <c r="M9" s="12" t="n">
        <v>757823.0401240001</v>
      </c>
      <c r="N9" s="12" t="n">
        <v>585538.1886799987</v>
      </c>
      <c r="O9" s="12" t="n">
        <v>459199.2228199998</v>
      </c>
      <c r="P9" s="12" t="n">
        <v>338619.2156919995</v>
      </c>
      <c r="Q9" s="12" t="n">
        <v>204464.1798559986</v>
      </c>
      <c r="R9" s="12" t="n">
        <v>174600.7477239994</v>
      </c>
      <c r="S9" s="12" t="n">
        <v>165237.1168479994</v>
      </c>
      <c r="T9" s="5" t="n"/>
      <c r="U9" s="5" t="n"/>
      <c r="V9" s="5" t="n"/>
      <c r="W9" s="5" t="n"/>
      <c r="X9" s="5" t="n"/>
      <c r="Y9" s="5" t="n"/>
    </row>
    <row r="10">
      <c r="A10" s="9" t="n">
        <v>2008</v>
      </c>
      <c r="B10" s="12" t="n">
        <v>1075449.457564</v>
      </c>
      <c r="C10" s="12" t="n">
        <v>782391.172024</v>
      </c>
      <c r="D10" s="12" t="n">
        <v>559328.785576</v>
      </c>
      <c r="E10" s="12" t="n">
        <v>240610.4821559999</v>
      </c>
      <c r="F10" s="12" t="n">
        <v>199113.6807559999</v>
      </c>
      <c r="G10" s="12" t="n">
        <v>161214.6235999998</v>
      </c>
      <c r="H10" s="12" t="n">
        <v>152350.6988519998</v>
      </c>
      <c r="I10" s="12" t="n">
        <v>144189.1443999999</v>
      </c>
      <c r="J10" s="12" t="n">
        <v>129096.8791999999</v>
      </c>
      <c r="K10" s="12" t="n">
        <v>111672.8807999999</v>
      </c>
      <c r="L10" s="12" t="n">
        <v>97584.26377199986</v>
      </c>
      <c r="M10" s="12" t="n">
        <v>94999.69521200145</v>
      </c>
      <c r="N10" s="12" t="n">
        <v>91906.01177600166</v>
      </c>
      <c r="O10" s="12" t="n">
        <v>90386.83547200169</v>
      </c>
      <c r="P10" s="12" t="n">
        <v>89509.35425600177</v>
      </c>
      <c r="Q10" s="12" t="n">
        <v>85965.01422400167</v>
      </c>
      <c r="R10" s="12" t="n">
        <v>50538.28045200161</v>
      </c>
      <c r="S10" s="5" t="n"/>
      <c r="T10" s="5" t="n"/>
      <c r="U10" s="5" t="n"/>
      <c r="V10" s="5" t="n"/>
      <c r="W10" s="5" t="n"/>
      <c r="X10" s="5" t="n"/>
      <c r="Y10" s="5" t="n"/>
    </row>
    <row r="11">
      <c r="A11" s="9" t="n">
        <v>2009</v>
      </c>
      <c r="B11" s="12" t="n">
        <v>997737.941828</v>
      </c>
      <c r="C11" s="12" t="n">
        <v>484158.278404</v>
      </c>
      <c r="D11" s="12" t="n">
        <v>414454.7630840001</v>
      </c>
      <c r="E11" s="12" t="n">
        <v>392343.651052</v>
      </c>
      <c r="F11" s="12" t="n">
        <v>331421.1896</v>
      </c>
      <c r="G11" s="12" t="n">
        <v>285320.646896</v>
      </c>
      <c r="H11" s="12" t="n">
        <v>257014.224</v>
      </c>
      <c r="I11" s="12" t="n">
        <v>208149.436</v>
      </c>
      <c r="J11" s="12" t="n">
        <v>170795.5188</v>
      </c>
      <c r="K11" s="12" t="n">
        <v>155299.574764</v>
      </c>
      <c r="L11" s="12" t="n">
        <v>145223.2015359998</v>
      </c>
      <c r="M11" s="12" t="n">
        <v>112199.9344199998</v>
      </c>
      <c r="N11" s="12" t="n">
        <v>56824.4907439996</v>
      </c>
      <c r="O11" s="12" t="n">
        <v>56824.4907439996</v>
      </c>
      <c r="P11" s="12" t="n">
        <v>56824.4907439996</v>
      </c>
      <c r="Q11" s="12" t="n">
        <v>56824.4907439996</v>
      </c>
      <c r="R11" s="5" t="n"/>
      <c r="S11" s="5" t="n"/>
      <c r="T11" s="5" t="n"/>
      <c r="U11" s="5" t="n"/>
      <c r="V11" s="5" t="n"/>
      <c r="W11" s="5" t="n"/>
      <c r="X11" s="5" t="n"/>
      <c r="Y11" s="5" t="n"/>
    </row>
    <row r="12">
      <c r="A12" s="9" t="n">
        <v>2010</v>
      </c>
      <c r="B12" s="12" t="n">
        <v>1117025.126776</v>
      </c>
      <c r="C12" s="12" t="n">
        <v>687497.715252</v>
      </c>
      <c r="D12" s="12" t="n">
        <v>445395.5065959999</v>
      </c>
      <c r="E12" s="12" t="n">
        <v>283727.9983999999</v>
      </c>
      <c r="F12" s="12" t="n">
        <v>183663.9444319999</v>
      </c>
      <c r="G12" s="12" t="n">
        <v>159112.892</v>
      </c>
      <c r="H12" s="12" t="n">
        <v>100339.2275999999</v>
      </c>
      <c r="I12" s="12" t="n">
        <v>98146.05239999993</v>
      </c>
      <c r="J12" s="12" t="n">
        <v>93826.22303600004</v>
      </c>
      <c r="K12" s="12" t="n">
        <v>93026.74337599962</v>
      </c>
      <c r="L12" s="12" t="n">
        <v>92384.23013599962</v>
      </c>
      <c r="M12" s="12" t="n">
        <v>92310.33253599959</v>
      </c>
      <c r="N12" s="12" t="n">
        <v>91503.5027039994</v>
      </c>
      <c r="O12" s="12" t="n">
        <v>90579.01733599952</v>
      </c>
      <c r="P12" s="12" t="n">
        <v>82976.20791599946</v>
      </c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</row>
    <row r="13">
      <c r="A13" s="9" t="n">
        <v>2011</v>
      </c>
      <c r="B13" s="12" t="n">
        <v>1680318.38412</v>
      </c>
      <c r="C13" s="12" t="n">
        <v>1205350.388244</v>
      </c>
      <c r="D13" s="12" t="n">
        <v>736378.5491999998</v>
      </c>
      <c r="E13" s="12" t="n">
        <v>637570.028652</v>
      </c>
      <c r="F13" s="12" t="n">
        <v>520981.5607999999</v>
      </c>
      <c r="G13" s="12" t="n">
        <v>385581.3635999998</v>
      </c>
      <c r="H13" s="12" t="n">
        <v>222229.3991999999</v>
      </c>
      <c r="I13" s="12" t="n">
        <v>218640.3643159997</v>
      </c>
      <c r="J13" s="12" t="n">
        <v>210332.2155000002</v>
      </c>
      <c r="K13" s="12" t="n">
        <v>196270.8878000001</v>
      </c>
      <c r="L13" s="12" t="n">
        <v>186651.0169960002</v>
      </c>
      <c r="M13" s="12" t="n">
        <v>167454.7826</v>
      </c>
      <c r="N13" s="12" t="n">
        <v>157783.8432760001</v>
      </c>
      <c r="O13" s="12" t="n">
        <v>151738.1222680002</v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</row>
    <row r="14">
      <c r="A14" s="9" t="n">
        <v>2012</v>
      </c>
      <c r="B14" s="12" t="n">
        <v>1079456.949456</v>
      </c>
      <c r="C14" s="12" t="n">
        <v>672689.7743999999</v>
      </c>
      <c r="D14" s="12" t="n">
        <v>507923.2251919999</v>
      </c>
      <c r="E14" s="12" t="n">
        <v>355696.7819999999</v>
      </c>
      <c r="F14" s="12" t="n">
        <v>346088.7743999999</v>
      </c>
      <c r="G14" s="12" t="n">
        <v>339831.2311999999</v>
      </c>
      <c r="H14" s="12" t="n">
        <v>329604.9382159999</v>
      </c>
      <c r="I14" s="12" t="n">
        <v>291085.2731800012</v>
      </c>
      <c r="J14" s="12" t="n">
        <v>259026.3565480011</v>
      </c>
      <c r="K14" s="12" t="n">
        <v>254226.3115480009</v>
      </c>
      <c r="L14" s="12" t="n">
        <v>222947.1465560012</v>
      </c>
      <c r="M14" s="12" t="n">
        <v>161691.4201240011</v>
      </c>
      <c r="N14" s="12" t="n">
        <v>113030.0616600011</v>
      </c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</row>
    <row r="15">
      <c r="A15" s="9" t="n">
        <v>2013</v>
      </c>
      <c r="B15" s="12" t="n">
        <v>586603.9300000001</v>
      </c>
      <c r="C15" s="12" t="n">
        <v>323052.269948</v>
      </c>
      <c r="D15" s="12" t="n">
        <v>244421.0932</v>
      </c>
      <c r="E15" s="12" t="n">
        <v>191564.5152</v>
      </c>
      <c r="F15" s="12" t="n">
        <v>80516.21639999992</v>
      </c>
      <c r="G15" s="12" t="n">
        <v>82357.88974799996</v>
      </c>
      <c r="H15" s="12" t="n">
        <v>82009.40978000022</v>
      </c>
      <c r="I15" s="12" t="n">
        <v>82009.40977999999</v>
      </c>
      <c r="J15" s="12" t="n">
        <v>80643.75574000017</v>
      </c>
      <c r="K15" s="12" t="n">
        <v>80643.75574000017</v>
      </c>
      <c r="L15" s="12" t="n">
        <v>80632.53914000012</v>
      </c>
      <c r="M15" s="12" t="n">
        <v>80632.53914000012</v>
      </c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</row>
    <row r="16">
      <c r="A16" s="9" t="n">
        <v>2014</v>
      </c>
      <c r="B16" s="12" t="n">
        <v>1165275.378604</v>
      </c>
      <c r="C16" s="12" t="n">
        <v>838759.5059999999</v>
      </c>
      <c r="D16" s="12" t="n">
        <v>650678.2376</v>
      </c>
      <c r="E16" s="12" t="n">
        <v>397464.1524</v>
      </c>
      <c r="F16" s="12" t="n">
        <v>318448.6553479999</v>
      </c>
      <c r="G16" s="12" t="n">
        <v>297559.5193079996</v>
      </c>
      <c r="H16" s="12" t="n">
        <v>289740.9552879997</v>
      </c>
      <c r="I16" s="12" t="n">
        <v>285919.2881199999</v>
      </c>
      <c r="J16" s="12" t="n">
        <v>277750.8453559997</v>
      </c>
      <c r="K16" s="12" t="n">
        <v>197678.5070559999</v>
      </c>
      <c r="L16" s="12" t="n">
        <v>187392.8452679999</v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</row>
    <row r="17">
      <c r="A17" s="9" t="n">
        <v>2015</v>
      </c>
      <c r="B17" s="12" t="n">
        <v>3469173.2752</v>
      </c>
      <c r="C17" s="12" t="n">
        <v>3004902.366</v>
      </c>
      <c r="D17" s="12" t="n">
        <v>2429455.1568</v>
      </c>
      <c r="E17" s="12" t="n">
        <v>1768723.756728</v>
      </c>
      <c r="F17" s="12" t="n">
        <v>1614976.118243999</v>
      </c>
      <c r="G17" s="12" t="n">
        <v>1361530.284891999</v>
      </c>
      <c r="H17" s="12" t="n">
        <v>1085916.464747999</v>
      </c>
      <c r="I17" s="12" t="n">
        <v>934657.6578439982</v>
      </c>
      <c r="J17" s="12" t="n">
        <v>892864.8041839986</v>
      </c>
      <c r="K17" s="12" t="n">
        <v>485366.8214519988</v>
      </c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</row>
    <row r="18">
      <c r="A18" s="9" t="n">
        <v>2016</v>
      </c>
      <c r="B18" s="12" t="n">
        <v>2659540.1872</v>
      </c>
      <c r="C18" s="12" t="n">
        <v>1873260.486</v>
      </c>
      <c r="D18" s="12" t="n">
        <v>1407669.871232</v>
      </c>
      <c r="E18" s="12" t="n">
        <v>1208039.476828</v>
      </c>
      <c r="F18" s="12" t="n">
        <v>1073273.096704001</v>
      </c>
      <c r="G18" s="12" t="n">
        <v>876334.4883600017</v>
      </c>
      <c r="H18" s="12" t="n">
        <v>579996.6537240013</v>
      </c>
      <c r="I18" s="12" t="n">
        <v>563973.1863920013</v>
      </c>
      <c r="J18" s="12" t="n">
        <v>536954.3236080012</v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</row>
    <row r="19">
      <c r="A19" s="9" t="n">
        <v>2017</v>
      </c>
      <c r="B19" s="12" t="n">
        <v>1151508.6568</v>
      </c>
      <c r="C19" s="12" t="n">
        <v>903370.756096</v>
      </c>
      <c r="D19" s="12" t="n">
        <v>858033.9054999996</v>
      </c>
      <c r="E19" s="12" t="n">
        <v>777593.8606599998</v>
      </c>
      <c r="F19" s="12" t="n">
        <v>715485.4746879997</v>
      </c>
      <c r="G19" s="12" t="n">
        <v>632430.9063679996</v>
      </c>
      <c r="H19" s="12" t="n">
        <v>383073.2729919995</v>
      </c>
      <c r="I19" s="12" t="n">
        <v>282349.2210839996</v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</row>
    <row r="20">
      <c r="A20" s="9" t="n">
        <v>2018</v>
      </c>
      <c r="B20" s="12" t="n">
        <v>2707908.741004</v>
      </c>
      <c r="C20" s="12" t="n">
        <v>2060207.797112</v>
      </c>
      <c r="D20" s="12" t="n">
        <v>1579605.5579</v>
      </c>
      <c r="E20" s="12" t="n">
        <v>1029224.731324</v>
      </c>
      <c r="F20" s="12" t="n">
        <v>912922.8278080001</v>
      </c>
      <c r="G20" s="12" t="n">
        <v>792478.5943239992</v>
      </c>
      <c r="H20" s="12" t="n">
        <v>657879.4866959993</v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</row>
    <row r="21">
      <c r="A21" s="9" t="n">
        <v>2019</v>
      </c>
      <c r="B21" s="12" t="n">
        <v>3090389.258336</v>
      </c>
      <c r="C21" s="12" t="n">
        <v>2606001.350644</v>
      </c>
      <c r="D21" s="12" t="n">
        <v>2025985.646656</v>
      </c>
      <c r="E21" s="12" t="n">
        <v>1778973.338359999</v>
      </c>
      <c r="F21" s="12" t="n">
        <v>1408828.63942</v>
      </c>
      <c r="G21" s="12" t="n">
        <v>984479.2855119994</v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</row>
    <row r="22">
      <c r="A22" s="9" t="n">
        <v>2020</v>
      </c>
      <c r="B22" s="12" t="n">
        <v>1255480.454716</v>
      </c>
      <c r="C22" s="12" t="n">
        <v>811308.6238400002</v>
      </c>
      <c r="D22" s="12" t="n">
        <v>679692.7359320002</v>
      </c>
      <c r="E22" s="12" t="n">
        <v>575460.5406200002</v>
      </c>
      <c r="F22" s="12" t="n">
        <v>565345.7274440002</v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</row>
    <row r="23">
      <c r="A23" s="9" t="n">
        <v>2021</v>
      </c>
      <c r="B23" s="12" t="n">
        <v>1416575.545004</v>
      </c>
      <c r="C23" s="12" t="n">
        <v>1143375.774708</v>
      </c>
      <c r="D23" s="12" t="n">
        <v>778908.41724</v>
      </c>
      <c r="E23" s="12" t="n">
        <v>715308.2366639997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</row>
    <row r="24">
      <c r="A24" s="9" t="n">
        <v>2022</v>
      </c>
      <c r="B24" s="12" t="n">
        <v>1338332.506232</v>
      </c>
      <c r="C24" s="12" t="n">
        <v>899028.824912</v>
      </c>
      <c r="D24" s="12" t="n">
        <v>854569.6798639998</v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</row>
    <row r="25">
      <c r="A25" s="9" t="n">
        <v>2023</v>
      </c>
      <c r="B25" s="12" t="n">
        <v>1479597.478036</v>
      </c>
      <c r="C25" s="12" t="n">
        <v>647622.6416439989</v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</row>
    <row r="26">
      <c r="A26" s="9" t="n">
        <v>2024</v>
      </c>
      <c r="B26" s="12" t="n">
        <v>869239.3290680002</v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</row>
  </sheetData>
  <mergeCells count="1">
    <mergeCell ref="A1:Y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0" customHeight="1">
      <c r="A1" s="1" t="inlineStr">
        <is>
          <t>Post-Method Series Diagnostics</t>
        </is>
      </c>
      <c r="B1" s="26" t="n"/>
      <c r="C1" s="26" t="n"/>
      <c r="D1" s="2" t="n"/>
    </row>
    <row r="2">
      <c r="A2" s="8" t="inlineStr">
        <is>
          <t>Accident Period</t>
        </is>
      </c>
      <c r="B2" s="8" t="inlineStr">
        <is>
          <t>Ultimate Severity</t>
        </is>
      </c>
      <c r="C2" s="8" t="inlineStr">
        <is>
          <t>Ultimate Loss Rate</t>
        </is>
      </c>
      <c r="D2" s="8" t="inlineStr">
        <is>
          <t>Ultimate Frequency</t>
        </is>
      </c>
    </row>
    <row r="3">
      <c r="A3" s="9" t="n">
        <v>2001</v>
      </c>
      <c r="B3" s="12" t="n">
        <v>4358.664226284768</v>
      </c>
      <c r="C3" s="12" t="n">
        <v>0.009653533722406221</v>
      </c>
      <c r="D3" s="12" t="n">
        <v>2.214791785104925e-06</v>
      </c>
    </row>
    <row r="4">
      <c r="A4" s="9" t="n">
        <v>2002</v>
      </c>
      <c r="B4" s="12" t="n">
        <v>3400.68253359514</v>
      </c>
      <c r="C4" s="12" t="n">
        <v>0.006869548031250423</v>
      </c>
      <c r="D4" s="12" t="n">
        <v>2.020049788060651e-06</v>
      </c>
    </row>
    <row r="5">
      <c r="A5" s="9" t="n">
        <v>2003</v>
      </c>
      <c r="B5" s="12" t="n">
        <v>3272.808499066335</v>
      </c>
      <c r="C5" s="12" t="n">
        <v>0.005484426535183615</v>
      </c>
      <c r="D5" s="12" t="n">
        <v>1.675755406021528e-06</v>
      </c>
    </row>
    <row r="6">
      <c r="A6" s="9" t="n">
        <v>2004</v>
      </c>
      <c r="B6" s="12" t="n">
        <v>1784.528110168832</v>
      </c>
      <c r="C6" s="12" t="n">
        <v>0.003415796416605317</v>
      </c>
      <c r="D6" s="12" t="n">
        <v>1.91411746172054e-06</v>
      </c>
    </row>
    <row r="7">
      <c r="A7" s="9" t="n">
        <v>2005</v>
      </c>
      <c r="B7" s="12" t="n">
        <v>3590.781578906335</v>
      </c>
      <c r="C7" s="12" t="n">
        <v>0.006724568868550637</v>
      </c>
      <c r="D7" s="12" t="n">
        <v>1.872731248275696e-06</v>
      </c>
    </row>
    <row r="8">
      <c r="A8" s="9" t="n">
        <v>2006</v>
      </c>
      <c r="B8" s="12" t="n">
        <v>3026.18404390038</v>
      </c>
      <c r="C8" s="12" t="n">
        <v>0.00430996181339542</v>
      </c>
      <c r="D8" s="12" t="n">
        <v>1.424223296029414e-06</v>
      </c>
    </row>
    <row r="9">
      <c r="A9" s="9" t="n">
        <v>2007</v>
      </c>
      <c r="B9" s="12" t="n">
        <v>10403.31304840673</v>
      </c>
      <c r="C9" s="12" t="n">
        <v>0.01390973144465143</v>
      </c>
      <c r="D9" s="12" t="n">
        <v>1.337048244143889e-06</v>
      </c>
    </row>
    <row r="10">
      <c r="A10" s="9" t="n">
        <v>2008</v>
      </c>
      <c r="B10" s="12" t="n">
        <v>4348.914176151927</v>
      </c>
      <c r="C10" s="12" t="n">
        <v>0.003932016653637117</v>
      </c>
      <c r="D10" s="12" t="n">
        <v>9.041375604050904e-07</v>
      </c>
    </row>
    <row r="11">
      <c r="A11" s="9" t="n">
        <v>2009</v>
      </c>
      <c r="B11" s="12" t="n">
        <v>3808.949562084601</v>
      </c>
      <c r="C11" s="12" t="n">
        <v>0.003308470999984196</v>
      </c>
      <c r="D11" s="12" t="n">
        <v>8.68604570907865e-07</v>
      </c>
    </row>
    <row r="12">
      <c r="A12" s="9" t="n">
        <v>2010</v>
      </c>
      <c r="B12" s="12" t="n">
        <v>5005.327692760447</v>
      </c>
      <c r="C12" s="12" t="n">
        <v>0.003598644281963471</v>
      </c>
      <c r="D12" s="12" t="n">
        <v>7.189627738396509e-07</v>
      </c>
    </row>
    <row r="13">
      <c r="A13" s="9" t="n">
        <v>2011</v>
      </c>
      <c r="B13" s="12" t="n">
        <v>5913.103546017238</v>
      </c>
      <c r="C13" s="12" t="n">
        <v>0.005301002178516053</v>
      </c>
      <c r="D13" s="12" t="n">
        <v>8.964839085367507e-07</v>
      </c>
    </row>
    <row r="14">
      <c r="A14" s="9" t="n">
        <v>2012</v>
      </c>
      <c r="B14" s="12" t="n">
        <v>5003.31804960196</v>
      </c>
      <c r="C14" s="12" t="n">
        <v>0.003323203812307844</v>
      </c>
      <c r="D14" s="12" t="n">
        <v>6.641999927572508e-07</v>
      </c>
    </row>
    <row r="15">
      <c r="A15" s="9" t="n">
        <v>2013</v>
      </c>
      <c r="B15" s="12" t="n">
        <v>2706.040290779412</v>
      </c>
      <c r="C15" s="12" t="n">
        <v>0.001966794494390927</v>
      </c>
      <c r="D15" s="12" t="n">
        <v>7.268164118223227e-07</v>
      </c>
    </row>
    <row r="16">
      <c r="A16" s="9" t="n">
        <v>2014</v>
      </c>
      <c r="B16" s="12" t="n">
        <v>3463.947041251153</v>
      </c>
      <c r="C16" s="12" t="n">
        <v>0.003853213678967491</v>
      </c>
      <c r="D16" s="12" t="n">
        <v>1.112376613464546e-06</v>
      </c>
    </row>
    <row r="17">
      <c r="A17" s="9" t="n">
        <v>2015</v>
      </c>
      <c r="B17" s="12" t="n">
        <v>11530.57604984125</v>
      </c>
      <c r="C17" s="12" t="n">
        <v>0.009221627545770753</v>
      </c>
      <c r="D17" s="12" t="n">
        <v>7.997542799171524e-07</v>
      </c>
    </row>
    <row r="18">
      <c r="A18" s="9" t="n">
        <v>2016</v>
      </c>
      <c r="B18" s="12" t="n">
        <v>7696.081601231717</v>
      </c>
      <c r="C18" s="12" t="n">
        <v>0.007043557783141743</v>
      </c>
      <c r="D18" s="12" t="n">
        <v>9.152135005967789e-07</v>
      </c>
    </row>
    <row r="19">
      <c r="A19" s="9" t="n">
        <v>2017</v>
      </c>
      <c r="B19" s="12" t="n">
        <v>4809.984323992372</v>
      </c>
      <c r="C19" s="12" t="n">
        <v>0.003426429289586313</v>
      </c>
      <c r="D19" s="12" t="n">
        <v>7.123576832662763e-07</v>
      </c>
    </row>
    <row r="20">
      <c r="A20" s="9" t="n">
        <v>2018</v>
      </c>
      <c r="B20" s="12" t="n">
        <v>9396.011539881833</v>
      </c>
      <c r="C20" s="12" t="n">
        <v>0.006892314973702959</v>
      </c>
      <c r="D20" s="12" t="n">
        <v>7.335362397596247e-07</v>
      </c>
    </row>
    <row r="21">
      <c r="A21" s="9" t="n">
        <v>2019</v>
      </c>
      <c r="B21" s="12" t="n">
        <v>9479.074213272002</v>
      </c>
      <c r="C21" s="12" t="n">
        <v>0.00747938140694903</v>
      </c>
      <c r="D21" s="12" t="n">
        <v>7.89041338707621e-07</v>
      </c>
    </row>
    <row r="22">
      <c r="A22" s="9" t="n">
        <v>2020</v>
      </c>
      <c r="B22" s="12" t="n">
        <v>4172.703275582026</v>
      </c>
      <c r="C22" s="12" t="n">
        <v>0.003344303773995948</v>
      </c>
      <c r="D22" s="12" t="n">
        <v>8.014717446040952e-07</v>
      </c>
    </row>
    <row r="23">
      <c r="A23" s="9" t="n">
        <v>2021</v>
      </c>
      <c r="B23" s="12" t="n">
        <v>5143.123839951316</v>
      </c>
      <c r="C23" s="12" t="n">
        <v>0.003595437730428377</v>
      </c>
      <c r="D23" s="12" t="n">
        <v>6.990766394733383e-07</v>
      </c>
    </row>
    <row r="24">
      <c r="A24" s="9" t="n">
        <v>2022</v>
      </c>
      <c r="B24" s="12" t="n">
        <v>5534.651880002691</v>
      </c>
      <c r="C24" s="12" t="n">
        <v>0.003431900028782714</v>
      </c>
      <c r="D24" s="12" t="n">
        <v>6.200751380918009e-07</v>
      </c>
    </row>
    <row r="25">
      <c r="A25" s="9" t="n">
        <v>2023</v>
      </c>
      <c r="B25" s="12" t="n">
        <v>6077.0119772301</v>
      </c>
      <c r="C25" s="12" t="n">
        <v>0.003775947024172865</v>
      </c>
      <c r="D25" s="12" t="n">
        <v>6.213492812456064e-07</v>
      </c>
    </row>
    <row r="26">
      <c r="A26" s="9" t="n">
        <v>2024</v>
      </c>
      <c r="B26" s="12" t="n">
        <v>4280.375747194743</v>
      </c>
      <c r="C26" s="12" t="n">
        <v>0.002454397210397609</v>
      </c>
      <c r="D26" s="12" t="n">
        <v>5.734069519495251e-07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2026-04-28T13:12:56Z</dcterms:created>
  <dcterms:modified xmlns:dcterms="http://purl.org/dc/terms/" xmlns:xsi="http://www.w3.org/2001/XMLSchema-instance" xsi:type="dcterms:W3CDTF">2026-04-28T13:13:02Z</dcterms:modified>
</cp:coreProperties>
</file>