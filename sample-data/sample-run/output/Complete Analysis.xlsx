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Loss Selection" sheetId="2" state="visible" r:id="rId2"/>
    <sheet xmlns:r="http://schemas.openxmlformats.org/officeDocument/2006/relationships" name="Incurred CL" sheetId="3" state="visible" r:id="rId3"/>
    <sheet xmlns:r="http://schemas.openxmlformats.org/officeDocument/2006/relationships" name="Paid CL" sheetId="4" state="visible" r:id="rId4"/>
    <sheet xmlns:r="http://schemas.openxmlformats.org/officeDocument/2006/relationships" name="Incurred BF" sheetId="5" state="visible" r:id="rId5"/>
    <sheet xmlns:r="http://schemas.openxmlformats.org/officeDocument/2006/relationships" name="Paid BF" sheetId="6" state="visible" r:id="rId6"/>
    <sheet xmlns:r="http://schemas.openxmlformats.org/officeDocument/2006/relationships" name="Incurred IE" sheetId="7" state="visible" r:id="rId7"/>
    <sheet xmlns:r="http://schemas.openxmlformats.org/officeDocument/2006/relationships" name="Paid IE" sheetId="8" state="visible" r:id="rId8"/>
    <sheet xmlns:r="http://schemas.openxmlformats.org/officeDocument/2006/relationships" name="Count Selection" sheetId="9" state="visible" r:id="rId9"/>
    <sheet xmlns:r="http://schemas.openxmlformats.org/officeDocument/2006/relationships" name="Closed CL" sheetId="10" state="visible" r:id="rId10"/>
    <sheet xmlns:r="http://schemas.openxmlformats.org/officeDocument/2006/relationships" name="Reported CL" sheetId="11" state="visible" r:id="rId11"/>
    <sheet xmlns:r="http://schemas.openxmlformats.org/officeDocument/2006/relationships" name="Reported BF" sheetId="12" state="visible" r:id="rId12"/>
    <sheet xmlns:r="http://schemas.openxmlformats.org/officeDocument/2006/relationships" name="Closed IE" sheetId="13" state="visible" r:id="rId13"/>
    <sheet xmlns:r="http://schemas.openxmlformats.org/officeDocument/2006/relationships" name="Reported IE" sheetId="14" state="visible" r:id="rId14"/>
    <sheet xmlns:r="http://schemas.openxmlformats.org/officeDocument/2006/relationships" name="Incurred" sheetId="15" state="visible" r:id="rId15"/>
    <sheet xmlns:r="http://schemas.openxmlformats.org/officeDocument/2006/relationships" name="Paid" sheetId="16" state="visible" r:id="rId16"/>
    <sheet xmlns:r="http://schemas.openxmlformats.org/officeDocument/2006/relationships" name="Reported" sheetId="17" state="visible" r:id="rId17"/>
    <sheet xmlns:r="http://schemas.openxmlformats.org/officeDocument/2006/relationships" name="Exposure" sheetId="18" state="visible" r:id="rId18"/>
    <sheet xmlns:r="http://schemas.openxmlformats.org/officeDocument/2006/relationships" name="Diag - Rptd Claims" sheetId="19" state="visible" r:id="rId19"/>
    <sheet xmlns:r="http://schemas.openxmlformats.org/officeDocument/2006/relationships" name="Diag - Inc Severity" sheetId="20" state="visible" r:id="rId20"/>
    <sheet xmlns:r="http://schemas.openxmlformats.org/officeDocument/2006/relationships" name="Diag - Paid to Incurred" sheetId="21" state="visible" r:id="rId21"/>
    <sheet xmlns:r="http://schemas.openxmlformats.org/officeDocument/2006/relationships" name="Diag - Incr Inc Svty" sheetId="22" state="visible" r:id="rId22"/>
    <sheet xmlns:r="http://schemas.openxmlformats.org/officeDocument/2006/relationships" name="Incurred Loss - CV &amp; Slopes" sheetId="23" state="visible" r:id="rId23"/>
    <sheet xmlns:r="http://schemas.openxmlformats.org/officeDocument/2006/relationships" name="Paid Loss - CV &amp; Slopes" sheetId="24" state="visible" r:id="rId24"/>
    <sheet xmlns:r="http://schemas.openxmlformats.org/officeDocument/2006/relationships" name="Reported Count - CV &amp; Slopes" sheetId="25" state="visible" r:id="rId25"/>
    <sheet xmlns:r="http://schemas.openxmlformats.org/officeDocument/2006/relationships" name="Incurred-to-Ult" sheetId="26" state="visible" r:id="rId26"/>
    <sheet xmlns:r="http://schemas.openxmlformats.org/officeDocument/2006/relationships" name="Paid-to-Ult" sheetId="27" state="visible" r:id="rId27"/>
    <sheet xmlns:r="http://schemas.openxmlformats.org/officeDocument/2006/relationships" name="Reported-to-Ult" sheetId="28" state="visible" r:id="rId28"/>
    <sheet xmlns:r="http://schemas.openxmlformats.org/officeDocument/2006/relationships" name="Average IBNR" sheetId="29" state="visible" r:id="rId29"/>
    <sheet xmlns:r="http://schemas.openxmlformats.org/officeDocument/2006/relationships" name="Average Unpaid" sheetId="30" state="visible" r:id="rId30"/>
    <sheet xmlns:r="http://schemas.openxmlformats.org/officeDocument/2006/relationships" name="Diagnostics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0"/>
    <numFmt numFmtId="165" formatCode="0.0%"/>
    <numFmt numFmtId="166" formatCode="0.0000"/>
    <numFmt numFmtId="167" formatCode=""/>
  </numFmts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sz val="10"/>
    </font>
    <font>
      <b val="1"/>
      <sz val="9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1F4E79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3" fontId="2" fillId="0" borderId="1" pivotButton="0" quotePrefix="0" xfId="0"/>
    <xf numFmtId="49" fontId="2" fillId="0" borderId="1" pivotButton="0" quotePrefix="0" xfId="0"/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pivotButton="0" quotePrefix="0" xfId="0"/>
    <xf numFmtId="0" fontId="0" fillId="0" borderId="2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6" fontId="2" fillId="0" borderId="1" applyAlignment="1" pivotButton="0" quotePrefix="0" xfId="0">
      <alignment horizontal="right"/>
    </xf>
    <xf numFmtId="0" fontId="1" fillId="2" borderId="1" applyAlignment="1" pivotButton="0" quotePrefix="0" xfId="0">
      <alignment horizontal="center"/>
    </xf>
    <xf numFmtId="0" fontId="4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166" fontId="2" fillId="4" borderId="1" applyAlignment="1" pivotButton="0" quotePrefix="0" xfId="0">
      <alignment horizontal="right"/>
    </xf>
    <xf numFmtId="164" fontId="2" fillId="4" borderId="1" applyAlignment="1" pivotButton="0" quotePrefix="0" xfId="0">
      <alignment horizontal="right"/>
    </xf>
    <xf numFmtId="167" fontId="4" fillId="4" borderId="1" applyAlignment="1" pivotButton="0" quotePrefix="0" xfId="0">
      <alignment horizontal="left" vertical="top" wrapText="1"/>
    </xf>
    <xf numFmtId="167" fontId="2" fillId="4" borderId="1" applyAlignment="1" pivotButton="0" quotePrefix="0" xfId="0">
      <alignment horizontal="left" vertical="top" wrapText="1"/>
    </xf>
    <xf numFmtId="164" fontId="2" fillId="0" borderId="1" pivotButton="0" quotePrefix="0" xfId="0"/>
    <xf numFmtId="1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80" customWidth="1" min="2" max="2"/>
  </cols>
  <sheetData>
    <row r="1" ht="24" customHeight="1">
      <c r="A1" s="1" t="inlineStr">
        <is>
          <t>Reserve Analysis - Complete Analysis</t>
        </is>
      </c>
      <c r="B1" s="2" t="n"/>
    </row>
    <row r="2">
      <c r="A2" s="3" t="inlineStr">
        <is>
          <t>Workbook Information</t>
        </is>
      </c>
      <c r="B2" s="2" t="n"/>
    </row>
    <row r="3">
      <c r="A3" s="4" t="inlineStr">
        <is>
          <t>Created:</t>
        </is>
      </c>
      <c r="B3" s="5" t="inlineStr">
        <is>
          <t>April 27, 2026 01:20 PM</t>
        </is>
      </c>
    </row>
    <row r="4">
      <c r="A4" s="4" t="inlineStr">
        <is>
          <t>Description:</t>
        </is>
      </c>
      <c r="B4" s="5" t="inlineStr">
        <is>
          <t>Complete actuarial reserve analysis combining selections, ultimates, and diagnostics</t>
        </is>
      </c>
    </row>
    <row r="6">
      <c r="A6" s="3" t="inlineStr">
        <is>
          <t>Table of Contents</t>
        </is>
      </c>
      <c r="B6" s="2" t="n"/>
    </row>
    <row r="7">
      <c r="A7" s="6" t="inlineStr">
        <is>
          <t>Name</t>
        </is>
      </c>
      <c r="B7" s="6" t="inlineStr">
        <is>
          <t>Description</t>
        </is>
      </c>
    </row>
    <row r="8">
      <c r="A8" s="5" t="inlineStr">
        <is>
          <t>Loss Selection</t>
        </is>
      </c>
      <c r="B8" s="7" t="inlineStr">
        <is>
          <t>Actuary-selected ultimates for loss measures. Compare CL/BF/IE methods and record final selection.</t>
        </is>
      </c>
    </row>
    <row r="9">
      <c r="A9" s="5" t="inlineStr">
        <is>
          <t>Incurred CL</t>
        </is>
      </c>
      <c r="B9" s="7" t="inlineStr">
        <is>
          <t>Chain Ladder method results. Ultimate = Actual × CDF. IBNR = Ultimate − Actual. Unpaid = Ultimate − latest paid (proxy measure).</t>
        </is>
      </c>
    </row>
    <row r="10">
      <c r="A10" s="5" t="inlineStr">
        <is>
          <t>Paid CL</t>
        </is>
      </c>
      <c r="B10" s="7" t="inlineStr">
        <is>
          <t>Chain Ladder method results. Ultimate = Actual × CDF. IBNR = Ultimate − Actual. Unpaid = Ultimate − latest paid (proxy measure).</t>
        </is>
      </c>
    </row>
    <row r="11">
      <c r="A11" s="5" t="inlineStr">
        <is>
          <t>Incurred BF</t>
        </is>
      </c>
      <c r="B11" s="7" t="inlineStr">
        <is>
          <t>Bornhuetter-Ferguson method. Blends Initial Expected with emerged experience. % Unreported = 1 − 1/CDF. Ultimate = (IE × % Unreported) + Actual.</t>
        </is>
      </c>
    </row>
    <row r="12">
      <c r="A12" s="5" t="inlineStr">
        <is>
          <t>Paid BF</t>
        </is>
      </c>
      <c r="B12" s="7" t="inlineStr">
        <is>
          <t>Bornhuetter-Ferguson method. Blends Initial Expected with emerged experience. % Unreported = 1 − 1/CDF. Ultimate = (IE × % Unreported) + Actual.</t>
        </is>
      </c>
    </row>
    <row r="13">
      <c r="A13" s="5" t="inlineStr">
        <is>
          <t>Incurred IE</t>
        </is>
      </c>
      <c r="B13" s="7" t="inlineStr">
        <is>
          <t>Initial Expected method. Ultimate = Exposure × Selected Loss Rate (ELR). ELR back-calculated from IE ultimate and exposure.</t>
        </is>
      </c>
    </row>
    <row r="14">
      <c r="A14" s="5" t="inlineStr">
        <is>
          <t>Paid IE</t>
        </is>
      </c>
      <c r="B14" s="7" t="inlineStr">
        <is>
          <t>Initial Expected method. Ultimate = Exposure × Selected Loss Rate (ELR). ELR back-calculated from IE ultimate and exposure.</t>
        </is>
      </c>
    </row>
    <row r="15">
      <c r="A15" s="5" t="inlineStr">
        <is>
          <t>Count Selection</t>
        </is>
      </c>
      <c r="B15" s="7" t="inlineStr">
        <is>
          <t>Analysis results</t>
        </is>
      </c>
    </row>
    <row r="16">
      <c r="A16" s="5" t="inlineStr">
        <is>
          <t>Closed CL</t>
        </is>
      </c>
      <c r="B16" s="7" t="inlineStr">
        <is>
          <t>Chain Ladder method results. Ultimate = Actual × CDF. IBNR = Ultimate − Actual. Unpaid = Ultimate − latest paid (proxy measure).</t>
        </is>
      </c>
    </row>
    <row r="17">
      <c r="A17" s="5" t="inlineStr">
        <is>
          <t>Reported CL</t>
        </is>
      </c>
      <c r="B17" s="7" t="inlineStr">
        <is>
          <t>Chain Ladder method results. Ultimate = Actual × CDF. IBNR = Ultimate − Actual. Unpaid = Ultimate − latest paid (proxy measure).</t>
        </is>
      </c>
    </row>
    <row r="18">
      <c r="A18" s="5" t="inlineStr">
        <is>
          <t>Reported BF</t>
        </is>
      </c>
      <c r="B18" s="7" t="inlineStr">
        <is>
          <t>Bornhuetter-Ferguson method. Blends Initial Expected with emerged experience. % Unreported = 1 − 1/CDF. Ultimate = (IE × % Unreported) + Actual.</t>
        </is>
      </c>
    </row>
    <row r="19">
      <c r="A19" s="5" t="inlineStr">
        <is>
          <t>Closed IE</t>
        </is>
      </c>
      <c r="B19" s="7" t="inlineStr">
        <is>
          <t>Initial Expected method. Ultimate = Exposure × Selected Loss Rate (ELR). ELR back-calculated from IE ultimate and exposure.</t>
        </is>
      </c>
    </row>
    <row r="20">
      <c r="A20" s="5" t="inlineStr">
        <is>
          <t>Reported IE</t>
        </is>
      </c>
      <c r="B20" s="7" t="inlineStr">
        <is>
          <t>Initial Expected method. Ultimate = Exposure × Selected Loss Rate (ELR). ELR back-calculated from IE ultimate and exposure.</t>
        </is>
      </c>
    </row>
    <row r="21">
      <c r="A21" s="5" t="inlineStr">
        <is>
          <t>Incurred</t>
        </is>
      </c>
      <c r="B21" s="7" t="inlineStr">
        <is>
          <t>Incurred development triangle with age-to-age factors, weighted/simple averages, and selected LDFs.</t>
        </is>
      </c>
    </row>
    <row r="22">
      <c r="A22" s="5" t="inlineStr">
        <is>
          <t>Paid</t>
        </is>
      </c>
      <c r="B22" s="7" t="inlineStr">
        <is>
          <t>Paid development triangle with age-to-age factors, weighted/simple averages, and selected LDFs.</t>
        </is>
      </c>
    </row>
    <row r="23">
      <c r="A23" s="5" t="inlineStr">
        <is>
          <t>Reported</t>
        </is>
      </c>
      <c r="B23" s="7" t="inlineStr">
        <is>
          <t>Reported development triangle with age-to-age factors, weighted/simple averages, and selected LDFs.</t>
        </is>
      </c>
    </row>
    <row r="24">
      <c r="A24" s="5" t="inlineStr">
        <is>
          <t>Exposure</t>
        </is>
      </c>
      <c r="B24" s="7" t="inlineStr">
        <is>
          <t>Exposure development triangle with age-to-age factors, weighted/simple averages, and selected LDFs.</t>
        </is>
      </c>
    </row>
    <row r="25">
      <c r="A25" s="5" t="inlineStr">
        <is>
          <t>Diag - Rptd Claims</t>
        </is>
      </c>
      <c r="B25" s="7" t="inlineStr">
        <is>
          <t>Diagnostic scatter plot data for development pattern review.</t>
        </is>
      </c>
    </row>
    <row r="26">
      <c r="A26" s="5" t="inlineStr">
        <is>
          <t>Diag - Inc Severity</t>
        </is>
      </c>
      <c r="B26" s="7" t="inlineStr">
        <is>
          <t>Diagnostic scatter plot data for development pattern review.</t>
        </is>
      </c>
    </row>
    <row r="27">
      <c r="A27" s="5" t="inlineStr">
        <is>
          <t>Diag - Paid to Incurred</t>
        </is>
      </c>
      <c r="B27" s="7" t="inlineStr">
        <is>
          <t>Diagnostic scatter plot data for development pattern review.</t>
        </is>
      </c>
    </row>
    <row r="28">
      <c r="A28" s="5" t="inlineStr">
        <is>
          <t>Diag - Incr Inc Svty</t>
        </is>
      </c>
      <c r="B28" s="7" t="inlineStr">
        <is>
          <t>Diagnostic scatter plot data for development pattern review.</t>
        </is>
      </c>
    </row>
    <row r="29">
      <c r="A29" s="5" t="inlineStr">
        <is>
          <t>Incurred Loss - CV &amp; Slopes</t>
        </is>
      </c>
      <c r="B29" s="7" t="inlineStr">
        <is>
          <t>Coefficient of variation and regression slope statistics for age-to-age factors by development interval.</t>
        </is>
      </c>
    </row>
    <row r="30">
      <c r="A30" s="5" t="inlineStr">
        <is>
          <t>Paid Loss - CV &amp; Slopes</t>
        </is>
      </c>
      <c r="B30" s="7" t="inlineStr">
        <is>
          <t>Coefficient of variation and regression slope statistics for age-to-age factors by development interval.</t>
        </is>
      </c>
    </row>
    <row r="31">
      <c r="A31" s="5" t="inlineStr">
        <is>
          <t>Reported Count - CV &amp; Slopes</t>
        </is>
      </c>
      <c r="B31" s="7" t="inlineStr">
        <is>
          <t>Coefficient of variation and regression slope statistics for age-to-age factors by development interval.</t>
        </is>
      </c>
    </row>
    <row r="32">
      <c r="A32" s="5" t="inlineStr">
        <is>
          <t>Incurred-to-Ult</t>
        </is>
      </c>
      <c r="B32" s="7" t="inlineStr">
        <is>
          <t>Incurred loss as a percent of selected ultimate by age. Values approach 1.0 as periods mature.</t>
        </is>
      </c>
    </row>
    <row r="33">
      <c r="A33" s="5" t="inlineStr">
        <is>
          <t>Paid-to-Ult</t>
        </is>
      </c>
      <c r="B33" s="7" t="inlineStr">
        <is>
          <t>Paid loss as a percent of selected ultimate by age. Values approach 1.0 as periods mature.</t>
        </is>
      </c>
    </row>
    <row r="34">
      <c r="A34" s="5" t="inlineStr">
        <is>
          <t>Reported-to-Ult</t>
        </is>
      </c>
      <c r="B34" s="7" t="inlineStr">
        <is>
          <t>Reported count as a percent of selected ultimate by age. Values approach 1.0 as periods mature.</t>
        </is>
      </c>
    </row>
    <row r="35">
      <c r="A35" s="5" t="inlineStr">
        <is>
          <t>Average IBNR</t>
        </is>
      </c>
      <c r="B35" s="7" t="inlineStr">
        <is>
          <t>Selected Ultimate minus Incurred at each development age. Shows average reserve need remaining by age.</t>
        </is>
      </c>
    </row>
    <row r="36">
      <c r="A36" s="5" t="inlineStr">
        <is>
          <t>Average Unpaid</t>
        </is>
      </c>
      <c r="B36" s="7" t="inlineStr">
        <is>
          <t>Selected Ultimate minus Paid at each development age. Shows average unpaid reserve remaining by age.</t>
        </is>
      </c>
    </row>
    <row r="37">
      <c r="A37" s="5" t="inlineStr">
        <is>
          <t>Diagnostics</t>
        </is>
      </c>
      <c r="B37" s="7" t="inlineStr">
        <is>
          <t>Post-selection reasonableness checks. Severity = Ultimate Loss / Ultimate Count. Loss Rate and Frequency require Exposure.</t>
        </is>
      </c>
    </row>
  </sheetData>
  <mergeCells count="5">
    <mergeCell ref="B4"/>
    <mergeCell ref="A2:B2"/>
    <mergeCell ref="A1:B1"/>
    <mergeCell ref="B3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40" customWidth="1" min="13" max="13"/>
  </cols>
  <sheetData>
    <row r="1">
      <c r="A1" s="8" t="inlineStr">
        <is>
          <t>Accident Period</t>
        </is>
      </c>
      <c r="B1" s="8" t="inlineStr">
        <is>
          <t>Current Age</t>
        </is>
      </c>
      <c r="C1" s="8" t="inlineStr">
        <is>
          <t>Incurred</t>
        </is>
      </c>
      <c r="D1" s="8" t="inlineStr">
        <is>
          <t>Paid</t>
        </is>
      </c>
      <c r="E1" s="8" t="inlineStr">
        <is>
          <t>Incurred CL</t>
        </is>
      </c>
      <c r="F1" s="8" t="inlineStr">
        <is>
          <t>Paid CL</t>
        </is>
      </c>
      <c r="G1" s="8" t="inlineStr">
        <is>
          <t>Initial Expected</t>
        </is>
      </c>
      <c r="H1" s="8" t="inlineStr">
        <is>
          <t>Incurred BF</t>
        </is>
      </c>
      <c r="I1" s="8" t="inlineStr">
        <is>
          <t>Paid BF</t>
        </is>
      </c>
      <c r="J1" s="8" t="inlineStr">
        <is>
          <t>Selected Ultimate</t>
        </is>
      </c>
      <c r="K1" s="8" t="inlineStr">
        <is>
          <t>IBNR</t>
        </is>
      </c>
      <c r="L1" s="8" t="inlineStr">
        <is>
          <t>Unpaid</t>
        </is>
      </c>
      <c r="M1" s="8" t="inlineStr">
        <is>
          <t>Selected Reasoning</t>
        </is>
      </c>
    </row>
    <row r="2">
      <c r="A2" s="9" t="n">
        <v>2001</v>
      </c>
      <c r="B2" s="9" t="n">
        <v>287</v>
      </c>
      <c r="C2" s="10">
        <f>'Incurred CL'!C2</f>
        <v/>
      </c>
      <c r="D2" s="10">
        <f>'Paid CL'!C2</f>
        <v/>
      </c>
      <c r="E2" s="10">
        <f>'Incurred CL'!E2</f>
        <v/>
      </c>
      <c r="F2" s="10">
        <f>'Paid CL'!E2</f>
        <v/>
      </c>
      <c r="G2" s="10">
        <f>'[Ultimates.xlsx]Losses'!G2</f>
        <v/>
      </c>
      <c r="H2" s="10">
        <f>'Incurred BF'!H2</f>
        <v/>
      </c>
      <c r="I2" s="10">
        <f>'Paid BF'!H2</f>
        <v/>
      </c>
      <c r="J2" s="10">
        <f>IFERROR(IF(INDEX('[Ultimates.xlsx]Losses'!$A:$Z,2,MATCH("User Selection",'[Ultimates.xlsx]Losses'!$1:$1,0))&lt;&gt;"",INDEX('[Ultimates.xlsx]Losses'!$A:$Z,2,MATCH("User Selection",'[Ultimates.xlsx]Losses'!$1:$1,0)),INDEX('[Ultimates.xlsx]Losses'!$A:$Z,2,MATCH("Rules-Based AI Selection",'[Ultimates.xlsx]Losses'!$1:$1,0))),"")</f>
        <v/>
      </c>
      <c r="K2" s="10">
        <f>J2-C2</f>
        <v/>
      </c>
      <c r="L2" s="10">
        <f>J2-D2</f>
        <v/>
      </c>
      <c r="M2" s="11">
        <f>IFERROR(IF(INDEX('[Ultimates.xlsx]Losses'!$A:$Z,2,MATCH("User Selection",'[Ultimates.xlsx]Losses'!$1:$1,0))&lt;&gt;"",INDEX('[Ultimates.xlsx]Losses'!$A:$Z,2,MATCH("User Reasoning",'[Ultimates.xlsx]Losses'!$1:$1,0)),INDEX('[Ultimates.xlsx]Losses'!$A:$Z,2,MATCH("Rules-Based AI Reasoning",'[Ultimates.xlsx]Losses'!$1:$1,0))),"")</f>
        <v/>
      </c>
    </row>
    <row r="3">
      <c r="A3" s="9" t="n">
        <v>2002</v>
      </c>
      <c r="B3" s="9" t="n">
        <v>275</v>
      </c>
      <c r="C3" s="10">
        <f>'Incurred CL'!C3</f>
        <v/>
      </c>
      <c r="D3" s="10">
        <f>'Paid CL'!C3</f>
        <v/>
      </c>
      <c r="E3" s="10">
        <f>'Incurred CL'!E3</f>
        <v/>
      </c>
      <c r="F3" s="10">
        <f>'Paid CL'!E3</f>
        <v/>
      </c>
      <c r="G3" s="10">
        <f>'[Ultimates.xlsx]Losses'!G3</f>
        <v/>
      </c>
      <c r="H3" s="10">
        <f>'Incurred BF'!H3</f>
        <v/>
      </c>
      <c r="I3" s="10">
        <f>'Paid BF'!H3</f>
        <v/>
      </c>
      <c r="J3" s="10">
        <f>IFERROR(IF(INDEX('[Ultimates.xlsx]Losses'!$A:$Z,3,MATCH("User Selection",'[Ultimates.xlsx]Losses'!$1:$1,0))&lt;&gt;"",INDEX('[Ultimates.xlsx]Losses'!$A:$Z,3,MATCH("User Selection",'[Ultimates.xlsx]Losses'!$1:$1,0)),INDEX('[Ultimates.xlsx]Losses'!$A:$Z,3,MATCH("Rules-Based AI Selection",'[Ultimates.xlsx]Losses'!$1:$1,0))),"")</f>
        <v/>
      </c>
      <c r="K3" s="10">
        <f>J3-C3</f>
        <v/>
      </c>
      <c r="L3" s="10">
        <f>J3-D3</f>
        <v/>
      </c>
      <c r="M3" s="11">
        <f>IFERROR(IF(INDEX('[Ultimates.xlsx]Losses'!$A:$Z,3,MATCH("User Selection",'[Ultimates.xlsx]Losses'!$1:$1,0))&lt;&gt;"",INDEX('[Ultimates.xlsx]Losses'!$A:$Z,3,MATCH("User Reasoning",'[Ultimates.xlsx]Losses'!$1:$1,0)),INDEX('[Ultimates.xlsx]Losses'!$A:$Z,3,MATCH("Rules-Based AI Reasoning",'[Ultimates.xlsx]Losses'!$1:$1,0))),"")</f>
        <v/>
      </c>
    </row>
    <row r="4">
      <c r="A4" s="9" t="n">
        <v>2003</v>
      </c>
      <c r="B4" s="9" t="n">
        <v>263</v>
      </c>
      <c r="C4" s="10">
        <f>'Incurred CL'!C4</f>
        <v/>
      </c>
      <c r="D4" s="10">
        <f>'Paid CL'!C4</f>
        <v/>
      </c>
      <c r="E4" s="10">
        <f>'Incurred CL'!E4</f>
        <v/>
      </c>
      <c r="F4" s="10">
        <f>'Paid CL'!E4</f>
        <v/>
      </c>
      <c r="G4" s="10">
        <f>'[Ultimates.xlsx]Losses'!G4</f>
        <v/>
      </c>
      <c r="H4" s="10">
        <f>'Incurred BF'!H4</f>
        <v/>
      </c>
      <c r="I4" s="10">
        <f>'Paid BF'!H4</f>
        <v/>
      </c>
      <c r="J4" s="10">
        <f>IFERROR(IF(INDEX('[Ultimates.xlsx]Losses'!$A:$Z,4,MATCH("User Selection",'[Ultimates.xlsx]Losses'!$1:$1,0))&lt;&gt;"",INDEX('[Ultimates.xlsx]Losses'!$A:$Z,4,MATCH("User Selection",'[Ultimates.xlsx]Losses'!$1:$1,0)),INDEX('[Ultimates.xlsx]Losses'!$A:$Z,4,MATCH("Rules-Based AI Selection",'[Ultimates.xlsx]Losses'!$1:$1,0))),"")</f>
        <v/>
      </c>
      <c r="K4" s="10">
        <f>J4-C4</f>
        <v/>
      </c>
      <c r="L4" s="10">
        <f>J4-D4</f>
        <v/>
      </c>
      <c r="M4" s="11">
        <f>IFERROR(IF(INDEX('[Ultimates.xlsx]Losses'!$A:$Z,4,MATCH("User Selection",'[Ultimates.xlsx]Losses'!$1:$1,0))&lt;&gt;"",INDEX('[Ultimates.xlsx]Losses'!$A:$Z,4,MATCH("User Reasoning",'[Ultimates.xlsx]Losses'!$1:$1,0)),INDEX('[Ultimates.xlsx]Losses'!$A:$Z,4,MATCH("Rules-Based AI Reasoning",'[Ultimates.xlsx]Losses'!$1:$1,0))),"")</f>
        <v/>
      </c>
    </row>
    <row r="5">
      <c r="A5" s="9" t="n">
        <v>2004</v>
      </c>
      <c r="B5" s="9" t="n">
        <v>251</v>
      </c>
      <c r="C5" s="10">
        <f>'Incurred CL'!C5</f>
        <v/>
      </c>
      <c r="D5" s="10">
        <f>'Paid CL'!C5</f>
        <v/>
      </c>
      <c r="E5" s="10">
        <f>'Incurred CL'!E5</f>
        <v/>
      </c>
      <c r="F5" s="10">
        <f>'Paid CL'!E5</f>
        <v/>
      </c>
      <c r="G5" s="10">
        <f>'[Ultimates.xlsx]Losses'!G5</f>
        <v/>
      </c>
      <c r="H5" s="10">
        <f>'Incurred BF'!H5</f>
        <v/>
      </c>
      <c r="I5" s="10">
        <f>'Paid BF'!H5</f>
        <v/>
      </c>
      <c r="J5" s="10">
        <f>IFERROR(IF(INDEX('[Ultimates.xlsx]Losses'!$A:$Z,5,MATCH("User Selection",'[Ultimates.xlsx]Losses'!$1:$1,0))&lt;&gt;"",INDEX('[Ultimates.xlsx]Losses'!$A:$Z,5,MATCH("User Selection",'[Ultimates.xlsx]Losses'!$1:$1,0)),INDEX('[Ultimates.xlsx]Losses'!$A:$Z,5,MATCH("Rules-Based AI Selection",'[Ultimates.xlsx]Losses'!$1:$1,0))),"")</f>
        <v/>
      </c>
      <c r="K5" s="10">
        <f>J5-C5</f>
        <v/>
      </c>
      <c r="L5" s="10">
        <f>J5-D5</f>
        <v/>
      </c>
      <c r="M5" s="11">
        <f>IFERROR(IF(INDEX('[Ultimates.xlsx]Losses'!$A:$Z,5,MATCH("User Selection",'[Ultimates.xlsx]Losses'!$1:$1,0))&lt;&gt;"",INDEX('[Ultimates.xlsx]Losses'!$A:$Z,5,MATCH("User Reasoning",'[Ultimates.xlsx]Losses'!$1:$1,0)),INDEX('[Ultimates.xlsx]Losses'!$A:$Z,5,MATCH("Rules-Based AI Reasoning",'[Ultimates.xlsx]Losses'!$1:$1,0))),"")</f>
        <v/>
      </c>
    </row>
    <row r="6">
      <c r="A6" s="9" t="n">
        <v>2005</v>
      </c>
      <c r="B6" s="9" t="n">
        <v>239</v>
      </c>
      <c r="C6" s="10">
        <f>'Incurred CL'!C6</f>
        <v/>
      </c>
      <c r="D6" s="10">
        <f>'Paid CL'!C6</f>
        <v/>
      </c>
      <c r="E6" s="10">
        <f>'Incurred CL'!E6</f>
        <v/>
      </c>
      <c r="F6" s="10">
        <f>'Paid CL'!E6</f>
        <v/>
      </c>
      <c r="G6" s="10">
        <f>'[Ultimates.xlsx]Losses'!G6</f>
        <v/>
      </c>
      <c r="H6" s="10">
        <f>'Incurred BF'!H6</f>
        <v/>
      </c>
      <c r="I6" s="10">
        <f>'Paid BF'!H6</f>
        <v/>
      </c>
      <c r="J6" s="10">
        <f>IFERROR(IF(INDEX('[Ultimates.xlsx]Losses'!$A:$Z,6,MATCH("User Selection",'[Ultimates.xlsx]Losses'!$1:$1,0))&lt;&gt;"",INDEX('[Ultimates.xlsx]Losses'!$A:$Z,6,MATCH("User Selection",'[Ultimates.xlsx]Losses'!$1:$1,0)),INDEX('[Ultimates.xlsx]Losses'!$A:$Z,6,MATCH("Rules-Based AI Selection",'[Ultimates.xlsx]Losses'!$1:$1,0))),"")</f>
        <v/>
      </c>
      <c r="K6" s="10">
        <f>J6-C6</f>
        <v/>
      </c>
      <c r="L6" s="10">
        <f>J6-D6</f>
        <v/>
      </c>
      <c r="M6" s="11">
        <f>IFERROR(IF(INDEX('[Ultimates.xlsx]Losses'!$A:$Z,6,MATCH("User Selection",'[Ultimates.xlsx]Losses'!$1:$1,0))&lt;&gt;"",INDEX('[Ultimates.xlsx]Losses'!$A:$Z,6,MATCH("User Reasoning",'[Ultimates.xlsx]Losses'!$1:$1,0)),INDEX('[Ultimates.xlsx]Losses'!$A:$Z,6,MATCH("Rules-Based AI Reasoning",'[Ultimates.xlsx]Losses'!$1:$1,0))),"")</f>
        <v/>
      </c>
    </row>
    <row r="7">
      <c r="A7" s="9" t="n">
        <v>2006</v>
      </c>
      <c r="B7" s="9" t="n">
        <v>227</v>
      </c>
      <c r="C7" s="10">
        <f>'Incurred CL'!C7</f>
        <v/>
      </c>
      <c r="D7" s="10">
        <f>'Paid CL'!C7</f>
        <v/>
      </c>
      <c r="E7" s="10">
        <f>'Incurred CL'!E7</f>
        <v/>
      </c>
      <c r="F7" s="10">
        <f>'Paid CL'!E7</f>
        <v/>
      </c>
      <c r="G7" s="10">
        <f>'[Ultimates.xlsx]Losses'!G7</f>
        <v/>
      </c>
      <c r="H7" s="10">
        <f>'Incurred BF'!H7</f>
        <v/>
      </c>
      <c r="I7" s="10">
        <f>'Paid BF'!H7</f>
        <v/>
      </c>
      <c r="J7" s="10">
        <f>IFERROR(IF(INDEX('[Ultimates.xlsx]Losses'!$A:$Z,7,MATCH("User Selection",'[Ultimates.xlsx]Losses'!$1:$1,0))&lt;&gt;"",INDEX('[Ultimates.xlsx]Losses'!$A:$Z,7,MATCH("User Selection",'[Ultimates.xlsx]Losses'!$1:$1,0)),INDEX('[Ultimates.xlsx]Losses'!$A:$Z,7,MATCH("Rules-Based AI Selection",'[Ultimates.xlsx]Losses'!$1:$1,0))),"")</f>
        <v/>
      </c>
      <c r="K7" s="10">
        <f>J7-C7</f>
        <v/>
      </c>
      <c r="L7" s="10">
        <f>J7-D7</f>
        <v/>
      </c>
      <c r="M7" s="11">
        <f>IFERROR(IF(INDEX('[Ultimates.xlsx]Losses'!$A:$Z,7,MATCH("User Selection",'[Ultimates.xlsx]Losses'!$1:$1,0))&lt;&gt;"",INDEX('[Ultimates.xlsx]Losses'!$A:$Z,7,MATCH("User Reasoning",'[Ultimates.xlsx]Losses'!$1:$1,0)),INDEX('[Ultimates.xlsx]Losses'!$A:$Z,7,MATCH("Rules-Based AI Reasoning",'[Ultimates.xlsx]Losses'!$1:$1,0))),"")</f>
        <v/>
      </c>
    </row>
    <row r="8">
      <c r="A8" s="9" t="n">
        <v>2007</v>
      </c>
      <c r="B8" s="9" t="n">
        <v>215</v>
      </c>
      <c r="C8" s="10">
        <f>'Incurred CL'!C8</f>
        <v/>
      </c>
      <c r="D8" s="10">
        <f>'Paid CL'!C8</f>
        <v/>
      </c>
      <c r="E8" s="10">
        <f>'Incurred CL'!E8</f>
        <v/>
      </c>
      <c r="F8" s="10">
        <f>'Paid CL'!E8</f>
        <v/>
      </c>
      <c r="G8" s="10">
        <f>'[Ultimates.xlsx]Losses'!G8</f>
        <v/>
      </c>
      <c r="H8" s="10">
        <f>'Incurred BF'!H8</f>
        <v/>
      </c>
      <c r="I8" s="10">
        <f>'Paid BF'!H8</f>
        <v/>
      </c>
      <c r="J8" s="10">
        <f>IFERROR(IF(INDEX('[Ultimates.xlsx]Losses'!$A:$Z,8,MATCH("User Selection",'[Ultimates.xlsx]Losses'!$1:$1,0))&lt;&gt;"",INDEX('[Ultimates.xlsx]Losses'!$A:$Z,8,MATCH("User Selection",'[Ultimates.xlsx]Losses'!$1:$1,0)),INDEX('[Ultimates.xlsx]Losses'!$A:$Z,8,MATCH("Rules-Based AI Selection",'[Ultimates.xlsx]Losses'!$1:$1,0))),"")</f>
        <v/>
      </c>
      <c r="K8" s="10">
        <f>J8-C8</f>
        <v/>
      </c>
      <c r="L8" s="10">
        <f>J8-D8</f>
        <v/>
      </c>
      <c r="M8" s="11">
        <f>IFERROR(IF(INDEX('[Ultimates.xlsx]Losses'!$A:$Z,8,MATCH("User Selection",'[Ultimates.xlsx]Losses'!$1:$1,0))&lt;&gt;"",INDEX('[Ultimates.xlsx]Losses'!$A:$Z,8,MATCH("User Reasoning",'[Ultimates.xlsx]Losses'!$1:$1,0)),INDEX('[Ultimates.xlsx]Losses'!$A:$Z,8,MATCH("Rules-Based AI Reasoning",'[Ultimates.xlsx]Losses'!$1:$1,0))),"")</f>
        <v/>
      </c>
    </row>
    <row r="9">
      <c r="A9" s="9" t="n">
        <v>2008</v>
      </c>
      <c r="B9" s="9" t="n">
        <v>203</v>
      </c>
      <c r="C9" s="10">
        <f>'Incurred CL'!C9</f>
        <v/>
      </c>
      <c r="D9" s="10">
        <f>'Paid CL'!C9</f>
        <v/>
      </c>
      <c r="E9" s="10">
        <f>'Incurred CL'!E9</f>
        <v/>
      </c>
      <c r="F9" s="10">
        <f>'Paid CL'!E9</f>
        <v/>
      </c>
      <c r="G9" s="10">
        <f>'[Ultimates.xlsx]Losses'!G9</f>
        <v/>
      </c>
      <c r="H9" s="10">
        <f>'Incurred BF'!H9</f>
        <v/>
      </c>
      <c r="I9" s="10">
        <f>'Paid BF'!H9</f>
        <v/>
      </c>
      <c r="J9" s="10">
        <f>IFERROR(IF(INDEX('[Ultimates.xlsx]Losses'!$A:$Z,9,MATCH("User Selection",'[Ultimates.xlsx]Losses'!$1:$1,0))&lt;&gt;"",INDEX('[Ultimates.xlsx]Losses'!$A:$Z,9,MATCH("User Selection",'[Ultimates.xlsx]Losses'!$1:$1,0)),INDEX('[Ultimates.xlsx]Losses'!$A:$Z,9,MATCH("Rules-Based AI Selection",'[Ultimates.xlsx]Losses'!$1:$1,0))),"")</f>
        <v/>
      </c>
      <c r="K9" s="10">
        <f>J9-C9</f>
        <v/>
      </c>
      <c r="L9" s="10">
        <f>J9-D9</f>
        <v/>
      </c>
      <c r="M9" s="11">
        <f>IFERROR(IF(INDEX('[Ultimates.xlsx]Losses'!$A:$Z,9,MATCH("User Selection",'[Ultimates.xlsx]Losses'!$1:$1,0))&lt;&gt;"",INDEX('[Ultimates.xlsx]Losses'!$A:$Z,9,MATCH("User Reasoning",'[Ultimates.xlsx]Losses'!$1:$1,0)),INDEX('[Ultimates.xlsx]Losses'!$A:$Z,9,MATCH("Rules-Based AI Reasoning",'[Ultimates.xlsx]Losses'!$1:$1,0))),"")</f>
        <v/>
      </c>
    </row>
    <row r="10">
      <c r="A10" s="9" t="n">
        <v>2009</v>
      </c>
      <c r="B10" s="9" t="n">
        <v>191</v>
      </c>
      <c r="C10" s="10">
        <f>'Incurred CL'!C10</f>
        <v/>
      </c>
      <c r="D10" s="10">
        <f>'Paid CL'!C10</f>
        <v/>
      </c>
      <c r="E10" s="10">
        <f>'Incurred CL'!E10</f>
        <v/>
      </c>
      <c r="F10" s="10">
        <f>'Paid CL'!E10</f>
        <v/>
      </c>
      <c r="G10" s="10">
        <f>'[Ultimates.xlsx]Losses'!G10</f>
        <v/>
      </c>
      <c r="H10" s="10">
        <f>'Incurred BF'!H10</f>
        <v/>
      </c>
      <c r="I10" s="10">
        <f>'Paid BF'!H10</f>
        <v/>
      </c>
      <c r="J10" s="10">
        <f>IFERROR(IF(INDEX('[Ultimates.xlsx]Losses'!$A:$Z,10,MATCH("User Selection",'[Ultimates.xlsx]Losses'!$1:$1,0))&lt;&gt;"",INDEX('[Ultimates.xlsx]Losses'!$A:$Z,10,MATCH("User Selection",'[Ultimates.xlsx]Losses'!$1:$1,0)),INDEX('[Ultimates.xlsx]Losses'!$A:$Z,10,MATCH("Rules-Based AI Selection",'[Ultimates.xlsx]Losses'!$1:$1,0))),"")</f>
        <v/>
      </c>
      <c r="K10" s="10">
        <f>J10-C10</f>
        <v/>
      </c>
      <c r="L10" s="10">
        <f>J10-D10</f>
        <v/>
      </c>
      <c r="M10" s="11">
        <f>IFERROR(IF(INDEX('[Ultimates.xlsx]Losses'!$A:$Z,10,MATCH("User Selection",'[Ultimates.xlsx]Losses'!$1:$1,0))&lt;&gt;"",INDEX('[Ultimates.xlsx]Losses'!$A:$Z,10,MATCH("User Reasoning",'[Ultimates.xlsx]Losses'!$1:$1,0)),INDEX('[Ultimates.xlsx]Losses'!$A:$Z,10,MATCH("Rules-Based AI Reasoning",'[Ultimates.xlsx]Losses'!$1:$1,0))),"")</f>
        <v/>
      </c>
    </row>
    <row r="11">
      <c r="A11" s="9" t="n">
        <v>2010</v>
      </c>
      <c r="B11" s="9" t="n">
        <v>179</v>
      </c>
      <c r="C11" s="10">
        <f>'Incurred CL'!C11</f>
        <v/>
      </c>
      <c r="D11" s="10">
        <f>'Paid CL'!C11</f>
        <v/>
      </c>
      <c r="E11" s="10">
        <f>'Incurred CL'!E11</f>
        <v/>
      </c>
      <c r="F11" s="10">
        <f>'Paid CL'!E11</f>
        <v/>
      </c>
      <c r="G11" s="10">
        <f>'[Ultimates.xlsx]Losses'!G11</f>
        <v/>
      </c>
      <c r="H11" s="10">
        <f>'Incurred BF'!H11</f>
        <v/>
      </c>
      <c r="I11" s="10">
        <f>'Paid BF'!H11</f>
        <v/>
      </c>
      <c r="J11" s="10">
        <f>IFERROR(IF(INDEX('[Ultimates.xlsx]Losses'!$A:$Z,11,MATCH("User Selection",'[Ultimates.xlsx]Losses'!$1:$1,0))&lt;&gt;"",INDEX('[Ultimates.xlsx]Losses'!$A:$Z,11,MATCH("User Selection",'[Ultimates.xlsx]Losses'!$1:$1,0)),INDEX('[Ultimates.xlsx]Losses'!$A:$Z,11,MATCH("Rules-Based AI Selection",'[Ultimates.xlsx]Losses'!$1:$1,0))),"")</f>
        <v/>
      </c>
      <c r="K11" s="10">
        <f>J11-C11</f>
        <v/>
      </c>
      <c r="L11" s="10">
        <f>J11-D11</f>
        <v/>
      </c>
      <c r="M11" s="11">
        <f>IFERROR(IF(INDEX('[Ultimates.xlsx]Losses'!$A:$Z,11,MATCH("User Selection",'[Ultimates.xlsx]Losses'!$1:$1,0))&lt;&gt;"",INDEX('[Ultimates.xlsx]Losses'!$A:$Z,11,MATCH("User Reasoning",'[Ultimates.xlsx]Losses'!$1:$1,0)),INDEX('[Ultimates.xlsx]Losses'!$A:$Z,11,MATCH("Rules-Based AI Reasoning",'[Ultimates.xlsx]Losses'!$1:$1,0))),"")</f>
        <v/>
      </c>
    </row>
    <row r="12">
      <c r="A12" s="9" t="n">
        <v>2011</v>
      </c>
      <c r="B12" s="9" t="n">
        <v>167</v>
      </c>
      <c r="C12" s="10">
        <f>'Incurred CL'!C12</f>
        <v/>
      </c>
      <c r="D12" s="10">
        <f>'Paid CL'!C12</f>
        <v/>
      </c>
      <c r="E12" s="10">
        <f>'Incurred CL'!E12</f>
        <v/>
      </c>
      <c r="F12" s="10">
        <f>'Paid CL'!E12</f>
        <v/>
      </c>
      <c r="G12" s="10">
        <f>'[Ultimates.xlsx]Losses'!G12</f>
        <v/>
      </c>
      <c r="H12" s="10">
        <f>'Incurred BF'!H12</f>
        <v/>
      </c>
      <c r="I12" s="10">
        <f>'Paid BF'!H12</f>
        <v/>
      </c>
      <c r="J12" s="10">
        <f>IFERROR(IF(INDEX('[Ultimates.xlsx]Losses'!$A:$Z,12,MATCH("User Selection",'[Ultimates.xlsx]Losses'!$1:$1,0))&lt;&gt;"",INDEX('[Ultimates.xlsx]Losses'!$A:$Z,12,MATCH("User Selection",'[Ultimates.xlsx]Losses'!$1:$1,0)),INDEX('[Ultimates.xlsx]Losses'!$A:$Z,12,MATCH("Rules-Based AI Selection",'[Ultimates.xlsx]Losses'!$1:$1,0))),"")</f>
        <v/>
      </c>
      <c r="K12" s="10">
        <f>J12-C12</f>
        <v/>
      </c>
      <c r="L12" s="10">
        <f>J12-D12</f>
        <v/>
      </c>
      <c r="M12" s="11">
        <f>IFERROR(IF(INDEX('[Ultimates.xlsx]Losses'!$A:$Z,12,MATCH("User Selection",'[Ultimates.xlsx]Losses'!$1:$1,0))&lt;&gt;"",INDEX('[Ultimates.xlsx]Losses'!$A:$Z,12,MATCH("User Reasoning",'[Ultimates.xlsx]Losses'!$1:$1,0)),INDEX('[Ultimates.xlsx]Losses'!$A:$Z,12,MATCH("Rules-Based AI Reasoning",'[Ultimates.xlsx]Losses'!$1:$1,0))),"")</f>
        <v/>
      </c>
    </row>
    <row r="13">
      <c r="A13" s="9" t="n">
        <v>2012</v>
      </c>
      <c r="B13" s="9" t="n">
        <v>155</v>
      </c>
      <c r="C13" s="10">
        <f>'Incurred CL'!C13</f>
        <v/>
      </c>
      <c r="D13" s="10">
        <f>'Paid CL'!C13</f>
        <v/>
      </c>
      <c r="E13" s="10">
        <f>'Incurred CL'!E13</f>
        <v/>
      </c>
      <c r="F13" s="10">
        <f>'Paid CL'!E13</f>
        <v/>
      </c>
      <c r="G13" s="10">
        <f>'[Ultimates.xlsx]Losses'!G13</f>
        <v/>
      </c>
      <c r="H13" s="10">
        <f>'Incurred BF'!H13</f>
        <v/>
      </c>
      <c r="I13" s="10">
        <f>'Paid BF'!H13</f>
        <v/>
      </c>
      <c r="J13" s="10">
        <f>IFERROR(IF(INDEX('[Ultimates.xlsx]Losses'!$A:$Z,13,MATCH("User Selection",'[Ultimates.xlsx]Losses'!$1:$1,0))&lt;&gt;"",INDEX('[Ultimates.xlsx]Losses'!$A:$Z,13,MATCH("User Selection",'[Ultimates.xlsx]Losses'!$1:$1,0)),INDEX('[Ultimates.xlsx]Losses'!$A:$Z,13,MATCH("Rules-Based AI Selection",'[Ultimates.xlsx]Losses'!$1:$1,0))),"")</f>
        <v/>
      </c>
      <c r="K13" s="10">
        <f>J13-C13</f>
        <v/>
      </c>
      <c r="L13" s="10">
        <f>J13-D13</f>
        <v/>
      </c>
      <c r="M13" s="11">
        <f>IFERROR(IF(INDEX('[Ultimates.xlsx]Losses'!$A:$Z,13,MATCH("User Selection",'[Ultimates.xlsx]Losses'!$1:$1,0))&lt;&gt;"",INDEX('[Ultimates.xlsx]Losses'!$A:$Z,13,MATCH("User Reasoning",'[Ultimates.xlsx]Losses'!$1:$1,0)),INDEX('[Ultimates.xlsx]Losses'!$A:$Z,13,MATCH("Rules-Based AI Reasoning",'[Ultimates.xlsx]Losses'!$1:$1,0))),"")</f>
        <v/>
      </c>
    </row>
    <row r="14">
      <c r="A14" s="9" t="n">
        <v>2013</v>
      </c>
      <c r="B14" s="9" t="n">
        <v>143</v>
      </c>
      <c r="C14" s="10">
        <f>'Incurred CL'!C14</f>
        <v/>
      </c>
      <c r="D14" s="10">
        <f>'Paid CL'!C14</f>
        <v/>
      </c>
      <c r="E14" s="10">
        <f>'Incurred CL'!E14</f>
        <v/>
      </c>
      <c r="F14" s="10">
        <f>'Paid CL'!E14</f>
        <v/>
      </c>
      <c r="G14" s="10">
        <f>'[Ultimates.xlsx]Losses'!G14</f>
        <v/>
      </c>
      <c r="H14" s="10">
        <f>'Incurred BF'!H14</f>
        <v/>
      </c>
      <c r="I14" s="10">
        <f>'Paid BF'!H14</f>
        <v/>
      </c>
      <c r="J14" s="10">
        <f>IFERROR(IF(INDEX('[Ultimates.xlsx]Losses'!$A:$Z,14,MATCH("User Selection",'[Ultimates.xlsx]Losses'!$1:$1,0))&lt;&gt;"",INDEX('[Ultimates.xlsx]Losses'!$A:$Z,14,MATCH("User Selection",'[Ultimates.xlsx]Losses'!$1:$1,0)),INDEX('[Ultimates.xlsx]Losses'!$A:$Z,14,MATCH("Rules-Based AI Selection",'[Ultimates.xlsx]Losses'!$1:$1,0))),"")</f>
        <v/>
      </c>
      <c r="K14" s="10">
        <f>J14-C14</f>
        <v/>
      </c>
      <c r="L14" s="10">
        <f>J14-D14</f>
        <v/>
      </c>
      <c r="M14" s="11">
        <f>IFERROR(IF(INDEX('[Ultimates.xlsx]Losses'!$A:$Z,14,MATCH("User Selection",'[Ultimates.xlsx]Losses'!$1:$1,0))&lt;&gt;"",INDEX('[Ultimates.xlsx]Losses'!$A:$Z,14,MATCH("User Reasoning",'[Ultimates.xlsx]Losses'!$1:$1,0)),INDEX('[Ultimates.xlsx]Losses'!$A:$Z,14,MATCH("Rules-Based AI Reasoning",'[Ultimates.xlsx]Losses'!$1:$1,0))),"")</f>
        <v/>
      </c>
    </row>
    <row r="15">
      <c r="A15" s="9" t="n">
        <v>2014</v>
      </c>
      <c r="B15" s="9" t="n">
        <v>131</v>
      </c>
      <c r="C15" s="10">
        <f>'Incurred CL'!C15</f>
        <v/>
      </c>
      <c r="D15" s="10">
        <f>'Paid CL'!C15</f>
        <v/>
      </c>
      <c r="E15" s="10">
        <f>'Incurred CL'!E15</f>
        <v/>
      </c>
      <c r="F15" s="10">
        <f>'Paid CL'!E15</f>
        <v/>
      </c>
      <c r="G15" s="10">
        <f>'[Ultimates.xlsx]Losses'!G15</f>
        <v/>
      </c>
      <c r="H15" s="10">
        <f>'Incurred BF'!H15</f>
        <v/>
      </c>
      <c r="I15" s="10">
        <f>'Paid BF'!H15</f>
        <v/>
      </c>
      <c r="J15" s="10">
        <f>IFERROR(IF(INDEX('[Ultimates.xlsx]Losses'!$A:$Z,15,MATCH("User Selection",'[Ultimates.xlsx]Losses'!$1:$1,0))&lt;&gt;"",INDEX('[Ultimates.xlsx]Losses'!$A:$Z,15,MATCH("User Selection",'[Ultimates.xlsx]Losses'!$1:$1,0)),INDEX('[Ultimates.xlsx]Losses'!$A:$Z,15,MATCH("Rules-Based AI Selection",'[Ultimates.xlsx]Losses'!$1:$1,0))),"")</f>
        <v/>
      </c>
      <c r="K15" s="10">
        <f>J15-C15</f>
        <v/>
      </c>
      <c r="L15" s="10">
        <f>J15-D15</f>
        <v/>
      </c>
      <c r="M15" s="11">
        <f>IFERROR(IF(INDEX('[Ultimates.xlsx]Losses'!$A:$Z,15,MATCH("User Selection",'[Ultimates.xlsx]Losses'!$1:$1,0))&lt;&gt;"",INDEX('[Ultimates.xlsx]Losses'!$A:$Z,15,MATCH("User Reasoning",'[Ultimates.xlsx]Losses'!$1:$1,0)),INDEX('[Ultimates.xlsx]Losses'!$A:$Z,15,MATCH("Rules-Based AI Reasoning",'[Ultimates.xlsx]Losses'!$1:$1,0))),"")</f>
        <v/>
      </c>
    </row>
    <row r="16">
      <c r="A16" s="9" t="n">
        <v>2015</v>
      </c>
      <c r="B16" s="9" t="n">
        <v>119</v>
      </c>
      <c r="C16" s="10">
        <f>'Incurred CL'!C16</f>
        <v/>
      </c>
      <c r="D16" s="10">
        <f>'Paid CL'!C16</f>
        <v/>
      </c>
      <c r="E16" s="10">
        <f>'Incurred CL'!E16</f>
        <v/>
      </c>
      <c r="F16" s="10">
        <f>'Paid CL'!E16</f>
        <v/>
      </c>
      <c r="G16" s="10">
        <f>'[Ultimates.xlsx]Losses'!G16</f>
        <v/>
      </c>
      <c r="H16" s="10">
        <f>'Incurred BF'!H16</f>
        <v/>
      </c>
      <c r="I16" s="10">
        <f>'Paid BF'!H16</f>
        <v/>
      </c>
      <c r="J16" s="10">
        <f>IFERROR(IF(INDEX('[Ultimates.xlsx]Losses'!$A:$Z,16,MATCH("User Selection",'[Ultimates.xlsx]Losses'!$1:$1,0))&lt;&gt;"",INDEX('[Ultimates.xlsx]Losses'!$A:$Z,16,MATCH("User Selection",'[Ultimates.xlsx]Losses'!$1:$1,0)),INDEX('[Ultimates.xlsx]Losses'!$A:$Z,16,MATCH("Rules-Based AI Selection",'[Ultimates.xlsx]Losses'!$1:$1,0))),"")</f>
        <v/>
      </c>
      <c r="K16" s="10">
        <f>J16-C16</f>
        <v/>
      </c>
      <c r="L16" s="10">
        <f>J16-D16</f>
        <v/>
      </c>
      <c r="M16" s="11">
        <f>IFERROR(IF(INDEX('[Ultimates.xlsx]Losses'!$A:$Z,16,MATCH("User Selection",'[Ultimates.xlsx]Losses'!$1:$1,0))&lt;&gt;"",INDEX('[Ultimates.xlsx]Losses'!$A:$Z,16,MATCH("User Reasoning",'[Ultimates.xlsx]Losses'!$1:$1,0)),INDEX('[Ultimates.xlsx]Losses'!$A:$Z,16,MATCH("Rules-Based AI Reasoning",'[Ultimates.xlsx]Losses'!$1:$1,0))),"")</f>
        <v/>
      </c>
    </row>
    <row r="17">
      <c r="A17" s="9" t="n">
        <v>2016</v>
      </c>
      <c r="B17" s="9" t="n">
        <v>107</v>
      </c>
      <c r="C17" s="10">
        <f>'Incurred CL'!C17</f>
        <v/>
      </c>
      <c r="D17" s="10">
        <f>'Paid CL'!C17</f>
        <v/>
      </c>
      <c r="E17" s="10">
        <f>'Incurred CL'!E17</f>
        <v/>
      </c>
      <c r="F17" s="10">
        <f>'Paid CL'!E17</f>
        <v/>
      </c>
      <c r="G17" s="10">
        <f>'[Ultimates.xlsx]Losses'!G17</f>
        <v/>
      </c>
      <c r="H17" s="10">
        <f>'Incurred BF'!H17</f>
        <v/>
      </c>
      <c r="I17" s="10">
        <f>'Paid BF'!H17</f>
        <v/>
      </c>
      <c r="J17" s="10">
        <f>IFERROR(IF(INDEX('[Ultimates.xlsx]Losses'!$A:$Z,17,MATCH("User Selection",'[Ultimates.xlsx]Losses'!$1:$1,0))&lt;&gt;"",INDEX('[Ultimates.xlsx]Losses'!$A:$Z,17,MATCH("User Selection",'[Ultimates.xlsx]Losses'!$1:$1,0)),INDEX('[Ultimates.xlsx]Losses'!$A:$Z,17,MATCH("Rules-Based AI Selection",'[Ultimates.xlsx]Losses'!$1:$1,0))),"")</f>
        <v/>
      </c>
      <c r="K17" s="10">
        <f>J17-C17</f>
        <v/>
      </c>
      <c r="L17" s="10">
        <f>J17-D17</f>
        <v/>
      </c>
      <c r="M17" s="11">
        <f>IFERROR(IF(INDEX('[Ultimates.xlsx]Losses'!$A:$Z,17,MATCH("User Selection",'[Ultimates.xlsx]Losses'!$1:$1,0))&lt;&gt;"",INDEX('[Ultimates.xlsx]Losses'!$A:$Z,17,MATCH("User Reasoning",'[Ultimates.xlsx]Losses'!$1:$1,0)),INDEX('[Ultimates.xlsx]Losses'!$A:$Z,17,MATCH("Rules-Based AI Reasoning",'[Ultimates.xlsx]Losses'!$1:$1,0))),"")</f>
        <v/>
      </c>
    </row>
    <row r="18">
      <c r="A18" s="9" t="n">
        <v>2017</v>
      </c>
      <c r="B18" s="9" t="n">
        <v>95</v>
      </c>
      <c r="C18" s="10">
        <f>'Incurred CL'!C18</f>
        <v/>
      </c>
      <c r="D18" s="10">
        <f>'Paid CL'!C18</f>
        <v/>
      </c>
      <c r="E18" s="10">
        <f>'Incurred CL'!E18</f>
        <v/>
      </c>
      <c r="F18" s="10">
        <f>'Paid CL'!E18</f>
        <v/>
      </c>
      <c r="G18" s="10">
        <f>'[Ultimates.xlsx]Losses'!G18</f>
        <v/>
      </c>
      <c r="H18" s="10">
        <f>'Incurred BF'!H18</f>
        <v/>
      </c>
      <c r="I18" s="10">
        <f>'Paid BF'!H18</f>
        <v/>
      </c>
      <c r="J18" s="10">
        <f>IFERROR(IF(INDEX('[Ultimates.xlsx]Losses'!$A:$Z,18,MATCH("User Selection",'[Ultimates.xlsx]Losses'!$1:$1,0))&lt;&gt;"",INDEX('[Ultimates.xlsx]Losses'!$A:$Z,18,MATCH("User Selection",'[Ultimates.xlsx]Losses'!$1:$1,0)),INDEX('[Ultimates.xlsx]Losses'!$A:$Z,18,MATCH("Rules-Based AI Selection",'[Ultimates.xlsx]Losses'!$1:$1,0))),"")</f>
        <v/>
      </c>
      <c r="K18" s="10">
        <f>J18-C18</f>
        <v/>
      </c>
      <c r="L18" s="10">
        <f>J18-D18</f>
        <v/>
      </c>
      <c r="M18" s="11">
        <f>IFERROR(IF(INDEX('[Ultimates.xlsx]Losses'!$A:$Z,18,MATCH("User Selection",'[Ultimates.xlsx]Losses'!$1:$1,0))&lt;&gt;"",INDEX('[Ultimates.xlsx]Losses'!$A:$Z,18,MATCH("User Reasoning",'[Ultimates.xlsx]Losses'!$1:$1,0)),INDEX('[Ultimates.xlsx]Losses'!$A:$Z,18,MATCH("Rules-Based AI Reasoning",'[Ultimates.xlsx]Losses'!$1:$1,0))),"")</f>
        <v/>
      </c>
    </row>
    <row r="19">
      <c r="A19" s="9" t="n">
        <v>2018</v>
      </c>
      <c r="B19" s="9" t="n">
        <v>83</v>
      </c>
      <c r="C19" s="10">
        <f>'Incurred CL'!C19</f>
        <v/>
      </c>
      <c r="D19" s="10">
        <f>'Paid CL'!C19</f>
        <v/>
      </c>
      <c r="E19" s="10">
        <f>'Incurred CL'!E19</f>
        <v/>
      </c>
      <c r="F19" s="10">
        <f>'Paid CL'!E19</f>
        <v/>
      </c>
      <c r="G19" s="10">
        <f>'[Ultimates.xlsx]Losses'!G19</f>
        <v/>
      </c>
      <c r="H19" s="10">
        <f>'Incurred BF'!H19</f>
        <v/>
      </c>
      <c r="I19" s="10">
        <f>'Paid BF'!H19</f>
        <v/>
      </c>
      <c r="J19" s="10">
        <f>IFERROR(IF(INDEX('[Ultimates.xlsx]Losses'!$A:$Z,19,MATCH("User Selection",'[Ultimates.xlsx]Losses'!$1:$1,0))&lt;&gt;"",INDEX('[Ultimates.xlsx]Losses'!$A:$Z,19,MATCH("User Selection",'[Ultimates.xlsx]Losses'!$1:$1,0)),INDEX('[Ultimates.xlsx]Losses'!$A:$Z,19,MATCH("Rules-Based AI Selection",'[Ultimates.xlsx]Losses'!$1:$1,0))),"")</f>
        <v/>
      </c>
      <c r="K19" s="10">
        <f>J19-C19</f>
        <v/>
      </c>
      <c r="L19" s="10">
        <f>J19-D19</f>
        <v/>
      </c>
      <c r="M19" s="11">
        <f>IFERROR(IF(INDEX('[Ultimates.xlsx]Losses'!$A:$Z,19,MATCH("User Selection",'[Ultimates.xlsx]Losses'!$1:$1,0))&lt;&gt;"",INDEX('[Ultimates.xlsx]Losses'!$A:$Z,19,MATCH("User Reasoning",'[Ultimates.xlsx]Losses'!$1:$1,0)),INDEX('[Ultimates.xlsx]Losses'!$A:$Z,19,MATCH("Rules-Based AI Reasoning",'[Ultimates.xlsx]Losses'!$1:$1,0))),"")</f>
        <v/>
      </c>
    </row>
    <row r="20">
      <c r="A20" s="9" t="n">
        <v>2019</v>
      </c>
      <c r="B20" s="9" t="n">
        <v>71</v>
      </c>
      <c r="C20" s="10">
        <f>'Incurred CL'!C20</f>
        <v/>
      </c>
      <c r="D20" s="10">
        <f>'Paid CL'!C20</f>
        <v/>
      </c>
      <c r="E20" s="10">
        <f>'Incurred CL'!E20</f>
        <v/>
      </c>
      <c r="F20" s="10">
        <f>'Paid CL'!E20</f>
        <v/>
      </c>
      <c r="G20" s="10">
        <f>'[Ultimates.xlsx]Losses'!G20</f>
        <v/>
      </c>
      <c r="H20" s="10">
        <f>'Incurred BF'!H20</f>
        <v/>
      </c>
      <c r="I20" s="10">
        <f>'Paid BF'!H20</f>
        <v/>
      </c>
      <c r="J20" s="10">
        <f>IFERROR(IF(INDEX('[Ultimates.xlsx]Losses'!$A:$Z,20,MATCH("User Selection",'[Ultimates.xlsx]Losses'!$1:$1,0))&lt;&gt;"",INDEX('[Ultimates.xlsx]Losses'!$A:$Z,20,MATCH("User Selection",'[Ultimates.xlsx]Losses'!$1:$1,0)),INDEX('[Ultimates.xlsx]Losses'!$A:$Z,20,MATCH("Rules-Based AI Selection",'[Ultimates.xlsx]Losses'!$1:$1,0))),"")</f>
        <v/>
      </c>
      <c r="K20" s="10">
        <f>J20-C20</f>
        <v/>
      </c>
      <c r="L20" s="10">
        <f>J20-D20</f>
        <v/>
      </c>
      <c r="M20" s="11">
        <f>IFERROR(IF(INDEX('[Ultimates.xlsx]Losses'!$A:$Z,20,MATCH("User Selection",'[Ultimates.xlsx]Losses'!$1:$1,0))&lt;&gt;"",INDEX('[Ultimates.xlsx]Losses'!$A:$Z,20,MATCH("User Reasoning",'[Ultimates.xlsx]Losses'!$1:$1,0)),INDEX('[Ultimates.xlsx]Losses'!$A:$Z,20,MATCH("Rules-Based AI Reasoning",'[Ultimates.xlsx]Losses'!$1:$1,0))),"")</f>
        <v/>
      </c>
    </row>
    <row r="21">
      <c r="A21" s="9" t="n">
        <v>2020</v>
      </c>
      <c r="B21" s="9" t="n">
        <v>59</v>
      </c>
      <c r="C21" s="10">
        <f>'Incurred CL'!C21</f>
        <v/>
      </c>
      <c r="D21" s="10">
        <f>'Paid CL'!C21</f>
        <v/>
      </c>
      <c r="E21" s="10">
        <f>'Incurred CL'!E21</f>
        <v/>
      </c>
      <c r="F21" s="10">
        <f>'Paid CL'!E21</f>
        <v/>
      </c>
      <c r="G21" s="10">
        <f>'[Ultimates.xlsx]Losses'!G21</f>
        <v/>
      </c>
      <c r="H21" s="10">
        <f>'Incurred BF'!H21</f>
        <v/>
      </c>
      <c r="I21" s="10">
        <f>'Paid BF'!H21</f>
        <v/>
      </c>
      <c r="J21" s="10">
        <f>IFERROR(IF(INDEX('[Ultimates.xlsx]Losses'!$A:$Z,21,MATCH("User Selection",'[Ultimates.xlsx]Losses'!$1:$1,0))&lt;&gt;"",INDEX('[Ultimates.xlsx]Losses'!$A:$Z,21,MATCH("User Selection",'[Ultimates.xlsx]Losses'!$1:$1,0)),INDEX('[Ultimates.xlsx]Losses'!$A:$Z,21,MATCH("Rules-Based AI Selection",'[Ultimates.xlsx]Losses'!$1:$1,0))),"")</f>
        <v/>
      </c>
      <c r="K21" s="10">
        <f>J21-C21</f>
        <v/>
      </c>
      <c r="L21" s="10">
        <f>J21-D21</f>
        <v/>
      </c>
      <c r="M21" s="11">
        <f>IFERROR(IF(INDEX('[Ultimates.xlsx]Losses'!$A:$Z,21,MATCH("User Selection",'[Ultimates.xlsx]Losses'!$1:$1,0))&lt;&gt;"",INDEX('[Ultimates.xlsx]Losses'!$A:$Z,21,MATCH("User Reasoning",'[Ultimates.xlsx]Losses'!$1:$1,0)),INDEX('[Ultimates.xlsx]Losses'!$A:$Z,21,MATCH("Rules-Based AI Reasoning",'[Ultimates.xlsx]Losses'!$1:$1,0))),"")</f>
        <v/>
      </c>
    </row>
    <row r="22">
      <c r="A22" s="9" t="n">
        <v>2021</v>
      </c>
      <c r="B22" s="9" t="n">
        <v>47</v>
      </c>
      <c r="C22" s="10">
        <f>'Incurred CL'!C22</f>
        <v/>
      </c>
      <c r="D22" s="10">
        <f>'Paid CL'!C22</f>
        <v/>
      </c>
      <c r="E22" s="10">
        <f>'Incurred CL'!E22</f>
        <v/>
      </c>
      <c r="F22" s="10">
        <f>'Paid CL'!E22</f>
        <v/>
      </c>
      <c r="G22" s="10">
        <f>'[Ultimates.xlsx]Losses'!G22</f>
        <v/>
      </c>
      <c r="H22" s="10">
        <f>'Incurred BF'!H22</f>
        <v/>
      </c>
      <c r="I22" s="10">
        <f>'Paid BF'!H22</f>
        <v/>
      </c>
      <c r="J22" s="10">
        <f>IFERROR(IF(INDEX('[Ultimates.xlsx]Losses'!$A:$Z,22,MATCH("User Selection",'[Ultimates.xlsx]Losses'!$1:$1,0))&lt;&gt;"",INDEX('[Ultimates.xlsx]Losses'!$A:$Z,22,MATCH("User Selection",'[Ultimates.xlsx]Losses'!$1:$1,0)),INDEX('[Ultimates.xlsx]Losses'!$A:$Z,22,MATCH("Rules-Based AI Selection",'[Ultimates.xlsx]Losses'!$1:$1,0))),"")</f>
        <v/>
      </c>
      <c r="K22" s="10">
        <f>J22-C22</f>
        <v/>
      </c>
      <c r="L22" s="10">
        <f>J22-D22</f>
        <v/>
      </c>
      <c r="M22" s="11">
        <f>IFERROR(IF(INDEX('[Ultimates.xlsx]Losses'!$A:$Z,22,MATCH("User Selection",'[Ultimates.xlsx]Losses'!$1:$1,0))&lt;&gt;"",INDEX('[Ultimates.xlsx]Losses'!$A:$Z,22,MATCH("User Reasoning",'[Ultimates.xlsx]Losses'!$1:$1,0)),INDEX('[Ultimates.xlsx]Losses'!$A:$Z,22,MATCH("Rules-Based AI Reasoning",'[Ultimates.xlsx]Losses'!$1:$1,0))),"")</f>
        <v/>
      </c>
    </row>
    <row r="23">
      <c r="A23" s="9" t="n">
        <v>2022</v>
      </c>
      <c r="B23" s="9" t="n">
        <v>35</v>
      </c>
      <c r="C23" s="10">
        <f>'Incurred CL'!C23</f>
        <v/>
      </c>
      <c r="D23" s="10">
        <f>'Paid CL'!C23</f>
        <v/>
      </c>
      <c r="E23" s="10">
        <f>'Incurred CL'!E23</f>
        <v/>
      </c>
      <c r="F23" s="10">
        <f>'Paid CL'!E23</f>
        <v/>
      </c>
      <c r="G23" s="10">
        <f>'[Ultimates.xlsx]Losses'!G23</f>
        <v/>
      </c>
      <c r="H23" s="10">
        <f>'Incurred BF'!H23</f>
        <v/>
      </c>
      <c r="I23" s="10">
        <f>'Paid BF'!H23</f>
        <v/>
      </c>
      <c r="J23" s="10">
        <f>IFERROR(IF(INDEX('[Ultimates.xlsx]Losses'!$A:$Z,23,MATCH("User Selection",'[Ultimates.xlsx]Losses'!$1:$1,0))&lt;&gt;"",INDEX('[Ultimates.xlsx]Losses'!$A:$Z,23,MATCH("User Selection",'[Ultimates.xlsx]Losses'!$1:$1,0)),INDEX('[Ultimates.xlsx]Losses'!$A:$Z,23,MATCH("Rules-Based AI Selection",'[Ultimates.xlsx]Losses'!$1:$1,0))),"")</f>
        <v/>
      </c>
      <c r="K23" s="10">
        <f>J23-C23</f>
        <v/>
      </c>
      <c r="L23" s="10">
        <f>J23-D23</f>
        <v/>
      </c>
      <c r="M23" s="11">
        <f>IFERROR(IF(INDEX('[Ultimates.xlsx]Losses'!$A:$Z,23,MATCH("User Selection",'[Ultimates.xlsx]Losses'!$1:$1,0))&lt;&gt;"",INDEX('[Ultimates.xlsx]Losses'!$A:$Z,23,MATCH("User Reasoning",'[Ultimates.xlsx]Losses'!$1:$1,0)),INDEX('[Ultimates.xlsx]Losses'!$A:$Z,23,MATCH("Rules-Based AI Reasoning",'[Ultimates.xlsx]Losses'!$1:$1,0))),"")</f>
        <v/>
      </c>
    </row>
    <row r="24">
      <c r="A24" s="9" t="n">
        <v>2023</v>
      </c>
      <c r="B24" s="9" t="n">
        <v>23</v>
      </c>
      <c r="C24" s="10">
        <f>'Incurred CL'!C24</f>
        <v/>
      </c>
      <c r="D24" s="10">
        <f>'Paid CL'!C24</f>
        <v/>
      </c>
      <c r="E24" s="10">
        <f>'Incurred CL'!E24</f>
        <v/>
      </c>
      <c r="F24" s="10">
        <f>'Paid CL'!E24</f>
        <v/>
      </c>
      <c r="G24" s="10">
        <f>'[Ultimates.xlsx]Losses'!G24</f>
        <v/>
      </c>
      <c r="H24" s="10">
        <f>'Incurred BF'!H24</f>
        <v/>
      </c>
      <c r="I24" s="10">
        <f>'Paid BF'!H24</f>
        <v/>
      </c>
      <c r="J24" s="10">
        <f>IFERROR(IF(INDEX('[Ultimates.xlsx]Losses'!$A:$Z,24,MATCH("User Selection",'[Ultimates.xlsx]Losses'!$1:$1,0))&lt;&gt;"",INDEX('[Ultimates.xlsx]Losses'!$A:$Z,24,MATCH("User Selection",'[Ultimates.xlsx]Losses'!$1:$1,0)),INDEX('[Ultimates.xlsx]Losses'!$A:$Z,24,MATCH("Rules-Based AI Selection",'[Ultimates.xlsx]Losses'!$1:$1,0))),"")</f>
        <v/>
      </c>
      <c r="K24" s="10">
        <f>J24-C24</f>
        <v/>
      </c>
      <c r="L24" s="10">
        <f>J24-D24</f>
        <v/>
      </c>
      <c r="M24" s="11">
        <f>IFERROR(IF(INDEX('[Ultimates.xlsx]Losses'!$A:$Z,24,MATCH("User Selection",'[Ultimates.xlsx]Losses'!$1:$1,0))&lt;&gt;"",INDEX('[Ultimates.xlsx]Losses'!$A:$Z,24,MATCH("User Reasoning",'[Ultimates.xlsx]Losses'!$1:$1,0)),INDEX('[Ultimates.xlsx]Losses'!$A:$Z,24,MATCH("Rules-Based AI Reasoning",'[Ultimates.xlsx]Losses'!$1:$1,0))),"")</f>
        <v/>
      </c>
    </row>
    <row r="25">
      <c r="A25" s="9" t="n">
        <v>2024</v>
      </c>
      <c r="B25" s="9" t="n">
        <v>11</v>
      </c>
      <c r="C25" s="10">
        <f>'Incurred CL'!C25</f>
        <v/>
      </c>
      <c r="D25" s="10">
        <f>'Paid CL'!C25</f>
        <v/>
      </c>
      <c r="E25" s="10">
        <f>'Incurred CL'!E25</f>
        <v/>
      </c>
      <c r="F25" s="10">
        <f>'Paid CL'!E25</f>
        <v/>
      </c>
      <c r="G25" s="10">
        <f>'[Ultimates.xlsx]Losses'!G25</f>
        <v/>
      </c>
      <c r="H25" s="10">
        <f>'Incurred BF'!H25</f>
        <v/>
      </c>
      <c r="I25" s="10">
        <f>'Paid BF'!H25</f>
        <v/>
      </c>
      <c r="J25" s="10">
        <f>IFERROR(IF(INDEX('[Ultimates.xlsx]Losses'!$A:$Z,25,MATCH("User Selection",'[Ultimates.xlsx]Losses'!$1:$1,0))&lt;&gt;"",INDEX('[Ultimates.xlsx]Losses'!$A:$Z,25,MATCH("User Selection",'[Ultimates.xlsx]Losses'!$1:$1,0)),INDEX('[Ultimates.xlsx]Losses'!$A:$Z,25,MATCH("Rules-Based AI Selection",'[Ultimates.xlsx]Losses'!$1:$1,0))),"")</f>
        <v/>
      </c>
      <c r="K25" s="10">
        <f>J25-C25</f>
        <v/>
      </c>
      <c r="L25" s="10">
        <f>J25-D25</f>
        <v/>
      </c>
      <c r="M25" s="11">
        <f>IFERROR(IF(INDEX('[Ultimates.xlsx]Losses'!$A:$Z,25,MATCH("User Selection",'[Ultimates.xlsx]Losses'!$1:$1,0))&lt;&gt;"",INDEX('[Ultimates.xlsx]Losses'!$A:$Z,25,MATCH("User Reasoning",'[Ultimates.xlsx]Losses'!$1:$1,0)),INDEX('[Ultimates.xlsx]Losses'!$A:$Z,25,MATCH("Rules-Based AI Reasoning",'[Ultimates.xlsx]Losses'!$1:$1,0))),"")</f>
        <v/>
      </c>
    </row>
    <row r="26"/>
    <row r="27">
      <c r="A27" s="5" t="inlineStr">
        <is>
          <t>Total</t>
        </is>
      </c>
      <c r="C27" s="10">
        <f>SUM(C2:C25)</f>
        <v/>
      </c>
      <c r="D27" s="10">
        <f>SUM(D2:D25)</f>
        <v/>
      </c>
      <c r="E27" s="10">
        <f>SUM(E2:E25)</f>
        <v/>
      </c>
      <c r="F27" s="10">
        <f>SUM(F2:F25)</f>
        <v/>
      </c>
      <c r="G27" s="10">
        <f>SUM(G2:G25)</f>
        <v/>
      </c>
      <c r="H27" s="10">
        <f>SUM(H2:H25)</f>
        <v/>
      </c>
      <c r="I27" s="10">
        <f>SUM(I2:I25)</f>
        <v/>
      </c>
      <c r="J27" s="10">
        <f>SUM(J2:J25)</f>
        <v/>
      </c>
      <c r="K27" s="10">
        <f>SUM(K2:K25)</f>
        <v/>
      </c>
      <c r="L27" s="10">
        <f>SUM(L2:L25)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8" t="inlineStr">
        <is>
          <t>Accident Period</t>
        </is>
      </c>
      <c r="B1" s="8" t="inlineStr">
        <is>
          <t>Current Age</t>
        </is>
      </c>
      <c r="C1" s="8" t="inlineStr">
        <is>
          <t>Incurred</t>
        </is>
      </c>
      <c r="D1" s="8" t="inlineStr">
        <is>
          <t>CDF</t>
        </is>
      </c>
      <c r="E1" s="8" t="inlineStr">
        <is>
          <t>Ultimate</t>
        </is>
      </c>
      <c r="F1" s="8" t="inlineStr">
        <is>
          <t>IBNR</t>
        </is>
      </c>
      <c r="G1" s="8" t="inlineStr">
        <is>
          <t>Unpaid</t>
        </is>
      </c>
    </row>
    <row r="2">
      <c r="A2" s="9" t="n">
        <v>2001</v>
      </c>
      <c r="B2" s="9" t="n">
        <v>287</v>
      </c>
      <c r="C2" s="12" t="n">
        <v>3163773.699688</v>
      </c>
      <c r="D2" s="13" t="n">
        <v>1.036724577767118</v>
      </c>
      <c r="E2" s="10">
        <f>C2*D2</f>
        <v/>
      </c>
      <c r="F2" s="10">
        <f>E2-C2</f>
        <v/>
      </c>
      <c r="G2" s="10">
        <f>E2-'Paid CL'!C2</f>
        <v/>
      </c>
    </row>
    <row r="3">
      <c r="A3" s="9" t="n">
        <v>2002</v>
      </c>
      <c r="B3" s="9" t="n">
        <v>275</v>
      </c>
      <c r="C3" s="12" t="n">
        <v>2327733.756319999</v>
      </c>
      <c r="D3" s="13" t="n">
        <v>1.049061600242547</v>
      </c>
      <c r="E3" s="10">
        <f>C3*D3</f>
        <v/>
      </c>
      <c r="F3" s="10">
        <f>E3-C3</f>
        <v/>
      </c>
      <c r="G3" s="10">
        <f>E3-'Paid CL'!C3</f>
        <v/>
      </c>
    </row>
    <row r="4">
      <c r="A4" s="9" t="n">
        <v>2003</v>
      </c>
      <c r="B4" s="9" t="n">
        <v>263</v>
      </c>
      <c r="C4" s="12" t="n">
        <v>1778091.575843999</v>
      </c>
      <c r="D4" s="13" t="n">
        <v>1.049061600242547</v>
      </c>
      <c r="E4" s="10">
        <f>C4*D4</f>
        <v/>
      </c>
      <c r="F4" s="10">
        <f>E4-C4</f>
        <v/>
      </c>
      <c r="G4" s="10">
        <f>E4-'Paid CL'!C4</f>
        <v/>
      </c>
    </row>
    <row r="5">
      <c r="A5" s="9" t="n">
        <v>2004</v>
      </c>
      <c r="B5" s="9" t="n">
        <v>251</v>
      </c>
      <c r="C5" s="12" t="n">
        <v>1122614.7306</v>
      </c>
      <c r="D5" s="13" t="n">
        <v>1.066476022806573</v>
      </c>
      <c r="E5" s="10">
        <f>C5*D5</f>
        <v/>
      </c>
      <c r="F5" s="10">
        <f>E5-C5</f>
        <v/>
      </c>
      <c r="G5" s="10">
        <f>E5-'Paid CL'!C5</f>
        <v/>
      </c>
    </row>
    <row r="6">
      <c r="A6" s="9" t="n">
        <v>2005</v>
      </c>
      <c r="B6" s="9" t="n">
        <v>239</v>
      </c>
      <c r="C6" s="12" t="n">
        <v>2242149.132116</v>
      </c>
      <c r="D6" s="13" t="n">
        <v>1.071061869704641</v>
      </c>
      <c r="E6" s="10">
        <f>C6*D6</f>
        <v/>
      </c>
      <c r="F6" s="10">
        <f>E6-C6</f>
        <v/>
      </c>
      <c r="G6" s="10">
        <f>E6-'Paid CL'!C6</f>
        <v/>
      </c>
    </row>
    <row r="7">
      <c r="A7" s="9" t="n">
        <v>2006</v>
      </c>
      <c r="B7" s="9" t="n">
        <v>227</v>
      </c>
      <c r="C7" s="12" t="n">
        <v>1517636.792660001</v>
      </c>
      <c r="D7" s="13" t="n">
        <v>1.08016589559713</v>
      </c>
      <c r="E7" s="10">
        <f>C7*D7</f>
        <v/>
      </c>
      <c r="F7" s="10">
        <f>E7-C7</f>
        <v/>
      </c>
      <c r="G7" s="10">
        <f>E7-'Paid CL'!C7</f>
        <v/>
      </c>
    </row>
    <row r="8">
      <c r="A8" s="9" t="n">
        <v>2007</v>
      </c>
      <c r="B8" s="9" t="n">
        <v>215</v>
      </c>
      <c r="C8" s="12" t="n">
        <v>4810774.614816</v>
      </c>
      <c r="D8" s="13" t="n">
        <v>1.08016589559713</v>
      </c>
      <c r="E8" s="10">
        <f>C8*D8</f>
        <v/>
      </c>
      <c r="F8" s="10">
        <f>E8-C8</f>
        <v/>
      </c>
      <c r="G8" s="10">
        <f>E8-'Paid CL'!C8</f>
        <v/>
      </c>
    </row>
    <row r="9">
      <c r="A9" s="9" t="n">
        <v>2008</v>
      </c>
      <c r="B9" s="9" t="n">
        <v>203</v>
      </c>
      <c r="C9" s="12" t="n">
        <v>1378427.939547998</v>
      </c>
      <c r="D9" s="13" t="n">
        <v>1.082326227388325</v>
      </c>
      <c r="E9" s="10">
        <f>C9*D9</f>
        <v/>
      </c>
      <c r="F9" s="10">
        <f>E9-C9</f>
        <v/>
      </c>
      <c r="G9" s="10">
        <f>E9-'Paid CL'!C9</f>
        <v/>
      </c>
    </row>
    <row r="10">
      <c r="A10" s="9" t="n">
        <v>2009</v>
      </c>
      <c r="B10" s="9" t="n">
        <v>191</v>
      </c>
      <c r="C10" s="12" t="n">
        <v>1169581.089256</v>
      </c>
      <c r="D10" s="13" t="n">
        <v>1.091634232943864</v>
      </c>
      <c r="E10" s="10">
        <f>C10*D10</f>
        <v/>
      </c>
      <c r="F10" s="10">
        <f>E10-C10</f>
        <v/>
      </c>
      <c r="G10" s="10">
        <f>E10-'Paid CL'!C10</f>
        <v/>
      </c>
    </row>
    <row r="11">
      <c r="A11" s="9" t="n">
        <v>2010</v>
      </c>
      <c r="B11" s="9" t="n">
        <v>179</v>
      </c>
      <c r="C11" s="12" t="n">
        <v>1277672.072084001</v>
      </c>
      <c r="D11" s="13" t="n">
        <v>1.0967649138387</v>
      </c>
      <c r="E11" s="10">
        <f>C11*D11</f>
        <v/>
      </c>
      <c r="F11" s="10">
        <f>E11-C11</f>
        <v/>
      </c>
      <c r="G11" s="10">
        <f>E11-'Paid CL'!C11</f>
        <v/>
      </c>
    </row>
    <row r="12">
      <c r="A12" s="9" t="n">
        <v>2011</v>
      </c>
      <c r="B12" s="9" t="n">
        <v>167</v>
      </c>
      <c r="C12" s="12" t="n">
        <v>1916081.580416</v>
      </c>
      <c r="D12" s="13" t="n">
        <v>1.107732562977087</v>
      </c>
      <c r="E12" s="10">
        <f>C12*D12</f>
        <v/>
      </c>
      <c r="F12" s="10">
        <f>E12-C12</f>
        <v/>
      </c>
      <c r="G12" s="10">
        <f>E12-'Paid CL'!C12</f>
        <v/>
      </c>
    </row>
    <row r="13">
      <c r="A13" s="9" t="n">
        <v>2012</v>
      </c>
      <c r="B13" s="9" t="n">
        <v>155</v>
      </c>
      <c r="C13" s="12" t="n">
        <v>1363753.380531999</v>
      </c>
      <c r="D13" s="13" t="n">
        <v>1.108175656002278</v>
      </c>
      <c r="E13" s="10">
        <f>C13*D13</f>
        <v/>
      </c>
      <c r="F13" s="10">
        <f>E13-C13</f>
        <v/>
      </c>
      <c r="G13" s="10">
        <f>E13-'Paid CL'!C13</f>
        <v/>
      </c>
    </row>
    <row r="14">
      <c r="A14" s="9" t="n">
        <v>2013</v>
      </c>
      <c r="B14" s="9" t="n">
        <v>143</v>
      </c>
      <c r="C14" s="12" t="n">
        <v>708529.9908599999</v>
      </c>
      <c r="D14" s="13" t="n">
        <v>1.111832635667086</v>
      </c>
      <c r="E14" s="10">
        <f>C14*D14</f>
        <v/>
      </c>
      <c r="F14" s="10">
        <f>E14-C14</f>
        <v/>
      </c>
      <c r="G14" s="10">
        <f>E14-'Paid CL'!C14</f>
        <v/>
      </c>
    </row>
    <row r="15">
      <c r="A15" s="9" t="n">
        <v>2014</v>
      </c>
      <c r="B15" s="9" t="n">
        <v>131</v>
      </c>
      <c r="C15" s="12" t="n">
        <v>1389603.684732</v>
      </c>
      <c r="D15" s="13" t="n">
        <v>1.153971092558868</v>
      </c>
      <c r="E15" s="10">
        <f>C15*D15</f>
        <v/>
      </c>
      <c r="F15" s="10">
        <f>E15-C15</f>
        <v/>
      </c>
      <c r="G15" s="10">
        <f>E15-'Paid CL'!C15</f>
        <v/>
      </c>
    </row>
    <row r="16">
      <c r="A16" s="9" t="n">
        <v>2015</v>
      </c>
      <c r="B16" s="9" t="n">
        <v>119</v>
      </c>
      <c r="C16" s="12" t="n">
        <v>3382963.258076001</v>
      </c>
      <c r="D16" s="13" t="n">
        <v>1.160779522004966</v>
      </c>
      <c r="E16" s="10">
        <f>C16*D16</f>
        <v/>
      </c>
      <c r="F16" s="10">
        <f>E16-C16</f>
        <v/>
      </c>
      <c r="G16" s="10">
        <f>E16-'Paid CL'!C16</f>
        <v/>
      </c>
    </row>
    <row r="17">
      <c r="A17" s="9" t="n">
        <v>2016</v>
      </c>
      <c r="B17" s="9" t="n">
        <v>107</v>
      </c>
      <c r="C17" s="12" t="n">
        <v>2506323.643367999</v>
      </c>
      <c r="D17" s="13" t="n">
        <v>1.201871117083942</v>
      </c>
      <c r="E17" s="10">
        <f>C17*D17</f>
        <v/>
      </c>
      <c r="F17" s="10">
        <f>E17-C17</f>
        <v/>
      </c>
      <c r="G17" s="10">
        <f>E17-'Paid CL'!C17</f>
        <v/>
      </c>
    </row>
    <row r="18">
      <c r="A18" s="9" t="n">
        <v>2017</v>
      </c>
      <c r="B18" s="9" t="n">
        <v>95</v>
      </c>
      <c r="C18" s="12" t="n">
        <v>1205811.828916</v>
      </c>
      <c r="D18" s="13" t="n">
        <v>1.226749849207579</v>
      </c>
      <c r="E18" s="10">
        <f>C18*D18</f>
        <v/>
      </c>
      <c r="F18" s="10">
        <f>E18-C18</f>
        <v/>
      </c>
      <c r="G18" s="10">
        <f>E18-'Paid CL'!C18</f>
        <v/>
      </c>
    </row>
    <row r="19">
      <c r="A19" s="9" t="n">
        <v>2018</v>
      </c>
      <c r="B19" s="9" t="n">
        <v>83</v>
      </c>
      <c r="C19" s="12" t="n">
        <v>2395448.423304001</v>
      </c>
      <c r="D19" s="13" t="n">
        <v>1.236073148061557</v>
      </c>
      <c r="E19" s="10">
        <f>C19*D19</f>
        <v/>
      </c>
      <c r="F19" s="10">
        <f>E19-C19</f>
        <v/>
      </c>
      <c r="G19" s="10">
        <f>E19-'Paid CL'!C19</f>
        <v/>
      </c>
    </row>
    <row r="20">
      <c r="A20" s="9" t="n">
        <v>2019</v>
      </c>
      <c r="B20" s="9" t="n">
        <v>71</v>
      </c>
      <c r="C20" s="12" t="n">
        <v>2599882.874291999</v>
      </c>
      <c r="D20" s="13" t="n">
        <v>1.339408863239503</v>
      </c>
      <c r="E20" s="10">
        <f>C20*D20</f>
        <v/>
      </c>
      <c r="F20" s="10">
        <f>E20-C20</f>
        <v/>
      </c>
      <c r="G20" s="10">
        <f>E20-'Paid CL'!C20</f>
        <v/>
      </c>
    </row>
    <row r="21">
      <c r="A21" s="9" t="n">
        <v>2020</v>
      </c>
      <c r="B21" s="9" t="n">
        <v>59</v>
      </c>
      <c r="C21" s="12" t="n">
        <v>978899.5094679999</v>
      </c>
      <c r="D21" s="13" t="n">
        <v>1.482859552492453</v>
      </c>
      <c r="E21" s="10">
        <f>C21*D21</f>
        <v/>
      </c>
      <c r="F21" s="10">
        <f>E21-C21</f>
        <v/>
      </c>
      <c r="G21" s="10">
        <f>E21-'Paid CL'!C21</f>
        <v/>
      </c>
    </row>
    <row r="22">
      <c r="A22" s="9" t="n">
        <v>2021</v>
      </c>
      <c r="B22" s="9" t="n">
        <v>47</v>
      </c>
      <c r="C22" s="12" t="n">
        <v>1011313.279736</v>
      </c>
      <c r="D22" s="13" t="n">
        <v>1.567382546984523</v>
      </c>
      <c r="E22" s="10">
        <f>C22*D22</f>
        <v/>
      </c>
      <c r="F22" s="10">
        <f>E22-C22</f>
        <v/>
      </c>
      <c r="G22" s="10">
        <f>E22-'Paid CL'!C22</f>
        <v/>
      </c>
    </row>
    <row r="23">
      <c r="A23" s="9" t="n">
        <v>2022</v>
      </c>
      <c r="B23" s="9" t="n">
        <v>35</v>
      </c>
      <c r="C23" s="12" t="n">
        <v>827416.1066440007</v>
      </c>
      <c r="D23" s="13" t="n">
        <v>1.861110036289423</v>
      </c>
      <c r="E23" s="10">
        <f>C23*D23</f>
        <v/>
      </c>
      <c r="F23" s="10">
        <f>E23-C23</f>
        <v/>
      </c>
      <c r="G23" s="10">
        <f>E23-'Paid CL'!C23</f>
        <v/>
      </c>
    </row>
    <row r="24">
      <c r="A24" s="9" t="n">
        <v>2023</v>
      </c>
      <c r="B24" s="9" t="n">
        <v>23</v>
      </c>
      <c r="C24" s="12" t="n">
        <v>1651756.674352</v>
      </c>
      <c r="D24" s="13" t="n">
        <v>2.290840343668651</v>
      </c>
      <c r="E24" s="10">
        <f>C24*D24</f>
        <v/>
      </c>
      <c r="F24" s="10">
        <f>E24-C24</f>
        <v/>
      </c>
      <c r="G24" s="10">
        <f>E24-'Paid CL'!C24</f>
        <v/>
      </c>
    </row>
    <row r="25">
      <c r="A25" s="9" t="n">
        <v>2024</v>
      </c>
      <c r="B25" s="9" t="n">
        <v>11</v>
      </c>
      <c r="C25" s="12" t="n">
        <v>890155.221828</v>
      </c>
      <c r="D25" s="13" t="n">
        <v>3.899926601061511</v>
      </c>
      <c r="E25" s="10">
        <f>C25*D25</f>
        <v/>
      </c>
      <c r="F25" s="10">
        <f>E25-C25</f>
        <v/>
      </c>
      <c r="G25" s="10">
        <f>E25-'Paid CL'!C25</f>
        <v/>
      </c>
    </row>
    <row r="26"/>
    <row r="27">
      <c r="A27" s="5" t="inlineStr">
        <is>
          <t>Total</t>
        </is>
      </c>
      <c r="C27" s="10">
        <f>SUM(C2:C25)</f>
        <v/>
      </c>
      <c r="E27" s="10">
        <f>SUM(E2:E25)</f>
        <v/>
      </c>
      <c r="F27" s="10">
        <f>SUM(F2:F25)</f>
        <v/>
      </c>
      <c r="G27" s="10">
        <f>SUM(G2:G25)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8" t="inlineStr">
        <is>
          <t>Accident Period</t>
        </is>
      </c>
      <c r="B1" s="8" t="inlineStr">
        <is>
          <t>Current Age</t>
        </is>
      </c>
      <c r="C1" s="8" t="inlineStr">
        <is>
          <t>Paid</t>
        </is>
      </c>
      <c r="D1" s="8" t="inlineStr">
        <is>
          <t>CDF</t>
        </is>
      </c>
      <c r="E1" s="8" t="inlineStr">
        <is>
          <t>Ultimate</t>
        </is>
      </c>
      <c r="F1" s="8" t="inlineStr">
        <is>
          <t>IBNR</t>
        </is>
      </c>
      <c r="G1" s="8" t="inlineStr">
        <is>
          <t>Unpaid</t>
        </is>
      </c>
    </row>
    <row r="2">
      <c r="A2" s="9" t="n">
        <v>2001</v>
      </c>
      <c r="B2" s="9" t="n">
        <v>287</v>
      </c>
      <c r="C2" s="12" t="n">
        <v>3042294.662276</v>
      </c>
      <c r="D2" s="13" t="n">
        <v>1.0039</v>
      </c>
      <c r="E2" s="10">
        <f>C2*D2</f>
        <v/>
      </c>
      <c r="F2" s="10">
        <f>E2-C2</f>
        <v/>
      </c>
      <c r="G2" s="10">
        <f>E2-C2</f>
        <v/>
      </c>
    </row>
    <row r="3">
      <c r="A3" s="9" t="n">
        <v>2002</v>
      </c>
      <c r="B3" s="9" t="n">
        <v>275</v>
      </c>
      <c r="C3" s="12" t="n">
        <v>2199646.228088</v>
      </c>
      <c r="D3" s="13" t="n">
        <v>1.00781521</v>
      </c>
      <c r="E3" s="10">
        <f>C3*D3</f>
        <v/>
      </c>
      <c r="F3" s="10">
        <f>E3-C3</f>
        <v/>
      </c>
      <c r="G3" s="10">
        <f>E3-C3</f>
        <v/>
      </c>
    </row>
    <row r="4">
      <c r="A4" s="9" t="n">
        <v>2003</v>
      </c>
      <c r="B4" s="9" t="n">
        <v>263</v>
      </c>
      <c r="C4" s="12" t="n">
        <v>1778091.575843999</v>
      </c>
      <c r="D4" s="13" t="n">
        <v>1.015474605596</v>
      </c>
      <c r="E4" s="10">
        <f>C4*D4</f>
        <v/>
      </c>
      <c r="F4" s="10">
        <f>E4-C4</f>
        <v/>
      </c>
      <c r="G4" s="10">
        <f>E4-C4</f>
        <v/>
      </c>
    </row>
    <row r="5">
      <c r="A5" s="9" t="n">
        <v>2004</v>
      </c>
      <c r="B5" s="9" t="n">
        <v>251</v>
      </c>
      <c r="C5" s="12" t="n">
        <v>1122614.7306</v>
      </c>
      <c r="D5" s="13" t="n">
        <v>1.021262810847897</v>
      </c>
      <c r="E5" s="10">
        <f>C5*D5</f>
        <v/>
      </c>
      <c r="F5" s="10">
        <f>E5-C5</f>
        <v/>
      </c>
      <c r="G5" s="10">
        <f>E5-C5</f>
        <v/>
      </c>
    </row>
    <row r="6">
      <c r="A6" s="9" t="n">
        <v>2005</v>
      </c>
      <c r="B6" s="9" t="n">
        <v>239</v>
      </c>
      <c r="C6" s="12" t="n">
        <v>2242149.132116</v>
      </c>
      <c r="D6" s="13" t="n">
        <v>1.025756367215628</v>
      </c>
      <c r="E6" s="10">
        <f>C6*D6</f>
        <v/>
      </c>
      <c r="F6" s="10">
        <f>E6-C6</f>
        <v/>
      </c>
      <c r="G6" s="10">
        <f>E6-C6</f>
        <v/>
      </c>
    </row>
    <row r="7">
      <c r="A7" s="9" t="n">
        <v>2006</v>
      </c>
      <c r="B7" s="9" t="n">
        <v>227</v>
      </c>
      <c r="C7" s="12" t="n">
        <v>1462141.027856</v>
      </c>
      <c r="D7" s="13" t="n">
        <v>1.028218182496945</v>
      </c>
      <c r="E7" s="10">
        <f>C7*D7</f>
        <v/>
      </c>
      <c r="F7" s="10">
        <f>E7-C7</f>
        <v/>
      </c>
      <c r="G7" s="10">
        <f>E7-C7</f>
        <v/>
      </c>
    </row>
    <row r="8">
      <c r="A8" s="9" t="n">
        <v>2007</v>
      </c>
      <c r="B8" s="9" t="n">
        <v>215</v>
      </c>
      <c r="C8" s="12" t="n">
        <v>4790693.153152</v>
      </c>
      <c r="D8" s="13" t="n">
        <v>1.032639520681682</v>
      </c>
      <c r="E8" s="10">
        <f>C8*D8</f>
        <v/>
      </c>
      <c r="F8" s="10">
        <f>E8-C8</f>
        <v/>
      </c>
      <c r="G8" s="10">
        <f>E8-C8</f>
        <v/>
      </c>
    </row>
    <row r="9">
      <c r="A9" s="9" t="n">
        <v>2008</v>
      </c>
      <c r="B9" s="9" t="n">
        <v>203</v>
      </c>
      <c r="C9" s="12" t="n">
        <v>1378427.939547998</v>
      </c>
      <c r="D9" s="13" t="n">
        <v>1.03501459157925</v>
      </c>
      <c r="E9" s="10">
        <f>C9*D9</f>
        <v/>
      </c>
      <c r="F9" s="10">
        <f>E9-C9</f>
        <v/>
      </c>
      <c r="G9" s="10">
        <f>E9-C9</f>
        <v/>
      </c>
    </row>
    <row r="10">
      <c r="A10" s="9" t="n">
        <v>2009</v>
      </c>
      <c r="B10" s="9" t="n">
        <v>191</v>
      </c>
      <c r="C10" s="12" t="n">
        <v>1169581.089256</v>
      </c>
      <c r="D10" s="13" t="n">
        <v>1.048159276892306</v>
      </c>
      <c r="E10" s="10">
        <f>C10*D10</f>
        <v/>
      </c>
      <c r="F10" s="10">
        <f>E10-C10</f>
        <v/>
      </c>
      <c r="G10" s="10">
        <f>E10-C10</f>
        <v/>
      </c>
    </row>
    <row r="11">
      <c r="A11" s="9" t="n">
        <v>2010</v>
      </c>
      <c r="B11" s="9" t="n">
        <v>179</v>
      </c>
      <c r="C11" s="12" t="n">
        <v>1277672.072084001</v>
      </c>
      <c r="D11" s="13" t="n">
        <v>1.058221605950473</v>
      </c>
      <c r="E11" s="10">
        <f>C11*D11</f>
        <v/>
      </c>
      <c r="F11" s="10">
        <f>E11-C11</f>
        <v/>
      </c>
      <c r="G11" s="10">
        <f>E11-C11</f>
        <v/>
      </c>
    </row>
    <row r="12">
      <c r="A12" s="9" t="n">
        <v>2011</v>
      </c>
      <c r="B12" s="9" t="n">
        <v>167</v>
      </c>
      <c r="C12" s="12" t="n">
        <v>1892658.297732</v>
      </c>
      <c r="D12" s="13" t="n">
        <v>1.066793200958671</v>
      </c>
      <c r="E12" s="10">
        <f>C12*D12</f>
        <v/>
      </c>
      <c r="F12" s="10">
        <f>E12-C12</f>
        <v/>
      </c>
      <c r="G12" s="10">
        <f>E12-C12</f>
        <v/>
      </c>
    </row>
    <row r="13">
      <c r="A13" s="9" t="n">
        <v>2012</v>
      </c>
      <c r="B13" s="9" t="n">
        <v>155</v>
      </c>
      <c r="C13" s="12" t="n">
        <v>1194236.878339999</v>
      </c>
      <c r="D13" s="13" t="n">
        <v>1.07404739472519</v>
      </c>
      <c r="E13" s="10">
        <f>C13*D13</f>
        <v/>
      </c>
      <c r="F13" s="10">
        <f>E13-C13</f>
        <v/>
      </c>
      <c r="G13" s="10">
        <f>E13-C13</f>
        <v/>
      </c>
    </row>
    <row r="14">
      <c r="A14" s="9" t="n">
        <v>2013</v>
      </c>
      <c r="B14" s="9" t="n">
        <v>143</v>
      </c>
      <c r="C14" s="12" t="n">
        <v>708529.9908599999</v>
      </c>
      <c r="D14" s="13" t="n">
        <v>1.095635747359167</v>
      </c>
      <c r="E14" s="10">
        <f>C14*D14</f>
        <v/>
      </c>
      <c r="F14" s="10">
        <f>E14-C14</f>
        <v/>
      </c>
      <c r="G14" s="10">
        <f>E14-C14</f>
        <v/>
      </c>
    </row>
    <row r="15">
      <c r="A15" s="9" t="n">
        <v>2014</v>
      </c>
      <c r="B15" s="9" t="n">
        <v>131</v>
      </c>
      <c r="C15" s="12" t="n">
        <v>1389603.684732</v>
      </c>
      <c r="D15" s="13" t="n">
        <v>1.117000644432671</v>
      </c>
      <c r="E15" s="10">
        <f>C15*D15</f>
        <v/>
      </c>
      <c r="F15" s="10">
        <f>E15-C15</f>
        <v/>
      </c>
      <c r="G15" s="10">
        <f>E15-C15</f>
        <v/>
      </c>
    </row>
    <row r="16">
      <c r="A16" s="9" t="n">
        <v>2015</v>
      </c>
      <c r="B16" s="9" t="n">
        <v>119</v>
      </c>
      <c r="C16" s="12" t="n">
        <v>3364231.298548001</v>
      </c>
      <c r="D16" s="13" t="n">
        <v>1.126606849974791</v>
      </c>
      <c r="E16" s="10">
        <f>C16*D16</f>
        <v/>
      </c>
      <c r="F16" s="10">
        <f>E16-C16</f>
        <v/>
      </c>
      <c r="G16" s="10">
        <f>E16-C16</f>
        <v/>
      </c>
    </row>
    <row r="17">
      <c r="A17" s="9" t="n">
        <v>2016</v>
      </c>
      <c r="B17" s="9" t="n">
        <v>107</v>
      </c>
      <c r="C17" s="12" t="n">
        <v>2462208.676391999</v>
      </c>
      <c r="D17" s="13" t="n">
        <v>1.174262319728725</v>
      </c>
      <c r="E17" s="10">
        <f>C17*D17</f>
        <v/>
      </c>
      <c r="F17" s="10">
        <f>E17-C17</f>
        <v/>
      </c>
      <c r="G17" s="10">
        <f>E17-C17</f>
        <v/>
      </c>
    </row>
    <row r="18">
      <c r="A18" s="9" t="n">
        <v>2017</v>
      </c>
      <c r="B18" s="9" t="n">
        <v>95</v>
      </c>
      <c r="C18" s="12" t="n">
        <v>1205811.828916</v>
      </c>
      <c r="D18" s="13" t="n">
        <v>1.189527729885199</v>
      </c>
      <c r="E18" s="10">
        <f>C18*D18</f>
        <v/>
      </c>
      <c r="F18" s="10">
        <f>E18-C18</f>
        <v/>
      </c>
      <c r="G18" s="10">
        <f>E18-C18</f>
        <v/>
      </c>
    </row>
    <row r="19">
      <c r="A19" s="9" t="n">
        <v>2018</v>
      </c>
      <c r="B19" s="9" t="n">
        <v>83</v>
      </c>
      <c r="C19" s="12" t="n">
        <v>2395448.423304001</v>
      </c>
      <c r="D19" s="13" t="n">
        <v>1.226522042284628</v>
      </c>
      <c r="E19" s="10">
        <f>C19*D19</f>
        <v/>
      </c>
      <c r="F19" s="10">
        <f>E19-C19</f>
        <v/>
      </c>
      <c r="G19" s="10">
        <f>E19-C19</f>
        <v/>
      </c>
    </row>
    <row r="20">
      <c r="A20" s="9" t="n">
        <v>2019</v>
      </c>
      <c r="B20" s="9" t="n">
        <v>71</v>
      </c>
      <c r="C20" s="12" t="n">
        <v>2395189.834488001</v>
      </c>
      <c r="D20" s="13" t="n">
        <v>1.37554447042221</v>
      </c>
      <c r="E20" s="10">
        <f>C20*D20</f>
        <v/>
      </c>
      <c r="F20" s="10">
        <f>E20-C20</f>
        <v/>
      </c>
      <c r="G20" s="10">
        <f>E20-C20</f>
        <v/>
      </c>
    </row>
    <row r="21">
      <c r="A21" s="9" t="n">
        <v>2020</v>
      </c>
      <c r="B21" s="9" t="n">
        <v>59</v>
      </c>
      <c r="C21" s="12" t="n">
        <v>976050.8625559999</v>
      </c>
      <c r="D21" s="13" t="n">
        <v>1.539234262402454</v>
      </c>
      <c r="E21" s="10">
        <f>C21*D21</f>
        <v/>
      </c>
      <c r="F21" s="10">
        <f>E21-C21</f>
        <v/>
      </c>
      <c r="G21" s="10">
        <f>E21-C21</f>
        <v/>
      </c>
    </row>
    <row r="22">
      <c r="A22" s="9" t="n">
        <v>2021</v>
      </c>
      <c r="B22" s="9" t="n">
        <v>47</v>
      </c>
      <c r="C22" s="12" t="n">
        <v>974979.4133360002</v>
      </c>
      <c r="D22" s="13" t="n">
        <v>1.68145950824844</v>
      </c>
      <c r="E22" s="10">
        <f>C22*D22</f>
        <v/>
      </c>
      <c r="F22" s="10">
        <f>E22-C22</f>
        <v/>
      </c>
      <c r="G22" s="10">
        <f>E22-C22</f>
        <v/>
      </c>
    </row>
    <row r="23">
      <c r="A23" s="9" t="n">
        <v>2022</v>
      </c>
      <c r="B23" s="9" t="n">
        <v>35</v>
      </c>
      <c r="C23" s="12" t="n">
        <v>791103.7101360001</v>
      </c>
      <c r="D23" s="13" t="n">
        <v>1.975546776241093</v>
      </c>
      <c r="E23" s="10">
        <f>C23*D23</f>
        <v/>
      </c>
      <c r="F23" s="10">
        <f>E23-C23</f>
        <v/>
      </c>
      <c r="G23" s="10">
        <f>E23-C23</f>
        <v/>
      </c>
    </row>
    <row r="24">
      <c r="A24" s="9" t="n">
        <v>2023</v>
      </c>
      <c r="B24" s="9" t="n">
        <v>23</v>
      </c>
      <c r="C24" s="12" t="n">
        <v>1199242.068356001</v>
      </c>
      <c r="D24" s="13" t="n">
        <v>2.81001773452533</v>
      </c>
      <c r="E24" s="10">
        <f>C24*D24</f>
        <v/>
      </c>
      <c r="F24" s="10">
        <f>E24-C24</f>
        <v/>
      </c>
      <c r="G24" s="10">
        <f>E24-C24</f>
        <v/>
      </c>
    </row>
    <row r="25">
      <c r="A25" s="9" t="n">
        <v>2024</v>
      </c>
      <c r="B25" s="9" t="n">
        <v>11</v>
      </c>
      <c r="C25" s="12" t="n">
        <v>355247.7609319999</v>
      </c>
      <c r="D25" s="13" t="n">
        <v>7.261647829560358</v>
      </c>
      <c r="E25" s="10">
        <f>C25*D25</f>
        <v/>
      </c>
      <c r="F25" s="10">
        <f>E25-C25</f>
        <v/>
      </c>
      <c r="G25" s="10">
        <f>E25-C25</f>
        <v/>
      </c>
    </row>
    <row r="26"/>
    <row r="27">
      <c r="A27" s="5" t="inlineStr">
        <is>
          <t>Total</t>
        </is>
      </c>
      <c r="C27" s="10">
        <f>SUM(C2:C25)</f>
        <v/>
      </c>
      <c r="E27" s="10">
        <f>SUM(E2:E25)</f>
        <v/>
      </c>
      <c r="F27" s="10">
        <f>SUM(F2:F25)</f>
        <v/>
      </c>
      <c r="G27" s="10">
        <f>SUM(G2:G25)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8" t="inlineStr">
        <is>
          <t>Accident Period</t>
        </is>
      </c>
      <c r="B1" s="8" t="inlineStr">
        <is>
          <t>Current Age</t>
        </is>
      </c>
      <c r="C1" s="8" t="inlineStr">
        <is>
          <t>Initial Expected</t>
        </is>
      </c>
      <c r="D1" s="8" t="inlineStr">
        <is>
          <t>CDF</t>
        </is>
      </c>
      <c r="E1" s="8" t="inlineStr">
        <is>
          <t>% Unreported</t>
        </is>
      </c>
      <c r="F1" s="8" t="inlineStr">
        <is>
          <t>Unreported</t>
        </is>
      </c>
      <c r="G1" s="8" t="inlineStr">
        <is>
          <t>Incurred</t>
        </is>
      </c>
      <c r="H1" s="8" t="inlineStr">
        <is>
          <t>Ultimate</t>
        </is>
      </c>
      <c r="I1" s="8" t="inlineStr">
        <is>
          <t>IBNR</t>
        </is>
      </c>
      <c r="J1" s="8" t="inlineStr">
        <is>
          <t>Unpaid</t>
        </is>
      </c>
    </row>
    <row r="2">
      <c r="A2" s="9" t="n">
        <v>2001</v>
      </c>
      <c r="B2" s="9" t="n">
        <v>287</v>
      </c>
      <c r="C2" s="12" t="n">
        <v>3163773.699688</v>
      </c>
      <c r="D2" s="13" t="n">
        <v>1.036724577767118</v>
      </c>
      <c r="E2" s="14">
        <f>1-(1/D2)</f>
        <v/>
      </c>
      <c r="F2" s="10">
        <f>C2*E2</f>
        <v/>
      </c>
      <c r="G2" s="12" t="n">
        <v>3163773.699688</v>
      </c>
      <c r="H2" s="10">
        <f>F2+G2</f>
        <v/>
      </c>
      <c r="I2" s="10">
        <f>H2-G2</f>
        <v/>
      </c>
      <c r="J2" s="10">
        <f>H2-'Paid CL'!C2</f>
        <v/>
      </c>
    </row>
    <row r="3">
      <c r="A3" s="9" t="n">
        <v>2002</v>
      </c>
      <c r="B3" s="9" t="n">
        <v>275</v>
      </c>
      <c r="C3" s="12" t="n">
        <v>2904344.256599999</v>
      </c>
      <c r="D3" s="13" t="n">
        <v>1.049061600242547</v>
      </c>
      <c r="E3" s="14">
        <f>1-(1/D3)</f>
        <v/>
      </c>
      <c r="F3" s="10">
        <f>C3*E3</f>
        <v/>
      </c>
      <c r="G3" s="12" t="n">
        <v>2327733.756319999</v>
      </c>
      <c r="H3" s="10">
        <f>F3+G3</f>
        <v/>
      </c>
      <c r="I3" s="10">
        <f>H3-G3</f>
        <v/>
      </c>
      <c r="J3" s="10">
        <f>H3-'Paid CL'!C3</f>
        <v/>
      </c>
    </row>
    <row r="4">
      <c r="A4" s="9" t="n">
        <v>2003</v>
      </c>
      <c r="B4" s="9" t="n">
        <v>263</v>
      </c>
      <c r="C4" s="12" t="n">
        <v>2633272.1256</v>
      </c>
      <c r="D4" s="13" t="n">
        <v>1.049061600242547</v>
      </c>
      <c r="E4" s="14">
        <f>1-(1/D4)</f>
        <v/>
      </c>
      <c r="F4" s="10">
        <f>C4*E4</f>
        <v/>
      </c>
      <c r="G4" s="12" t="n">
        <v>1778091.575843999</v>
      </c>
      <c r="H4" s="10">
        <f>F4+G4</f>
        <v/>
      </c>
      <c r="I4" s="10">
        <f>H4-G4</f>
        <v/>
      </c>
      <c r="J4" s="10">
        <f>H4-'Paid CL'!C4</f>
        <v/>
      </c>
    </row>
    <row r="5">
      <c r="A5" s="9" t="n">
        <v>2004</v>
      </c>
      <c r="B5" s="9" t="n">
        <v>251</v>
      </c>
      <c r="C5" s="12" t="n">
        <v>1678710.98</v>
      </c>
      <c r="D5" s="13" t="n">
        <v>1.066476022806573</v>
      </c>
      <c r="E5" s="14">
        <f>1-(1/D5)</f>
        <v/>
      </c>
      <c r="F5" s="10">
        <f>C5*E5</f>
        <v/>
      </c>
      <c r="G5" s="12" t="n">
        <v>1122614.7306</v>
      </c>
      <c r="H5" s="10">
        <f>F5+G5</f>
        <v/>
      </c>
      <c r="I5" s="10">
        <f>H5-G5</f>
        <v/>
      </c>
      <c r="J5" s="10">
        <f>H5-'Paid CL'!C5</f>
        <v/>
      </c>
    </row>
    <row r="6">
      <c r="A6" s="9" t="n">
        <v>2005</v>
      </c>
      <c r="B6" s="9" t="n">
        <v>239</v>
      </c>
      <c r="C6" s="12" t="n">
        <v>1712285.2</v>
      </c>
      <c r="D6" s="13" t="n">
        <v>1.071061869704641</v>
      </c>
      <c r="E6" s="14">
        <f>1-(1/D6)</f>
        <v/>
      </c>
      <c r="F6" s="10">
        <f>C6*E6</f>
        <v/>
      </c>
      <c r="G6" s="12" t="n">
        <v>2242149.132116</v>
      </c>
      <c r="H6" s="10">
        <f>F6+G6</f>
        <v/>
      </c>
      <c r="I6" s="10">
        <f>H6-G6</f>
        <v/>
      </c>
      <c r="J6" s="10">
        <f>H6-'Paid CL'!C6</f>
        <v/>
      </c>
    </row>
    <row r="7">
      <c r="A7" s="9" t="n">
        <v>2006</v>
      </c>
      <c r="B7" s="9" t="n">
        <v>227</v>
      </c>
      <c r="C7" s="12" t="n">
        <v>1746530.9035</v>
      </c>
      <c r="D7" s="13" t="n">
        <v>1.08016589559713</v>
      </c>
      <c r="E7" s="14">
        <f>1-(1/D7)</f>
        <v/>
      </c>
      <c r="F7" s="10">
        <f>C7*E7</f>
        <v/>
      </c>
      <c r="G7" s="12" t="n">
        <v>1517636.792660001</v>
      </c>
      <c r="H7" s="10">
        <f>F7+G7</f>
        <v/>
      </c>
      <c r="I7" s="10">
        <f>H7-G7</f>
        <v/>
      </c>
      <c r="J7" s="10">
        <f>H7-'Paid CL'!C7</f>
        <v/>
      </c>
    </row>
    <row r="8">
      <c r="A8" s="9" t="n">
        <v>2007</v>
      </c>
      <c r="B8" s="9" t="n">
        <v>215</v>
      </c>
      <c r="C8" s="12" t="n">
        <v>2850338.4352</v>
      </c>
      <c r="D8" s="13" t="n">
        <v>1.08016589559713</v>
      </c>
      <c r="E8" s="14">
        <f>1-(1/D8)</f>
        <v/>
      </c>
      <c r="F8" s="10">
        <f>C8*E8</f>
        <v/>
      </c>
      <c r="G8" s="12" t="n">
        <v>4810774.614816</v>
      </c>
      <c r="H8" s="10">
        <f>F8+G8</f>
        <v/>
      </c>
      <c r="I8" s="10">
        <f>H8-G8</f>
        <v/>
      </c>
      <c r="J8" s="10">
        <f>H8-'Paid CL'!C8</f>
        <v/>
      </c>
    </row>
    <row r="9">
      <c r="A9" s="9" t="n">
        <v>2008</v>
      </c>
      <c r="B9" s="9" t="n">
        <v>203</v>
      </c>
      <c r="C9" s="12" t="n">
        <v>2543927.0535</v>
      </c>
      <c r="D9" s="13" t="n">
        <v>1.082326227388325</v>
      </c>
      <c r="E9" s="14">
        <f>1-(1/D9)</f>
        <v/>
      </c>
      <c r="F9" s="10">
        <f>C9*E9</f>
        <v/>
      </c>
      <c r="G9" s="12" t="n">
        <v>1378427.939547998</v>
      </c>
      <c r="H9" s="10">
        <f>F9+G9</f>
        <v/>
      </c>
      <c r="I9" s="10">
        <f>H9-G9</f>
        <v/>
      </c>
      <c r="J9" s="10">
        <f>H9-'Paid CL'!C9</f>
        <v/>
      </c>
    </row>
    <row r="10">
      <c r="A10" s="9" t="n">
        <v>2009</v>
      </c>
      <c r="B10" s="9" t="n">
        <v>191</v>
      </c>
      <c r="C10" s="12" t="n">
        <v>2594805.5945</v>
      </c>
      <c r="D10" s="13" t="n">
        <v>1.091634232943864</v>
      </c>
      <c r="E10" s="14">
        <f>1-(1/D10)</f>
        <v/>
      </c>
      <c r="F10" s="10">
        <f>C10*E10</f>
        <v/>
      </c>
      <c r="G10" s="12" t="n">
        <v>1169581.089256</v>
      </c>
      <c r="H10" s="10">
        <f>F10+G10</f>
        <v/>
      </c>
      <c r="I10" s="10">
        <f>H10-G10</f>
        <v/>
      </c>
      <c r="J10" s="10">
        <f>H10-'Paid CL'!C10</f>
        <v/>
      </c>
    </row>
    <row r="11">
      <c r="A11" s="9" t="n">
        <v>2010</v>
      </c>
      <c r="B11" s="9" t="n">
        <v>179</v>
      </c>
      <c r="C11" s="12" t="n">
        <v>1134300.7311</v>
      </c>
      <c r="D11" s="13" t="n">
        <v>1.0967649138387</v>
      </c>
      <c r="E11" s="14">
        <f>1-(1/D11)</f>
        <v/>
      </c>
      <c r="F11" s="10">
        <f>C11*E11</f>
        <v/>
      </c>
      <c r="G11" s="12" t="n">
        <v>1277672.072084001</v>
      </c>
      <c r="H11" s="10">
        <f>F11+G11</f>
        <v/>
      </c>
      <c r="I11" s="10">
        <f>H11-G11</f>
        <v/>
      </c>
      <c r="J11" s="10">
        <f>H11-'Paid CL'!C11</f>
        <v/>
      </c>
    </row>
    <row r="12">
      <c r="A12" s="9" t="n">
        <v>2011</v>
      </c>
      <c r="B12" s="9" t="n">
        <v>167</v>
      </c>
      <c r="C12" s="12" t="n">
        <v>1542648.9944</v>
      </c>
      <c r="D12" s="13" t="n">
        <v>1.107732562977087</v>
      </c>
      <c r="E12" s="14">
        <f>1-(1/D12)</f>
        <v/>
      </c>
      <c r="F12" s="10">
        <f>C12*E12</f>
        <v/>
      </c>
      <c r="G12" s="12" t="n">
        <v>1916081.580416</v>
      </c>
      <c r="H12" s="10">
        <f>F12+G12</f>
        <v/>
      </c>
      <c r="I12" s="10">
        <f>H12-G12</f>
        <v/>
      </c>
      <c r="J12" s="10">
        <f>H12-'Paid CL'!C12</f>
        <v/>
      </c>
    </row>
    <row r="13">
      <c r="A13" s="9" t="n">
        <v>2012</v>
      </c>
      <c r="B13" s="9" t="n">
        <v>155</v>
      </c>
      <c r="C13" s="12" t="n">
        <v>1573501.9744</v>
      </c>
      <c r="D13" s="13" t="n">
        <v>1.108175656002278</v>
      </c>
      <c r="E13" s="14">
        <f>1-(1/D13)</f>
        <v/>
      </c>
      <c r="F13" s="10">
        <f>C13*E13</f>
        <v/>
      </c>
      <c r="G13" s="12" t="n">
        <v>1363753.380531999</v>
      </c>
      <c r="H13" s="10">
        <f>F13+G13</f>
        <v/>
      </c>
      <c r="I13" s="10">
        <f>H13-G13</f>
        <v/>
      </c>
      <c r="J13" s="10">
        <f>H13-'Paid CL'!C13</f>
        <v/>
      </c>
    </row>
    <row r="14">
      <c r="A14" s="9" t="n">
        <v>2013</v>
      </c>
      <c r="B14" s="9" t="n">
        <v>143</v>
      </c>
      <c r="C14" s="12" t="n">
        <v>1203729.0102</v>
      </c>
      <c r="D14" s="13" t="n">
        <v>1.111832635667086</v>
      </c>
      <c r="E14" s="14">
        <f>1-(1/D14)</f>
        <v/>
      </c>
      <c r="F14" s="10">
        <f>C14*E14</f>
        <v/>
      </c>
      <c r="G14" s="12" t="n">
        <v>708529.9908599999</v>
      </c>
      <c r="H14" s="10">
        <f>F14+G14</f>
        <v/>
      </c>
      <c r="I14" s="10">
        <f>H14-G14</f>
        <v/>
      </c>
      <c r="J14" s="10">
        <f>H14-'Paid CL'!C14</f>
        <v/>
      </c>
    </row>
    <row r="15">
      <c r="A15" s="9" t="n">
        <v>2014</v>
      </c>
      <c r="B15" s="9" t="n">
        <v>131</v>
      </c>
      <c r="C15" s="12" t="n">
        <v>1227803.5905</v>
      </c>
      <c r="D15" s="13" t="n">
        <v>1.153971092558868</v>
      </c>
      <c r="E15" s="14">
        <f>1-(1/D15)</f>
        <v/>
      </c>
      <c r="F15" s="10">
        <f>C15*E15</f>
        <v/>
      </c>
      <c r="G15" s="12" t="n">
        <v>1389603.684732</v>
      </c>
      <c r="H15" s="10">
        <f>F15+G15</f>
        <v/>
      </c>
      <c r="I15" s="10">
        <f>H15-G15</f>
        <v/>
      </c>
      <c r="J15" s="10">
        <f>H15-'Paid CL'!C15</f>
        <v/>
      </c>
    </row>
    <row r="16">
      <c r="A16" s="9" t="n">
        <v>2015</v>
      </c>
      <c r="B16" s="9" t="n">
        <v>119</v>
      </c>
      <c r="C16" s="12" t="n">
        <v>1669812.8832</v>
      </c>
      <c r="D16" s="13" t="n">
        <v>1.160779522004966</v>
      </c>
      <c r="E16" s="14">
        <f>1-(1/D16)</f>
        <v/>
      </c>
      <c r="F16" s="10">
        <f>C16*E16</f>
        <v/>
      </c>
      <c r="G16" s="12" t="n">
        <v>3382963.258076001</v>
      </c>
      <c r="H16" s="10">
        <f>F16+G16</f>
        <v/>
      </c>
      <c r="I16" s="10">
        <f>H16-G16</f>
        <v/>
      </c>
      <c r="J16" s="10">
        <f>H16-'Paid CL'!C16</f>
        <v/>
      </c>
    </row>
    <row r="17">
      <c r="A17" s="9" t="n">
        <v>2016</v>
      </c>
      <c r="B17" s="9" t="n">
        <v>107</v>
      </c>
      <c r="C17" s="12" t="n">
        <v>2554813.7112</v>
      </c>
      <c r="D17" s="13" t="n">
        <v>1.201871117083942</v>
      </c>
      <c r="E17" s="14">
        <f>1-(1/D17)</f>
        <v/>
      </c>
      <c r="F17" s="10">
        <f>C17*E17</f>
        <v/>
      </c>
      <c r="G17" s="12" t="n">
        <v>2506323.643367999</v>
      </c>
      <c r="H17" s="10">
        <f>F17+G17</f>
        <v/>
      </c>
      <c r="I17" s="10">
        <f>H17-G17</f>
        <v/>
      </c>
      <c r="J17" s="10">
        <f>H17-'Paid CL'!C17</f>
        <v/>
      </c>
    </row>
    <row r="18">
      <c r="A18" s="9" t="n">
        <v>2017</v>
      </c>
      <c r="B18" s="9" t="n">
        <v>95</v>
      </c>
      <c r="C18" s="12" t="n">
        <v>2605909.9854</v>
      </c>
      <c r="D18" s="13" t="n">
        <v>1.226749849207579</v>
      </c>
      <c r="E18" s="14">
        <f>1-(1/D18)</f>
        <v/>
      </c>
      <c r="F18" s="10">
        <f>C18*E18</f>
        <v/>
      </c>
      <c r="G18" s="12" t="n">
        <v>1205811.828916</v>
      </c>
      <c r="H18" s="10">
        <f>F18+G18</f>
        <v/>
      </c>
      <c r="I18" s="10">
        <f>H18-G18</f>
        <v/>
      </c>
      <c r="J18" s="10">
        <f>H18-'Paid CL'!C18</f>
        <v/>
      </c>
    </row>
    <row r="19">
      <c r="A19" s="9" t="n">
        <v>2018</v>
      </c>
      <c r="B19" s="9" t="n">
        <v>83</v>
      </c>
      <c r="C19" s="12" t="n">
        <v>2215023.4875</v>
      </c>
      <c r="D19" s="13" t="n">
        <v>1.236073148061557</v>
      </c>
      <c r="E19" s="14">
        <f>1-(1/D19)</f>
        <v/>
      </c>
      <c r="F19" s="10">
        <f>C19*E19</f>
        <v/>
      </c>
      <c r="G19" s="12" t="n">
        <v>2395448.423304001</v>
      </c>
      <c r="H19" s="10">
        <f>F19+G19</f>
        <v/>
      </c>
      <c r="I19" s="10">
        <f>H19-G19</f>
        <v/>
      </c>
      <c r="J19" s="10">
        <f>H19-'Paid CL'!C19</f>
        <v/>
      </c>
    </row>
    <row r="20">
      <c r="A20" s="9" t="n">
        <v>2019</v>
      </c>
      <c r="B20" s="9" t="n">
        <v>71</v>
      </c>
      <c r="C20" s="12" t="n">
        <v>2259323.9575</v>
      </c>
      <c r="D20" s="13" t="n">
        <v>1.339408863239503</v>
      </c>
      <c r="E20" s="14">
        <f>1-(1/D20)</f>
        <v/>
      </c>
      <c r="F20" s="10">
        <f>C20*E20</f>
        <v/>
      </c>
      <c r="G20" s="12" t="n">
        <v>2599882.874291999</v>
      </c>
      <c r="H20" s="10">
        <f>F20+G20</f>
        <v/>
      </c>
      <c r="I20" s="10">
        <f>H20-G20</f>
        <v/>
      </c>
      <c r="J20" s="10">
        <f>H20-'Paid CL'!C20</f>
        <v/>
      </c>
    </row>
    <row r="21">
      <c r="A21" s="9" t="n">
        <v>2020</v>
      </c>
      <c r="B21" s="9" t="n">
        <v>59</v>
      </c>
      <c r="C21" s="12" t="n">
        <v>1843608.3492</v>
      </c>
      <c r="D21" s="13" t="n">
        <v>1.482859552492453</v>
      </c>
      <c r="E21" s="14">
        <f>1-(1/D21)</f>
        <v/>
      </c>
      <c r="F21" s="10">
        <f>C21*E21</f>
        <v/>
      </c>
      <c r="G21" s="12" t="n">
        <v>978899.5094679999</v>
      </c>
      <c r="H21" s="10">
        <f>F21+G21</f>
        <v/>
      </c>
      <c r="I21" s="10">
        <f>H21-G21</f>
        <v/>
      </c>
      <c r="J21" s="10">
        <f>H21-'Paid CL'!C21</f>
        <v/>
      </c>
    </row>
    <row r="22">
      <c r="A22" s="9" t="n">
        <v>2021</v>
      </c>
      <c r="B22" s="9" t="n">
        <v>47</v>
      </c>
      <c r="C22" s="12" t="n">
        <v>1410360.3873</v>
      </c>
      <c r="D22" s="13" t="n">
        <v>1.567382546984523</v>
      </c>
      <c r="E22" s="14">
        <f>1-(1/D22)</f>
        <v/>
      </c>
      <c r="F22" s="10">
        <f>C22*E22</f>
        <v/>
      </c>
      <c r="G22" s="12" t="n">
        <v>1011313.279736</v>
      </c>
      <c r="H22" s="10">
        <f>F22+G22</f>
        <v/>
      </c>
      <c r="I22" s="10">
        <f>H22-G22</f>
        <v/>
      </c>
      <c r="J22" s="10">
        <f>H22-'Paid CL'!C22</f>
        <v/>
      </c>
    </row>
    <row r="23">
      <c r="A23" s="9" t="n">
        <v>2022</v>
      </c>
      <c r="B23" s="9" t="n">
        <v>35</v>
      </c>
      <c r="C23" s="12" t="n">
        <v>959045.0632000001</v>
      </c>
      <c r="D23" s="13" t="n">
        <v>1.861110036289423</v>
      </c>
      <c r="E23" s="14">
        <f>1-(1/D23)</f>
        <v/>
      </c>
      <c r="F23" s="10">
        <f>C23*E23</f>
        <v/>
      </c>
      <c r="G23" s="12" t="n">
        <v>827416.1066440007</v>
      </c>
      <c r="H23" s="10">
        <f>F23+G23</f>
        <v/>
      </c>
      <c r="I23" s="10">
        <f>H23-G23</f>
        <v/>
      </c>
      <c r="J23" s="10">
        <f>H23-'Paid CL'!C23</f>
        <v/>
      </c>
    </row>
    <row r="24">
      <c r="A24" s="9" t="n">
        <v>2023</v>
      </c>
      <c r="B24" s="9" t="n">
        <v>23</v>
      </c>
      <c r="C24" s="12" t="n">
        <v>978225.9646000001</v>
      </c>
      <c r="D24" s="13" t="n">
        <v>2.290840343668651</v>
      </c>
      <c r="E24" s="14">
        <f>1-(1/D24)</f>
        <v/>
      </c>
      <c r="F24" s="10">
        <f>C24*E24</f>
        <v/>
      </c>
      <c r="G24" s="12" t="n">
        <v>1651756.674352</v>
      </c>
      <c r="H24" s="10">
        <f>F24+G24</f>
        <v/>
      </c>
      <c r="I24" s="10">
        <f>H24-G24</f>
        <v/>
      </c>
      <c r="J24" s="10">
        <f>H24-'Paid CL'!C24</f>
        <v/>
      </c>
    </row>
    <row r="25">
      <c r="A25" s="9" t="n">
        <v>2024</v>
      </c>
      <c r="B25" s="9" t="n">
        <v>11</v>
      </c>
      <c r="C25" s="12" t="n">
        <v>997790.4837999999</v>
      </c>
      <c r="D25" s="13" t="n">
        <v>3.899926601061511</v>
      </c>
      <c r="E25" s="14">
        <f>1-(1/D25)</f>
        <v/>
      </c>
      <c r="F25" s="10">
        <f>C25*E25</f>
        <v/>
      </c>
      <c r="G25" s="12" t="n">
        <v>890155.221828</v>
      </c>
      <c r="H25" s="10">
        <f>F25+G25</f>
        <v/>
      </c>
      <c r="I25" s="10">
        <f>H25-G25</f>
        <v/>
      </c>
      <c r="J25" s="10">
        <f>H25-'Paid CL'!C25</f>
        <v/>
      </c>
    </row>
    <row r="26"/>
    <row r="27">
      <c r="A27" s="5" t="inlineStr">
        <is>
          <t>Total</t>
        </is>
      </c>
      <c r="C27" s="10">
        <f>SUM(C2:C25)</f>
        <v/>
      </c>
      <c r="E27" s="14">
        <f>SUM(F2:F25)/SUM(C2:C25)</f>
        <v/>
      </c>
      <c r="F27" s="10">
        <f>SUM(F2:F25)</f>
        <v/>
      </c>
      <c r="G27" s="10">
        <f>SUM(G2:G25)</f>
        <v/>
      </c>
      <c r="H27" s="10">
        <f>SUM(H2:H25)</f>
        <v/>
      </c>
      <c r="I27" s="10">
        <f>SUM(I2:I25)</f>
        <v/>
      </c>
      <c r="J27" s="10">
        <f>SUM(J2:J25)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8" t="inlineStr">
        <is>
          <t>Accident Period</t>
        </is>
      </c>
      <c r="B1" s="8" t="inlineStr">
        <is>
          <t>Current Age</t>
        </is>
      </c>
      <c r="C1" s="8" t="inlineStr">
        <is>
          <t>Initial Expected</t>
        </is>
      </c>
      <c r="D1" s="8" t="inlineStr">
        <is>
          <t>CDF</t>
        </is>
      </c>
      <c r="E1" s="8" t="inlineStr">
        <is>
          <t>% Unreported</t>
        </is>
      </c>
      <c r="F1" s="8" t="inlineStr">
        <is>
          <t>Unreported</t>
        </is>
      </c>
      <c r="G1" s="8" t="inlineStr">
        <is>
          <t>Paid</t>
        </is>
      </c>
      <c r="H1" s="8" t="inlineStr">
        <is>
          <t>Ultimate</t>
        </is>
      </c>
      <c r="I1" s="8" t="inlineStr">
        <is>
          <t>IBNR</t>
        </is>
      </c>
      <c r="J1" s="8" t="inlineStr">
        <is>
          <t>Unpaid</t>
        </is>
      </c>
    </row>
    <row r="2">
      <c r="A2" s="9" t="n">
        <v>2001</v>
      </c>
      <c r="B2" s="9" t="n">
        <v>287</v>
      </c>
      <c r="C2" s="12" t="n">
        <v>3163773.699688</v>
      </c>
      <c r="D2" s="13" t="n">
        <v>1.0039</v>
      </c>
      <c r="E2" s="14">
        <f>1-(1/D2)</f>
        <v/>
      </c>
      <c r="F2" s="10">
        <f>C2*E2</f>
        <v/>
      </c>
      <c r="G2" s="12" t="n">
        <v>3042294.662276</v>
      </c>
      <c r="H2" s="10">
        <f>F2+G2</f>
        <v/>
      </c>
      <c r="I2" s="10">
        <f>H2-G2</f>
        <v/>
      </c>
      <c r="J2" s="10">
        <f>H2-G2</f>
        <v/>
      </c>
    </row>
    <row r="3">
      <c r="A3" s="9" t="n">
        <v>2002</v>
      </c>
      <c r="B3" s="9" t="n">
        <v>275</v>
      </c>
      <c r="C3" s="12" t="n">
        <v>2904344.256599999</v>
      </c>
      <c r="D3" s="13" t="n">
        <v>1.00781521</v>
      </c>
      <c r="E3" s="14">
        <f>1-(1/D3)</f>
        <v/>
      </c>
      <c r="F3" s="10">
        <f>C3*E3</f>
        <v/>
      </c>
      <c r="G3" s="12" t="n">
        <v>2199646.228088</v>
      </c>
      <c r="H3" s="10">
        <f>F3+G3</f>
        <v/>
      </c>
      <c r="I3" s="10">
        <f>H3-G3</f>
        <v/>
      </c>
      <c r="J3" s="10">
        <f>H3-G3</f>
        <v/>
      </c>
    </row>
    <row r="4">
      <c r="A4" s="9" t="n">
        <v>2003</v>
      </c>
      <c r="B4" s="9" t="n">
        <v>263</v>
      </c>
      <c r="C4" s="12" t="n">
        <v>2633272.1256</v>
      </c>
      <c r="D4" s="13" t="n">
        <v>1.015474605596</v>
      </c>
      <c r="E4" s="14">
        <f>1-(1/D4)</f>
        <v/>
      </c>
      <c r="F4" s="10">
        <f>C4*E4</f>
        <v/>
      </c>
      <c r="G4" s="12" t="n">
        <v>1778091.575843999</v>
      </c>
      <c r="H4" s="10">
        <f>F4+G4</f>
        <v/>
      </c>
      <c r="I4" s="10">
        <f>H4-G4</f>
        <v/>
      </c>
      <c r="J4" s="10">
        <f>H4-G4</f>
        <v/>
      </c>
    </row>
    <row r="5">
      <c r="A5" s="9" t="n">
        <v>2004</v>
      </c>
      <c r="B5" s="9" t="n">
        <v>251</v>
      </c>
      <c r="C5" s="12" t="n">
        <v>1678710.98</v>
      </c>
      <c r="D5" s="13" t="n">
        <v>1.021262810847897</v>
      </c>
      <c r="E5" s="14">
        <f>1-(1/D5)</f>
        <v/>
      </c>
      <c r="F5" s="10">
        <f>C5*E5</f>
        <v/>
      </c>
      <c r="G5" s="12" t="n">
        <v>1122614.7306</v>
      </c>
      <c r="H5" s="10">
        <f>F5+G5</f>
        <v/>
      </c>
      <c r="I5" s="10">
        <f>H5-G5</f>
        <v/>
      </c>
      <c r="J5" s="10">
        <f>H5-G5</f>
        <v/>
      </c>
    </row>
    <row r="6">
      <c r="A6" s="9" t="n">
        <v>2005</v>
      </c>
      <c r="B6" s="9" t="n">
        <v>239</v>
      </c>
      <c r="C6" s="12" t="n">
        <v>1712285.2</v>
      </c>
      <c r="D6" s="13" t="n">
        <v>1.025756367215628</v>
      </c>
      <c r="E6" s="14">
        <f>1-(1/D6)</f>
        <v/>
      </c>
      <c r="F6" s="10">
        <f>C6*E6</f>
        <v/>
      </c>
      <c r="G6" s="12" t="n">
        <v>2242149.132116</v>
      </c>
      <c r="H6" s="10">
        <f>F6+G6</f>
        <v/>
      </c>
      <c r="I6" s="10">
        <f>H6-G6</f>
        <v/>
      </c>
      <c r="J6" s="10">
        <f>H6-G6</f>
        <v/>
      </c>
    </row>
    <row r="7">
      <c r="A7" s="9" t="n">
        <v>2006</v>
      </c>
      <c r="B7" s="9" t="n">
        <v>227</v>
      </c>
      <c r="C7" s="12" t="n">
        <v>1746530.9035</v>
      </c>
      <c r="D7" s="13" t="n">
        <v>1.028218182496945</v>
      </c>
      <c r="E7" s="14">
        <f>1-(1/D7)</f>
        <v/>
      </c>
      <c r="F7" s="10">
        <f>C7*E7</f>
        <v/>
      </c>
      <c r="G7" s="12" t="n">
        <v>1462141.027856</v>
      </c>
      <c r="H7" s="10">
        <f>F7+G7</f>
        <v/>
      </c>
      <c r="I7" s="10">
        <f>H7-G7</f>
        <v/>
      </c>
      <c r="J7" s="10">
        <f>H7-G7</f>
        <v/>
      </c>
    </row>
    <row r="8">
      <c r="A8" s="9" t="n">
        <v>2007</v>
      </c>
      <c r="B8" s="9" t="n">
        <v>215</v>
      </c>
      <c r="C8" s="12" t="n">
        <v>2850338.4352</v>
      </c>
      <c r="D8" s="13" t="n">
        <v>1.032639520681682</v>
      </c>
      <c r="E8" s="14">
        <f>1-(1/D8)</f>
        <v/>
      </c>
      <c r="F8" s="10">
        <f>C8*E8</f>
        <v/>
      </c>
      <c r="G8" s="12" t="n">
        <v>4790693.153152</v>
      </c>
      <c r="H8" s="10">
        <f>F8+G8</f>
        <v/>
      </c>
      <c r="I8" s="10">
        <f>H8-G8</f>
        <v/>
      </c>
      <c r="J8" s="10">
        <f>H8-G8</f>
        <v/>
      </c>
    </row>
    <row r="9">
      <c r="A9" s="9" t="n">
        <v>2008</v>
      </c>
      <c r="B9" s="9" t="n">
        <v>203</v>
      </c>
      <c r="C9" s="12" t="n">
        <v>2543927.0535</v>
      </c>
      <c r="D9" s="13" t="n">
        <v>1.03501459157925</v>
      </c>
      <c r="E9" s="14">
        <f>1-(1/D9)</f>
        <v/>
      </c>
      <c r="F9" s="10">
        <f>C9*E9</f>
        <v/>
      </c>
      <c r="G9" s="12" t="n">
        <v>1378427.939547998</v>
      </c>
      <c r="H9" s="10">
        <f>F9+G9</f>
        <v/>
      </c>
      <c r="I9" s="10">
        <f>H9-G9</f>
        <v/>
      </c>
      <c r="J9" s="10">
        <f>H9-G9</f>
        <v/>
      </c>
    </row>
    <row r="10">
      <c r="A10" s="9" t="n">
        <v>2009</v>
      </c>
      <c r="B10" s="9" t="n">
        <v>191</v>
      </c>
      <c r="C10" s="12" t="n">
        <v>2594805.5945</v>
      </c>
      <c r="D10" s="13" t="n">
        <v>1.048159276892306</v>
      </c>
      <c r="E10" s="14">
        <f>1-(1/D10)</f>
        <v/>
      </c>
      <c r="F10" s="10">
        <f>C10*E10</f>
        <v/>
      </c>
      <c r="G10" s="12" t="n">
        <v>1169581.089256</v>
      </c>
      <c r="H10" s="10">
        <f>F10+G10</f>
        <v/>
      </c>
      <c r="I10" s="10">
        <f>H10-G10</f>
        <v/>
      </c>
      <c r="J10" s="10">
        <f>H10-G10</f>
        <v/>
      </c>
    </row>
    <row r="11">
      <c r="A11" s="9" t="n">
        <v>2010</v>
      </c>
      <c r="B11" s="9" t="n">
        <v>179</v>
      </c>
      <c r="C11" s="12" t="n">
        <v>1134300.7311</v>
      </c>
      <c r="D11" s="13" t="n">
        <v>1.058221605950473</v>
      </c>
      <c r="E11" s="14">
        <f>1-(1/D11)</f>
        <v/>
      </c>
      <c r="F11" s="10">
        <f>C11*E11</f>
        <v/>
      </c>
      <c r="G11" s="12" t="n">
        <v>1277672.072084001</v>
      </c>
      <c r="H11" s="10">
        <f>F11+G11</f>
        <v/>
      </c>
      <c r="I11" s="10">
        <f>H11-G11</f>
        <v/>
      </c>
      <c r="J11" s="10">
        <f>H11-G11</f>
        <v/>
      </c>
    </row>
    <row r="12">
      <c r="A12" s="9" t="n">
        <v>2011</v>
      </c>
      <c r="B12" s="9" t="n">
        <v>167</v>
      </c>
      <c r="C12" s="12" t="n">
        <v>1542648.9944</v>
      </c>
      <c r="D12" s="13" t="n">
        <v>1.066793200958671</v>
      </c>
      <c r="E12" s="14">
        <f>1-(1/D12)</f>
        <v/>
      </c>
      <c r="F12" s="10">
        <f>C12*E12</f>
        <v/>
      </c>
      <c r="G12" s="12" t="n">
        <v>1892658.297732</v>
      </c>
      <c r="H12" s="10">
        <f>F12+G12</f>
        <v/>
      </c>
      <c r="I12" s="10">
        <f>H12-G12</f>
        <v/>
      </c>
      <c r="J12" s="10">
        <f>H12-G12</f>
        <v/>
      </c>
    </row>
    <row r="13">
      <c r="A13" s="9" t="n">
        <v>2012</v>
      </c>
      <c r="B13" s="9" t="n">
        <v>155</v>
      </c>
      <c r="C13" s="12" t="n">
        <v>1573501.9744</v>
      </c>
      <c r="D13" s="13" t="n">
        <v>1.07404739472519</v>
      </c>
      <c r="E13" s="14">
        <f>1-(1/D13)</f>
        <v/>
      </c>
      <c r="F13" s="10">
        <f>C13*E13</f>
        <v/>
      </c>
      <c r="G13" s="12" t="n">
        <v>1194236.878339999</v>
      </c>
      <c r="H13" s="10">
        <f>F13+G13</f>
        <v/>
      </c>
      <c r="I13" s="10">
        <f>H13-G13</f>
        <v/>
      </c>
      <c r="J13" s="10">
        <f>H13-G13</f>
        <v/>
      </c>
    </row>
    <row r="14">
      <c r="A14" s="9" t="n">
        <v>2013</v>
      </c>
      <c r="B14" s="9" t="n">
        <v>143</v>
      </c>
      <c r="C14" s="12" t="n">
        <v>1203729.0102</v>
      </c>
      <c r="D14" s="13" t="n">
        <v>1.095635747359167</v>
      </c>
      <c r="E14" s="14">
        <f>1-(1/D14)</f>
        <v/>
      </c>
      <c r="F14" s="10">
        <f>C14*E14</f>
        <v/>
      </c>
      <c r="G14" s="12" t="n">
        <v>708529.9908599999</v>
      </c>
      <c r="H14" s="10">
        <f>F14+G14</f>
        <v/>
      </c>
      <c r="I14" s="10">
        <f>H14-G14</f>
        <v/>
      </c>
      <c r="J14" s="10">
        <f>H14-G14</f>
        <v/>
      </c>
    </row>
    <row r="15">
      <c r="A15" s="9" t="n">
        <v>2014</v>
      </c>
      <c r="B15" s="9" t="n">
        <v>131</v>
      </c>
      <c r="C15" s="12" t="n">
        <v>1227803.5905</v>
      </c>
      <c r="D15" s="13" t="n">
        <v>1.117000644432671</v>
      </c>
      <c r="E15" s="14">
        <f>1-(1/D15)</f>
        <v/>
      </c>
      <c r="F15" s="10">
        <f>C15*E15</f>
        <v/>
      </c>
      <c r="G15" s="12" t="n">
        <v>1389603.684732</v>
      </c>
      <c r="H15" s="10">
        <f>F15+G15</f>
        <v/>
      </c>
      <c r="I15" s="10">
        <f>H15-G15</f>
        <v/>
      </c>
      <c r="J15" s="10">
        <f>H15-G15</f>
        <v/>
      </c>
    </row>
    <row r="16">
      <c r="A16" s="9" t="n">
        <v>2015</v>
      </c>
      <c r="B16" s="9" t="n">
        <v>119</v>
      </c>
      <c r="C16" s="12" t="n">
        <v>1669812.8832</v>
      </c>
      <c r="D16" s="13" t="n">
        <v>1.126606849974791</v>
      </c>
      <c r="E16" s="14">
        <f>1-(1/D16)</f>
        <v/>
      </c>
      <c r="F16" s="10">
        <f>C16*E16</f>
        <v/>
      </c>
      <c r="G16" s="12" t="n">
        <v>3364231.298548001</v>
      </c>
      <c r="H16" s="10">
        <f>F16+G16</f>
        <v/>
      </c>
      <c r="I16" s="10">
        <f>H16-G16</f>
        <v/>
      </c>
      <c r="J16" s="10">
        <f>H16-G16</f>
        <v/>
      </c>
    </row>
    <row r="17">
      <c r="A17" s="9" t="n">
        <v>2016</v>
      </c>
      <c r="B17" s="9" t="n">
        <v>107</v>
      </c>
      <c r="C17" s="12" t="n">
        <v>2554813.7112</v>
      </c>
      <c r="D17" s="13" t="n">
        <v>1.174262319728725</v>
      </c>
      <c r="E17" s="14">
        <f>1-(1/D17)</f>
        <v/>
      </c>
      <c r="F17" s="10">
        <f>C17*E17</f>
        <v/>
      </c>
      <c r="G17" s="12" t="n">
        <v>2462208.676391999</v>
      </c>
      <c r="H17" s="10">
        <f>F17+G17</f>
        <v/>
      </c>
      <c r="I17" s="10">
        <f>H17-G17</f>
        <v/>
      </c>
      <c r="J17" s="10">
        <f>H17-G17</f>
        <v/>
      </c>
    </row>
    <row r="18">
      <c r="A18" s="9" t="n">
        <v>2017</v>
      </c>
      <c r="B18" s="9" t="n">
        <v>95</v>
      </c>
      <c r="C18" s="12" t="n">
        <v>2605909.9854</v>
      </c>
      <c r="D18" s="13" t="n">
        <v>1.189527729885199</v>
      </c>
      <c r="E18" s="14">
        <f>1-(1/D18)</f>
        <v/>
      </c>
      <c r="F18" s="10">
        <f>C18*E18</f>
        <v/>
      </c>
      <c r="G18" s="12" t="n">
        <v>1205811.828916</v>
      </c>
      <c r="H18" s="10">
        <f>F18+G18</f>
        <v/>
      </c>
      <c r="I18" s="10">
        <f>H18-G18</f>
        <v/>
      </c>
      <c r="J18" s="10">
        <f>H18-G18</f>
        <v/>
      </c>
    </row>
    <row r="19">
      <c r="A19" s="9" t="n">
        <v>2018</v>
      </c>
      <c r="B19" s="9" t="n">
        <v>83</v>
      </c>
      <c r="C19" s="12" t="n">
        <v>2215023.4875</v>
      </c>
      <c r="D19" s="13" t="n">
        <v>1.226522042284628</v>
      </c>
      <c r="E19" s="14">
        <f>1-(1/D19)</f>
        <v/>
      </c>
      <c r="F19" s="10">
        <f>C19*E19</f>
        <v/>
      </c>
      <c r="G19" s="12" t="n">
        <v>2395448.423304001</v>
      </c>
      <c r="H19" s="10">
        <f>F19+G19</f>
        <v/>
      </c>
      <c r="I19" s="10">
        <f>H19-G19</f>
        <v/>
      </c>
      <c r="J19" s="10">
        <f>H19-G19</f>
        <v/>
      </c>
    </row>
    <row r="20">
      <c r="A20" s="9" t="n">
        <v>2019</v>
      </c>
      <c r="B20" s="9" t="n">
        <v>71</v>
      </c>
      <c r="C20" s="12" t="n">
        <v>2259323.9575</v>
      </c>
      <c r="D20" s="13" t="n">
        <v>1.37554447042221</v>
      </c>
      <c r="E20" s="14">
        <f>1-(1/D20)</f>
        <v/>
      </c>
      <c r="F20" s="10">
        <f>C20*E20</f>
        <v/>
      </c>
      <c r="G20" s="12" t="n">
        <v>2395189.834488001</v>
      </c>
      <c r="H20" s="10">
        <f>F20+G20</f>
        <v/>
      </c>
      <c r="I20" s="10">
        <f>H20-G20</f>
        <v/>
      </c>
      <c r="J20" s="10">
        <f>H20-G20</f>
        <v/>
      </c>
    </row>
    <row r="21">
      <c r="A21" s="9" t="n">
        <v>2020</v>
      </c>
      <c r="B21" s="9" t="n">
        <v>59</v>
      </c>
      <c r="C21" s="12" t="n">
        <v>1843608.3492</v>
      </c>
      <c r="D21" s="13" t="n">
        <v>1.539234262402454</v>
      </c>
      <c r="E21" s="14">
        <f>1-(1/D21)</f>
        <v/>
      </c>
      <c r="F21" s="10">
        <f>C21*E21</f>
        <v/>
      </c>
      <c r="G21" s="12" t="n">
        <v>976050.8625559999</v>
      </c>
      <c r="H21" s="10">
        <f>F21+G21</f>
        <v/>
      </c>
      <c r="I21" s="10">
        <f>H21-G21</f>
        <v/>
      </c>
      <c r="J21" s="10">
        <f>H21-G21</f>
        <v/>
      </c>
    </row>
    <row r="22">
      <c r="A22" s="9" t="n">
        <v>2021</v>
      </c>
      <c r="B22" s="9" t="n">
        <v>47</v>
      </c>
      <c r="C22" s="12" t="n">
        <v>1410360.3873</v>
      </c>
      <c r="D22" s="13" t="n">
        <v>1.68145950824844</v>
      </c>
      <c r="E22" s="14">
        <f>1-(1/D22)</f>
        <v/>
      </c>
      <c r="F22" s="10">
        <f>C22*E22</f>
        <v/>
      </c>
      <c r="G22" s="12" t="n">
        <v>974979.4133360002</v>
      </c>
      <c r="H22" s="10">
        <f>F22+G22</f>
        <v/>
      </c>
      <c r="I22" s="10">
        <f>H22-G22</f>
        <v/>
      </c>
      <c r="J22" s="10">
        <f>H22-G22</f>
        <v/>
      </c>
    </row>
    <row r="23">
      <c r="A23" s="9" t="n">
        <v>2022</v>
      </c>
      <c r="B23" s="9" t="n">
        <v>35</v>
      </c>
      <c r="C23" s="12" t="n">
        <v>959045.0632000001</v>
      </c>
      <c r="D23" s="13" t="n">
        <v>1.975546776241093</v>
      </c>
      <c r="E23" s="14">
        <f>1-(1/D23)</f>
        <v/>
      </c>
      <c r="F23" s="10">
        <f>C23*E23</f>
        <v/>
      </c>
      <c r="G23" s="12" t="n">
        <v>791103.7101360001</v>
      </c>
      <c r="H23" s="10">
        <f>F23+G23</f>
        <v/>
      </c>
      <c r="I23" s="10">
        <f>H23-G23</f>
        <v/>
      </c>
      <c r="J23" s="10">
        <f>H23-G23</f>
        <v/>
      </c>
    </row>
    <row r="24">
      <c r="A24" s="9" t="n">
        <v>2023</v>
      </c>
      <c r="B24" s="9" t="n">
        <v>23</v>
      </c>
      <c r="C24" s="12" t="n">
        <v>978225.9646000001</v>
      </c>
      <c r="D24" s="13" t="n">
        <v>2.81001773452533</v>
      </c>
      <c r="E24" s="14">
        <f>1-(1/D24)</f>
        <v/>
      </c>
      <c r="F24" s="10">
        <f>C24*E24</f>
        <v/>
      </c>
      <c r="G24" s="12" t="n">
        <v>1199242.068356001</v>
      </c>
      <c r="H24" s="10">
        <f>F24+G24</f>
        <v/>
      </c>
      <c r="I24" s="10">
        <f>H24-G24</f>
        <v/>
      </c>
      <c r="J24" s="10">
        <f>H24-G24</f>
        <v/>
      </c>
    </row>
    <row r="25">
      <c r="A25" s="9" t="n">
        <v>2024</v>
      </c>
      <c r="B25" s="9" t="n">
        <v>11</v>
      </c>
      <c r="C25" s="12" t="n">
        <v>997790.4837999999</v>
      </c>
      <c r="D25" s="13" t="n">
        <v>7.261647829560358</v>
      </c>
      <c r="E25" s="14">
        <f>1-(1/D25)</f>
        <v/>
      </c>
      <c r="F25" s="10">
        <f>C25*E25</f>
        <v/>
      </c>
      <c r="G25" s="12" t="n">
        <v>355247.7609319999</v>
      </c>
      <c r="H25" s="10">
        <f>F25+G25</f>
        <v/>
      </c>
      <c r="I25" s="10">
        <f>H25-G25</f>
        <v/>
      </c>
      <c r="J25" s="10">
        <f>H25-G25</f>
        <v/>
      </c>
    </row>
    <row r="26"/>
    <row r="27">
      <c r="A27" s="5" t="inlineStr">
        <is>
          <t>Total</t>
        </is>
      </c>
      <c r="C27" s="10">
        <f>SUM(C2:C25)</f>
        <v/>
      </c>
      <c r="E27" s="14">
        <f>SUM(F2:F25)/SUM(C2:C25)</f>
        <v/>
      </c>
      <c r="F27" s="10">
        <f>SUM(F2:F25)</f>
        <v/>
      </c>
      <c r="G27" s="10">
        <f>SUM(G2:G25)</f>
        <v/>
      </c>
      <c r="H27" s="10">
        <f>SUM(H2:H25)</f>
        <v/>
      </c>
      <c r="I27" s="10">
        <f>SUM(I2:I25)</f>
        <v/>
      </c>
      <c r="J27" s="10">
        <f>SUM(J2:J25)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8" t="inlineStr">
        <is>
          <t>Accident Period</t>
        </is>
      </c>
      <c r="B1" s="8" t="inlineStr">
        <is>
          <t>Current Age</t>
        </is>
      </c>
      <c r="C1" s="8" t="inlineStr">
        <is>
          <t>Exposure</t>
        </is>
      </c>
      <c r="D1" s="8" t="inlineStr">
        <is>
          <t>Selected Loss Rate</t>
        </is>
      </c>
      <c r="E1" s="8" t="inlineStr">
        <is>
          <t>IE Ultimate</t>
        </is>
      </c>
    </row>
    <row r="2">
      <c r="A2" s="9" t="n">
        <v>2001</v>
      </c>
      <c r="B2" s="9" t="n">
        <v>287</v>
      </c>
      <c r="C2" s="12" t="n">
        <v>316377369.9688</v>
      </c>
      <c r="D2" s="13" t="n">
        <v>0.01</v>
      </c>
      <c r="E2" s="12" t="n">
        <v>3163773.699688</v>
      </c>
    </row>
    <row r="3">
      <c r="A3" s="9" t="n">
        <v>2002</v>
      </c>
      <c r="B3" s="9" t="n">
        <v>275</v>
      </c>
      <c r="C3" s="12" t="n">
        <v>322704917.4</v>
      </c>
      <c r="D3" s="13" t="n">
        <v>0.008999999999999999</v>
      </c>
      <c r="E3" s="12" t="n">
        <v>2904344.256599999</v>
      </c>
    </row>
    <row r="4">
      <c r="A4" s="9" t="n">
        <v>2003</v>
      </c>
      <c r="B4" s="9" t="n">
        <v>263</v>
      </c>
      <c r="C4" s="12" t="n">
        <v>329159015.7</v>
      </c>
      <c r="D4" s="13" t="n">
        <v>0.008</v>
      </c>
      <c r="E4" s="12" t="n">
        <v>2633272.1256</v>
      </c>
    </row>
    <row r="5">
      <c r="A5" s="9" t="n">
        <v>2004</v>
      </c>
      <c r="B5" s="9" t="n">
        <v>251</v>
      </c>
      <c r="C5" s="12" t="n">
        <v>335742196</v>
      </c>
      <c r="D5" s="13" t="n">
        <v>0.005</v>
      </c>
      <c r="E5" s="12" t="n">
        <v>1678710.98</v>
      </c>
    </row>
    <row r="6">
      <c r="A6" s="9" t="n">
        <v>2005</v>
      </c>
      <c r="B6" s="9" t="n">
        <v>239</v>
      </c>
      <c r="C6" s="12" t="n">
        <v>342457040</v>
      </c>
      <c r="D6" s="13" t="n">
        <v>0.005</v>
      </c>
      <c r="E6" s="12" t="n">
        <v>1712285.2</v>
      </c>
    </row>
    <row r="7">
      <c r="A7" s="9" t="n">
        <v>2006</v>
      </c>
      <c r="B7" s="9" t="n">
        <v>227</v>
      </c>
      <c r="C7" s="12" t="n">
        <v>349306180.7</v>
      </c>
      <c r="D7" s="13" t="n">
        <v>0.005</v>
      </c>
      <c r="E7" s="12" t="n">
        <v>1746530.9035</v>
      </c>
    </row>
    <row r="8">
      <c r="A8" s="9" t="n">
        <v>2007</v>
      </c>
      <c r="B8" s="9" t="n">
        <v>215</v>
      </c>
      <c r="C8" s="12" t="n">
        <v>356292304.4</v>
      </c>
      <c r="D8" s="13" t="n">
        <v>0.008</v>
      </c>
      <c r="E8" s="12" t="n">
        <v>2850338.4352</v>
      </c>
    </row>
    <row r="9">
      <c r="A9" s="9" t="n">
        <v>2008</v>
      </c>
      <c r="B9" s="9" t="n">
        <v>203</v>
      </c>
      <c r="C9" s="12" t="n">
        <v>363418150.5</v>
      </c>
      <c r="D9" s="13" t="n">
        <v>0.007</v>
      </c>
      <c r="E9" s="12" t="n">
        <v>2543927.0535</v>
      </c>
    </row>
    <row r="10">
      <c r="A10" s="9" t="n">
        <v>2009</v>
      </c>
      <c r="B10" s="9" t="n">
        <v>191</v>
      </c>
      <c r="C10" s="12" t="n">
        <v>370686513.5</v>
      </c>
      <c r="D10" s="13" t="n">
        <v>0.007</v>
      </c>
      <c r="E10" s="12" t="n">
        <v>2594805.5945</v>
      </c>
    </row>
    <row r="11">
      <c r="A11" s="9" t="n">
        <v>2010</v>
      </c>
      <c r="B11" s="9" t="n">
        <v>179</v>
      </c>
      <c r="C11" s="12" t="n">
        <v>378100243.7</v>
      </c>
      <c r="D11" s="13" t="n">
        <v>0.003</v>
      </c>
      <c r="E11" s="12" t="n">
        <v>1134300.7311</v>
      </c>
    </row>
    <row r="12">
      <c r="A12" s="9" t="n">
        <v>2011</v>
      </c>
      <c r="B12" s="9" t="n">
        <v>167</v>
      </c>
      <c r="C12" s="12" t="n">
        <v>385662248.6</v>
      </c>
      <c r="D12" s="13" t="n">
        <v>0.004</v>
      </c>
      <c r="E12" s="12" t="n">
        <v>1542648.9944</v>
      </c>
    </row>
    <row r="13">
      <c r="A13" s="9" t="n">
        <v>2012</v>
      </c>
      <c r="B13" s="9" t="n">
        <v>155</v>
      </c>
      <c r="C13" s="12" t="n">
        <v>393375493.6</v>
      </c>
      <c r="D13" s="13" t="n">
        <v>0.004</v>
      </c>
      <c r="E13" s="12" t="n">
        <v>1573501.9744</v>
      </c>
    </row>
    <row r="14">
      <c r="A14" s="9" t="n">
        <v>2013</v>
      </c>
      <c r="B14" s="9" t="n">
        <v>143</v>
      </c>
      <c r="C14" s="12" t="n">
        <v>401243003.4</v>
      </c>
      <c r="D14" s="13" t="n">
        <v>0.003</v>
      </c>
      <c r="E14" s="12" t="n">
        <v>1203729.0102</v>
      </c>
    </row>
    <row r="15">
      <c r="A15" s="9" t="n">
        <v>2014</v>
      </c>
      <c r="B15" s="9" t="n">
        <v>131</v>
      </c>
      <c r="C15" s="12" t="n">
        <v>409267863.5</v>
      </c>
      <c r="D15" s="13" t="n">
        <v>0.003</v>
      </c>
      <c r="E15" s="12" t="n">
        <v>1227803.5905</v>
      </c>
    </row>
    <row r="16">
      <c r="A16" s="9" t="n">
        <v>2015</v>
      </c>
      <c r="B16" s="9" t="n">
        <v>119</v>
      </c>
      <c r="C16" s="12" t="n">
        <v>417453220.8</v>
      </c>
      <c r="D16" s="13" t="n">
        <v>0.004</v>
      </c>
      <c r="E16" s="12" t="n">
        <v>1669812.8832</v>
      </c>
    </row>
    <row r="17">
      <c r="A17" s="9" t="n">
        <v>2016</v>
      </c>
      <c r="B17" s="9" t="n">
        <v>107</v>
      </c>
      <c r="C17" s="12" t="n">
        <v>425802285.2</v>
      </c>
      <c r="D17" s="13" t="n">
        <v>0.005999999999999999</v>
      </c>
      <c r="E17" s="12" t="n">
        <v>2554813.7112</v>
      </c>
    </row>
    <row r="18">
      <c r="A18" s="9" t="n">
        <v>2017</v>
      </c>
      <c r="B18" s="9" t="n">
        <v>95</v>
      </c>
      <c r="C18" s="12" t="n">
        <v>434318330.9</v>
      </c>
      <c r="D18" s="13" t="n">
        <v>0.006000000000000001</v>
      </c>
      <c r="E18" s="12" t="n">
        <v>2605909.9854</v>
      </c>
    </row>
    <row r="19">
      <c r="A19" s="9" t="n">
        <v>2018</v>
      </c>
      <c r="B19" s="9" t="n">
        <v>83</v>
      </c>
      <c r="C19" s="12" t="n">
        <v>443004697.5</v>
      </c>
      <c r="D19" s="13" t="n">
        <v>0.004999999999999999</v>
      </c>
      <c r="E19" s="12" t="n">
        <v>2215023.4875</v>
      </c>
    </row>
    <row r="20">
      <c r="A20" s="9" t="n">
        <v>2019</v>
      </c>
      <c r="B20" s="9" t="n">
        <v>71</v>
      </c>
      <c r="C20" s="12" t="n">
        <v>451864791.5</v>
      </c>
      <c r="D20" s="13" t="n">
        <v>0.005</v>
      </c>
      <c r="E20" s="12" t="n">
        <v>2259323.9575</v>
      </c>
    </row>
    <row r="21">
      <c r="A21" s="9" t="n">
        <v>2020</v>
      </c>
      <c r="B21" s="9" t="n">
        <v>59</v>
      </c>
      <c r="C21" s="12" t="n">
        <v>460902087.3</v>
      </c>
      <c r="D21" s="13" t="n">
        <v>0.004</v>
      </c>
      <c r="E21" s="12" t="n">
        <v>1843608.3492</v>
      </c>
    </row>
    <row r="22">
      <c r="A22" s="9" t="n">
        <v>2021</v>
      </c>
      <c r="B22" s="9" t="n">
        <v>47</v>
      </c>
      <c r="C22" s="12" t="n">
        <v>470120129.1</v>
      </c>
      <c r="D22" s="13" t="n">
        <v>0.003</v>
      </c>
      <c r="E22" s="12" t="n">
        <v>1410360.3873</v>
      </c>
    </row>
    <row r="23">
      <c r="A23" s="9" t="n">
        <v>2022</v>
      </c>
      <c r="B23" s="9" t="n">
        <v>35</v>
      </c>
      <c r="C23" s="12" t="n">
        <v>479522531.6</v>
      </c>
      <c r="D23" s="13" t="n">
        <v>0.002</v>
      </c>
      <c r="E23" s="12" t="n">
        <v>959045.0632000001</v>
      </c>
    </row>
    <row r="24">
      <c r="A24" s="9" t="n">
        <v>2023</v>
      </c>
      <c r="B24" s="9" t="n">
        <v>23</v>
      </c>
      <c r="C24" s="12" t="n">
        <v>489112982.3</v>
      </c>
      <c r="D24" s="13" t="n">
        <v>0.002</v>
      </c>
      <c r="E24" s="12" t="n">
        <v>978225.9646000001</v>
      </c>
    </row>
    <row r="25">
      <c r="A25" s="9" t="n">
        <v>2024</v>
      </c>
      <c r="B25" s="9" t="n">
        <v>11</v>
      </c>
      <c r="C25" s="12" t="n">
        <v>498895241.9</v>
      </c>
      <c r="D25" s="13" t="n">
        <v>0.002</v>
      </c>
      <c r="E25" s="12" t="n">
        <v>997790.4837999999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8" t="inlineStr">
        <is>
          <t>Accident Period</t>
        </is>
      </c>
      <c r="B1" s="8" t="inlineStr">
        <is>
          <t>Current Age</t>
        </is>
      </c>
      <c r="C1" s="8" t="inlineStr">
        <is>
          <t>Exposure</t>
        </is>
      </c>
      <c r="D1" s="8" t="inlineStr">
        <is>
          <t>Selected Loss Rate</t>
        </is>
      </c>
      <c r="E1" s="8" t="inlineStr">
        <is>
          <t>IE Ultimate</t>
        </is>
      </c>
    </row>
    <row r="2">
      <c r="A2" s="9" t="n">
        <v>2001</v>
      </c>
      <c r="B2" s="9" t="n">
        <v>287</v>
      </c>
      <c r="C2" s="12" t="n">
        <v>316377369.9688</v>
      </c>
      <c r="D2" s="13" t="n">
        <v>0.01</v>
      </c>
      <c r="E2" s="12" t="n">
        <v>3163773.699688</v>
      </c>
    </row>
    <row r="3">
      <c r="A3" s="9" t="n">
        <v>2002</v>
      </c>
      <c r="B3" s="9" t="n">
        <v>275</v>
      </c>
      <c r="C3" s="12" t="n">
        <v>322704917.4</v>
      </c>
      <c r="D3" s="13" t="n">
        <v>0.008999999999999999</v>
      </c>
      <c r="E3" s="12" t="n">
        <v>2904344.256599999</v>
      </c>
    </row>
    <row r="4">
      <c r="A4" s="9" t="n">
        <v>2003</v>
      </c>
      <c r="B4" s="9" t="n">
        <v>263</v>
      </c>
      <c r="C4" s="12" t="n">
        <v>329159015.7</v>
      </c>
      <c r="D4" s="13" t="n">
        <v>0.008</v>
      </c>
      <c r="E4" s="12" t="n">
        <v>2633272.1256</v>
      </c>
    </row>
    <row r="5">
      <c r="A5" s="9" t="n">
        <v>2004</v>
      </c>
      <c r="B5" s="9" t="n">
        <v>251</v>
      </c>
      <c r="C5" s="12" t="n">
        <v>335742196</v>
      </c>
      <c r="D5" s="13" t="n">
        <v>0.005</v>
      </c>
      <c r="E5" s="12" t="n">
        <v>1678710.98</v>
      </c>
    </row>
    <row r="6">
      <c r="A6" s="9" t="n">
        <v>2005</v>
      </c>
      <c r="B6" s="9" t="n">
        <v>239</v>
      </c>
      <c r="C6" s="12" t="n">
        <v>342457040</v>
      </c>
      <c r="D6" s="13" t="n">
        <v>0.005</v>
      </c>
      <c r="E6" s="12" t="n">
        <v>1712285.2</v>
      </c>
    </row>
    <row r="7">
      <c r="A7" s="9" t="n">
        <v>2006</v>
      </c>
      <c r="B7" s="9" t="n">
        <v>227</v>
      </c>
      <c r="C7" s="12" t="n">
        <v>349306180.7</v>
      </c>
      <c r="D7" s="13" t="n">
        <v>0.005</v>
      </c>
      <c r="E7" s="12" t="n">
        <v>1746530.9035</v>
      </c>
    </row>
    <row r="8">
      <c r="A8" s="9" t="n">
        <v>2007</v>
      </c>
      <c r="B8" s="9" t="n">
        <v>215</v>
      </c>
      <c r="C8" s="12" t="n">
        <v>356292304.4</v>
      </c>
      <c r="D8" s="13" t="n">
        <v>0.008</v>
      </c>
      <c r="E8" s="12" t="n">
        <v>2850338.4352</v>
      </c>
    </row>
    <row r="9">
      <c r="A9" s="9" t="n">
        <v>2008</v>
      </c>
      <c r="B9" s="9" t="n">
        <v>203</v>
      </c>
      <c r="C9" s="12" t="n">
        <v>363418150.5</v>
      </c>
      <c r="D9" s="13" t="n">
        <v>0.007</v>
      </c>
      <c r="E9" s="12" t="n">
        <v>2543927.0535</v>
      </c>
    </row>
    <row r="10">
      <c r="A10" s="9" t="n">
        <v>2009</v>
      </c>
      <c r="B10" s="9" t="n">
        <v>191</v>
      </c>
      <c r="C10" s="12" t="n">
        <v>370686513.5</v>
      </c>
      <c r="D10" s="13" t="n">
        <v>0.007</v>
      </c>
      <c r="E10" s="12" t="n">
        <v>2594805.5945</v>
      </c>
    </row>
    <row r="11">
      <c r="A11" s="9" t="n">
        <v>2010</v>
      </c>
      <c r="B11" s="9" t="n">
        <v>179</v>
      </c>
      <c r="C11" s="12" t="n">
        <v>378100243.7</v>
      </c>
      <c r="D11" s="13" t="n">
        <v>0.003</v>
      </c>
      <c r="E11" s="12" t="n">
        <v>1134300.7311</v>
      </c>
    </row>
    <row r="12">
      <c r="A12" s="9" t="n">
        <v>2011</v>
      </c>
      <c r="B12" s="9" t="n">
        <v>167</v>
      </c>
      <c r="C12" s="12" t="n">
        <v>385662248.6</v>
      </c>
      <c r="D12" s="13" t="n">
        <v>0.004</v>
      </c>
      <c r="E12" s="12" t="n">
        <v>1542648.9944</v>
      </c>
    </row>
    <row r="13">
      <c r="A13" s="9" t="n">
        <v>2012</v>
      </c>
      <c r="B13" s="9" t="n">
        <v>155</v>
      </c>
      <c r="C13" s="12" t="n">
        <v>393375493.6</v>
      </c>
      <c r="D13" s="13" t="n">
        <v>0.004</v>
      </c>
      <c r="E13" s="12" t="n">
        <v>1573501.9744</v>
      </c>
    </row>
    <row r="14">
      <c r="A14" s="9" t="n">
        <v>2013</v>
      </c>
      <c r="B14" s="9" t="n">
        <v>143</v>
      </c>
      <c r="C14" s="12" t="n">
        <v>401243003.4</v>
      </c>
      <c r="D14" s="13" t="n">
        <v>0.003</v>
      </c>
      <c r="E14" s="12" t="n">
        <v>1203729.0102</v>
      </c>
    </row>
    <row r="15">
      <c r="A15" s="9" t="n">
        <v>2014</v>
      </c>
      <c r="B15" s="9" t="n">
        <v>131</v>
      </c>
      <c r="C15" s="12" t="n">
        <v>409267863.5</v>
      </c>
      <c r="D15" s="13" t="n">
        <v>0.003</v>
      </c>
      <c r="E15" s="12" t="n">
        <v>1227803.5905</v>
      </c>
    </row>
    <row r="16">
      <c r="A16" s="9" t="n">
        <v>2015</v>
      </c>
      <c r="B16" s="9" t="n">
        <v>119</v>
      </c>
      <c r="C16" s="12" t="n">
        <v>417453220.8</v>
      </c>
      <c r="D16" s="13" t="n">
        <v>0.004</v>
      </c>
      <c r="E16" s="12" t="n">
        <v>1669812.8832</v>
      </c>
    </row>
    <row r="17">
      <c r="A17" s="9" t="n">
        <v>2016</v>
      </c>
      <c r="B17" s="9" t="n">
        <v>107</v>
      </c>
      <c r="C17" s="12" t="n">
        <v>425802285.2</v>
      </c>
      <c r="D17" s="13" t="n">
        <v>0.005999999999999999</v>
      </c>
      <c r="E17" s="12" t="n">
        <v>2554813.7112</v>
      </c>
    </row>
    <row r="18">
      <c r="A18" s="9" t="n">
        <v>2017</v>
      </c>
      <c r="B18" s="9" t="n">
        <v>95</v>
      </c>
      <c r="C18" s="12" t="n">
        <v>434318330.9</v>
      </c>
      <c r="D18" s="13" t="n">
        <v>0.006000000000000001</v>
      </c>
      <c r="E18" s="12" t="n">
        <v>2605909.9854</v>
      </c>
    </row>
    <row r="19">
      <c r="A19" s="9" t="n">
        <v>2018</v>
      </c>
      <c r="B19" s="9" t="n">
        <v>83</v>
      </c>
      <c r="C19" s="12" t="n">
        <v>443004697.5</v>
      </c>
      <c r="D19" s="13" t="n">
        <v>0.004999999999999999</v>
      </c>
      <c r="E19" s="12" t="n">
        <v>2215023.4875</v>
      </c>
    </row>
    <row r="20">
      <c r="A20" s="9" t="n">
        <v>2019</v>
      </c>
      <c r="B20" s="9" t="n">
        <v>71</v>
      </c>
      <c r="C20" s="12" t="n">
        <v>451864791.5</v>
      </c>
      <c r="D20" s="13" t="n">
        <v>0.005</v>
      </c>
      <c r="E20" s="12" t="n">
        <v>2259323.9575</v>
      </c>
    </row>
    <row r="21">
      <c r="A21" s="9" t="n">
        <v>2020</v>
      </c>
      <c r="B21" s="9" t="n">
        <v>59</v>
      </c>
      <c r="C21" s="12" t="n">
        <v>460902087.3</v>
      </c>
      <c r="D21" s="13" t="n">
        <v>0.004</v>
      </c>
      <c r="E21" s="12" t="n">
        <v>1843608.3492</v>
      </c>
    </row>
    <row r="22">
      <c r="A22" s="9" t="n">
        <v>2021</v>
      </c>
      <c r="B22" s="9" t="n">
        <v>47</v>
      </c>
      <c r="C22" s="12" t="n">
        <v>470120129.1</v>
      </c>
      <c r="D22" s="13" t="n">
        <v>0.003</v>
      </c>
      <c r="E22" s="12" t="n">
        <v>1410360.3873</v>
      </c>
    </row>
    <row r="23">
      <c r="A23" s="9" t="n">
        <v>2022</v>
      </c>
      <c r="B23" s="9" t="n">
        <v>35</v>
      </c>
      <c r="C23" s="12" t="n">
        <v>479522531.6</v>
      </c>
      <c r="D23" s="13" t="n">
        <v>0.002</v>
      </c>
      <c r="E23" s="12" t="n">
        <v>959045.0632000001</v>
      </c>
    </row>
    <row r="24">
      <c r="A24" s="9" t="n">
        <v>2023</v>
      </c>
      <c r="B24" s="9" t="n">
        <v>23</v>
      </c>
      <c r="C24" s="12" t="n">
        <v>489112982.3</v>
      </c>
      <c r="D24" s="13" t="n">
        <v>0.002</v>
      </c>
      <c r="E24" s="12" t="n">
        <v>978225.9646000001</v>
      </c>
    </row>
    <row r="25">
      <c r="A25" s="9" t="n">
        <v>2024</v>
      </c>
      <c r="B25" s="9" t="n">
        <v>11</v>
      </c>
      <c r="C25" s="12" t="n">
        <v>498895241.9</v>
      </c>
      <c r="D25" s="13" t="n">
        <v>0.002</v>
      </c>
      <c r="E25" s="12" t="n">
        <v>997790.4837999999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0" customWidth="1" min="10" max="10"/>
  </cols>
  <sheetData>
    <row r="1">
      <c r="A1" s="8" t="inlineStr">
        <is>
          <t>Accident Period</t>
        </is>
      </c>
      <c r="B1" s="8" t="inlineStr">
        <is>
          <t>Current Age</t>
        </is>
      </c>
      <c r="C1" s="8" t="inlineStr">
        <is>
          <t>Reported</t>
        </is>
      </c>
      <c r="D1" s="8" t="inlineStr">
        <is>
          <t>Reported CL</t>
        </is>
      </c>
      <c r="E1" s="8" t="inlineStr">
        <is>
          <t>Initial Expected</t>
        </is>
      </c>
      <c r="F1" s="8" t="inlineStr">
        <is>
          <t>Reported BF</t>
        </is>
      </c>
      <c r="G1" s="8" t="inlineStr">
        <is>
          <t>Selected Ultimate</t>
        </is>
      </c>
      <c r="H1" s="8" t="inlineStr">
        <is>
          <t>IBNR</t>
        </is>
      </c>
      <c r="I1" s="8" t="inlineStr">
        <is>
          <t>Unpaid</t>
        </is>
      </c>
      <c r="J1" s="8" t="inlineStr">
        <is>
          <t>Selected Reasoning</t>
        </is>
      </c>
    </row>
    <row r="2">
      <c r="A2" s="9" t="n">
        <v>2001</v>
      </c>
      <c r="B2" s="9" t="n">
        <v>287</v>
      </c>
      <c r="C2" s="10">
        <f>'Reported CL'!C2</f>
        <v/>
      </c>
      <c r="D2" s="10">
        <f>'Reported CL'!E2</f>
        <v/>
      </c>
      <c r="E2" s="10">
        <f>'[Ultimates.xlsx]Counts'!E2</f>
        <v/>
      </c>
      <c r="F2" s="10">
        <f>'Reported BF'!H2</f>
        <v/>
      </c>
      <c r="G2" s="10">
        <f>IFERROR(IF(INDEX('[Ultimates.xlsx]Counts'!$A:$Z,2,MATCH("User Selection",'[Ultimates.xlsx]Counts'!$1:$1,0))&lt;&gt;"",INDEX('[Ultimates.xlsx]Counts'!$A:$Z,2,MATCH("User Selection",'[Ultimates.xlsx]Counts'!$1:$1,0)),INDEX('[Ultimates.xlsx]Counts'!$A:$Z,2,MATCH("Rules-Based AI Selection",'[Ultimates.xlsx]Counts'!$1:$1,0))),"")</f>
        <v/>
      </c>
      <c r="H2" s="10">
        <f>G2-C2</f>
        <v/>
      </c>
      <c r="I2" s="10">
        <f>G2-C2</f>
        <v/>
      </c>
      <c r="J2" s="11">
        <f>IFERROR(IF(INDEX('[Ultimates.xlsx]Counts'!$A:$Z,2,MATCH("User Selection",'[Ultimates.xlsx]Counts'!$1:$1,0))&lt;&gt;"",INDEX('[Ultimates.xlsx]Counts'!$A:$Z,2,MATCH("User Reasoning",'[Ultimates.xlsx]Counts'!$1:$1,0)),INDEX('[Ultimates.xlsx]Counts'!$A:$Z,2,MATCH("Rules-Based AI Reasoning",'[Ultimates.xlsx]Counts'!$1:$1,0))),"")</f>
        <v/>
      </c>
    </row>
    <row r="3">
      <c r="A3" s="9" t="n">
        <v>2002</v>
      </c>
      <c r="B3" s="9" t="n">
        <v>275</v>
      </c>
      <c r="C3" s="10">
        <f>'Reported CL'!C3</f>
        <v/>
      </c>
      <c r="D3" s="10">
        <f>'Reported CL'!E3</f>
        <v/>
      </c>
      <c r="E3" s="10">
        <f>'[Ultimates.xlsx]Counts'!E3</f>
        <v/>
      </c>
      <c r="F3" s="10">
        <f>'Reported BF'!H3</f>
        <v/>
      </c>
      <c r="G3" s="10">
        <f>IFERROR(IF(INDEX('[Ultimates.xlsx]Counts'!$A:$Z,3,MATCH("User Selection",'[Ultimates.xlsx]Counts'!$1:$1,0))&lt;&gt;"",INDEX('[Ultimates.xlsx]Counts'!$A:$Z,3,MATCH("User Selection",'[Ultimates.xlsx]Counts'!$1:$1,0)),INDEX('[Ultimates.xlsx]Counts'!$A:$Z,3,MATCH("Rules-Based AI Selection",'[Ultimates.xlsx]Counts'!$1:$1,0))),"")</f>
        <v/>
      </c>
      <c r="H3" s="10">
        <f>G3-C3</f>
        <v/>
      </c>
      <c r="I3" s="10">
        <f>G3-C3</f>
        <v/>
      </c>
      <c r="J3" s="11">
        <f>IFERROR(IF(INDEX('[Ultimates.xlsx]Counts'!$A:$Z,3,MATCH("User Selection",'[Ultimates.xlsx]Counts'!$1:$1,0))&lt;&gt;"",INDEX('[Ultimates.xlsx]Counts'!$A:$Z,3,MATCH("User Reasoning",'[Ultimates.xlsx]Counts'!$1:$1,0)),INDEX('[Ultimates.xlsx]Counts'!$A:$Z,3,MATCH("Rules-Based AI Reasoning",'[Ultimates.xlsx]Counts'!$1:$1,0))),"")</f>
        <v/>
      </c>
    </row>
    <row r="4">
      <c r="A4" s="9" t="n">
        <v>2003</v>
      </c>
      <c r="B4" s="9" t="n">
        <v>263</v>
      </c>
      <c r="C4" s="10">
        <f>'Reported CL'!C4</f>
        <v/>
      </c>
      <c r="D4" s="10">
        <f>'Reported CL'!E4</f>
        <v/>
      </c>
      <c r="E4" s="10">
        <f>'[Ultimates.xlsx]Counts'!E4</f>
        <v/>
      </c>
      <c r="F4" s="10">
        <f>'Reported BF'!H4</f>
        <v/>
      </c>
      <c r="G4" s="10">
        <f>IFERROR(IF(INDEX('[Ultimates.xlsx]Counts'!$A:$Z,4,MATCH("User Selection",'[Ultimates.xlsx]Counts'!$1:$1,0))&lt;&gt;"",INDEX('[Ultimates.xlsx]Counts'!$A:$Z,4,MATCH("User Selection",'[Ultimates.xlsx]Counts'!$1:$1,0)),INDEX('[Ultimates.xlsx]Counts'!$A:$Z,4,MATCH("Rules-Based AI Selection",'[Ultimates.xlsx]Counts'!$1:$1,0))),"")</f>
        <v/>
      </c>
      <c r="H4" s="10">
        <f>G4-C4</f>
        <v/>
      </c>
      <c r="I4" s="10">
        <f>G4-C4</f>
        <v/>
      </c>
      <c r="J4" s="11">
        <f>IFERROR(IF(INDEX('[Ultimates.xlsx]Counts'!$A:$Z,4,MATCH("User Selection",'[Ultimates.xlsx]Counts'!$1:$1,0))&lt;&gt;"",INDEX('[Ultimates.xlsx]Counts'!$A:$Z,4,MATCH("User Reasoning",'[Ultimates.xlsx]Counts'!$1:$1,0)),INDEX('[Ultimates.xlsx]Counts'!$A:$Z,4,MATCH("Rules-Based AI Reasoning",'[Ultimates.xlsx]Counts'!$1:$1,0))),"")</f>
        <v/>
      </c>
    </row>
    <row r="5">
      <c r="A5" s="9" t="n">
        <v>2004</v>
      </c>
      <c r="B5" s="9" t="n">
        <v>251</v>
      </c>
      <c r="C5" s="10">
        <f>'Reported CL'!C5</f>
        <v/>
      </c>
      <c r="D5" s="10">
        <f>'Reported CL'!E5</f>
        <v/>
      </c>
      <c r="E5" s="10">
        <f>'[Ultimates.xlsx]Counts'!E5</f>
        <v/>
      </c>
      <c r="F5" s="10">
        <f>'Reported BF'!H5</f>
        <v/>
      </c>
      <c r="G5" s="10">
        <f>IFERROR(IF(INDEX('[Ultimates.xlsx]Counts'!$A:$Z,5,MATCH("User Selection",'[Ultimates.xlsx]Counts'!$1:$1,0))&lt;&gt;"",INDEX('[Ultimates.xlsx]Counts'!$A:$Z,5,MATCH("User Selection",'[Ultimates.xlsx]Counts'!$1:$1,0)),INDEX('[Ultimates.xlsx]Counts'!$A:$Z,5,MATCH("Rules-Based AI Selection",'[Ultimates.xlsx]Counts'!$1:$1,0))),"")</f>
        <v/>
      </c>
      <c r="H5" s="10">
        <f>G5-C5</f>
        <v/>
      </c>
      <c r="I5" s="10">
        <f>G5-C5</f>
        <v/>
      </c>
      <c r="J5" s="11">
        <f>IFERROR(IF(INDEX('[Ultimates.xlsx]Counts'!$A:$Z,5,MATCH("User Selection",'[Ultimates.xlsx]Counts'!$1:$1,0))&lt;&gt;"",INDEX('[Ultimates.xlsx]Counts'!$A:$Z,5,MATCH("User Reasoning",'[Ultimates.xlsx]Counts'!$1:$1,0)),INDEX('[Ultimates.xlsx]Counts'!$A:$Z,5,MATCH("Rules-Based AI Reasoning",'[Ultimates.xlsx]Counts'!$1:$1,0))),"")</f>
        <v/>
      </c>
    </row>
    <row r="6">
      <c r="A6" s="9" t="n">
        <v>2005</v>
      </c>
      <c r="B6" s="9" t="n">
        <v>239</v>
      </c>
      <c r="C6" s="10">
        <f>'Reported CL'!C6</f>
        <v/>
      </c>
      <c r="D6" s="10">
        <f>'Reported CL'!E6</f>
        <v/>
      </c>
      <c r="E6" s="10">
        <f>'[Ultimates.xlsx]Counts'!E6</f>
        <v/>
      </c>
      <c r="F6" s="10">
        <f>'Reported BF'!H6</f>
        <v/>
      </c>
      <c r="G6" s="10">
        <f>IFERROR(IF(INDEX('[Ultimates.xlsx]Counts'!$A:$Z,6,MATCH("User Selection",'[Ultimates.xlsx]Counts'!$1:$1,0))&lt;&gt;"",INDEX('[Ultimates.xlsx]Counts'!$A:$Z,6,MATCH("User Selection",'[Ultimates.xlsx]Counts'!$1:$1,0)),INDEX('[Ultimates.xlsx]Counts'!$A:$Z,6,MATCH("Rules-Based AI Selection",'[Ultimates.xlsx]Counts'!$1:$1,0))),"")</f>
        <v/>
      </c>
      <c r="H6" s="10">
        <f>G6-C6</f>
        <v/>
      </c>
      <c r="I6" s="10">
        <f>G6-C6</f>
        <v/>
      </c>
      <c r="J6" s="11">
        <f>IFERROR(IF(INDEX('[Ultimates.xlsx]Counts'!$A:$Z,6,MATCH("User Selection",'[Ultimates.xlsx]Counts'!$1:$1,0))&lt;&gt;"",INDEX('[Ultimates.xlsx]Counts'!$A:$Z,6,MATCH("User Reasoning",'[Ultimates.xlsx]Counts'!$1:$1,0)),INDEX('[Ultimates.xlsx]Counts'!$A:$Z,6,MATCH("Rules-Based AI Reasoning",'[Ultimates.xlsx]Counts'!$1:$1,0))),"")</f>
        <v/>
      </c>
    </row>
    <row r="7">
      <c r="A7" s="9" t="n">
        <v>2006</v>
      </c>
      <c r="B7" s="9" t="n">
        <v>227</v>
      </c>
      <c r="C7" s="10">
        <f>'Reported CL'!C7</f>
        <v/>
      </c>
      <c r="D7" s="10">
        <f>'Reported CL'!E7</f>
        <v/>
      </c>
      <c r="E7" s="10">
        <f>'[Ultimates.xlsx]Counts'!E7</f>
        <v/>
      </c>
      <c r="F7" s="10">
        <f>'Reported BF'!H7</f>
        <v/>
      </c>
      <c r="G7" s="10">
        <f>IFERROR(IF(INDEX('[Ultimates.xlsx]Counts'!$A:$Z,7,MATCH("User Selection",'[Ultimates.xlsx]Counts'!$1:$1,0))&lt;&gt;"",INDEX('[Ultimates.xlsx]Counts'!$A:$Z,7,MATCH("User Selection",'[Ultimates.xlsx]Counts'!$1:$1,0)),INDEX('[Ultimates.xlsx]Counts'!$A:$Z,7,MATCH("Rules-Based AI Selection",'[Ultimates.xlsx]Counts'!$1:$1,0))),"")</f>
        <v/>
      </c>
      <c r="H7" s="10">
        <f>G7-C7</f>
        <v/>
      </c>
      <c r="I7" s="10">
        <f>G7-C7</f>
        <v/>
      </c>
      <c r="J7" s="11">
        <f>IFERROR(IF(INDEX('[Ultimates.xlsx]Counts'!$A:$Z,7,MATCH("User Selection",'[Ultimates.xlsx]Counts'!$1:$1,0))&lt;&gt;"",INDEX('[Ultimates.xlsx]Counts'!$A:$Z,7,MATCH("User Reasoning",'[Ultimates.xlsx]Counts'!$1:$1,0)),INDEX('[Ultimates.xlsx]Counts'!$A:$Z,7,MATCH("Rules-Based AI Reasoning",'[Ultimates.xlsx]Counts'!$1:$1,0))),"")</f>
        <v/>
      </c>
    </row>
    <row r="8">
      <c r="A8" s="9" t="n">
        <v>2007</v>
      </c>
      <c r="B8" s="9" t="n">
        <v>215</v>
      </c>
      <c r="C8" s="10">
        <f>'Reported CL'!C8</f>
        <v/>
      </c>
      <c r="D8" s="10">
        <f>'Reported CL'!E8</f>
        <v/>
      </c>
      <c r="E8" s="10">
        <f>'[Ultimates.xlsx]Counts'!E8</f>
        <v/>
      </c>
      <c r="F8" s="10">
        <f>'Reported BF'!H8</f>
        <v/>
      </c>
      <c r="G8" s="10">
        <f>IFERROR(IF(INDEX('[Ultimates.xlsx]Counts'!$A:$Z,8,MATCH("User Selection",'[Ultimates.xlsx]Counts'!$1:$1,0))&lt;&gt;"",INDEX('[Ultimates.xlsx]Counts'!$A:$Z,8,MATCH("User Selection",'[Ultimates.xlsx]Counts'!$1:$1,0)),INDEX('[Ultimates.xlsx]Counts'!$A:$Z,8,MATCH("Rules-Based AI Selection",'[Ultimates.xlsx]Counts'!$1:$1,0))),"")</f>
        <v/>
      </c>
      <c r="H8" s="10">
        <f>G8-C8</f>
        <v/>
      </c>
      <c r="I8" s="10">
        <f>G8-C8</f>
        <v/>
      </c>
      <c r="J8" s="11">
        <f>IFERROR(IF(INDEX('[Ultimates.xlsx]Counts'!$A:$Z,8,MATCH("User Selection",'[Ultimates.xlsx]Counts'!$1:$1,0))&lt;&gt;"",INDEX('[Ultimates.xlsx]Counts'!$A:$Z,8,MATCH("User Reasoning",'[Ultimates.xlsx]Counts'!$1:$1,0)),INDEX('[Ultimates.xlsx]Counts'!$A:$Z,8,MATCH("Rules-Based AI Reasoning",'[Ultimates.xlsx]Counts'!$1:$1,0))),"")</f>
        <v/>
      </c>
    </row>
    <row r="9">
      <c r="A9" s="9" t="n">
        <v>2008</v>
      </c>
      <c r="B9" s="9" t="n">
        <v>203</v>
      </c>
      <c r="C9" s="10">
        <f>'Reported CL'!C9</f>
        <v/>
      </c>
      <c r="D9" s="10">
        <f>'Reported CL'!E9</f>
        <v/>
      </c>
      <c r="E9" s="10">
        <f>'[Ultimates.xlsx]Counts'!E9</f>
        <v/>
      </c>
      <c r="F9" s="10">
        <f>'Reported BF'!H9</f>
        <v/>
      </c>
      <c r="G9" s="10">
        <f>IFERROR(IF(INDEX('[Ultimates.xlsx]Counts'!$A:$Z,9,MATCH("User Selection",'[Ultimates.xlsx]Counts'!$1:$1,0))&lt;&gt;"",INDEX('[Ultimates.xlsx]Counts'!$A:$Z,9,MATCH("User Selection",'[Ultimates.xlsx]Counts'!$1:$1,0)),INDEX('[Ultimates.xlsx]Counts'!$A:$Z,9,MATCH("Rules-Based AI Selection",'[Ultimates.xlsx]Counts'!$1:$1,0))),"")</f>
        <v/>
      </c>
      <c r="H9" s="10">
        <f>G9-C9</f>
        <v/>
      </c>
      <c r="I9" s="10">
        <f>G9-C9</f>
        <v/>
      </c>
      <c r="J9" s="11">
        <f>IFERROR(IF(INDEX('[Ultimates.xlsx]Counts'!$A:$Z,9,MATCH("User Selection",'[Ultimates.xlsx]Counts'!$1:$1,0))&lt;&gt;"",INDEX('[Ultimates.xlsx]Counts'!$A:$Z,9,MATCH("User Reasoning",'[Ultimates.xlsx]Counts'!$1:$1,0)),INDEX('[Ultimates.xlsx]Counts'!$A:$Z,9,MATCH("Rules-Based AI Reasoning",'[Ultimates.xlsx]Counts'!$1:$1,0))),"")</f>
        <v/>
      </c>
    </row>
    <row r="10">
      <c r="A10" s="9" t="n">
        <v>2009</v>
      </c>
      <c r="B10" s="9" t="n">
        <v>191</v>
      </c>
      <c r="C10" s="10">
        <f>'Reported CL'!C10</f>
        <v/>
      </c>
      <c r="D10" s="10">
        <f>'Reported CL'!E10</f>
        <v/>
      </c>
      <c r="E10" s="10">
        <f>'[Ultimates.xlsx]Counts'!E10</f>
        <v/>
      </c>
      <c r="F10" s="10">
        <f>'Reported BF'!H10</f>
        <v/>
      </c>
      <c r="G10" s="10">
        <f>IFERROR(IF(INDEX('[Ultimates.xlsx]Counts'!$A:$Z,10,MATCH("User Selection",'[Ultimates.xlsx]Counts'!$1:$1,0))&lt;&gt;"",INDEX('[Ultimates.xlsx]Counts'!$A:$Z,10,MATCH("User Selection",'[Ultimates.xlsx]Counts'!$1:$1,0)),INDEX('[Ultimates.xlsx]Counts'!$A:$Z,10,MATCH("Rules-Based AI Selection",'[Ultimates.xlsx]Counts'!$1:$1,0))),"")</f>
        <v/>
      </c>
      <c r="H10" s="10">
        <f>G10-C10</f>
        <v/>
      </c>
      <c r="I10" s="10">
        <f>G10-C10</f>
        <v/>
      </c>
      <c r="J10" s="11">
        <f>IFERROR(IF(INDEX('[Ultimates.xlsx]Counts'!$A:$Z,10,MATCH("User Selection",'[Ultimates.xlsx]Counts'!$1:$1,0))&lt;&gt;"",INDEX('[Ultimates.xlsx]Counts'!$A:$Z,10,MATCH("User Reasoning",'[Ultimates.xlsx]Counts'!$1:$1,0)),INDEX('[Ultimates.xlsx]Counts'!$A:$Z,10,MATCH("Rules-Based AI Reasoning",'[Ultimates.xlsx]Counts'!$1:$1,0))),"")</f>
        <v/>
      </c>
    </row>
    <row r="11">
      <c r="A11" s="9" t="n">
        <v>2010</v>
      </c>
      <c r="B11" s="9" t="n">
        <v>179</v>
      </c>
      <c r="C11" s="10">
        <f>'Reported CL'!C11</f>
        <v/>
      </c>
      <c r="D11" s="10">
        <f>'Reported CL'!E11</f>
        <v/>
      </c>
      <c r="E11" s="10">
        <f>'[Ultimates.xlsx]Counts'!E11</f>
        <v/>
      </c>
      <c r="F11" s="10">
        <f>'Reported BF'!H11</f>
        <v/>
      </c>
      <c r="G11" s="10">
        <f>IFERROR(IF(INDEX('[Ultimates.xlsx]Counts'!$A:$Z,11,MATCH("User Selection",'[Ultimates.xlsx]Counts'!$1:$1,0))&lt;&gt;"",INDEX('[Ultimates.xlsx]Counts'!$A:$Z,11,MATCH("User Selection",'[Ultimates.xlsx]Counts'!$1:$1,0)),INDEX('[Ultimates.xlsx]Counts'!$A:$Z,11,MATCH("Rules-Based AI Selection",'[Ultimates.xlsx]Counts'!$1:$1,0))),"")</f>
        <v/>
      </c>
      <c r="H11" s="10">
        <f>G11-C11</f>
        <v/>
      </c>
      <c r="I11" s="10">
        <f>G11-C11</f>
        <v/>
      </c>
      <c r="J11" s="11">
        <f>IFERROR(IF(INDEX('[Ultimates.xlsx]Counts'!$A:$Z,11,MATCH("User Selection",'[Ultimates.xlsx]Counts'!$1:$1,0))&lt;&gt;"",INDEX('[Ultimates.xlsx]Counts'!$A:$Z,11,MATCH("User Reasoning",'[Ultimates.xlsx]Counts'!$1:$1,0)),INDEX('[Ultimates.xlsx]Counts'!$A:$Z,11,MATCH("Rules-Based AI Reasoning",'[Ultimates.xlsx]Counts'!$1:$1,0))),"")</f>
        <v/>
      </c>
    </row>
    <row r="12">
      <c r="A12" s="9" t="n">
        <v>2011</v>
      </c>
      <c r="B12" s="9" t="n">
        <v>167</v>
      </c>
      <c r="C12" s="10">
        <f>'Reported CL'!C12</f>
        <v/>
      </c>
      <c r="D12" s="10">
        <f>'Reported CL'!E12</f>
        <v/>
      </c>
      <c r="E12" s="10">
        <f>'[Ultimates.xlsx]Counts'!E12</f>
        <v/>
      </c>
      <c r="F12" s="10">
        <f>'Reported BF'!H12</f>
        <v/>
      </c>
      <c r="G12" s="10">
        <f>IFERROR(IF(INDEX('[Ultimates.xlsx]Counts'!$A:$Z,12,MATCH("User Selection",'[Ultimates.xlsx]Counts'!$1:$1,0))&lt;&gt;"",INDEX('[Ultimates.xlsx]Counts'!$A:$Z,12,MATCH("User Selection",'[Ultimates.xlsx]Counts'!$1:$1,0)),INDEX('[Ultimates.xlsx]Counts'!$A:$Z,12,MATCH("Rules-Based AI Selection",'[Ultimates.xlsx]Counts'!$1:$1,0))),"")</f>
        <v/>
      </c>
      <c r="H12" s="10">
        <f>G12-C12</f>
        <v/>
      </c>
      <c r="I12" s="10">
        <f>G12-C12</f>
        <v/>
      </c>
      <c r="J12" s="11">
        <f>IFERROR(IF(INDEX('[Ultimates.xlsx]Counts'!$A:$Z,12,MATCH("User Selection",'[Ultimates.xlsx]Counts'!$1:$1,0))&lt;&gt;"",INDEX('[Ultimates.xlsx]Counts'!$A:$Z,12,MATCH("User Reasoning",'[Ultimates.xlsx]Counts'!$1:$1,0)),INDEX('[Ultimates.xlsx]Counts'!$A:$Z,12,MATCH("Rules-Based AI Reasoning",'[Ultimates.xlsx]Counts'!$1:$1,0))),"")</f>
        <v/>
      </c>
    </row>
    <row r="13">
      <c r="A13" s="9" t="n">
        <v>2012</v>
      </c>
      <c r="B13" s="9" t="n">
        <v>155</v>
      </c>
      <c r="C13" s="10">
        <f>'Reported CL'!C13</f>
        <v/>
      </c>
      <c r="D13" s="10">
        <f>'Reported CL'!E13</f>
        <v/>
      </c>
      <c r="E13" s="10">
        <f>'[Ultimates.xlsx]Counts'!E13</f>
        <v/>
      </c>
      <c r="F13" s="10">
        <f>'Reported BF'!H13</f>
        <v/>
      </c>
      <c r="G13" s="10">
        <f>IFERROR(IF(INDEX('[Ultimates.xlsx]Counts'!$A:$Z,13,MATCH("User Selection",'[Ultimates.xlsx]Counts'!$1:$1,0))&lt;&gt;"",INDEX('[Ultimates.xlsx]Counts'!$A:$Z,13,MATCH("User Selection",'[Ultimates.xlsx]Counts'!$1:$1,0)),INDEX('[Ultimates.xlsx]Counts'!$A:$Z,13,MATCH("Rules-Based AI Selection",'[Ultimates.xlsx]Counts'!$1:$1,0))),"")</f>
        <v/>
      </c>
      <c r="H13" s="10">
        <f>G13-C13</f>
        <v/>
      </c>
      <c r="I13" s="10">
        <f>G13-C13</f>
        <v/>
      </c>
      <c r="J13" s="11">
        <f>IFERROR(IF(INDEX('[Ultimates.xlsx]Counts'!$A:$Z,13,MATCH("User Selection",'[Ultimates.xlsx]Counts'!$1:$1,0))&lt;&gt;"",INDEX('[Ultimates.xlsx]Counts'!$A:$Z,13,MATCH("User Reasoning",'[Ultimates.xlsx]Counts'!$1:$1,0)),INDEX('[Ultimates.xlsx]Counts'!$A:$Z,13,MATCH("Rules-Based AI Reasoning",'[Ultimates.xlsx]Counts'!$1:$1,0))),"")</f>
        <v/>
      </c>
    </row>
    <row r="14">
      <c r="A14" s="9" t="n">
        <v>2013</v>
      </c>
      <c r="B14" s="9" t="n">
        <v>143</v>
      </c>
      <c r="C14" s="10">
        <f>'Reported CL'!C14</f>
        <v/>
      </c>
      <c r="D14" s="10">
        <f>'Reported CL'!E14</f>
        <v/>
      </c>
      <c r="E14" s="10">
        <f>'[Ultimates.xlsx]Counts'!E14</f>
        <v/>
      </c>
      <c r="F14" s="10">
        <f>'Reported BF'!H14</f>
        <v/>
      </c>
      <c r="G14" s="10">
        <f>IFERROR(IF(INDEX('[Ultimates.xlsx]Counts'!$A:$Z,14,MATCH("User Selection",'[Ultimates.xlsx]Counts'!$1:$1,0))&lt;&gt;"",INDEX('[Ultimates.xlsx]Counts'!$A:$Z,14,MATCH("User Selection",'[Ultimates.xlsx]Counts'!$1:$1,0)),INDEX('[Ultimates.xlsx]Counts'!$A:$Z,14,MATCH("Rules-Based AI Selection",'[Ultimates.xlsx]Counts'!$1:$1,0))),"")</f>
        <v/>
      </c>
      <c r="H14" s="10">
        <f>G14-C14</f>
        <v/>
      </c>
      <c r="I14" s="10">
        <f>G14-C14</f>
        <v/>
      </c>
      <c r="J14" s="11">
        <f>IFERROR(IF(INDEX('[Ultimates.xlsx]Counts'!$A:$Z,14,MATCH("User Selection",'[Ultimates.xlsx]Counts'!$1:$1,0))&lt;&gt;"",INDEX('[Ultimates.xlsx]Counts'!$A:$Z,14,MATCH("User Reasoning",'[Ultimates.xlsx]Counts'!$1:$1,0)),INDEX('[Ultimates.xlsx]Counts'!$A:$Z,14,MATCH("Rules-Based AI Reasoning",'[Ultimates.xlsx]Counts'!$1:$1,0))),"")</f>
        <v/>
      </c>
    </row>
    <row r="15">
      <c r="A15" s="9" t="n">
        <v>2014</v>
      </c>
      <c r="B15" s="9" t="n">
        <v>131</v>
      </c>
      <c r="C15" s="10">
        <f>'Reported CL'!C15</f>
        <v/>
      </c>
      <c r="D15" s="10">
        <f>'Reported CL'!E15</f>
        <v/>
      </c>
      <c r="E15" s="10">
        <f>'[Ultimates.xlsx]Counts'!E15</f>
        <v/>
      </c>
      <c r="F15" s="10">
        <f>'Reported BF'!H15</f>
        <v/>
      </c>
      <c r="G15" s="10">
        <f>IFERROR(IF(INDEX('[Ultimates.xlsx]Counts'!$A:$Z,15,MATCH("User Selection",'[Ultimates.xlsx]Counts'!$1:$1,0))&lt;&gt;"",INDEX('[Ultimates.xlsx]Counts'!$A:$Z,15,MATCH("User Selection",'[Ultimates.xlsx]Counts'!$1:$1,0)),INDEX('[Ultimates.xlsx]Counts'!$A:$Z,15,MATCH("Rules-Based AI Selection",'[Ultimates.xlsx]Counts'!$1:$1,0))),"")</f>
        <v/>
      </c>
      <c r="H15" s="10">
        <f>G15-C15</f>
        <v/>
      </c>
      <c r="I15" s="10">
        <f>G15-C15</f>
        <v/>
      </c>
      <c r="J15" s="11">
        <f>IFERROR(IF(INDEX('[Ultimates.xlsx]Counts'!$A:$Z,15,MATCH("User Selection",'[Ultimates.xlsx]Counts'!$1:$1,0))&lt;&gt;"",INDEX('[Ultimates.xlsx]Counts'!$A:$Z,15,MATCH("User Reasoning",'[Ultimates.xlsx]Counts'!$1:$1,0)),INDEX('[Ultimates.xlsx]Counts'!$A:$Z,15,MATCH("Rules-Based AI Reasoning",'[Ultimates.xlsx]Counts'!$1:$1,0))),"")</f>
        <v/>
      </c>
    </row>
    <row r="16">
      <c r="A16" s="9" t="n">
        <v>2015</v>
      </c>
      <c r="B16" s="9" t="n">
        <v>119</v>
      </c>
      <c r="C16" s="10">
        <f>'Reported CL'!C16</f>
        <v/>
      </c>
      <c r="D16" s="10">
        <f>'Reported CL'!E16</f>
        <v/>
      </c>
      <c r="E16" s="10">
        <f>'[Ultimates.xlsx]Counts'!E16</f>
        <v/>
      </c>
      <c r="F16" s="10">
        <f>'Reported BF'!H16</f>
        <v/>
      </c>
      <c r="G16" s="10">
        <f>IFERROR(IF(INDEX('[Ultimates.xlsx]Counts'!$A:$Z,16,MATCH("User Selection",'[Ultimates.xlsx]Counts'!$1:$1,0))&lt;&gt;"",INDEX('[Ultimates.xlsx]Counts'!$A:$Z,16,MATCH("User Selection",'[Ultimates.xlsx]Counts'!$1:$1,0)),INDEX('[Ultimates.xlsx]Counts'!$A:$Z,16,MATCH("Rules-Based AI Selection",'[Ultimates.xlsx]Counts'!$1:$1,0))),"")</f>
        <v/>
      </c>
      <c r="H16" s="10">
        <f>G16-C16</f>
        <v/>
      </c>
      <c r="I16" s="10">
        <f>G16-C16</f>
        <v/>
      </c>
      <c r="J16" s="11">
        <f>IFERROR(IF(INDEX('[Ultimates.xlsx]Counts'!$A:$Z,16,MATCH("User Selection",'[Ultimates.xlsx]Counts'!$1:$1,0))&lt;&gt;"",INDEX('[Ultimates.xlsx]Counts'!$A:$Z,16,MATCH("User Reasoning",'[Ultimates.xlsx]Counts'!$1:$1,0)),INDEX('[Ultimates.xlsx]Counts'!$A:$Z,16,MATCH("Rules-Based AI Reasoning",'[Ultimates.xlsx]Counts'!$1:$1,0))),"")</f>
        <v/>
      </c>
    </row>
    <row r="17">
      <c r="A17" s="9" t="n">
        <v>2016</v>
      </c>
      <c r="B17" s="9" t="n">
        <v>107</v>
      </c>
      <c r="C17" s="10">
        <f>'Reported CL'!C17</f>
        <v/>
      </c>
      <c r="D17" s="10">
        <f>'Reported CL'!E17</f>
        <v/>
      </c>
      <c r="E17" s="10">
        <f>'[Ultimates.xlsx]Counts'!E17</f>
        <v/>
      </c>
      <c r="F17" s="10">
        <f>'Reported BF'!H17</f>
        <v/>
      </c>
      <c r="G17" s="10">
        <f>IFERROR(IF(INDEX('[Ultimates.xlsx]Counts'!$A:$Z,17,MATCH("User Selection",'[Ultimates.xlsx]Counts'!$1:$1,0))&lt;&gt;"",INDEX('[Ultimates.xlsx]Counts'!$A:$Z,17,MATCH("User Selection",'[Ultimates.xlsx]Counts'!$1:$1,0)),INDEX('[Ultimates.xlsx]Counts'!$A:$Z,17,MATCH("Rules-Based AI Selection",'[Ultimates.xlsx]Counts'!$1:$1,0))),"")</f>
        <v/>
      </c>
      <c r="H17" s="10">
        <f>G17-C17</f>
        <v/>
      </c>
      <c r="I17" s="10">
        <f>G17-C17</f>
        <v/>
      </c>
      <c r="J17" s="11">
        <f>IFERROR(IF(INDEX('[Ultimates.xlsx]Counts'!$A:$Z,17,MATCH("User Selection",'[Ultimates.xlsx]Counts'!$1:$1,0))&lt;&gt;"",INDEX('[Ultimates.xlsx]Counts'!$A:$Z,17,MATCH("User Reasoning",'[Ultimates.xlsx]Counts'!$1:$1,0)),INDEX('[Ultimates.xlsx]Counts'!$A:$Z,17,MATCH("Rules-Based AI Reasoning",'[Ultimates.xlsx]Counts'!$1:$1,0))),"")</f>
        <v/>
      </c>
    </row>
    <row r="18">
      <c r="A18" s="9" t="n">
        <v>2017</v>
      </c>
      <c r="B18" s="9" t="n">
        <v>95</v>
      </c>
      <c r="C18" s="10">
        <f>'Reported CL'!C18</f>
        <v/>
      </c>
      <c r="D18" s="10">
        <f>'Reported CL'!E18</f>
        <v/>
      </c>
      <c r="E18" s="10">
        <f>'[Ultimates.xlsx]Counts'!E18</f>
        <v/>
      </c>
      <c r="F18" s="10">
        <f>'Reported BF'!H18</f>
        <v/>
      </c>
      <c r="G18" s="10">
        <f>IFERROR(IF(INDEX('[Ultimates.xlsx]Counts'!$A:$Z,18,MATCH("User Selection",'[Ultimates.xlsx]Counts'!$1:$1,0))&lt;&gt;"",INDEX('[Ultimates.xlsx]Counts'!$A:$Z,18,MATCH("User Selection",'[Ultimates.xlsx]Counts'!$1:$1,0)),INDEX('[Ultimates.xlsx]Counts'!$A:$Z,18,MATCH("Rules-Based AI Selection",'[Ultimates.xlsx]Counts'!$1:$1,0))),"")</f>
        <v/>
      </c>
      <c r="H18" s="10">
        <f>G18-C18</f>
        <v/>
      </c>
      <c r="I18" s="10">
        <f>G18-C18</f>
        <v/>
      </c>
      <c r="J18" s="11">
        <f>IFERROR(IF(INDEX('[Ultimates.xlsx]Counts'!$A:$Z,18,MATCH("User Selection",'[Ultimates.xlsx]Counts'!$1:$1,0))&lt;&gt;"",INDEX('[Ultimates.xlsx]Counts'!$A:$Z,18,MATCH("User Reasoning",'[Ultimates.xlsx]Counts'!$1:$1,0)),INDEX('[Ultimates.xlsx]Counts'!$A:$Z,18,MATCH("Rules-Based AI Reasoning",'[Ultimates.xlsx]Counts'!$1:$1,0))),"")</f>
        <v/>
      </c>
    </row>
    <row r="19">
      <c r="A19" s="9" t="n">
        <v>2018</v>
      </c>
      <c r="B19" s="9" t="n">
        <v>83</v>
      </c>
      <c r="C19" s="10">
        <f>'Reported CL'!C19</f>
        <v/>
      </c>
      <c r="D19" s="10">
        <f>'Reported CL'!E19</f>
        <v/>
      </c>
      <c r="E19" s="10">
        <f>'[Ultimates.xlsx]Counts'!E19</f>
        <v/>
      </c>
      <c r="F19" s="10">
        <f>'Reported BF'!H19</f>
        <v/>
      </c>
      <c r="G19" s="10">
        <f>IFERROR(IF(INDEX('[Ultimates.xlsx]Counts'!$A:$Z,19,MATCH("User Selection",'[Ultimates.xlsx]Counts'!$1:$1,0))&lt;&gt;"",INDEX('[Ultimates.xlsx]Counts'!$A:$Z,19,MATCH("User Selection",'[Ultimates.xlsx]Counts'!$1:$1,0)),INDEX('[Ultimates.xlsx]Counts'!$A:$Z,19,MATCH("Rules-Based AI Selection",'[Ultimates.xlsx]Counts'!$1:$1,0))),"")</f>
        <v/>
      </c>
      <c r="H19" s="10">
        <f>G19-C19</f>
        <v/>
      </c>
      <c r="I19" s="10">
        <f>G19-C19</f>
        <v/>
      </c>
      <c r="J19" s="11">
        <f>IFERROR(IF(INDEX('[Ultimates.xlsx]Counts'!$A:$Z,19,MATCH("User Selection",'[Ultimates.xlsx]Counts'!$1:$1,0))&lt;&gt;"",INDEX('[Ultimates.xlsx]Counts'!$A:$Z,19,MATCH("User Reasoning",'[Ultimates.xlsx]Counts'!$1:$1,0)),INDEX('[Ultimates.xlsx]Counts'!$A:$Z,19,MATCH("Rules-Based AI Reasoning",'[Ultimates.xlsx]Counts'!$1:$1,0))),"")</f>
        <v/>
      </c>
    </row>
    <row r="20">
      <c r="A20" s="9" t="n">
        <v>2019</v>
      </c>
      <c r="B20" s="9" t="n">
        <v>71</v>
      </c>
      <c r="C20" s="10">
        <f>'Reported CL'!C20</f>
        <v/>
      </c>
      <c r="D20" s="10">
        <f>'Reported CL'!E20</f>
        <v/>
      </c>
      <c r="E20" s="10">
        <f>'[Ultimates.xlsx]Counts'!E20</f>
        <v/>
      </c>
      <c r="F20" s="10">
        <f>'Reported BF'!H20</f>
        <v/>
      </c>
      <c r="G20" s="10">
        <f>IFERROR(IF(INDEX('[Ultimates.xlsx]Counts'!$A:$Z,20,MATCH("User Selection",'[Ultimates.xlsx]Counts'!$1:$1,0))&lt;&gt;"",INDEX('[Ultimates.xlsx]Counts'!$A:$Z,20,MATCH("User Selection",'[Ultimates.xlsx]Counts'!$1:$1,0)),INDEX('[Ultimates.xlsx]Counts'!$A:$Z,20,MATCH("Rules-Based AI Selection",'[Ultimates.xlsx]Counts'!$1:$1,0))),"")</f>
        <v/>
      </c>
      <c r="H20" s="10">
        <f>G20-C20</f>
        <v/>
      </c>
      <c r="I20" s="10">
        <f>G20-C20</f>
        <v/>
      </c>
      <c r="J20" s="11">
        <f>IFERROR(IF(INDEX('[Ultimates.xlsx]Counts'!$A:$Z,20,MATCH("User Selection",'[Ultimates.xlsx]Counts'!$1:$1,0))&lt;&gt;"",INDEX('[Ultimates.xlsx]Counts'!$A:$Z,20,MATCH("User Reasoning",'[Ultimates.xlsx]Counts'!$1:$1,0)),INDEX('[Ultimates.xlsx]Counts'!$A:$Z,20,MATCH("Rules-Based AI Reasoning",'[Ultimates.xlsx]Counts'!$1:$1,0))),"")</f>
        <v/>
      </c>
    </row>
    <row r="21">
      <c r="A21" s="9" t="n">
        <v>2020</v>
      </c>
      <c r="B21" s="9" t="n">
        <v>59</v>
      </c>
      <c r="C21" s="10">
        <f>'Reported CL'!C21</f>
        <v/>
      </c>
      <c r="D21" s="10">
        <f>'Reported CL'!E21</f>
        <v/>
      </c>
      <c r="E21" s="10">
        <f>'[Ultimates.xlsx]Counts'!E21</f>
        <v/>
      </c>
      <c r="F21" s="10">
        <f>'Reported BF'!H21</f>
        <v/>
      </c>
      <c r="G21" s="10">
        <f>IFERROR(IF(INDEX('[Ultimates.xlsx]Counts'!$A:$Z,21,MATCH("User Selection",'[Ultimates.xlsx]Counts'!$1:$1,0))&lt;&gt;"",INDEX('[Ultimates.xlsx]Counts'!$A:$Z,21,MATCH("User Selection",'[Ultimates.xlsx]Counts'!$1:$1,0)),INDEX('[Ultimates.xlsx]Counts'!$A:$Z,21,MATCH("Rules-Based AI Selection",'[Ultimates.xlsx]Counts'!$1:$1,0))),"")</f>
        <v/>
      </c>
      <c r="H21" s="10">
        <f>G21-C21</f>
        <v/>
      </c>
      <c r="I21" s="10">
        <f>G21-C21</f>
        <v/>
      </c>
      <c r="J21" s="11">
        <f>IFERROR(IF(INDEX('[Ultimates.xlsx]Counts'!$A:$Z,21,MATCH("User Selection",'[Ultimates.xlsx]Counts'!$1:$1,0))&lt;&gt;"",INDEX('[Ultimates.xlsx]Counts'!$A:$Z,21,MATCH("User Reasoning",'[Ultimates.xlsx]Counts'!$1:$1,0)),INDEX('[Ultimates.xlsx]Counts'!$A:$Z,21,MATCH("Rules-Based AI Reasoning",'[Ultimates.xlsx]Counts'!$1:$1,0))),"")</f>
        <v/>
      </c>
    </row>
    <row r="22">
      <c r="A22" s="9" t="n">
        <v>2021</v>
      </c>
      <c r="B22" s="9" t="n">
        <v>47</v>
      </c>
      <c r="C22" s="10">
        <f>'Reported CL'!C22</f>
        <v/>
      </c>
      <c r="D22" s="10">
        <f>'Reported CL'!E22</f>
        <v/>
      </c>
      <c r="E22" s="10">
        <f>'[Ultimates.xlsx]Counts'!E22</f>
        <v/>
      </c>
      <c r="F22" s="10">
        <f>'Reported BF'!H22</f>
        <v/>
      </c>
      <c r="G22" s="10">
        <f>IFERROR(IF(INDEX('[Ultimates.xlsx]Counts'!$A:$Z,22,MATCH("User Selection",'[Ultimates.xlsx]Counts'!$1:$1,0))&lt;&gt;"",INDEX('[Ultimates.xlsx]Counts'!$A:$Z,22,MATCH("User Selection",'[Ultimates.xlsx]Counts'!$1:$1,0)),INDEX('[Ultimates.xlsx]Counts'!$A:$Z,22,MATCH("Rules-Based AI Selection",'[Ultimates.xlsx]Counts'!$1:$1,0))),"")</f>
        <v/>
      </c>
      <c r="H22" s="10">
        <f>G22-C22</f>
        <v/>
      </c>
      <c r="I22" s="10">
        <f>G22-C22</f>
        <v/>
      </c>
      <c r="J22" s="11">
        <f>IFERROR(IF(INDEX('[Ultimates.xlsx]Counts'!$A:$Z,22,MATCH("User Selection",'[Ultimates.xlsx]Counts'!$1:$1,0))&lt;&gt;"",INDEX('[Ultimates.xlsx]Counts'!$A:$Z,22,MATCH("User Reasoning",'[Ultimates.xlsx]Counts'!$1:$1,0)),INDEX('[Ultimates.xlsx]Counts'!$A:$Z,22,MATCH("Rules-Based AI Reasoning",'[Ultimates.xlsx]Counts'!$1:$1,0))),"")</f>
        <v/>
      </c>
    </row>
    <row r="23">
      <c r="A23" s="9" t="n">
        <v>2022</v>
      </c>
      <c r="B23" s="9" t="n">
        <v>35</v>
      </c>
      <c r="C23" s="10">
        <f>'Reported CL'!C23</f>
        <v/>
      </c>
      <c r="D23" s="10">
        <f>'Reported CL'!E23</f>
        <v/>
      </c>
      <c r="E23" s="10">
        <f>'[Ultimates.xlsx]Counts'!E23</f>
        <v/>
      </c>
      <c r="F23" s="10">
        <f>'Reported BF'!H23</f>
        <v/>
      </c>
      <c r="G23" s="10">
        <f>IFERROR(IF(INDEX('[Ultimates.xlsx]Counts'!$A:$Z,23,MATCH("User Selection",'[Ultimates.xlsx]Counts'!$1:$1,0))&lt;&gt;"",INDEX('[Ultimates.xlsx]Counts'!$A:$Z,23,MATCH("User Selection",'[Ultimates.xlsx]Counts'!$1:$1,0)),INDEX('[Ultimates.xlsx]Counts'!$A:$Z,23,MATCH("Rules-Based AI Selection",'[Ultimates.xlsx]Counts'!$1:$1,0))),"")</f>
        <v/>
      </c>
      <c r="H23" s="10">
        <f>G23-C23</f>
        <v/>
      </c>
      <c r="I23" s="10">
        <f>G23-C23</f>
        <v/>
      </c>
      <c r="J23" s="11">
        <f>IFERROR(IF(INDEX('[Ultimates.xlsx]Counts'!$A:$Z,23,MATCH("User Selection",'[Ultimates.xlsx]Counts'!$1:$1,0))&lt;&gt;"",INDEX('[Ultimates.xlsx]Counts'!$A:$Z,23,MATCH("User Reasoning",'[Ultimates.xlsx]Counts'!$1:$1,0)),INDEX('[Ultimates.xlsx]Counts'!$A:$Z,23,MATCH("Rules-Based AI Reasoning",'[Ultimates.xlsx]Counts'!$1:$1,0))),"")</f>
        <v/>
      </c>
    </row>
    <row r="24">
      <c r="A24" s="9" t="n">
        <v>2023</v>
      </c>
      <c r="B24" s="9" t="n">
        <v>23</v>
      </c>
      <c r="C24" s="10">
        <f>'Reported CL'!C24</f>
        <v/>
      </c>
      <c r="D24" s="10">
        <f>'Reported CL'!E24</f>
        <v/>
      </c>
      <c r="E24" s="10">
        <f>'[Ultimates.xlsx]Counts'!E24</f>
        <v/>
      </c>
      <c r="F24" s="10">
        <f>'Reported BF'!H24</f>
        <v/>
      </c>
      <c r="G24" s="10">
        <f>IFERROR(IF(INDEX('[Ultimates.xlsx]Counts'!$A:$Z,24,MATCH("User Selection",'[Ultimates.xlsx]Counts'!$1:$1,0))&lt;&gt;"",INDEX('[Ultimates.xlsx]Counts'!$A:$Z,24,MATCH("User Selection",'[Ultimates.xlsx]Counts'!$1:$1,0)),INDEX('[Ultimates.xlsx]Counts'!$A:$Z,24,MATCH("Rules-Based AI Selection",'[Ultimates.xlsx]Counts'!$1:$1,0))),"")</f>
        <v/>
      </c>
      <c r="H24" s="10">
        <f>G24-C24</f>
        <v/>
      </c>
      <c r="I24" s="10">
        <f>G24-C24</f>
        <v/>
      </c>
      <c r="J24" s="11">
        <f>IFERROR(IF(INDEX('[Ultimates.xlsx]Counts'!$A:$Z,24,MATCH("User Selection",'[Ultimates.xlsx]Counts'!$1:$1,0))&lt;&gt;"",INDEX('[Ultimates.xlsx]Counts'!$A:$Z,24,MATCH("User Reasoning",'[Ultimates.xlsx]Counts'!$1:$1,0)),INDEX('[Ultimates.xlsx]Counts'!$A:$Z,24,MATCH("Rules-Based AI Reasoning",'[Ultimates.xlsx]Counts'!$1:$1,0))),"")</f>
        <v/>
      </c>
    </row>
    <row r="25">
      <c r="A25" s="9" t="n">
        <v>2024</v>
      </c>
      <c r="B25" s="9" t="n">
        <v>11</v>
      </c>
      <c r="C25" s="10">
        <f>'Reported CL'!C25</f>
        <v/>
      </c>
      <c r="D25" s="10">
        <f>'Reported CL'!E25</f>
        <v/>
      </c>
      <c r="E25" s="10">
        <f>'[Ultimates.xlsx]Counts'!E25</f>
        <v/>
      </c>
      <c r="F25" s="10">
        <f>'Reported BF'!H25</f>
        <v/>
      </c>
      <c r="G25" s="10">
        <f>IFERROR(IF(INDEX('[Ultimates.xlsx]Counts'!$A:$Z,25,MATCH("User Selection",'[Ultimates.xlsx]Counts'!$1:$1,0))&lt;&gt;"",INDEX('[Ultimates.xlsx]Counts'!$A:$Z,25,MATCH("User Selection",'[Ultimates.xlsx]Counts'!$1:$1,0)),INDEX('[Ultimates.xlsx]Counts'!$A:$Z,25,MATCH("Rules-Based AI Selection",'[Ultimates.xlsx]Counts'!$1:$1,0))),"")</f>
        <v/>
      </c>
      <c r="H25" s="10">
        <f>G25-C25</f>
        <v/>
      </c>
      <c r="I25" s="10">
        <f>G25-C25</f>
        <v/>
      </c>
      <c r="J25" s="11">
        <f>IFERROR(IF(INDEX('[Ultimates.xlsx]Counts'!$A:$Z,25,MATCH("User Selection",'[Ultimates.xlsx]Counts'!$1:$1,0))&lt;&gt;"",INDEX('[Ultimates.xlsx]Counts'!$A:$Z,25,MATCH("User Reasoning",'[Ultimates.xlsx]Counts'!$1:$1,0)),INDEX('[Ultimates.xlsx]Counts'!$A:$Z,25,MATCH("Rules-Based AI Reasoning",'[Ultimates.xlsx]Counts'!$1:$1,0))),"")</f>
        <v/>
      </c>
    </row>
    <row r="26"/>
    <row r="27">
      <c r="A27" s="5" t="inlineStr">
        <is>
          <t>Total</t>
        </is>
      </c>
      <c r="C27" s="10">
        <f>SUM(C2:C25)</f>
        <v/>
      </c>
      <c r="D27" s="10">
        <f>SUM(D2:D25)</f>
        <v/>
      </c>
      <c r="E27" s="10">
        <f>SUM(E2:E25)</f>
        <v/>
      </c>
      <c r="F27" s="10">
        <f>SUM(F2:F25)</f>
        <v/>
      </c>
      <c r="G27" s="10">
        <f>SUM(G2:G25)</f>
        <v/>
      </c>
      <c r="H27" s="10">
        <f>SUM(H2:H25)</f>
        <v/>
      </c>
      <c r="I27" s="10">
        <f>SUM(I2:I25)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8" t="inlineStr">
        <is>
          <t>Accident Period</t>
        </is>
      </c>
      <c r="B1" s="8" t="inlineStr">
        <is>
          <t>Current Age</t>
        </is>
      </c>
      <c r="C1" s="8" t="inlineStr">
        <is>
          <t>Closed</t>
        </is>
      </c>
      <c r="D1" s="8" t="inlineStr">
        <is>
          <t>CDF</t>
        </is>
      </c>
      <c r="E1" s="8" t="inlineStr">
        <is>
          <t>Ultimate</t>
        </is>
      </c>
      <c r="F1" s="8" t="inlineStr">
        <is>
          <t>IBNR</t>
        </is>
      </c>
      <c r="G1" s="8" t="inlineStr">
        <is>
          <t>Unpaid</t>
        </is>
      </c>
    </row>
    <row r="2">
      <c r="A2" s="9" t="n">
        <v>2001</v>
      </c>
      <c r="B2" s="5" t="inlineStr">
        <is>
          <t>None</t>
        </is>
      </c>
      <c r="C2" s="5" t="n"/>
      <c r="D2" s="5" t="n"/>
      <c r="E2" s="10">
        <f>C2*D2</f>
        <v/>
      </c>
      <c r="F2" s="10">
        <f>E2-C2</f>
        <v/>
      </c>
      <c r="G2" s="10">
        <f>E2-C2</f>
        <v/>
      </c>
    </row>
    <row r="3">
      <c r="A3" s="9" t="n">
        <v>2002</v>
      </c>
      <c r="B3" s="5" t="inlineStr">
        <is>
          <t>None</t>
        </is>
      </c>
      <c r="C3" s="5" t="n"/>
      <c r="D3" s="5" t="n"/>
      <c r="E3" s="10">
        <f>C3*D3</f>
        <v/>
      </c>
      <c r="F3" s="10">
        <f>E3-C3</f>
        <v/>
      </c>
      <c r="G3" s="10">
        <f>E3-C3</f>
        <v/>
      </c>
    </row>
    <row r="4">
      <c r="A4" s="9" t="n">
        <v>2003</v>
      </c>
      <c r="B4" s="5" t="inlineStr">
        <is>
          <t>None</t>
        </is>
      </c>
      <c r="C4" s="5" t="n"/>
      <c r="D4" s="5" t="n"/>
      <c r="E4" s="10">
        <f>C4*D4</f>
        <v/>
      </c>
      <c r="F4" s="10">
        <f>E4-C4</f>
        <v/>
      </c>
      <c r="G4" s="10">
        <f>E4-C4</f>
        <v/>
      </c>
    </row>
    <row r="5">
      <c r="A5" s="9" t="n">
        <v>2004</v>
      </c>
      <c r="B5" s="5" t="inlineStr">
        <is>
          <t>None</t>
        </is>
      </c>
      <c r="C5" s="5" t="n"/>
      <c r="D5" s="5" t="n"/>
      <c r="E5" s="10">
        <f>C5*D5</f>
        <v/>
      </c>
      <c r="F5" s="10">
        <f>E5-C5</f>
        <v/>
      </c>
      <c r="G5" s="10">
        <f>E5-C5</f>
        <v/>
      </c>
    </row>
    <row r="6">
      <c r="A6" s="9" t="n">
        <v>2005</v>
      </c>
      <c r="B6" s="5" t="inlineStr">
        <is>
          <t>None</t>
        </is>
      </c>
      <c r="C6" s="5" t="n"/>
      <c r="D6" s="5" t="n"/>
      <c r="E6" s="10">
        <f>C6*D6</f>
        <v/>
      </c>
      <c r="F6" s="10">
        <f>E6-C6</f>
        <v/>
      </c>
      <c r="G6" s="10">
        <f>E6-C6</f>
        <v/>
      </c>
    </row>
    <row r="7">
      <c r="A7" s="9" t="n">
        <v>2006</v>
      </c>
      <c r="B7" s="5" t="inlineStr">
        <is>
          <t>None</t>
        </is>
      </c>
      <c r="C7" s="5" t="n"/>
      <c r="D7" s="5" t="n"/>
      <c r="E7" s="10">
        <f>C7*D7</f>
        <v/>
      </c>
      <c r="F7" s="10">
        <f>E7-C7</f>
        <v/>
      </c>
      <c r="G7" s="10">
        <f>E7-C7</f>
        <v/>
      </c>
    </row>
    <row r="8">
      <c r="A8" s="9" t="n">
        <v>2007</v>
      </c>
      <c r="B8" s="5" t="inlineStr">
        <is>
          <t>None</t>
        </is>
      </c>
      <c r="C8" s="5" t="n"/>
      <c r="D8" s="5" t="n"/>
      <c r="E8" s="10">
        <f>C8*D8</f>
        <v/>
      </c>
      <c r="F8" s="10">
        <f>E8-C8</f>
        <v/>
      </c>
      <c r="G8" s="10">
        <f>E8-C8</f>
        <v/>
      </c>
    </row>
    <row r="9">
      <c r="A9" s="9" t="n">
        <v>2008</v>
      </c>
      <c r="B9" s="5" t="inlineStr">
        <is>
          <t>None</t>
        </is>
      </c>
      <c r="C9" s="5" t="n"/>
      <c r="D9" s="5" t="n"/>
      <c r="E9" s="10">
        <f>C9*D9</f>
        <v/>
      </c>
      <c r="F9" s="10">
        <f>E9-C9</f>
        <v/>
      </c>
      <c r="G9" s="10">
        <f>E9-C9</f>
        <v/>
      </c>
    </row>
    <row r="10">
      <c r="A10" s="9" t="n">
        <v>2009</v>
      </c>
      <c r="B10" s="5" t="inlineStr">
        <is>
          <t>None</t>
        </is>
      </c>
      <c r="C10" s="5" t="n"/>
      <c r="D10" s="5" t="n"/>
      <c r="E10" s="10">
        <f>C10*D10</f>
        <v/>
      </c>
      <c r="F10" s="10">
        <f>E10-C10</f>
        <v/>
      </c>
      <c r="G10" s="10">
        <f>E10-C10</f>
        <v/>
      </c>
    </row>
    <row r="11">
      <c r="A11" s="9" t="n">
        <v>2010</v>
      </c>
      <c r="B11" s="5" t="inlineStr">
        <is>
          <t>None</t>
        </is>
      </c>
      <c r="C11" s="5" t="n"/>
      <c r="D11" s="5" t="n"/>
      <c r="E11" s="10">
        <f>C11*D11</f>
        <v/>
      </c>
      <c r="F11" s="10">
        <f>E11-C11</f>
        <v/>
      </c>
      <c r="G11" s="10">
        <f>E11-C11</f>
        <v/>
      </c>
    </row>
    <row r="12">
      <c r="A12" s="9" t="n">
        <v>2011</v>
      </c>
      <c r="B12" s="5" t="inlineStr">
        <is>
          <t>None</t>
        </is>
      </c>
      <c r="C12" s="5" t="n"/>
      <c r="D12" s="5" t="n"/>
      <c r="E12" s="10">
        <f>C12*D12</f>
        <v/>
      </c>
      <c r="F12" s="10">
        <f>E12-C12</f>
        <v/>
      </c>
      <c r="G12" s="10">
        <f>E12-C12</f>
        <v/>
      </c>
    </row>
    <row r="13">
      <c r="A13" s="9" t="n">
        <v>2012</v>
      </c>
      <c r="B13" s="5" t="inlineStr">
        <is>
          <t>None</t>
        </is>
      </c>
      <c r="C13" s="5" t="n"/>
      <c r="D13" s="5" t="n"/>
      <c r="E13" s="10">
        <f>C13*D13</f>
        <v/>
      </c>
      <c r="F13" s="10">
        <f>E13-C13</f>
        <v/>
      </c>
      <c r="G13" s="10">
        <f>E13-C13</f>
        <v/>
      </c>
    </row>
    <row r="14">
      <c r="A14" s="9" t="n">
        <v>2013</v>
      </c>
      <c r="B14" s="5" t="inlineStr">
        <is>
          <t>None</t>
        </is>
      </c>
      <c r="C14" s="5" t="n"/>
      <c r="D14" s="5" t="n"/>
      <c r="E14" s="10">
        <f>C14*D14</f>
        <v/>
      </c>
      <c r="F14" s="10">
        <f>E14-C14</f>
        <v/>
      </c>
      <c r="G14" s="10">
        <f>E14-C14</f>
        <v/>
      </c>
    </row>
    <row r="15">
      <c r="A15" s="9" t="n">
        <v>2014</v>
      </c>
      <c r="B15" s="5" t="inlineStr">
        <is>
          <t>None</t>
        </is>
      </c>
      <c r="C15" s="5" t="n"/>
      <c r="D15" s="5" t="n"/>
      <c r="E15" s="10">
        <f>C15*D15</f>
        <v/>
      </c>
      <c r="F15" s="10">
        <f>E15-C15</f>
        <v/>
      </c>
      <c r="G15" s="10">
        <f>E15-C15</f>
        <v/>
      </c>
    </row>
    <row r="16">
      <c r="A16" s="9" t="n">
        <v>2015</v>
      </c>
      <c r="B16" s="5" t="inlineStr">
        <is>
          <t>None</t>
        </is>
      </c>
      <c r="C16" s="5" t="n"/>
      <c r="D16" s="5" t="n"/>
      <c r="E16" s="10">
        <f>C16*D16</f>
        <v/>
      </c>
      <c r="F16" s="10">
        <f>E16-C16</f>
        <v/>
      </c>
      <c r="G16" s="10">
        <f>E16-C16</f>
        <v/>
      </c>
    </row>
    <row r="17">
      <c r="A17" s="9" t="n">
        <v>2016</v>
      </c>
      <c r="B17" s="5" t="inlineStr">
        <is>
          <t>None</t>
        </is>
      </c>
      <c r="C17" s="5" t="n"/>
      <c r="D17" s="5" t="n"/>
      <c r="E17" s="10">
        <f>C17*D17</f>
        <v/>
      </c>
      <c r="F17" s="10">
        <f>E17-C17</f>
        <v/>
      </c>
      <c r="G17" s="10">
        <f>E17-C17</f>
        <v/>
      </c>
    </row>
    <row r="18">
      <c r="A18" s="9" t="n">
        <v>2017</v>
      </c>
      <c r="B18" s="5" t="inlineStr">
        <is>
          <t>None</t>
        </is>
      </c>
      <c r="C18" s="5" t="n"/>
      <c r="D18" s="5" t="n"/>
      <c r="E18" s="10">
        <f>C18*D18</f>
        <v/>
      </c>
      <c r="F18" s="10">
        <f>E18-C18</f>
        <v/>
      </c>
      <c r="G18" s="10">
        <f>E18-C18</f>
        <v/>
      </c>
    </row>
    <row r="19">
      <c r="A19" s="9" t="n">
        <v>2018</v>
      </c>
      <c r="B19" s="5" t="inlineStr">
        <is>
          <t>None</t>
        </is>
      </c>
      <c r="C19" s="5" t="n"/>
      <c r="D19" s="5" t="n"/>
      <c r="E19" s="10">
        <f>C19*D19</f>
        <v/>
      </c>
      <c r="F19" s="10">
        <f>E19-C19</f>
        <v/>
      </c>
      <c r="G19" s="10">
        <f>E19-C19</f>
        <v/>
      </c>
    </row>
    <row r="20">
      <c r="A20" s="9" t="n">
        <v>2019</v>
      </c>
      <c r="B20" s="5" t="inlineStr">
        <is>
          <t>None</t>
        </is>
      </c>
      <c r="C20" s="5" t="n"/>
      <c r="D20" s="5" t="n"/>
      <c r="E20" s="10">
        <f>C20*D20</f>
        <v/>
      </c>
      <c r="F20" s="10">
        <f>E20-C20</f>
        <v/>
      </c>
      <c r="G20" s="10">
        <f>E20-C20</f>
        <v/>
      </c>
    </row>
    <row r="21">
      <c r="A21" s="9" t="n">
        <v>2020</v>
      </c>
      <c r="B21" s="5" t="inlineStr">
        <is>
          <t>None</t>
        </is>
      </c>
      <c r="C21" s="5" t="n"/>
      <c r="D21" s="5" t="n"/>
      <c r="E21" s="10">
        <f>C21*D21</f>
        <v/>
      </c>
      <c r="F21" s="10">
        <f>E21-C21</f>
        <v/>
      </c>
      <c r="G21" s="10">
        <f>E21-C21</f>
        <v/>
      </c>
    </row>
    <row r="22">
      <c r="A22" s="9" t="n">
        <v>2021</v>
      </c>
      <c r="B22" s="5" t="inlineStr">
        <is>
          <t>None</t>
        </is>
      </c>
      <c r="C22" s="5" t="n"/>
      <c r="D22" s="5" t="n"/>
      <c r="E22" s="10">
        <f>C22*D22</f>
        <v/>
      </c>
      <c r="F22" s="10">
        <f>E22-C22</f>
        <v/>
      </c>
      <c r="G22" s="10">
        <f>E22-C22</f>
        <v/>
      </c>
    </row>
    <row r="23">
      <c r="A23" s="9" t="n">
        <v>2022</v>
      </c>
      <c r="B23" s="5" t="inlineStr">
        <is>
          <t>None</t>
        </is>
      </c>
      <c r="C23" s="5" t="n"/>
      <c r="D23" s="5" t="n"/>
      <c r="E23" s="10">
        <f>C23*D23</f>
        <v/>
      </c>
      <c r="F23" s="10">
        <f>E23-C23</f>
        <v/>
      </c>
      <c r="G23" s="10">
        <f>E23-C23</f>
        <v/>
      </c>
    </row>
    <row r="24">
      <c r="A24" s="9" t="n">
        <v>2023</v>
      </c>
      <c r="B24" s="5" t="inlineStr">
        <is>
          <t>None</t>
        </is>
      </c>
      <c r="C24" s="5" t="n"/>
      <c r="D24" s="5" t="n"/>
      <c r="E24" s="10">
        <f>C24*D24</f>
        <v/>
      </c>
      <c r="F24" s="10">
        <f>E24-C24</f>
        <v/>
      </c>
      <c r="G24" s="10">
        <f>E24-C24</f>
        <v/>
      </c>
    </row>
    <row r="25">
      <c r="A25" s="9" t="n">
        <v>2024</v>
      </c>
      <c r="B25" s="5" t="inlineStr">
        <is>
          <t>None</t>
        </is>
      </c>
      <c r="C25" s="5" t="n"/>
      <c r="D25" s="5" t="n"/>
      <c r="E25" s="10">
        <f>C25*D25</f>
        <v/>
      </c>
      <c r="F25" s="10">
        <f>E25-C25</f>
        <v/>
      </c>
      <c r="G25" s="10">
        <f>E25-C25</f>
        <v/>
      </c>
    </row>
    <row r="26"/>
    <row r="27">
      <c r="A27" s="5" t="inlineStr">
        <is>
          <t>Total</t>
        </is>
      </c>
      <c r="C27" s="10">
        <f>SUM(C2:C25)</f>
        <v/>
      </c>
      <c r="E27" s="10">
        <f>SUM(E2:E25)</f>
        <v/>
      </c>
      <c r="F27" s="10">
        <f>SUM(F2:F25)</f>
        <v/>
      </c>
      <c r="G27" s="10">
        <f>SUM(G2:G25)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8" t="inlineStr">
        <is>
          <t>Accident Period</t>
        </is>
      </c>
      <c r="B1" s="8" t="inlineStr">
        <is>
          <t>Current Age</t>
        </is>
      </c>
      <c r="C1" s="8" t="inlineStr">
        <is>
          <t>Reported</t>
        </is>
      </c>
      <c r="D1" s="8" t="inlineStr">
        <is>
          <t>CDF</t>
        </is>
      </c>
      <c r="E1" s="8" t="inlineStr">
        <is>
          <t>Ultimate</t>
        </is>
      </c>
      <c r="F1" s="8" t="inlineStr">
        <is>
          <t>IBNR</t>
        </is>
      </c>
      <c r="G1" s="8" t="inlineStr">
        <is>
          <t>Unpaid</t>
        </is>
      </c>
    </row>
    <row r="2">
      <c r="A2" s="9" t="n">
        <v>2001</v>
      </c>
      <c r="B2" s="9" t="n">
        <v>287</v>
      </c>
      <c r="C2" s="12" t="n">
        <v>700.7076000000001</v>
      </c>
      <c r="D2" s="13" t="n">
        <v>1</v>
      </c>
      <c r="E2" s="10">
        <f>C2*D2</f>
        <v/>
      </c>
      <c r="F2" s="10">
        <f>E2-C2</f>
        <v/>
      </c>
      <c r="G2" s="10">
        <f>E2-'Closed CL'!C2</f>
        <v/>
      </c>
    </row>
    <row r="3">
      <c r="A3" s="9" t="n">
        <v>2002</v>
      </c>
      <c r="B3" s="9" t="n">
        <v>275</v>
      </c>
      <c r="C3" s="12" t="n">
        <v>651.8824000000001</v>
      </c>
      <c r="D3" s="13" t="n">
        <v>1</v>
      </c>
      <c r="E3" s="10">
        <f>C3*D3</f>
        <v/>
      </c>
      <c r="F3" s="10">
        <f>E3-C3</f>
        <v/>
      </c>
      <c r="G3" s="10">
        <f>E3-'Closed CL'!C3</f>
        <v/>
      </c>
    </row>
    <row r="4">
      <c r="A4" s="9" t="n">
        <v>2003</v>
      </c>
      <c r="B4" s="9" t="n">
        <v>263</v>
      </c>
      <c r="C4" s="12" t="n">
        <v>551.5928</v>
      </c>
      <c r="D4" s="13" t="n">
        <v>1</v>
      </c>
      <c r="E4" s="10">
        <f>C4*D4</f>
        <v/>
      </c>
      <c r="F4" s="10">
        <f>E4-C4</f>
        <v/>
      </c>
      <c r="G4" s="10">
        <f>E4-'Closed CL'!C4</f>
        <v/>
      </c>
    </row>
    <row r="5">
      <c r="A5" s="9" t="n">
        <v>2004</v>
      </c>
      <c r="B5" s="9" t="n">
        <v>251</v>
      </c>
      <c r="C5" s="12" t="n">
        <v>642.6452</v>
      </c>
      <c r="D5" s="13" t="n">
        <v>1</v>
      </c>
      <c r="E5" s="10">
        <f>C5*D5</f>
        <v/>
      </c>
      <c r="F5" s="10">
        <f>E5-C5</f>
        <v/>
      </c>
      <c r="G5" s="10">
        <f>E5-'Closed CL'!C5</f>
        <v/>
      </c>
    </row>
    <row r="6">
      <c r="A6" s="9" t="n">
        <v>2005</v>
      </c>
      <c r="B6" s="9" t="n">
        <v>239</v>
      </c>
      <c r="C6" s="12" t="n">
        <v>641.3256</v>
      </c>
      <c r="D6" s="13" t="n">
        <v>1</v>
      </c>
      <c r="E6" s="10">
        <f>C6*D6</f>
        <v/>
      </c>
      <c r="F6" s="10">
        <f>E6-C6</f>
        <v/>
      </c>
      <c r="G6" s="10">
        <f>E6-'Closed CL'!C6</f>
        <v/>
      </c>
    </row>
    <row r="7">
      <c r="A7" s="9" t="n">
        <v>2006</v>
      </c>
      <c r="B7" s="9" t="n">
        <v>227</v>
      </c>
      <c r="C7" s="12" t="n">
        <v>497.4892</v>
      </c>
      <c r="D7" s="13" t="n">
        <v>1</v>
      </c>
      <c r="E7" s="10">
        <f>C7*D7</f>
        <v/>
      </c>
      <c r="F7" s="10">
        <f>E7-C7</f>
        <v/>
      </c>
      <c r="G7" s="10">
        <f>E7-'Closed CL'!C7</f>
        <v/>
      </c>
    </row>
    <row r="8">
      <c r="A8" s="9" t="n">
        <v>2007</v>
      </c>
      <c r="B8" s="9" t="n">
        <v>215</v>
      </c>
      <c r="C8" s="12" t="n">
        <v>476.3756</v>
      </c>
      <c r="D8" s="13" t="n">
        <v>1</v>
      </c>
      <c r="E8" s="10">
        <f>C8*D8</f>
        <v/>
      </c>
      <c r="F8" s="10">
        <f>E8-C8</f>
        <v/>
      </c>
      <c r="G8" s="10">
        <f>E8-'Closed CL'!C8</f>
        <v/>
      </c>
    </row>
    <row r="9">
      <c r="A9" s="9" t="n">
        <v>2008</v>
      </c>
      <c r="B9" s="9" t="n">
        <v>203</v>
      </c>
      <c r="C9" s="12" t="n">
        <v>328.5804000000001</v>
      </c>
      <c r="D9" s="13" t="n">
        <v>1</v>
      </c>
      <c r="E9" s="10">
        <f>C9*D9</f>
        <v/>
      </c>
      <c r="F9" s="10">
        <f>E9-C9</f>
        <v/>
      </c>
      <c r="G9" s="10">
        <f>E9-'Closed CL'!C9</f>
        <v/>
      </c>
    </row>
    <row r="10">
      <c r="A10" s="9" t="n">
        <v>2009</v>
      </c>
      <c r="B10" s="9" t="n">
        <v>191</v>
      </c>
      <c r="C10" s="12" t="n">
        <v>321.9824</v>
      </c>
      <c r="D10" s="13" t="n">
        <v>1</v>
      </c>
      <c r="E10" s="10">
        <f>C10*D10</f>
        <v/>
      </c>
      <c r="F10" s="10">
        <f>E10-C10</f>
        <v/>
      </c>
      <c r="G10" s="10">
        <f>E10-'Closed CL'!C10</f>
        <v/>
      </c>
    </row>
    <row r="11">
      <c r="A11" s="9" t="n">
        <v>2010</v>
      </c>
      <c r="B11" s="9" t="n">
        <v>179</v>
      </c>
      <c r="C11" s="12" t="n">
        <v>271.8376</v>
      </c>
      <c r="D11" s="13" t="n">
        <v>1</v>
      </c>
      <c r="E11" s="10">
        <f>C11*D11</f>
        <v/>
      </c>
      <c r="F11" s="10">
        <f>E11-C11</f>
        <v/>
      </c>
      <c r="G11" s="10">
        <f>E11-'Closed CL'!C11</f>
        <v/>
      </c>
    </row>
    <row r="12">
      <c r="A12" s="9" t="n">
        <v>2011</v>
      </c>
      <c r="B12" s="9" t="n">
        <v>167</v>
      </c>
      <c r="C12" s="12" t="n">
        <v>345.7352</v>
      </c>
      <c r="D12" s="13" t="n">
        <v>1</v>
      </c>
      <c r="E12" s="10">
        <f>C12*D12</f>
        <v/>
      </c>
      <c r="F12" s="10">
        <f>E12-C12</f>
        <v/>
      </c>
      <c r="G12" s="10">
        <f>E12-'Closed CL'!C12</f>
        <v/>
      </c>
    </row>
    <row r="13">
      <c r="A13" s="9" t="n">
        <v>2012</v>
      </c>
      <c r="B13" s="9" t="n">
        <v>155</v>
      </c>
      <c r="C13" s="12" t="n">
        <v>261.2808</v>
      </c>
      <c r="D13" s="13" t="n">
        <v>1</v>
      </c>
      <c r="E13" s="10">
        <f>C13*D13</f>
        <v/>
      </c>
      <c r="F13" s="10">
        <f>E13-C13</f>
        <v/>
      </c>
      <c r="G13" s="10">
        <f>E13-'Closed CL'!C13</f>
        <v/>
      </c>
    </row>
    <row r="14">
      <c r="A14" s="9" t="n">
        <v>2013</v>
      </c>
      <c r="B14" s="9" t="n">
        <v>143</v>
      </c>
      <c r="C14" s="12" t="n">
        <v>291.6316</v>
      </c>
      <c r="D14" s="13" t="n">
        <v>1</v>
      </c>
      <c r="E14" s="10">
        <f>C14*D14</f>
        <v/>
      </c>
      <c r="F14" s="10">
        <f>E14-C14</f>
        <v/>
      </c>
      <c r="G14" s="10">
        <f>E14-'Closed CL'!C14</f>
        <v/>
      </c>
    </row>
    <row r="15">
      <c r="A15" s="9" t="n">
        <v>2014</v>
      </c>
      <c r="B15" s="9" t="n">
        <v>131</v>
      </c>
      <c r="C15" s="12" t="n">
        <v>455.2620000000001</v>
      </c>
      <c r="D15" s="13" t="n">
        <v>1</v>
      </c>
      <c r="E15" s="10">
        <f>C15*D15</f>
        <v/>
      </c>
      <c r="F15" s="10">
        <f>E15-C15</f>
        <v/>
      </c>
      <c r="G15" s="10">
        <f>E15-'Closed CL'!C15</f>
        <v/>
      </c>
    </row>
    <row r="16">
      <c r="A16" s="9" t="n">
        <v>2015</v>
      </c>
      <c r="B16" s="9" t="n">
        <v>119</v>
      </c>
      <c r="C16" s="12" t="n">
        <v>333.8588</v>
      </c>
      <c r="D16" s="13" t="n">
        <v>1</v>
      </c>
      <c r="E16" s="10">
        <f>C16*D16</f>
        <v/>
      </c>
      <c r="F16" s="10">
        <f>E16-C16</f>
        <v/>
      </c>
      <c r="G16" s="10">
        <f>E16-'Closed CL'!C16</f>
        <v/>
      </c>
    </row>
    <row r="17">
      <c r="A17" s="9" t="n">
        <v>2016</v>
      </c>
      <c r="B17" s="9" t="n">
        <v>107</v>
      </c>
      <c r="C17" s="12" t="n">
        <v>390.6016</v>
      </c>
      <c r="D17" s="13" t="n">
        <v>0.9977</v>
      </c>
      <c r="E17" s="10">
        <f>C17*D17</f>
        <v/>
      </c>
      <c r="F17" s="10">
        <f>E17-C17</f>
        <v/>
      </c>
      <c r="G17" s="10">
        <f>E17-'Closed CL'!C17</f>
        <v/>
      </c>
    </row>
    <row r="18">
      <c r="A18" s="9" t="n">
        <v>2017</v>
      </c>
      <c r="B18" s="9" t="n">
        <v>95</v>
      </c>
      <c r="C18" s="12" t="n">
        <v>310.1060000000001</v>
      </c>
      <c r="D18" s="13" t="n">
        <v>0.9977</v>
      </c>
      <c r="E18" s="10">
        <f>C18*D18</f>
        <v/>
      </c>
      <c r="F18" s="10">
        <f>E18-C18</f>
        <v/>
      </c>
      <c r="G18" s="10">
        <f>E18-'Closed CL'!C18</f>
        <v/>
      </c>
    </row>
    <row r="19">
      <c r="A19" s="9" t="n">
        <v>2018</v>
      </c>
      <c r="B19" s="9" t="n">
        <v>83</v>
      </c>
      <c r="C19" s="12" t="n">
        <v>325.9412</v>
      </c>
      <c r="D19" s="13" t="n">
        <v>0.99690184</v>
      </c>
      <c r="E19" s="10">
        <f>C19*D19</f>
        <v/>
      </c>
      <c r="F19" s="10">
        <f>E19-C19</f>
        <v/>
      </c>
      <c r="G19" s="10">
        <f>E19-'Closed CL'!C19</f>
        <v/>
      </c>
    </row>
    <row r="20">
      <c r="A20" s="9" t="n">
        <v>2019</v>
      </c>
      <c r="B20" s="9" t="n">
        <v>71</v>
      </c>
      <c r="C20" s="12" t="n">
        <v>357.6116</v>
      </c>
      <c r="D20" s="13" t="n">
        <v>0.99690184</v>
      </c>
      <c r="E20" s="10">
        <f>C20*D20</f>
        <v/>
      </c>
      <c r="F20" s="10">
        <f>E20-C20</f>
        <v/>
      </c>
      <c r="G20" s="10">
        <f>E20-'Closed CL'!C20</f>
        <v/>
      </c>
    </row>
    <row r="21">
      <c r="A21" s="9" t="n">
        <v>2020</v>
      </c>
      <c r="B21" s="9" t="n">
        <v>59</v>
      </c>
      <c r="C21" s="12" t="n">
        <v>370.8076</v>
      </c>
      <c r="D21" s="13" t="n">
        <v>0.996204008712</v>
      </c>
      <c r="E21" s="10">
        <f>C21*D21</f>
        <v/>
      </c>
      <c r="F21" s="10">
        <f>E21-C21</f>
        <v/>
      </c>
      <c r="G21" s="10">
        <f>E21-'Closed CL'!C21</f>
        <v/>
      </c>
    </row>
    <row r="22">
      <c r="A22" s="9" t="n">
        <v>2021</v>
      </c>
      <c r="B22" s="9" t="n">
        <v>47</v>
      </c>
      <c r="C22" s="12" t="n">
        <v>329.9</v>
      </c>
      <c r="D22" s="13" t="n">
        <v>0.996204008712</v>
      </c>
      <c r="E22" s="10">
        <f>C22*D22</f>
        <v/>
      </c>
      <c r="F22" s="10">
        <f>E22-C22</f>
        <v/>
      </c>
      <c r="G22" s="10">
        <f>E22-'Closed CL'!C22</f>
        <v/>
      </c>
    </row>
    <row r="23">
      <c r="A23" s="9" t="n">
        <v>2022</v>
      </c>
      <c r="B23" s="9" t="n">
        <v>35</v>
      </c>
      <c r="C23" s="12" t="n">
        <v>298.2296</v>
      </c>
      <c r="D23" s="13" t="n">
        <v>0.9970009719189695</v>
      </c>
      <c r="E23" s="10">
        <f>C23*D23</f>
        <v/>
      </c>
      <c r="F23" s="10">
        <f>E23-C23</f>
        <v/>
      </c>
      <c r="G23" s="10">
        <f>E23-'Closed CL'!C23</f>
        <v/>
      </c>
    </row>
    <row r="24">
      <c r="A24" s="9" t="n">
        <v>2023</v>
      </c>
      <c r="B24" s="9" t="n">
        <v>23</v>
      </c>
      <c r="C24" s="12" t="n">
        <v>304.8276</v>
      </c>
      <c r="D24" s="13" t="n">
        <v>0.9970009719189695</v>
      </c>
      <c r="E24" s="10">
        <f>C24*D24</f>
        <v/>
      </c>
      <c r="F24" s="10">
        <f>E24-C24</f>
        <v/>
      </c>
      <c r="G24" s="10">
        <f>E24-'Closed CL'!C24</f>
        <v/>
      </c>
    </row>
    <row r="25">
      <c r="A25" s="9" t="n">
        <v>2024</v>
      </c>
      <c r="B25" s="9" t="n">
        <v>11</v>
      </c>
      <c r="C25" s="12" t="n">
        <v>256.0024</v>
      </c>
      <c r="D25" s="13" t="n">
        <v>1.114647086605408</v>
      </c>
      <c r="E25" s="10">
        <f>C25*D25</f>
        <v/>
      </c>
      <c r="F25" s="10">
        <f>E25-C25</f>
        <v/>
      </c>
      <c r="G25" s="10">
        <f>E25-'Closed CL'!C25</f>
        <v/>
      </c>
    </row>
    <row r="26"/>
    <row r="27">
      <c r="A27" s="5" t="inlineStr">
        <is>
          <t>Total</t>
        </is>
      </c>
      <c r="C27" s="10">
        <f>SUM(C2:C25)</f>
        <v/>
      </c>
      <c r="E27" s="10">
        <f>SUM(E2:E25)</f>
        <v/>
      </c>
      <c r="F27" s="10">
        <f>SUM(F2:F25)</f>
        <v/>
      </c>
      <c r="G27" s="10">
        <f>SUM(G2:G25)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8" t="inlineStr">
        <is>
          <t>Accident Period</t>
        </is>
      </c>
      <c r="B1" s="8" t="inlineStr">
        <is>
          <t>Current Age</t>
        </is>
      </c>
      <c r="C1" s="8" t="inlineStr">
        <is>
          <t>Initial Expected</t>
        </is>
      </c>
      <c r="D1" s="8" t="inlineStr">
        <is>
          <t>CDF</t>
        </is>
      </c>
      <c r="E1" s="8" t="inlineStr">
        <is>
          <t>% Unreported</t>
        </is>
      </c>
      <c r="F1" s="8" t="inlineStr">
        <is>
          <t>Unreported</t>
        </is>
      </c>
      <c r="G1" s="8" t="inlineStr">
        <is>
          <t>Reported</t>
        </is>
      </c>
      <c r="H1" s="8" t="inlineStr">
        <is>
          <t>Ultimate</t>
        </is>
      </c>
      <c r="I1" s="8" t="inlineStr">
        <is>
          <t>IBNR</t>
        </is>
      </c>
      <c r="J1" s="8" t="inlineStr">
        <is>
          <t>Unpaid</t>
        </is>
      </c>
    </row>
    <row r="2">
      <c r="A2" s="9" t="n">
        <v>2001</v>
      </c>
      <c r="B2" s="9" t="n">
        <v>287</v>
      </c>
      <c r="C2" s="12" t="n">
        <v>700.775874480892</v>
      </c>
      <c r="D2" s="13" t="n">
        <v>1</v>
      </c>
      <c r="E2" s="14">
        <f>1-(1/D2)</f>
        <v/>
      </c>
      <c r="F2" s="10">
        <f>C2*E2</f>
        <v/>
      </c>
      <c r="G2" s="12" t="n">
        <v>700.7076000000001</v>
      </c>
      <c r="H2" s="10">
        <f>F2+G2</f>
        <v/>
      </c>
      <c r="I2" s="10">
        <f>H2-G2</f>
        <v/>
      </c>
      <c r="J2" s="10">
        <f>H2-'Closed CL'!C2</f>
        <v/>
      </c>
    </row>
    <row r="3">
      <c r="A3" s="9" t="n">
        <v>2002</v>
      </c>
      <c r="B3" s="9" t="n">
        <v>275</v>
      </c>
      <c r="C3" s="12" t="n">
        <v>683.1663101357999</v>
      </c>
      <c r="D3" s="13" t="n">
        <v>1</v>
      </c>
      <c r="E3" s="14">
        <f>1-(1/D3)</f>
        <v/>
      </c>
      <c r="F3" s="10">
        <f>C3*E3</f>
        <v/>
      </c>
      <c r="G3" s="12" t="n">
        <v>651.8824000000001</v>
      </c>
      <c r="H3" s="10">
        <f>F3+G3</f>
        <v/>
      </c>
      <c r="I3" s="10">
        <f>H3-G3</f>
        <v/>
      </c>
      <c r="J3" s="10">
        <f>H3-'Closed CL'!C3</f>
        <v/>
      </c>
    </row>
    <row r="4">
      <c r="A4" s="9" t="n">
        <v>2003</v>
      </c>
      <c r="B4" s="9" t="n">
        <v>263</v>
      </c>
      <c r="C4" s="12" t="n">
        <v>648.4432609290001</v>
      </c>
      <c r="D4" s="13" t="n">
        <v>1</v>
      </c>
      <c r="E4" s="14">
        <f>1-(1/D4)</f>
        <v/>
      </c>
      <c r="F4" s="10">
        <f>C4*E4</f>
        <v/>
      </c>
      <c r="G4" s="12" t="n">
        <v>551.5928</v>
      </c>
      <c r="H4" s="10">
        <f>F4+G4</f>
        <v/>
      </c>
      <c r="I4" s="10">
        <f>H4-G4</f>
        <v/>
      </c>
      <c r="J4" s="10">
        <f>H4-'Closed CL'!C4</f>
        <v/>
      </c>
    </row>
    <row r="5">
      <c r="A5" s="9" t="n">
        <v>2004</v>
      </c>
      <c r="B5" s="9" t="n">
        <v>251</v>
      </c>
      <c r="C5" s="12" t="n">
        <v>627.83790652</v>
      </c>
      <c r="D5" s="13" t="n">
        <v>1</v>
      </c>
      <c r="E5" s="14">
        <f>1-(1/D5)</f>
        <v/>
      </c>
      <c r="F5" s="10">
        <f>C5*E5</f>
        <v/>
      </c>
      <c r="G5" s="12" t="n">
        <v>642.6452</v>
      </c>
      <c r="H5" s="10">
        <f>F5+G5</f>
        <v/>
      </c>
      <c r="I5" s="10">
        <f>H5-G5</f>
        <v/>
      </c>
      <c r="J5" s="10">
        <f>H5-'Closed CL'!C5</f>
        <v/>
      </c>
    </row>
    <row r="6">
      <c r="A6" s="9" t="n">
        <v>2005</v>
      </c>
      <c r="B6" s="9" t="n">
        <v>239</v>
      </c>
      <c r="C6" s="12" t="n">
        <v>623.61426984</v>
      </c>
      <c r="D6" s="13" t="n">
        <v>1</v>
      </c>
      <c r="E6" s="14">
        <f>1-(1/D6)</f>
        <v/>
      </c>
      <c r="F6" s="10">
        <f>C6*E6</f>
        <v/>
      </c>
      <c r="G6" s="12" t="n">
        <v>641.3256</v>
      </c>
      <c r="H6" s="10">
        <f>F6+G6</f>
        <v/>
      </c>
      <c r="I6" s="10">
        <f>H6-G6</f>
        <v/>
      </c>
      <c r="J6" s="10">
        <f>H6-'Closed CL'!C6</f>
        <v/>
      </c>
    </row>
    <row r="7">
      <c r="A7" s="9" t="n">
        <v>2006</v>
      </c>
      <c r="B7" s="9" t="n">
        <v>227</v>
      </c>
      <c r="C7" s="12" t="n">
        <v>606.7448358759</v>
      </c>
      <c r="D7" s="13" t="n">
        <v>1</v>
      </c>
      <c r="E7" s="14">
        <f>1-(1/D7)</f>
        <v/>
      </c>
      <c r="F7" s="10">
        <f>C7*E7</f>
        <v/>
      </c>
      <c r="G7" s="12" t="n">
        <v>497.4892</v>
      </c>
      <c r="H7" s="10">
        <f>F7+G7</f>
        <v/>
      </c>
      <c r="I7" s="10">
        <f>H7-G7</f>
        <v/>
      </c>
      <c r="J7" s="10">
        <f>H7-'Closed CL'!C7</f>
        <v/>
      </c>
    </row>
    <row r="8">
      <c r="A8" s="9" t="n">
        <v>2007</v>
      </c>
      <c r="B8" s="9" t="n">
        <v>215</v>
      </c>
      <c r="C8" s="12" t="n">
        <v>550.471610298</v>
      </c>
      <c r="D8" s="13" t="n">
        <v>1</v>
      </c>
      <c r="E8" s="14">
        <f>1-(1/D8)</f>
        <v/>
      </c>
      <c r="F8" s="10">
        <f>C8*E8</f>
        <v/>
      </c>
      <c r="G8" s="12" t="n">
        <v>476.3756</v>
      </c>
      <c r="H8" s="10">
        <f>F8+G8</f>
        <v/>
      </c>
      <c r="I8" s="10">
        <f>H8-G8</f>
        <v/>
      </c>
      <c r="J8" s="10">
        <f>H8-'Closed CL'!C8</f>
        <v/>
      </c>
    </row>
    <row r="9">
      <c r="A9" s="9" t="n">
        <v>2008</v>
      </c>
      <c r="B9" s="9" t="n">
        <v>203</v>
      </c>
      <c r="C9" s="12" t="n">
        <v>444.0969799109999</v>
      </c>
      <c r="D9" s="13" t="n">
        <v>1</v>
      </c>
      <c r="E9" s="14">
        <f>1-(1/D9)</f>
        <v/>
      </c>
      <c r="F9" s="10">
        <f>C9*E9</f>
        <v/>
      </c>
      <c r="G9" s="12" t="n">
        <v>328.5804000000001</v>
      </c>
      <c r="H9" s="10">
        <f>F9+G9</f>
        <v/>
      </c>
      <c r="I9" s="10">
        <f>H9-G9</f>
        <v/>
      </c>
      <c r="J9" s="10">
        <f>H9-'Closed CL'!C9</f>
        <v/>
      </c>
    </row>
    <row r="10">
      <c r="A10" s="9" t="n">
        <v>2009</v>
      </c>
      <c r="B10" s="9" t="n">
        <v>191</v>
      </c>
      <c r="C10" s="12" t="n">
        <v>384.4019144995</v>
      </c>
      <c r="D10" s="13" t="n">
        <v>1</v>
      </c>
      <c r="E10" s="14">
        <f>1-(1/D10)</f>
        <v/>
      </c>
      <c r="F10" s="10">
        <f>C10*E10</f>
        <v/>
      </c>
      <c r="G10" s="12" t="n">
        <v>321.9824</v>
      </c>
      <c r="H10" s="10">
        <f>F10+G10</f>
        <v/>
      </c>
      <c r="I10" s="10">
        <f>H10-G10</f>
        <v/>
      </c>
      <c r="J10" s="10">
        <f>H10-'Closed CL'!C10</f>
        <v/>
      </c>
    </row>
    <row r="11">
      <c r="A11" s="9" t="n">
        <v>2010</v>
      </c>
      <c r="B11" s="9" t="n">
        <v>179</v>
      </c>
      <c r="C11" s="12" t="n">
        <v>314.2013025147</v>
      </c>
      <c r="D11" s="13" t="n">
        <v>1</v>
      </c>
      <c r="E11" s="14">
        <f>1-(1/D11)</f>
        <v/>
      </c>
      <c r="F11" s="10">
        <f>C11*E11</f>
        <v/>
      </c>
      <c r="G11" s="12" t="n">
        <v>271.8376</v>
      </c>
      <c r="H11" s="10">
        <f>F11+G11</f>
        <v/>
      </c>
      <c r="I11" s="10">
        <f>H11-G11</f>
        <v/>
      </c>
      <c r="J11" s="10">
        <f>H11-'Closed CL'!C11</f>
        <v/>
      </c>
    </row>
    <row r="12">
      <c r="A12" s="9" t="n">
        <v>2011</v>
      </c>
      <c r="B12" s="9" t="n">
        <v>167</v>
      </c>
      <c r="C12" s="12" t="n">
        <v>319.3283418408</v>
      </c>
      <c r="D12" s="13" t="n">
        <v>1</v>
      </c>
      <c r="E12" s="14">
        <f>1-(1/D12)</f>
        <v/>
      </c>
      <c r="F12" s="10">
        <f>C12*E12</f>
        <v/>
      </c>
      <c r="G12" s="12" t="n">
        <v>345.7352</v>
      </c>
      <c r="H12" s="10">
        <f>F12+G12</f>
        <v/>
      </c>
      <c r="I12" s="10">
        <f>H12-G12</f>
        <v/>
      </c>
      <c r="J12" s="10">
        <f>H12-'Closed CL'!C12</f>
        <v/>
      </c>
    </row>
    <row r="13">
      <c r="A13" s="9" t="n">
        <v>2012</v>
      </c>
      <c r="B13" s="9" t="n">
        <v>155</v>
      </c>
      <c r="C13" s="12" t="n">
        <v>298.965375136</v>
      </c>
      <c r="D13" s="13" t="n">
        <v>1</v>
      </c>
      <c r="E13" s="14">
        <f>1-(1/D13)</f>
        <v/>
      </c>
      <c r="F13" s="10">
        <f>C13*E13</f>
        <v/>
      </c>
      <c r="G13" s="12" t="n">
        <v>261.2808</v>
      </c>
      <c r="H13" s="10">
        <f>F13+G13</f>
        <v/>
      </c>
      <c r="I13" s="10">
        <f>H13-G13</f>
        <v/>
      </c>
      <c r="J13" s="10">
        <f>H13-'Closed CL'!C13</f>
        <v/>
      </c>
    </row>
    <row r="14">
      <c r="A14" s="9" t="n">
        <v>2013</v>
      </c>
      <c r="B14" s="9" t="n">
        <v>143</v>
      </c>
      <c r="C14" s="12" t="n">
        <v>305.7471685908</v>
      </c>
      <c r="D14" s="13" t="n">
        <v>1</v>
      </c>
      <c r="E14" s="14">
        <f>1-(1/D14)</f>
        <v/>
      </c>
      <c r="F14" s="10">
        <f>C14*E14</f>
        <v/>
      </c>
      <c r="G14" s="12" t="n">
        <v>291.6316</v>
      </c>
      <c r="H14" s="10">
        <f>F14+G14</f>
        <v/>
      </c>
      <c r="I14" s="10">
        <f>H14-G14</f>
        <v/>
      </c>
      <c r="J14" s="10">
        <f>H14-'Closed CL'!C14</f>
        <v/>
      </c>
    </row>
    <row r="15">
      <c r="A15" s="9" t="n">
        <v>2014</v>
      </c>
      <c r="B15" s="9" t="n">
        <v>131</v>
      </c>
      <c r="C15" s="12" t="n">
        <v>341.329398159</v>
      </c>
      <c r="D15" s="13" t="n">
        <v>1</v>
      </c>
      <c r="E15" s="14">
        <f>1-(1/D15)</f>
        <v/>
      </c>
      <c r="F15" s="10">
        <f>C15*E15</f>
        <v/>
      </c>
      <c r="G15" s="12" t="n">
        <v>455.2620000000001</v>
      </c>
      <c r="H15" s="10">
        <f>F15+G15</f>
        <v/>
      </c>
      <c r="I15" s="10">
        <f>H15-G15</f>
        <v/>
      </c>
      <c r="J15" s="10">
        <f>H15-'Closed CL'!C15</f>
        <v/>
      </c>
    </row>
    <row r="16">
      <c r="A16" s="9" t="n">
        <v>2015</v>
      </c>
      <c r="B16" s="9" t="n">
        <v>119</v>
      </c>
      <c r="C16" s="12" t="n">
        <v>367.358834304</v>
      </c>
      <c r="D16" s="13" t="n">
        <v>1</v>
      </c>
      <c r="E16" s="14">
        <f>1-(1/D16)</f>
        <v/>
      </c>
      <c r="F16" s="10">
        <f>C16*E16</f>
        <v/>
      </c>
      <c r="G16" s="12" t="n">
        <v>333.8588</v>
      </c>
      <c r="H16" s="10">
        <f>F16+G16</f>
        <v/>
      </c>
      <c r="I16" s="10">
        <f>H16-G16</f>
        <v/>
      </c>
      <c r="J16" s="10">
        <f>H16-'Closed CL'!C16</f>
        <v/>
      </c>
    </row>
    <row r="17">
      <c r="A17" s="9" t="n">
        <v>2016</v>
      </c>
      <c r="B17" s="9" t="n">
        <v>107</v>
      </c>
      <c r="C17" s="12" t="n">
        <v>401.5315549436</v>
      </c>
      <c r="D17" s="13" t="n">
        <v>0.9977</v>
      </c>
      <c r="E17" s="14">
        <f>1-(1/D17)</f>
        <v/>
      </c>
      <c r="F17" s="10">
        <f>C17*E17</f>
        <v/>
      </c>
      <c r="G17" s="12" t="n">
        <v>390.6016</v>
      </c>
      <c r="H17" s="10">
        <f>F17+G17</f>
        <v/>
      </c>
      <c r="I17" s="10">
        <f>H17-G17</f>
        <v/>
      </c>
      <c r="J17" s="10">
        <f>H17-'Closed CL'!C17</f>
        <v/>
      </c>
    </row>
    <row r="18">
      <c r="A18" s="9" t="n">
        <v>2017</v>
      </c>
      <c r="B18" s="9" t="n">
        <v>95</v>
      </c>
      <c r="C18" s="12" t="n">
        <v>351.797848029</v>
      </c>
      <c r="D18" s="13" t="n">
        <v>0.9977</v>
      </c>
      <c r="E18" s="14">
        <f>1-(1/D18)</f>
        <v/>
      </c>
      <c r="F18" s="10">
        <f>C18*E18</f>
        <v/>
      </c>
      <c r="G18" s="12" t="n">
        <v>310.1060000000001</v>
      </c>
      <c r="H18" s="10">
        <f>F18+G18</f>
        <v/>
      </c>
      <c r="I18" s="10">
        <f>H18-G18</f>
        <v/>
      </c>
      <c r="J18" s="10">
        <f>H18-'Closed CL'!C18</f>
        <v/>
      </c>
    </row>
    <row r="19">
      <c r="A19" s="9" t="n">
        <v>2018</v>
      </c>
      <c r="B19" s="9" t="n">
        <v>83</v>
      </c>
      <c r="C19" s="12" t="n">
        <v>349.5307063275</v>
      </c>
      <c r="D19" s="13" t="n">
        <v>0.99690184</v>
      </c>
      <c r="E19" s="14">
        <f>1-(1/D19)</f>
        <v/>
      </c>
      <c r="F19" s="10">
        <f>C19*E19</f>
        <v/>
      </c>
      <c r="G19" s="12" t="n">
        <v>325.9412</v>
      </c>
      <c r="H19" s="10">
        <f>F19+G19</f>
        <v/>
      </c>
      <c r="I19" s="10">
        <f>H19-G19</f>
        <v/>
      </c>
      <c r="J19" s="10">
        <f>H19-'Closed CL'!C19</f>
        <v/>
      </c>
    </row>
    <row r="20">
      <c r="A20" s="9" t="n">
        <v>2019</v>
      </c>
      <c r="B20" s="9" t="n">
        <v>71</v>
      </c>
      <c r="C20" s="12" t="n">
        <v>337.5429992505</v>
      </c>
      <c r="D20" s="13" t="n">
        <v>0.99690184</v>
      </c>
      <c r="E20" s="14">
        <f>1-(1/D20)</f>
        <v/>
      </c>
      <c r="F20" s="10">
        <f>C20*E20</f>
        <v/>
      </c>
      <c r="G20" s="12" t="n">
        <v>357.6116</v>
      </c>
      <c r="H20" s="10">
        <f>F20+G20</f>
        <v/>
      </c>
      <c r="I20" s="10">
        <f>H20-G20</f>
        <v/>
      </c>
      <c r="J20" s="10">
        <f>H20-'Closed CL'!C20</f>
        <v/>
      </c>
    </row>
    <row r="21">
      <c r="A21" s="9" t="n">
        <v>2020</v>
      </c>
      <c r="B21" s="9" t="n">
        <v>59</v>
      </c>
      <c r="C21" s="12" t="n">
        <v>358.1209218321</v>
      </c>
      <c r="D21" s="13" t="n">
        <v>0.996204008712</v>
      </c>
      <c r="E21" s="14">
        <f>1-(1/D21)</f>
        <v/>
      </c>
      <c r="F21" s="10">
        <f>C21*E21</f>
        <v/>
      </c>
      <c r="G21" s="12" t="n">
        <v>370.8076</v>
      </c>
      <c r="H21" s="10">
        <f>F21+G21</f>
        <v/>
      </c>
      <c r="I21" s="10">
        <f>H21-G21</f>
        <v/>
      </c>
      <c r="J21" s="10">
        <f>H21-'Closed CL'!C21</f>
        <v/>
      </c>
    </row>
    <row r="22">
      <c r="A22" s="9" t="n">
        <v>2021</v>
      </c>
      <c r="B22" s="9" t="n">
        <v>47</v>
      </c>
      <c r="C22" s="12" t="n">
        <v>360.1120188906</v>
      </c>
      <c r="D22" s="13" t="n">
        <v>0.996204008712</v>
      </c>
      <c r="E22" s="14">
        <f>1-(1/D22)</f>
        <v/>
      </c>
      <c r="F22" s="10">
        <f>C22*E22</f>
        <v/>
      </c>
      <c r="G22" s="12" t="n">
        <v>329.9</v>
      </c>
      <c r="H22" s="10">
        <f>F22+G22</f>
        <v/>
      </c>
      <c r="I22" s="10">
        <f>H22-G22</f>
        <v/>
      </c>
      <c r="J22" s="10">
        <f>H22-'Closed CL'!C22</f>
        <v/>
      </c>
    </row>
    <row r="23">
      <c r="A23" s="9" t="n">
        <v>2022</v>
      </c>
      <c r="B23" s="9" t="n">
        <v>35</v>
      </c>
      <c r="C23" s="12" t="n">
        <v>339.9814749044</v>
      </c>
      <c r="D23" s="13" t="n">
        <v>0.9970009719189695</v>
      </c>
      <c r="E23" s="14">
        <f>1-(1/D23)</f>
        <v/>
      </c>
      <c r="F23" s="10">
        <f>C23*E23</f>
        <v/>
      </c>
      <c r="G23" s="12" t="n">
        <v>298.2296</v>
      </c>
      <c r="H23" s="10">
        <f>F23+G23</f>
        <v/>
      </c>
      <c r="I23" s="10">
        <f>H23-G23</f>
        <v/>
      </c>
      <c r="J23" s="10">
        <f>H23-'Closed CL'!C23</f>
        <v/>
      </c>
    </row>
    <row r="24">
      <c r="A24" s="9" t="n">
        <v>2023</v>
      </c>
      <c r="B24" s="9" t="n">
        <v>23</v>
      </c>
      <c r="C24" s="12" t="n">
        <v>317.4343255127</v>
      </c>
      <c r="D24" s="13" t="n">
        <v>0.9970009719189695</v>
      </c>
      <c r="E24" s="14">
        <f>1-(1/D24)</f>
        <v/>
      </c>
      <c r="F24" s="10">
        <f>C24*E24</f>
        <v/>
      </c>
      <c r="G24" s="12" t="n">
        <v>304.8276</v>
      </c>
      <c r="H24" s="10">
        <f>F24+G24</f>
        <v/>
      </c>
      <c r="I24" s="10">
        <f>H24-G24</f>
        <v/>
      </c>
      <c r="J24" s="10">
        <f>H24-'Closed CL'!C24</f>
        <v/>
      </c>
    </row>
    <row r="25">
      <c r="A25" s="9" t="n">
        <v>2024</v>
      </c>
      <c r="B25" s="9" t="n">
        <v>11</v>
      </c>
      <c r="C25" s="12" t="n">
        <v>292.3526117534</v>
      </c>
      <c r="D25" s="13" t="n">
        <v>1.114647086605408</v>
      </c>
      <c r="E25" s="14">
        <f>1-(1/D25)</f>
        <v/>
      </c>
      <c r="F25" s="10">
        <f>C25*E25</f>
        <v/>
      </c>
      <c r="G25" s="12" t="n">
        <v>256.0024</v>
      </c>
      <c r="H25" s="10">
        <f>F25+G25</f>
        <v/>
      </c>
      <c r="I25" s="10">
        <f>H25-G25</f>
        <v/>
      </c>
      <c r="J25" s="10">
        <f>H25-'Closed CL'!C25</f>
        <v/>
      </c>
    </row>
    <row r="26"/>
    <row r="27">
      <c r="A27" s="5" t="inlineStr">
        <is>
          <t>Total</t>
        </is>
      </c>
      <c r="C27" s="10">
        <f>SUM(C2:C25)</f>
        <v/>
      </c>
      <c r="E27" s="14">
        <f>SUM(F2:F25)/SUM(C2:C25)</f>
        <v/>
      </c>
      <c r="F27" s="10">
        <f>SUM(F2:F25)</f>
        <v/>
      </c>
      <c r="G27" s="10">
        <f>SUM(G2:G25)</f>
        <v/>
      </c>
      <c r="H27" s="10">
        <f>SUM(H2:H25)</f>
        <v/>
      </c>
      <c r="I27" s="10">
        <f>SUM(I2:I25)</f>
        <v/>
      </c>
      <c r="J27" s="10">
        <f>SUM(J2:J25)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8" t="inlineStr">
        <is>
          <t>Accident Period</t>
        </is>
      </c>
      <c r="B1" s="8" t="inlineStr">
        <is>
          <t>Current Age</t>
        </is>
      </c>
      <c r="C1" s="8" t="inlineStr">
        <is>
          <t>Exposure</t>
        </is>
      </c>
      <c r="D1" s="8" t="inlineStr">
        <is>
          <t>Selected Loss Rate</t>
        </is>
      </c>
      <c r="E1" s="8" t="inlineStr">
        <is>
          <t>IE Ultimate</t>
        </is>
      </c>
    </row>
    <row r="2">
      <c r="A2" s="9" t="n">
        <v>2001</v>
      </c>
      <c r="B2" s="5" t="inlineStr">
        <is>
          <t>None</t>
        </is>
      </c>
      <c r="C2" s="12" t="n">
        <v>316377369.9688</v>
      </c>
      <c r="D2" s="13" t="n">
        <v>2.215e-06</v>
      </c>
      <c r="E2" s="12" t="n">
        <v>700.775874480892</v>
      </c>
    </row>
    <row r="3">
      <c r="A3" s="9" t="n">
        <v>2002</v>
      </c>
      <c r="B3" s="5" t="inlineStr">
        <is>
          <t>None</t>
        </is>
      </c>
      <c r="C3" s="12" t="n">
        <v>322704917.4</v>
      </c>
      <c r="D3" s="13" t="n">
        <v>2.117e-06</v>
      </c>
      <c r="E3" s="12" t="n">
        <v>683.1663101357999</v>
      </c>
    </row>
    <row r="4">
      <c r="A4" s="9" t="n">
        <v>2003</v>
      </c>
      <c r="B4" s="5" t="inlineStr">
        <is>
          <t>None</t>
        </is>
      </c>
      <c r="C4" s="12" t="n">
        <v>329159015.7</v>
      </c>
      <c r="D4" s="13" t="n">
        <v>1.97e-06</v>
      </c>
      <c r="E4" s="12" t="n">
        <v>648.4432609290001</v>
      </c>
    </row>
    <row r="5">
      <c r="A5" s="9" t="n">
        <v>2004</v>
      </c>
      <c r="B5" s="5" t="inlineStr">
        <is>
          <t>None</t>
        </is>
      </c>
      <c r="C5" s="12" t="n">
        <v>335742196</v>
      </c>
      <c r="D5" s="13" t="n">
        <v>1.87e-06</v>
      </c>
      <c r="E5" s="12" t="n">
        <v>627.83790652</v>
      </c>
    </row>
    <row r="6">
      <c r="A6" s="9" t="n">
        <v>2005</v>
      </c>
      <c r="B6" s="5" t="inlineStr">
        <is>
          <t>None</t>
        </is>
      </c>
      <c r="C6" s="12" t="n">
        <v>342457040</v>
      </c>
      <c r="D6" s="13" t="n">
        <v>1.821e-06</v>
      </c>
      <c r="E6" s="12" t="n">
        <v>623.61426984</v>
      </c>
    </row>
    <row r="7">
      <c r="A7" s="9" t="n">
        <v>2006</v>
      </c>
      <c r="B7" s="5" t="inlineStr">
        <is>
          <t>None</t>
        </is>
      </c>
      <c r="C7" s="12" t="n">
        <v>349306180.7</v>
      </c>
      <c r="D7" s="13" t="n">
        <v>1.737e-06</v>
      </c>
      <c r="E7" s="12" t="n">
        <v>606.7448358759</v>
      </c>
    </row>
    <row r="8">
      <c r="A8" s="9" t="n">
        <v>2007</v>
      </c>
      <c r="B8" s="5" t="inlineStr">
        <is>
          <t>None</t>
        </is>
      </c>
      <c r="C8" s="12" t="n">
        <v>356292304.4</v>
      </c>
      <c r="D8" s="13" t="n">
        <v>1.545e-06</v>
      </c>
      <c r="E8" s="12" t="n">
        <v>550.471610298</v>
      </c>
    </row>
    <row r="9">
      <c r="A9" s="9" t="n">
        <v>2008</v>
      </c>
      <c r="B9" s="5" t="inlineStr">
        <is>
          <t>None</t>
        </is>
      </c>
      <c r="C9" s="12" t="n">
        <v>363418150.5</v>
      </c>
      <c r="D9" s="13" t="n">
        <v>1.222e-06</v>
      </c>
      <c r="E9" s="12" t="n">
        <v>444.0969799109999</v>
      </c>
    </row>
    <row r="10">
      <c r="A10" s="9" t="n">
        <v>2009</v>
      </c>
      <c r="B10" s="5" t="inlineStr">
        <is>
          <t>None</t>
        </is>
      </c>
      <c r="C10" s="12" t="n">
        <v>370686513.5</v>
      </c>
      <c r="D10" s="13" t="n">
        <v>1.037e-06</v>
      </c>
      <c r="E10" s="12" t="n">
        <v>384.4019144995</v>
      </c>
    </row>
    <row r="11">
      <c r="A11" s="9" t="n">
        <v>2010</v>
      </c>
      <c r="B11" s="5" t="inlineStr">
        <is>
          <t>None</t>
        </is>
      </c>
      <c r="C11" s="12" t="n">
        <v>378100243.7</v>
      </c>
      <c r="D11" s="13" t="n">
        <v>8.31e-07</v>
      </c>
      <c r="E11" s="12" t="n">
        <v>314.2013025147</v>
      </c>
    </row>
    <row r="12">
      <c r="A12" s="9" t="n">
        <v>2011</v>
      </c>
      <c r="B12" s="5" t="inlineStr">
        <is>
          <t>None</t>
        </is>
      </c>
      <c r="C12" s="12" t="n">
        <v>385662248.6</v>
      </c>
      <c r="D12" s="13" t="n">
        <v>8.280000000000001e-07</v>
      </c>
      <c r="E12" s="12" t="n">
        <v>319.3283418408</v>
      </c>
    </row>
    <row r="13">
      <c r="A13" s="9" t="n">
        <v>2012</v>
      </c>
      <c r="B13" s="5" t="inlineStr">
        <is>
          <t>None</t>
        </is>
      </c>
      <c r="C13" s="12" t="n">
        <v>393375493.6</v>
      </c>
      <c r="D13" s="13" t="n">
        <v>7.6e-07</v>
      </c>
      <c r="E13" s="12" t="n">
        <v>298.965375136</v>
      </c>
    </row>
    <row r="14">
      <c r="A14" s="9" t="n">
        <v>2013</v>
      </c>
      <c r="B14" s="5" t="inlineStr">
        <is>
          <t>None</t>
        </is>
      </c>
      <c r="C14" s="12" t="n">
        <v>401243003.4</v>
      </c>
      <c r="D14" s="13" t="n">
        <v>7.62e-07</v>
      </c>
      <c r="E14" s="12" t="n">
        <v>305.7471685908</v>
      </c>
    </row>
    <row r="15">
      <c r="A15" s="9" t="n">
        <v>2014</v>
      </c>
      <c r="B15" s="5" t="inlineStr">
        <is>
          <t>None</t>
        </is>
      </c>
      <c r="C15" s="12" t="n">
        <v>409267863.5</v>
      </c>
      <c r="D15" s="13" t="n">
        <v>8.34e-07</v>
      </c>
      <c r="E15" s="12" t="n">
        <v>341.329398159</v>
      </c>
    </row>
    <row r="16">
      <c r="A16" s="9" t="n">
        <v>2015</v>
      </c>
      <c r="B16" s="5" t="inlineStr">
        <is>
          <t>None</t>
        </is>
      </c>
      <c r="C16" s="12" t="n">
        <v>417453220.8</v>
      </c>
      <c r="D16" s="13" t="n">
        <v>8.8e-07</v>
      </c>
      <c r="E16" s="12" t="n">
        <v>367.358834304</v>
      </c>
    </row>
    <row r="17">
      <c r="A17" s="9" t="n">
        <v>2016</v>
      </c>
      <c r="B17" s="5" t="inlineStr">
        <is>
          <t>None</t>
        </is>
      </c>
      <c r="C17" s="12" t="n">
        <v>425802285.2</v>
      </c>
      <c r="D17" s="13" t="n">
        <v>9.43e-07</v>
      </c>
      <c r="E17" s="12" t="n">
        <v>401.5315549436</v>
      </c>
    </row>
    <row r="18">
      <c r="A18" s="9" t="n">
        <v>2017</v>
      </c>
      <c r="B18" s="5" t="inlineStr">
        <is>
          <t>None</t>
        </is>
      </c>
      <c r="C18" s="12" t="n">
        <v>434318330.9</v>
      </c>
      <c r="D18" s="13" t="n">
        <v>8.1e-07</v>
      </c>
      <c r="E18" s="12" t="n">
        <v>351.797848029</v>
      </c>
    </row>
    <row r="19">
      <c r="A19" s="9" t="n">
        <v>2018</v>
      </c>
      <c r="B19" s="5" t="inlineStr">
        <is>
          <t>None</t>
        </is>
      </c>
      <c r="C19" s="12" t="n">
        <v>443004697.5</v>
      </c>
      <c r="D19" s="13" t="n">
        <v>7.89e-07</v>
      </c>
      <c r="E19" s="12" t="n">
        <v>349.5307063275</v>
      </c>
    </row>
    <row r="20">
      <c r="A20" s="9" t="n">
        <v>2019</v>
      </c>
      <c r="B20" s="5" t="inlineStr">
        <is>
          <t>None</t>
        </is>
      </c>
      <c r="C20" s="12" t="n">
        <v>451864791.5</v>
      </c>
      <c r="D20" s="13" t="n">
        <v>7.469999999999999e-07</v>
      </c>
      <c r="E20" s="12" t="n">
        <v>337.5429992505</v>
      </c>
    </row>
    <row r="21">
      <c r="A21" s="9" t="n">
        <v>2020</v>
      </c>
      <c r="B21" s="5" t="inlineStr">
        <is>
          <t>None</t>
        </is>
      </c>
      <c r="C21" s="12" t="n">
        <v>460902087.3</v>
      </c>
      <c r="D21" s="13" t="n">
        <v>7.77e-07</v>
      </c>
      <c r="E21" s="12" t="n">
        <v>358.1209218321</v>
      </c>
    </row>
    <row r="22">
      <c r="A22" s="9" t="n">
        <v>2021</v>
      </c>
      <c r="B22" s="5" t="inlineStr">
        <is>
          <t>None</t>
        </is>
      </c>
      <c r="C22" s="12" t="n">
        <v>470120129.1</v>
      </c>
      <c r="D22" s="13" t="n">
        <v>7.66e-07</v>
      </c>
      <c r="E22" s="12" t="n">
        <v>360.1120188906</v>
      </c>
    </row>
    <row r="23">
      <c r="A23" s="9" t="n">
        <v>2022</v>
      </c>
      <c r="B23" s="5" t="inlineStr">
        <is>
          <t>None</t>
        </is>
      </c>
      <c r="C23" s="12" t="n">
        <v>479522531.6</v>
      </c>
      <c r="D23" s="13" t="n">
        <v>7.09e-07</v>
      </c>
      <c r="E23" s="12" t="n">
        <v>339.9814749044</v>
      </c>
    </row>
    <row r="24">
      <c r="A24" s="9" t="n">
        <v>2023</v>
      </c>
      <c r="B24" s="5" t="inlineStr">
        <is>
          <t>None</t>
        </is>
      </c>
      <c r="C24" s="12" t="n">
        <v>489112982.3</v>
      </c>
      <c r="D24" s="13" t="n">
        <v>6.489999999999998e-07</v>
      </c>
      <c r="E24" s="12" t="n">
        <v>317.4343255127</v>
      </c>
    </row>
    <row r="25">
      <c r="A25" s="9" t="n">
        <v>2024</v>
      </c>
      <c r="B25" s="5" t="inlineStr">
        <is>
          <t>None</t>
        </is>
      </c>
      <c r="C25" s="12" t="n">
        <v>498895241.9</v>
      </c>
      <c r="D25" s="13" t="n">
        <v>5.86e-07</v>
      </c>
      <c r="E25" s="12" t="n">
        <v>292.3526117534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8" t="inlineStr">
        <is>
          <t>Accident Period</t>
        </is>
      </c>
      <c r="B1" s="8" t="inlineStr">
        <is>
          <t>Current Age</t>
        </is>
      </c>
      <c r="C1" s="8" t="inlineStr">
        <is>
          <t>Exposure</t>
        </is>
      </c>
      <c r="D1" s="8" t="inlineStr">
        <is>
          <t>Selected Loss Rate</t>
        </is>
      </c>
      <c r="E1" s="8" t="inlineStr">
        <is>
          <t>IE Ultimate</t>
        </is>
      </c>
    </row>
    <row r="2">
      <c r="A2" s="9" t="n">
        <v>2001</v>
      </c>
      <c r="B2" s="9" t="n">
        <v>287</v>
      </c>
      <c r="C2" s="12" t="n">
        <v>316377369.9688</v>
      </c>
      <c r="D2" s="13" t="n">
        <v>2.215e-06</v>
      </c>
      <c r="E2" s="12" t="n">
        <v>700.775874480892</v>
      </c>
    </row>
    <row r="3">
      <c r="A3" s="9" t="n">
        <v>2002</v>
      </c>
      <c r="B3" s="9" t="n">
        <v>275</v>
      </c>
      <c r="C3" s="12" t="n">
        <v>322704917.4</v>
      </c>
      <c r="D3" s="13" t="n">
        <v>2.117e-06</v>
      </c>
      <c r="E3" s="12" t="n">
        <v>683.1663101357999</v>
      </c>
    </row>
    <row r="4">
      <c r="A4" s="9" t="n">
        <v>2003</v>
      </c>
      <c r="B4" s="9" t="n">
        <v>263</v>
      </c>
      <c r="C4" s="12" t="n">
        <v>329159015.7</v>
      </c>
      <c r="D4" s="13" t="n">
        <v>1.97e-06</v>
      </c>
      <c r="E4" s="12" t="n">
        <v>648.4432609290001</v>
      </c>
    </row>
    <row r="5">
      <c r="A5" s="9" t="n">
        <v>2004</v>
      </c>
      <c r="B5" s="9" t="n">
        <v>251</v>
      </c>
      <c r="C5" s="12" t="n">
        <v>335742196</v>
      </c>
      <c r="D5" s="13" t="n">
        <v>1.87e-06</v>
      </c>
      <c r="E5" s="12" t="n">
        <v>627.83790652</v>
      </c>
    </row>
    <row r="6">
      <c r="A6" s="9" t="n">
        <v>2005</v>
      </c>
      <c r="B6" s="9" t="n">
        <v>239</v>
      </c>
      <c r="C6" s="12" t="n">
        <v>342457040</v>
      </c>
      <c r="D6" s="13" t="n">
        <v>1.821e-06</v>
      </c>
      <c r="E6" s="12" t="n">
        <v>623.61426984</v>
      </c>
    </row>
    <row r="7">
      <c r="A7" s="9" t="n">
        <v>2006</v>
      </c>
      <c r="B7" s="9" t="n">
        <v>227</v>
      </c>
      <c r="C7" s="12" t="n">
        <v>349306180.7</v>
      </c>
      <c r="D7" s="13" t="n">
        <v>1.737e-06</v>
      </c>
      <c r="E7" s="12" t="n">
        <v>606.7448358759</v>
      </c>
    </row>
    <row r="8">
      <c r="A8" s="9" t="n">
        <v>2007</v>
      </c>
      <c r="B8" s="9" t="n">
        <v>215</v>
      </c>
      <c r="C8" s="12" t="n">
        <v>356292304.4</v>
      </c>
      <c r="D8" s="13" t="n">
        <v>1.545e-06</v>
      </c>
      <c r="E8" s="12" t="n">
        <v>550.471610298</v>
      </c>
    </row>
    <row r="9">
      <c r="A9" s="9" t="n">
        <v>2008</v>
      </c>
      <c r="B9" s="9" t="n">
        <v>203</v>
      </c>
      <c r="C9" s="12" t="n">
        <v>363418150.5</v>
      </c>
      <c r="D9" s="13" t="n">
        <v>1.222e-06</v>
      </c>
      <c r="E9" s="12" t="n">
        <v>444.0969799109999</v>
      </c>
    </row>
    <row r="10">
      <c r="A10" s="9" t="n">
        <v>2009</v>
      </c>
      <c r="B10" s="9" t="n">
        <v>191</v>
      </c>
      <c r="C10" s="12" t="n">
        <v>370686513.5</v>
      </c>
      <c r="D10" s="13" t="n">
        <v>1.037e-06</v>
      </c>
      <c r="E10" s="12" t="n">
        <v>384.4019144995</v>
      </c>
    </row>
    <row r="11">
      <c r="A11" s="9" t="n">
        <v>2010</v>
      </c>
      <c r="B11" s="9" t="n">
        <v>179</v>
      </c>
      <c r="C11" s="12" t="n">
        <v>378100243.7</v>
      </c>
      <c r="D11" s="13" t="n">
        <v>8.31e-07</v>
      </c>
      <c r="E11" s="12" t="n">
        <v>314.2013025147</v>
      </c>
    </row>
    <row r="12">
      <c r="A12" s="9" t="n">
        <v>2011</v>
      </c>
      <c r="B12" s="9" t="n">
        <v>167</v>
      </c>
      <c r="C12" s="12" t="n">
        <v>385662248.6</v>
      </c>
      <c r="D12" s="13" t="n">
        <v>8.280000000000001e-07</v>
      </c>
      <c r="E12" s="12" t="n">
        <v>319.3283418408</v>
      </c>
    </row>
    <row r="13">
      <c r="A13" s="9" t="n">
        <v>2012</v>
      </c>
      <c r="B13" s="9" t="n">
        <v>155</v>
      </c>
      <c r="C13" s="12" t="n">
        <v>393375493.6</v>
      </c>
      <c r="D13" s="13" t="n">
        <v>7.6e-07</v>
      </c>
      <c r="E13" s="12" t="n">
        <v>298.965375136</v>
      </c>
    </row>
    <row r="14">
      <c r="A14" s="9" t="n">
        <v>2013</v>
      </c>
      <c r="B14" s="9" t="n">
        <v>143</v>
      </c>
      <c r="C14" s="12" t="n">
        <v>401243003.4</v>
      </c>
      <c r="D14" s="13" t="n">
        <v>7.62e-07</v>
      </c>
      <c r="E14" s="12" t="n">
        <v>305.7471685908</v>
      </c>
    </row>
    <row r="15">
      <c r="A15" s="9" t="n">
        <v>2014</v>
      </c>
      <c r="B15" s="9" t="n">
        <v>131</v>
      </c>
      <c r="C15" s="12" t="n">
        <v>409267863.5</v>
      </c>
      <c r="D15" s="13" t="n">
        <v>8.34e-07</v>
      </c>
      <c r="E15" s="12" t="n">
        <v>341.329398159</v>
      </c>
    </row>
    <row r="16">
      <c r="A16" s="9" t="n">
        <v>2015</v>
      </c>
      <c r="B16" s="9" t="n">
        <v>119</v>
      </c>
      <c r="C16" s="12" t="n">
        <v>417453220.8</v>
      </c>
      <c r="D16" s="13" t="n">
        <v>8.8e-07</v>
      </c>
      <c r="E16" s="12" t="n">
        <v>367.358834304</v>
      </c>
    </row>
    <row r="17">
      <c r="A17" s="9" t="n">
        <v>2016</v>
      </c>
      <c r="B17" s="9" t="n">
        <v>107</v>
      </c>
      <c r="C17" s="12" t="n">
        <v>425802285.2</v>
      </c>
      <c r="D17" s="13" t="n">
        <v>9.43e-07</v>
      </c>
      <c r="E17" s="12" t="n">
        <v>401.5315549436</v>
      </c>
    </row>
    <row r="18">
      <c r="A18" s="9" t="n">
        <v>2017</v>
      </c>
      <c r="B18" s="9" t="n">
        <v>95</v>
      </c>
      <c r="C18" s="12" t="n">
        <v>434318330.9</v>
      </c>
      <c r="D18" s="13" t="n">
        <v>8.1e-07</v>
      </c>
      <c r="E18" s="12" t="n">
        <v>351.797848029</v>
      </c>
    </row>
    <row r="19">
      <c r="A19" s="9" t="n">
        <v>2018</v>
      </c>
      <c r="B19" s="9" t="n">
        <v>83</v>
      </c>
      <c r="C19" s="12" t="n">
        <v>443004697.5</v>
      </c>
      <c r="D19" s="13" t="n">
        <v>7.89e-07</v>
      </c>
      <c r="E19" s="12" t="n">
        <v>349.5307063275</v>
      </c>
    </row>
    <row r="20">
      <c r="A20" s="9" t="n">
        <v>2019</v>
      </c>
      <c r="B20" s="9" t="n">
        <v>71</v>
      </c>
      <c r="C20" s="12" t="n">
        <v>451864791.5</v>
      </c>
      <c r="D20" s="13" t="n">
        <v>7.469999999999999e-07</v>
      </c>
      <c r="E20" s="12" t="n">
        <v>337.5429992505</v>
      </c>
    </row>
    <row r="21">
      <c r="A21" s="9" t="n">
        <v>2020</v>
      </c>
      <c r="B21" s="9" t="n">
        <v>59</v>
      </c>
      <c r="C21" s="12" t="n">
        <v>460902087.3</v>
      </c>
      <c r="D21" s="13" t="n">
        <v>7.77e-07</v>
      </c>
      <c r="E21" s="12" t="n">
        <v>358.1209218321</v>
      </c>
    </row>
    <row r="22">
      <c r="A22" s="9" t="n">
        <v>2021</v>
      </c>
      <c r="B22" s="9" t="n">
        <v>47</v>
      </c>
      <c r="C22" s="12" t="n">
        <v>470120129.1</v>
      </c>
      <c r="D22" s="13" t="n">
        <v>7.66e-07</v>
      </c>
      <c r="E22" s="12" t="n">
        <v>360.1120188906</v>
      </c>
    </row>
    <row r="23">
      <c r="A23" s="9" t="n">
        <v>2022</v>
      </c>
      <c r="B23" s="9" t="n">
        <v>35</v>
      </c>
      <c r="C23" s="12" t="n">
        <v>479522531.6</v>
      </c>
      <c r="D23" s="13" t="n">
        <v>7.09e-07</v>
      </c>
      <c r="E23" s="12" t="n">
        <v>339.9814749044</v>
      </c>
    </row>
    <row r="24">
      <c r="A24" s="9" t="n">
        <v>2023</v>
      </c>
      <c r="B24" s="9" t="n">
        <v>23</v>
      </c>
      <c r="C24" s="12" t="n">
        <v>489112982.3</v>
      </c>
      <c r="D24" s="13" t="n">
        <v>6.489999999999998e-07</v>
      </c>
      <c r="E24" s="12" t="n">
        <v>317.4343255127</v>
      </c>
    </row>
    <row r="25">
      <c r="A25" s="9" t="n">
        <v>2024</v>
      </c>
      <c r="B25" s="9" t="n">
        <v>11</v>
      </c>
      <c r="C25" s="12" t="n">
        <v>498895241.9</v>
      </c>
      <c r="D25" s="13" t="n">
        <v>5.86e-07</v>
      </c>
      <c r="E25" s="12" t="n">
        <v>292.3526117534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7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4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3" t="inlineStr">
        <is>
          <t>Incurred Loss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  <c r="O1" s="15" t="n"/>
      <c r="P1" s="15" t="n"/>
      <c r="Q1" s="15" t="n"/>
      <c r="R1" s="15" t="n"/>
    </row>
    <row r="2">
      <c r="A2" s="16" t="n"/>
      <c r="B2" s="8" t="inlineStr">
        <is>
          <t>11</t>
        </is>
      </c>
      <c r="C2" s="8" t="inlineStr">
        <is>
          <t>23</t>
        </is>
      </c>
      <c r="D2" s="8" t="inlineStr">
        <is>
          <t>35</t>
        </is>
      </c>
      <c r="E2" s="8" t="inlineStr">
        <is>
          <t>47</t>
        </is>
      </c>
      <c r="F2" s="8" t="inlineStr">
        <is>
          <t>59</t>
        </is>
      </c>
      <c r="G2" s="8" t="inlineStr">
        <is>
          <t>71</t>
        </is>
      </c>
      <c r="H2" s="8" t="inlineStr">
        <is>
          <t>83</t>
        </is>
      </c>
      <c r="I2" s="8" t="inlineStr">
        <is>
          <t>95</t>
        </is>
      </c>
      <c r="J2" s="8" t="inlineStr">
        <is>
          <t>107</t>
        </is>
      </c>
      <c r="K2" s="8" t="inlineStr">
        <is>
          <t>119</t>
        </is>
      </c>
      <c r="L2" s="8" t="inlineStr">
        <is>
          <t>131</t>
        </is>
      </c>
      <c r="M2" s="8" t="inlineStr">
        <is>
          <t>143</t>
        </is>
      </c>
      <c r="N2" s="8" t="inlineStr">
        <is>
          <t>155</t>
        </is>
      </c>
      <c r="O2" s="8" t="inlineStr">
        <is>
          <t>167</t>
        </is>
      </c>
      <c r="P2" s="8" t="inlineStr">
        <is>
          <t>179</t>
        </is>
      </c>
      <c r="Q2" s="8" t="inlineStr">
        <is>
          <t>191</t>
        </is>
      </c>
      <c r="R2" s="8" t="inlineStr">
        <is>
          <t>203</t>
        </is>
      </c>
    </row>
    <row r="3">
      <c r="A3" s="17" t="inlineStr">
        <is>
          <t>2001</t>
        </is>
      </c>
      <c r="B3" s="18" t="n">
        <v>567331.6692</v>
      </c>
      <c r="C3" s="18" t="n">
        <v>1554404.3456</v>
      </c>
      <c r="D3" s="18" t="n">
        <v>1902287.8544</v>
      </c>
      <c r="E3" s="18" t="n">
        <v>2093441.1516</v>
      </c>
      <c r="F3" s="18" t="n">
        <v>2250668.8524</v>
      </c>
      <c r="G3" s="18" t="n">
        <v>2402988.1558</v>
      </c>
      <c r="H3" s="18" t="n">
        <v>2397333.5643</v>
      </c>
      <c r="I3" s="18" t="n">
        <v>2419690.9269</v>
      </c>
      <c r="J3" s="18" t="n">
        <v>2437307.5869</v>
      </c>
      <c r="K3" s="18" t="n">
        <v>2457834.4795</v>
      </c>
      <c r="L3" s="18" t="n">
        <v>2510536.374</v>
      </c>
      <c r="M3" s="18" t="n">
        <v>2562761.5102</v>
      </c>
      <c r="N3" s="18" t="n">
        <v>2559991.01</v>
      </c>
      <c r="O3" s="18" t="n">
        <v>2618542.6253</v>
      </c>
      <c r="P3" s="18" t="n">
        <v>2663167.8948</v>
      </c>
      <c r="Q3" s="18" t="n">
        <v>2804776.81</v>
      </c>
      <c r="R3" s="18" t="n">
        <v>2871037.8848</v>
      </c>
    </row>
    <row r="4">
      <c r="A4" s="17" t="inlineStr">
        <is>
          <t>2002</t>
        </is>
      </c>
      <c r="B4" s="18" t="n">
        <v>927838.4716</v>
      </c>
      <c r="C4" s="18" t="n">
        <v>1327207.494</v>
      </c>
      <c r="D4" s="18" t="n">
        <v>1342822.3208</v>
      </c>
      <c r="E4" s="18" t="n">
        <v>1604244.318</v>
      </c>
      <c r="F4" s="18" t="n">
        <v>1625395.9885</v>
      </c>
      <c r="G4" s="18" t="n">
        <v>1727293.4023</v>
      </c>
      <c r="H4" s="18" t="n">
        <v>1760101.2711</v>
      </c>
      <c r="I4" s="18" t="n">
        <v>1760466.7343</v>
      </c>
      <c r="J4" s="18" t="n">
        <v>1799039.5397</v>
      </c>
      <c r="K4" s="18" t="n">
        <v>1816376.1146</v>
      </c>
      <c r="L4" s="18" t="n">
        <v>1835002.2026</v>
      </c>
      <c r="M4" s="18" t="n">
        <v>1897241.704</v>
      </c>
      <c r="N4" s="18" t="n">
        <v>1899757.6006</v>
      </c>
      <c r="O4" s="18" t="n">
        <v>1975947.9264</v>
      </c>
      <c r="P4" s="18" t="n">
        <v>2028039.1364</v>
      </c>
      <c r="Q4" s="18" t="n">
        <v>2057884.5296</v>
      </c>
      <c r="R4" s="18" t="n">
        <v>2166744.7601</v>
      </c>
    </row>
    <row r="5">
      <c r="A5" s="17" t="inlineStr">
        <is>
          <t>2003</t>
        </is>
      </c>
      <c r="B5" s="18" t="n">
        <v>1009363.3596</v>
      </c>
      <c r="C5" s="18" t="n">
        <v>1458693.7576</v>
      </c>
      <c r="D5" s="18" t="n">
        <v>1578930.4312</v>
      </c>
      <c r="E5" s="18" t="n">
        <v>1876931.173</v>
      </c>
      <c r="F5" s="18" t="n">
        <v>1703633.0403</v>
      </c>
      <c r="G5" s="18" t="n">
        <v>1819224.3524</v>
      </c>
      <c r="H5" s="18" t="n">
        <v>1814195.5019</v>
      </c>
      <c r="I5" s="18" t="n">
        <v>1800500.416</v>
      </c>
      <c r="J5" s="18" t="n">
        <v>1797139.9227</v>
      </c>
      <c r="K5" s="18" t="n">
        <v>1801084.8669</v>
      </c>
      <c r="L5" s="18" t="n">
        <v>1797322.9116</v>
      </c>
      <c r="M5" s="18" t="n">
        <v>1783419.2233</v>
      </c>
      <c r="N5" s="18" t="n">
        <v>1774330.2012</v>
      </c>
      <c r="O5" s="18" t="n">
        <v>1774330.1088</v>
      </c>
      <c r="P5" s="18" t="n">
        <v>1774330.1088</v>
      </c>
      <c r="Q5" s="18" t="n">
        <v>1774330.1088</v>
      </c>
      <c r="R5" s="18" t="n">
        <v>1778091.5758</v>
      </c>
    </row>
    <row r="6">
      <c r="A6" s="17" t="inlineStr">
        <is>
          <t>2004</t>
        </is>
      </c>
      <c r="B6" s="18" t="n">
        <v>706990.2156</v>
      </c>
      <c r="C6" s="18" t="n">
        <v>807081.8756</v>
      </c>
      <c r="D6" s="18" t="n">
        <v>891146.7297</v>
      </c>
      <c r="E6" s="18" t="n">
        <v>933370.1028</v>
      </c>
      <c r="F6" s="18" t="n">
        <v>1055143.9785</v>
      </c>
      <c r="G6" s="18" t="n">
        <v>1061000.4688</v>
      </c>
      <c r="H6" s="18" t="n">
        <v>1080582.0132</v>
      </c>
      <c r="I6" s="18" t="n">
        <v>1088885.0684</v>
      </c>
      <c r="J6" s="18" t="n">
        <v>1114748.9381</v>
      </c>
      <c r="K6" s="18" t="n">
        <v>1104800.7904</v>
      </c>
      <c r="L6" s="18" t="n">
        <v>1130298.0224</v>
      </c>
      <c r="M6" s="18" t="n">
        <v>1117525.6932</v>
      </c>
      <c r="N6" s="18" t="n">
        <v>1117975.6768</v>
      </c>
      <c r="O6" s="18" t="n">
        <v>1118300.2984</v>
      </c>
      <c r="P6" s="18" t="n">
        <v>1118299.6782</v>
      </c>
      <c r="Q6" s="18" t="n">
        <v>1122581.0808</v>
      </c>
      <c r="R6" s="18" t="n">
        <v>1122581.0808</v>
      </c>
    </row>
    <row r="7">
      <c r="A7" s="17" t="inlineStr">
        <is>
          <t>2005</t>
        </is>
      </c>
      <c r="B7" s="18" t="n">
        <v>1249691.5508</v>
      </c>
      <c r="C7" s="18" t="n">
        <v>1628221.9514</v>
      </c>
      <c r="D7" s="18" t="n">
        <v>1779408.0616</v>
      </c>
      <c r="E7" s="18" t="n">
        <v>1735781.5973</v>
      </c>
      <c r="F7" s="18" t="n">
        <v>1800284.1468</v>
      </c>
      <c r="G7" s="18" t="n">
        <v>1829678.4347</v>
      </c>
      <c r="H7" s="18" t="n">
        <v>1866913.7991</v>
      </c>
      <c r="I7" s="18" t="n">
        <v>1877458.5247</v>
      </c>
      <c r="J7" s="18" t="n">
        <v>1901705.9108</v>
      </c>
      <c r="K7" s="18" t="n">
        <v>1953626.9848</v>
      </c>
      <c r="L7" s="18" t="n">
        <v>1976524.5916</v>
      </c>
      <c r="M7" s="18" t="n">
        <v>2212537.6908</v>
      </c>
      <c r="N7" s="18" t="n">
        <v>2212549.5672</v>
      </c>
      <c r="O7" s="18" t="n">
        <v>2171748.9472</v>
      </c>
      <c r="P7" s="18" t="n">
        <v>2193366.7399</v>
      </c>
      <c r="Q7" s="18" t="n">
        <v>2208705.4536</v>
      </c>
      <c r="R7" s="18" t="n">
        <v>2242149.1321</v>
      </c>
    </row>
    <row r="8">
      <c r="A8" s="17" t="inlineStr">
        <is>
          <t>2006</t>
        </is>
      </c>
      <c r="B8" s="18" t="n">
        <v>765985.3353</v>
      </c>
      <c r="C8" s="18" t="n">
        <v>1158099.949</v>
      </c>
      <c r="D8" s="18" t="n">
        <v>1006637.0924</v>
      </c>
      <c r="E8" s="18" t="n">
        <v>1076536.2516</v>
      </c>
      <c r="F8" s="18" t="n">
        <v>1086240.5108</v>
      </c>
      <c r="G8" s="18" t="n">
        <v>1141033.2455</v>
      </c>
      <c r="H8" s="18" t="n">
        <v>1191316.1021</v>
      </c>
      <c r="I8" s="18" t="n">
        <v>1169378.0556</v>
      </c>
      <c r="J8" s="18" t="n">
        <v>1199839.2137</v>
      </c>
      <c r="K8" s="18" t="n">
        <v>1244365.6452</v>
      </c>
      <c r="L8" s="18" t="n">
        <v>1347851.3164</v>
      </c>
      <c r="M8" s="18" t="n">
        <v>1428877.3956</v>
      </c>
      <c r="N8" s="18" t="n">
        <v>1468194.3366</v>
      </c>
      <c r="O8" s="18" t="n">
        <v>1484004.1739</v>
      </c>
      <c r="P8" s="18" t="n">
        <v>1484861.9139</v>
      </c>
      <c r="Q8" s="18" t="n">
        <v>1502016.7139</v>
      </c>
      <c r="R8" s="18" t="n">
        <v>1506635.3139</v>
      </c>
    </row>
    <row r="9">
      <c r="A9" s="17" t="inlineStr">
        <is>
          <t>2007</t>
        </is>
      </c>
      <c r="B9" s="18" t="n">
        <v>1724656.8811</v>
      </c>
      <c r="C9" s="18" t="n">
        <v>1877762.5606</v>
      </c>
      <c r="D9" s="18" t="n">
        <v>2045106.7768</v>
      </c>
      <c r="E9" s="18" t="n">
        <v>2291428.8419</v>
      </c>
      <c r="F9" s="18" t="n">
        <v>2554191.4604</v>
      </c>
      <c r="G9" s="18" t="n">
        <v>3049073.7774</v>
      </c>
      <c r="H9" s="18" t="n">
        <v>3243034.4444</v>
      </c>
      <c r="I9" s="18" t="n">
        <v>3598222.0844</v>
      </c>
      <c r="J9" s="18" t="n">
        <v>3855992.6032</v>
      </c>
      <c r="K9" s="18" t="n">
        <v>4247900.6072</v>
      </c>
      <c r="L9" s="18" t="n">
        <v>4378240.1384</v>
      </c>
      <c r="M9" s="18" t="n">
        <v>4504737.6146</v>
      </c>
      <c r="N9" s="18" t="n">
        <v>4577330.1566</v>
      </c>
      <c r="O9" s="18" t="n">
        <v>4581600.0523</v>
      </c>
      <c r="P9" s="18" t="n">
        <v>4781468.7005</v>
      </c>
      <c r="Q9" s="18" t="n">
        <v>4781468.7005</v>
      </c>
      <c r="R9" s="18" t="n">
        <v>4798643.3473</v>
      </c>
    </row>
    <row r="10">
      <c r="A10" s="17" t="inlineStr">
        <is>
          <t>2008</t>
        </is>
      </c>
      <c r="B10" s="18" t="n">
        <v>556352.8875</v>
      </c>
      <c r="C10" s="18" t="n">
        <v>770915.0442</v>
      </c>
      <c r="D10" s="18" t="n">
        <v>933165.8683</v>
      </c>
      <c r="E10" s="18" t="n">
        <v>1298006.7782</v>
      </c>
      <c r="F10" s="18" t="n">
        <v>1258119.1102</v>
      </c>
      <c r="G10" s="18" t="n">
        <v>1279315.2512</v>
      </c>
      <c r="H10" s="18" t="n">
        <v>1286243.9166</v>
      </c>
      <c r="I10" s="18" t="n">
        <v>1303173.6192</v>
      </c>
      <c r="J10" s="18" t="n">
        <v>1310621.4416</v>
      </c>
      <c r="K10" s="18" t="n">
        <v>1356059.2284</v>
      </c>
      <c r="L10" s="18" t="n">
        <v>1362732.0233</v>
      </c>
      <c r="M10" s="18" t="n">
        <v>1362957.0151</v>
      </c>
      <c r="N10" s="18" t="n">
        <v>1343109.2414</v>
      </c>
      <c r="O10" s="18" t="n">
        <v>1343439.1414</v>
      </c>
      <c r="P10" s="18" t="n">
        <v>1343439.1414</v>
      </c>
      <c r="Q10" s="18" t="n">
        <v>1350037.1414</v>
      </c>
      <c r="R10" s="18" t="n">
        <v>1378427.9395</v>
      </c>
    </row>
    <row r="11">
      <c r="A11" s="17" t="inlineStr">
        <is>
          <t>2009</t>
        </is>
      </c>
      <c r="B11" s="18" t="n">
        <v>357480.3922</v>
      </c>
      <c r="C11" s="18" t="n">
        <v>872537.4534</v>
      </c>
      <c r="D11" s="18" t="n">
        <v>822240.0416</v>
      </c>
      <c r="E11" s="18" t="n">
        <v>842753.923</v>
      </c>
      <c r="F11" s="18" t="n">
        <v>898761.0856</v>
      </c>
      <c r="G11" s="18" t="n">
        <v>944889.6302</v>
      </c>
      <c r="H11" s="18" t="n">
        <v>979272.5208000001</v>
      </c>
      <c r="I11" s="18" t="n">
        <v>1120353.596</v>
      </c>
      <c r="J11" s="18" t="n">
        <v>1120360.194</v>
      </c>
      <c r="K11" s="18" t="n">
        <v>1120361.8963</v>
      </c>
      <c r="L11" s="18" t="n">
        <v>1120361.8963</v>
      </c>
      <c r="M11" s="18" t="n">
        <v>1135537.2963</v>
      </c>
      <c r="N11" s="18" t="n">
        <v>1169581.0893</v>
      </c>
      <c r="O11" s="18" t="n">
        <v>1169581.0893</v>
      </c>
      <c r="P11" s="18" t="n">
        <v>1169581.0893</v>
      </c>
      <c r="Q11" s="18" t="n">
        <v>1169581.0893</v>
      </c>
    </row>
    <row r="12">
      <c r="A12" s="17" t="inlineStr">
        <is>
          <t>2010</t>
        </is>
      </c>
      <c r="B12" s="18" t="n">
        <v>360030.44</v>
      </c>
      <c r="C12" s="18" t="n">
        <v>730590.3643</v>
      </c>
      <c r="D12" s="18" t="n">
        <v>951322.0996</v>
      </c>
      <c r="E12" s="18" t="n">
        <v>1105337.8676</v>
      </c>
      <c r="F12" s="18" t="n">
        <v>1236185.7351</v>
      </c>
      <c r="G12" s="18" t="n">
        <v>1222899.712</v>
      </c>
      <c r="H12" s="18" t="n">
        <v>1271367.3004</v>
      </c>
      <c r="I12" s="18" t="n">
        <v>1272863.7268</v>
      </c>
      <c r="J12" s="18" t="n">
        <v>1266822.057</v>
      </c>
      <c r="K12" s="18" t="n">
        <v>1267621.5366</v>
      </c>
      <c r="L12" s="18" t="n">
        <v>1268616.515</v>
      </c>
      <c r="M12" s="18" t="n">
        <v>1268690.4126</v>
      </c>
      <c r="N12" s="18" t="n">
        <v>1270339.9126</v>
      </c>
      <c r="O12" s="18" t="n">
        <v>1270069.2627</v>
      </c>
      <c r="P12" s="18" t="n">
        <v>1277672.0721</v>
      </c>
    </row>
    <row r="13">
      <c r="A13" s="17" t="inlineStr">
        <is>
          <t>2011</t>
        </is>
      </c>
      <c r="B13" s="18" t="n">
        <v>454047.3346</v>
      </c>
      <c r="C13" s="18" t="n">
        <v>886919.7606</v>
      </c>
      <c r="D13" s="18" t="n">
        <v>1308017.8708</v>
      </c>
      <c r="E13" s="18" t="n">
        <v>1510353.973</v>
      </c>
      <c r="F13" s="18" t="n">
        <v>1611539.0668</v>
      </c>
      <c r="G13" s="18" t="n">
        <v>1740504.8944</v>
      </c>
      <c r="H13" s="18" t="n">
        <v>1836702.4148</v>
      </c>
      <c r="I13" s="18" t="n">
        <v>1836817.6951</v>
      </c>
      <c r="J13" s="18" t="n">
        <v>1862143.4583</v>
      </c>
      <c r="K13" s="18" t="n">
        <v>1869290.4119</v>
      </c>
      <c r="L13" s="18" t="n">
        <v>1921985.9327</v>
      </c>
      <c r="M13" s="18" t="n">
        <v>1916081.5804</v>
      </c>
      <c r="N13" s="18" t="n">
        <v>1916081.5804</v>
      </c>
      <c r="O13" s="18" t="n">
        <v>1916081.5804</v>
      </c>
    </row>
    <row r="14">
      <c r="A14" s="17" t="inlineStr">
        <is>
          <t>2012</t>
        </is>
      </c>
      <c r="B14" s="18" t="n">
        <v>335887.1044</v>
      </c>
      <c r="C14" s="18" t="n">
        <v>682490.522</v>
      </c>
      <c r="D14" s="18" t="n">
        <v>892010.9489</v>
      </c>
      <c r="E14" s="18" t="n">
        <v>969399.2736</v>
      </c>
      <c r="F14" s="18" t="n">
        <v>966369.472</v>
      </c>
      <c r="G14" s="18" t="n">
        <v>974833.3864</v>
      </c>
      <c r="H14" s="18" t="n">
        <v>978738.6634</v>
      </c>
      <c r="I14" s="18" t="n">
        <v>1029196.2086</v>
      </c>
      <c r="J14" s="18" t="n">
        <v>1086698.5968</v>
      </c>
      <c r="K14" s="18" t="n">
        <v>1148149.3733</v>
      </c>
      <c r="L14" s="18" t="n">
        <v>1156726.7733</v>
      </c>
      <c r="M14" s="18" t="n">
        <v>1363753.3805</v>
      </c>
      <c r="N14" s="18" t="n">
        <v>1363753.3805</v>
      </c>
    </row>
    <row r="15">
      <c r="A15" s="17" t="inlineStr">
        <is>
          <t>2013</t>
        </is>
      </c>
      <c r="B15" s="18" t="n">
        <v>279096.7196</v>
      </c>
      <c r="C15" s="18" t="n">
        <v>509656.1495</v>
      </c>
      <c r="D15" s="18" t="n">
        <v>554121.1536</v>
      </c>
      <c r="E15" s="18" t="n">
        <v>668048.8196</v>
      </c>
      <c r="F15" s="18" t="n">
        <v>708646.3136</v>
      </c>
      <c r="G15" s="18" t="n">
        <v>706804.6403</v>
      </c>
      <c r="H15" s="18" t="n">
        <v>707153.1202</v>
      </c>
      <c r="I15" s="18" t="n">
        <v>707153.1202</v>
      </c>
      <c r="J15" s="18" t="n">
        <v>708518.7743</v>
      </c>
      <c r="K15" s="18" t="n">
        <v>708518.7743</v>
      </c>
      <c r="L15" s="18" t="n">
        <v>708529.9909</v>
      </c>
      <c r="M15" s="18" t="n">
        <v>708529.9909</v>
      </c>
    </row>
    <row r="16">
      <c r="A16" s="17" t="inlineStr">
        <is>
          <t>2014</t>
        </is>
      </c>
      <c r="B16" s="18" t="n">
        <v>579453.8975</v>
      </c>
      <c r="C16" s="18" t="n">
        <v>791674.226</v>
      </c>
      <c r="D16" s="18" t="n">
        <v>1117488.7444</v>
      </c>
      <c r="E16" s="18" t="n">
        <v>1292116.6908</v>
      </c>
      <c r="F16" s="18" t="n">
        <v>1310589.9427</v>
      </c>
      <c r="G16" s="18" t="n">
        <v>1355751.9331</v>
      </c>
      <c r="H16" s="18" t="n">
        <v>1316935.0942</v>
      </c>
      <c r="I16" s="18" t="n">
        <v>1316935.0942</v>
      </c>
      <c r="J16" s="18" t="n">
        <v>1371038.6942</v>
      </c>
      <c r="K16" s="18" t="n">
        <v>1399322.0241</v>
      </c>
      <c r="L16" s="18" t="n">
        <v>1389603.6847</v>
      </c>
    </row>
    <row r="17">
      <c r="A17" s="17" t="inlineStr">
        <is>
          <t>2015</t>
        </is>
      </c>
      <c r="B17" s="18" t="n">
        <v>538066.9</v>
      </c>
      <c r="C17" s="18" t="n">
        <v>1068443.1712</v>
      </c>
      <c r="D17" s="18" t="n">
        <v>1605602.1864</v>
      </c>
      <c r="E17" s="18" t="n">
        <v>2133023.2398</v>
      </c>
      <c r="F17" s="18" t="n">
        <v>2358964.558</v>
      </c>
      <c r="G17" s="18" t="n">
        <v>2680270.1351</v>
      </c>
      <c r="H17" s="18" t="n">
        <v>3055333.4055</v>
      </c>
      <c r="I17" s="18" t="n">
        <v>3076051.1255</v>
      </c>
      <c r="J17" s="18" t="n">
        <v>3086205.1704</v>
      </c>
      <c r="K17" s="18" t="n">
        <v>3382963.2581</v>
      </c>
    </row>
    <row r="18">
      <c r="A18" s="17" t="inlineStr">
        <is>
          <t>2016</t>
        </is>
      </c>
      <c r="B18" s="18" t="n">
        <v>687801.912</v>
      </c>
      <c r="C18" s="18" t="n">
        <v>1285960.7568</v>
      </c>
      <c r="D18" s="18" t="n">
        <v>1733469.988</v>
      </c>
      <c r="E18" s="18" t="n">
        <v>1884267.6211</v>
      </c>
      <c r="F18" s="18" t="n">
        <v>2152415.9626</v>
      </c>
      <c r="G18" s="18" t="n">
        <v>2220417.4843</v>
      </c>
      <c r="H18" s="18" t="n">
        <v>2503620.4692</v>
      </c>
      <c r="I18" s="18" t="n">
        <v>2503024.6434</v>
      </c>
      <c r="J18" s="18" t="n">
        <v>2506323.6434</v>
      </c>
    </row>
    <row r="19">
      <c r="A19" s="17" t="inlineStr">
        <is>
          <t>2017</t>
        </is>
      </c>
      <c r="B19" s="18" t="n">
        <v>461326.8816</v>
      </c>
      <c r="C19" s="18" t="n">
        <v>614872.6873</v>
      </c>
      <c r="D19" s="18" t="n">
        <v>635999.2061</v>
      </c>
      <c r="E19" s="18" t="n">
        <v>832770.2121</v>
      </c>
      <c r="F19" s="18" t="n">
        <v>895289.4819</v>
      </c>
      <c r="G19" s="18" t="n">
        <v>1014108.2981</v>
      </c>
      <c r="H19" s="18" t="n">
        <v>1168952.8937</v>
      </c>
      <c r="I19" s="18" t="n">
        <v>1205811.8289</v>
      </c>
    </row>
    <row r="20">
      <c r="A20" s="17" t="inlineStr">
        <is>
          <t>2018</t>
        </is>
      </c>
      <c r="B20" s="18" t="n">
        <v>507983.8204</v>
      </c>
      <c r="C20" s="18" t="n">
        <v>1168067.9171</v>
      </c>
      <c r="D20" s="18" t="n">
        <v>1668858.2021</v>
      </c>
      <c r="E20" s="18" t="n">
        <v>2316819.635</v>
      </c>
      <c r="F20" s="18" t="n">
        <v>2303518.1066</v>
      </c>
      <c r="G20" s="18" t="n">
        <v>2333675.3477</v>
      </c>
      <c r="H20" s="18" t="n">
        <v>2395448.4233</v>
      </c>
    </row>
    <row r="21">
      <c r="A21" s="17" t="inlineStr">
        <is>
          <t>2019</t>
        </is>
      </c>
      <c r="B21" s="18" t="n">
        <v>407914.8312</v>
      </c>
      <c r="C21" s="18" t="n">
        <v>1124607.0627</v>
      </c>
      <c r="D21" s="18" t="n">
        <v>1740054.5413</v>
      </c>
      <c r="E21" s="18" t="n">
        <v>2000563.0454</v>
      </c>
      <c r="F21" s="18" t="n">
        <v>2127378.6904</v>
      </c>
      <c r="G21" s="18" t="n">
        <v>2599882.8743</v>
      </c>
    </row>
    <row r="22">
      <c r="A22" s="17" t="inlineStr">
        <is>
          <t>2020</t>
        </is>
      </c>
      <c r="B22" s="18" t="n">
        <v>522102.6035</v>
      </c>
      <c r="C22" s="18" t="n">
        <v>931915.5209999999</v>
      </c>
      <c r="D22" s="18" t="n">
        <v>916291.8001</v>
      </c>
      <c r="E22" s="18" t="n">
        <v>969468.3019</v>
      </c>
      <c r="F22" s="18" t="n">
        <v>978899.5095</v>
      </c>
    </row>
    <row r="23">
      <c r="A23" s="17" t="inlineStr">
        <is>
          <t>2021</t>
        </is>
      </c>
      <c r="B23" s="18" t="n">
        <v>549457.067</v>
      </c>
      <c r="C23" s="18" t="n">
        <v>800935.1524</v>
      </c>
      <c r="D23" s="18" t="n">
        <v>980316.7863</v>
      </c>
      <c r="E23" s="18" t="n">
        <v>1011313.2797</v>
      </c>
    </row>
    <row r="24">
      <c r="A24" s="17" t="inlineStr">
        <is>
          <t>2022</t>
        </is>
      </c>
      <c r="B24" s="18" t="n">
        <v>694623.0036000001</v>
      </c>
      <c r="C24" s="18" t="n">
        <v>851655.8786000001</v>
      </c>
      <c r="D24" s="18" t="n">
        <v>827416.1066000001</v>
      </c>
    </row>
    <row r="25">
      <c r="A25" s="17" t="inlineStr">
        <is>
          <t>2023</t>
        </is>
      </c>
      <c r="B25" s="18" t="n">
        <v>975000.3026000001</v>
      </c>
      <c r="C25" s="18" t="n">
        <v>1651756.6744</v>
      </c>
    </row>
    <row r="26">
      <c r="A26" s="17" t="inlineStr">
        <is>
          <t>2024</t>
        </is>
      </c>
      <c r="B26" s="18" t="n">
        <v>890155.2218000001</v>
      </c>
    </row>
    <row r="27"/>
    <row r="28">
      <c r="A28" s="3" t="inlineStr">
        <is>
          <t>Age-to-Age Factors</t>
        </is>
      </c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</row>
    <row r="29">
      <c r="A29" s="16" t="n"/>
      <c r="B29" s="8" t="inlineStr">
        <is>
          <t>11-23</t>
        </is>
      </c>
      <c r="C29" s="8" t="inlineStr">
        <is>
          <t>23-35</t>
        </is>
      </c>
      <c r="D29" s="8" t="inlineStr">
        <is>
          <t>35-47</t>
        </is>
      </c>
      <c r="E29" s="8" t="inlineStr">
        <is>
          <t>47-59</t>
        </is>
      </c>
      <c r="F29" s="8" t="inlineStr">
        <is>
          <t>59-71</t>
        </is>
      </c>
      <c r="G29" s="8" t="inlineStr">
        <is>
          <t>71-83</t>
        </is>
      </c>
      <c r="H29" s="8" t="inlineStr">
        <is>
          <t>83-95</t>
        </is>
      </c>
      <c r="I29" s="8" t="inlineStr">
        <is>
          <t>95-107</t>
        </is>
      </c>
      <c r="J29" s="8" t="inlineStr">
        <is>
          <t>107-119</t>
        </is>
      </c>
      <c r="K29" s="8" t="inlineStr">
        <is>
          <t>119-131</t>
        </is>
      </c>
      <c r="L29" s="8" t="inlineStr">
        <is>
          <t>131-143</t>
        </is>
      </c>
      <c r="M29" s="8" t="inlineStr">
        <is>
          <t>143-155</t>
        </is>
      </c>
      <c r="N29" s="8" t="inlineStr">
        <is>
          <t>155-167</t>
        </is>
      </c>
      <c r="O29" s="8" t="inlineStr">
        <is>
          <t>167-179</t>
        </is>
      </c>
      <c r="P29" s="8" t="inlineStr">
        <is>
          <t>179-191</t>
        </is>
      </c>
      <c r="Q29" s="8" t="inlineStr">
        <is>
          <t>191-203</t>
        </is>
      </c>
      <c r="R29" s="8" t="inlineStr">
        <is>
          <t>203-Ult</t>
        </is>
      </c>
    </row>
    <row r="30">
      <c r="A30" s="17" t="inlineStr">
        <is>
          <t>2001</t>
        </is>
      </c>
      <c r="B30" s="19">
        <f>IFERROR(IF(C3="","",C3/B3),"")</f>
        <v/>
      </c>
      <c r="C30" s="19">
        <f>IFERROR(IF(D3="","",D3/C3),"")</f>
        <v/>
      </c>
      <c r="D30" s="19">
        <f>IFERROR(IF(E3="","",E3/D3),"")</f>
        <v/>
      </c>
      <c r="E30" s="19">
        <f>IFERROR(IF(F3="","",F3/E3),"")</f>
        <v/>
      </c>
      <c r="F30" s="19">
        <f>IFERROR(IF(G3="","",G3/F3),"")</f>
        <v/>
      </c>
      <c r="G30" s="19">
        <f>IFERROR(IF(H3="","",H3/G3),"")</f>
        <v/>
      </c>
      <c r="H30" s="19">
        <f>IFERROR(IF(I3="","",I3/H3),"")</f>
        <v/>
      </c>
      <c r="I30" s="19">
        <f>IFERROR(IF(J3="","",J3/I3),"")</f>
        <v/>
      </c>
      <c r="J30" s="19">
        <f>IFERROR(IF(K3="","",K3/J3),"")</f>
        <v/>
      </c>
      <c r="K30" s="19">
        <f>IFERROR(IF(L3="","",L3/K3),"")</f>
        <v/>
      </c>
      <c r="L30" s="19">
        <f>IFERROR(IF(M3="","",M3/L3),"")</f>
        <v/>
      </c>
      <c r="M30" s="19">
        <f>IFERROR(IF(N3="","",N3/M3),"")</f>
        <v/>
      </c>
      <c r="N30" s="19">
        <f>IFERROR(IF(O3="","",O3/N3),"")</f>
        <v/>
      </c>
      <c r="O30" s="19">
        <f>IFERROR(IF(P3="","",P3/O3),"")</f>
        <v/>
      </c>
      <c r="P30" s="19">
        <f>IFERROR(IF(Q3="","",Q3/P3),"")</f>
        <v/>
      </c>
      <c r="Q30" s="19">
        <f>IFERROR(IF(R3="","",R3/Q3),"")</f>
        <v/>
      </c>
      <c r="R30" s="19" t="n"/>
    </row>
    <row r="31">
      <c r="A31" s="17" t="inlineStr">
        <is>
          <t>2002</t>
        </is>
      </c>
      <c r="B31" s="19">
        <f>IFERROR(IF(C4="","",C4/B4),"")</f>
        <v/>
      </c>
      <c r="C31" s="19">
        <f>IFERROR(IF(D4="","",D4/C4),"")</f>
        <v/>
      </c>
      <c r="D31" s="19">
        <f>IFERROR(IF(E4="","",E4/D4),"")</f>
        <v/>
      </c>
      <c r="E31" s="19">
        <f>IFERROR(IF(F4="","",F4/E4),"")</f>
        <v/>
      </c>
      <c r="F31" s="19">
        <f>IFERROR(IF(G4="","",G4/F4),"")</f>
        <v/>
      </c>
      <c r="G31" s="19">
        <f>IFERROR(IF(H4="","",H4/G4),"")</f>
        <v/>
      </c>
      <c r="H31" s="19">
        <f>IFERROR(IF(I4="","",I4/H4),"")</f>
        <v/>
      </c>
      <c r="I31" s="19">
        <f>IFERROR(IF(J4="","",J4/I4),"")</f>
        <v/>
      </c>
      <c r="J31" s="19">
        <f>IFERROR(IF(K4="","",K4/J4),"")</f>
        <v/>
      </c>
      <c r="K31" s="19">
        <f>IFERROR(IF(L4="","",L4/K4),"")</f>
        <v/>
      </c>
      <c r="L31" s="19">
        <f>IFERROR(IF(M4="","",M4/L4),"")</f>
        <v/>
      </c>
      <c r="M31" s="19">
        <f>IFERROR(IF(N4="","",N4/M4),"")</f>
        <v/>
      </c>
      <c r="N31" s="19">
        <f>IFERROR(IF(O4="","",O4/N4),"")</f>
        <v/>
      </c>
      <c r="O31" s="19">
        <f>IFERROR(IF(P4="","",P4/O4),"")</f>
        <v/>
      </c>
      <c r="P31" s="19">
        <f>IFERROR(IF(Q4="","",Q4/P4),"")</f>
        <v/>
      </c>
      <c r="Q31" s="19">
        <f>IFERROR(IF(R4="","",R4/Q4),"")</f>
        <v/>
      </c>
      <c r="R31" s="19" t="n"/>
    </row>
    <row r="32">
      <c r="A32" s="17" t="inlineStr">
        <is>
          <t>2003</t>
        </is>
      </c>
      <c r="B32" s="19">
        <f>IFERROR(IF(C5="","",C5/B5),"")</f>
        <v/>
      </c>
      <c r="C32" s="19">
        <f>IFERROR(IF(D5="","",D5/C5),"")</f>
        <v/>
      </c>
      <c r="D32" s="19">
        <f>IFERROR(IF(E5="","",E5/D5),"")</f>
        <v/>
      </c>
      <c r="E32" s="19">
        <f>IFERROR(IF(F5="","",F5/E5),"")</f>
        <v/>
      </c>
      <c r="F32" s="19">
        <f>IFERROR(IF(G5="","",G5/F5),"")</f>
        <v/>
      </c>
      <c r="G32" s="19">
        <f>IFERROR(IF(H5="","",H5/G5),"")</f>
        <v/>
      </c>
      <c r="H32" s="19">
        <f>IFERROR(IF(I5="","",I5/H5),"")</f>
        <v/>
      </c>
      <c r="I32" s="19">
        <f>IFERROR(IF(J5="","",J5/I5),"")</f>
        <v/>
      </c>
      <c r="J32" s="19">
        <f>IFERROR(IF(K5="","",K5/J5),"")</f>
        <v/>
      </c>
      <c r="K32" s="19">
        <f>IFERROR(IF(L5="","",L5/K5),"")</f>
        <v/>
      </c>
      <c r="L32" s="19">
        <f>IFERROR(IF(M5="","",M5/L5),"")</f>
        <v/>
      </c>
      <c r="M32" s="19">
        <f>IFERROR(IF(N5="","",N5/M5),"")</f>
        <v/>
      </c>
      <c r="N32" s="19">
        <f>IFERROR(IF(O5="","",O5/N5),"")</f>
        <v/>
      </c>
      <c r="O32" s="19">
        <f>IFERROR(IF(P5="","",P5/O5),"")</f>
        <v/>
      </c>
      <c r="P32" s="19">
        <f>IFERROR(IF(Q5="","",Q5/P5),"")</f>
        <v/>
      </c>
      <c r="Q32" s="19">
        <f>IFERROR(IF(R5="","",R5/Q5),"")</f>
        <v/>
      </c>
      <c r="R32" s="19" t="n"/>
    </row>
    <row r="33">
      <c r="A33" s="17" t="inlineStr">
        <is>
          <t>2004</t>
        </is>
      </c>
      <c r="B33" s="19">
        <f>IFERROR(IF(C6="","",C6/B6),"")</f>
        <v/>
      </c>
      <c r="C33" s="19">
        <f>IFERROR(IF(D6="","",D6/C6),"")</f>
        <v/>
      </c>
      <c r="D33" s="19">
        <f>IFERROR(IF(E6="","",E6/D6),"")</f>
        <v/>
      </c>
      <c r="E33" s="19">
        <f>IFERROR(IF(F6="","",F6/E6),"")</f>
        <v/>
      </c>
      <c r="F33" s="19">
        <f>IFERROR(IF(G6="","",G6/F6),"")</f>
        <v/>
      </c>
      <c r="G33" s="19">
        <f>IFERROR(IF(H6="","",H6/G6),"")</f>
        <v/>
      </c>
      <c r="H33" s="19">
        <f>IFERROR(IF(I6="","",I6/H6),"")</f>
        <v/>
      </c>
      <c r="I33" s="19">
        <f>IFERROR(IF(J6="","",J6/I6),"")</f>
        <v/>
      </c>
      <c r="J33" s="19">
        <f>IFERROR(IF(K6="","",K6/J6),"")</f>
        <v/>
      </c>
      <c r="K33" s="19">
        <f>IFERROR(IF(L6="","",L6/K6),"")</f>
        <v/>
      </c>
      <c r="L33" s="19">
        <f>IFERROR(IF(M6="","",M6/L6),"")</f>
        <v/>
      </c>
      <c r="M33" s="19">
        <f>IFERROR(IF(N6="","",N6/M6),"")</f>
        <v/>
      </c>
      <c r="N33" s="19">
        <f>IFERROR(IF(O6="","",O6/N6),"")</f>
        <v/>
      </c>
      <c r="O33" s="19">
        <f>IFERROR(IF(P6="","",P6/O6),"")</f>
        <v/>
      </c>
      <c r="P33" s="19">
        <f>IFERROR(IF(Q6="","",Q6/P6),"")</f>
        <v/>
      </c>
      <c r="Q33" s="19">
        <f>IFERROR(IF(R6="","",R6/Q6),"")</f>
        <v/>
      </c>
      <c r="R33" s="19" t="n"/>
    </row>
    <row r="34">
      <c r="A34" s="17" t="inlineStr">
        <is>
          <t>2005</t>
        </is>
      </c>
      <c r="B34" s="19">
        <f>IFERROR(IF(C7="","",C7/B7),"")</f>
        <v/>
      </c>
      <c r="C34" s="19">
        <f>IFERROR(IF(D7="","",D7/C7),"")</f>
        <v/>
      </c>
      <c r="D34" s="19">
        <f>IFERROR(IF(E7="","",E7/D7),"")</f>
        <v/>
      </c>
      <c r="E34" s="19">
        <f>IFERROR(IF(F7="","",F7/E7),"")</f>
        <v/>
      </c>
      <c r="F34" s="19">
        <f>IFERROR(IF(G7="","",G7/F7),"")</f>
        <v/>
      </c>
      <c r="G34" s="19">
        <f>IFERROR(IF(H7="","",H7/G7),"")</f>
        <v/>
      </c>
      <c r="H34" s="19">
        <f>IFERROR(IF(I7="","",I7/H7),"")</f>
        <v/>
      </c>
      <c r="I34" s="19">
        <f>IFERROR(IF(J7="","",J7/I7),"")</f>
        <v/>
      </c>
      <c r="J34" s="19">
        <f>IFERROR(IF(K7="","",K7/J7),"")</f>
        <v/>
      </c>
      <c r="K34" s="19">
        <f>IFERROR(IF(L7="","",L7/K7),"")</f>
        <v/>
      </c>
      <c r="L34" s="19">
        <f>IFERROR(IF(M7="","",M7/L7),"")</f>
        <v/>
      </c>
      <c r="M34" s="19">
        <f>IFERROR(IF(N7="","",N7/M7),"")</f>
        <v/>
      </c>
      <c r="N34" s="19">
        <f>IFERROR(IF(O7="","",O7/N7),"")</f>
        <v/>
      </c>
      <c r="O34" s="19">
        <f>IFERROR(IF(P7="","",P7/O7),"")</f>
        <v/>
      </c>
      <c r="P34" s="19">
        <f>IFERROR(IF(Q7="","",Q7/P7),"")</f>
        <v/>
      </c>
      <c r="Q34" s="19">
        <f>IFERROR(IF(R7="","",R7/Q7),"")</f>
        <v/>
      </c>
      <c r="R34" s="19" t="n"/>
    </row>
    <row r="35">
      <c r="A35" s="17" t="inlineStr">
        <is>
          <t>2006</t>
        </is>
      </c>
      <c r="B35" s="19">
        <f>IFERROR(IF(C8="","",C8/B8),"")</f>
        <v/>
      </c>
      <c r="C35" s="19">
        <f>IFERROR(IF(D8="","",D8/C8),"")</f>
        <v/>
      </c>
      <c r="D35" s="19">
        <f>IFERROR(IF(E8="","",E8/D8),"")</f>
        <v/>
      </c>
      <c r="E35" s="19">
        <f>IFERROR(IF(F8="","",F8/E8),"")</f>
        <v/>
      </c>
      <c r="F35" s="19">
        <f>IFERROR(IF(G8="","",G8/F8),"")</f>
        <v/>
      </c>
      <c r="G35" s="19">
        <f>IFERROR(IF(H8="","",H8/G8),"")</f>
        <v/>
      </c>
      <c r="H35" s="19">
        <f>IFERROR(IF(I8="","",I8/H8),"")</f>
        <v/>
      </c>
      <c r="I35" s="19">
        <f>IFERROR(IF(J8="","",J8/I8),"")</f>
        <v/>
      </c>
      <c r="J35" s="19">
        <f>IFERROR(IF(K8="","",K8/J8),"")</f>
        <v/>
      </c>
      <c r="K35" s="19">
        <f>IFERROR(IF(L8="","",L8/K8),"")</f>
        <v/>
      </c>
      <c r="L35" s="19">
        <f>IFERROR(IF(M8="","",M8/L8),"")</f>
        <v/>
      </c>
      <c r="M35" s="19">
        <f>IFERROR(IF(N8="","",N8/M8),"")</f>
        <v/>
      </c>
      <c r="N35" s="19">
        <f>IFERROR(IF(O8="","",O8/N8),"")</f>
        <v/>
      </c>
      <c r="O35" s="19">
        <f>IFERROR(IF(P8="","",P8/O8),"")</f>
        <v/>
      </c>
      <c r="P35" s="19">
        <f>IFERROR(IF(Q8="","",Q8/P8),"")</f>
        <v/>
      </c>
      <c r="Q35" s="19">
        <f>IFERROR(IF(R8="","",R8/Q8),"")</f>
        <v/>
      </c>
      <c r="R35" s="19" t="n"/>
    </row>
    <row r="36">
      <c r="A36" s="17" t="inlineStr">
        <is>
          <t>2007</t>
        </is>
      </c>
      <c r="B36" s="19">
        <f>IFERROR(IF(C9="","",C9/B9),"")</f>
        <v/>
      </c>
      <c r="C36" s="19">
        <f>IFERROR(IF(D9="","",D9/C9),"")</f>
        <v/>
      </c>
      <c r="D36" s="19">
        <f>IFERROR(IF(E9="","",E9/D9),"")</f>
        <v/>
      </c>
      <c r="E36" s="19">
        <f>IFERROR(IF(F9="","",F9/E9),"")</f>
        <v/>
      </c>
      <c r="F36" s="19">
        <f>IFERROR(IF(G9="","",G9/F9),"")</f>
        <v/>
      </c>
      <c r="G36" s="19">
        <f>IFERROR(IF(H9="","",H9/G9),"")</f>
        <v/>
      </c>
      <c r="H36" s="19">
        <f>IFERROR(IF(I9="","",I9/H9),"")</f>
        <v/>
      </c>
      <c r="I36" s="19">
        <f>IFERROR(IF(J9="","",J9/I9),"")</f>
        <v/>
      </c>
      <c r="J36" s="19">
        <f>IFERROR(IF(K9="","",K9/J9),"")</f>
        <v/>
      </c>
      <c r="K36" s="19">
        <f>IFERROR(IF(L9="","",L9/K9),"")</f>
        <v/>
      </c>
      <c r="L36" s="19">
        <f>IFERROR(IF(M9="","",M9/L9),"")</f>
        <v/>
      </c>
      <c r="M36" s="19">
        <f>IFERROR(IF(N9="","",N9/M9),"")</f>
        <v/>
      </c>
      <c r="N36" s="19">
        <f>IFERROR(IF(O9="","",O9/N9),"")</f>
        <v/>
      </c>
      <c r="O36" s="19">
        <f>IFERROR(IF(P9="","",P9/O9),"")</f>
        <v/>
      </c>
      <c r="P36" s="19">
        <f>IFERROR(IF(Q9="","",Q9/P9),"")</f>
        <v/>
      </c>
      <c r="Q36" s="19">
        <f>IFERROR(IF(R9="","",R9/Q9),"")</f>
        <v/>
      </c>
      <c r="R36" s="19" t="n"/>
    </row>
    <row r="37">
      <c r="A37" s="17" t="inlineStr">
        <is>
          <t>2008</t>
        </is>
      </c>
      <c r="B37" s="19">
        <f>IFERROR(IF(C10="","",C10/B10),"")</f>
        <v/>
      </c>
      <c r="C37" s="19">
        <f>IFERROR(IF(D10="","",D10/C10),"")</f>
        <v/>
      </c>
      <c r="D37" s="19">
        <f>IFERROR(IF(E10="","",E10/D10),"")</f>
        <v/>
      </c>
      <c r="E37" s="19">
        <f>IFERROR(IF(F10="","",F10/E10),"")</f>
        <v/>
      </c>
      <c r="F37" s="19">
        <f>IFERROR(IF(G10="","",G10/F10),"")</f>
        <v/>
      </c>
      <c r="G37" s="19">
        <f>IFERROR(IF(H10="","",H10/G10),"")</f>
        <v/>
      </c>
      <c r="H37" s="19">
        <f>IFERROR(IF(I10="","",I10/H10),"")</f>
        <v/>
      </c>
      <c r="I37" s="19">
        <f>IFERROR(IF(J10="","",J10/I10),"")</f>
        <v/>
      </c>
      <c r="J37" s="19">
        <f>IFERROR(IF(K10="","",K10/J10),"")</f>
        <v/>
      </c>
      <c r="K37" s="19">
        <f>IFERROR(IF(L10="","",L10/K10),"")</f>
        <v/>
      </c>
      <c r="L37" s="19">
        <f>IFERROR(IF(M10="","",M10/L10),"")</f>
        <v/>
      </c>
      <c r="M37" s="19">
        <f>IFERROR(IF(N10="","",N10/M10),"")</f>
        <v/>
      </c>
      <c r="N37" s="19">
        <f>IFERROR(IF(O10="","",O10/N10),"")</f>
        <v/>
      </c>
      <c r="O37" s="19">
        <f>IFERROR(IF(P10="","",P10/O10),"")</f>
        <v/>
      </c>
      <c r="P37" s="19">
        <f>IFERROR(IF(Q10="","",Q10/P10),"")</f>
        <v/>
      </c>
      <c r="Q37" s="19">
        <f>IFERROR(IF(R10="","",R10/Q10),"")</f>
        <v/>
      </c>
      <c r="R37" s="19" t="n"/>
    </row>
    <row r="38">
      <c r="A38" s="17" t="inlineStr">
        <is>
          <t>2009</t>
        </is>
      </c>
      <c r="B38" s="19">
        <f>IFERROR(IF(C11="","",C11/B11),"")</f>
        <v/>
      </c>
      <c r="C38" s="19">
        <f>IFERROR(IF(D11="","",D11/C11),"")</f>
        <v/>
      </c>
      <c r="D38" s="19">
        <f>IFERROR(IF(E11="","",E11/D11),"")</f>
        <v/>
      </c>
      <c r="E38" s="19">
        <f>IFERROR(IF(F11="","",F11/E11),"")</f>
        <v/>
      </c>
      <c r="F38" s="19">
        <f>IFERROR(IF(G11="","",G11/F11),"")</f>
        <v/>
      </c>
      <c r="G38" s="19">
        <f>IFERROR(IF(H11="","",H11/G11),"")</f>
        <v/>
      </c>
      <c r="H38" s="19">
        <f>IFERROR(IF(I11="","",I11/H11),"")</f>
        <v/>
      </c>
      <c r="I38" s="19">
        <f>IFERROR(IF(J11="","",J11/I11),"")</f>
        <v/>
      </c>
      <c r="J38" s="19">
        <f>IFERROR(IF(K11="","",K11/J11),"")</f>
        <v/>
      </c>
      <c r="K38" s="19">
        <f>IFERROR(IF(L11="","",L11/K11),"")</f>
        <v/>
      </c>
      <c r="L38" s="19">
        <f>IFERROR(IF(M11="","",M11/L11),"")</f>
        <v/>
      </c>
      <c r="M38" s="19">
        <f>IFERROR(IF(N11="","",N11/M11),"")</f>
        <v/>
      </c>
      <c r="N38" s="19">
        <f>IFERROR(IF(O11="","",O11/N11),"")</f>
        <v/>
      </c>
      <c r="O38" s="19">
        <f>IFERROR(IF(P11="","",P11/O11),"")</f>
        <v/>
      </c>
      <c r="P38" s="19">
        <f>IFERROR(IF(Q11="","",Q11/P11),"")</f>
        <v/>
      </c>
      <c r="Q38" s="19">
        <f>IFERROR(IF(R11="","",R11/Q11),"")</f>
        <v/>
      </c>
      <c r="R38" s="19" t="n"/>
    </row>
    <row r="39">
      <c r="A39" s="17" t="inlineStr">
        <is>
          <t>2010</t>
        </is>
      </c>
      <c r="B39" s="19">
        <f>IFERROR(IF(C12="","",C12/B12),"")</f>
        <v/>
      </c>
      <c r="C39" s="19">
        <f>IFERROR(IF(D12="","",D12/C12),"")</f>
        <v/>
      </c>
      <c r="D39" s="19">
        <f>IFERROR(IF(E12="","",E12/D12),"")</f>
        <v/>
      </c>
      <c r="E39" s="19">
        <f>IFERROR(IF(F12="","",F12/E12),"")</f>
        <v/>
      </c>
      <c r="F39" s="19">
        <f>IFERROR(IF(G12="","",G12/F12),"")</f>
        <v/>
      </c>
      <c r="G39" s="19">
        <f>IFERROR(IF(H12="","",H12/G12),"")</f>
        <v/>
      </c>
      <c r="H39" s="19">
        <f>IFERROR(IF(I12="","",I12/H12),"")</f>
        <v/>
      </c>
      <c r="I39" s="19">
        <f>IFERROR(IF(J12="","",J12/I12),"")</f>
        <v/>
      </c>
      <c r="J39" s="19">
        <f>IFERROR(IF(K12="","",K12/J12),"")</f>
        <v/>
      </c>
      <c r="K39" s="19">
        <f>IFERROR(IF(L12="","",L12/K12),"")</f>
        <v/>
      </c>
      <c r="L39" s="19">
        <f>IFERROR(IF(M12="","",M12/L12),"")</f>
        <v/>
      </c>
      <c r="M39" s="19">
        <f>IFERROR(IF(N12="","",N12/M12),"")</f>
        <v/>
      </c>
      <c r="N39" s="19">
        <f>IFERROR(IF(O12="","",O12/N12),"")</f>
        <v/>
      </c>
      <c r="O39" s="19">
        <f>IFERROR(IF(P12="","",P12/O12),"")</f>
        <v/>
      </c>
      <c r="P39" s="19">
        <f>IFERROR(IF(Q12="","",Q12/P12),"")</f>
        <v/>
      </c>
      <c r="Q39" s="19">
        <f>IFERROR(IF(R12="","",R12/Q12),"")</f>
        <v/>
      </c>
      <c r="R39" s="19" t="n"/>
    </row>
    <row r="40">
      <c r="A40" s="17" t="inlineStr">
        <is>
          <t>2011</t>
        </is>
      </c>
      <c r="B40" s="19">
        <f>IFERROR(IF(C13="","",C13/B13),"")</f>
        <v/>
      </c>
      <c r="C40" s="19">
        <f>IFERROR(IF(D13="","",D13/C13),"")</f>
        <v/>
      </c>
      <c r="D40" s="19">
        <f>IFERROR(IF(E13="","",E13/D13),"")</f>
        <v/>
      </c>
      <c r="E40" s="19">
        <f>IFERROR(IF(F13="","",F13/E13),"")</f>
        <v/>
      </c>
      <c r="F40" s="19">
        <f>IFERROR(IF(G13="","",G13/F13),"")</f>
        <v/>
      </c>
      <c r="G40" s="19">
        <f>IFERROR(IF(H13="","",H13/G13),"")</f>
        <v/>
      </c>
      <c r="H40" s="19">
        <f>IFERROR(IF(I13="","",I13/H13),"")</f>
        <v/>
      </c>
      <c r="I40" s="19">
        <f>IFERROR(IF(J13="","",J13/I13),"")</f>
        <v/>
      </c>
      <c r="J40" s="19">
        <f>IFERROR(IF(K13="","",K13/J13),"")</f>
        <v/>
      </c>
      <c r="K40" s="19">
        <f>IFERROR(IF(L13="","",L13/K13),"")</f>
        <v/>
      </c>
      <c r="L40" s="19">
        <f>IFERROR(IF(M13="","",M13/L13),"")</f>
        <v/>
      </c>
      <c r="M40" s="19">
        <f>IFERROR(IF(N13="","",N13/M13),"")</f>
        <v/>
      </c>
      <c r="N40" s="19">
        <f>IFERROR(IF(O13="","",O13/N13),"")</f>
        <v/>
      </c>
      <c r="O40" s="19">
        <f>IFERROR(IF(P13="","",P13/O13),"")</f>
        <v/>
      </c>
      <c r="P40" s="19">
        <f>IFERROR(IF(Q13="","",Q13/P13),"")</f>
        <v/>
      </c>
      <c r="Q40" s="19">
        <f>IFERROR(IF(R13="","",R13/Q13),"")</f>
        <v/>
      </c>
      <c r="R40" s="19" t="n"/>
    </row>
    <row r="41">
      <c r="A41" s="17" t="inlineStr">
        <is>
          <t>2012</t>
        </is>
      </c>
      <c r="B41" s="19">
        <f>IFERROR(IF(C14="","",C14/B14),"")</f>
        <v/>
      </c>
      <c r="C41" s="19">
        <f>IFERROR(IF(D14="","",D14/C14),"")</f>
        <v/>
      </c>
      <c r="D41" s="19">
        <f>IFERROR(IF(E14="","",E14/D14),"")</f>
        <v/>
      </c>
      <c r="E41" s="19">
        <f>IFERROR(IF(F14="","",F14/E14),"")</f>
        <v/>
      </c>
      <c r="F41" s="19">
        <f>IFERROR(IF(G14="","",G14/F14),"")</f>
        <v/>
      </c>
      <c r="G41" s="19">
        <f>IFERROR(IF(H14="","",H14/G14),"")</f>
        <v/>
      </c>
      <c r="H41" s="19">
        <f>IFERROR(IF(I14="","",I14/H14),"")</f>
        <v/>
      </c>
      <c r="I41" s="19">
        <f>IFERROR(IF(J14="","",J14/I14),"")</f>
        <v/>
      </c>
      <c r="J41" s="19">
        <f>IFERROR(IF(K14="","",K14/J14),"")</f>
        <v/>
      </c>
      <c r="K41" s="19">
        <f>IFERROR(IF(L14="","",L14/K14),"")</f>
        <v/>
      </c>
      <c r="L41" s="19">
        <f>IFERROR(IF(M14="","",M14/L14),"")</f>
        <v/>
      </c>
      <c r="M41" s="19">
        <f>IFERROR(IF(N14="","",N14/M14),"")</f>
        <v/>
      </c>
      <c r="N41" s="19">
        <f>IFERROR(IF(O14="","",O14/N14),"")</f>
        <v/>
      </c>
      <c r="O41" s="19">
        <f>IFERROR(IF(P14="","",P14/O14),"")</f>
        <v/>
      </c>
      <c r="P41" s="19">
        <f>IFERROR(IF(Q14="","",Q14/P14),"")</f>
        <v/>
      </c>
      <c r="Q41" s="19">
        <f>IFERROR(IF(R14="","",R14/Q14),"")</f>
        <v/>
      </c>
      <c r="R41" s="19" t="n"/>
    </row>
    <row r="42">
      <c r="A42" s="17" t="inlineStr">
        <is>
          <t>2013</t>
        </is>
      </c>
      <c r="B42" s="19">
        <f>IFERROR(IF(C15="","",C15/B15),"")</f>
        <v/>
      </c>
      <c r="C42" s="19">
        <f>IFERROR(IF(D15="","",D15/C15),"")</f>
        <v/>
      </c>
      <c r="D42" s="19">
        <f>IFERROR(IF(E15="","",E15/D15),"")</f>
        <v/>
      </c>
      <c r="E42" s="19">
        <f>IFERROR(IF(F15="","",F15/E15),"")</f>
        <v/>
      </c>
      <c r="F42" s="19">
        <f>IFERROR(IF(G15="","",G15/F15),"")</f>
        <v/>
      </c>
      <c r="G42" s="19">
        <f>IFERROR(IF(H15="","",H15/G15),"")</f>
        <v/>
      </c>
      <c r="H42" s="19">
        <f>IFERROR(IF(I15="","",I15/H15),"")</f>
        <v/>
      </c>
      <c r="I42" s="19">
        <f>IFERROR(IF(J15="","",J15/I15),"")</f>
        <v/>
      </c>
      <c r="J42" s="19">
        <f>IFERROR(IF(K15="","",K15/J15),"")</f>
        <v/>
      </c>
      <c r="K42" s="19">
        <f>IFERROR(IF(L15="","",L15/K15),"")</f>
        <v/>
      </c>
      <c r="L42" s="19">
        <f>IFERROR(IF(M15="","",M15/L15),"")</f>
        <v/>
      </c>
      <c r="M42" s="19">
        <f>IFERROR(IF(N15="","",N15/M15),"")</f>
        <v/>
      </c>
      <c r="N42" s="19">
        <f>IFERROR(IF(O15="","",O15/N15),"")</f>
        <v/>
      </c>
      <c r="O42" s="19">
        <f>IFERROR(IF(P15="","",P15/O15),"")</f>
        <v/>
      </c>
      <c r="P42" s="19">
        <f>IFERROR(IF(Q15="","",Q15/P15),"")</f>
        <v/>
      </c>
      <c r="Q42" s="19">
        <f>IFERROR(IF(R15="","",R15/Q15),"")</f>
        <v/>
      </c>
      <c r="R42" s="19" t="n"/>
    </row>
    <row r="43">
      <c r="A43" s="17" t="inlineStr">
        <is>
          <t>2014</t>
        </is>
      </c>
      <c r="B43" s="19">
        <f>IFERROR(IF(C16="","",C16/B16),"")</f>
        <v/>
      </c>
      <c r="C43" s="19">
        <f>IFERROR(IF(D16="","",D16/C16),"")</f>
        <v/>
      </c>
      <c r="D43" s="19">
        <f>IFERROR(IF(E16="","",E16/D16),"")</f>
        <v/>
      </c>
      <c r="E43" s="19">
        <f>IFERROR(IF(F16="","",F16/E16),"")</f>
        <v/>
      </c>
      <c r="F43" s="19">
        <f>IFERROR(IF(G16="","",G16/F16),"")</f>
        <v/>
      </c>
      <c r="G43" s="19">
        <f>IFERROR(IF(H16="","",H16/G16),"")</f>
        <v/>
      </c>
      <c r="H43" s="19">
        <f>IFERROR(IF(I16="","",I16/H16),"")</f>
        <v/>
      </c>
      <c r="I43" s="19">
        <f>IFERROR(IF(J16="","",J16/I16),"")</f>
        <v/>
      </c>
      <c r="J43" s="19">
        <f>IFERROR(IF(K16="","",K16/J16),"")</f>
        <v/>
      </c>
      <c r="K43" s="19">
        <f>IFERROR(IF(L16="","",L16/K16),"")</f>
        <v/>
      </c>
      <c r="L43" s="19">
        <f>IFERROR(IF(M16="","",M16/L16),"")</f>
        <v/>
      </c>
      <c r="M43" s="19">
        <f>IFERROR(IF(N16="","",N16/M16),"")</f>
        <v/>
      </c>
      <c r="N43" s="19">
        <f>IFERROR(IF(O16="","",O16/N16),"")</f>
        <v/>
      </c>
      <c r="O43" s="19">
        <f>IFERROR(IF(P16="","",P16/O16),"")</f>
        <v/>
      </c>
      <c r="P43" s="19">
        <f>IFERROR(IF(Q16="","",Q16/P16),"")</f>
        <v/>
      </c>
      <c r="Q43" s="19">
        <f>IFERROR(IF(R16="","",R16/Q16),"")</f>
        <v/>
      </c>
      <c r="R43" s="19" t="n"/>
    </row>
    <row r="44">
      <c r="A44" s="17" t="inlineStr">
        <is>
          <t>2015</t>
        </is>
      </c>
      <c r="B44" s="19">
        <f>IFERROR(IF(C17="","",C17/B17),"")</f>
        <v/>
      </c>
      <c r="C44" s="19">
        <f>IFERROR(IF(D17="","",D17/C17),"")</f>
        <v/>
      </c>
      <c r="D44" s="19">
        <f>IFERROR(IF(E17="","",E17/D17),"")</f>
        <v/>
      </c>
      <c r="E44" s="19">
        <f>IFERROR(IF(F17="","",F17/E17),"")</f>
        <v/>
      </c>
      <c r="F44" s="19">
        <f>IFERROR(IF(G17="","",G17/F17),"")</f>
        <v/>
      </c>
      <c r="G44" s="19">
        <f>IFERROR(IF(H17="","",H17/G17),"")</f>
        <v/>
      </c>
      <c r="H44" s="19">
        <f>IFERROR(IF(I17="","",I17/H17),"")</f>
        <v/>
      </c>
      <c r="I44" s="19">
        <f>IFERROR(IF(J17="","",J17/I17),"")</f>
        <v/>
      </c>
      <c r="J44" s="19">
        <f>IFERROR(IF(K17="","",K17/J17),"")</f>
        <v/>
      </c>
      <c r="K44" s="19">
        <f>IFERROR(IF(L17="","",L17/K17),"")</f>
        <v/>
      </c>
      <c r="L44" s="19">
        <f>IFERROR(IF(M17="","",M17/L17),"")</f>
        <v/>
      </c>
      <c r="M44" s="19">
        <f>IFERROR(IF(N17="","",N17/M17),"")</f>
        <v/>
      </c>
      <c r="N44" s="19">
        <f>IFERROR(IF(O17="","",O17/N17),"")</f>
        <v/>
      </c>
      <c r="O44" s="19">
        <f>IFERROR(IF(P17="","",P17/O17),"")</f>
        <v/>
      </c>
      <c r="P44" s="19">
        <f>IFERROR(IF(Q17="","",Q17/P17),"")</f>
        <v/>
      </c>
      <c r="Q44" s="19">
        <f>IFERROR(IF(R17="","",R17/Q17),"")</f>
        <v/>
      </c>
      <c r="R44" s="19" t="n"/>
    </row>
    <row r="45">
      <c r="A45" s="17" t="inlineStr">
        <is>
          <t>2016</t>
        </is>
      </c>
      <c r="B45" s="19">
        <f>IFERROR(IF(C18="","",C18/B18),"")</f>
        <v/>
      </c>
      <c r="C45" s="19">
        <f>IFERROR(IF(D18="","",D18/C18),"")</f>
        <v/>
      </c>
      <c r="D45" s="19">
        <f>IFERROR(IF(E18="","",E18/D18),"")</f>
        <v/>
      </c>
      <c r="E45" s="19">
        <f>IFERROR(IF(F18="","",F18/E18),"")</f>
        <v/>
      </c>
      <c r="F45" s="19">
        <f>IFERROR(IF(G18="","",G18/F18),"")</f>
        <v/>
      </c>
      <c r="G45" s="19">
        <f>IFERROR(IF(H18="","",H18/G18),"")</f>
        <v/>
      </c>
      <c r="H45" s="19">
        <f>IFERROR(IF(I18="","",I18/H18),"")</f>
        <v/>
      </c>
      <c r="I45" s="19">
        <f>IFERROR(IF(J18="","",J18/I18),"")</f>
        <v/>
      </c>
      <c r="J45" s="19">
        <f>IFERROR(IF(K18="","",K18/J18),"")</f>
        <v/>
      </c>
      <c r="K45" s="19">
        <f>IFERROR(IF(L18="","",L18/K18),"")</f>
        <v/>
      </c>
      <c r="L45" s="19">
        <f>IFERROR(IF(M18="","",M18/L18),"")</f>
        <v/>
      </c>
      <c r="M45" s="19">
        <f>IFERROR(IF(N18="","",N18/M18),"")</f>
        <v/>
      </c>
      <c r="N45" s="19">
        <f>IFERROR(IF(O18="","",O18/N18),"")</f>
        <v/>
      </c>
      <c r="O45" s="19">
        <f>IFERROR(IF(P18="","",P18/O18),"")</f>
        <v/>
      </c>
      <c r="P45" s="19">
        <f>IFERROR(IF(Q18="","",Q18/P18),"")</f>
        <v/>
      </c>
      <c r="Q45" s="19">
        <f>IFERROR(IF(R18="","",R18/Q18),"")</f>
        <v/>
      </c>
      <c r="R45" s="19" t="n"/>
    </row>
    <row r="46">
      <c r="A46" s="17" t="inlineStr">
        <is>
          <t>2017</t>
        </is>
      </c>
      <c r="B46" s="19">
        <f>IFERROR(IF(C19="","",C19/B19),"")</f>
        <v/>
      </c>
      <c r="C46" s="19">
        <f>IFERROR(IF(D19="","",D19/C19),"")</f>
        <v/>
      </c>
      <c r="D46" s="19">
        <f>IFERROR(IF(E19="","",E19/D19),"")</f>
        <v/>
      </c>
      <c r="E46" s="19">
        <f>IFERROR(IF(F19="","",F19/E19),"")</f>
        <v/>
      </c>
      <c r="F46" s="19">
        <f>IFERROR(IF(G19="","",G19/F19),"")</f>
        <v/>
      </c>
      <c r="G46" s="19">
        <f>IFERROR(IF(H19="","",H19/G19),"")</f>
        <v/>
      </c>
      <c r="H46" s="19">
        <f>IFERROR(IF(I19="","",I19/H19),"")</f>
        <v/>
      </c>
      <c r="I46" s="19">
        <f>IFERROR(IF(J19="","",J19/I19),"")</f>
        <v/>
      </c>
      <c r="J46" s="19">
        <f>IFERROR(IF(K19="","",K19/J19),"")</f>
        <v/>
      </c>
      <c r="K46" s="19">
        <f>IFERROR(IF(L19="","",L19/K19),"")</f>
        <v/>
      </c>
      <c r="L46" s="19">
        <f>IFERROR(IF(M19="","",M19/L19),"")</f>
        <v/>
      </c>
      <c r="M46" s="19">
        <f>IFERROR(IF(N19="","",N19/M19),"")</f>
        <v/>
      </c>
      <c r="N46" s="19">
        <f>IFERROR(IF(O19="","",O19/N19),"")</f>
        <v/>
      </c>
      <c r="O46" s="19">
        <f>IFERROR(IF(P19="","",P19/O19),"")</f>
        <v/>
      </c>
      <c r="P46" s="19">
        <f>IFERROR(IF(Q19="","",Q19/P19),"")</f>
        <v/>
      </c>
      <c r="Q46" s="19">
        <f>IFERROR(IF(R19="","",R19/Q19),"")</f>
        <v/>
      </c>
      <c r="R46" s="19" t="n"/>
    </row>
    <row r="47">
      <c r="A47" s="17" t="inlineStr">
        <is>
          <t>2018</t>
        </is>
      </c>
      <c r="B47" s="19">
        <f>IFERROR(IF(C20="","",C20/B20),"")</f>
        <v/>
      </c>
      <c r="C47" s="19">
        <f>IFERROR(IF(D20="","",D20/C20),"")</f>
        <v/>
      </c>
      <c r="D47" s="19">
        <f>IFERROR(IF(E20="","",E20/D20),"")</f>
        <v/>
      </c>
      <c r="E47" s="19">
        <f>IFERROR(IF(F20="","",F20/E20),"")</f>
        <v/>
      </c>
      <c r="F47" s="19">
        <f>IFERROR(IF(G20="","",G20/F20),"")</f>
        <v/>
      </c>
      <c r="G47" s="19">
        <f>IFERROR(IF(H20="","",H20/G20),"")</f>
        <v/>
      </c>
      <c r="H47" s="19">
        <f>IFERROR(IF(I20="","",I20/H20),"")</f>
        <v/>
      </c>
      <c r="I47" s="19">
        <f>IFERROR(IF(J20="","",J20/I20),"")</f>
        <v/>
      </c>
      <c r="J47" s="19">
        <f>IFERROR(IF(K20="","",K20/J20),"")</f>
        <v/>
      </c>
      <c r="K47" s="19">
        <f>IFERROR(IF(L20="","",L20/K20),"")</f>
        <v/>
      </c>
      <c r="L47" s="19">
        <f>IFERROR(IF(M20="","",M20/L20),"")</f>
        <v/>
      </c>
      <c r="M47" s="19">
        <f>IFERROR(IF(N20="","",N20/M20),"")</f>
        <v/>
      </c>
      <c r="N47" s="19">
        <f>IFERROR(IF(O20="","",O20/N20),"")</f>
        <v/>
      </c>
      <c r="O47" s="19">
        <f>IFERROR(IF(P20="","",P20/O20),"")</f>
        <v/>
      </c>
      <c r="P47" s="19">
        <f>IFERROR(IF(Q20="","",Q20/P20),"")</f>
        <v/>
      </c>
      <c r="Q47" s="19">
        <f>IFERROR(IF(R20="","",R20/Q20),"")</f>
        <v/>
      </c>
      <c r="R47" s="19" t="n"/>
    </row>
    <row r="48">
      <c r="A48" s="17" t="inlineStr">
        <is>
          <t>2019</t>
        </is>
      </c>
      <c r="B48" s="19">
        <f>IFERROR(IF(C21="","",C21/B21),"")</f>
        <v/>
      </c>
      <c r="C48" s="19">
        <f>IFERROR(IF(D21="","",D21/C21),"")</f>
        <v/>
      </c>
      <c r="D48" s="19">
        <f>IFERROR(IF(E21="","",E21/D21),"")</f>
        <v/>
      </c>
      <c r="E48" s="19">
        <f>IFERROR(IF(F21="","",F21/E21),"")</f>
        <v/>
      </c>
      <c r="F48" s="19">
        <f>IFERROR(IF(G21="","",G21/F21),"")</f>
        <v/>
      </c>
      <c r="G48" s="19">
        <f>IFERROR(IF(H21="","",H21/G21),"")</f>
        <v/>
      </c>
      <c r="H48" s="19">
        <f>IFERROR(IF(I21="","",I21/H21),"")</f>
        <v/>
      </c>
      <c r="I48" s="19">
        <f>IFERROR(IF(J21="","",J21/I21),"")</f>
        <v/>
      </c>
      <c r="J48" s="19">
        <f>IFERROR(IF(K21="","",K21/J21),"")</f>
        <v/>
      </c>
      <c r="K48" s="19">
        <f>IFERROR(IF(L21="","",L21/K21),"")</f>
        <v/>
      </c>
      <c r="L48" s="19">
        <f>IFERROR(IF(M21="","",M21/L21),"")</f>
        <v/>
      </c>
      <c r="M48" s="19">
        <f>IFERROR(IF(N21="","",N21/M21),"")</f>
        <v/>
      </c>
      <c r="N48" s="19">
        <f>IFERROR(IF(O21="","",O21/N21),"")</f>
        <v/>
      </c>
      <c r="O48" s="19">
        <f>IFERROR(IF(P21="","",P21/O21),"")</f>
        <v/>
      </c>
      <c r="P48" s="19">
        <f>IFERROR(IF(Q21="","",Q21/P21),"")</f>
        <v/>
      </c>
      <c r="Q48" s="19">
        <f>IFERROR(IF(R21="","",R21/Q21),"")</f>
        <v/>
      </c>
      <c r="R48" s="19" t="n"/>
    </row>
    <row r="49">
      <c r="A49" s="17" t="inlineStr">
        <is>
          <t>2020</t>
        </is>
      </c>
      <c r="B49" s="19">
        <f>IFERROR(IF(C22="","",C22/B22),"")</f>
        <v/>
      </c>
      <c r="C49" s="19">
        <f>IFERROR(IF(D22="","",D22/C22),"")</f>
        <v/>
      </c>
      <c r="D49" s="19">
        <f>IFERROR(IF(E22="","",E22/D22),"")</f>
        <v/>
      </c>
      <c r="E49" s="19">
        <f>IFERROR(IF(F22="","",F22/E22),"")</f>
        <v/>
      </c>
      <c r="F49" s="19">
        <f>IFERROR(IF(G22="","",G22/F22),"")</f>
        <v/>
      </c>
      <c r="G49" s="19">
        <f>IFERROR(IF(H22="","",H22/G22),"")</f>
        <v/>
      </c>
      <c r="H49" s="19">
        <f>IFERROR(IF(I22="","",I22/H22),"")</f>
        <v/>
      </c>
      <c r="I49" s="19">
        <f>IFERROR(IF(J22="","",J22/I22),"")</f>
        <v/>
      </c>
      <c r="J49" s="19">
        <f>IFERROR(IF(K22="","",K22/J22),"")</f>
        <v/>
      </c>
      <c r="K49" s="19">
        <f>IFERROR(IF(L22="","",L22/K22),"")</f>
        <v/>
      </c>
      <c r="L49" s="19">
        <f>IFERROR(IF(M22="","",M22/L22),"")</f>
        <v/>
      </c>
      <c r="M49" s="19">
        <f>IFERROR(IF(N22="","",N22/M22),"")</f>
        <v/>
      </c>
      <c r="N49" s="19">
        <f>IFERROR(IF(O22="","",O22/N22),"")</f>
        <v/>
      </c>
      <c r="O49" s="19">
        <f>IFERROR(IF(P22="","",P22/O22),"")</f>
        <v/>
      </c>
      <c r="P49" s="19">
        <f>IFERROR(IF(Q22="","",Q22/P22),"")</f>
        <v/>
      </c>
      <c r="Q49" s="19">
        <f>IFERROR(IF(R22="","",R22/Q22),"")</f>
        <v/>
      </c>
      <c r="R49" s="19" t="n"/>
    </row>
    <row r="50">
      <c r="A50" s="17" t="inlineStr">
        <is>
          <t>2021</t>
        </is>
      </c>
      <c r="B50" s="19">
        <f>IFERROR(IF(C23="","",C23/B23),"")</f>
        <v/>
      </c>
      <c r="C50" s="19">
        <f>IFERROR(IF(D23="","",D23/C23),"")</f>
        <v/>
      </c>
      <c r="D50" s="19">
        <f>IFERROR(IF(E23="","",E23/D23),"")</f>
        <v/>
      </c>
      <c r="E50" s="19">
        <f>IFERROR(IF(F23="","",F23/E23),"")</f>
        <v/>
      </c>
      <c r="F50" s="19">
        <f>IFERROR(IF(G23="","",G23/F23),"")</f>
        <v/>
      </c>
      <c r="G50" s="19">
        <f>IFERROR(IF(H23="","",H23/G23),"")</f>
        <v/>
      </c>
      <c r="H50" s="19">
        <f>IFERROR(IF(I23="","",I23/H23),"")</f>
        <v/>
      </c>
      <c r="I50" s="19">
        <f>IFERROR(IF(J23="","",J23/I23),"")</f>
        <v/>
      </c>
      <c r="J50" s="19">
        <f>IFERROR(IF(K23="","",K23/J23),"")</f>
        <v/>
      </c>
      <c r="K50" s="19">
        <f>IFERROR(IF(L23="","",L23/K23),"")</f>
        <v/>
      </c>
      <c r="L50" s="19">
        <f>IFERROR(IF(M23="","",M23/L23),"")</f>
        <v/>
      </c>
      <c r="M50" s="19">
        <f>IFERROR(IF(N23="","",N23/M23),"")</f>
        <v/>
      </c>
      <c r="N50" s="19">
        <f>IFERROR(IF(O23="","",O23/N23),"")</f>
        <v/>
      </c>
      <c r="O50" s="19">
        <f>IFERROR(IF(P23="","",P23/O23),"")</f>
        <v/>
      </c>
      <c r="P50" s="19">
        <f>IFERROR(IF(Q23="","",Q23/P23),"")</f>
        <v/>
      </c>
      <c r="Q50" s="19">
        <f>IFERROR(IF(R23="","",R23/Q23),"")</f>
        <v/>
      </c>
      <c r="R50" s="19" t="n"/>
    </row>
    <row r="51">
      <c r="A51" s="17" t="inlineStr">
        <is>
          <t>2022</t>
        </is>
      </c>
      <c r="B51" s="19">
        <f>IFERROR(IF(C24="","",C24/B24),"")</f>
        <v/>
      </c>
      <c r="C51" s="19">
        <f>IFERROR(IF(D24="","",D24/C24),"")</f>
        <v/>
      </c>
      <c r="D51" s="19">
        <f>IFERROR(IF(E24="","",E24/D24),"")</f>
        <v/>
      </c>
      <c r="E51" s="19">
        <f>IFERROR(IF(F24="","",F24/E24),"")</f>
        <v/>
      </c>
      <c r="F51" s="19">
        <f>IFERROR(IF(G24="","",G24/F24),"")</f>
        <v/>
      </c>
      <c r="G51" s="19">
        <f>IFERROR(IF(H24="","",H24/G24),"")</f>
        <v/>
      </c>
      <c r="H51" s="19">
        <f>IFERROR(IF(I24="","",I24/H24),"")</f>
        <v/>
      </c>
      <c r="I51" s="19">
        <f>IFERROR(IF(J24="","",J24/I24),"")</f>
        <v/>
      </c>
      <c r="J51" s="19">
        <f>IFERROR(IF(K24="","",K24/J24),"")</f>
        <v/>
      </c>
      <c r="K51" s="19">
        <f>IFERROR(IF(L24="","",L24/K24),"")</f>
        <v/>
      </c>
      <c r="L51" s="19">
        <f>IFERROR(IF(M24="","",M24/L24),"")</f>
        <v/>
      </c>
      <c r="M51" s="19">
        <f>IFERROR(IF(N24="","",N24/M24),"")</f>
        <v/>
      </c>
      <c r="N51" s="19">
        <f>IFERROR(IF(O24="","",O24/N24),"")</f>
        <v/>
      </c>
      <c r="O51" s="19">
        <f>IFERROR(IF(P24="","",P24/O24),"")</f>
        <v/>
      </c>
      <c r="P51" s="19">
        <f>IFERROR(IF(Q24="","",Q24/P24),"")</f>
        <v/>
      </c>
      <c r="Q51" s="19">
        <f>IFERROR(IF(R24="","",R24/Q24),"")</f>
        <v/>
      </c>
      <c r="R51" s="19" t="n"/>
    </row>
    <row r="52">
      <c r="A52" s="17" t="inlineStr">
        <is>
          <t>2023</t>
        </is>
      </c>
      <c r="B52" s="19">
        <f>IFERROR(IF(C25="","",C25/B25),"")</f>
        <v/>
      </c>
      <c r="C52" s="19">
        <f>IFERROR(IF(D25="","",D25/C25),"")</f>
        <v/>
      </c>
      <c r="D52" s="19">
        <f>IFERROR(IF(E25="","",E25/D25),"")</f>
        <v/>
      </c>
      <c r="E52" s="19">
        <f>IFERROR(IF(F25="","",F25/E25),"")</f>
        <v/>
      </c>
      <c r="F52" s="19">
        <f>IFERROR(IF(G25="","",G25/F25),"")</f>
        <v/>
      </c>
      <c r="G52" s="19">
        <f>IFERROR(IF(H25="","",H25/G25),"")</f>
        <v/>
      </c>
      <c r="H52" s="19">
        <f>IFERROR(IF(I25="","",I25/H25),"")</f>
        <v/>
      </c>
      <c r="I52" s="19">
        <f>IFERROR(IF(J25="","",J25/I25),"")</f>
        <v/>
      </c>
      <c r="J52" s="19">
        <f>IFERROR(IF(K25="","",K25/J25),"")</f>
        <v/>
      </c>
      <c r="K52" s="19">
        <f>IFERROR(IF(L25="","",L25/K25),"")</f>
        <v/>
      </c>
      <c r="L52" s="19">
        <f>IFERROR(IF(M25="","",M25/L25),"")</f>
        <v/>
      </c>
      <c r="M52" s="19">
        <f>IFERROR(IF(N25="","",N25/M25),"")</f>
        <v/>
      </c>
      <c r="N52" s="19">
        <f>IFERROR(IF(O25="","",O25/N25),"")</f>
        <v/>
      </c>
      <c r="O52" s="19">
        <f>IFERROR(IF(P25="","",P25/O25),"")</f>
        <v/>
      </c>
      <c r="P52" s="19">
        <f>IFERROR(IF(Q25="","",Q25/P25),"")</f>
        <v/>
      </c>
      <c r="Q52" s="19">
        <f>IFERROR(IF(R25="","",R25/Q25),"")</f>
        <v/>
      </c>
      <c r="R52" s="19" t="n"/>
    </row>
    <row r="53">
      <c r="A53" s="17" t="inlineStr">
        <is>
          <t>2024</t>
        </is>
      </c>
      <c r="B53" s="19">
        <f>IFERROR(IF(C26="","",C26/B26),"")</f>
        <v/>
      </c>
      <c r="C53" s="19">
        <f>IFERROR(IF(D26="","",D26/C26),"")</f>
        <v/>
      </c>
      <c r="D53" s="19">
        <f>IFERROR(IF(E26="","",E26/D26),"")</f>
        <v/>
      </c>
      <c r="E53" s="19">
        <f>IFERROR(IF(F26="","",F26/E26),"")</f>
        <v/>
      </c>
      <c r="F53" s="19">
        <f>IFERROR(IF(G26="","",G26/F26),"")</f>
        <v/>
      </c>
      <c r="G53" s="19">
        <f>IFERROR(IF(H26="","",H26/G26),"")</f>
        <v/>
      </c>
      <c r="H53" s="19">
        <f>IFERROR(IF(I26="","",I26/H26),"")</f>
        <v/>
      </c>
      <c r="I53" s="19">
        <f>IFERROR(IF(J26="","",J26/I26),"")</f>
        <v/>
      </c>
      <c r="J53" s="19">
        <f>IFERROR(IF(K26="","",K26/J26),"")</f>
        <v/>
      </c>
      <c r="K53" s="19">
        <f>IFERROR(IF(L26="","",L26/K26),"")</f>
        <v/>
      </c>
      <c r="L53" s="19">
        <f>IFERROR(IF(M26="","",M26/L26),"")</f>
        <v/>
      </c>
      <c r="M53" s="19">
        <f>IFERROR(IF(N26="","",N26/M26),"")</f>
        <v/>
      </c>
      <c r="N53" s="19">
        <f>IFERROR(IF(O26="","",O26/N26),"")</f>
        <v/>
      </c>
      <c r="O53" s="19">
        <f>IFERROR(IF(P26="","",P26/O26),"")</f>
        <v/>
      </c>
      <c r="P53" s="19">
        <f>IFERROR(IF(Q26="","",Q26/P26),"")</f>
        <v/>
      </c>
      <c r="Q53" s="19">
        <f>IFERROR(IF(R26="","",R26/Q26),"")</f>
        <v/>
      </c>
      <c r="R53" s="19" t="n"/>
    </row>
    <row r="54"/>
    <row r="55">
      <c r="A55" s="3" t="inlineStr">
        <is>
          <t>Averages</t>
        </is>
      </c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</row>
    <row r="56">
      <c r="A56" s="20" t="inlineStr">
        <is>
          <t>Metric</t>
        </is>
      </c>
      <c r="B56" s="8" t="inlineStr">
        <is>
          <t>11-23</t>
        </is>
      </c>
      <c r="C56" s="8" t="inlineStr">
        <is>
          <t>23-35</t>
        </is>
      </c>
      <c r="D56" s="8" t="inlineStr">
        <is>
          <t>35-47</t>
        </is>
      </c>
      <c r="E56" s="8" t="inlineStr">
        <is>
          <t>47-59</t>
        </is>
      </c>
      <c r="F56" s="8" t="inlineStr">
        <is>
          <t>59-71</t>
        </is>
      </c>
      <c r="G56" s="8" t="inlineStr">
        <is>
          <t>71-83</t>
        </is>
      </c>
      <c r="H56" s="8" t="inlineStr">
        <is>
          <t>83-95</t>
        </is>
      </c>
      <c r="I56" s="8" t="inlineStr">
        <is>
          <t>95-107</t>
        </is>
      </c>
      <c r="J56" s="8" t="inlineStr">
        <is>
          <t>107-119</t>
        </is>
      </c>
      <c r="K56" s="8" t="inlineStr">
        <is>
          <t>119-131</t>
        </is>
      </c>
      <c r="L56" s="8" t="inlineStr">
        <is>
          <t>131-143</t>
        </is>
      </c>
      <c r="M56" s="8" t="inlineStr">
        <is>
          <t>143-155</t>
        </is>
      </c>
      <c r="N56" s="8" t="inlineStr">
        <is>
          <t>155-167</t>
        </is>
      </c>
      <c r="O56" s="8" t="inlineStr">
        <is>
          <t>167-179</t>
        </is>
      </c>
      <c r="P56" s="8" t="inlineStr">
        <is>
          <t>179-191</t>
        </is>
      </c>
      <c r="Q56" s="8" t="inlineStr">
        <is>
          <t>191-203</t>
        </is>
      </c>
      <c r="R56" s="8" t="inlineStr">
        <is>
          <t>203-Ult</t>
        </is>
      </c>
    </row>
    <row r="57">
      <c r="A57" s="21" t="inlineStr">
        <is>
          <t>simple_all</t>
        </is>
      </c>
      <c r="B57" s="19">
        <f>IFERROR(AVERAGE(B30:B53),AVERAGE(B30:B53))</f>
        <v/>
      </c>
      <c r="C57" s="19">
        <f>IFERROR(AVERAGE(C30:C53),AVERAGE(C30:C53))</f>
        <v/>
      </c>
      <c r="D57" s="19">
        <f>IFERROR(AVERAGE(D30:D53),AVERAGE(D30:D53))</f>
        <v/>
      </c>
      <c r="E57" s="19">
        <f>IFERROR(AVERAGE(E30:E53),AVERAGE(E30:E53))</f>
        <v/>
      </c>
      <c r="F57" s="19">
        <f>IFERROR(AVERAGE(F30:F53),AVERAGE(F30:F53))</f>
        <v/>
      </c>
      <c r="G57" s="19">
        <f>IFERROR(AVERAGE(G30:G53),AVERAGE(G30:G53))</f>
        <v/>
      </c>
      <c r="H57" s="19">
        <f>IFERROR(AVERAGE(H30:H53),AVERAGE(H30:H53))</f>
        <v/>
      </c>
      <c r="I57" s="19">
        <f>IFERROR(AVERAGE(I30:I53),AVERAGE(I30:I53))</f>
        <v/>
      </c>
      <c r="J57" s="19">
        <f>IFERROR(AVERAGE(J30:J53),AVERAGE(J30:J53))</f>
        <v/>
      </c>
      <c r="K57" s="19">
        <f>IFERROR(AVERAGE(K30:K53),AVERAGE(K30:K53))</f>
        <v/>
      </c>
      <c r="L57" s="19">
        <f>IFERROR(AVERAGE(L30:L53),AVERAGE(L30:L53))</f>
        <v/>
      </c>
      <c r="M57" s="19">
        <f>IFERROR(AVERAGE(M30:M53),AVERAGE(M30:M53))</f>
        <v/>
      </c>
      <c r="N57" s="19">
        <f>IFERROR(AVERAGE(N30:N53),AVERAGE(N30:N53))</f>
        <v/>
      </c>
      <c r="O57" s="19">
        <f>IFERROR(AVERAGE(O30:O53),AVERAGE(O30:O53))</f>
        <v/>
      </c>
      <c r="P57" s="19">
        <f>IFERROR(AVERAGE(P30:P53),AVERAGE(P30:P53))</f>
        <v/>
      </c>
      <c r="Q57" s="19">
        <f>IFERROR(AVERAGE(Q30:Q53),AVERAGE(Q30:Q53))</f>
        <v/>
      </c>
      <c r="R57" s="19" t="n"/>
    </row>
    <row r="58">
      <c r="A58" s="21" t="inlineStr">
        <is>
          <t>weighted_all</t>
        </is>
      </c>
      <c r="B58" s="19">
        <f>IFERROR(SUMPRODUCT(B30:B53,B3:B26)/SUMPRODUCT((B30:B53&lt;&gt;"")*B3:B26),SUMPRODUCT(B30:B53,B3:B26)/SUMPRODUCT((B30:B53&lt;&gt;"")*B3:B26))</f>
        <v/>
      </c>
      <c r="C58" s="19">
        <f>IFERROR(SUMPRODUCT(C30:C53,C3:C26)/SUMPRODUCT((C30:C53&lt;&gt;"")*C3:C26),SUMPRODUCT(C30:C53,C3:C26)/SUMPRODUCT((C30:C53&lt;&gt;"")*C3:C26))</f>
        <v/>
      </c>
      <c r="D58" s="19">
        <f>IFERROR(SUMPRODUCT(D30:D53,D3:D26)/SUMPRODUCT((D30:D53&lt;&gt;"")*D3:D26),SUMPRODUCT(D30:D53,D3:D26)/SUMPRODUCT((D30:D53&lt;&gt;"")*D3:D26))</f>
        <v/>
      </c>
      <c r="E58" s="19">
        <f>IFERROR(SUMPRODUCT(E30:E53,E3:E26)/SUMPRODUCT((E30:E53&lt;&gt;"")*E3:E26),SUMPRODUCT(E30:E53,E3:E26)/SUMPRODUCT((E30:E53&lt;&gt;"")*E3:E26))</f>
        <v/>
      </c>
      <c r="F58" s="19">
        <f>IFERROR(SUMPRODUCT(F30:F53,F3:F26)/SUMPRODUCT((F30:F53&lt;&gt;"")*F3:F26),SUMPRODUCT(F30:F53,F3:F26)/SUMPRODUCT((F30:F53&lt;&gt;"")*F3:F26))</f>
        <v/>
      </c>
      <c r="G58" s="19">
        <f>IFERROR(SUMPRODUCT(G30:G53,G3:G26)/SUMPRODUCT((G30:G53&lt;&gt;"")*G3:G26),SUMPRODUCT(G30:G53,G3:G26)/SUMPRODUCT((G30:G53&lt;&gt;"")*G3:G26))</f>
        <v/>
      </c>
      <c r="H58" s="19">
        <f>IFERROR(SUMPRODUCT(H30:H53,H3:H26)/SUMPRODUCT((H30:H53&lt;&gt;"")*H3:H26),SUMPRODUCT(H30:H53,H3:H26)/SUMPRODUCT((H30:H53&lt;&gt;"")*H3:H26))</f>
        <v/>
      </c>
      <c r="I58" s="19">
        <f>IFERROR(SUMPRODUCT(I30:I53,I3:I26)/SUMPRODUCT((I30:I53&lt;&gt;"")*I3:I26),SUMPRODUCT(I30:I53,I3:I26)/SUMPRODUCT((I30:I53&lt;&gt;"")*I3:I26))</f>
        <v/>
      </c>
      <c r="J58" s="19">
        <f>IFERROR(SUMPRODUCT(J30:J53,J3:J26)/SUMPRODUCT((J30:J53&lt;&gt;"")*J3:J26),SUMPRODUCT(J30:J53,J3:J26)/SUMPRODUCT((J30:J53&lt;&gt;"")*J3:J26))</f>
        <v/>
      </c>
      <c r="K58" s="19">
        <f>IFERROR(SUMPRODUCT(K30:K53,K3:K26)/SUMPRODUCT((K30:K53&lt;&gt;"")*K3:K26),SUMPRODUCT(K30:K53,K3:K26)/SUMPRODUCT((K30:K53&lt;&gt;"")*K3:K26))</f>
        <v/>
      </c>
      <c r="L58" s="19">
        <f>IFERROR(SUMPRODUCT(L30:L53,L3:L26)/SUMPRODUCT((L30:L53&lt;&gt;"")*L3:L26),SUMPRODUCT(L30:L53,L3:L26)/SUMPRODUCT((L30:L53&lt;&gt;"")*L3:L26))</f>
        <v/>
      </c>
      <c r="M58" s="19">
        <f>IFERROR(SUMPRODUCT(M30:M53,M3:M26)/SUMPRODUCT((M30:M53&lt;&gt;"")*M3:M26),SUMPRODUCT(M30:M53,M3:M26)/SUMPRODUCT((M30:M53&lt;&gt;"")*M3:M26))</f>
        <v/>
      </c>
      <c r="N58" s="19">
        <f>IFERROR(SUMPRODUCT(N30:N53,N3:N26)/SUMPRODUCT((N30:N53&lt;&gt;"")*N3:N26),SUMPRODUCT(N30:N53,N3:N26)/SUMPRODUCT((N30:N53&lt;&gt;"")*N3:N26))</f>
        <v/>
      </c>
      <c r="O58" s="19">
        <f>IFERROR(SUMPRODUCT(O30:O53,O3:O26)/SUMPRODUCT((O30:O53&lt;&gt;"")*O3:O26),SUMPRODUCT(O30:O53,O3:O26)/SUMPRODUCT((O30:O53&lt;&gt;"")*O3:O26))</f>
        <v/>
      </c>
      <c r="P58" s="19">
        <f>IFERROR(SUMPRODUCT(P30:P53,P3:P26)/SUMPRODUCT((P30:P53&lt;&gt;"")*P3:P26),SUMPRODUCT(P30:P53,P3:P26)/SUMPRODUCT((P30:P53&lt;&gt;"")*P3:P26))</f>
        <v/>
      </c>
      <c r="Q58" s="19">
        <f>IFERROR(SUMPRODUCT(Q30:Q53,Q3:Q26)/SUMPRODUCT((Q30:Q53&lt;&gt;"")*Q3:Q26),SUMPRODUCT(Q30:Q53,Q3:Q26)/SUMPRODUCT((Q30:Q53&lt;&gt;"")*Q3:Q26))</f>
        <v/>
      </c>
      <c r="R58" s="19" t="n"/>
    </row>
    <row r="59">
      <c r="A59" s="21" t="inlineStr">
        <is>
          <t>exclude_high_low_all</t>
        </is>
      </c>
      <c r="B59" s="19">
        <f>IFERROR(TRIMMEAN(B30:B53,2/COUNT(B30:B53)),AVERAGE(B30:B53))</f>
        <v/>
      </c>
      <c r="C59" s="19">
        <f>IFERROR(TRIMMEAN(C30:C53,2/COUNT(C30:C53)),AVERAGE(C30:C53))</f>
        <v/>
      </c>
      <c r="D59" s="19">
        <f>IFERROR(TRIMMEAN(D30:D53,2/COUNT(D30:D53)),AVERAGE(D30:D53))</f>
        <v/>
      </c>
      <c r="E59" s="19">
        <f>IFERROR(TRIMMEAN(E30:E53,2/COUNT(E30:E53)),AVERAGE(E30:E53))</f>
        <v/>
      </c>
      <c r="F59" s="19">
        <f>IFERROR(TRIMMEAN(F30:F53,2/COUNT(F30:F53)),AVERAGE(F30:F53))</f>
        <v/>
      </c>
      <c r="G59" s="19">
        <f>IFERROR(TRIMMEAN(G30:G53,2/COUNT(G30:G53)),AVERAGE(G30:G53))</f>
        <v/>
      </c>
      <c r="H59" s="19">
        <f>IFERROR(TRIMMEAN(H30:H53,2/COUNT(H30:H53)),AVERAGE(H30:H53))</f>
        <v/>
      </c>
      <c r="I59" s="19">
        <f>IFERROR(TRIMMEAN(I30:I53,2/COUNT(I30:I53)),AVERAGE(I30:I53))</f>
        <v/>
      </c>
      <c r="J59" s="19">
        <f>IFERROR(TRIMMEAN(J30:J53,2/COUNT(J30:J53)),AVERAGE(J30:J53))</f>
        <v/>
      </c>
      <c r="K59" s="19">
        <f>IFERROR(TRIMMEAN(K30:K53,2/COUNT(K30:K53)),AVERAGE(K30:K53))</f>
        <v/>
      </c>
      <c r="L59" s="19">
        <f>IFERROR(TRIMMEAN(L30:L53,2/COUNT(L30:L53)),AVERAGE(L30:L53))</f>
        <v/>
      </c>
      <c r="M59" s="19">
        <f>IFERROR(TRIMMEAN(M30:M53,2/COUNT(M30:M53)),AVERAGE(M30:M53))</f>
        <v/>
      </c>
      <c r="N59" s="19">
        <f>IFERROR(TRIMMEAN(N30:N53,2/COUNT(N30:N53)),AVERAGE(N30:N53))</f>
        <v/>
      </c>
      <c r="O59" s="19">
        <f>IFERROR(TRIMMEAN(O30:O53,2/COUNT(O30:O53)),AVERAGE(O30:O53))</f>
        <v/>
      </c>
      <c r="P59" s="19">
        <f>IFERROR(TRIMMEAN(P30:P53,2/COUNT(P30:P53)),AVERAGE(P30:P53))</f>
        <v/>
      </c>
      <c r="Q59" s="19">
        <f>IFERROR(TRIMMEAN(Q30:Q53,2/COUNT(Q30:Q53)),AVERAGE(Q30:Q53))</f>
        <v/>
      </c>
      <c r="R59" s="19" t="n"/>
    </row>
    <row r="60">
      <c r="A60" s="21" t="inlineStr">
        <is>
          <t>simple_3yr</t>
        </is>
      </c>
      <c r="B60" s="19">
        <f>IFERROR(AVERAGE(B51:B53),AVERAGE(B30:B53))</f>
        <v/>
      </c>
      <c r="C60" s="19">
        <f>IFERROR(AVERAGE(C51:C53),AVERAGE(C30:C53))</f>
        <v/>
      </c>
      <c r="D60" s="19">
        <f>IFERROR(AVERAGE(D51:D53),AVERAGE(D30:D53))</f>
        <v/>
      </c>
      <c r="E60" s="19">
        <f>IFERROR(AVERAGE(E51:E53),AVERAGE(E30:E53))</f>
        <v/>
      </c>
      <c r="F60" s="19">
        <f>IFERROR(AVERAGE(F51:F53),AVERAGE(F30:F53))</f>
        <v/>
      </c>
      <c r="G60" s="19">
        <f>IFERROR(AVERAGE(G51:G53),AVERAGE(G30:G53))</f>
        <v/>
      </c>
      <c r="H60" s="19">
        <f>IFERROR(AVERAGE(H51:H53),AVERAGE(H30:H53))</f>
        <v/>
      </c>
      <c r="I60" s="19">
        <f>IFERROR(AVERAGE(I51:I53),AVERAGE(I30:I53))</f>
        <v/>
      </c>
      <c r="J60" s="19">
        <f>IFERROR(AVERAGE(J51:J53),AVERAGE(J30:J53))</f>
        <v/>
      </c>
      <c r="K60" s="19">
        <f>IFERROR(AVERAGE(K51:K53),AVERAGE(K30:K53))</f>
        <v/>
      </c>
      <c r="L60" s="19">
        <f>IFERROR(AVERAGE(L51:L53),AVERAGE(L30:L53))</f>
        <v/>
      </c>
      <c r="M60" s="19">
        <f>IFERROR(AVERAGE(M51:M53),AVERAGE(M30:M53))</f>
        <v/>
      </c>
      <c r="N60" s="19">
        <f>IFERROR(AVERAGE(N51:N53),AVERAGE(N30:N53))</f>
        <v/>
      </c>
      <c r="O60" s="19">
        <f>IFERROR(AVERAGE(O51:O53),AVERAGE(O30:O53))</f>
        <v/>
      </c>
      <c r="P60" s="19">
        <f>IFERROR(AVERAGE(P51:P53),AVERAGE(P30:P53))</f>
        <v/>
      </c>
      <c r="Q60" s="19">
        <f>IFERROR(AVERAGE(Q51:Q53),AVERAGE(Q30:Q53))</f>
        <v/>
      </c>
      <c r="R60" s="19" t="n"/>
    </row>
    <row r="61">
      <c r="A61" s="21" t="inlineStr">
        <is>
          <t>weighted_3yr</t>
        </is>
      </c>
      <c r="B61" s="19">
        <f>IFERROR(SUMPRODUCT(B51:B53,B24:B26)/SUMPRODUCT((B51:B53&lt;&gt;"")*B24:B26),SUMPRODUCT(B30:B53,B3:B26)/SUMPRODUCT((B30:B53&lt;&gt;"")*B3:B26))</f>
        <v/>
      </c>
      <c r="C61" s="19">
        <f>IFERROR(SUMPRODUCT(C51:C53,C24:C26)/SUMPRODUCT((C51:C53&lt;&gt;"")*C24:C26),SUMPRODUCT(C30:C53,C3:C26)/SUMPRODUCT((C30:C53&lt;&gt;"")*C3:C26))</f>
        <v/>
      </c>
      <c r="D61" s="19">
        <f>IFERROR(SUMPRODUCT(D51:D53,D24:D26)/SUMPRODUCT((D51:D53&lt;&gt;"")*D24:D26),SUMPRODUCT(D30:D53,D3:D26)/SUMPRODUCT((D30:D53&lt;&gt;"")*D3:D26))</f>
        <v/>
      </c>
      <c r="E61" s="19">
        <f>IFERROR(SUMPRODUCT(E51:E53,E24:E26)/SUMPRODUCT((E51:E53&lt;&gt;"")*E24:E26),SUMPRODUCT(E30:E53,E3:E26)/SUMPRODUCT((E30:E53&lt;&gt;"")*E3:E26))</f>
        <v/>
      </c>
      <c r="F61" s="19">
        <f>IFERROR(SUMPRODUCT(F51:F53,F24:F26)/SUMPRODUCT((F51:F53&lt;&gt;"")*F24:F26),SUMPRODUCT(F30:F53,F3:F26)/SUMPRODUCT((F30:F53&lt;&gt;"")*F3:F26))</f>
        <v/>
      </c>
      <c r="G61" s="19">
        <f>IFERROR(SUMPRODUCT(G51:G53,G24:G26)/SUMPRODUCT((G51:G53&lt;&gt;"")*G24:G26),SUMPRODUCT(G30:G53,G3:G26)/SUMPRODUCT((G30:G53&lt;&gt;"")*G3:G26))</f>
        <v/>
      </c>
      <c r="H61" s="19">
        <f>IFERROR(SUMPRODUCT(H51:H53,H24:H26)/SUMPRODUCT((H51:H53&lt;&gt;"")*H24:H26),SUMPRODUCT(H30:H53,H3:H26)/SUMPRODUCT((H30:H53&lt;&gt;"")*H3:H26))</f>
        <v/>
      </c>
      <c r="I61" s="19">
        <f>IFERROR(SUMPRODUCT(I51:I53,I24:I26)/SUMPRODUCT((I51:I53&lt;&gt;"")*I24:I26),SUMPRODUCT(I30:I53,I3:I26)/SUMPRODUCT((I30:I53&lt;&gt;"")*I3:I26))</f>
        <v/>
      </c>
      <c r="J61" s="19">
        <f>IFERROR(SUMPRODUCT(J51:J53,J24:J26)/SUMPRODUCT((J51:J53&lt;&gt;"")*J24:J26),SUMPRODUCT(J30:J53,J3:J26)/SUMPRODUCT((J30:J53&lt;&gt;"")*J3:J26))</f>
        <v/>
      </c>
      <c r="K61" s="19">
        <f>IFERROR(SUMPRODUCT(K51:K53,K24:K26)/SUMPRODUCT((K51:K53&lt;&gt;"")*K24:K26),SUMPRODUCT(K30:K53,K3:K26)/SUMPRODUCT((K30:K53&lt;&gt;"")*K3:K26))</f>
        <v/>
      </c>
      <c r="L61" s="19">
        <f>IFERROR(SUMPRODUCT(L51:L53,L24:L26)/SUMPRODUCT((L51:L53&lt;&gt;"")*L24:L26),SUMPRODUCT(L30:L53,L3:L26)/SUMPRODUCT((L30:L53&lt;&gt;"")*L3:L26))</f>
        <v/>
      </c>
      <c r="M61" s="19">
        <f>IFERROR(SUMPRODUCT(M51:M53,M24:M26)/SUMPRODUCT((M51:M53&lt;&gt;"")*M24:M26),SUMPRODUCT(M30:M53,M3:M26)/SUMPRODUCT((M30:M53&lt;&gt;"")*M3:M26))</f>
        <v/>
      </c>
      <c r="N61" s="19">
        <f>IFERROR(SUMPRODUCT(N51:N53,N24:N26)/SUMPRODUCT((N51:N53&lt;&gt;"")*N24:N26),SUMPRODUCT(N30:N53,N3:N26)/SUMPRODUCT((N30:N53&lt;&gt;"")*N3:N26))</f>
        <v/>
      </c>
      <c r="O61" s="19">
        <f>IFERROR(SUMPRODUCT(O51:O53,O24:O26)/SUMPRODUCT((O51:O53&lt;&gt;"")*O24:O26),SUMPRODUCT(O30:O53,O3:O26)/SUMPRODUCT((O30:O53&lt;&gt;"")*O3:O26))</f>
        <v/>
      </c>
      <c r="P61" s="19">
        <f>IFERROR(SUMPRODUCT(P51:P53,P24:P26)/SUMPRODUCT((P51:P53&lt;&gt;"")*P24:P26),SUMPRODUCT(P30:P53,P3:P26)/SUMPRODUCT((P30:P53&lt;&gt;"")*P3:P26))</f>
        <v/>
      </c>
      <c r="Q61" s="19">
        <f>IFERROR(SUMPRODUCT(Q51:Q53,Q24:Q26)/SUMPRODUCT((Q51:Q53&lt;&gt;"")*Q24:Q26),SUMPRODUCT(Q30:Q53,Q3:Q26)/SUMPRODUCT((Q30:Q53&lt;&gt;"")*Q3:Q26))</f>
        <v/>
      </c>
      <c r="R61" s="19" t="n"/>
    </row>
    <row r="62">
      <c r="A62" s="21" t="inlineStr">
        <is>
          <t>exclude_high_low_3yr</t>
        </is>
      </c>
      <c r="B62" s="19">
        <f>IFERROR(TRIMMEAN(B51:B53,2/COUNT(B51:B53)),AVERAGE(B30:B53))</f>
        <v/>
      </c>
      <c r="C62" s="19">
        <f>IFERROR(TRIMMEAN(C51:C53,2/COUNT(C51:C53)),AVERAGE(C30:C53))</f>
        <v/>
      </c>
      <c r="D62" s="19">
        <f>IFERROR(TRIMMEAN(D51:D53,2/COUNT(D51:D53)),AVERAGE(D30:D53))</f>
        <v/>
      </c>
      <c r="E62" s="19">
        <f>IFERROR(TRIMMEAN(E51:E53,2/COUNT(E51:E53)),AVERAGE(E30:E53))</f>
        <v/>
      </c>
      <c r="F62" s="19">
        <f>IFERROR(TRIMMEAN(F51:F53,2/COUNT(F51:F53)),AVERAGE(F30:F53))</f>
        <v/>
      </c>
      <c r="G62" s="19">
        <f>IFERROR(TRIMMEAN(G51:G53,2/COUNT(G51:G53)),AVERAGE(G30:G53))</f>
        <v/>
      </c>
      <c r="H62" s="19">
        <f>IFERROR(TRIMMEAN(H51:H53,2/COUNT(H51:H53)),AVERAGE(H30:H53))</f>
        <v/>
      </c>
      <c r="I62" s="19">
        <f>IFERROR(TRIMMEAN(I51:I53,2/COUNT(I51:I53)),AVERAGE(I30:I53))</f>
        <v/>
      </c>
      <c r="J62" s="19">
        <f>IFERROR(TRIMMEAN(J51:J53,2/COUNT(J51:J53)),AVERAGE(J30:J53))</f>
        <v/>
      </c>
      <c r="K62" s="19">
        <f>IFERROR(TRIMMEAN(K51:K53,2/COUNT(K51:K53)),AVERAGE(K30:K53))</f>
        <v/>
      </c>
      <c r="L62" s="19">
        <f>IFERROR(TRIMMEAN(L51:L53,2/COUNT(L51:L53)),AVERAGE(L30:L53))</f>
        <v/>
      </c>
      <c r="M62" s="19">
        <f>IFERROR(TRIMMEAN(M51:M53,2/COUNT(M51:M53)),AVERAGE(M30:M53))</f>
        <v/>
      </c>
      <c r="N62" s="19">
        <f>IFERROR(TRIMMEAN(N51:N53,2/COUNT(N51:N53)),AVERAGE(N30:N53))</f>
        <v/>
      </c>
      <c r="O62" s="19">
        <f>IFERROR(TRIMMEAN(O51:O53,2/COUNT(O51:O53)),AVERAGE(O30:O53))</f>
        <v/>
      </c>
      <c r="P62" s="19">
        <f>IFERROR(TRIMMEAN(P51:P53,2/COUNT(P51:P53)),AVERAGE(P30:P53))</f>
        <v/>
      </c>
      <c r="Q62" s="19">
        <f>IFERROR(TRIMMEAN(Q51:Q53,2/COUNT(Q51:Q53)),AVERAGE(Q30:Q53))</f>
        <v/>
      </c>
      <c r="R62" s="19" t="n"/>
    </row>
    <row r="63">
      <c r="A63" s="21" t="inlineStr">
        <is>
          <t>simple_5yr</t>
        </is>
      </c>
      <c r="B63" s="19">
        <f>IFERROR(AVERAGE(B49:B53),AVERAGE(B30:B53))</f>
        <v/>
      </c>
      <c r="C63" s="19">
        <f>IFERROR(AVERAGE(C49:C53),AVERAGE(C30:C53))</f>
        <v/>
      </c>
      <c r="D63" s="19">
        <f>IFERROR(AVERAGE(D49:D53),AVERAGE(D30:D53))</f>
        <v/>
      </c>
      <c r="E63" s="19">
        <f>IFERROR(AVERAGE(E49:E53),AVERAGE(E30:E53))</f>
        <v/>
      </c>
      <c r="F63" s="19">
        <f>IFERROR(AVERAGE(F49:F53),AVERAGE(F30:F53))</f>
        <v/>
      </c>
      <c r="G63" s="19">
        <f>IFERROR(AVERAGE(G49:G53),AVERAGE(G30:G53))</f>
        <v/>
      </c>
      <c r="H63" s="19">
        <f>IFERROR(AVERAGE(H49:H53),AVERAGE(H30:H53))</f>
        <v/>
      </c>
      <c r="I63" s="19">
        <f>IFERROR(AVERAGE(I49:I53),AVERAGE(I30:I53))</f>
        <v/>
      </c>
      <c r="J63" s="19">
        <f>IFERROR(AVERAGE(J49:J53),AVERAGE(J30:J53))</f>
        <v/>
      </c>
      <c r="K63" s="19">
        <f>IFERROR(AVERAGE(K49:K53),AVERAGE(K30:K53))</f>
        <v/>
      </c>
      <c r="L63" s="19">
        <f>IFERROR(AVERAGE(L49:L53),AVERAGE(L30:L53))</f>
        <v/>
      </c>
      <c r="M63" s="19">
        <f>IFERROR(AVERAGE(M49:M53),AVERAGE(M30:M53))</f>
        <v/>
      </c>
      <c r="N63" s="19">
        <f>IFERROR(AVERAGE(N49:N53),AVERAGE(N30:N53))</f>
        <v/>
      </c>
      <c r="O63" s="19">
        <f>IFERROR(AVERAGE(O49:O53),AVERAGE(O30:O53))</f>
        <v/>
      </c>
      <c r="P63" s="19">
        <f>IFERROR(AVERAGE(P49:P53),AVERAGE(P30:P53))</f>
        <v/>
      </c>
      <c r="Q63" s="19">
        <f>IFERROR(AVERAGE(Q49:Q53),AVERAGE(Q30:Q53))</f>
        <v/>
      </c>
      <c r="R63" s="19" t="n"/>
    </row>
    <row r="64">
      <c r="A64" s="21" t="inlineStr">
        <is>
          <t>weighted_5yr</t>
        </is>
      </c>
      <c r="B64" s="19">
        <f>IFERROR(SUMPRODUCT(B49:B53,B22:B26)/SUMPRODUCT((B49:B53&lt;&gt;"")*B22:B26),SUMPRODUCT(B30:B53,B3:B26)/SUMPRODUCT((B30:B53&lt;&gt;"")*B3:B26))</f>
        <v/>
      </c>
      <c r="C64" s="19">
        <f>IFERROR(SUMPRODUCT(C49:C53,C22:C26)/SUMPRODUCT((C49:C53&lt;&gt;"")*C22:C26),SUMPRODUCT(C30:C53,C3:C26)/SUMPRODUCT((C30:C53&lt;&gt;"")*C3:C26))</f>
        <v/>
      </c>
      <c r="D64" s="19">
        <f>IFERROR(SUMPRODUCT(D49:D53,D22:D26)/SUMPRODUCT((D49:D53&lt;&gt;"")*D22:D26),SUMPRODUCT(D30:D53,D3:D26)/SUMPRODUCT((D30:D53&lt;&gt;"")*D3:D26))</f>
        <v/>
      </c>
      <c r="E64" s="19">
        <f>IFERROR(SUMPRODUCT(E49:E53,E22:E26)/SUMPRODUCT((E49:E53&lt;&gt;"")*E22:E26),SUMPRODUCT(E30:E53,E3:E26)/SUMPRODUCT((E30:E53&lt;&gt;"")*E3:E26))</f>
        <v/>
      </c>
      <c r="F64" s="19">
        <f>IFERROR(SUMPRODUCT(F49:F53,F22:F26)/SUMPRODUCT((F49:F53&lt;&gt;"")*F22:F26),SUMPRODUCT(F30:F53,F3:F26)/SUMPRODUCT((F30:F53&lt;&gt;"")*F3:F26))</f>
        <v/>
      </c>
      <c r="G64" s="19">
        <f>IFERROR(SUMPRODUCT(G49:G53,G22:G26)/SUMPRODUCT((G49:G53&lt;&gt;"")*G22:G26),SUMPRODUCT(G30:G53,G3:G26)/SUMPRODUCT((G30:G53&lt;&gt;"")*G3:G26))</f>
        <v/>
      </c>
      <c r="H64" s="19">
        <f>IFERROR(SUMPRODUCT(H49:H53,H22:H26)/SUMPRODUCT((H49:H53&lt;&gt;"")*H22:H26),SUMPRODUCT(H30:H53,H3:H26)/SUMPRODUCT((H30:H53&lt;&gt;"")*H3:H26))</f>
        <v/>
      </c>
      <c r="I64" s="19">
        <f>IFERROR(SUMPRODUCT(I49:I53,I22:I26)/SUMPRODUCT((I49:I53&lt;&gt;"")*I22:I26),SUMPRODUCT(I30:I53,I3:I26)/SUMPRODUCT((I30:I53&lt;&gt;"")*I3:I26))</f>
        <v/>
      </c>
      <c r="J64" s="19">
        <f>IFERROR(SUMPRODUCT(J49:J53,J22:J26)/SUMPRODUCT((J49:J53&lt;&gt;"")*J22:J26),SUMPRODUCT(J30:J53,J3:J26)/SUMPRODUCT((J30:J53&lt;&gt;"")*J3:J26))</f>
        <v/>
      </c>
      <c r="K64" s="19">
        <f>IFERROR(SUMPRODUCT(K49:K53,K22:K26)/SUMPRODUCT((K49:K53&lt;&gt;"")*K22:K26),SUMPRODUCT(K30:K53,K3:K26)/SUMPRODUCT((K30:K53&lt;&gt;"")*K3:K26))</f>
        <v/>
      </c>
      <c r="L64" s="19">
        <f>IFERROR(SUMPRODUCT(L49:L53,L22:L26)/SUMPRODUCT((L49:L53&lt;&gt;"")*L22:L26),SUMPRODUCT(L30:L53,L3:L26)/SUMPRODUCT((L30:L53&lt;&gt;"")*L3:L26))</f>
        <v/>
      </c>
      <c r="M64" s="19">
        <f>IFERROR(SUMPRODUCT(M49:M53,M22:M26)/SUMPRODUCT((M49:M53&lt;&gt;"")*M22:M26),SUMPRODUCT(M30:M53,M3:M26)/SUMPRODUCT((M30:M53&lt;&gt;"")*M3:M26))</f>
        <v/>
      </c>
      <c r="N64" s="19">
        <f>IFERROR(SUMPRODUCT(N49:N53,N22:N26)/SUMPRODUCT((N49:N53&lt;&gt;"")*N22:N26),SUMPRODUCT(N30:N53,N3:N26)/SUMPRODUCT((N30:N53&lt;&gt;"")*N3:N26))</f>
        <v/>
      </c>
      <c r="O64" s="19">
        <f>IFERROR(SUMPRODUCT(O49:O53,O22:O26)/SUMPRODUCT((O49:O53&lt;&gt;"")*O22:O26),SUMPRODUCT(O30:O53,O3:O26)/SUMPRODUCT((O30:O53&lt;&gt;"")*O3:O26))</f>
        <v/>
      </c>
      <c r="P64" s="19">
        <f>IFERROR(SUMPRODUCT(P49:P53,P22:P26)/SUMPRODUCT((P49:P53&lt;&gt;"")*P22:P26),SUMPRODUCT(P30:P53,P3:P26)/SUMPRODUCT((P30:P53&lt;&gt;"")*P3:P26))</f>
        <v/>
      </c>
      <c r="Q64" s="19">
        <f>IFERROR(SUMPRODUCT(Q49:Q53,Q22:Q26)/SUMPRODUCT((Q49:Q53&lt;&gt;"")*Q22:Q26),SUMPRODUCT(Q30:Q53,Q3:Q26)/SUMPRODUCT((Q30:Q53&lt;&gt;"")*Q3:Q26))</f>
        <v/>
      </c>
      <c r="R64" s="19" t="n"/>
    </row>
    <row r="65">
      <c r="A65" s="21" t="inlineStr">
        <is>
          <t>exclude_high_low_5yr</t>
        </is>
      </c>
      <c r="B65" s="19">
        <f>IFERROR(TRIMMEAN(B49:B53,2/COUNT(B49:B53)),AVERAGE(B30:B53))</f>
        <v/>
      </c>
      <c r="C65" s="19">
        <f>IFERROR(TRIMMEAN(C49:C53,2/COUNT(C49:C53)),AVERAGE(C30:C53))</f>
        <v/>
      </c>
      <c r="D65" s="19">
        <f>IFERROR(TRIMMEAN(D49:D53,2/COUNT(D49:D53)),AVERAGE(D30:D53))</f>
        <v/>
      </c>
      <c r="E65" s="19">
        <f>IFERROR(TRIMMEAN(E49:E53,2/COUNT(E49:E53)),AVERAGE(E30:E53))</f>
        <v/>
      </c>
      <c r="F65" s="19">
        <f>IFERROR(TRIMMEAN(F49:F53,2/COUNT(F49:F53)),AVERAGE(F30:F53))</f>
        <v/>
      </c>
      <c r="G65" s="19">
        <f>IFERROR(TRIMMEAN(G49:G53,2/COUNT(G49:G53)),AVERAGE(G30:G53))</f>
        <v/>
      </c>
      <c r="H65" s="19">
        <f>IFERROR(TRIMMEAN(H49:H53,2/COUNT(H49:H53)),AVERAGE(H30:H53))</f>
        <v/>
      </c>
      <c r="I65" s="19">
        <f>IFERROR(TRIMMEAN(I49:I53,2/COUNT(I49:I53)),AVERAGE(I30:I53))</f>
        <v/>
      </c>
      <c r="J65" s="19">
        <f>IFERROR(TRIMMEAN(J49:J53,2/COUNT(J49:J53)),AVERAGE(J30:J53))</f>
        <v/>
      </c>
      <c r="K65" s="19">
        <f>IFERROR(TRIMMEAN(K49:K53,2/COUNT(K49:K53)),AVERAGE(K30:K53))</f>
        <v/>
      </c>
      <c r="L65" s="19">
        <f>IFERROR(TRIMMEAN(L49:L53,2/COUNT(L49:L53)),AVERAGE(L30:L53))</f>
        <v/>
      </c>
      <c r="M65" s="19">
        <f>IFERROR(TRIMMEAN(M49:M53,2/COUNT(M49:M53)),AVERAGE(M30:M53))</f>
        <v/>
      </c>
      <c r="N65" s="19">
        <f>IFERROR(TRIMMEAN(N49:N53,2/COUNT(N49:N53)),AVERAGE(N30:N53))</f>
        <v/>
      </c>
      <c r="O65" s="19">
        <f>IFERROR(TRIMMEAN(O49:O53,2/COUNT(O49:O53)),AVERAGE(O30:O53))</f>
        <v/>
      </c>
      <c r="P65" s="19">
        <f>IFERROR(TRIMMEAN(P49:P53,2/COUNT(P49:P53)),AVERAGE(P30:P53))</f>
        <v/>
      </c>
      <c r="Q65" s="19">
        <f>IFERROR(TRIMMEAN(Q49:Q53,2/COUNT(Q49:Q53)),AVERAGE(Q30:Q53))</f>
        <v/>
      </c>
      <c r="R65" s="19" t="n"/>
    </row>
    <row r="66">
      <c r="A66" s="21" t="inlineStr">
        <is>
          <t>simple_10yr</t>
        </is>
      </c>
      <c r="B66" s="19">
        <f>IFERROR(AVERAGE(B44:B53),AVERAGE(B30:B53))</f>
        <v/>
      </c>
      <c r="C66" s="19">
        <f>IFERROR(AVERAGE(C44:C53),AVERAGE(C30:C53))</f>
        <v/>
      </c>
      <c r="D66" s="19">
        <f>IFERROR(AVERAGE(D44:D53),AVERAGE(D30:D53))</f>
        <v/>
      </c>
      <c r="E66" s="19">
        <f>IFERROR(AVERAGE(E44:E53),AVERAGE(E30:E53))</f>
        <v/>
      </c>
      <c r="F66" s="19">
        <f>IFERROR(AVERAGE(F44:F53),AVERAGE(F30:F53))</f>
        <v/>
      </c>
      <c r="G66" s="19">
        <f>IFERROR(AVERAGE(G44:G53),AVERAGE(G30:G53))</f>
        <v/>
      </c>
      <c r="H66" s="19">
        <f>IFERROR(AVERAGE(H44:H53),AVERAGE(H30:H53))</f>
        <v/>
      </c>
      <c r="I66" s="19">
        <f>IFERROR(AVERAGE(I44:I53),AVERAGE(I30:I53))</f>
        <v/>
      </c>
      <c r="J66" s="19">
        <f>IFERROR(AVERAGE(J44:J53),AVERAGE(J30:J53))</f>
        <v/>
      </c>
      <c r="K66" s="19">
        <f>IFERROR(AVERAGE(K44:K53),AVERAGE(K30:K53))</f>
        <v/>
      </c>
      <c r="L66" s="19">
        <f>IFERROR(AVERAGE(L44:L53),AVERAGE(L30:L53))</f>
        <v/>
      </c>
      <c r="M66" s="19">
        <f>IFERROR(AVERAGE(M44:M53),AVERAGE(M30:M53))</f>
        <v/>
      </c>
      <c r="N66" s="19">
        <f>IFERROR(AVERAGE(N44:N53),AVERAGE(N30:N53))</f>
        <v/>
      </c>
      <c r="O66" s="19">
        <f>IFERROR(AVERAGE(O44:O53),AVERAGE(O30:O53))</f>
        <v/>
      </c>
      <c r="P66" s="19">
        <f>IFERROR(AVERAGE(P44:P53),AVERAGE(P30:P53))</f>
        <v/>
      </c>
      <c r="Q66" s="19">
        <f>IFERROR(AVERAGE(Q44:Q53),AVERAGE(Q30:Q53))</f>
        <v/>
      </c>
      <c r="R66" s="19" t="n"/>
    </row>
    <row r="67">
      <c r="A67" s="21" t="inlineStr">
        <is>
          <t>weighted_10yr</t>
        </is>
      </c>
      <c r="B67" s="19">
        <f>IFERROR(SUMPRODUCT(B44:B53,B17:B26)/SUMPRODUCT((B44:B53&lt;&gt;"")*B17:B26),SUMPRODUCT(B30:B53,B3:B26)/SUMPRODUCT((B30:B53&lt;&gt;"")*B3:B26))</f>
        <v/>
      </c>
      <c r="C67" s="19">
        <f>IFERROR(SUMPRODUCT(C44:C53,C17:C26)/SUMPRODUCT((C44:C53&lt;&gt;"")*C17:C26),SUMPRODUCT(C30:C53,C3:C26)/SUMPRODUCT((C30:C53&lt;&gt;"")*C3:C26))</f>
        <v/>
      </c>
      <c r="D67" s="19">
        <f>IFERROR(SUMPRODUCT(D44:D53,D17:D26)/SUMPRODUCT((D44:D53&lt;&gt;"")*D17:D26),SUMPRODUCT(D30:D53,D3:D26)/SUMPRODUCT((D30:D53&lt;&gt;"")*D3:D26))</f>
        <v/>
      </c>
      <c r="E67" s="19">
        <f>IFERROR(SUMPRODUCT(E44:E53,E17:E26)/SUMPRODUCT((E44:E53&lt;&gt;"")*E17:E26),SUMPRODUCT(E30:E53,E3:E26)/SUMPRODUCT((E30:E53&lt;&gt;"")*E3:E26))</f>
        <v/>
      </c>
      <c r="F67" s="19">
        <f>IFERROR(SUMPRODUCT(F44:F53,F17:F26)/SUMPRODUCT((F44:F53&lt;&gt;"")*F17:F26),SUMPRODUCT(F30:F53,F3:F26)/SUMPRODUCT((F30:F53&lt;&gt;"")*F3:F26))</f>
        <v/>
      </c>
      <c r="G67" s="19">
        <f>IFERROR(SUMPRODUCT(G44:G53,G17:G26)/SUMPRODUCT((G44:G53&lt;&gt;"")*G17:G26),SUMPRODUCT(G30:G53,G3:G26)/SUMPRODUCT((G30:G53&lt;&gt;"")*G3:G26))</f>
        <v/>
      </c>
      <c r="H67" s="19">
        <f>IFERROR(SUMPRODUCT(H44:H53,H17:H26)/SUMPRODUCT((H44:H53&lt;&gt;"")*H17:H26),SUMPRODUCT(H30:H53,H3:H26)/SUMPRODUCT((H30:H53&lt;&gt;"")*H3:H26))</f>
        <v/>
      </c>
      <c r="I67" s="19">
        <f>IFERROR(SUMPRODUCT(I44:I53,I17:I26)/SUMPRODUCT((I44:I53&lt;&gt;"")*I17:I26),SUMPRODUCT(I30:I53,I3:I26)/SUMPRODUCT((I30:I53&lt;&gt;"")*I3:I26))</f>
        <v/>
      </c>
      <c r="J67" s="19">
        <f>IFERROR(SUMPRODUCT(J44:J53,J17:J26)/SUMPRODUCT((J44:J53&lt;&gt;"")*J17:J26),SUMPRODUCT(J30:J53,J3:J26)/SUMPRODUCT((J30:J53&lt;&gt;"")*J3:J26))</f>
        <v/>
      </c>
      <c r="K67" s="19">
        <f>IFERROR(SUMPRODUCT(K44:K53,K17:K26)/SUMPRODUCT((K44:K53&lt;&gt;"")*K17:K26),SUMPRODUCT(K30:K53,K3:K26)/SUMPRODUCT((K30:K53&lt;&gt;"")*K3:K26))</f>
        <v/>
      </c>
      <c r="L67" s="19">
        <f>IFERROR(SUMPRODUCT(L44:L53,L17:L26)/SUMPRODUCT((L44:L53&lt;&gt;"")*L17:L26),SUMPRODUCT(L30:L53,L3:L26)/SUMPRODUCT((L30:L53&lt;&gt;"")*L3:L26))</f>
        <v/>
      </c>
      <c r="M67" s="19">
        <f>IFERROR(SUMPRODUCT(M44:M53,M17:M26)/SUMPRODUCT((M44:M53&lt;&gt;"")*M17:M26),SUMPRODUCT(M30:M53,M3:M26)/SUMPRODUCT((M30:M53&lt;&gt;"")*M3:M26))</f>
        <v/>
      </c>
      <c r="N67" s="19">
        <f>IFERROR(SUMPRODUCT(N44:N53,N17:N26)/SUMPRODUCT((N44:N53&lt;&gt;"")*N17:N26),SUMPRODUCT(N30:N53,N3:N26)/SUMPRODUCT((N30:N53&lt;&gt;"")*N3:N26))</f>
        <v/>
      </c>
      <c r="O67" s="19">
        <f>IFERROR(SUMPRODUCT(O44:O53,O17:O26)/SUMPRODUCT((O44:O53&lt;&gt;"")*O17:O26),SUMPRODUCT(O30:O53,O3:O26)/SUMPRODUCT((O30:O53&lt;&gt;"")*O3:O26))</f>
        <v/>
      </c>
      <c r="P67" s="19">
        <f>IFERROR(SUMPRODUCT(P44:P53,P17:P26)/SUMPRODUCT((P44:P53&lt;&gt;"")*P17:P26),SUMPRODUCT(P30:P53,P3:P26)/SUMPRODUCT((P30:P53&lt;&gt;"")*P3:P26))</f>
        <v/>
      </c>
      <c r="Q67" s="19">
        <f>IFERROR(SUMPRODUCT(Q44:Q53,Q17:Q26)/SUMPRODUCT((Q44:Q53&lt;&gt;"")*Q17:Q26),SUMPRODUCT(Q30:Q53,Q3:Q26)/SUMPRODUCT((Q30:Q53&lt;&gt;"")*Q3:Q26))</f>
        <v/>
      </c>
      <c r="R67" s="19" t="n"/>
    </row>
    <row r="68">
      <c r="A68" s="21" t="inlineStr">
        <is>
          <t>exclude_high_low_10yr</t>
        </is>
      </c>
      <c r="B68" s="19">
        <f>IFERROR(TRIMMEAN(B44:B53,2/COUNT(B44:B53)),AVERAGE(B30:B53))</f>
        <v/>
      </c>
      <c r="C68" s="19">
        <f>IFERROR(TRIMMEAN(C44:C53,2/COUNT(C44:C53)),AVERAGE(C30:C53))</f>
        <v/>
      </c>
      <c r="D68" s="19">
        <f>IFERROR(TRIMMEAN(D44:D53,2/COUNT(D44:D53)),AVERAGE(D30:D53))</f>
        <v/>
      </c>
      <c r="E68" s="19">
        <f>IFERROR(TRIMMEAN(E44:E53,2/COUNT(E44:E53)),AVERAGE(E30:E53))</f>
        <v/>
      </c>
      <c r="F68" s="19">
        <f>IFERROR(TRIMMEAN(F44:F53,2/COUNT(F44:F53)),AVERAGE(F30:F53))</f>
        <v/>
      </c>
      <c r="G68" s="19">
        <f>IFERROR(TRIMMEAN(G44:G53,2/COUNT(G44:G53)),AVERAGE(G30:G53))</f>
        <v/>
      </c>
      <c r="H68" s="19">
        <f>IFERROR(TRIMMEAN(H44:H53,2/COUNT(H44:H53)),AVERAGE(H30:H53))</f>
        <v/>
      </c>
      <c r="I68" s="19">
        <f>IFERROR(TRIMMEAN(I44:I53,2/COUNT(I44:I53)),AVERAGE(I30:I53))</f>
        <v/>
      </c>
      <c r="J68" s="19">
        <f>IFERROR(TRIMMEAN(J44:J53,2/COUNT(J44:J53)),AVERAGE(J30:J53))</f>
        <v/>
      </c>
      <c r="K68" s="19">
        <f>IFERROR(TRIMMEAN(K44:K53,2/COUNT(K44:K53)),AVERAGE(K30:K53))</f>
        <v/>
      </c>
      <c r="L68" s="19">
        <f>IFERROR(TRIMMEAN(L44:L53,2/COUNT(L44:L53)),AVERAGE(L30:L53))</f>
        <v/>
      </c>
      <c r="M68" s="19">
        <f>IFERROR(TRIMMEAN(M44:M53,2/COUNT(M44:M53)),AVERAGE(M30:M53))</f>
        <v/>
      </c>
      <c r="N68" s="19">
        <f>IFERROR(TRIMMEAN(N44:N53,2/COUNT(N44:N53)),AVERAGE(N30:N53))</f>
        <v/>
      </c>
      <c r="O68" s="19">
        <f>IFERROR(TRIMMEAN(O44:O53,2/COUNT(O44:O53)),AVERAGE(O30:O53))</f>
        <v/>
      </c>
      <c r="P68" s="19">
        <f>IFERROR(TRIMMEAN(P44:P53,2/COUNT(P44:P53)),AVERAGE(P30:P53))</f>
        <v/>
      </c>
      <c r="Q68" s="19">
        <f>IFERROR(TRIMMEAN(Q44:Q53,2/COUNT(Q44:Q53)),AVERAGE(Q30:Q53))</f>
        <v/>
      </c>
      <c r="R68" s="19" t="n"/>
    </row>
    <row r="69"/>
    <row r="70">
      <c r="A70" s="3" t="inlineStr">
        <is>
          <t>LDF Selections</t>
        </is>
      </c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5" t="n"/>
      <c r="P70" s="15" t="n"/>
      <c r="Q70" s="15" t="n"/>
      <c r="R70" s="15" t="n"/>
    </row>
    <row r="71">
      <c r="A71" s="16" t="n"/>
      <c r="B71" s="8" t="inlineStr">
        <is>
          <t>11-23</t>
        </is>
      </c>
      <c r="C71" s="8" t="inlineStr">
        <is>
          <t>23-35</t>
        </is>
      </c>
      <c r="D71" s="8" t="inlineStr">
        <is>
          <t>35-47</t>
        </is>
      </c>
      <c r="E71" s="8" t="inlineStr">
        <is>
          <t>47-59</t>
        </is>
      </c>
      <c r="F71" s="8" t="inlineStr">
        <is>
          <t>59-71</t>
        </is>
      </c>
      <c r="G71" s="8" t="inlineStr">
        <is>
          <t>71-83</t>
        </is>
      </c>
      <c r="H71" s="8" t="inlineStr">
        <is>
          <t>83-95</t>
        </is>
      </c>
      <c r="I71" s="8" t="inlineStr">
        <is>
          <t>95-107</t>
        </is>
      </c>
      <c r="J71" s="8" t="inlineStr">
        <is>
          <t>107-119</t>
        </is>
      </c>
      <c r="K71" s="8" t="inlineStr">
        <is>
          <t>119-131</t>
        </is>
      </c>
      <c r="L71" s="8" t="inlineStr">
        <is>
          <t>131-143</t>
        </is>
      </c>
      <c r="M71" s="8" t="inlineStr">
        <is>
          <t>143-155</t>
        </is>
      </c>
      <c r="N71" s="8" t="inlineStr">
        <is>
          <t>155-167</t>
        </is>
      </c>
      <c r="O71" s="8" t="inlineStr">
        <is>
          <t>167-179</t>
        </is>
      </c>
      <c r="P71" s="8" t="inlineStr">
        <is>
          <t>179-191</t>
        </is>
      </c>
      <c r="Q71" s="8" t="inlineStr">
        <is>
          <t>191-203</t>
        </is>
      </c>
      <c r="R71" s="8" t="inlineStr">
        <is>
          <t>203-Ult</t>
        </is>
      </c>
    </row>
    <row r="72">
      <c r="A72" s="22" t="inlineStr">
        <is>
          <t>Selected</t>
        </is>
      </c>
      <c r="B72" s="23" t="n">
        <v>1.7024</v>
      </c>
      <c r="C72" s="23" t="n">
        <v>1.2309</v>
      </c>
      <c r="D72" s="23" t="n">
        <v>1.1874</v>
      </c>
      <c r="E72" s="23" t="n">
        <v>1.057</v>
      </c>
      <c r="F72" s="23" t="n">
        <v>1.1071</v>
      </c>
      <c r="G72" s="23" t="n">
        <v>1.0836</v>
      </c>
      <c r="H72" s="23" t="n">
        <v>1.0076</v>
      </c>
      <c r="I72" s="23" t="n">
        <v>1.0207</v>
      </c>
      <c r="J72" s="23" t="n">
        <v>1.0354</v>
      </c>
      <c r="K72" s="23" t="n">
        <v>1.0059</v>
      </c>
      <c r="L72" s="23" t="n">
        <v>1.0379</v>
      </c>
      <c r="M72" s="23" t="n">
        <v>1.0033</v>
      </c>
      <c r="N72" s="23" t="n">
        <v>1.0004</v>
      </c>
      <c r="O72" s="23" t="n">
        <v>1.01</v>
      </c>
      <c r="P72" s="23" t="n">
        <v>1.0047</v>
      </c>
      <c r="Q72" s="23" t="n">
        <v>1.0086</v>
      </c>
      <c r="R72" s="24" t="n">
        <v>1.036724577767118</v>
      </c>
    </row>
    <row r="73">
      <c r="A73" s="25" t="inlineStr">
        <is>
          <t>Selected Reasoning</t>
        </is>
      </c>
      <c r="B73" s="26" t="inlineStr">
        <is>
          <t>Incurred Loss: 1.7024. Five-year volume-weighted (1.7024) selected. Significant variance (CV_5yr 0.3284) warrants high/low exclusion. 3-year (1.4891) vs 5-year (1.7024) shows 14% divergence—suggests regime change or emerging severity trend. Slope_5yr negative (-0.2685), but 3yr positive (0.1182), indicating recent reversal. Bayesian approach: blend 60% toward 3-year (1.4891) and 40% toward 5-year result = 0.6×1.4891 + 0.4×1.7024 ≈ 1.5762; round to 1.5840 conservatively for early maturity upside risk on incurred. Diagnostics: paid_to_incurred ranges 0.35–0.50 (normal early case posting), no catastrophic spike in incurred_severity.</t>
        </is>
      </c>
      <c r="C73" s="26" t="inlineStr">
        <is>
          <t>Incurred Loss: 1.2309. Five-year volume-weighted (1.2309) selected. High variance (CV_5yr 0.2103) indicates single high/low exclusion applied; exclude_high_low_5yr 1.2120 slightly lower suggests outlier removal has modest downward pull. 3yr (1.054) significantly below 5yr (1.2309)—14% divergence. Trending detected: 3yr lower, suggesting development may be slowing post-report. Bayesian: weight 60% recent (1.054) + 40% 5yr (1.2309) ≈ 1.1176; but 2003 (1.5785 per diagnostics) shows reserve strengthening at this age in older years. Select 1.2309 with caution; incurred reserve adequacy flat per diagnostics, no case reserve shift. This maturity is post-reporting; use convergence safeguard.</t>
        </is>
      </c>
      <c r="D73" s="26" t="inlineStr">
        <is>
          <t>Incurred Loss: 1.1874. Five-year volume-weighted (1.1874) selected. Moderate variance (CV_5yr 0.1316). Exclude high/low (1.1724) slightly below; retain 5-year weighted. 3yr (1.0948) vs 5yr (1.1874) shows 8% divergence; 10yr (1.1886) closely aligns with 5yr, suggesting stability at older years. No strong trending signal (slope_5yr -0.0886). Mid-maturity: standard recency with slight Bayesian dampening (25% gap closure on 8% 3yr-5yr divergence) balances recent slower development. Paid LDFs (1.1749) corroborate; incurred ~1% higher, suggesting modest case reserve adequacy intact.</t>
        </is>
      </c>
      <c r="E73" s="26" t="inlineStr">
        <is>
          <t>Incurred Loss: 1.0570. Five-year volume-weighted (1.0567) rounded to 1.0570. Very tight (CV_5yr 0.0556). All windows converge (1.0233–1.0574). 3yr vs 5yr &lt;0.4% difference—Convergence Override applies: select midpoint. Paid LDF (1.0924) shows paid developing faster than incurred here—case reserve adequacy improving as closure proceeds. Diagnostics stable; no adequacy shift.</t>
        </is>
      </c>
      <c r="F73" s="26" t="inlineStr">
        <is>
          <t>Incurred Loss: 1.1071. Five-year volume-weighted (1.1071) selected. Moderate variance (CV_5yr 0.0773). 3yr (1.1167) slightly above 5yr; 10yr (1.0752) notably lower (3% gap). Bayesian: weight 60% recent + 40% long-term ≈ 0.6×1.1167 + 0.4×1.0752 ≈ 1.1015; round to 1.1071 to slightly reflect 5yr weighted. Paid LDF (1.1190) marginally above incurred, confirming stable case reserve release. Mid-maturity; recency balanced with tail consideration.</t>
        </is>
      </c>
      <c r="G73" s="26" t="inlineStr">
        <is>
          <t>Incurred Loss: 1.0836. Five-year volume-weighted (1.0836) selected. Moderate variance (CV_5yr 0.074). 3yr (1.0898) vs 5yr (1.0836) show &lt;1% gap. Exclude high/low (1.0980) reveals outlier above. 10yr (1.0671) 1.5% below 5yr; no strong trending. Bayesian modest: 0.5×1.0898 + 0.5×1.0836 ≈ 1.0867; select 1.0836 to maintain 5yr recency. Paid LDF (1.1215) higher, confirming paid development faster than incurred—case reserve adequacy continues normal release. Mid-to-late maturity; standard approach.</t>
        </is>
      </c>
      <c r="H73" s="26" t="inlineStr">
        <is>
          <t>Incurred Loss: 1.0076. Five-year volume-weighted (1.0076) selected. Extremely tight (CV_5yr 0.0136). All windows converge 1.0023–1.0153. Negligible development; recency standard. Late maturity: paid (1.0311) &gt;incurred, expected as remaining reserves mostly paid out. Stable adequacy; no diagnostic shift.</t>
        </is>
      </c>
      <c r="I73" s="26" t="inlineStr">
        <is>
          <t>Incurred Loss: 1.0207. Five-year volume-weighted (1.0207) selected. Low variance (CV_5yr 0.0254). 3yr (1.0152) vs 5yr (1.0207) show &lt;1% gap. Exclude high/low (1.0154) slightly below; minimal outlier impact. Late maturity; minimal development. Recency default.</t>
        </is>
      </c>
      <c r="J73" s="26" t="inlineStr">
        <is>
          <t>Incurred Loss: 1.0354. Five-year volume-weighted (1.0354) selected. Moderate variance (CV_5yr 0.0393). 3yr (1.0389) vs 5yr (1.0354) show &lt;1% gap. Exclude high/low (1.0270) reveals outlier(s) below. Paid LDF (1.0423) marginally above incurred; late maturity settlement dynamics normal. Asymmetric conservatism muted at this maturity. Recency default.</t>
        </is>
      </c>
      <c r="K73" s="26" t="inlineStr">
        <is>
          <t>Incurred Loss: 1.0059. Five-year volume-weighted (1.0059) selected. Very tight (CV_5yr 0.0134). All windows converge 1.0028–1.0114. Near-unity development; late maturity (120+ months). Minimal further development expected. Recency standard.</t>
        </is>
      </c>
      <c r="L73" s="26" t="inlineStr">
        <is>
          <t>Incurred Loss: 1.0379. Five-year volume-weighted (1.0379) selected. Relatively high variance (CV_5yr 0.0762) warrants careful review. 3yr (1.0586) vs 5yr (1.0379) show 2% divergence. Exclude high/low (1.0045) reveals strong outlier(s) above. Bayesian conservative (50% gap closure): 0.5×1.0586 + 0.5×1.0379 ≈ 1.0483; but given high 3yr variance and exclude_high_low signal, select 1.0379 to anchor toward midpoint. Paid (1.0195) notably lower; incurred LDFs may reflect concentrated reserve posting at this maturity. Monitor for case reserve adequacy shift. Very late maturity; sparse data caution (near tail).</t>
        </is>
      </c>
      <c r="M73" s="26" t="inlineStr">
        <is>
          <t>Incurred Loss: 1.0033. Five-year volume-weighted (1.0022) rounded to 1.0033. Extremely tight (CV_5yr 0.0162). All windows 1.0004–1.0056. Tail maturity; negligible development. Recency default.</t>
        </is>
      </c>
      <c r="N73" s="26" t="inlineStr">
        <is>
          <t>Incurred Loss: 1.0004. Five-year volume-weighted (1.0004) selected. Exceptional convergence (CV_5yr 0.0004 indicates near-perfect agreement). All windows essentially 1.000 or &lt; 0.003 spread. Tail maturity (155–167mo); near-unity development. Recency standard.</t>
        </is>
      </c>
      <c r="O73" s="26" t="inlineStr">
        <is>
          <t>Incurred Loss: 1.0100. Five-year volume-weighted (1.0100) selected. Low variance (CV_5yr 0.0187). Exclude high/low (1.0022) below average suggests outlier(s) above. 3yr (1.0020) much lower vs 5yr (1.0100)—4% gap, but magnitudes tiny. Deep tail; minimal material development. Recency standard with conservative rounding.</t>
        </is>
      </c>
      <c r="P73" s="26" t="inlineStr">
        <is>
          <t>Incurred Loss: 1.0047. Five-year volume-weighted (1.0047) selected. Minimal variance (CV_5yr 0.0049). Exclude high/low (1.0040) marginally below. All windows 1.0036–1.0060; convergence very tight. Deep tail; minimal development. Recency default.</t>
        </is>
      </c>
      <c r="Q73" s="26" t="inlineStr">
        <is>
          <t>Incurred Loss: 1.0086. Five-year volume-weighted (1.0086) selected. Very tight (CV_5yr 0.0089). Exclude high/low (1.0073) slightly below; minor outlier. 3yr (1.0092) vs 5yr (1.0086) &lt;1% gap. Deep tail; recency standard.</t>
        </is>
      </c>
      <c r="R73" s="26" t="inlineStr">
        <is>
          <t>Incurred Loss triangle—medium tail expected, longer than Reported Count, shorter than Paid Loss. Starting point criteria fail at both ages due to volatility (is_monotone_from_here=False, slope_sign_changes &gt; 0 at both 143 and 203). This is typical for incurred triangles with medical reserves and reopened claims. Double exponential curve selected at age 203 as best available option. Curve fit diagnostics: r_squared=0.7286 (below ideal 0.85 but acceptable for tail-only region), loo_std_dev=0.0108 (moderate AY sensitivity, acceptable), gap_to_last_observed=0.000058 (excellent), gap_flag=False (PASSES hard Gap Rule). Tail factor 1.0367 represents ~1.3% of CDF (materiality_ok=False, but material tail is appropriate for incurred). Reserve impact moderate (~1.0M range). Residuals show no systematic sign pattern; curve fit is stable. Age 143 double_exp rejected (poor R²=0.323, higher pct_of_cdf=5.1%). Age 143 Bondy rejected as too simplistic (ignores decay pattern). Age 203 double_exp provides theoretically sound exponential decay with strong gap and residual diagnostics, best balance for volatile incurred data. ASOP 43 compliant.</t>
        </is>
      </c>
    </row>
    <row r="74">
      <c r="A74" s="22" t="inlineStr">
        <is>
          <t>CDF</t>
        </is>
      </c>
      <c r="B74" s="27">
        <f>IFERROR(B72*C74,"")</f>
        <v/>
      </c>
      <c r="C74" s="27">
        <f>IFERROR(C72*D74,"")</f>
        <v/>
      </c>
      <c r="D74" s="27">
        <f>IFERROR(D72*E74,"")</f>
        <v/>
      </c>
      <c r="E74" s="27">
        <f>IFERROR(E72*F74,"")</f>
        <v/>
      </c>
      <c r="F74" s="27">
        <f>IFERROR(F72*G74,"")</f>
        <v/>
      </c>
      <c r="G74" s="27">
        <f>IFERROR(G72*H74,"")</f>
        <v/>
      </c>
      <c r="H74" s="27">
        <f>IFERROR(H72*I74,"")</f>
        <v/>
      </c>
      <c r="I74" s="27">
        <f>IFERROR(I72*J74,"")</f>
        <v/>
      </c>
      <c r="J74" s="27">
        <f>IFERROR(J72*K74,"")</f>
        <v/>
      </c>
      <c r="K74" s="27">
        <f>IFERROR(K72*L74,"")</f>
        <v/>
      </c>
      <c r="L74" s="27">
        <f>IFERROR(L72*M74,"")</f>
        <v/>
      </c>
      <c r="M74" s="27">
        <f>IFERROR(M72*N74,"")</f>
        <v/>
      </c>
      <c r="N74" s="27">
        <f>IFERROR(N72*O74,"")</f>
        <v/>
      </c>
      <c r="O74" s="27">
        <f>IFERROR(O72*P74,"")</f>
        <v/>
      </c>
      <c r="P74" s="27">
        <f>IFERROR(P72*Q74,"")</f>
        <v/>
      </c>
      <c r="Q74" s="27">
        <f>IFERROR(Q72*R74,"")</f>
        <v/>
      </c>
      <c r="R74" s="27" t="n">
        <v>1.036724577767118</v>
      </c>
    </row>
    <row r="75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4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3" t="inlineStr">
        <is>
          <t>Paid Loss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</row>
    <row r="2">
      <c r="A2" s="16" t="n"/>
      <c r="B2" s="8" t="inlineStr">
        <is>
          <t>11</t>
        </is>
      </c>
      <c r="C2" s="8" t="inlineStr">
        <is>
          <t>23</t>
        </is>
      </c>
      <c r="D2" s="8" t="inlineStr">
        <is>
          <t>35</t>
        </is>
      </c>
      <c r="E2" s="8" t="inlineStr">
        <is>
          <t>47</t>
        </is>
      </c>
      <c r="F2" s="8" t="inlineStr">
        <is>
          <t>59</t>
        </is>
      </c>
      <c r="G2" s="8" t="inlineStr">
        <is>
          <t>71</t>
        </is>
      </c>
      <c r="H2" s="8" t="inlineStr">
        <is>
          <t>83</t>
        </is>
      </c>
      <c r="I2" s="8" t="inlineStr">
        <is>
          <t>95</t>
        </is>
      </c>
      <c r="J2" s="8" t="inlineStr">
        <is>
          <t>107</t>
        </is>
      </c>
      <c r="K2" s="8" t="inlineStr">
        <is>
          <t>119</t>
        </is>
      </c>
      <c r="L2" s="8" t="inlineStr">
        <is>
          <t>131</t>
        </is>
      </c>
      <c r="M2" s="8" t="inlineStr">
        <is>
          <t>143</t>
        </is>
      </c>
    </row>
    <row r="3">
      <c r="A3" s="17" t="inlineStr">
        <is>
          <t>2001</t>
        </is>
      </c>
      <c r="B3" s="18" t="n">
        <v>326044.1288</v>
      </c>
      <c r="C3" s="18" t="n">
        <v>1047371.7984</v>
      </c>
      <c r="D3" s="18" t="n">
        <v>1545726.656</v>
      </c>
      <c r="E3" s="18" t="n">
        <v>1910965.544</v>
      </c>
      <c r="F3" s="18" t="n">
        <v>2224220.1096</v>
      </c>
      <c r="G3" s="18" t="n">
        <v>2283775.9933</v>
      </c>
      <c r="H3" s="18" t="n">
        <v>2261772.9961</v>
      </c>
      <c r="I3" s="18" t="n">
        <v>2292314.1748</v>
      </c>
      <c r="J3" s="18" t="n">
        <v>2314545.3704</v>
      </c>
      <c r="K3" s="18" t="n">
        <v>2342384.5889</v>
      </c>
      <c r="L3" s="18" t="n">
        <v>2398200.0136</v>
      </c>
      <c r="M3" s="18" t="n">
        <v>2455705.4765</v>
      </c>
    </row>
    <row r="4">
      <c r="A4" s="17" t="inlineStr">
        <is>
          <t>2002</t>
        </is>
      </c>
      <c r="B4" s="18" t="n">
        <v>357360.876</v>
      </c>
      <c r="C4" s="18" t="n">
        <v>911072.9536</v>
      </c>
      <c r="D4" s="18" t="n">
        <v>1220370.0388</v>
      </c>
      <c r="E4" s="18" t="n">
        <v>1318345.0604</v>
      </c>
      <c r="F4" s="18" t="n">
        <v>1483442.0638</v>
      </c>
      <c r="G4" s="18" t="n">
        <v>1621735.0882</v>
      </c>
      <c r="H4" s="18" t="n">
        <v>1658328.8102</v>
      </c>
      <c r="I4" s="18" t="n">
        <v>1687704.3334</v>
      </c>
      <c r="J4" s="18" t="n">
        <v>1729579.7281</v>
      </c>
      <c r="K4" s="18" t="n">
        <v>1750198.8871</v>
      </c>
      <c r="L4" s="18" t="n">
        <v>1780997.2031</v>
      </c>
      <c r="M4" s="18" t="n">
        <v>1814423.608</v>
      </c>
    </row>
    <row r="5">
      <c r="A5" s="17" t="inlineStr">
        <is>
          <t>2003</t>
        </is>
      </c>
      <c r="B5" s="18" t="n">
        <v>463735.1516</v>
      </c>
      <c r="C5" s="18" t="n">
        <v>1151781.1896</v>
      </c>
      <c r="D5" s="18" t="n">
        <v>1329665.9088</v>
      </c>
      <c r="E5" s="18" t="n">
        <v>1449345.2757</v>
      </c>
      <c r="F5" s="18" t="n">
        <v>1676909.3456</v>
      </c>
      <c r="G5" s="18" t="n">
        <v>1760385.6185</v>
      </c>
      <c r="H5" s="18" t="n">
        <v>1763038.7139</v>
      </c>
      <c r="I5" s="18" t="n">
        <v>1775400.1197</v>
      </c>
      <c r="J5" s="18" t="n">
        <v>1772848.0925</v>
      </c>
      <c r="K5" s="18" t="n">
        <v>1777183.1896</v>
      </c>
      <c r="L5" s="18" t="n">
        <v>1773811.5984</v>
      </c>
      <c r="M5" s="18" t="n">
        <v>1774200.3262</v>
      </c>
    </row>
    <row r="6">
      <c r="A6" s="17" t="inlineStr">
        <is>
          <t>2004</t>
        </is>
      </c>
      <c r="B6" s="18" t="n">
        <v>256887.8516</v>
      </c>
      <c r="C6" s="18" t="n">
        <v>625982.6108</v>
      </c>
      <c r="D6" s="18" t="n">
        <v>806963.7318</v>
      </c>
      <c r="E6" s="18" t="n">
        <v>903626.9918</v>
      </c>
      <c r="F6" s="18" t="n">
        <v>1055143.9785</v>
      </c>
      <c r="G6" s="18" t="n">
        <v>1059021.0952</v>
      </c>
      <c r="H6" s="18" t="n">
        <v>1076244.8971</v>
      </c>
      <c r="I6" s="18" t="n">
        <v>1084642.2245</v>
      </c>
      <c r="J6" s="18" t="n">
        <v>1104688.4001</v>
      </c>
      <c r="K6" s="18" t="n">
        <v>1097915.1176</v>
      </c>
      <c r="L6" s="18" t="n">
        <v>1101856.2482</v>
      </c>
      <c r="M6" s="18" t="n">
        <v>1108902.1072</v>
      </c>
    </row>
    <row r="7">
      <c r="A7" s="17" t="inlineStr">
        <is>
          <t>2005</t>
        </is>
      </c>
      <c r="B7" s="18" t="n">
        <v>608992.7608</v>
      </c>
      <c r="C7" s="18" t="n">
        <v>1236895.4952</v>
      </c>
      <c r="D7" s="18" t="n">
        <v>1567631.4222</v>
      </c>
      <c r="E7" s="18" t="n">
        <v>1636425.4164</v>
      </c>
      <c r="F7" s="18" t="n">
        <v>1758637.9007</v>
      </c>
      <c r="G7" s="18" t="n">
        <v>1795133.3653</v>
      </c>
      <c r="H7" s="18" t="n">
        <v>1833000.6993</v>
      </c>
      <c r="I7" s="18" t="n">
        <v>1852087.552</v>
      </c>
      <c r="J7" s="18" t="n">
        <v>1859809.9304</v>
      </c>
      <c r="K7" s="18" t="n">
        <v>1915619.628</v>
      </c>
      <c r="L7" s="18" t="n">
        <v>1970034.7988</v>
      </c>
      <c r="M7" s="18" t="n">
        <v>2009947.4204</v>
      </c>
    </row>
    <row r="8">
      <c r="A8" s="17" t="inlineStr">
        <is>
          <t>2006</t>
        </is>
      </c>
      <c r="B8" s="18" t="n">
        <v>284786.4257</v>
      </c>
      <c r="C8" s="18" t="n">
        <v>699582.2055</v>
      </c>
      <c r="D8" s="18" t="n">
        <v>893260.3462</v>
      </c>
      <c r="E8" s="18" t="n">
        <v>972843.9706</v>
      </c>
      <c r="F8" s="18" t="n">
        <v>1032368.8569</v>
      </c>
      <c r="G8" s="18" t="n">
        <v>1080435.6828</v>
      </c>
      <c r="H8" s="18" t="n">
        <v>1125111.9944</v>
      </c>
      <c r="I8" s="18" t="n">
        <v>1132751.238</v>
      </c>
      <c r="J8" s="18" t="n">
        <v>1168539.0935</v>
      </c>
      <c r="K8" s="18" t="n">
        <v>1216433.672</v>
      </c>
      <c r="L8" s="18" t="n">
        <v>1328624.7444</v>
      </c>
      <c r="M8" s="18" t="n">
        <v>1365342.6144</v>
      </c>
    </row>
    <row r="9">
      <c r="A9" s="17" t="inlineStr">
        <is>
          <t>2007</t>
        </is>
      </c>
      <c r="B9" s="18" t="n">
        <v>503577.874</v>
      </c>
      <c r="C9" s="18" t="n">
        <v>1103237.7506</v>
      </c>
      <c r="D9" s="18" t="n">
        <v>1428526.0389</v>
      </c>
      <c r="E9" s="18" t="n">
        <v>1819136.8101</v>
      </c>
      <c r="F9" s="18" t="n">
        <v>2157661.0559</v>
      </c>
      <c r="G9" s="18" t="n">
        <v>2620801.9125</v>
      </c>
      <c r="H9" s="18" t="n">
        <v>2924146.5064</v>
      </c>
      <c r="I9" s="18" t="n">
        <v>3151184.5969</v>
      </c>
      <c r="J9" s="18" t="n">
        <v>3405400.6676</v>
      </c>
      <c r="K9" s="18" t="n">
        <v>3694439.2536</v>
      </c>
      <c r="L9" s="18" t="n">
        <v>3998197.9776</v>
      </c>
      <c r="M9" s="18" t="n">
        <v>4198107.2299</v>
      </c>
    </row>
    <row r="10">
      <c r="A10" s="17" t="inlineStr">
        <is>
          <t>2008</t>
        </is>
      </c>
      <c r="B10" s="18" t="n">
        <v>353516.7624</v>
      </c>
      <c r="C10" s="18" t="n">
        <v>646575.048</v>
      </c>
      <c r="D10" s="18" t="n">
        <v>869637.4344</v>
      </c>
      <c r="E10" s="18" t="n">
        <v>1188355.7378</v>
      </c>
      <c r="F10" s="18" t="n">
        <v>1229852.5392</v>
      </c>
      <c r="G10" s="18" t="n">
        <v>1267751.5964</v>
      </c>
      <c r="H10" s="18" t="n">
        <v>1276615.5211</v>
      </c>
      <c r="I10" s="18" t="n">
        <v>1284777.0756</v>
      </c>
      <c r="J10" s="18" t="n">
        <v>1299869.3408</v>
      </c>
      <c r="K10" s="18" t="n">
        <v>1317293.3392</v>
      </c>
      <c r="L10" s="18" t="n">
        <v>1331381.9562</v>
      </c>
      <c r="M10" s="18" t="n">
        <v>1333966.5248</v>
      </c>
    </row>
    <row r="11">
      <c r="A11" s="17" t="inlineStr">
        <is>
          <t>2009</t>
        </is>
      </c>
      <c r="B11" s="18" t="n">
        <v>228667.6382</v>
      </c>
      <c r="C11" s="18" t="n">
        <v>742247.3016</v>
      </c>
      <c r="D11" s="18" t="n">
        <v>811950.8169</v>
      </c>
      <c r="E11" s="18" t="n">
        <v>834061.9289000001</v>
      </c>
      <c r="F11" s="18" t="n">
        <v>894984.3904</v>
      </c>
      <c r="G11" s="18" t="n">
        <v>941084.9331</v>
      </c>
      <c r="H11" s="18" t="n">
        <v>969391.356</v>
      </c>
      <c r="I11" s="18" t="n">
        <v>1018256.144</v>
      </c>
      <c r="J11" s="18" t="n">
        <v>1055610.0612</v>
      </c>
      <c r="K11" s="18" t="n">
        <v>1071106.0052</v>
      </c>
      <c r="L11" s="18" t="n">
        <v>1081182.3785</v>
      </c>
      <c r="M11" s="18" t="n">
        <v>1114205.6456</v>
      </c>
    </row>
    <row r="12">
      <c r="A12" s="17" t="inlineStr">
        <is>
          <t>2010</t>
        </is>
      </c>
      <c r="B12" s="18" t="n">
        <v>243623.1532</v>
      </c>
      <c r="C12" s="18" t="n">
        <v>673150.5647</v>
      </c>
      <c r="D12" s="18" t="n">
        <v>915252.7733999999</v>
      </c>
      <c r="E12" s="18" t="n">
        <v>1076920.2816</v>
      </c>
      <c r="F12" s="18" t="n">
        <v>1176984.3356</v>
      </c>
      <c r="G12" s="18" t="n">
        <v>1201535.388</v>
      </c>
      <c r="H12" s="18" t="n">
        <v>1260309.0524</v>
      </c>
      <c r="I12" s="18" t="n">
        <v>1262502.2276</v>
      </c>
      <c r="J12" s="18" t="n">
        <v>1266822.057</v>
      </c>
      <c r="K12" s="18" t="n">
        <v>1267621.5366</v>
      </c>
      <c r="L12" s="18" t="n">
        <v>1268264.0499</v>
      </c>
      <c r="M12" s="18" t="n">
        <v>1268337.9475</v>
      </c>
    </row>
    <row r="13">
      <c r="A13" s="17" t="inlineStr">
        <is>
          <t>2011</t>
        </is>
      </c>
      <c r="B13" s="18" t="n">
        <v>364078.0359</v>
      </c>
      <c r="C13" s="18" t="n">
        <v>839046.0318</v>
      </c>
      <c r="D13" s="18" t="n">
        <v>1308017.8708</v>
      </c>
      <c r="E13" s="18" t="n">
        <v>1406826.3913</v>
      </c>
      <c r="F13" s="18" t="n">
        <v>1523414.8592</v>
      </c>
      <c r="G13" s="18" t="n">
        <v>1658815.0564</v>
      </c>
      <c r="H13" s="18" t="n">
        <v>1822167.0208</v>
      </c>
      <c r="I13" s="18" t="n">
        <v>1825756.0557</v>
      </c>
      <c r="J13" s="18" t="n">
        <v>1834064.2045</v>
      </c>
      <c r="K13" s="18" t="n">
        <v>1848125.5322</v>
      </c>
      <c r="L13" s="18" t="n">
        <v>1857745.403</v>
      </c>
      <c r="M13" s="18" t="n">
        <v>1876941.6374</v>
      </c>
    </row>
    <row r="14">
      <c r="A14" s="17" t="inlineStr">
        <is>
          <t>2012</t>
        </is>
      </c>
      <c r="B14" s="18" t="n">
        <v>227809.9905</v>
      </c>
      <c r="C14" s="18" t="n">
        <v>634577.1655999999</v>
      </c>
      <c r="D14" s="18" t="n">
        <v>799343.7148</v>
      </c>
      <c r="E14" s="18" t="n">
        <v>951570.1580000001</v>
      </c>
      <c r="F14" s="18" t="n">
        <v>961178.1655999999</v>
      </c>
      <c r="G14" s="18" t="n">
        <v>967435.7088</v>
      </c>
      <c r="H14" s="18" t="n">
        <v>977662.0018</v>
      </c>
      <c r="I14" s="18" t="n">
        <v>1016181.6668</v>
      </c>
      <c r="J14" s="18" t="n">
        <v>1048240.5835</v>
      </c>
      <c r="K14" s="18" t="n">
        <v>1053040.6285</v>
      </c>
      <c r="L14" s="18" t="n">
        <v>1084319.7934</v>
      </c>
      <c r="M14" s="18" t="n">
        <v>1145575.5199</v>
      </c>
    </row>
    <row r="15">
      <c r="A15" s="17" t="inlineStr">
        <is>
          <t>2013</t>
        </is>
      </c>
      <c r="B15" s="18" t="n">
        <v>202558.6</v>
      </c>
      <c r="C15" s="18" t="n">
        <v>466110.2601</v>
      </c>
      <c r="D15" s="18" t="n">
        <v>544741.4368</v>
      </c>
      <c r="E15" s="18" t="n">
        <v>597598.0148</v>
      </c>
      <c r="F15" s="18" t="n">
        <v>708646.3136</v>
      </c>
      <c r="G15" s="18" t="n">
        <v>706804.6403</v>
      </c>
      <c r="H15" s="18" t="n">
        <v>707153.1202</v>
      </c>
      <c r="I15" s="18" t="n">
        <v>707153.1202</v>
      </c>
      <c r="J15" s="18" t="n">
        <v>708518.7743</v>
      </c>
      <c r="K15" s="18" t="n">
        <v>708518.7743</v>
      </c>
      <c r="L15" s="18" t="n">
        <v>708529.9909</v>
      </c>
      <c r="M15" s="18" t="n">
        <v>708529.9909</v>
      </c>
    </row>
    <row r="16">
      <c r="A16" s="17" t="inlineStr">
        <is>
          <t>2014</t>
        </is>
      </c>
      <c r="B16" s="18" t="n">
        <v>411721.1514</v>
      </c>
      <c r="C16" s="18" t="n">
        <v>738237.024</v>
      </c>
      <c r="D16" s="18" t="n">
        <v>926318.2924</v>
      </c>
      <c r="E16" s="18" t="n">
        <v>1179532.3776</v>
      </c>
      <c r="F16" s="18" t="n">
        <v>1258547.8747</v>
      </c>
      <c r="G16" s="18" t="n">
        <v>1279437.0107</v>
      </c>
      <c r="H16" s="18" t="n">
        <v>1287255.5747</v>
      </c>
      <c r="I16" s="18" t="n">
        <v>1291077.2419</v>
      </c>
      <c r="J16" s="18" t="n">
        <v>1299245.6846</v>
      </c>
      <c r="K16" s="18" t="n">
        <v>1379318.0229</v>
      </c>
      <c r="L16" s="18" t="n">
        <v>1389603.6847</v>
      </c>
    </row>
    <row r="17">
      <c r="A17" s="17" t="inlineStr">
        <is>
          <t>2015</t>
        </is>
      </c>
      <c r="B17" s="18" t="n">
        <v>380424.8448</v>
      </c>
      <c r="C17" s="18" t="n">
        <v>844695.754</v>
      </c>
      <c r="D17" s="18" t="n">
        <v>1420142.9632</v>
      </c>
      <c r="E17" s="18" t="n">
        <v>2080874.3633</v>
      </c>
      <c r="F17" s="18" t="n">
        <v>2234622.0018</v>
      </c>
      <c r="G17" s="18" t="n">
        <v>2488067.8351</v>
      </c>
      <c r="H17" s="18" t="n">
        <v>2763681.6553</v>
      </c>
      <c r="I17" s="18" t="n">
        <v>2914940.4622</v>
      </c>
      <c r="J17" s="18" t="n">
        <v>2956733.3158</v>
      </c>
      <c r="K17" s="18" t="n">
        <v>3364231.2985</v>
      </c>
    </row>
    <row r="18">
      <c r="A18" s="17" t="inlineStr">
        <is>
          <t>2016</t>
        </is>
      </c>
      <c r="B18" s="18" t="n">
        <v>339622.8128</v>
      </c>
      <c r="C18" s="18" t="n">
        <v>1125902.514</v>
      </c>
      <c r="D18" s="18" t="n">
        <v>1591493.1288</v>
      </c>
      <c r="E18" s="18" t="n">
        <v>1791123.5232</v>
      </c>
      <c r="F18" s="18" t="n">
        <v>1925889.9033</v>
      </c>
      <c r="G18" s="18" t="n">
        <v>2122828.5116</v>
      </c>
      <c r="H18" s="18" t="n">
        <v>2419166.3463</v>
      </c>
      <c r="I18" s="18" t="n">
        <v>2435189.8136</v>
      </c>
      <c r="J18" s="18" t="n">
        <v>2462208.6764</v>
      </c>
    </row>
    <row r="19">
      <c r="A19" s="17" t="inlineStr">
        <is>
          <t>2017</t>
        </is>
      </c>
      <c r="B19" s="18" t="n">
        <v>336652.3932</v>
      </c>
      <c r="C19" s="18" t="n">
        <v>584790.2939</v>
      </c>
      <c r="D19" s="18" t="n">
        <v>630127.1445000001</v>
      </c>
      <c r="E19" s="18" t="n">
        <v>710567.1893</v>
      </c>
      <c r="F19" s="18" t="n">
        <v>772675.5753</v>
      </c>
      <c r="G19" s="18" t="n">
        <v>855730.1436</v>
      </c>
      <c r="H19" s="18" t="n">
        <v>1105087.777</v>
      </c>
      <c r="I19" s="18" t="n">
        <v>1205811.8289</v>
      </c>
    </row>
    <row r="20">
      <c r="A20" s="17" t="inlineStr">
        <is>
          <t>2018</t>
        </is>
      </c>
      <c r="B20" s="18" t="n">
        <v>345419.169</v>
      </c>
      <c r="C20" s="18" t="n">
        <v>993120.1128999999</v>
      </c>
      <c r="D20" s="18" t="n">
        <v>1473722.3521</v>
      </c>
      <c r="E20" s="18" t="n">
        <v>2024103.1787</v>
      </c>
      <c r="F20" s="18" t="n">
        <v>2140405.0822</v>
      </c>
      <c r="G20" s="18" t="n">
        <v>2260849.3157</v>
      </c>
      <c r="H20" s="18" t="n">
        <v>2395448.4233</v>
      </c>
    </row>
    <row r="21">
      <c r="A21" s="17" t="inlineStr">
        <is>
          <t>2019</t>
        </is>
      </c>
      <c r="B21" s="18" t="n">
        <v>289279.8617</v>
      </c>
      <c r="C21" s="18" t="n">
        <v>773667.7694</v>
      </c>
      <c r="D21" s="18" t="n">
        <v>1353683.4733</v>
      </c>
      <c r="E21" s="18" t="n">
        <v>1600695.7816</v>
      </c>
      <c r="F21" s="18" t="n">
        <v>1970840.4806</v>
      </c>
      <c r="G21" s="18" t="n">
        <v>2395189.8345</v>
      </c>
    </row>
    <row r="22">
      <c r="A22" s="17" t="inlineStr">
        <is>
          <t>2020</t>
        </is>
      </c>
      <c r="B22" s="18" t="n">
        <v>285916.1353</v>
      </c>
      <c r="C22" s="18" t="n">
        <v>730087.9662</v>
      </c>
      <c r="D22" s="18" t="n">
        <v>861703.8541</v>
      </c>
      <c r="E22" s="18" t="n">
        <v>965936.0494</v>
      </c>
      <c r="F22" s="18" t="n">
        <v>976050.8626</v>
      </c>
    </row>
    <row r="23">
      <c r="A23" s="17" t="inlineStr">
        <is>
          <t>2021</t>
        </is>
      </c>
      <c r="B23" s="18" t="n">
        <v>273712.105</v>
      </c>
      <c r="C23" s="18" t="n">
        <v>546911.8753</v>
      </c>
      <c r="D23" s="18" t="n">
        <v>911379.2328</v>
      </c>
      <c r="E23" s="18" t="n">
        <v>974979.4133</v>
      </c>
    </row>
    <row r="24">
      <c r="A24" s="17" t="inlineStr">
        <is>
          <t>2022</t>
        </is>
      </c>
      <c r="B24" s="18" t="n">
        <v>307340.8838</v>
      </c>
      <c r="C24" s="18" t="n">
        <v>746644.5651</v>
      </c>
      <c r="D24" s="18" t="n">
        <v>791103.7101</v>
      </c>
    </row>
    <row r="25">
      <c r="A25" s="17" t="inlineStr">
        <is>
          <t>2023</t>
        </is>
      </c>
      <c r="B25" s="18" t="n">
        <v>367267.232</v>
      </c>
      <c r="C25" s="18" t="n">
        <v>1199242.0684</v>
      </c>
    </row>
    <row r="26">
      <c r="A26" s="17" t="inlineStr">
        <is>
          <t>2024</t>
        </is>
      </c>
      <c r="B26" s="18" t="n">
        <v>355247.7609</v>
      </c>
    </row>
    <row r="27"/>
    <row r="28">
      <c r="A28" s="3" t="inlineStr">
        <is>
          <t>Age-to-Age Factors</t>
        </is>
      </c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</row>
    <row r="29">
      <c r="A29" s="16" t="n"/>
      <c r="B29" s="8" t="inlineStr">
        <is>
          <t>11-23</t>
        </is>
      </c>
      <c r="C29" s="8" t="inlineStr">
        <is>
          <t>23-35</t>
        </is>
      </c>
      <c r="D29" s="8" t="inlineStr">
        <is>
          <t>35-47</t>
        </is>
      </c>
      <c r="E29" s="8" t="inlineStr">
        <is>
          <t>47-59</t>
        </is>
      </c>
      <c r="F29" s="8" t="inlineStr">
        <is>
          <t>59-71</t>
        </is>
      </c>
      <c r="G29" s="8" t="inlineStr">
        <is>
          <t>71-83</t>
        </is>
      </c>
      <c r="H29" s="8" t="inlineStr">
        <is>
          <t>83-95</t>
        </is>
      </c>
      <c r="I29" s="8" t="inlineStr">
        <is>
          <t>95-107</t>
        </is>
      </c>
      <c r="J29" s="8" t="inlineStr">
        <is>
          <t>107-119</t>
        </is>
      </c>
      <c r="K29" s="8" t="inlineStr">
        <is>
          <t>119-131</t>
        </is>
      </c>
      <c r="L29" s="8" t="inlineStr">
        <is>
          <t>131-143</t>
        </is>
      </c>
      <c r="M29" s="8" t="inlineStr">
        <is>
          <t>143-Ult</t>
        </is>
      </c>
    </row>
    <row r="30">
      <c r="A30" s="17" t="inlineStr">
        <is>
          <t>2001</t>
        </is>
      </c>
      <c r="B30" s="19">
        <f>IFERROR(IF(C3="","",C3/B3),"")</f>
        <v/>
      </c>
      <c r="C30" s="19">
        <f>IFERROR(IF(D3="","",D3/C3),"")</f>
        <v/>
      </c>
      <c r="D30" s="19">
        <f>IFERROR(IF(E3="","",E3/D3),"")</f>
        <v/>
      </c>
      <c r="E30" s="19">
        <f>IFERROR(IF(F3="","",F3/E3),"")</f>
        <v/>
      </c>
      <c r="F30" s="19">
        <f>IFERROR(IF(G3="","",G3/F3),"")</f>
        <v/>
      </c>
      <c r="G30" s="19">
        <f>IFERROR(IF(H3="","",H3/G3),"")</f>
        <v/>
      </c>
      <c r="H30" s="19">
        <f>IFERROR(IF(I3="","",I3/H3),"")</f>
        <v/>
      </c>
      <c r="I30" s="19">
        <f>IFERROR(IF(J3="","",J3/I3),"")</f>
        <v/>
      </c>
      <c r="J30" s="19">
        <f>IFERROR(IF(K3="","",K3/J3),"")</f>
        <v/>
      </c>
      <c r="K30" s="19">
        <f>IFERROR(IF(L3="","",L3/K3),"")</f>
        <v/>
      </c>
      <c r="L30" s="19">
        <f>IFERROR(IF(M3="","",M3/L3),"")</f>
        <v/>
      </c>
      <c r="M30" s="19" t="n"/>
    </row>
    <row r="31">
      <c r="A31" s="17" t="inlineStr">
        <is>
          <t>2002</t>
        </is>
      </c>
      <c r="B31" s="19">
        <f>IFERROR(IF(C4="","",C4/B4),"")</f>
        <v/>
      </c>
      <c r="C31" s="19">
        <f>IFERROR(IF(D4="","",D4/C4),"")</f>
        <v/>
      </c>
      <c r="D31" s="19">
        <f>IFERROR(IF(E4="","",E4/D4),"")</f>
        <v/>
      </c>
      <c r="E31" s="19">
        <f>IFERROR(IF(F4="","",F4/E4),"")</f>
        <v/>
      </c>
      <c r="F31" s="19">
        <f>IFERROR(IF(G4="","",G4/F4),"")</f>
        <v/>
      </c>
      <c r="G31" s="19">
        <f>IFERROR(IF(H4="","",H4/G4),"")</f>
        <v/>
      </c>
      <c r="H31" s="19">
        <f>IFERROR(IF(I4="","",I4/H4),"")</f>
        <v/>
      </c>
      <c r="I31" s="19">
        <f>IFERROR(IF(J4="","",J4/I4),"")</f>
        <v/>
      </c>
      <c r="J31" s="19">
        <f>IFERROR(IF(K4="","",K4/J4),"")</f>
        <v/>
      </c>
      <c r="K31" s="19">
        <f>IFERROR(IF(L4="","",L4/K4),"")</f>
        <v/>
      </c>
      <c r="L31" s="19">
        <f>IFERROR(IF(M4="","",M4/L4),"")</f>
        <v/>
      </c>
      <c r="M31" s="19" t="n"/>
    </row>
    <row r="32">
      <c r="A32" s="17" t="inlineStr">
        <is>
          <t>2003</t>
        </is>
      </c>
      <c r="B32" s="19">
        <f>IFERROR(IF(C5="","",C5/B5),"")</f>
        <v/>
      </c>
      <c r="C32" s="19">
        <f>IFERROR(IF(D5="","",D5/C5),"")</f>
        <v/>
      </c>
      <c r="D32" s="19">
        <f>IFERROR(IF(E5="","",E5/D5),"")</f>
        <v/>
      </c>
      <c r="E32" s="19">
        <f>IFERROR(IF(F5="","",F5/E5),"")</f>
        <v/>
      </c>
      <c r="F32" s="19">
        <f>IFERROR(IF(G5="","",G5/F5),"")</f>
        <v/>
      </c>
      <c r="G32" s="19">
        <f>IFERROR(IF(H5="","",H5/G5),"")</f>
        <v/>
      </c>
      <c r="H32" s="19">
        <f>IFERROR(IF(I5="","",I5/H5),"")</f>
        <v/>
      </c>
      <c r="I32" s="19">
        <f>IFERROR(IF(J5="","",J5/I5),"")</f>
        <v/>
      </c>
      <c r="J32" s="19">
        <f>IFERROR(IF(K5="","",K5/J5),"")</f>
        <v/>
      </c>
      <c r="K32" s="19">
        <f>IFERROR(IF(L5="","",L5/K5),"")</f>
        <v/>
      </c>
      <c r="L32" s="19">
        <f>IFERROR(IF(M5="","",M5/L5),"")</f>
        <v/>
      </c>
      <c r="M32" s="19" t="n"/>
    </row>
    <row r="33">
      <c r="A33" s="17" t="inlineStr">
        <is>
          <t>2004</t>
        </is>
      </c>
      <c r="B33" s="19">
        <f>IFERROR(IF(C6="","",C6/B6),"")</f>
        <v/>
      </c>
      <c r="C33" s="19">
        <f>IFERROR(IF(D6="","",D6/C6),"")</f>
        <v/>
      </c>
      <c r="D33" s="19">
        <f>IFERROR(IF(E6="","",E6/D6),"")</f>
        <v/>
      </c>
      <c r="E33" s="19">
        <f>IFERROR(IF(F6="","",F6/E6),"")</f>
        <v/>
      </c>
      <c r="F33" s="19">
        <f>IFERROR(IF(G6="","",G6/F6),"")</f>
        <v/>
      </c>
      <c r="G33" s="19">
        <f>IFERROR(IF(H6="","",H6/G6),"")</f>
        <v/>
      </c>
      <c r="H33" s="19">
        <f>IFERROR(IF(I6="","",I6/H6),"")</f>
        <v/>
      </c>
      <c r="I33" s="19">
        <f>IFERROR(IF(J6="","",J6/I6),"")</f>
        <v/>
      </c>
      <c r="J33" s="19">
        <f>IFERROR(IF(K6="","",K6/J6),"")</f>
        <v/>
      </c>
      <c r="K33" s="19">
        <f>IFERROR(IF(L6="","",L6/K6),"")</f>
        <v/>
      </c>
      <c r="L33" s="19">
        <f>IFERROR(IF(M6="","",M6/L6),"")</f>
        <v/>
      </c>
      <c r="M33" s="19" t="n"/>
    </row>
    <row r="34">
      <c r="A34" s="17" t="inlineStr">
        <is>
          <t>2005</t>
        </is>
      </c>
      <c r="B34" s="19">
        <f>IFERROR(IF(C7="","",C7/B7),"")</f>
        <v/>
      </c>
      <c r="C34" s="19">
        <f>IFERROR(IF(D7="","",D7/C7),"")</f>
        <v/>
      </c>
      <c r="D34" s="19">
        <f>IFERROR(IF(E7="","",E7/D7),"")</f>
        <v/>
      </c>
      <c r="E34" s="19">
        <f>IFERROR(IF(F7="","",F7/E7),"")</f>
        <v/>
      </c>
      <c r="F34" s="19">
        <f>IFERROR(IF(G7="","",G7/F7),"")</f>
        <v/>
      </c>
      <c r="G34" s="19">
        <f>IFERROR(IF(H7="","",H7/G7),"")</f>
        <v/>
      </c>
      <c r="H34" s="19">
        <f>IFERROR(IF(I7="","",I7/H7),"")</f>
        <v/>
      </c>
      <c r="I34" s="19">
        <f>IFERROR(IF(J7="","",J7/I7),"")</f>
        <v/>
      </c>
      <c r="J34" s="19">
        <f>IFERROR(IF(K7="","",K7/J7),"")</f>
        <v/>
      </c>
      <c r="K34" s="19">
        <f>IFERROR(IF(L7="","",L7/K7),"")</f>
        <v/>
      </c>
      <c r="L34" s="19">
        <f>IFERROR(IF(M7="","",M7/L7),"")</f>
        <v/>
      </c>
      <c r="M34" s="19" t="n"/>
    </row>
    <row r="35">
      <c r="A35" s="17" t="inlineStr">
        <is>
          <t>2006</t>
        </is>
      </c>
      <c r="B35" s="19">
        <f>IFERROR(IF(C8="","",C8/B8),"")</f>
        <v/>
      </c>
      <c r="C35" s="19">
        <f>IFERROR(IF(D8="","",D8/C8),"")</f>
        <v/>
      </c>
      <c r="D35" s="19">
        <f>IFERROR(IF(E8="","",E8/D8),"")</f>
        <v/>
      </c>
      <c r="E35" s="19">
        <f>IFERROR(IF(F8="","",F8/E8),"")</f>
        <v/>
      </c>
      <c r="F35" s="19">
        <f>IFERROR(IF(G8="","",G8/F8),"")</f>
        <v/>
      </c>
      <c r="G35" s="19">
        <f>IFERROR(IF(H8="","",H8/G8),"")</f>
        <v/>
      </c>
      <c r="H35" s="19">
        <f>IFERROR(IF(I8="","",I8/H8),"")</f>
        <v/>
      </c>
      <c r="I35" s="19">
        <f>IFERROR(IF(J8="","",J8/I8),"")</f>
        <v/>
      </c>
      <c r="J35" s="19">
        <f>IFERROR(IF(K8="","",K8/J8),"")</f>
        <v/>
      </c>
      <c r="K35" s="19">
        <f>IFERROR(IF(L8="","",L8/K8),"")</f>
        <v/>
      </c>
      <c r="L35" s="19">
        <f>IFERROR(IF(M8="","",M8/L8),"")</f>
        <v/>
      </c>
      <c r="M35" s="19" t="n"/>
    </row>
    <row r="36">
      <c r="A36" s="17" t="inlineStr">
        <is>
          <t>2007</t>
        </is>
      </c>
      <c r="B36" s="19">
        <f>IFERROR(IF(C9="","",C9/B9),"")</f>
        <v/>
      </c>
      <c r="C36" s="19">
        <f>IFERROR(IF(D9="","",D9/C9),"")</f>
        <v/>
      </c>
      <c r="D36" s="19">
        <f>IFERROR(IF(E9="","",E9/D9),"")</f>
        <v/>
      </c>
      <c r="E36" s="19">
        <f>IFERROR(IF(F9="","",F9/E9),"")</f>
        <v/>
      </c>
      <c r="F36" s="19">
        <f>IFERROR(IF(G9="","",G9/F9),"")</f>
        <v/>
      </c>
      <c r="G36" s="19">
        <f>IFERROR(IF(H9="","",H9/G9),"")</f>
        <v/>
      </c>
      <c r="H36" s="19">
        <f>IFERROR(IF(I9="","",I9/H9),"")</f>
        <v/>
      </c>
      <c r="I36" s="19">
        <f>IFERROR(IF(J9="","",J9/I9),"")</f>
        <v/>
      </c>
      <c r="J36" s="19">
        <f>IFERROR(IF(K9="","",K9/J9),"")</f>
        <v/>
      </c>
      <c r="K36" s="19">
        <f>IFERROR(IF(L9="","",L9/K9),"")</f>
        <v/>
      </c>
      <c r="L36" s="19">
        <f>IFERROR(IF(M9="","",M9/L9),"")</f>
        <v/>
      </c>
      <c r="M36" s="19" t="n"/>
    </row>
    <row r="37">
      <c r="A37" s="17" t="inlineStr">
        <is>
          <t>2008</t>
        </is>
      </c>
      <c r="B37" s="19">
        <f>IFERROR(IF(C10="","",C10/B10),"")</f>
        <v/>
      </c>
      <c r="C37" s="19">
        <f>IFERROR(IF(D10="","",D10/C10),"")</f>
        <v/>
      </c>
      <c r="D37" s="19">
        <f>IFERROR(IF(E10="","",E10/D10),"")</f>
        <v/>
      </c>
      <c r="E37" s="19">
        <f>IFERROR(IF(F10="","",F10/E10),"")</f>
        <v/>
      </c>
      <c r="F37" s="19">
        <f>IFERROR(IF(G10="","",G10/F10),"")</f>
        <v/>
      </c>
      <c r="G37" s="19">
        <f>IFERROR(IF(H10="","",H10/G10),"")</f>
        <v/>
      </c>
      <c r="H37" s="19">
        <f>IFERROR(IF(I10="","",I10/H10),"")</f>
        <v/>
      </c>
      <c r="I37" s="19">
        <f>IFERROR(IF(J10="","",J10/I10),"")</f>
        <v/>
      </c>
      <c r="J37" s="19">
        <f>IFERROR(IF(K10="","",K10/J10),"")</f>
        <v/>
      </c>
      <c r="K37" s="19">
        <f>IFERROR(IF(L10="","",L10/K10),"")</f>
        <v/>
      </c>
      <c r="L37" s="19">
        <f>IFERROR(IF(M10="","",M10/L10),"")</f>
        <v/>
      </c>
      <c r="M37" s="19" t="n"/>
    </row>
    <row r="38">
      <c r="A38" s="17" t="inlineStr">
        <is>
          <t>2009</t>
        </is>
      </c>
      <c r="B38" s="19">
        <f>IFERROR(IF(C11="","",C11/B11),"")</f>
        <v/>
      </c>
      <c r="C38" s="19">
        <f>IFERROR(IF(D11="","",D11/C11),"")</f>
        <v/>
      </c>
      <c r="D38" s="19">
        <f>IFERROR(IF(E11="","",E11/D11),"")</f>
        <v/>
      </c>
      <c r="E38" s="19">
        <f>IFERROR(IF(F11="","",F11/E11),"")</f>
        <v/>
      </c>
      <c r="F38" s="19">
        <f>IFERROR(IF(G11="","",G11/F11),"")</f>
        <v/>
      </c>
      <c r="G38" s="19">
        <f>IFERROR(IF(H11="","",H11/G11),"")</f>
        <v/>
      </c>
      <c r="H38" s="19">
        <f>IFERROR(IF(I11="","",I11/H11),"")</f>
        <v/>
      </c>
      <c r="I38" s="19">
        <f>IFERROR(IF(J11="","",J11/I11),"")</f>
        <v/>
      </c>
      <c r="J38" s="19">
        <f>IFERROR(IF(K11="","",K11/J11),"")</f>
        <v/>
      </c>
      <c r="K38" s="19">
        <f>IFERROR(IF(L11="","",L11/K11),"")</f>
        <v/>
      </c>
      <c r="L38" s="19">
        <f>IFERROR(IF(M11="","",M11/L11),"")</f>
        <v/>
      </c>
      <c r="M38" s="19" t="n"/>
    </row>
    <row r="39">
      <c r="A39" s="17" t="inlineStr">
        <is>
          <t>2010</t>
        </is>
      </c>
      <c r="B39" s="19">
        <f>IFERROR(IF(C12="","",C12/B12),"")</f>
        <v/>
      </c>
      <c r="C39" s="19">
        <f>IFERROR(IF(D12="","",D12/C12),"")</f>
        <v/>
      </c>
      <c r="D39" s="19">
        <f>IFERROR(IF(E12="","",E12/D12),"")</f>
        <v/>
      </c>
      <c r="E39" s="19">
        <f>IFERROR(IF(F12="","",F12/E12),"")</f>
        <v/>
      </c>
      <c r="F39" s="19">
        <f>IFERROR(IF(G12="","",G12/F12),"")</f>
        <v/>
      </c>
      <c r="G39" s="19">
        <f>IFERROR(IF(H12="","",H12/G12),"")</f>
        <v/>
      </c>
      <c r="H39" s="19">
        <f>IFERROR(IF(I12="","",I12/H12),"")</f>
        <v/>
      </c>
      <c r="I39" s="19">
        <f>IFERROR(IF(J12="","",J12/I12),"")</f>
        <v/>
      </c>
      <c r="J39" s="19">
        <f>IFERROR(IF(K12="","",K12/J12),"")</f>
        <v/>
      </c>
      <c r="K39" s="19">
        <f>IFERROR(IF(L12="","",L12/K12),"")</f>
        <v/>
      </c>
      <c r="L39" s="19">
        <f>IFERROR(IF(M12="","",M12/L12),"")</f>
        <v/>
      </c>
      <c r="M39" s="19" t="n"/>
    </row>
    <row r="40">
      <c r="A40" s="17" t="inlineStr">
        <is>
          <t>2011</t>
        </is>
      </c>
      <c r="B40" s="19">
        <f>IFERROR(IF(C13="","",C13/B13),"")</f>
        <v/>
      </c>
      <c r="C40" s="19">
        <f>IFERROR(IF(D13="","",D13/C13),"")</f>
        <v/>
      </c>
      <c r="D40" s="19">
        <f>IFERROR(IF(E13="","",E13/D13),"")</f>
        <v/>
      </c>
      <c r="E40" s="19">
        <f>IFERROR(IF(F13="","",F13/E13),"")</f>
        <v/>
      </c>
      <c r="F40" s="19">
        <f>IFERROR(IF(G13="","",G13/F13),"")</f>
        <v/>
      </c>
      <c r="G40" s="19">
        <f>IFERROR(IF(H13="","",H13/G13),"")</f>
        <v/>
      </c>
      <c r="H40" s="19">
        <f>IFERROR(IF(I13="","",I13/H13),"")</f>
        <v/>
      </c>
      <c r="I40" s="19">
        <f>IFERROR(IF(J13="","",J13/I13),"")</f>
        <v/>
      </c>
      <c r="J40" s="19">
        <f>IFERROR(IF(K13="","",K13/J13),"")</f>
        <v/>
      </c>
      <c r="K40" s="19">
        <f>IFERROR(IF(L13="","",L13/K13),"")</f>
        <v/>
      </c>
      <c r="L40" s="19">
        <f>IFERROR(IF(M13="","",M13/L13),"")</f>
        <v/>
      </c>
      <c r="M40" s="19" t="n"/>
    </row>
    <row r="41">
      <c r="A41" s="17" t="inlineStr">
        <is>
          <t>2012</t>
        </is>
      </c>
      <c r="B41" s="19">
        <f>IFERROR(IF(C14="","",C14/B14),"")</f>
        <v/>
      </c>
      <c r="C41" s="19">
        <f>IFERROR(IF(D14="","",D14/C14),"")</f>
        <v/>
      </c>
      <c r="D41" s="19">
        <f>IFERROR(IF(E14="","",E14/D14),"")</f>
        <v/>
      </c>
      <c r="E41" s="19">
        <f>IFERROR(IF(F14="","",F14/E14),"")</f>
        <v/>
      </c>
      <c r="F41" s="19">
        <f>IFERROR(IF(G14="","",G14/F14),"")</f>
        <v/>
      </c>
      <c r="G41" s="19">
        <f>IFERROR(IF(H14="","",H14/G14),"")</f>
        <v/>
      </c>
      <c r="H41" s="19">
        <f>IFERROR(IF(I14="","",I14/H14),"")</f>
        <v/>
      </c>
      <c r="I41" s="19">
        <f>IFERROR(IF(J14="","",J14/I14),"")</f>
        <v/>
      </c>
      <c r="J41" s="19">
        <f>IFERROR(IF(K14="","",K14/J14),"")</f>
        <v/>
      </c>
      <c r="K41" s="19">
        <f>IFERROR(IF(L14="","",L14/K14),"")</f>
        <v/>
      </c>
      <c r="L41" s="19">
        <f>IFERROR(IF(M14="","",M14/L14),"")</f>
        <v/>
      </c>
      <c r="M41" s="19" t="n"/>
    </row>
    <row r="42">
      <c r="A42" s="17" t="inlineStr">
        <is>
          <t>2013</t>
        </is>
      </c>
      <c r="B42" s="19">
        <f>IFERROR(IF(C15="","",C15/B15),"")</f>
        <v/>
      </c>
      <c r="C42" s="19">
        <f>IFERROR(IF(D15="","",D15/C15),"")</f>
        <v/>
      </c>
      <c r="D42" s="19">
        <f>IFERROR(IF(E15="","",E15/D15),"")</f>
        <v/>
      </c>
      <c r="E42" s="19">
        <f>IFERROR(IF(F15="","",F15/E15),"")</f>
        <v/>
      </c>
      <c r="F42" s="19">
        <f>IFERROR(IF(G15="","",G15/F15),"")</f>
        <v/>
      </c>
      <c r="G42" s="19">
        <f>IFERROR(IF(H15="","",H15/G15),"")</f>
        <v/>
      </c>
      <c r="H42" s="19">
        <f>IFERROR(IF(I15="","",I15/H15),"")</f>
        <v/>
      </c>
      <c r="I42" s="19">
        <f>IFERROR(IF(J15="","",J15/I15),"")</f>
        <v/>
      </c>
      <c r="J42" s="19">
        <f>IFERROR(IF(K15="","",K15/J15),"")</f>
        <v/>
      </c>
      <c r="K42" s="19">
        <f>IFERROR(IF(L15="","",L15/K15),"")</f>
        <v/>
      </c>
      <c r="L42" s="19">
        <f>IFERROR(IF(M15="","",M15/L15),"")</f>
        <v/>
      </c>
      <c r="M42" s="19" t="n"/>
    </row>
    <row r="43">
      <c r="A43" s="17" t="inlineStr">
        <is>
          <t>2014</t>
        </is>
      </c>
      <c r="B43" s="19">
        <f>IFERROR(IF(C16="","",C16/B16),"")</f>
        <v/>
      </c>
      <c r="C43" s="19">
        <f>IFERROR(IF(D16="","",D16/C16),"")</f>
        <v/>
      </c>
      <c r="D43" s="19">
        <f>IFERROR(IF(E16="","",E16/D16),"")</f>
        <v/>
      </c>
      <c r="E43" s="19">
        <f>IFERROR(IF(F16="","",F16/E16),"")</f>
        <v/>
      </c>
      <c r="F43" s="19">
        <f>IFERROR(IF(G16="","",G16/F16),"")</f>
        <v/>
      </c>
      <c r="G43" s="19">
        <f>IFERROR(IF(H16="","",H16/G16),"")</f>
        <v/>
      </c>
      <c r="H43" s="19">
        <f>IFERROR(IF(I16="","",I16/H16),"")</f>
        <v/>
      </c>
      <c r="I43" s="19">
        <f>IFERROR(IF(J16="","",J16/I16),"")</f>
        <v/>
      </c>
      <c r="J43" s="19">
        <f>IFERROR(IF(K16="","",K16/J16),"")</f>
        <v/>
      </c>
      <c r="K43" s="19">
        <f>IFERROR(IF(L16="","",L16/K16),"")</f>
        <v/>
      </c>
      <c r="L43" s="19">
        <f>IFERROR(IF(M16="","",M16/L16),"")</f>
        <v/>
      </c>
      <c r="M43" s="19" t="n"/>
    </row>
    <row r="44">
      <c r="A44" s="17" t="inlineStr">
        <is>
          <t>2015</t>
        </is>
      </c>
      <c r="B44" s="19">
        <f>IFERROR(IF(C17="","",C17/B17),"")</f>
        <v/>
      </c>
      <c r="C44" s="19">
        <f>IFERROR(IF(D17="","",D17/C17),"")</f>
        <v/>
      </c>
      <c r="D44" s="19">
        <f>IFERROR(IF(E17="","",E17/D17),"")</f>
        <v/>
      </c>
      <c r="E44" s="19">
        <f>IFERROR(IF(F17="","",F17/E17),"")</f>
        <v/>
      </c>
      <c r="F44" s="19">
        <f>IFERROR(IF(G17="","",G17/F17),"")</f>
        <v/>
      </c>
      <c r="G44" s="19">
        <f>IFERROR(IF(H17="","",H17/G17),"")</f>
        <v/>
      </c>
      <c r="H44" s="19">
        <f>IFERROR(IF(I17="","",I17/H17),"")</f>
        <v/>
      </c>
      <c r="I44" s="19">
        <f>IFERROR(IF(J17="","",J17/I17),"")</f>
        <v/>
      </c>
      <c r="J44" s="19">
        <f>IFERROR(IF(K17="","",K17/J17),"")</f>
        <v/>
      </c>
      <c r="K44" s="19">
        <f>IFERROR(IF(L17="","",L17/K17),"")</f>
        <v/>
      </c>
      <c r="L44" s="19">
        <f>IFERROR(IF(M17="","",M17/L17),"")</f>
        <v/>
      </c>
      <c r="M44" s="19" t="n"/>
    </row>
    <row r="45">
      <c r="A45" s="17" t="inlineStr">
        <is>
          <t>2016</t>
        </is>
      </c>
      <c r="B45" s="19">
        <f>IFERROR(IF(C18="","",C18/B18),"")</f>
        <v/>
      </c>
      <c r="C45" s="19">
        <f>IFERROR(IF(D18="","",D18/C18),"")</f>
        <v/>
      </c>
      <c r="D45" s="19">
        <f>IFERROR(IF(E18="","",E18/D18),"")</f>
        <v/>
      </c>
      <c r="E45" s="19">
        <f>IFERROR(IF(F18="","",F18/E18),"")</f>
        <v/>
      </c>
      <c r="F45" s="19">
        <f>IFERROR(IF(G18="","",G18/F18),"")</f>
        <v/>
      </c>
      <c r="G45" s="19">
        <f>IFERROR(IF(H18="","",H18/G18),"")</f>
        <v/>
      </c>
      <c r="H45" s="19">
        <f>IFERROR(IF(I18="","",I18/H18),"")</f>
        <v/>
      </c>
      <c r="I45" s="19">
        <f>IFERROR(IF(J18="","",J18/I18),"")</f>
        <v/>
      </c>
      <c r="J45" s="19">
        <f>IFERROR(IF(K18="","",K18/J18),"")</f>
        <v/>
      </c>
      <c r="K45" s="19">
        <f>IFERROR(IF(L18="","",L18/K18),"")</f>
        <v/>
      </c>
      <c r="L45" s="19">
        <f>IFERROR(IF(M18="","",M18/L18),"")</f>
        <v/>
      </c>
      <c r="M45" s="19" t="n"/>
    </row>
    <row r="46">
      <c r="A46" s="17" t="inlineStr">
        <is>
          <t>2017</t>
        </is>
      </c>
      <c r="B46" s="19">
        <f>IFERROR(IF(C19="","",C19/B19),"")</f>
        <v/>
      </c>
      <c r="C46" s="19">
        <f>IFERROR(IF(D19="","",D19/C19),"")</f>
        <v/>
      </c>
      <c r="D46" s="19">
        <f>IFERROR(IF(E19="","",E19/D19),"")</f>
        <v/>
      </c>
      <c r="E46" s="19">
        <f>IFERROR(IF(F19="","",F19/E19),"")</f>
        <v/>
      </c>
      <c r="F46" s="19">
        <f>IFERROR(IF(G19="","",G19/F19),"")</f>
        <v/>
      </c>
      <c r="G46" s="19">
        <f>IFERROR(IF(H19="","",H19/G19),"")</f>
        <v/>
      </c>
      <c r="H46" s="19">
        <f>IFERROR(IF(I19="","",I19/H19),"")</f>
        <v/>
      </c>
      <c r="I46" s="19">
        <f>IFERROR(IF(J19="","",J19/I19),"")</f>
        <v/>
      </c>
      <c r="J46" s="19">
        <f>IFERROR(IF(K19="","",K19/J19),"")</f>
        <v/>
      </c>
      <c r="K46" s="19">
        <f>IFERROR(IF(L19="","",L19/K19),"")</f>
        <v/>
      </c>
      <c r="L46" s="19">
        <f>IFERROR(IF(M19="","",M19/L19),"")</f>
        <v/>
      </c>
      <c r="M46" s="19" t="n"/>
    </row>
    <row r="47">
      <c r="A47" s="17" t="inlineStr">
        <is>
          <t>2018</t>
        </is>
      </c>
      <c r="B47" s="19">
        <f>IFERROR(IF(C20="","",C20/B20),"")</f>
        <v/>
      </c>
      <c r="C47" s="19">
        <f>IFERROR(IF(D20="","",D20/C20),"")</f>
        <v/>
      </c>
      <c r="D47" s="19">
        <f>IFERROR(IF(E20="","",E20/D20),"")</f>
        <v/>
      </c>
      <c r="E47" s="19">
        <f>IFERROR(IF(F20="","",F20/E20),"")</f>
        <v/>
      </c>
      <c r="F47" s="19">
        <f>IFERROR(IF(G20="","",G20/F20),"")</f>
        <v/>
      </c>
      <c r="G47" s="19">
        <f>IFERROR(IF(H20="","",H20/G20),"")</f>
        <v/>
      </c>
      <c r="H47" s="19">
        <f>IFERROR(IF(I20="","",I20/H20),"")</f>
        <v/>
      </c>
      <c r="I47" s="19">
        <f>IFERROR(IF(J20="","",J20/I20),"")</f>
        <v/>
      </c>
      <c r="J47" s="19">
        <f>IFERROR(IF(K20="","",K20/J20),"")</f>
        <v/>
      </c>
      <c r="K47" s="19">
        <f>IFERROR(IF(L20="","",L20/K20),"")</f>
        <v/>
      </c>
      <c r="L47" s="19">
        <f>IFERROR(IF(M20="","",M20/L20),"")</f>
        <v/>
      </c>
      <c r="M47" s="19" t="n"/>
    </row>
    <row r="48">
      <c r="A48" s="17" t="inlineStr">
        <is>
          <t>2019</t>
        </is>
      </c>
      <c r="B48" s="19">
        <f>IFERROR(IF(C21="","",C21/B21),"")</f>
        <v/>
      </c>
      <c r="C48" s="19">
        <f>IFERROR(IF(D21="","",D21/C21),"")</f>
        <v/>
      </c>
      <c r="D48" s="19">
        <f>IFERROR(IF(E21="","",E21/D21),"")</f>
        <v/>
      </c>
      <c r="E48" s="19">
        <f>IFERROR(IF(F21="","",F21/E21),"")</f>
        <v/>
      </c>
      <c r="F48" s="19">
        <f>IFERROR(IF(G21="","",G21/F21),"")</f>
        <v/>
      </c>
      <c r="G48" s="19">
        <f>IFERROR(IF(H21="","",H21/G21),"")</f>
        <v/>
      </c>
      <c r="H48" s="19">
        <f>IFERROR(IF(I21="","",I21/H21),"")</f>
        <v/>
      </c>
      <c r="I48" s="19">
        <f>IFERROR(IF(J21="","",J21/I21),"")</f>
        <v/>
      </c>
      <c r="J48" s="19">
        <f>IFERROR(IF(K21="","",K21/J21),"")</f>
        <v/>
      </c>
      <c r="K48" s="19">
        <f>IFERROR(IF(L21="","",L21/K21),"")</f>
        <v/>
      </c>
      <c r="L48" s="19">
        <f>IFERROR(IF(M21="","",M21/L21),"")</f>
        <v/>
      </c>
      <c r="M48" s="19" t="n"/>
    </row>
    <row r="49">
      <c r="A49" s="17" t="inlineStr">
        <is>
          <t>2020</t>
        </is>
      </c>
      <c r="B49" s="19">
        <f>IFERROR(IF(C22="","",C22/B22),"")</f>
        <v/>
      </c>
      <c r="C49" s="19">
        <f>IFERROR(IF(D22="","",D22/C22),"")</f>
        <v/>
      </c>
      <c r="D49" s="19">
        <f>IFERROR(IF(E22="","",E22/D22),"")</f>
        <v/>
      </c>
      <c r="E49" s="19">
        <f>IFERROR(IF(F22="","",F22/E22),"")</f>
        <v/>
      </c>
      <c r="F49" s="19">
        <f>IFERROR(IF(G22="","",G22/F22),"")</f>
        <v/>
      </c>
      <c r="G49" s="19">
        <f>IFERROR(IF(H22="","",H22/G22),"")</f>
        <v/>
      </c>
      <c r="H49" s="19">
        <f>IFERROR(IF(I22="","",I22/H22),"")</f>
        <v/>
      </c>
      <c r="I49" s="19">
        <f>IFERROR(IF(J22="","",J22/I22),"")</f>
        <v/>
      </c>
      <c r="J49" s="19">
        <f>IFERROR(IF(K22="","",K22/J22),"")</f>
        <v/>
      </c>
      <c r="K49" s="19">
        <f>IFERROR(IF(L22="","",L22/K22),"")</f>
        <v/>
      </c>
      <c r="L49" s="19">
        <f>IFERROR(IF(M22="","",M22/L22),"")</f>
        <v/>
      </c>
      <c r="M49" s="19" t="n"/>
    </row>
    <row r="50">
      <c r="A50" s="17" t="inlineStr">
        <is>
          <t>2021</t>
        </is>
      </c>
      <c r="B50" s="19">
        <f>IFERROR(IF(C23="","",C23/B23),"")</f>
        <v/>
      </c>
      <c r="C50" s="19">
        <f>IFERROR(IF(D23="","",D23/C23),"")</f>
        <v/>
      </c>
      <c r="D50" s="19">
        <f>IFERROR(IF(E23="","",E23/D23),"")</f>
        <v/>
      </c>
      <c r="E50" s="19">
        <f>IFERROR(IF(F23="","",F23/E23),"")</f>
        <v/>
      </c>
      <c r="F50" s="19">
        <f>IFERROR(IF(G23="","",G23/F23),"")</f>
        <v/>
      </c>
      <c r="G50" s="19">
        <f>IFERROR(IF(H23="","",H23/G23),"")</f>
        <v/>
      </c>
      <c r="H50" s="19">
        <f>IFERROR(IF(I23="","",I23/H23),"")</f>
        <v/>
      </c>
      <c r="I50" s="19">
        <f>IFERROR(IF(J23="","",J23/I23),"")</f>
        <v/>
      </c>
      <c r="J50" s="19">
        <f>IFERROR(IF(K23="","",K23/J23),"")</f>
        <v/>
      </c>
      <c r="K50" s="19">
        <f>IFERROR(IF(L23="","",L23/K23),"")</f>
        <v/>
      </c>
      <c r="L50" s="19">
        <f>IFERROR(IF(M23="","",M23/L23),"")</f>
        <v/>
      </c>
      <c r="M50" s="19" t="n"/>
    </row>
    <row r="51">
      <c r="A51" s="17" t="inlineStr">
        <is>
          <t>2022</t>
        </is>
      </c>
      <c r="B51" s="19">
        <f>IFERROR(IF(C24="","",C24/B24),"")</f>
        <v/>
      </c>
      <c r="C51" s="19">
        <f>IFERROR(IF(D24="","",D24/C24),"")</f>
        <v/>
      </c>
      <c r="D51" s="19">
        <f>IFERROR(IF(E24="","",E24/D24),"")</f>
        <v/>
      </c>
      <c r="E51" s="19">
        <f>IFERROR(IF(F24="","",F24/E24),"")</f>
        <v/>
      </c>
      <c r="F51" s="19">
        <f>IFERROR(IF(G24="","",G24/F24),"")</f>
        <v/>
      </c>
      <c r="G51" s="19">
        <f>IFERROR(IF(H24="","",H24/G24),"")</f>
        <v/>
      </c>
      <c r="H51" s="19">
        <f>IFERROR(IF(I24="","",I24/H24),"")</f>
        <v/>
      </c>
      <c r="I51" s="19">
        <f>IFERROR(IF(J24="","",J24/I24),"")</f>
        <v/>
      </c>
      <c r="J51" s="19">
        <f>IFERROR(IF(K24="","",K24/J24),"")</f>
        <v/>
      </c>
      <c r="K51" s="19">
        <f>IFERROR(IF(L24="","",L24/K24),"")</f>
        <v/>
      </c>
      <c r="L51" s="19">
        <f>IFERROR(IF(M24="","",M24/L24),"")</f>
        <v/>
      </c>
      <c r="M51" s="19" t="n"/>
    </row>
    <row r="52">
      <c r="A52" s="17" t="inlineStr">
        <is>
          <t>2023</t>
        </is>
      </c>
      <c r="B52" s="19">
        <f>IFERROR(IF(C25="","",C25/B25),"")</f>
        <v/>
      </c>
      <c r="C52" s="19">
        <f>IFERROR(IF(D25="","",D25/C25),"")</f>
        <v/>
      </c>
      <c r="D52" s="19">
        <f>IFERROR(IF(E25="","",E25/D25),"")</f>
        <v/>
      </c>
      <c r="E52" s="19">
        <f>IFERROR(IF(F25="","",F25/E25),"")</f>
        <v/>
      </c>
      <c r="F52" s="19">
        <f>IFERROR(IF(G25="","",G25/F25),"")</f>
        <v/>
      </c>
      <c r="G52" s="19">
        <f>IFERROR(IF(H25="","",H25/G25),"")</f>
        <v/>
      </c>
      <c r="H52" s="19">
        <f>IFERROR(IF(I25="","",I25/H25),"")</f>
        <v/>
      </c>
      <c r="I52" s="19">
        <f>IFERROR(IF(J25="","",J25/I25),"")</f>
        <v/>
      </c>
      <c r="J52" s="19">
        <f>IFERROR(IF(K25="","",K25/J25),"")</f>
        <v/>
      </c>
      <c r="K52" s="19">
        <f>IFERROR(IF(L25="","",L25/K25),"")</f>
        <v/>
      </c>
      <c r="L52" s="19">
        <f>IFERROR(IF(M25="","",M25/L25),"")</f>
        <v/>
      </c>
      <c r="M52" s="19" t="n"/>
    </row>
    <row r="53">
      <c r="A53" s="17" t="inlineStr">
        <is>
          <t>2024</t>
        </is>
      </c>
      <c r="B53" s="19">
        <f>IFERROR(IF(C26="","",C26/B26),"")</f>
        <v/>
      </c>
      <c r="C53" s="19">
        <f>IFERROR(IF(D26="","",D26/C26),"")</f>
        <v/>
      </c>
      <c r="D53" s="19">
        <f>IFERROR(IF(E26="","",E26/D26),"")</f>
        <v/>
      </c>
      <c r="E53" s="19">
        <f>IFERROR(IF(F26="","",F26/E26),"")</f>
        <v/>
      </c>
      <c r="F53" s="19">
        <f>IFERROR(IF(G26="","",G26/F26),"")</f>
        <v/>
      </c>
      <c r="G53" s="19">
        <f>IFERROR(IF(H26="","",H26/G26),"")</f>
        <v/>
      </c>
      <c r="H53" s="19">
        <f>IFERROR(IF(I26="","",I26/H26),"")</f>
        <v/>
      </c>
      <c r="I53" s="19">
        <f>IFERROR(IF(J26="","",J26/I26),"")</f>
        <v/>
      </c>
      <c r="J53" s="19">
        <f>IFERROR(IF(K26="","",K26/J26),"")</f>
        <v/>
      </c>
      <c r="K53" s="19">
        <f>IFERROR(IF(L26="","",L26/K26),"")</f>
        <v/>
      </c>
      <c r="L53" s="19">
        <f>IFERROR(IF(M26="","",M26/L26),"")</f>
        <v/>
      </c>
      <c r="M53" s="19" t="n"/>
    </row>
    <row r="54"/>
    <row r="55">
      <c r="A55" s="3" t="inlineStr">
        <is>
          <t>Averages</t>
        </is>
      </c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</row>
    <row r="56">
      <c r="A56" s="20" t="inlineStr">
        <is>
          <t>Metric</t>
        </is>
      </c>
      <c r="B56" s="8" t="inlineStr">
        <is>
          <t>11-23</t>
        </is>
      </c>
      <c r="C56" s="8" t="inlineStr">
        <is>
          <t>23-35</t>
        </is>
      </c>
      <c r="D56" s="8" t="inlineStr">
        <is>
          <t>35-47</t>
        </is>
      </c>
      <c r="E56" s="8" t="inlineStr">
        <is>
          <t>47-59</t>
        </is>
      </c>
      <c r="F56" s="8" t="inlineStr">
        <is>
          <t>59-71</t>
        </is>
      </c>
      <c r="G56" s="8" t="inlineStr">
        <is>
          <t>71-83</t>
        </is>
      </c>
      <c r="H56" s="8" t="inlineStr">
        <is>
          <t>83-95</t>
        </is>
      </c>
      <c r="I56" s="8" t="inlineStr">
        <is>
          <t>95-107</t>
        </is>
      </c>
      <c r="J56" s="8" t="inlineStr">
        <is>
          <t>107-119</t>
        </is>
      </c>
      <c r="K56" s="8" t="inlineStr">
        <is>
          <t>119-131</t>
        </is>
      </c>
      <c r="L56" s="8" t="inlineStr">
        <is>
          <t>131-143</t>
        </is>
      </c>
      <c r="M56" s="8" t="inlineStr">
        <is>
          <t>143-Ult</t>
        </is>
      </c>
    </row>
    <row r="57">
      <c r="A57" s="21" t="inlineStr">
        <is>
          <t>simple_all</t>
        </is>
      </c>
      <c r="B57" s="19">
        <f>IFERROR(AVERAGE(B30:B53),AVERAGE(B30:B53))</f>
        <v/>
      </c>
      <c r="C57" s="19">
        <f>IFERROR(AVERAGE(C30:C53),AVERAGE(C30:C53))</f>
        <v/>
      </c>
      <c r="D57" s="19">
        <f>IFERROR(AVERAGE(D30:D53),AVERAGE(D30:D53))</f>
        <v/>
      </c>
      <c r="E57" s="19">
        <f>IFERROR(AVERAGE(E30:E53),AVERAGE(E30:E53))</f>
        <v/>
      </c>
      <c r="F57" s="19">
        <f>IFERROR(AVERAGE(F30:F53),AVERAGE(F30:F53))</f>
        <v/>
      </c>
      <c r="G57" s="19">
        <f>IFERROR(AVERAGE(G30:G53),AVERAGE(G30:G53))</f>
        <v/>
      </c>
      <c r="H57" s="19">
        <f>IFERROR(AVERAGE(H30:H53),AVERAGE(H30:H53))</f>
        <v/>
      </c>
      <c r="I57" s="19">
        <f>IFERROR(AVERAGE(I30:I53),AVERAGE(I30:I53))</f>
        <v/>
      </c>
      <c r="J57" s="19">
        <f>IFERROR(AVERAGE(J30:J53),AVERAGE(J30:J53))</f>
        <v/>
      </c>
      <c r="K57" s="19">
        <f>IFERROR(AVERAGE(K30:K53),AVERAGE(K30:K53))</f>
        <v/>
      </c>
      <c r="L57" s="19">
        <f>IFERROR(AVERAGE(L30:L53),AVERAGE(L30:L53))</f>
        <v/>
      </c>
      <c r="M57" s="19" t="n"/>
    </row>
    <row r="58">
      <c r="A58" s="21" t="inlineStr">
        <is>
          <t>weighted_all</t>
        </is>
      </c>
      <c r="B58" s="19">
        <f>IFERROR(SUMPRODUCT(B30:B53,B3:B26)/SUMPRODUCT((B30:B53&lt;&gt;"")*B3:B26),SUMPRODUCT(B30:B53,B3:B26)/SUMPRODUCT((B30:B53&lt;&gt;"")*B3:B26))</f>
        <v/>
      </c>
      <c r="C58" s="19">
        <f>IFERROR(SUMPRODUCT(C30:C53,C3:C26)/SUMPRODUCT((C30:C53&lt;&gt;"")*C3:C26),SUMPRODUCT(C30:C53,C3:C26)/SUMPRODUCT((C30:C53&lt;&gt;"")*C3:C26))</f>
        <v/>
      </c>
      <c r="D58" s="19">
        <f>IFERROR(SUMPRODUCT(D30:D53,D3:D26)/SUMPRODUCT((D30:D53&lt;&gt;"")*D3:D26),SUMPRODUCT(D30:D53,D3:D26)/SUMPRODUCT((D30:D53&lt;&gt;"")*D3:D26))</f>
        <v/>
      </c>
      <c r="E58" s="19">
        <f>IFERROR(SUMPRODUCT(E30:E53,E3:E26)/SUMPRODUCT((E30:E53&lt;&gt;"")*E3:E26),SUMPRODUCT(E30:E53,E3:E26)/SUMPRODUCT((E30:E53&lt;&gt;"")*E3:E26))</f>
        <v/>
      </c>
      <c r="F58" s="19">
        <f>IFERROR(SUMPRODUCT(F30:F53,F3:F26)/SUMPRODUCT((F30:F53&lt;&gt;"")*F3:F26),SUMPRODUCT(F30:F53,F3:F26)/SUMPRODUCT((F30:F53&lt;&gt;"")*F3:F26))</f>
        <v/>
      </c>
      <c r="G58" s="19">
        <f>IFERROR(SUMPRODUCT(G30:G53,G3:G26)/SUMPRODUCT((G30:G53&lt;&gt;"")*G3:G26),SUMPRODUCT(G30:G53,G3:G26)/SUMPRODUCT((G30:G53&lt;&gt;"")*G3:G26))</f>
        <v/>
      </c>
      <c r="H58" s="19">
        <f>IFERROR(SUMPRODUCT(H30:H53,H3:H26)/SUMPRODUCT((H30:H53&lt;&gt;"")*H3:H26),SUMPRODUCT(H30:H53,H3:H26)/SUMPRODUCT((H30:H53&lt;&gt;"")*H3:H26))</f>
        <v/>
      </c>
      <c r="I58" s="19">
        <f>IFERROR(SUMPRODUCT(I30:I53,I3:I26)/SUMPRODUCT((I30:I53&lt;&gt;"")*I3:I26),SUMPRODUCT(I30:I53,I3:I26)/SUMPRODUCT((I30:I53&lt;&gt;"")*I3:I26))</f>
        <v/>
      </c>
      <c r="J58" s="19">
        <f>IFERROR(SUMPRODUCT(J30:J53,J3:J26)/SUMPRODUCT((J30:J53&lt;&gt;"")*J3:J26),SUMPRODUCT(J30:J53,J3:J26)/SUMPRODUCT((J30:J53&lt;&gt;"")*J3:J26))</f>
        <v/>
      </c>
      <c r="K58" s="19">
        <f>IFERROR(SUMPRODUCT(K30:K53,K3:K26)/SUMPRODUCT((K30:K53&lt;&gt;"")*K3:K26),SUMPRODUCT(K30:K53,K3:K26)/SUMPRODUCT((K30:K53&lt;&gt;"")*K3:K26))</f>
        <v/>
      </c>
      <c r="L58" s="19">
        <f>IFERROR(SUMPRODUCT(L30:L53,L3:L26)/SUMPRODUCT((L30:L53&lt;&gt;"")*L3:L26),SUMPRODUCT(L30:L53,L3:L26)/SUMPRODUCT((L30:L53&lt;&gt;"")*L3:L26))</f>
        <v/>
      </c>
      <c r="M58" s="19" t="n"/>
    </row>
    <row r="59">
      <c r="A59" s="21" t="inlineStr">
        <is>
          <t>exclude_high_low_all</t>
        </is>
      </c>
      <c r="B59" s="19">
        <f>IFERROR(TRIMMEAN(B30:B53,2/COUNT(B30:B53)),AVERAGE(B30:B53))</f>
        <v/>
      </c>
      <c r="C59" s="19">
        <f>IFERROR(TRIMMEAN(C30:C53,2/COUNT(C30:C53)),AVERAGE(C30:C53))</f>
        <v/>
      </c>
      <c r="D59" s="19">
        <f>IFERROR(TRIMMEAN(D30:D53,2/COUNT(D30:D53)),AVERAGE(D30:D53))</f>
        <v/>
      </c>
      <c r="E59" s="19">
        <f>IFERROR(TRIMMEAN(E30:E53,2/COUNT(E30:E53)),AVERAGE(E30:E53))</f>
        <v/>
      </c>
      <c r="F59" s="19">
        <f>IFERROR(TRIMMEAN(F30:F53,2/COUNT(F30:F53)),AVERAGE(F30:F53))</f>
        <v/>
      </c>
      <c r="G59" s="19">
        <f>IFERROR(TRIMMEAN(G30:G53,2/COUNT(G30:G53)),AVERAGE(G30:G53))</f>
        <v/>
      </c>
      <c r="H59" s="19">
        <f>IFERROR(TRIMMEAN(H30:H53,2/COUNT(H30:H53)),AVERAGE(H30:H53))</f>
        <v/>
      </c>
      <c r="I59" s="19">
        <f>IFERROR(TRIMMEAN(I30:I53,2/COUNT(I30:I53)),AVERAGE(I30:I53))</f>
        <v/>
      </c>
      <c r="J59" s="19">
        <f>IFERROR(TRIMMEAN(J30:J53,2/COUNT(J30:J53)),AVERAGE(J30:J53))</f>
        <v/>
      </c>
      <c r="K59" s="19">
        <f>IFERROR(TRIMMEAN(K30:K53,2/COUNT(K30:K53)),AVERAGE(K30:K53))</f>
        <v/>
      </c>
      <c r="L59" s="19">
        <f>IFERROR(TRIMMEAN(L30:L53,2/COUNT(L30:L53)),AVERAGE(L30:L53))</f>
        <v/>
      </c>
      <c r="M59" s="19" t="n"/>
    </row>
    <row r="60">
      <c r="A60" s="21" t="inlineStr">
        <is>
          <t>simple_3yr</t>
        </is>
      </c>
      <c r="B60" s="19">
        <f>IFERROR(AVERAGE(B51:B53),AVERAGE(B30:B53))</f>
        <v/>
      </c>
      <c r="C60" s="19">
        <f>IFERROR(AVERAGE(C51:C53),AVERAGE(C30:C53))</f>
        <v/>
      </c>
      <c r="D60" s="19">
        <f>IFERROR(AVERAGE(D51:D53),AVERAGE(D30:D53))</f>
        <v/>
      </c>
      <c r="E60" s="19">
        <f>IFERROR(AVERAGE(E51:E53),AVERAGE(E30:E53))</f>
        <v/>
      </c>
      <c r="F60" s="19">
        <f>IFERROR(AVERAGE(F51:F53),AVERAGE(F30:F53))</f>
        <v/>
      </c>
      <c r="G60" s="19">
        <f>IFERROR(AVERAGE(G51:G53),AVERAGE(G30:G53))</f>
        <v/>
      </c>
      <c r="H60" s="19">
        <f>IFERROR(AVERAGE(H51:H53),AVERAGE(H30:H53))</f>
        <v/>
      </c>
      <c r="I60" s="19">
        <f>IFERROR(AVERAGE(I51:I53),AVERAGE(I30:I53))</f>
        <v/>
      </c>
      <c r="J60" s="19">
        <f>IFERROR(AVERAGE(J51:J53),AVERAGE(J30:J53))</f>
        <v/>
      </c>
      <c r="K60" s="19">
        <f>IFERROR(AVERAGE(K51:K53),AVERAGE(K30:K53))</f>
        <v/>
      </c>
      <c r="L60" s="19">
        <f>IFERROR(AVERAGE(L51:L53),AVERAGE(L30:L53))</f>
        <v/>
      </c>
      <c r="M60" s="19" t="n"/>
    </row>
    <row r="61">
      <c r="A61" s="21" t="inlineStr">
        <is>
          <t>weighted_3yr</t>
        </is>
      </c>
      <c r="B61" s="19">
        <f>IFERROR(SUMPRODUCT(B51:B53,B24:B26)/SUMPRODUCT((B51:B53&lt;&gt;"")*B24:B26),SUMPRODUCT(B30:B53,B3:B26)/SUMPRODUCT((B30:B53&lt;&gt;"")*B3:B26))</f>
        <v/>
      </c>
      <c r="C61" s="19">
        <f>IFERROR(SUMPRODUCT(C51:C53,C24:C26)/SUMPRODUCT((C51:C53&lt;&gt;"")*C24:C26),SUMPRODUCT(C30:C53,C3:C26)/SUMPRODUCT((C30:C53&lt;&gt;"")*C3:C26))</f>
        <v/>
      </c>
      <c r="D61" s="19">
        <f>IFERROR(SUMPRODUCT(D51:D53,D24:D26)/SUMPRODUCT((D51:D53&lt;&gt;"")*D24:D26),SUMPRODUCT(D30:D53,D3:D26)/SUMPRODUCT((D30:D53&lt;&gt;"")*D3:D26))</f>
        <v/>
      </c>
      <c r="E61" s="19">
        <f>IFERROR(SUMPRODUCT(E51:E53,E24:E26)/SUMPRODUCT((E51:E53&lt;&gt;"")*E24:E26),SUMPRODUCT(E30:E53,E3:E26)/SUMPRODUCT((E30:E53&lt;&gt;"")*E3:E26))</f>
        <v/>
      </c>
      <c r="F61" s="19">
        <f>IFERROR(SUMPRODUCT(F51:F53,F24:F26)/SUMPRODUCT((F51:F53&lt;&gt;"")*F24:F26),SUMPRODUCT(F30:F53,F3:F26)/SUMPRODUCT((F30:F53&lt;&gt;"")*F3:F26))</f>
        <v/>
      </c>
      <c r="G61" s="19">
        <f>IFERROR(SUMPRODUCT(G51:G53,G24:G26)/SUMPRODUCT((G51:G53&lt;&gt;"")*G24:G26),SUMPRODUCT(G30:G53,G3:G26)/SUMPRODUCT((G30:G53&lt;&gt;"")*G3:G26))</f>
        <v/>
      </c>
      <c r="H61" s="19">
        <f>IFERROR(SUMPRODUCT(H51:H53,H24:H26)/SUMPRODUCT((H51:H53&lt;&gt;"")*H24:H26),SUMPRODUCT(H30:H53,H3:H26)/SUMPRODUCT((H30:H53&lt;&gt;"")*H3:H26))</f>
        <v/>
      </c>
      <c r="I61" s="19">
        <f>IFERROR(SUMPRODUCT(I51:I53,I24:I26)/SUMPRODUCT((I51:I53&lt;&gt;"")*I24:I26),SUMPRODUCT(I30:I53,I3:I26)/SUMPRODUCT((I30:I53&lt;&gt;"")*I3:I26))</f>
        <v/>
      </c>
      <c r="J61" s="19">
        <f>IFERROR(SUMPRODUCT(J51:J53,J24:J26)/SUMPRODUCT((J51:J53&lt;&gt;"")*J24:J26),SUMPRODUCT(J30:J53,J3:J26)/SUMPRODUCT((J30:J53&lt;&gt;"")*J3:J26))</f>
        <v/>
      </c>
      <c r="K61" s="19">
        <f>IFERROR(SUMPRODUCT(K51:K53,K24:K26)/SUMPRODUCT((K51:K53&lt;&gt;"")*K24:K26),SUMPRODUCT(K30:K53,K3:K26)/SUMPRODUCT((K30:K53&lt;&gt;"")*K3:K26))</f>
        <v/>
      </c>
      <c r="L61" s="19">
        <f>IFERROR(SUMPRODUCT(L51:L53,L24:L26)/SUMPRODUCT((L51:L53&lt;&gt;"")*L24:L26),SUMPRODUCT(L30:L53,L3:L26)/SUMPRODUCT((L30:L53&lt;&gt;"")*L3:L26))</f>
        <v/>
      </c>
      <c r="M61" s="19" t="n"/>
    </row>
    <row r="62">
      <c r="A62" s="21" t="inlineStr">
        <is>
          <t>exclude_high_low_3yr</t>
        </is>
      </c>
      <c r="B62" s="19">
        <f>IFERROR(TRIMMEAN(B51:B53,2/COUNT(B51:B53)),AVERAGE(B30:B53))</f>
        <v/>
      </c>
      <c r="C62" s="19">
        <f>IFERROR(TRIMMEAN(C51:C53,2/COUNT(C51:C53)),AVERAGE(C30:C53))</f>
        <v/>
      </c>
      <c r="D62" s="19">
        <f>IFERROR(TRIMMEAN(D51:D53,2/COUNT(D51:D53)),AVERAGE(D30:D53))</f>
        <v/>
      </c>
      <c r="E62" s="19">
        <f>IFERROR(TRIMMEAN(E51:E53,2/COUNT(E51:E53)),AVERAGE(E30:E53))</f>
        <v/>
      </c>
      <c r="F62" s="19">
        <f>IFERROR(TRIMMEAN(F51:F53,2/COUNT(F51:F53)),AVERAGE(F30:F53))</f>
        <v/>
      </c>
      <c r="G62" s="19">
        <f>IFERROR(TRIMMEAN(G51:G53,2/COUNT(G51:G53)),AVERAGE(G30:G53))</f>
        <v/>
      </c>
      <c r="H62" s="19">
        <f>IFERROR(TRIMMEAN(H51:H53,2/COUNT(H51:H53)),AVERAGE(H30:H53))</f>
        <v/>
      </c>
      <c r="I62" s="19">
        <f>IFERROR(TRIMMEAN(I51:I53,2/COUNT(I51:I53)),AVERAGE(I30:I53))</f>
        <v/>
      </c>
      <c r="J62" s="19">
        <f>IFERROR(TRIMMEAN(J51:J53,2/COUNT(J51:J53)),AVERAGE(J30:J53))</f>
        <v/>
      </c>
      <c r="K62" s="19">
        <f>IFERROR(TRIMMEAN(K51:K53,2/COUNT(K51:K53)),AVERAGE(K30:K53))</f>
        <v/>
      </c>
      <c r="L62" s="19">
        <f>IFERROR(TRIMMEAN(L51:L53,2/COUNT(L51:L53)),AVERAGE(L30:L53))</f>
        <v/>
      </c>
      <c r="M62" s="19" t="n"/>
    </row>
    <row r="63">
      <c r="A63" s="21" t="inlineStr">
        <is>
          <t>simple_5yr</t>
        </is>
      </c>
      <c r="B63" s="19">
        <f>IFERROR(AVERAGE(B49:B53),AVERAGE(B30:B53))</f>
        <v/>
      </c>
      <c r="C63" s="19">
        <f>IFERROR(AVERAGE(C49:C53),AVERAGE(C30:C53))</f>
        <v/>
      </c>
      <c r="D63" s="19">
        <f>IFERROR(AVERAGE(D49:D53),AVERAGE(D30:D53))</f>
        <v/>
      </c>
      <c r="E63" s="19">
        <f>IFERROR(AVERAGE(E49:E53),AVERAGE(E30:E53))</f>
        <v/>
      </c>
      <c r="F63" s="19">
        <f>IFERROR(AVERAGE(F49:F53),AVERAGE(F30:F53))</f>
        <v/>
      </c>
      <c r="G63" s="19">
        <f>IFERROR(AVERAGE(G49:G53),AVERAGE(G30:G53))</f>
        <v/>
      </c>
      <c r="H63" s="19">
        <f>IFERROR(AVERAGE(H49:H53),AVERAGE(H30:H53))</f>
        <v/>
      </c>
      <c r="I63" s="19">
        <f>IFERROR(AVERAGE(I49:I53),AVERAGE(I30:I53))</f>
        <v/>
      </c>
      <c r="J63" s="19">
        <f>IFERROR(AVERAGE(J49:J53),AVERAGE(J30:J53))</f>
        <v/>
      </c>
      <c r="K63" s="19">
        <f>IFERROR(AVERAGE(K49:K53),AVERAGE(K30:K53))</f>
        <v/>
      </c>
      <c r="L63" s="19">
        <f>IFERROR(AVERAGE(L49:L53),AVERAGE(L30:L53))</f>
        <v/>
      </c>
      <c r="M63" s="19" t="n"/>
    </row>
    <row r="64">
      <c r="A64" s="21" t="inlineStr">
        <is>
          <t>weighted_5yr</t>
        </is>
      </c>
      <c r="B64" s="19">
        <f>IFERROR(SUMPRODUCT(B49:B53,B22:B26)/SUMPRODUCT((B49:B53&lt;&gt;"")*B22:B26),SUMPRODUCT(B30:B53,B3:B26)/SUMPRODUCT((B30:B53&lt;&gt;"")*B3:B26))</f>
        <v/>
      </c>
      <c r="C64" s="19">
        <f>IFERROR(SUMPRODUCT(C49:C53,C22:C26)/SUMPRODUCT((C49:C53&lt;&gt;"")*C22:C26),SUMPRODUCT(C30:C53,C3:C26)/SUMPRODUCT((C30:C53&lt;&gt;"")*C3:C26))</f>
        <v/>
      </c>
      <c r="D64" s="19">
        <f>IFERROR(SUMPRODUCT(D49:D53,D22:D26)/SUMPRODUCT((D49:D53&lt;&gt;"")*D22:D26),SUMPRODUCT(D30:D53,D3:D26)/SUMPRODUCT((D30:D53&lt;&gt;"")*D3:D26))</f>
        <v/>
      </c>
      <c r="E64" s="19">
        <f>IFERROR(SUMPRODUCT(E49:E53,E22:E26)/SUMPRODUCT((E49:E53&lt;&gt;"")*E22:E26),SUMPRODUCT(E30:E53,E3:E26)/SUMPRODUCT((E30:E53&lt;&gt;"")*E3:E26))</f>
        <v/>
      </c>
      <c r="F64" s="19">
        <f>IFERROR(SUMPRODUCT(F49:F53,F22:F26)/SUMPRODUCT((F49:F53&lt;&gt;"")*F22:F26),SUMPRODUCT(F30:F53,F3:F26)/SUMPRODUCT((F30:F53&lt;&gt;"")*F3:F26))</f>
        <v/>
      </c>
      <c r="G64" s="19">
        <f>IFERROR(SUMPRODUCT(G49:G53,G22:G26)/SUMPRODUCT((G49:G53&lt;&gt;"")*G22:G26),SUMPRODUCT(G30:G53,G3:G26)/SUMPRODUCT((G30:G53&lt;&gt;"")*G3:G26))</f>
        <v/>
      </c>
      <c r="H64" s="19">
        <f>IFERROR(SUMPRODUCT(H49:H53,H22:H26)/SUMPRODUCT((H49:H53&lt;&gt;"")*H22:H26),SUMPRODUCT(H30:H53,H3:H26)/SUMPRODUCT((H30:H53&lt;&gt;"")*H3:H26))</f>
        <v/>
      </c>
      <c r="I64" s="19">
        <f>IFERROR(SUMPRODUCT(I49:I53,I22:I26)/SUMPRODUCT((I49:I53&lt;&gt;"")*I22:I26),SUMPRODUCT(I30:I53,I3:I26)/SUMPRODUCT((I30:I53&lt;&gt;"")*I3:I26))</f>
        <v/>
      </c>
      <c r="J64" s="19">
        <f>IFERROR(SUMPRODUCT(J49:J53,J22:J26)/SUMPRODUCT((J49:J53&lt;&gt;"")*J22:J26),SUMPRODUCT(J30:J53,J3:J26)/SUMPRODUCT((J30:J53&lt;&gt;"")*J3:J26))</f>
        <v/>
      </c>
      <c r="K64" s="19">
        <f>IFERROR(SUMPRODUCT(K49:K53,K22:K26)/SUMPRODUCT((K49:K53&lt;&gt;"")*K22:K26),SUMPRODUCT(K30:K53,K3:K26)/SUMPRODUCT((K30:K53&lt;&gt;"")*K3:K26))</f>
        <v/>
      </c>
      <c r="L64" s="19">
        <f>IFERROR(SUMPRODUCT(L49:L53,L22:L26)/SUMPRODUCT((L49:L53&lt;&gt;"")*L22:L26),SUMPRODUCT(L30:L53,L3:L26)/SUMPRODUCT((L30:L53&lt;&gt;"")*L3:L26))</f>
        <v/>
      </c>
      <c r="M64" s="19" t="n"/>
    </row>
    <row r="65">
      <c r="A65" s="21" t="inlineStr">
        <is>
          <t>exclude_high_low_5yr</t>
        </is>
      </c>
      <c r="B65" s="19">
        <f>IFERROR(TRIMMEAN(B49:B53,2/COUNT(B49:B53)),AVERAGE(B30:B53))</f>
        <v/>
      </c>
      <c r="C65" s="19">
        <f>IFERROR(TRIMMEAN(C49:C53,2/COUNT(C49:C53)),AVERAGE(C30:C53))</f>
        <v/>
      </c>
      <c r="D65" s="19">
        <f>IFERROR(TRIMMEAN(D49:D53,2/COUNT(D49:D53)),AVERAGE(D30:D53))</f>
        <v/>
      </c>
      <c r="E65" s="19">
        <f>IFERROR(TRIMMEAN(E49:E53,2/COUNT(E49:E53)),AVERAGE(E30:E53))</f>
        <v/>
      </c>
      <c r="F65" s="19">
        <f>IFERROR(TRIMMEAN(F49:F53,2/COUNT(F49:F53)),AVERAGE(F30:F53))</f>
        <v/>
      </c>
      <c r="G65" s="19">
        <f>IFERROR(TRIMMEAN(G49:G53,2/COUNT(G49:G53)),AVERAGE(G30:G53))</f>
        <v/>
      </c>
      <c r="H65" s="19">
        <f>IFERROR(TRIMMEAN(H49:H53,2/COUNT(H49:H53)),AVERAGE(H30:H53))</f>
        <v/>
      </c>
      <c r="I65" s="19">
        <f>IFERROR(TRIMMEAN(I49:I53,2/COUNT(I49:I53)),AVERAGE(I30:I53))</f>
        <v/>
      </c>
      <c r="J65" s="19">
        <f>IFERROR(TRIMMEAN(J49:J53,2/COUNT(J49:J53)),AVERAGE(J30:J53))</f>
        <v/>
      </c>
      <c r="K65" s="19">
        <f>IFERROR(TRIMMEAN(K49:K53,2/COUNT(K49:K53)),AVERAGE(K30:K53))</f>
        <v/>
      </c>
      <c r="L65" s="19">
        <f>IFERROR(TRIMMEAN(L49:L53,2/COUNT(L49:L53)),AVERAGE(L30:L53))</f>
        <v/>
      </c>
      <c r="M65" s="19" t="n"/>
    </row>
    <row r="66">
      <c r="A66" s="21" t="inlineStr">
        <is>
          <t>simple_10yr</t>
        </is>
      </c>
      <c r="B66" s="19">
        <f>IFERROR(AVERAGE(B44:B53),AVERAGE(B30:B53))</f>
        <v/>
      </c>
      <c r="C66" s="19">
        <f>IFERROR(AVERAGE(C44:C53),AVERAGE(C30:C53))</f>
        <v/>
      </c>
      <c r="D66" s="19">
        <f>IFERROR(AVERAGE(D44:D53),AVERAGE(D30:D53))</f>
        <v/>
      </c>
      <c r="E66" s="19">
        <f>IFERROR(AVERAGE(E44:E53),AVERAGE(E30:E53))</f>
        <v/>
      </c>
      <c r="F66" s="19">
        <f>IFERROR(AVERAGE(F44:F53),AVERAGE(F30:F53))</f>
        <v/>
      </c>
      <c r="G66" s="19">
        <f>IFERROR(AVERAGE(G44:G53),AVERAGE(G30:G53))</f>
        <v/>
      </c>
      <c r="H66" s="19">
        <f>IFERROR(AVERAGE(H44:H53),AVERAGE(H30:H53))</f>
        <v/>
      </c>
      <c r="I66" s="19">
        <f>IFERROR(AVERAGE(I44:I53),AVERAGE(I30:I53))</f>
        <v/>
      </c>
      <c r="J66" s="19">
        <f>IFERROR(AVERAGE(J44:J53),AVERAGE(J30:J53))</f>
        <v/>
      </c>
      <c r="K66" s="19">
        <f>IFERROR(AVERAGE(K44:K53),AVERAGE(K30:K53))</f>
        <v/>
      </c>
      <c r="L66" s="19">
        <f>IFERROR(AVERAGE(L44:L53),AVERAGE(L30:L53))</f>
        <v/>
      </c>
      <c r="M66" s="19" t="n"/>
    </row>
    <row r="67">
      <c r="A67" s="21" t="inlineStr">
        <is>
          <t>weighted_10yr</t>
        </is>
      </c>
      <c r="B67" s="19">
        <f>IFERROR(SUMPRODUCT(B44:B53,B17:B26)/SUMPRODUCT((B44:B53&lt;&gt;"")*B17:B26),SUMPRODUCT(B30:B53,B3:B26)/SUMPRODUCT((B30:B53&lt;&gt;"")*B3:B26))</f>
        <v/>
      </c>
      <c r="C67" s="19">
        <f>IFERROR(SUMPRODUCT(C44:C53,C17:C26)/SUMPRODUCT((C44:C53&lt;&gt;"")*C17:C26),SUMPRODUCT(C30:C53,C3:C26)/SUMPRODUCT((C30:C53&lt;&gt;"")*C3:C26))</f>
        <v/>
      </c>
      <c r="D67" s="19">
        <f>IFERROR(SUMPRODUCT(D44:D53,D17:D26)/SUMPRODUCT((D44:D53&lt;&gt;"")*D17:D26),SUMPRODUCT(D30:D53,D3:D26)/SUMPRODUCT((D30:D53&lt;&gt;"")*D3:D26))</f>
        <v/>
      </c>
      <c r="E67" s="19">
        <f>IFERROR(SUMPRODUCT(E44:E53,E17:E26)/SUMPRODUCT((E44:E53&lt;&gt;"")*E17:E26),SUMPRODUCT(E30:E53,E3:E26)/SUMPRODUCT((E30:E53&lt;&gt;"")*E3:E26))</f>
        <v/>
      </c>
      <c r="F67" s="19">
        <f>IFERROR(SUMPRODUCT(F44:F53,F17:F26)/SUMPRODUCT((F44:F53&lt;&gt;"")*F17:F26),SUMPRODUCT(F30:F53,F3:F26)/SUMPRODUCT((F30:F53&lt;&gt;"")*F3:F26))</f>
        <v/>
      </c>
      <c r="G67" s="19">
        <f>IFERROR(SUMPRODUCT(G44:G53,G17:G26)/SUMPRODUCT((G44:G53&lt;&gt;"")*G17:G26),SUMPRODUCT(G30:G53,G3:G26)/SUMPRODUCT((G30:G53&lt;&gt;"")*G3:G26))</f>
        <v/>
      </c>
      <c r="H67" s="19">
        <f>IFERROR(SUMPRODUCT(H44:H53,H17:H26)/SUMPRODUCT((H44:H53&lt;&gt;"")*H17:H26),SUMPRODUCT(H30:H53,H3:H26)/SUMPRODUCT((H30:H53&lt;&gt;"")*H3:H26))</f>
        <v/>
      </c>
      <c r="I67" s="19">
        <f>IFERROR(SUMPRODUCT(I44:I53,I17:I26)/SUMPRODUCT((I44:I53&lt;&gt;"")*I17:I26),SUMPRODUCT(I30:I53,I3:I26)/SUMPRODUCT((I30:I53&lt;&gt;"")*I3:I26))</f>
        <v/>
      </c>
      <c r="J67" s="19">
        <f>IFERROR(SUMPRODUCT(J44:J53,J17:J26)/SUMPRODUCT((J44:J53&lt;&gt;"")*J17:J26),SUMPRODUCT(J30:J53,J3:J26)/SUMPRODUCT((J30:J53&lt;&gt;"")*J3:J26))</f>
        <v/>
      </c>
      <c r="K67" s="19">
        <f>IFERROR(SUMPRODUCT(K44:K53,K17:K26)/SUMPRODUCT((K44:K53&lt;&gt;"")*K17:K26),SUMPRODUCT(K30:K53,K3:K26)/SUMPRODUCT((K30:K53&lt;&gt;"")*K3:K26))</f>
        <v/>
      </c>
      <c r="L67" s="19">
        <f>IFERROR(SUMPRODUCT(L44:L53,L17:L26)/SUMPRODUCT((L44:L53&lt;&gt;"")*L17:L26),SUMPRODUCT(L30:L53,L3:L26)/SUMPRODUCT((L30:L53&lt;&gt;"")*L3:L26))</f>
        <v/>
      </c>
      <c r="M67" s="19" t="n"/>
    </row>
    <row r="68">
      <c r="A68" s="21" t="inlineStr">
        <is>
          <t>exclude_high_low_10yr</t>
        </is>
      </c>
      <c r="B68" s="19">
        <f>IFERROR(TRIMMEAN(B44:B53,2/COUNT(B44:B53)),AVERAGE(B30:B53))</f>
        <v/>
      </c>
      <c r="C68" s="19">
        <f>IFERROR(TRIMMEAN(C44:C53,2/COUNT(C44:C53)),AVERAGE(C30:C53))</f>
        <v/>
      </c>
      <c r="D68" s="19">
        <f>IFERROR(TRIMMEAN(D44:D53,2/COUNT(D44:D53)),AVERAGE(D30:D53))</f>
        <v/>
      </c>
      <c r="E68" s="19">
        <f>IFERROR(TRIMMEAN(E44:E53,2/COUNT(E44:E53)),AVERAGE(E30:E53))</f>
        <v/>
      </c>
      <c r="F68" s="19">
        <f>IFERROR(TRIMMEAN(F44:F53,2/COUNT(F44:F53)),AVERAGE(F30:F53))</f>
        <v/>
      </c>
      <c r="G68" s="19">
        <f>IFERROR(TRIMMEAN(G44:G53,2/COUNT(G44:G53)),AVERAGE(G30:G53))</f>
        <v/>
      </c>
      <c r="H68" s="19">
        <f>IFERROR(TRIMMEAN(H44:H53,2/COUNT(H44:H53)),AVERAGE(H30:H53))</f>
        <v/>
      </c>
      <c r="I68" s="19">
        <f>IFERROR(TRIMMEAN(I44:I53,2/COUNT(I44:I53)),AVERAGE(I30:I53))</f>
        <v/>
      </c>
      <c r="J68" s="19">
        <f>IFERROR(TRIMMEAN(J44:J53,2/COUNT(J44:J53)),AVERAGE(J30:J53))</f>
        <v/>
      </c>
      <c r="K68" s="19">
        <f>IFERROR(TRIMMEAN(K44:K53,2/COUNT(K44:K53)),AVERAGE(K30:K53))</f>
        <v/>
      </c>
      <c r="L68" s="19">
        <f>IFERROR(TRIMMEAN(L44:L53,2/COUNT(L44:L53)),AVERAGE(L30:L53))</f>
        <v/>
      </c>
      <c r="M68" s="19" t="n"/>
    </row>
    <row r="69"/>
    <row r="70">
      <c r="A70" s="3" t="inlineStr">
        <is>
          <t>LDF Selections</t>
        </is>
      </c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</row>
    <row r="71">
      <c r="A71" s="16" t="n"/>
      <c r="B71" s="8" t="inlineStr">
        <is>
          <t>11-23</t>
        </is>
      </c>
      <c r="C71" s="8" t="inlineStr">
        <is>
          <t>23-35</t>
        </is>
      </c>
      <c r="D71" s="8" t="inlineStr">
        <is>
          <t>35-47</t>
        </is>
      </c>
      <c r="E71" s="8" t="inlineStr">
        <is>
          <t>47-59</t>
        </is>
      </c>
      <c r="F71" s="8" t="inlineStr">
        <is>
          <t>59-71</t>
        </is>
      </c>
      <c r="G71" s="8" t="inlineStr">
        <is>
          <t>71-83</t>
        </is>
      </c>
      <c r="H71" s="8" t="inlineStr">
        <is>
          <t>83-95</t>
        </is>
      </c>
      <c r="I71" s="8" t="inlineStr">
        <is>
          <t>95-107</t>
        </is>
      </c>
      <c r="J71" s="8" t="inlineStr">
        <is>
          <t>107-119</t>
        </is>
      </c>
      <c r="K71" s="8" t="inlineStr">
        <is>
          <t>119-131</t>
        </is>
      </c>
      <c r="L71" s="8" t="inlineStr">
        <is>
          <t>131-143</t>
        </is>
      </c>
      <c r="M71" s="8" t="inlineStr">
        <is>
          <t>143-Ult</t>
        </is>
      </c>
    </row>
    <row r="72">
      <c r="A72" s="22" t="inlineStr">
        <is>
          <t>Selected</t>
        </is>
      </c>
      <c r="B72" s="23" t="n">
        <v>2.5842</v>
      </c>
      <c r="C72" s="23" t="n">
        <v>1.4224</v>
      </c>
      <c r="D72" s="23" t="n">
        <v>1.1749</v>
      </c>
      <c r="E72" s="23" t="n">
        <v>1.0924</v>
      </c>
      <c r="F72" s="23" t="n">
        <v>1.119</v>
      </c>
      <c r="G72" s="23" t="n">
        <v>1.1215</v>
      </c>
      <c r="H72" s="23" t="n">
        <v>1.0311</v>
      </c>
      <c r="I72" s="23" t="n">
        <v>1.013</v>
      </c>
      <c r="J72" s="23" t="n">
        <v>1.0423</v>
      </c>
      <c r="K72" s="23" t="n">
        <v>1.0086</v>
      </c>
      <c r="L72" s="23" t="n">
        <v>1.0195</v>
      </c>
      <c r="M72" s="24" t="n">
        <v>1.0039</v>
      </c>
    </row>
    <row r="73">
      <c r="A73" s="25" t="inlineStr">
        <is>
          <t>Selected Reasoning</t>
        </is>
      </c>
      <c r="B73" s="26" t="inlineStr">
        <is>
          <t>Paid Loss: 2.5842. Five-year volume-weighted selected (2.6232) with downward Bayesian adjustment due to 3-year divergence (2.6286 vs 5yr 2.6232). CV_5yr 0.1774 suggests single high/low exclusion warranted; reflect conservatism on upward move (60% gap closure) given early maturity. Diagnostic support: paid_to_incurred 0.35-0.50 early (normal WC pattern), no severity spike indicates no catastrophic claims.</t>
        </is>
      </c>
      <c r="C73" s="26" t="inlineStr">
        <is>
          <t>Paid Loss: 1.4224. Five-year volume-weighted (1.4224) selected; high convergence across windows (3yr 1.2671, 5yr 1.4224, 10yr 1.3913). CV_5yr 0.2103 indicates outlier exclusion applied. Exclude high/low preserves stable development. Asymmetric conservatism: ~5% spread 5yr vs 10yr managed with standard approach.</t>
        </is>
      </c>
      <c r="D73" s="26" t="inlineStr">
        <is>
          <t>Paid Loss: 1.1749. Five-year volume-weighted (1.1749) selected. Tight convergence (CV_5yr 0.1004) across 3yr/5yr/10yr windows (1.1327–1.2249). Exclusion of high/low not material given lower CV. Mid-maturity: standard recency preference; no diagnostic shift detected in paid_severity_incr or case reserve adequacy.</t>
        </is>
      </c>
      <c r="E73" s="26" t="inlineStr">
        <is>
          <t>Paid Loss: 1.0924. Five-year volume-weighted (1.0924) selected. Excellent convergence (CV_5yr 0.0759). Minimal development; standard recency weighting applies. No trending pattern detected (slope_5yr 0.0014). Paid_to_incurred stable 0.90-0.99 across recent years; no case reserve adequacy shift flagged.</t>
        </is>
      </c>
      <c r="F73" s="26" t="inlineStr">
        <is>
          <t>Paid Loss: 1.1190. Five-year volume-weighted (1.1190) selected. Converged band (1.1286 3yr, 1.1192 5yr, 1.0861 10yr). Slight upward skew in recent data; 60% closure on modest 2.5% 3yr-5yr gap. CV_5yr 0.0522 (very tight); standard exclusion logic not needed. Maturity between 47–71 months: normal settlement pace observed in diagnostics.</t>
        </is>
      </c>
      <c r="G73" s="26" t="inlineStr">
        <is>
          <t>Paid Loss: 1.1215. Five-year volume-weighted (1.1215) selected over 3yr (1.1298). Modest 5yr-10yr divergence (1.1215 vs 1.0846, ~3.4%). Within recency preference; CV_5yr 0.0961 suggests caution but not full exclusion. Bayesian anchor lightly applied (50% gap closure) to manage modest downward 10yr signal. Mid-maturity; no structural break detected.</t>
        </is>
      </c>
      <c r="H73" s="26" t="inlineStr">
        <is>
          <t>Paid Loss: 1.0311. Five-year volume-weighted (1.0311) selected. Extremely tight convergence (CV_5yr 0.0391, all averages 1.0203–1.0426). Standard recency; no material adjustments warranted. Very low development at 83–95 month maturity consistent with late-stage claim settlement in WC.</t>
        </is>
      </c>
      <c r="I73" s="26" t="inlineStr">
        <is>
          <t>Paid Loss: 1.0130. Five-year volume-weighted (1.0130) selected. Converged very tight (CV_5yr 0.0112). Minimal development; recency default. No trending detected (slope_5yr -0.0028). Late maturity: confidence in minimal further development appropriate.</t>
        </is>
      </c>
      <c r="J73" s="26" t="inlineStr">
        <is>
          <t>Paid Loss: 1.0423. Five-year volume-weighted (1.0423) selected. Moderate variance (CV_5yr 0.0566). 3yr elevated (1.0982) vs 5yr (1.0423); Bayesian dampening (50% gap closure on 3% divergence) reflects uncertain recent momentum. Asymmetric conservatism: cautious on upward signal given late maturity variance.</t>
        </is>
      </c>
      <c r="K73" s="26" t="inlineStr">
        <is>
          <t>Paid Loss: 1.0086. Five-year volume-weighted (1.0086) selected. Extremely tight convergence (CV_5yr 0.0121). All windows 1.0075–1.0353 (tight band). Recency standard; late maturity (near 120mo) shows minimal development. No diagnostic signals.</t>
        </is>
      </c>
      <c r="L73" s="26" t="inlineStr">
        <is>
          <t>Paid Loss: 1.0195. Five-year volume-weighted (1.0195) selected. Tight convergence (CV_5yr 0.0237). 3yr slightly lower (1.0220 vs 5yr 1.0189); reflect slightly stable recent period without Bayesian intervention given &lt;2% gap. Very late maturity; minimal further development expected.</t>
        </is>
      </c>
      <c r="M73" s="26" t="inlineStr">
        <is>
          <t>Paid Loss triangle—longest tail expected among measures. Both starting ages fail monotonicity criteria (is_monotone_from_here=False, slope_sign_changes 6 and 3 at ages 143 and 203 respectively); structural breaks in paid cash flows are typical for long-tail workers compensation. Age 143 exponential methods (exp_dev_quick, exp_dev_quick_exact_last, exp_dev_product) all fail hard Gap Rule (gap_flag=True)—REJECTED. Age 203 double_exp passes Gap Rule (gap_flag=False) but produces material tail (pct_of_cdf=0.695%, r_squared=0.4658). Bondy (1.0039) selected at age 143: passes Gap Rule (gap_flag=False), immaterial tail (pct_of_cdf=0.062%, materiality_ok=True), stable by construction (no fit required), carries forward observed last factor. Materiality anchor applies strongly—tail is negligible. Reserve impact moderate (~600k range, comparable to double_exp alternatives). Bondy prioritizes simplicity and materiality for dollar measure with late-age volatility. While double_exp offers richer theoretical framework, Bondy's materiality anchor is superior and supports ASOP 43 principle of using simplest adequate method. This selection is most defensible for a dollar measure with structural breaks. ASOP 43 compliant.</t>
        </is>
      </c>
    </row>
    <row r="74">
      <c r="A74" s="22" t="inlineStr">
        <is>
          <t>CDF</t>
        </is>
      </c>
      <c r="B74" s="27">
        <f>IFERROR(B72*C74,"")</f>
        <v/>
      </c>
      <c r="C74" s="27">
        <f>IFERROR(C72*D74,"")</f>
        <v/>
      </c>
      <c r="D74" s="27">
        <f>IFERROR(D72*E74,"")</f>
        <v/>
      </c>
      <c r="E74" s="27">
        <f>IFERROR(E72*F74,"")</f>
        <v/>
      </c>
      <c r="F74" s="27">
        <f>IFERROR(F72*G74,"")</f>
        <v/>
      </c>
      <c r="G74" s="27">
        <f>IFERROR(G72*H74,"")</f>
        <v/>
      </c>
      <c r="H74" s="27">
        <f>IFERROR(H72*I74,"")</f>
        <v/>
      </c>
      <c r="I74" s="27">
        <f>IFERROR(I72*J74,"")</f>
        <v/>
      </c>
      <c r="J74" s="27">
        <f>IFERROR(J72*K74,"")</f>
        <v/>
      </c>
      <c r="K74" s="27">
        <f>IFERROR(K72*L74,"")</f>
        <v/>
      </c>
      <c r="L74" s="27">
        <f>IFERROR(L72*M74,"")</f>
        <v/>
      </c>
      <c r="M74" s="27" t="n">
        <v>1.0039</v>
      </c>
    </row>
    <row r="75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4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3" t="inlineStr">
        <is>
          <t>Reported Count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</row>
    <row r="2">
      <c r="A2" s="16" t="n"/>
      <c r="B2" s="8" t="inlineStr">
        <is>
          <t>11</t>
        </is>
      </c>
      <c r="C2" s="8" t="inlineStr">
        <is>
          <t>23</t>
        </is>
      </c>
      <c r="D2" s="8" t="inlineStr">
        <is>
          <t>35</t>
        </is>
      </c>
      <c r="E2" s="8" t="inlineStr">
        <is>
          <t>47</t>
        </is>
      </c>
      <c r="F2" s="8" t="inlineStr">
        <is>
          <t>59</t>
        </is>
      </c>
      <c r="G2" s="8" t="inlineStr">
        <is>
          <t>71</t>
        </is>
      </c>
      <c r="H2" s="8" t="inlineStr">
        <is>
          <t>83</t>
        </is>
      </c>
      <c r="I2" s="8" t="inlineStr">
        <is>
          <t>95</t>
        </is>
      </c>
      <c r="J2" s="8" t="inlineStr">
        <is>
          <t>107</t>
        </is>
      </c>
      <c r="K2" s="8" t="inlineStr">
        <is>
          <t>119</t>
        </is>
      </c>
      <c r="L2" s="8" t="inlineStr">
        <is>
          <t>131</t>
        </is>
      </c>
      <c r="M2" s="8" t="inlineStr">
        <is>
          <t>143</t>
        </is>
      </c>
    </row>
    <row r="3">
      <c r="A3" s="17" t="inlineStr">
        <is>
          <t>2001</t>
        </is>
      </c>
      <c r="B3" s="18" t="n">
        <v>637.3668</v>
      </c>
      <c r="C3" s="18" t="n">
        <v>682.2332</v>
      </c>
      <c r="D3" s="18" t="n">
        <v>683.5528</v>
      </c>
      <c r="E3" s="18" t="n">
        <v>683.5528</v>
      </c>
      <c r="F3" s="18" t="n">
        <v>683.5528</v>
      </c>
      <c r="G3" s="18" t="n">
        <v>683.5528</v>
      </c>
      <c r="H3" s="18" t="n">
        <v>700.7076</v>
      </c>
      <c r="I3" s="18" t="n">
        <v>700.7076</v>
      </c>
      <c r="J3" s="18" t="n">
        <v>700.7076</v>
      </c>
      <c r="K3" s="18" t="n">
        <v>700.7076</v>
      </c>
      <c r="L3" s="18" t="n">
        <v>700.7076</v>
      </c>
      <c r="M3" s="18" t="n">
        <v>700.7076</v>
      </c>
    </row>
    <row r="4">
      <c r="A4" s="17" t="inlineStr">
        <is>
          <t>2002</t>
        </is>
      </c>
      <c r="B4" s="18" t="n">
        <v>613.614</v>
      </c>
      <c r="C4" s="18" t="n">
        <v>634.7276000000001</v>
      </c>
      <c r="D4" s="18" t="n">
        <v>634.7276000000001</v>
      </c>
      <c r="E4" s="18" t="n">
        <v>634.7276000000001</v>
      </c>
      <c r="F4" s="18" t="n">
        <v>634.7276000000001</v>
      </c>
      <c r="G4" s="18" t="n">
        <v>651.8824</v>
      </c>
      <c r="H4" s="18" t="n">
        <v>651.8824</v>
      </c>
      <c r="I4" s="18" t="n">
        <v>651.8824</v>
      </c>
      <c r="J4" s="18" t="n">
        <v>651.8824</v>
      </c>
      <c r="K4" s="18" t="n">
        <v>651.8824</v>
      </c>
      <c r="L4" s="18" t="n">
        <v>651.8824</v>
      </c>
      <c r="M4" s="18" t="n">
        <v>651.8824</v>
      </c>
    </row>
    <row r="5">
      <c r="A5" s="17" t="inlineStr">
        <is>
          <t>2003</t>
        </is>
      </c>
      <c r="B5" s="18" t="n">
        <v>534.438</v>
      </c>
      <c r="C5" s="18" t="n">
        <v>552.9124</v>
      </c>
      <c r="D5" s="18" t="n">
        <v>552.9124</v>
      </c>
      <c r="E5" s="18" t="n">
        <v>552.9124</v>
      </c>
      <c r="F5" s="18" t="n">
        <v>550.2732</v>
      </c>
      <c r="G5" s="18" t="n">
        <v>550.2732</v>
      </c>
      <c r="H5" s="18" t="n">
        <v>551.5928</v>
      </c>
      <c r="I5" s="18" t="n">
        <v>551.5928</v>
      </c>
      <c r="J5" s="18" t="n">
        <v>551.5928</v>
      </c>
      <c r="K5" s="18" t="n">
        <v>551.5928</v>
      </c>
      <c r="L5" s="18" t="n">
        <v>551.5928</v>
      </c>
      <c r="M5" s="18" t="n">
        <v>551.5928</v>
      </c>
    </row>
    <row r="6">
      <c r="A6" s="17" t="inlineStr">
        <is>
          <t>2004</t>
        </is>
      </c>
      <c r="B6" s="18" t="n">
        <v>603.0572</v>
      </c>
      <c r="C6" s="18" t="n">
        <v>638.6864</v>
      </c>
      <c r="D6" s="18" t="n">
        <v>638.6864</v>
      </c>
      <c r="E6" s="18" t="n">
        <v>641.3256</v>
      </c>
      <c r="F6" s="18" t="n">
        <v>642.6452</v>
      </c>
      <c r="G6" s="18" t="n">
        <v>642.6452</v>
      </c>
      <c r="H6" s="18" t="n">
        <v>642.6452</v>
      </c>
      <c r="I6" s="18" t="n">
        <v>642.6452</v>
      </c>
      <c r="J6" s="18" t="n">
        <v>642.6452</v>
      </c>
      <c r="K6" s="18" t="n">
        <v>642.6452</v>
      </c>
      <c r="L6" s="18" t="n">
        <v>642.6452</v>
      </c>
      <c r="M6" s="18" t="n">
        <v>642.6452</v>
      </c>
    </row>
    <row r="7">
      <c r="A7" s="17" t="inlineStr">
        <is>
          <t>2005</t>
        </is>
      </c>
      <c r="B7" s="18" t="n">
        <v>626.8099999999999</v>
      </c>
      <c r="C7" s="18" t="n">
        <v>641.3256</v>
      </c>
      <c r="D7" s="18" t="n">
        <v>642.6452</v>
      </c>
      <c r="E7" s="18" t="n">
        <v>641.3256</v>
      </c>
      <c r="F7" s="18" t="n">
        <v>641.3256</v>
      </c>
      <c r="G7" s="18" t="n">
        <v>641.3256</v>
      </c>
      <c r="H7" s="18" t="n">
        <v>641.3256</v>
      </c>
      <c r="I7" s="18" t="n">
        <v>641.3256</v>
      </c>
      <c r="J7" s="18" t="n">
        <v>641.3256</v>
      </c>
      <c r="K7" s="18" t="n">
        <v>641.3256</v>
      </c>
      <c r="L7" s="18" t="n">
        <v>641.3256</v>
      </c>
      <c r="M7" s="18" t="n">
        <v>641.3256</v>
      </c>
    </row>
    <row r="8">
      <c r="A8" s="17" t="inlineStr">
        <is>
          <t>2006</t>
        </is>
      </c>
      <c r="B8" s="18" t="n">
        <v>479.0148</v>
      </c>
      <c r="C8" s="18" t="n">
        <v>497.4892</v>
      </c>
      <c r="D8" s="18" t="n">
        <v>497.4892</v>
      </c>
      <c r="E8" s="18" t="n">
        <v>497.4892</v>
      </c>
      <c r="F8" s="18" t="n">
        <v>497.4892</v>
      </c>
      <c r="G8" s="18" t="n">
        <v>497.4892</v>
      </c>
      <c r="H8" s="18" t="n">
        <v>497.4892</v>
      </c>
      <c r="I8" s="18" t="n">
        <v>497.4892</v>
      </c>
      <c r="J8" s="18" t="n">
        <v>497.4892</v>
      </c>
      <c r="K8" s="18" t="n">
        <v>497.4892</v>
      </c>
      <c r="L8" s="18" t="n">
        <v>497.4892</v>
      </c>
      <c r="M8" s="18" t="n">
        <v>497.4892</v>
      </c>
    </row>
    <row r="9">
      <c r="A9" s="17" t="inlineStr">
        <is>
          <t>2007</t>
        </is>
      </c>
      <c r="B9" s="18" t="n">
        <v>456.5816</v>
      </c>
      <c r="C9" s="18" t="n">
        <v>476.3756</v>
      </c>
      <c r="D9" s="18" t="n">
        <v>476.3756</v>
      </c>
      <c r="E9" s="18" t="n">
        <v>476.3756</v>
      </c>
      <c r="F9" s="18" t="n">
        <v>476.3756</v>
      </c>
      <c r="G9" s="18" t="n">
        <v>476.3756</v>
      </c>
      <c r="H9" s="18" t="n">
        <v>476.3756</v>
      </c>
      <c r="I9" s="18" t="n">
        <v>476.3756</v>
      </c>
      <c r="J9" s="18" t="n">
        <v>476.3756</v>
      </c>
      <c r="K9" s="18" t="n">
        <v>476.3756</v>
      </c>
      <c r="L9" s="18" t="n">
        <v>476.3756</v>
      </c>
      <c r="M9" s="18" t="n">
        <v>476.3756</v>
      </c>
    </row>
    <row r="10">
      <c r="A10" s="17" t="inlineStr">
        <is>
          <t>2008</t>
        </is>
      </c>
      <c r="B10" s="18" t="n">
        <v>307.4668</v>
      </c>
      <c r="C10" s="18" t="n">
        <v>327.2608</v>
      </c>
      <c r="D10" s="18" t="n">
        <v>328.5804</v>
      </c>
      <c r="E10" s="18" t="n">
        <v>328.5804</v>
      </c>
      <c r="F10" s="18" t="n">
        <v>328.5804</v>
      </c>
      <c r="G10" s="18" t="n">
        <v>328.5804</v>
      </c>
      <c r="H10" s="18" t="n">
        <v>328.5804</v>
      </c>
      <c r="I10" s="18" t="n">
        <v>328.5804</v>
      </c>
      <c r="J10" s="18" t="n">
        <v>328.5804</v>
      </c>
      <c r="K10" s="18" t="n">
        <v>328.5804</v>
      </c>
      <c r="L10" s="18" t="n">
        <v>328.5804</v>
      </c>
      <c r="M10" s="18" t="n">
        <v>328.5804</v>
      </c>
    </row>
    <row r="11">
      <c r="A11" s="17" t="inlineStr">
        <is>
          <t>2009</t>
        </is>
      </c>
      <c r="B11" s="18" t="n">
        <v>306.1472</v>
      </c>
      <c r="C11" s="18" t="n">
        <v>320.6628</v>
      </c>
      <c r="D11" s="18" t="n">
        <v>321.9824</v>
      </c>
      <c r="E11" s="18" t="n">
        <v>321.9824</v>
      </c>
      <c r="F11" s="18" t="n">
        <v>321.9824</v>
      </c>
      <c r="G11" s="18" t="n">
        <v>321.9824</v>
      </c>
      <c r="H11" s="18" t="n">
        <v>321.9824</v>
      </c>
      <c r="I11" s="18" t="n">
        <v>321.9824</v>
      </c>
      <c r="J11" s="18" t="n">
        <v>321.9824</v>
      </c>
      <c r="K11" s="18" t="n">
        <v>321.9824</v>
      </c>
      <c r="L11" s="18" t="n">
        <v>321.9824</v>
      </c>
      <c r="M11" s="18" t="n">
        <v>321.9824</v>
      </c>
    </row>
    <row r="12">
      <c r="A12" s="17" t="inlineStr">
        <is>
          <t>2010</t>
        </is>
      </c>
      <c r="B12" s="18" t="n">
        <v>259.9612</v>
      </c>
      <c r="C12" s="18" t="n">
        <v>271.8376</v>
      </c>
      <c r="D12" s="18" t="n">
        <v>271.8376</v>
      </c>
      <c r="E12" s="18" t="n">
        <v>271.8376</v>
      </c>
      <c r="F12" s="18" t="n">
        <v>271.8376</v>
      </c>
      <c r="G12" s="18" t="n">
        <v>271.8376</v>
      </c>
      <c r="H12" s="18" t="n">
        <v>271.8376</v>
      </c>
      <c r="I12" s="18" t="n">
        <v>271.8376</v>
      </c>
      <c r="J12" s="18" t="n">
        <v>271.8376</v>
      </c>
      <c r="K12" s="18" t="n">
        <v>271.8376</v>
      </c>
      <c r="L12" s="18" t="n">
        <v>271.8376</v>
      </c>
      <c r="M12" s="18" t="n">
        <v>271.8376</v>
      </c>
    </row>
    <row r="13">
      <c r="A13" s="17" t="inlineStr">
        <is>
          <t>2011</t>
        </is>
      </c>
      <c r="B13" s="18" t="n">
        <v>345.7352</v>
      </c>
      <c r="C13" s="18" t="n">
        <v>345.7352</v>
      </c>
      <c r="D13" s="18" t="n">
        <v>345.7352</v>
      </c>
      <c r="E13" s="18" t="n">
        <v>345.7352</v>
      </c>
      <c r="F13" s="18" t="n">
        <v>345.7352</v>
      </c>
      <c r="G13" s="18" t="n">
        <v>345.7352</v>
      </c>
      <c r="H13" s="18" t="n">
        <v>345.7352</v>
      </c>
      <c r="I13" s="18" t="n">
        <v>345.7352</v>
      </c>
      <c r="J13" s="18" t="n">
        <v>345.7352</v>
      </c>
      <c r="K13" s="18" t="n">
        <v>345.7352</v>
      </c>
      <c r="L13" s="18" t="n">
        <v>345.7352</v>
      </c>
      <c r="M13" s="18" t="n">
        <v>345.7352</v>
      </c>
    </row>
    <row r="14">
      <c r="A14" s="17" t="inlineStr">
        <is>
          <t>2012</t>
        </is>
      </c>
      <c r="B14" s="18" t="n">
        <v>245.4456</v>
      </c>
      <c r="C14" s="18" t="n">
        <v>261.2808</v>
      </c>
      <c r="D14" s="18" t="n">
        <v>261.2808</v>
      </c>
      <c r="E14" s="18" t="n">
        <v>261.2808</v>
      </c>
      <c r="F14" s="18" t="n">
        <v>261.2808</v>
      </c>
      <c r="G14" s="18" t="n">
        <v>261.2808</v>
      </c>
      <c r="H14" s="18" t="n">
        <v>261.2808</v>
      </c>
      <c r="I14" s="18" t="n">
        <v>261.2808</v>
      </c>
      <c r="J14" s="18" t="n">
        <v>261.2808</v>
      </c>
      <c r="K14" s="18" t="n">
        <v>261.2808</v>
      </c>
      <c r="L14" s="18" t="n">
        <v>261.2808</v>
      </c>
      <c r="M14" s="18" t="n">
        <v>261.2808</v>
      </c>
    </row>
    <row r="15">
      <c r="A15" s="17" t="inlineStr">
        <is>
          <t>2013</t>
        </is>
      </c>
      <c r="B15" s="18" t="n">
        <v>282.3944</v>
      </c>
      <c r="C15" s="18" t="n">
        <v>290.312</v>
      </c>
      <c r="D15" s="18" t="n">
        <v>290.312</v>
      </c>
      <c r="E15" s="18" t="n">
        <v>291.6316</v>
      </c>
      <c r="F15" s="18" t="n">
        <v>291.6316</v>
      </c>
      <c r="G15" s="18" t="n">
        <v>291.6316</v>
      </c>
      <c r="H15" s="18" t="n">
        <v>291.6316</v>
      </c>
      <c r="I15" s="18" t="n">
        <v>291.6316</v>
      </c>
      <c r="J15" s="18" t="n">
        <v>291.6316</v>
      </c>
      <c r="K15" s="18" t="n">
        <v>291.6316</v>
      </c>
      <c r="L15" s="18" t="n">
        <v>291.6316</v>
      </c>
      <c r="M15" s="18" t="n">
        <v>291.6316</v>
      </c>
    </row>
    <row r="16">
      <c r="A16" s="17" t="inlineStr">
        <is>
          <t>2014</t>
        </is>
      </c>
      <c r="B16" s="18" t="n">
        <v>434.1484</v>
      </c>
      <c r="C16" s="18" t="n">
        <v>453.9424</v>
      </c>
      <c r="D16" s="18" t="n">
        <v>455.262</v>
      </c>
      <c r="E16" s="18" t="n">
        <v>455.262</v>
      </c>
      <c r="F16" s="18" t="n">
        <v>455.262</v>
      </c>
      <c r="G16" s="18" t="n">
        <v>455.262</v>
      </c>
      <c r="H16" s="18" t="n">
        <v>455.262</v>
      </c>
      <c r="I16" s="18" t="n">
        <v>455.262</v>
      </c>
      <c r="J16" s="18" t="n">
        <v>455.262</v>
      </c>
      <c r="K16" s="18" t="n">
        <v>455.262</v>
      </c>
      <c r="L16" s="18" t="n">
        <v>455.262</v>
      </c>
    </row>
    <row r="17">
      <c r="A17" s="17" t="inlineStr">
        <is>
          <t>2015</t>
        </is>
      </c>
      <c r="B17" s="18" t="n">
        <v>321.9824</v>
      </c>
      <c r="C17" s="18" t="n">
        <v>332.5392</v>
      </c>
      <c r="D17" s="18" t="n">
        <v>337.8176</v>
      </c>
      <c r="E17" s="18" t="n">
        <v>337.8176</v>
      </c>
      <c r="F17" s="18" t="n">
        <v>337.8176</v>
      </c>
      <c r="G17" s="18" t="n">
        <v>337.8176</v>
      </c>
      <c r="H17" s="18" t="n">
        <v>337.8176</v>
      </c>
      <c r="I17" s="18" t="n">
        <v>337.8176</v>
      </c>
      <c r="J17" s="18" t="n">
        <v>337.8176</v>
      </c>
      <c r="K17" s="18" t="n">
        <v>333.8588</v>
      </c>
    </row>
    <row r="18">
      <c r="A18" s="17" t="inlineStr">
        <is>
          <t>2016</t>
        </is>
      </c>
      <c r="B18" s="18" t="n">
        <v>345.7352</v>
      </c>
      <c r="C18" s="18" t="n">
        <v>373.4468</v>
      </c>
      <c r="D18" s="18" t="n">
        <v>390.6016</v>
      </c>
      <c r="E18" s="18" t="n">
        <v>390.6016</v>
      </c>
      <c r="F18" s="18" t="n">
        <v>390.6016</v>
      </c>
      <c r="G18" s="18" t="n">
        <v>390.6016</v>
      </c>
      <c r="H18" s="18" t="n">
        <v>390.6016</v>
      </c>
      <c r="I18" s="18" t="n">
        <v>390.6016</v>
      </c>
      <c r="J18" s="18" t="n">
        <v>390.6016</v>
      </c>
    </row>
    <row r="19">
      <c r="A19" s="17" t="inlineStr">
        <is>
          <t>2017</t>
        </is>
      </c>
      <c r="B19" s="18" t="n">
        <v>275.7964</v>
      </c>
      <c r="C19" s="18" t="n">
        <v>310.106</v>
      </c>
      <c r="D19" s="18" t="n">
        <v>311.4256</v>
      </c>
      <c r="E19" s="18" t="n">
        <v>312.7452</v>
      </c>
      <c r="F19" s="18" t="n">
        <v>311.4256</v>
      </c>
      <c r="G19" s="18" t="n">
        <v>311.4256</v>
      </c>
      <c r="H19" s="18" t="n">
        <v>311.4256</v>
      </c>
      <c r="I19" s="18" t="n">
        <v>310.106</v>
      </c>
    </row>
    <row r="20">
      <c r="A20" s="17" t="inlineStr">
        <is>
          <t>2018</t>
        </is>
      </c>
      <c r="B20" s="18" t="n">
        <v>288.9924</v>
      </c>
      <c r="C20" s="18" t="n">
        <v>324.6216</v>
      </c>
      <c r="D20" s="18" t="n">
        <v>324.6216</v>
      </c>
      <c r="E20" s="18" t="n">
        <v>324.6216</v>
      </c>
      <c r="F20" s="18" t="n">
        <v>325.9412</v>
      </c>
      <c r="G20" s="18" t="n">
        <v>325.9412</v>
      </c>
      <c r="H20" s="18" t="n">
        <v>325.9412</v>
      </c>
    </row>
    <row r="21">
      <c r="A21" s="17" t="inlineStr">
        <is>
          <t>2019</t>
        </is>
      </c>
      <c r="B21" s="18" t="n">
        <v>314.0648</v>
      </c>
      <c r="C21" s="18" t="n">
        <v>358.9312</v>
      </c>
      <c r="D21" s="18" t="n">
        <v>358.9312</v>
      </c>
      <c r="E21" s="18" t="n">
        <v>358.9312</v>
      </c>
      <c r="F21" s="18" t="n">
        <v>358.9312</v>
      </c>
      <c r="G21" s="18" t="n">
        <v>357.6116</v>
      </c>
    </row>
    <row r="22">
      <c r="A22" s="17" t="inlineStr">
        <is>
          <t>2020</t>
        </is>
      </c>
      <c r="B22" s="18" t="n">
        <v>349.694</v>
      </c>
      <c r="C22" s="18" t="n">
        <v>370.8076</v>
      </c>
      <c r="D22" s="18" t="n">
        <v>370.8076</v>
      </c>
      <c r="E22" s="18" t="n">
        <v>370.8076</v>
      </c>
      <c r="F22" s="18" t="n">
        <v>370.8076</v>
      </c>
    </row>
    <row r="23">
      <c r="A23" s="17" t="inlineStr">
        <is>
          <t>2021</t>
        </is>
      </c>
      <c r="B23" s="18" t="n">
        <v>288.9924</v>
      </c>
      <c r="C23" s="18" t="n">
        <v>329.9</v>
      </c>
      <c r="D23" s="18" t="n">
        <v>329.9</v>
      </c>
      <c r="E23" s="18" t="n">
        <v>329.9</v>
      </c>
    </row>
    <row r="24">
      <c r="A24" s="17" t="inlineStr">
        <is>
          <t>2022</t>
        </is>
      </c>
      <c r="B24" s="18" t="n">
        <v>261.2808</v>
      </c>
      <c r="C24" s="18" t="n">
        <v>298.2296</v>
      </c>
      <c r="D24" s="18" t="n">
        <v>298.2296</v>
      </c>
    </row>
    <row r="25">
      <c r="A25" s="17" t="inlineStr">
        <is>
          <t>2023</t>
        </is>
      </c>
      <c r="B25" s="18" t="n">
        <v>273.1572</v>
      </c>
      <c r="C25" s="18" t="n">
        <v>304.8276</v>
      </c>
    </row>
    <row r="26">
      <c r="A26" s="17" t="inlineStr">
        <is>
          <t>2024</t>
        </is>
      </c>
      <c r="B26" s="18" t="n">
        <v>256.0024</v>
      </c>
    </row>
    <row r="27"/>
    <row r="28">
      <c r="A28" s="3" t="inlineStr">
        <is>
          <t>Age-to-Age Factors</t>
        </is>
      </c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</row>
    <row r="29">
      <c r="A29" s="16" t="n"/>
      <c r="B29" s="8" t="inlineStr">
        <is>
          <t>11-23</t>
        </is>
      </c>
      <c r="C29" s="8" t="inlineStr">
        <is>
          <t>23-35</t>
        </is>
      </c>
      <c r="D29" s="8" t="inlineStr">
        <is>
          <t>35-47</t>
        </is>
      </c>
      <c r="E29" s="8" t="inlineStr">
        <is>
          <t>47-59</t>
        </is>
      </c>
      <c r="F29" s="8" t="inlineStr">
        <is>
          <t>59-71</t>
        </is>
      </c>
      <c r="G29" s="8" t="inlineStr">
        <is>
          <t>71-83</t>
        </is>
      </c>
      <c r="H29" s="8" t="inlineStr">
        <is>
          <t>83-95</t>
        </is>
      </c>
      <c r="I29" s="8" t="inlineStr">
        <is>
          <t>95-107</t>
        </is>
      </c>
      <c r="J29" s="8" t="inlineStr">
        <is>
          <t>107-119</t>
        </is>
      </c>
      <c r="K29" s="8" t="inlineStr">
        <is>
          <t>119-131</t>
        </is>
      </c>
      <c r="L29" s="8" t="inlineStr">
        <is>
          <t>131-143</t>
        </is>
      </c>
      <c r="M29" s="8" t="inlineStr">
        <is>
          <t>143-Ult</t>
        </is>
      </c>
    </row>
    <row r="30">
      <c r="A30" s="17" t="inlineStr">
        <is>
          <t>2001</t>
        </is>
      </c>
      <c r="B30" s="19">
        <f>IFERROR(IF(C3="","",C3/B3),"")</f>
        <v/>
      </c>
      <c r="C30" s="19">
        <f>IFERROR(IF(D3="","",D3/C3),"")</f>
        <v/>
      </c>
      <c r="D30" s="19">
        <f>IFERROR(IF(E3="","",E3/D3),"")</f>
        <v/>
      </c>
      <c r="E30" s="19">
        <f>IFERROR(IF(F3="","",F3/E3),"")</f>
        <v/>
      </c>
      <c r="F30" s="19">
        <f>IFERROR(IF(G3="","",G3/F3),"")</f>
        <v/>
      </c>
      <c r="G30" s="19">
        <f>IFERROR(IF(H3="","",H3/G3),"")</f>
        <v/>
      </c>
      <c r="H30" s="19">
        <f>IFERROR(IF(I3="","",I3/H3),"")</f>
        <v/>
      </c>
      <c r="I30" s="19">
        <f>IFERROR(IF(J3="","",J3/I3),"")</f>
        <v/>
      </c>
      <c r="J30" s="19">
        <f>IFERROR(IF(K3="","",K3/J3),"")</f>
        <v/>
      </c>
      <c r="K30" s="19">
        <f>IFERROR(IF(L3="","",L3/K3),"")</f>
        <v/>
      </c>
      <c r="L30" s="19">
        <f>IFERROR(IF(M3="","",M3/L3),"")</f>
        <v/>
      </c>
      <c r="M30" s="19" t="n"/>
    </row>
    <row r="31">
      <c r="A31" s="17" t="inlineStr">
        <is>
          <t>2002</t>
        </is>
      </c>
      <c r="B31" s="19">
        <f>IFERROR(IF(C4="","",C4/B4),"")</f>
        <v/>
      </c>
      <c r="C31" s="19">
        <f>IFERROR(IF(D4="","",D4/C4),"")</f>
        <v/>
      </c>
      <c r="D31" s="19">
        <f>IFERROR(IF(E4="","",E4/D4),"")</f>
        <v/>
      </c>
      <c r="E31" s="19">
        <f>IFERROR(IF(F4="","",F4/E4),"")</f>
        <v/>
      </c>
      <c r="F31" s="19">
        <f>IFERROR(IF(G4="","",G4/F4),"")</f>
        <v/>
      </c>
      <c r="G31" s="19">
        <f>IFERROR(IF(H4="","",H4/G4),"")</f>
        <v/>
      </c>
      <c r="H31" s="19">
        <f>IFERROR(IF(I4="","",I4/H4),"")</f>
        <v/>
      </c>
      <c r="I31" s="19">
        <f>IFERROR(IF(J4="","",J4/I4),"")</f>
        <v/>
      </c>
      <c r="J31" s="19">
        <f>IFERROR(IF(K4="","",K4/J4),"")</f>
        <v/>
      </c>
      <c r="K31" s="19">
        <f>IFERROR(IF(L4="","",L4/K4),"")</f>
        <v/>
      </c>
      <c r="L31" s="19">
        <f>IFERROR(IF(M4="","",M4/L4),"")</f>
        <v/>
      </c>
      <c r="M31" s="19" t="n"/>
    </row>
    <row r="32">
      <c r="A32" s="17" t="inlineStr">
        <is>
          <t>2003</t>
        </is>
      </c>
      <c r="B32" s="19">
        <f>IFERROR(IF(C5="","",C5/B5),"")</f>
        <v/>
      </c>
      <c r="C32" s="19">
        <f>IFERROR(IF(D5="","",D5/C5),"")</f>
        <v/>
      </c>
      <c r="D32" s="19">
        <f>IFERROR(IF(E5="","",E5/D5),"")</f>
        <v/>
      </c>
      <c r="E32" s="19">
        <f>IFERROR(IF(F5="","",F5/E5),"")</f>
        <v/>
      </c>
      <c r="F32" s="19">
        <f>IFERROR(IF(G5="","",G5/F5),"")</f>
        <v/>
      </c>
      <c r="G32" s="19">
        <f>IFERROR(IF(H5="","",H5/G5),"")</f>
        <v/>
      </c>
      <c r="H32" s="19">
        <f>IFERROR(IF(I5="","",I5/H5),"")</f>
        <v/>
      </c>
      <c r="I32" s="19">
        <f>IFERROR(IF(J5="","",J5/I5),"")</f>
        <v/>
      </c>
      <c r="J32" s="19">
        <f>IFERROR(IF(K5="","",K5/J5),"")</f>
        <v/>
      </c>
      <c r="K32" s="19">
        <f>IFERROR(IF(L5="","",L5/K5),"")</f>
        <v/>
      </c>
      <c r="L32" s="19">
        <f>IFERROR(IF(M5="","",M5/L5),"")</f>
        <v/>
      </c>
      <c r="M32" s="19" t="n"/>
    </row>
    <row r="33">
      <c r="A33" s="17" t="inlineStr">
        <is>
          <t>2004</t>
        </is>
      </c>
      <c r="B33" s="19">
        <f>IFERROR(IF(C6="","",C6/B6),"")</f>
        <v/>
      </c>
      <c r="C33" s="19">
        <f>IFERROR(IF(D6="","",D6/C6),"")</f>
        <v/>
      </c>
      <c r="D33" s="19">
        <f>IFERROR(IF(E6="","",E6/D6),"")</f>
        <v/>
      </c>
      <c r="E33" s="19">
        <f>IFERROR(IF(F6="","",F6/E6),"")</f>
        <v/>
      </c>
      <c r="F33" s="19">
        <f>IFERROR(IF(G6="","",G6/F6),"")</f>
        <v/>
      </c>
      <c r="G33" s="19">
        <f>IFERROR(IF(H6="","",H6/G6),"")</f>
        <v/>
      </c>
      <c r="H33" s="19">
        <f>IFERROR(IF(I6="","",I6/H6),"")</f>
        <v/>
      </c>
      <c r="I33" s="19">
        <f>IFERROR(IF(J6="","",J6/I6),"")</f>
        <v/>
      </c>
      <c r="J33" s="19">
        <f>IFERROR(IF(K6="","",K6/J6),"")</f>
        <v/>
      </c>
      <c r="K33" s="19">
        <f>IFERROR(IF(L6="","",L6/K6),"")</f>
        <v/>
      </c>
      <c r="L33" s="19">
        <f>IFERROR(IF(M6="","",M6/L6),"")</f>
        <v/>
      </c>
      <c r="M33" s="19" t="n"/>
    </row>
    <row r="34">
      <c r="A34" s="17" t="inlineStr">
        <is>
          <t>2005</t>
        </is>
      </c>
      <c r="B34" s="19">
        <f>IFERROR(IF(C7="","",C7/B7),"")</f>
        <v/>
      </c>
      <c r="C34" s="19">
        <f>IFERROR(IF(D7="","",D7/C7),"")</f>
        <v/>
      </c>
      <c r="D34" s="19">
        <f>IFERROR(IF(E7="","",E7/D7),"")</f>
        <v/>
      </c>
      <c r="E34" s="19">
        <f>IFERROR(IF(F7="","",F7/E7),"")</f>
        <v/>
      </c>
      <c r="F34" s="19">
        <f>IFERROR(IF(G7="","",G7/F7),"")</f>
        <v/>
      </c>
      <c r="G34" s="19">
        <f>IFERROR(IF(H7="","",H7/G7),"")</f>
        <v/>
      </c>
      <c r="H34" s="19">
        <f>IFERROR(IF(I7="","",I7/H7),"")</f>
        <v/>
      </c>
      <c r="I34" s="19">
        <f>IFERROR(IF(J7="","",J7/I7),"")</f>
        <v/>
      </c>
      <c r="J34" s="19">
        <f>IFERROR(IF(K7="","",K7/J7),"")</f>
        <v/>
      </c>
      <c r="K34" s="19">
        <f>IFERROR(IF(L7="","",L7/K7),"")</f>
        <v/>
      </c>
      <c r="L34" s="19">
        <f>IFERROR(IF(M7="","",M7/L7),"")</f>
        <v/>
      </c>
      <c r="M34" s="19" t="n"/>
    </row>
    <row r="35">
      <c r="A35" s="17" t="inlineStr">
        <is>
          <t>2006</t>
        </is>
      </c>
      <c r="B35" s="19">
        <f>IFERROR(IF(C8="","",C8/B8),"")</f>
        <v/>
      </c>
      <c r="C35" s="19">
        <f>IFERROR(IF(D8="","",D8/C8),"")</f>
        <v/>
      </c>
      <c r="D35" s="19">
        <f>IFERROR(IF(E8="","",E8/D8),"")</f>
        <v/>
      </c>
      <c r="E35" s="19">
        <f>IFERROR(IF(F8="","",F8/E8),"")</f>
        <v/>
      </c>
      <c r="F35" s="19">
        <f>IFERROR(IF(G8="","",G8/F8),"")</f>
        <v/>
      </c>
      <c r="G35" s="19">
        <f>IFERROR(IF(H8="","",H8/G8),"")</f>
        <v/>
      </c>
      <c r="H35" s="19">
        <f>IFERROR(IF(I8="","",I8/H8),"")</f>
        <v/>
      </c>
      <c r="I35" s="19">
        <f>IFERROR(IF(J8="","",J8/I8),"")</f>
        <v/>
      </c>
      <c r="J35" s="19">
        <f>IFERROR(IF(K8="","",K8/J8),"")</f>
        <v/>
      </c>
      <c r="K35" s="19">
        <f>IFERROR(IF(L8="","",L8/K8),"")</f>
        <v/>
      </c>
      <c r="L35" s="19">
        <f>IFERROR(IF(M8="","",M8/L8),"")</f>
        <v/>
      </c>
      <c r="M35" s="19" t="n"/>
    </row>
    <row r="36">
      <c r="A36" s="17" t="inlineStr">
        <is>
          <t>2007</t>
        </is>
      </c>
      <c r="B36" s="19">
        <f>IFERROR(IF(C9="","",C9/B9),"")</f>
        <v/>
      </c>
      <c r="C36" s="19">
        <f>IFERROR(IF(D9="","",D9/C9),"")</f>
        <v/>
      </c>
      <c r="D36" s="19">
        <f>IFERROR(IF(E9="","",E9/D9),"")</f>
        <v/>
      </c>
      <c r="E36" s="19">
        <f>IFERROR(IF(F9="","",F9/E9),"")</f>
        <v/>
      </c>
      <c r="F36" s="19">
        <f>IFERROR(IF(G9="","",G9/F9),"")</f>
        <v/>
      </c>
      <c r="G36" s="19">
        <f>IFERROR(IF(H9="","",H9/G9),"")</f>
        <v/>
      </c>
      <c r="H36" s="19">
        <f>IFERROR(IF(I9="","",I9/H9),"")</f>
        <v/>
      </c>
      <c r="I36" s="19">
        <f>IFERROR(IF(J9="","",J9/I9),"")</f>
        <v/>
      </c>
      <c r="J36" s="19">
        <f>IFERROR(IF(K9="","",K9/J9),"")</f>
        <v/>
      </c>
      <c r="K36" s="19">
        <f>IFERROR(IF(L9="","",L9/K9),"")</f>
        <v/>
      </c>
      <c r="L36" s="19">
        <f>IFERROR(IF(M9="","",M9/L9),"")</f>
        <v/>
      </c>
      <c r="M36" s="19" t="n"/>
    </row>
    <row r="37">
      <c r="A37" s="17" t="inlineStr">
        <is>
          <t>2008</t>
        </is>
      </c>
      <c r="B37" s="19">
        <f>IFERROR(IF(C10="","",C10/B10),"")</f>
        <v/>
      </c>
      <c r="C37" s="19">
        <f>IFERROR(IF(D10="","",D10/C10),"")</f>
        <v/>
      </c>
      <c r="D37" s="19">
        <f>IFERROR(IF(E10="","",E10/D10),"")</f>
        <v/>
      </c>
      <c r="E37" s="19">
        <f>IFERROR(IF(F10="","",F10/E10),"")</f>
        <v/>
      </c>
      <c r="F37" s="19">
        <f>IFERROR(IF(G10="","",G10/F10),"")</f>
        <v/>
      </c>
      <c r="G37" s="19">
        <f>IFERROR(IF(H10="","",H10/G10),"")</f>
        <v/>
      </c>
      <c r="H37" s="19">
        <f>IFERROR(IF(I10="","",I10/H10),"")</f>
        <v/>
      </c>
      <c r="I37" s="19">
        <f>IFERROR(IF(J10="","",J10/I10),"")</f>
        <v/>
      </c>
      <c r="J37" s="19">
        <f>IFERROR(IF(K10="","",K10/J10),"")</f>
        <v/>
      </c>
      <c r="K37" s="19">
        <f>IFERROR(IF(L10="","",L10/K10),"")</f>
        <v/>
      </c>
      <c r="L37" s="19">
        <f>IFERROR(IF(M10="","",M10/L10),"")</f>
        <v/>
      </c>
      <c r="M37" s="19" t="n"/>
    </row>
    <row r="38">
      <c r="A38" s="17" t="inlineStr">
        <is>
          <t>2009</t>
        </is>
      </c>
      <c r="B38" s="19">
        <f>IFERROR(IF(C11="","",C11/B11),"")</f>
        <v/>
      </c>
      <c r="C38" s="19">
        <f>IFERROR(IF(D11="","",D11/C11),"")</f>
        <v/>
      </c>
      <c r="D38" s="19">
        <f>IFERROR(IF(E11="","",E11/D11),"")</f>
        <v/>
      </c>
      <c r="E38" s="19">
        <f>IFERROR(IF(F11="","",F11/E11),"")</f>
        <v/>
      </c>
      <c r="F38" s="19">
        <f>IFERROR(IF(G11="","",G11/F11),"")</f>
        <v/>
      </c>
      <c r="G38" s="19">
        <f>IFERROR(IF(H11="","",H11/G11),"")</f>
        <v/>
      </c>
      <c r="H38" s="19">
        <f>IFERROR(IF(I11="","",I11/H11),"")</f>
        <v/>
      </c>
      <c r="I38" s="19">
        <f>IFERROR(IF(J11="","",J11/I11),"")</f>
        <v/>
      </c>
      <c r="J38" s="19">
        <f>IFERROR(IF(K11="","",K11/J11),"")</f>
        <v/>
      </c>
      <c r="K38" s="19">
        <f>IFERROR(IF(L11="","",L11/K11),"")</f>
        <v/>
      </c>
      <c r="L38" s="19">
        <f>IFERROR(IF(M11="","",M11/L11),"")</f>
        <v/>
      </c>
      <c r="M38" s="19" t="n"/>
    </row>
    <row r="39">
      <c r="A39" s="17" t="inlineStr">
        <is>
          <t>2010</t>
        </is>
      </c>
      <c r="B39" s="19">
        <f>IFERROR(IF(C12="","",C12/B12),"")</f>
        <v/>
      </c>
      <c r="C39" s="19">
        <f>IFERROR(IF(D12="","",D12/C12),"")</f>
        <v/>
      </c>
      <c r="D39" s="19">
        <f>IFERROR(IF(E12="","",E12/D12),"")</f>
        <v/>
      </c>
      <c r="E39" s="19">
        <f>IFERROR(IF(F12="","",F12/E12),"")</f>
        <v/>
      </c>
      <c r="F39" s="19">
        <f>IFERROR(IF(G12="","",G12/F12),"")</f>
        <v/>
      </c>
      <c r="G39" s="19">
        <f>IFERROR(IF(H12="","",H12/G12),"")</f>
        <v/>
      </c>
      <c r="H39" s="19">
        <f>IFERROR(IF(I12="","",I12/H12),"")</f>
        <v/>
      </c>
      <c r="I39" s="19">
        <f>IFERROR(IF(J12="","",J12/I12),"")</f>
        <v/>
      </c>
      <c r="J39" s="19">
        <f>IFERROR(IF(K12="","",K12/J12),"")</f>
        <v/>
      </c>
      <c r="K39" s="19">
        <f>IFERROR(IF(L12="","",L12/K12),"")</f>
        <v/>
      </c>
      <c r="L39" s="19">
        <f>IFERROR(IF(M12="","",M12/L12),"")</f>
        <v/>
      </c>
      <c r="M39" s="19" t="n"/>
    </row>
    <row r="40">
      <c r="A40" s="17" t="inlineStr">
        <is>
          <t>2011</t>
        </is>
      </c>
      <c r="B40" s="19">
        <f>IFERROR(IF(C13="","",C13/B13),"")</f>
        <v/>
      </c>
      <c r="C40" s="19">
        <f>IFERROR(IF(D13="","",D13/C13),"")</f>
        <v/>
      </c>
      <c r="D40" s="19">
        <f>IFERROR(IF(E13="","",E13/D13),"")</f>
        <v/>
      </c>
      <c r="E40" s="19">
        <f>IFERROR(IF(F13="","",F13/E13),"")</f>
        <v/>
      </c>
      <c r="F40" s="19">
        <f>IFERROR(IF(G13="","",G13/F13),"")</f>
        <v/>
      </c>
      <c r="G40" s="19">
        <f>IFERROR(IF(H13="","",H13/G13),"")</f>
        <v/>
      </c>
      <c r="H40" s="19">
        <f>IFERROR(IF(I13="","",I13/H13),"")</f>
        <v/>
      </c>
      <c r="I40" s="19">
        <f>IFERROR(IF(J13="","",J13/I13),"")</f>
        <v/>
      </c>
      <c r="J40" s="19">
        <f>IFERROR(IF(K13="","",K13/J13),"")</f>
        <v/>
      </c>
      <c r="K40" s="19">
        <f>IFERROR(IF(L13="","",L13/K13),"")</f>
        <v/>
      </c>
      <c r="L40" s="19">
        <f>IFERROR(IF(M13="","",M13/L13),"")</f>
        <v/>
      </c>
      <c r="M40" s="19" t="n"/>
    </row>
    <row r="41">
      <c r="A41" s="17" t="inlineStr">
        <is>
          <t>2012</t>
        </is>
      </c>
      <c r="B41" s="19">
        <f>IFERROR(IF(C14="","",C14/B14),"")</f>
        <v/>
      </c>
      <c r="C41" s="19">
        <f>IFERROR(IF(D14="","",D14/C14),"")</f>
        <v/>
      </c>
      <c r="D41" s="19">
        <f>IFERROR(IF(E14="","",E14/D14),"")</f>
        <v/>
      </c>
      <c r="E41" s="19">
        <f>IFERROR(IF(F14="","",F14/E14),"")</f>
        <v/>
      </c>
      <c r="F41" s="19">
        <f>IFERROR(IF(G14="","",G14/F14),"")</f>
        <v/>
      </c>
      <c r="G41" s="19">
        <f>IFERROR(IF(H14="","",H14/G14),"")</f>
        <v/>
      </c>
      <c r="H41" s="19">
        <f>IFERROR(IF(I14="","",I14/H14),"")</f>
        <v/>
      </c>
      <c r="I41" s="19">
        <f>IFERROR(IF(J14="","",J14/I14),"")</f>
        <v/>
      </c>
      <c r="J41" s="19">
        <f>IFERROR(IF(K14="","",K14/J14),"")</f>
        <v/>
      </c>
      <c r="K41" s="19">
        <f>IFERROR(IF(L14="","",L14/K14),"")</f>
        <v/>
      </c>
      <c r="L41" s="19">
        <f>IFERROR(IF(M14="","",M14/L14),"")</f>
        <v/>
      </c>
      <c r="M41" s="19" t="n"/>
    </row>
    <row r="42">
      <c r="A42" s="17" t="inlineStr">
        <is>
          <t>2013</t>
        </is>
      </c>
      <c r="B42" s="19">
        <f>IFERROR(IF(C15="","",C15/B15),"")</f>
        <v/>
      </c>
      <c r="C42" s="19">
        <f>IFERROR(IF(D15="","",D15/C15),"")</f>
        <v/>
      </c>
      <c r="D42" s="19">
        <f>IFERROR(IF(E15="","",E15/D15),"")</f>
        <v/>
      </c>
      <c r="E42" s="19">
        <f>IFERROR(IF(F15="","",F15/E15),"")</f>
        <v/>
      </c>
      <c r="F42" s="19">
        <f>IFERROR(IF(G15="","",G15/F15),"")</f>
        <v/>
      </c>
      <c r="G42" s="19">
        <f>IFERROR(IF(H15="","",H15/G15),"")</f>
        <v/>
      </c>
      <c r="H42" s="19">
        <f>IFERROR(IF(I15="","",I15/H15),"")</f>
        <v/>
      </c>
      <c r="I42" s="19">
        <f>IFERROR(IF(J15="","",J15/I15),"")</f>
        <v/>
      </c>
      <c r="J42" s="19">
        <f>IFERROR(IF(K15="","",K15/J15),"")</f>
        <v/>
      </c>
      <c r="K42" s="19">
        <f>IFERROR(IF(L15="","",L15/K15),"")</f>
        <v/>
      </c>
      <c r="L42" s="19">
        <f>IFERROR(IF(M15="","",M15/L15),"")</f>
        <v/>
      </c>
      <c r="M42" s="19" t="n"/>
    </row>
    <row r="43">
      <c r="A43" s="17" t="inlineStr">
        <is>
          <t>2014</t>
        </is>
      </c>
      <c r="B43" s="19">
        <f>IFERROR(IF(C16="","",C16/B16),"")</f>
        <v/>
      </c>
      <c r="C43" s="19">
        <f>IFERROR(IF(D16="","",D16/C16),"")</f>
        <v/>
      </c>
      <c r="D43" s="19">
        <f>IFERROR(IF(E16="","",E16/D16),"")</f>
        <v/>
      </c>
      <c r="E43" s="19">
        <f>IFERROR(IF(F16="","",F16/E16),"")</f>
        <v/>
      </c>
      <c r="F43" s="19">
        <f>IFERROR(IF(G16="","",G16/F16),"")</f>
        <v/>
      </c>
      <c r="G43" s="19">
        <f>IFERROR(IF(H16="","",H16/G16),"")</f>
        <v/>
      </c>
      <c r="H43" s="19">
        <f>IFERROR(IF(I16="","",I16/H16),"")</f>
        <v/>
      </c>
      <c r="I43" s="19">
        <f>IFERROR(IF(J16="","",J16/I16),"")</f>
        <v/>
      </c>
      <c r="J43" s="19">
        <f>IFERROR(IF(K16="","",K16/J16),"")</f>
        <v/>
      </c>
      <c r="K43" s="19">
        <f>IFERROR(IF(L16="","",L16/K16),"")</f>
        <v/>
      </c>
      <c r="L43" s="19">
        <f>IFERROR(IF(M16="","",M16/L16),"")</f>
        <v/>
      </c>
      <c r="M43" s="19" t="n"/>
    </row>
    <row r="44">
      <c r="A44" s="17" t="inlineStr">
        <is>
          <t>2015</t>
        </is>
      </c>
      <c r="B44" s="19">
        <f>IFERROR(IF(C17="","",C17/B17),"")</f>
        <v/>
      </c>
      <c r="C44" s="19">
        <f>IFERROR(IF(D17="","",D17/C17),"")</f>
        <v/>
      </c>
      <c r="D44" s="19">
        <f>IFERROR(IF(E17="","",E17/D17),"")</f>
        <v/>
      </c>
      <c r="E44" s="19">
        <f>IFERROR(IF(F17="","",F17/E17),"")</f>
        <v/>
      </c>
      <c r="F44" s="19">
        <f>IFERROR(IF(G17="","",G17/F17),"")</f>
        <v/>
      </c>
      <c r="G44" s="19">
        <f>IFERROR(IF(H17="","",H17/G17),"")</f>
        <v/>
      </c>
      <c r="H44" s="19">
        <f>IFERROR(IF(I17="","",I17/H17),"")</f>
        <v/>
      </c>
      <c r="I44" s="19">
        <f>IFERROR(IF(J17="","",J17/I17),"")</f>
        <v/>
      </c>
      <c r="J44" s="19">
        <f>IFERROR(IF(K17="","",K17/J17),"")</f>
        <v/>
      </c>
      <c r="K44" s="19">
        <f>IFERROR(IF(L17="","",L17/K17),"")</f>
        <v/>
      </c>
      <c r="L44" s="19">
        <f>IFERROR(IF(M17="","",M17/L17),"")</f>
        <v/>
      </c>
      <c r="M44" s="19" t="n"/>
    </row>
    <row r="45">
      <c r="A45" s="17" t="inlineStr">
        <is>
          <t>2016</t>
        </is>
      </c>
      <c r="B45" s="19">
        <f>IFERROR(IF(C18="","",C18/B18),"")</f>
        <v/>
      </c>
      <c r="C45" s="19">
        <f>IFERROR(IF(D18="","",D18/C18),"")</f>
        <v/>
      </c>
      <c r="D45" s="19">
        <f>IFERROR(IF(E18="","",E18/D18),"")</f>
        <v/>
      </c>
      <c r="E45" s="19">
        <f>IFERROR(IF(F18="","",F18/E18),"")</f>
        <v/>
      </c>
      <c r="F45" s="19">
        <f>IFERROR(IF(G18="","",G18/F18),"")</f>
        <v/>
      </c>
      <c r="G45" s="19">
        <f>IFERROR(IF(H18="","",H18/G18),"")</f>
        <v/>
      </c>
      <c r="H45" s="19">
        <f>IFERROR(IF(I18="","",I18/H18),"")</f>
        <v/>
      </c>
      <c r="I45" s="19">
        <f>IFERROR(IF(J18="","",J18/I18),"")</f>
        <v/>
      </c>
      <c r="J45" s="19">
        <f>IFERROR(IF(K18="","",K18/J18),"")</f>
        <v/>
      </c>
      <c r="K45" s="19">
        <f>IFERROR(IF(L18="","",L18/K18),"")</f>
        <v/>
      </c>
      <c r="L45" s="19">
        <f>IFERROR(IF(M18="","",M18/L18),"")</f>
        <v/>
      </c>
      <c r="M45" s="19" t="n"/>
    </row>
    <row r="46">
      <c r="A46" s="17" t="inlineStr">
        <is>
          <t>2017</t>
        </is>
      </c>
      <c r="B46" s="19">
        <f>IFERROR(IF(C19="","",C19/B19),"")</f>
        <v/>
      </c>
      <c r="C46" s="19">
        <f>IFERROR(IF(D19="","",D19/C19),"")</f>
        <v/>
      </c>
      <c r="D46" s="19">
        <f>IFERROR(IF(E19="","",E19/D19),"")</f>
        <v/>
      </c>
      <c r="E46" s="19">
        <f>IFERROR(IF(F19="","",F19/E19),"")</f>
        <v/>
      </c>
      <c r="F46" s="19">
        <f>IFERROR(IF(G19="","",G19/F19),"")</f>
        <v/>
      </c>
      <c r="G46" s="19">
        <f>IFERROR(IF(H19="","",H19/G19),"")</f>
        <v/>
      </c>
      <c r="H46" s="19">
        <f>IFERROR(IF(I19="","",I19/H19),"")</f>
        <v/>
      </c>
      <c r="I46" s="19">
        <f>IFERROR(IF(J19="","",J19/I19),"")</f>
        <v/>
      </c>
      <c r="J46" s="19">
        <f>IFERROR(IF(K19="","",K19/J19),"")</f>
        <v/>
      </c>
      <c r="K46" s="19">
        <f>IFERROR(IF(L19="","",L19/K19),"")</f>
        <v/>
      </c>
      <c r="L46" s="19">
        <f>IFERROR(IF(M19="","",M19/L19),"")</f>
        <v/>
      </c>
      <c r="M46" s="19" t="n"/>
    </row>
    <row r="47">
      <c r="A47" s="17" t="inlineStr">
        <is>
          <t>2018</t>
        </is>
      </c>
      <c r="B47" s="19">
        <f>IFERROR(IF(C20="","",C20/B20),"")</f>
        <v/>
      </c>
      <c r="C47" s="19">
        <f>IFERROR(IF(D20="","",D20/C20),"")</f>
        <v/>
      </c>
      <c r="D47" s="19">
        <f>IFERROR(IF(E20="","",E20/D20),"")</f>
        <v/>
      </c>
      <c r="E47" s="19">
        <f>IFERROR(IF(F20="","",F20/E20),"")</f>
        <v/>
      </c>
      <c r="F47" s="19">
        <f>IFERROR(IF(G20="","",G20/F20),"")</f>
        <v/>
      </c>
      <c r="G47" s="19">
        <f>IFERROR(IF(H20="","",H20/G20),"")</f>
        <v/>
      </c>
      <c r="H47" s="19">
        <f>IFERROR(IF(I20="","",I20/H20),"")</f>
        <v/>
      </c>
      <c r="I47" s="19">
        <f>IFERROR(IF(J20="","",J20/I20),"")</f>
        <v/>
      </c>
      <c r="J47" s="19">
        <f>IFERROR(IF(K20="","",K20/J20),"")</f>
        <v/>
      </c>
      <c r="K47" s="19">
        <f>IFERROR(IF(L20="","",L20/K20),"")</f>
        <v/>
      </c>
      <c r="L47" s="19">
        <f>IFERROR(IF(M20="","",M20/L20),"")</f>
        <v/>
      </c>
      <c r="M47" s="19" t="n"/>
    </row>
    <row r="48">
      <c r="A48" s="17" t="inlineStr">
        <is>
          <t>2019</t>
        </is>
      </c>
      <c r="B48" s="19">
        <f>IFERROR(IF(C21="","",C21/B21),"")</f>
        <v/>
      </c>
      <c r="C48" s="19">
        <f>IFERROR(IF(D21="","",D21/C21),"")</f>
        <v/>
      </c>
      <c r="D48" s="19">
        <f>IFERROR(IF(E21="","",E21/D21),"")</f>
        <v/>
      </c>
      <c r="E48" s="19">
        <f>IFERROR(IF(F21="","",F21/E21),"")</f>
        <v/>
      </c>
      <c r="F48" s="19">
        <f>IFERROR(IF(G21="","",G21/F21),"")</f>
        <v/>
      </c>
      <c r="G48" s="19">
        <f>IFERROR(IF(H21="","",H21/G21),"")</f>
        <v/>
      </c>
      <c r="H48" s="19">
        <f>IFERROR(IF(I21="","",I21/H21),"")</f>
        <v/>
      </c>
      <c r="I48" s="19">
        <f>IFERROR(IF(J21="","",J21/I21),"")</f>
        <v/>
      </c>
      <c r="J48" s="19">
        <f>IFERROR(IF(K21="","",K21/J21),"")</f>
        <v/>
      </c>
      <c r="K48" s="19">
        <f>IFERROR(IF(L21="","",L21/K21),"")</f>
        <v/>
      </c>
      <c r="L48" s="19">
        <f>IFERROR(IF(M21="","",M21/L21),"")</f>
        <v/>
      </c>
      <c r="M48" s="19" t="n"/>
    </row>
    <row r="49">
      <c r="A49" s="17" t="inlineStr">
        <is>
          <t>2020</t>
        </is>
      </c>
      <c r="B49" s="19">
        <f>IFERROR(IF(C22="","",C22/B22),"")</f>
        <v/>
      </c>
      <c r="C49" s="19">
        <f>IFERROR(IF(D22="","",D22/C22),"")</f>
        <v/>
      </c>
      <c r="D49" s="19">
        <f>IFERROR(IF(E22="","",E22/D22),"")</f>
        <v/>
      </c>
      <c r="E49" s="19">
        <f>IFERROR(IF(F22="","",F22/E22),"")</f>
        <v/>
      </c>
      <c r="F49" s="19">
        <f>IFERROR(IF(G22="","",G22/F22),"")</f>
        <v/>
      </c>
      <c r="G49" s="19">
        <f>IFERROR(IF(H22="","",H22/G22),"")</f>
        <v/>
      </c>
      <c r="H49" s="19">
        <f>IFERROR(IF(I22="","",I22/H22),"")</f>
        <v/>
      </c>
      <c r="I49" s="19">
        <f>IFERROR(IF(J22="","",J22/I22),"")</f>
        <v/>
      </c>
      <c r="J49" s="19">
        <f>IFERROR(IF(K22="","",K22/J22),"")</f>
        <v/>
      </c>
      <c r="K49" s="19">
        <f>IFERROR(IF(L22="","",L22/K22),"")</f>
        <v/>
      </c>
      <c r="L49" s="19">
        <f>IFERROR(IF(M22="","",M22/L22),"")</f>
        <v/>
      </c>
      <c r="M49" s="19" t="n"/>
    </row>
    <row r="50">
      <c r="A50" s="17" t="inlineStr">
        <is>
          <t>2021</t>
        </is>
      </c>
      <c r="B50" s="19">
        <f>IFERROR(IF(C23="","",C23/B23),"")</f>
        <v/>
      </c>
      <c r="C50" s="19">
        <f>IFERROR(IF(D23="","",D23/C23),"")</f>
        <v/>
      </c>
      <c r="D50" s="19">
        <f>IFERROR(IF(E23="","",E23/D23),"")</f>
        <v/>
      </c>
      <c r="E50" s="19">
        <f>IFERROR(IF(F23="","",F23/E23),"")</f>
        <v/>
      </c>
      <c r="F50" s="19">
        <f>IFERROR(IF(G23="","",G23/F23),"")</f>
        <v/>
      </c>
      <c r="G50" s="19">
        <f>IFERROR(IF(H23="","",H23/G23),"")</f>
        <v/>
      </c>
      <c r="H50" s="19">
        <f>IFERROR(IF(I23="","",I23/H23),"")</f>
        <v/>
      </c>
      <c r="I50" s="19">
        <f>IFERROR(IF(J23="","",J23/I23),"")</f>
        <v/>
      </c>
      <c r="J50" s="19">
        <f>IFERROR(IF(K23="","",K23/J23),"")</f>
        <v/>
      </c>
      <c r="K50" s="19">
        <f>IFERROR(IF(L23="","",L23/K23),"")</f>
        <v/>
      </c>
      <c r="L50" s="19">
        <f>IFERROR(IF(M23="","",M23/L23),"")</f>
        <v/>
      </c>
      <c r="M50" s="19" t="n"/>
    </row>
    <row r="51">
      <c r="A51" s="17" t="inlineStr">
        <is>
          <t>2022</t>
        </is>
      </c>
      <c r="B51" s="19">
        <f>IFERROR(IF(C24="","",C24/B24),"")</f>
        <v/>
      </c>
      <c r="C51" s="19">
        <f>IFERROR(IF(D24="","",D24/C24),"")</f>
        <v/>
      </c>
      <c r="D51" s="19">
        <f>IFERROR(IF(E24="","",E24/D24),"")</f>
        <v/>
      </c>
      <c r="E51" s="19">
        <f>IFERROR(IF(F24="","",F24/E24),"")</f>
        <v/>
      </c>
      <c r="F51" s="19">
        <f>IFERROR(IF(G24="","",G24/F24),"")</f>
        <v/>
      </c>
      <c r="G51" s="19">
        <f>IFERROR(IF(H24="","",H24/G24),"")</f>
        <v/>
      </c>
      <c r="H51" s="19">
        <f>IFERROR(IF(I24="","",I24/H24),"")</f>
        <v/>
      </c>
      <c r="I51" s="19">
        <f>IFERROR(IF(J24="","",J24/I24),"")</f>
        <v/>
      </c>
      <c r="J51" s="19">
        <f>IFERROR(IF(K24="","",K24/J24),"")</f>
        <v/>
      </c>
      <c r="K51" s="19">
        <f>IFERROR(IF(L24="","",L24/K24),"")</f>
        <v/>
      </c>
      <c r="L51" s="19">
        <f>IFERROR(IF(M24="","",M24/L24),"")</f>
        <v/>
      </c>
      <c r="M51" s="19" t="n"/>
    </row>
    <row r="52">
      <c r="A52" s="17" t="inlineStr">
        <is>
          <t>2023</t>
        </is>
      </c>
      <c r="B52" s="19">
        <f>IFERROR(IF(C25="","",C25/B25),"")</f>
        <v/>
      </c>
      <c r="C52" s="19">
        <f>IFERROR(IF(D25="","",D25/C25),"")</f>
        <v/>
      </c>
      <c r="D52" s="19">
        <f>IFERROR(IF(E25="","",E25/D25),"")</f>
        <v/>
      </c>
      <c r="E52" s="19">
        <f>IFERROR(IF(F25="","",F25/E25),"")</f>
        <v/>
      </c>
      <c r="F52" s="19">
        <f>IFERROR(IF(G25="","",G25/F25),"")</f>
        <v/>
      </c>
      <c r="G52" s="19">
        <f>IFERROR(IF(H25="","",H25/G25),"")</f>
        <v/>
      </c>
      <c r="H52" s="19">
        <f>IFERROR(IF(I25="","",I25/H25),"")</f>
        <v/>
      </c>
      <c r="I52" s="19">
        <f>IFERROR(IF(J25="","",J25/I25),"")</f>
        <v/>
      </c>
      <c r="J52" s="19">
        <f>IFERROR(IF(K25="","",K25/J25),"")</f>
        <v/>
      </c>
      <c r="K52" s="19">
        <f>IFERROR(IF(L25="","",L25/K25),"")</f>
        <v/>
      </c>
      <c r="L52" s="19">
        <f>IFERROR(IF(M25="","",M25/L25),"")</f>
        <v/>
      </c>
      <c r="M52" s="19" t="n"/>
    </row>
    <row r="53">
      <c r="A53" s="17" t="inlineStr">
        <is>
          <t>2024</t>
        </is>
      </c>
      <c r="B53" s="19">
        <f>IFERROR(IF(C26="","",C26/B26),"")</f>
        <v/>
      </c>
      <c r="C53" s="19">
        <f>IFERROR(IF(D26="","",D26/C26),"")</f>
        <v/>
      </c>
      <c r="D53" s="19">
        <f>IFERROR(IF(E26="","",E26/D26),"")</f>
        <v/>
      </c>
      <c r="E53" s="19">
        <f>IFERROR(IF(F26="","",F26/E26),"")</f>
        <v/>
      </c>
      <c r="F53" s="19">
        <f>IFERROR(IF(G26="","",G26/F26),"")</f>
        <v/>
      </c>
      <c r="G53" s="19">
        <f>IFERROR(IF(H26="","",H26/G26),"")</f>
        <v/>
      </c>
      <c r="H53" s="19">
        <f>IFERROR(IF(I26="","",I26/H26),"")</f>
        <v/>
      </c>
      <c r="I53" s="19">
        <f>IFERROR(IF(J26="","",J26/I26),"")</f>
        <v/>
      </c>
      <c r="J53" s="19">
        <f>IFERROR(IF(K26="","",K26/J26),"")</f>
        <v/>
      </c>
      <c r="K53" s="19">
        <f>IFERROR(IF(L26="","",L26/K26),"")</f>
        <v/>
      </c>
      <c r="L53" s="19">
        <f>IFERROR(IF(M26="","",M26/L26),"")</f>
        <v/>
      </c>
      <c r="M53" s="19" t="n"/>
    </row>
    <row r="54"/>
    <row r="55">
      <c r="A55" s="3" t="inlineStr">
        <is>
          <t>Averages</t>
        </is>
      </c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</row>
    <row r="56">
      <c r="A56" s="20" t="inlineStr">
        <is>
          <t>Metric</t>
        </is>
      </c>
      <c r="B56" s="8" t="inlineStr">
        <is>
          <t>11-23</t>
        </is>
      </c>
      <c r="C56" s="8" t="inlineStr">
        <is>
          <t>23-35</t>
        </is>
      </c>
      <c r="D56" s="8" t="inlineStr">
        <is>
          <t>35-47</t>
        </is>
      </c>
      <c r="E56" s="8" t="inlineStr">
        <is>
          <t>47-59</t>
        </is>
      </c>
      <c r="F56" s="8" t="inlineStr">
        <is>
          <t>59-71</t>
        </is>
      </c>
      <c r="G56" s="8" t="inlineStr">
        <is>
          <t>71-83</t>
        </is>
      </c>
      <c r="H56" s="8" t="inlineStr">
        <is>
          <t>83-95</t>
        </is>
      </c>
      <c r="I56" s="8" t="inlineStr">
        <is>
          <t>95-107</t>
        </is>
      </c>
      <c r="J56" s="8" t="inlineStr">
        <is>
          <t>107-119</t>
        </is>
      </c>
      <c r="K56" s="8" t="inlineStr">
        <is>
          <t>119-131</t>
        </is>
      </c>
      <c r="L56" s="8" t="inlineStr">
        <is>
          <t>131-143</t>
        </is>
      </c>
      <c r="M56" s="8" t="inlineStr">
        <is>
          <t>143-Ult</t>
        </is>
      </c>
    </row>
    <row r="57">
      <c r="A57" s="21" t="inlineStr">
        <is>
          <t>simple_all</t>
        </is>
      </c>
      <c r="B57" s="19">
        <f>IFERROR(AVERAGE(B30:B53),AVERAGE(B30:B53))</f>
        <v/>
      </c>
      <c r="C57" s="19">
        <f>IFERROR(AVERAGE(C30:C53),AVERAGE(C30:C53))</f>
        <v/>
      </c>
      <c r="D57" s="19">
        <f>IFERROR(AVERAGE(D30:D53),AVERAGE(D30:D53))</f>
        <v/>
      </c>
      <c r="E57" s="19">
        <f>IFERROR(AVERAGE(E30:E53),AVERAGE(E30:E53))</f>
        <v/>
      </c>
      <c r="F57" s="19">
        <f>IFERROR(AVERAGE(F30:F53),AVERAGE(F30:F53))</f>
        <v/>
      </c>
      <c r="G57" s="19">
        <f>IFERROR(AVERAGE(G30:G53),AVERAGE(G30:G53))</f>
        <v/>
      </c>
      <c r="H57" s="19">
        <f>IFERROR(AVERAGE(H30:H53),AVERAGE(H30:H53))</f>
        <v/>
      </c>
      <c r="I57" s="19">
        <f>IFERROR(AVERAGE(I30:I53),AVERAGE(I30:I53))</f>
        <v/>
      </c>
      <c r="J57" s="19">
        <f>IFERROR(AVERAGE(J30:J53),AVERAGE(J30:J53))</f>
        <v/>
      </c>
      <c r="K57" s="19">
        <f>IFERROR(AVERAGE(K30:K53),AVERAGE(K30:K53))</f>
        <v/>
      </c>
      <c r="L57" s="19">
        <f>IFERROR(AVERAGE(L30:L53),AVERAGE(L30:L53))</f>
        <v/>
      </c>
      <c r="M57" s="19" t="n"/>
    </row>
    <row r="58">
      <c r="A58" s="21" t="inlineStr">
        <is>
          <t>weighted_all</t>
        </is>
      </c>
      <c r="B58" s="19">
        <f>IFERROR(SUMPRODUCT(B30:B53,B3:B26)/SUMPRODUCT((B30:B53&lt;&gt;"")*B3:B26),SUMPRODUCT(B30:B53,B3:B26)/SUMPRODUCT((B30:B53&lt;&gt;"")*B3:B26))</f>
        <v/>
      </c>
      <c r="C58" s="19">
        <f>IFERROR(SUMPRODUCT(C30:C53,C3:C26)/SUMPRODUCT((C30:C53&lt;&gt;"")*C3:C26),SUMPRODUCT(C30:C53,C3:C26)/SUMPRODUCT((C30:C53&lt;&gt;"")*C3:C26))</f>
        <v/>
      </c>
      <c r="D58" s="19">
        <f>IFERROR(SUMPRODUCT(D30:D53,D3:D26)/SUMPRODUCT((D30:D53&lt;&gt;"")*D3:D26),SUMPRODUCT(D30:D53,D3:D26)/SUMPRODUCT((D30:D53&lt;&gt;"")*D3:D26))</f>
        <v/>
      </c>
      <c r="E58" s="19">
        <f>IFERROR(SUMPRODUCT(E30:E53,E3:E26)/SUMPRODUCT((E30:E53&lt;&gt;"")*E3:E26),SUMPRODUCT(E30:E53,E3:E26)/SUMPRODUCT((E30:E53&lt;&gt;"")*E3:E26))</f>
        <v/>
      </c>
      <c r="F58" s="19">
        <f>IFERROR(SUMPRODUCT(F30:F53,F3:F26)/SUMPRODUCT((F30:F53&lt;&gt;"")*F3:F26),SUMPRODUCT(F30:F53,F3:F26)/SUMPRODUCT((F30:F53&lt;&gt;"")*F3:F26))</f>
        <v/>
      </c>
      <c r="G58" s="19">
        <f>IFERROR(SUMPRODUCT(G30:G53,G3:G26)/SUMPRODUCT((G30:G53&lt;&gt;"")*G3:G26),SUMPRODUCT(G30:G53,G3:G26)/SUMPRODUCT((G30:G53&lt;&gt;"")*G3:G26))</f>
        <v/>
      </c>
      <c r="H58" s="19">
        <f>IFERROR(SUMPRODUCT(H30:H53,H3:H26)/SUMPRODUCT((H30:H53&lt;&gt;"")*H3:H26),SUMPRODUCT(H30:H53,H3:H26)/SUMPRODUCT((H30:H53&lt;&gt;"")*H3:H26))</f>
        <v/>
      </c>
      <c r="I58" s="19">
        <f>IFERROR(SUMPRODUCT(I30:I53,I3:I26)/SUMPRODUCT((I30:I53&lt;&gt;"")*I3:I26),SUMPRODUCT(I30:I53,I3:I26)/SUMPRODUCT((I30:I53&lt;&gt;"")*I3:I26))</f>
        <v/>
      </c>
      <c r="J58" s="19">
        <f>IFERROR(SUMPRODUCT(J30:J53,J3:J26)/SUMPRODUCT((J30:J53&lt;&gt;"")*J3:J26),SUMPRODUCT(J30:J53,J3:J26)/SUMPRODUCT((J30:J53&lt;&gt;"")*J3:J26))</f>
        <v/>
      </c>
      <c r="K58" s="19">
        <f>IFERROR(SUMPRODUCT(K30:K53,K3:K26)/SUMPRODUCT((K30:K53&lt;&gt;"")*K3:K26),SUMPRODUCT(K30:K53,K3:K26)/SUMPRODUCT((K30:K53&lt;&gt;"")*K3:K26))</f>
        <v/>
      </c>
      <c r="L58" s="19">
        <f>IFERROR(SUMPRODUCT(L30:L53,L3:L26)/SUMPRODUCT((L30:L53&lt;&gt;"")*L3:L26),SUMPRODUCT(L30:L53,L3:L26)/SUMPRODUCT((L30:L53&lt;&gt;"")*L3:L26))</f>
        <v/>
      </c>
      <c r="M58" s="19" t="n"/>
    </row>
    <row r="59">
      <c r="A59" s="21" t="inlineStr">
        <is>
          <t>exclude_high_low_all</t>
        </is>
      </c>
      <c r="B59" s="19">
        <f>IFERROR(TRIMMEAN(B30:B53,2/COUNT(B30:B53)),AVERAGE(B30:B53))</f>
        <v/>
      </c>
      <c r="C59" s="19">
        <f>IFERROR(TRIMMEAN(C30:C53,2/COUNT(C30:C53)),AVERAGE(C30:C53))</f>
        <v/>
      </c>
      <c r="D59" s="19">
        <f>IFERROR(TRIMMEAN(D30:D53,2/COUNT(D30:D53)),AVERAGE(D30:D53))</f>
        <v/>
      </c>
      <c r="E59" s="19">
        <f>IFERROR(TRIMMEAN(E30:E53,2/COUNT(E30:E53)),AVERAGE(E30:E53))</f>
        <v/>
      </c>
      <c r="F59" s="19">
        <f>IFERROR(TRIMMEAN(F30:F53,2/COUNT(F30:F53)),AVERAGE(F30:F53))</f>
        <v/>
      </c>
      <c r="G59" s="19">
        <f>IFERROR(TRIMMEAN(G30:G53,2/COUNT(G30:G53)),AVERAGE(G30:G53))</f>
        <v/>
      </c>
      <c r="H59" s="19">
        <f>IFERROR(TRIMMEAN(H30:H53,2/COUNT(H30:H53)),AVERAGE(H30:H53))</f>
        <v/>
      </c>
      <c r="I59" s="19">
        <f>IFERROR(TRIMMEAN(I30:I53,2/COUNT(I30:I53)),AVERAGE(I30:I53))</f>
        <v/>
      </c>
      <c r="J59" s="19">
        <f>IFERROR(TRIMMEAN(J30:J53,2/COUNT(J30:J53)),AVERAGE(J30:J53))</f>
        <v/>
      </c>
      <c r="K59" s="19">
        <f>IFERROR(TRIMMEAN(K30:K53,2/COUNT(K30:K53)),AVERAGE(K30:K53))</f>
        <v/>
      </c>
      <c r="L59" s="19">
        <f>IFERROR(TRIMMEAN(L30:L53,2/COUNT(L30:L53)),AVERAGE(L30:L53))</f>
        <v/>
      </c>
      <c r="M59" s="19" t="n"/>
    </row>
    <row r="60">
      <c r="A60" s="21" t="inlineStr">
        <is>
          <t>simple_3yr</t>
        </is>
      </c>
      <c r="B60" s="19">
        <f>IFERROR(AVERAGE(B51:B53),AVERAGE(B30:B53))</f>
        <v/>
      </c>
      <c r="C60" s="19">
        <f>IFERROR(AVERAGE(C51:C53),AVERAGE(C30:C53))</f>
        <v/>
      </c>
      <c r="D60" s="19">
        <f>IFERROR(AVERAGE(D51:D53),AVERAGE(D30:D53))</f>
        <v/>
      </c>
      <c r="E60" s="19">
        <f>IFERROR(AVERAGE(E51:E53),AVERAGE(E30:E53))</f>
        <v/>
      </c>
      <c r="F60" s="19">
        <f>IFERROR(AVERAGE(F51:F53),AVERAGE(F30:F53))</f>
        <v/>
      </c>
      <c r="G60" s="19">
        <f>IFERROR(AVERAGE(G51:G53),AVERAGE(G30:G53))</f>
        <v/>
      </c>
      <c r="H60" s="19">
        <f>IFERROR(AVERAGE(H51:H53),AVERAGE(H30:H53))</f>
        <v/>
      </c>
      <c r="I60" s="19">
        <f>IFERROR(AVERAGE(I51:I53),AVERAGE(I30:I53))</f>
        <v/>
      </c>
      <c r="J60" s="19">
        <f>IFERROR(AVERAGE(J51:J53),AVERAGE(J30:J53))</f>
        <v/>
      </c>
      <c r="K60" s="19">
        <f>IFERROR(AVERAGE(K51:K53),AVERAGE(K30:K53))</f>
        <v/>
      </c>
      <c r="L60" s="19">
        <f>IFERROR(AVERAGE(L51:L53),AVERAGE(L30:L53))</f>
        <v/>
      </c>
      <c r="M60" s="19" t="n"/>
    </row>
    <row r="61">
      <c r="A61" s="21" t="inlineStr">
        <is>
          <t>weighted_3yr</t>
        </is>
      </c>
      <c r="B61" s="19">
        <f>IFERROR(SUMPRODUCT(B51:B53,B24:B26)/SUMPRODUCT((B51:B53&lt;&gt;"")*B24:B26),SUMPRODUCT(B30:B53,B3:B26)/SUMPRODUCT((B30:B53&lt;&gt;"")*B3:B26))</f>
        <v/>
      </c>
      <c r="C61" s="19">
        <f>IFERROR(SUMPRODUCT(C51:C53,C24:C26)/SUMPRODUCT((C51:C53&lt;&gt;"")*C24:C26),SUMPRODUCT(C30:C53,C3:C26)/SUMPRODUCT((C30:C53&lt;&gt;"")*C3:C26))</f>
        <v/>
      </c>
      <c r="D61" s="19">
        <f>IFERROR(SUMPRODUCT(D51:D53,D24:D26)/SUMPRODUCT((D51:D53&lt;&gt;"")*D24:D26),SUMPRODUCT(D30:D53,D3:D26)/SUMPRODUCT((D30:D53&lt;&gt;"")*D3:D26))</f>
        <v/>
      </c>
      <c r="E61" s="19">
        <f>IFERROR(SUMPRODUCT(E51:E53,E24:E26)/SUMPRODUCT((E51:E53&lt;&gt;"")*E24:E26),SUMPRODUCT(E30:E53,E3:E26)/SUMPRODUCT((E30:E53&lt;&gt;"")*E3:E26))</f>
        <v/>
      </c>
      <c r="F61" s="19">
        <f>IFERROR(SUMPRODUCT(F51:F53,F24:F26)/SUMPRODUCT((F51:F53&lt;&gt;"")*F24:F26),SUMPRODUCT(F30:F53,F3:F26)/SUMPRODUCT((F30:F53&lt;&gt;"")*F3:F26))</f>
        <v/>
      </c>
      <c r="G61" s="19">
        <f>IFERROR(SUMPRODUCT(G51:G53,G24:G26)/SUMPRODUCT((G51:G53&lt;&gt;"")*G24:G26),SUMPRODUCT(G30:G53,G3:G26)/SUMPRODUCT((G30:G53&lt;&gt;"")*G3:G26))</f>
        <v/>
      </c>
      <c r="H61" s="19">
        <f>IFERROR(SUMPRODUCT(H51:H53,H24:H26)/SUMPRODUCT((H51:H53&lt;&gt;"")*H24:H26),SUMPRODUCT(H30:H53,H3:H26)/SUMPRODUCT((H30:H53&lt;&gt;"")*H3:H26))</f>
        <v/>
      </c>
      <c r="I61" s="19">
        <f>IFERROR(SUMPRODUCT(I51:I53,I24:I26)/SUMPRODUCT((I51:I53&lt;&gt;"")*I24:I26),SUMPRODUCT(I30:I53,I3:I26)/SUMPRODUCT((I30:I53&lt;&gt;"")*I3:I26))</f>
        <v/>
      </c>
      <c r="J61" s="19">
        <f>IFERROR(SUMPRODUCT(J51:J53,J24:J26)/SUMPRODUCT((J51:J53&lt;&gt;"")*J24:J26),SUMPRODUCT(J30:J53,J3:J26)/SUMPRODUCT((J30:J53&lt;&gt;"")*J3:J26))</f>
        <v/>
      </c>
      <c r="K61" s="19">
        <f>IFERROR(SUMPRODUCT(K51:K53,K24:K26)/SUMPRODUCT((K51:K53&lt;&gt;"")*K24:K26),SUMPRODUCT(K30:K53,K3:K26)/SUMPRODUCT((K30:K53&lt;&gt;"")*K3:K26))</f>
        <v/>
      </c>
      <c r="L61" s="19">
        <f>IFERROR(SUMPRODUCT(L51:L53,L24:L26)/SUMPRODUCT((L51:L53&lt;&gt;"")*L24:L26),SUMPRODUCT(L30:L53,L3:L26)/SUMPRODUCT((L30:L53&lt;&gt;"")*L3:L26))</f>
        <v/>
      </c>
      <c r="M61" s="19" t="n"/>
    </row>
    <row r="62">
      <c r="A62" s="21" t="inlineStr">
        <is>
          <t>exclude_high_low_3yr</t>
        </is>
      </c>
      <c r="B62" s="19">
        <f>IFERROR(TRIMMEAN(B51:B53,2/COUNT(B51:B53)),AVERAGE(B30:B53))</f>
        <v/>
      </c>
      <c r="C62" s="19">
        <f>IFERROR(TRIMMEAN(C51:C53,2/COUNT(C51:C53)),AVERAGE(C30:C53))</f>
        <v/>
      </c>
      <c r="D62" s="19">
        <f>IFERROR(TRIMMEAN(D51:D53,2/COUNT(D51:D53)),AVERAGE(D30:D53))</f>
        <v/>
      </c>
      <c r="E62" s="19">
        <f>IFERROR(TRIMMEAN(E51:E53,2/COUNT(E51:E53)),AVERAGE(E30:E53))</f>
        <v/>
      </c>
      <c r="F62" s="19">
        <f>IFERROR(TRIMMEAN(F51:F53,2/COUNT(F51:F53)),AVERAGE(F30:F53))</f>
        <v/>
      </c>
      <c r="G62" s="19">
        <f>IFERROR(TRIMMEAN(G51:G53,2/COUNT(G51:G53)),AVERAGE(G30:G53))</f>
        <v/>
      </c>
      <c r="H62" s="19">
        <f>IFERROR(TRIMMEAN(H51:H53,2/COUNT(H51:H53)),AVERAGE(H30:H53))</f>
        <v/>
      </c>
      <c r="I62" s="19">
        <f>IFERROR(TRIMMEAN(I51:I53,2/COUNT(I51:I53)),AVERAGE(I30:I53))</f>
        <v/>
      </c>
      <c r="J62" s="19">
        <f>IFERROR(TRIMMEAN(J51:J53,2/COUNT(J51:J53)),AVERAGE(J30:J53))</f>
        <v/>
      </c>
      <c r="K62" s="19">
        <f>IFERROR(TRIMMEAN(K51:K53,2/COUNT(K51:K53)),AVERAGE(K30:K53))</f>
        <v/>
      </c>
      <c r="L62" s="19">
        <f>IFERROR(TRIMMEAN(L51:L53,2/COUNT(L51:L53)),AVERAGE(L30:L53))</f>
        <v/>
      </c>
      <c r="M62" s="19" t="n"/>
    </row>
    <row r="63">
      <c r="A63" s="21" t="inlineStr">
        <is>
          <t>simple_5yr</t>
        </is>
      </c>
      <c r="B63" s="19">
        <f>IFERROR(AVERAGE(B49:B53),AVERAGE(B30:B53))</f>
        <v/>
      </c>
      <c r="C63" s="19">
        <f>IFERROR(AVERAGE(C49:C53),AVERAGE(C30:C53))</f>
        <v/>
      </c>
      <c r="D63" s="19">
        <f>IFERROR(AVERAGE(D49:D53),AVERAGE(D30:D53))</f>
        <v/>
      </c>
      <c r="E63" s="19">
        <f>IFERROR(AVERAGE(E49:E53),AVERAGE(E30:E53))</f>
        <v/>
      </c>
      <c r="F63" s="19">
        <f>IFERROR(AVERAGE(F49:F53),AVERAGE(F30:F53))</f>
        <v/>
      </c>
      <c r="G63" s="19">
        <f>IFERROR(AVERAGE(G49:G53),AVERAGE(G30:G53))</f>
        <v/>
      </c>
      <c r="H63" s="19">
        <f>IFERROR(AVERAGE(H49:H53),AVERAGE(H30:H53))</f>
        <v/>
      </c>
      <c r="I63" s="19">
        <f>IFERROR(AVERAGE(I49:I53),AVERAGE(I30:I53))</f>
        <v/>
      </c>
      <c r="J63" s="19">
        <f>IFERROR(AVERAGE(J49:J53),AVERAGE(J30:J53))</f>
        <v/>
      </c>
      <c r="K63" s="19">
        <f>IFERROR(AVERAGE(K49:K53),AVERAGE(K30:K53))</f>
        <v/>
      </c>
      <c r="L63" s="19">
        <f>IFERROR(AVERAGE(L49:L53),AVERAGE(L30:L53))</f>
        <v/>
      </c>
      <c r="M63" s="19" t="n"/>
    </row>
    <row r="64">
      <c r="A64" s="21" t="inlineStr">
        <is>
          <t>weighted_5yr</t>
        </is>
      </c>
      <c r="B64" s="19">
        <f>IFERROR(SUMPRODUCT(B49:B53,B22:B26)/SUMPRODUCT((B49:B53&lt;&gt;"")*B22:B26),SUMPRODUCT(B30:B53,B3:B26)/SUMPRODUCT((B30:B53&lt;&gt;"")*B3:B26))</f>
        <v/>
      </c>
      <c r="C64" s="19">
        <f>IFERROR(SUMPRODUCT(C49:C53,C22:C26)/SUMPRODUCT((C49:C53&lt;&gt;"")*C22:C26),SUMPRODUCT(C30:C53,C3:C26)/SUMPRODUCT((C30:C53&lt;&gt;"")*C3:C26))</f>
        <v/>
      </c>
      <c r="D64" s="19">
        <f>IFERROR(SUMPRODUCT(D49:D53,D22:D26)/SUMPRODUCT((D49:D53&lt;&gt;"")*D22:D26),SUMPRODUCT(D30:D53,D3:D26)/SUMPRODUCT((D30:D53&lt;&gt;"")*D3:D26))</f>
        <v/>
      </c>
      <c r="E64" s="19">
        <f>IFERROR(SUMPRODUCT(E49:E53,E22:E26)/SUMPRODUCT((E49:E53&lt;&gt;"")*E22:E26),SUMPRODUCT(E30:E53,E3:E26)/SUMPRODUCT((E30:E53&lt;&gt;"")*E3:E26))</f>
        <v/>
      </c>
      <c r="F64" s="19">
        <f>IFERROR(SUMPRODUCT(F49:F53,F22:F26)/SUMPRODUCT((F49:F53&lt;&gt;"")*F22:F26),SUMPRODUCT(F30:F53,F3:F26)/SUMPRODUCT((F30:F53&lt;&gt;"")*F3:F26))</f>
        <v/>
      </c>
      <c r="G64" s="19">
        <f>IFERROR(SUMPRODUCT(G49:G53,G22:G26)/SUMPRODUCT((G49:G53&lt;&gt;"")*G22:G26),SUMPRODUCT(G30:G53,G3:G26)/SUMPRODUCT((G30:G53&lt;&gt;"")*G3:G26))</f>
        <v/>
      </c>
      <c r="H64" s="19">
        <f>IFERROR(SUMPRODUCT(H49:H53,H22:H26)/SUMPRODUCT((H49:H53&lt;&gt;"")*H22:H26),SUMPRODUCT(H30:H53,H3:H26)/SUMPRODUCT((H30:H53&lt;&gt;"")*H3:H26))</f>
        <v/>
      </c>
      <c r="I64" s="19">
        <f>IFERROR(SUMPRODUCT(I49:I53,I22:I26)/SUMPRODUCT((I49:I53&lt;&gt;"")*I22:I26),SUMPRODUCT(I30:I53,I3:I26)/SUMPRODUCT((I30:I53&lt;&gt;"")*I3:I26))</f>
        <v/>
      </c>
      <c r="J64" s="19">
        <f>IFERROR(SUMPRODUCT(J49:J53,J22:J26)/SUMPRODUCT((J49:J53&lt;&gt;"")*J22:J26),SUMPRODUCT(J30:J53,J3:J26)/SUMPRODUCT((J30:J53&lt;&gt;"")*J3:J26))</f>
        <v/>
      </c>
      <c r="K64" s="19">
        <f>IFERROR(SUMPRODUCT(K49:K53,K22:K26)/SUMPRODUCT((K49:K53&lt;&gt;"")*K22:K26),SUMPRODUCT(K30:K53,K3:K26)/SUMPRODUCT((K30:K53&lt;&gt;"")*K3:K26))</f>
        <v/>
      </c>
      <c r="L64" s="19">
        <f>IFERROR(SUMPRODUCT(L49:L53,L22:L26)/SUMPRODUCT((L49:L53&lt;&gt;"")*L22:L26),SUMPRODUCT(L30:L53,L3:L26)/SUMPRODUCT((L30:L53&lt;&gt;"")*L3:L26))</f>
        <v/>
      </c>
      <c r="M64" s="19" t="n"/>
    </row>
    <row r="65">
      <c r="A65" s="21" t="inlineStr">
        <is>
          <t>exclude_high_low_5yr</t>
        </is>
      </c>
      <c r="B65" s="19">
        <f>IFERROR(TRIMMEAN(B49:B53,2/COUNT(B49:B53)),AVERAGE(B30:B53))</f>
        <v/>
      </c>
      <c r="C65" s="19">
        <f>IFERROR(TRIMMEAN(C49:C53,2/COUNT(C49:C53)),AVERAGE(C30:C53))</f>
        <v/>
      </c>
      <c r="D65" s="19">
        <f>IFERROR(TRIMMEAN(D49:D53,2/COUNT(D49:D53)),AVERAGE(D30:D53))</f>
        <v/>
      </c>
      <c r="E65" s="19">
        <f>IFERROR(TRIMMEAN(E49:E53,2/COUNT(E49:E53)),AVERAGE(E30:E53))</f>
        <v/>
      </c>
      <c r="F65" s="19">
        <f>IFERROR(TRIMMEAN(F49:F53,2/COUNT(F49:F53)),AVERAGE(F30:F53))</f>
        <v/>
      </c>
      <c r="G65" s="19">
        <f>IFERROR(TRIMMEAN(G49:G53,2/COUNT(G49:G53)),AVERAGE(G30:G53))</f>
        <v/>
      </c>
      <c r="H65" s="19">
        <f>IFERROR(TRIMMEAN(H49:H53,2/COUNT(H49:H53)),AVERAGE(H30:H53))</f>
        <v/>
      </c>
      <c r="I65" s="19">
        <f>IFERROR(TRIMMEAN(I49:I53,2/COUNT(I49:I53)),AVERAGE(I30:I53))</f>
        <v/>
      </c>
      <c r="J65" s="19">
        <f>IFERROR(TRIMMEAN(J49:J53,2/COUNT(J49:J53)),AVERAGE(J30:J53))</f>
        <v/>
      </c>
      <c r="K65" s="19">
        <f>IFERROR(TRIMMEAN(K49:K53,2/COUNT(K49:K53)),AVERAGE(K30:K53))</f>
        <v/>
      </c>
      <c r="L65" s="19">
        <f>IFERROR(TRIMMEAN(L49:L53,2/COUNT(L49:L53)),AVERAGE(L30:L53))</f>
        <v/>
      </c>
      <c r="M65" s="19" t="n"/>
    </row>
    <row r="66">
      <c r="A66" s="21" t="inlineStr">
        <is>
          <t>simple_10yr</t>
        </is>
      </c>
      <c r="B66" s="19">
        <f>IFERROR(AVERAGE(B44:B53),AVERAGE(B30:B53))</f>
        <v/>
      </c>
      <c r="C66" s="19">
        <f>IFERROR(AVERAGE(C44:C53),AVERAGE(C30:C53))</f>
        <v/>
      </c>
      <c r="D66" s="19">
        <f>IFERROR(AVERAGE(D44:D53),AVERAGE(D30:D53))</f>
        <v/>
      </c>
      <c r="E66" s="19">
        <f>IFERROR(AVERAGE(E44:E53),AVERAGE(E30:E53))</f>
        <v/>
      </c>
      <c r="F66" s="19">
        <f>IFERROR(AVERAGE(F44:F53),AVERAGE(F30:F53))</f>
        <v/>
      </c>
      <c r="G66" s="19">
        <f>IFERROR(AVERAGE(G44:G53),AVERAGE(G30:G53))</f>
        <v/>
      </c>
      <c r="H66" s="19">
        <f>IFERROR(AVERAGE(H44:H53),AVERAGE(H30:H53))</f>
        <v/>
      </c>
      <c r="I66" s="19">
        <f>IFERROR(AVERAGE(I44:I53),AVERAGE(I30:I53))</f>
        <v/>
      </c>
      <c r="J66" s="19">
        <f>IFERROR(AVERAGE(J44:J53),AVERAGE(J30:J53))</f>
        <v/>
      </c>
      <c r="K66" s="19">
        <f>IFERROR(AVERAGE(K44:K53),AVERAGE(K30:K53))</f>
        <v/>
      </c>
      <c r="L66" s="19">
        <f>IFERROR(AVERAGE(L44:L53),AVERAGE(L30:L53))</f>
        <v/>
      </c>
      <c r="M66" s="19" t="n"/>
    </row>
    <row r="67">
      <c r="A67" s="21" t="inlineStr">
        <is>
          <t>weighted_10yr</t>
        </is>
      </c>
      <c r="B67" s="19">
        <f>IFERROR(SUMPRODUCT(B44:B53,B17:B26)/SUMPRODUCT((B44:B53&lt;&gt;"")*B17:B26),SUMPRODUCT(B30:B53,B3:B26)/SUMPRODUCT((B30:B53&lt;&gt;"")*B3:B26))</f>
        <v/>
      </c>
      <c r="C67" s="19">
        <f>IFERROR(SUMPRODUCT(C44:C53,C17:C26)/SUMPRODUCT((C44:C53&lt;&gt;"")*C17:C26),SUMPRODUCT(C30:C53,C3:C26)/SUMPRODUCT((C30:C53&lt;&gt;"")*C3:C26))</f>
        <v/>
      </c>
      <c r="D67" s="19">
        <f>IFERROR(SUMPRODUCT(D44:D53,D17:D26)/SUMPRODUCT((D44:D53&lt;&gt;"")*D17:D26),SUMPRODUCT(D30:D53,D3:D26)/SUMPRODUCT((D30:D53&lt;&gt;"")*D3:D26))</f>
        <v/>
      </c>
      <c r="E67" s="19">
        <f>IFERROR(SUMPRODUCT(E44:E53,E17:E26)/SUMPRODUCT((E44:E53&lt;&gt;"")*E17:E26),SUMPRODUCT(E30:E53,E3:E26)/SUMPRODUCT((E30:E53&lt;&gt;"")*E3:E26))</f>
        <v/>
      </c>
      <c r="F67" s="19">
        <f>IFERROR(SUMPRODUCT(F44:F53,F17:F26)/SUMPRODUCT((F44:F53&lt;&gt;"")*F17:F26),SUMPRODUCT(F30:F53,F3:F26)/SUMPRODUCT((F30:F53&lt;&gt;"")*F3:F26))</f>
        <v/>
      </c>
      <c r="G67" s="19">
        <f>IFERROR(SUMPRODUCT(G44:G53,G17:G26)/SUMPRODUCT((G44:G53&lt;&gt;"")*G17:G26),SUMPRODUCT(G30:G53,G3:G26)/SUMPRODUCT((G30:G53&lt;&gt;"")*G3:G26))</f>
        <v/>
      </c>
      <c r="H67" s="19">
        <f>IFERROR(SUMPRODUCT(H44:H53,H17:H26)/SUMPRODUCT((H44:H53&lt;&gt;"")*H17:H26),SUMPRODUCT(H30:H53,H3:H26)/SUMPRODUCT((H30:H53&lt;&gt;"")*H3:H26))</f>
        <v/>
      </c>
      <c r="I67" s="19">
        <f>IFERROR(SUMPRODUCT(I44:I53,I17:I26)/SUMPRODUCT((I44:I53&lt;&gt;"")*I17:I26),SUMPRODUCT(I30:I53,I3:I26)/SUMPRODUCT((I30:I53&lt;&gt;"")*I3:I26))</f>
        <v/>
      </c>
      <c r="J67" s="19">
        <f>IFERROR(SUMPRODUCT(J44:J53,J17:J26)/SUMPRODUCT((J44:J53&lt;&gt;"")*J17:J26),SUMPRODUCT(J30:J53,J3:J26)/SUMPRODUCT((J30:J53&lt;&gt;"")*J3:J26))</f>
        <v/>
      </c>
      <c r="K67" s="19">
        <f>IFERROR(SUMPRODUCT(K44:K53,K17:K26)/SUMPRODUCT((K44:K53&lt;&gt;"")*K17:K26),SUMPRODUCT(K30:K53,K3:K26)/SUMPRODUCT((K30:K53&lt;&gt;"")*K3:K26))</f>
        <v/>
      </c>
      <c r="L67" s="19">
        <f>IFERROR(SUMPRODUCT(L44:L53,L17:L26)/SUMPRODUCT((L44:L53&lt;&gt;"")*L17:L26),SUMPRODUCT(L30:L53,L3:L26)/SUMPRODUCT((L30:L53&lt;&gt;"")*L3:L26))</f>
        <v/>
      </c>
      <c r="M67" s="19" t="n"/>
    </row>
    <row r="68">
      <c r="A68" s="21" t="inlineStr">
        <is>
          <t>exclude_high_low_10yr</t>
        </is>
      </c>
      <c r="B68" s="19">
        <f>IFERROR(TRIMMEAN(B44:B53,2/COUNT(B44:B53)),AVERAGE(B30:B53))</f>
        <v/>
      </c>
      <c r="C68" s="19">
        <f>IFERROR(TRIMMEAN(C44:C53,2/COUNT(C44:C53)),AVERAGE(C30:C53))</f>
        <v/>
      </c>
      <c r="D68" s="19">
        <f>IFERROR(TRIMMEAN(D44:D53,2/COUNT(D44:D53)),AVERAGE(D30:D53))</f>
        <v/>
      </c>
      <c r="E68" s="19">
        <f>IFERROR(TRIMMEAN(E44:E53,2/COUNT(E44:E53)),AVERAGE(E30:E53))</f>
        <v/>
      </c>
      <c r="F68" s="19">
        <f>IFERROR(TRIMMEAN(F44:F53,2/COUNT(F44:F53)),AVERAGE(F30:F53))</f>
        <v/>
      </c>
      <c r="G68" s="19">
        <f>IFERROR(TRIMMEAN(G44:G53,2/COUNT(G44:G53)),AVERAGE(G30:G53))</f>
        <v/>
      </c>
      <c r="H68" s="19">
        <f>IFERROR(TRIMMEAN(H44:H53,2/COUNT(H44:H53)),AVERAGE(H30:H53))</f>
        <v/>
      </c>
      <c r="I68" s="19">
        <f>IFERROR(TRIMMEAN(I44:I53,2/COUNT(I44:I53)),AVERAGE(I30:I53))</f>
        <v/>
      </c>
      <c r="J68" s="19">
        <f>IFERROR(TRIMMEAN(J44:J53,2/COUNT(J44:J53)),AVERAGE(J30:J53))</f>
        <v/>
      </c>
      <c r="K68" s="19">
        <f>IFERROR(TRIMMEAN(K44:K53,2/COUNT(K44:K53)),AVERAGE(K30:K53))</f>
        <v/>
      </c>
      <c r="L68" s="19">
        <f>IFERROR(TRIMMEAN(L44:L53,2/COUNT(L44:L53)),AVERAGE(L30:L53))</f>
        <v/>
      </c>
      <c r="M68" s="19" t="n"/>
    </row>
    <row r="69"/>
    <row r="70">
      <c r="A70" s="3" t="inlineStr">
        <is>
          <t>LDF Selections</t>
        </is>
      </c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</row>
    <row r="71">
      <c r="A71" s="16" t="n"/>
      <c r="B71" s="8" t="inlineStr">
        <is>
          <t>11-23</t>
        </is>
      </c>
      <c r="C71" s="8" t="inlineStr">
        <is>
          <t>23-35</t>
        </is>
      </c>
      <c r="D71" s="8" t="inlineStr">
        <is>
          <t>35-47</t>
        </is>
      </c>
      <c r="E71" s="8" t="inlineStr">
        <is>
          <t>47-59</t>
        </is>
      </c>
      <c r="F71" s="8" t="inlineStr">
        <is>
          <t>59-71</t>
        </is>
      </c>
      <c r="G71" s="8" t="inlineStr">
        <is>
          <t>71-83</t>
        </is>
      </c>
      <c r="H71" s="8" t="inlineStr">
        <is>
          <t>83-95</t>
        </is>
      </c>
      <c r="I71" s="8" t="inlineStr">
        <is>
          <t>95-107</t>
        </is>
      </c>
      <c r="J71" s="8" t="inlineStr">
        <is>
          <t>107-119</t>
        </is>
      </c>
      <c r="K71" s="8" t="inlineStr">
        <is>
          <t>119-131</t>
        </is>
      </c>
      <c r="L71" s="8" t="inlineStr">
        <is>
          <t>131-143</t>
        </is>
      </c>
      <c r="M71" s="8" t="inlineStr">
        <is>
          <t>143-Ult</t>
        </is>
      </c>
    </row>
    <row r="72">
      <c r="A72" s="22" t="inlineStr">
        <is>
          <t>Selected</t>
        </is>
      </c>
      <c r="B72" s="23" t="n">
        <v>1.118</v>
      </c>
      <c r="C72" s="23" t="n">
        <v>1</v>
      </c>
      <c r="D72" s="23" t="n">
        <v>1.0008</v>
      </c>
      <c r="E72" s="23" t="n">
        <v>1</v>
      </c>
      <c r="F72" s="23" t="n">
        <v>0.9993</v>
      </c>
      <c r="G72" s="23" t="n">
        <v>1</v>
      </c>
      <c r="H72" s="23" t="n">
        <v>0.9992</v>
      </c>
      <c r="I72" s="23" t="n">
        <v>1</v>
      </c>
      <c r="J72" s="23" t="n">
        <v>0.9977</v>
      </c>
      <c r="K72" s="23" t="n">
        <v>1</v>
      </c>
      <c r="L72" s="23" t="n">
        <v>1</v>
      </c>
      <c r="M72" s="24" t="n">
        <v>1</v>
      </c>
    </row>
    <row r="73">
      <c r="A73" s="25" t="inlineStr">
        <is>
          <t>Selected Reasoning</t>
        </is>
      </c>
      <c r="B73" s="26" t="inlineStr">
        <is>
          <t>Reported Count: 1.1180. Five-year simple (1.1204) selected, rounded to 1.1180 reflecting volume-weighted (1.1180) and exclude_high_low_5yr (1.1330) balance. Early maturity; CV_3yr 0.013 (very tight) but CV_5yr 0.0316 suggests minor variance. 3yr (1.1330) vs 5yr (1.1180) show 1.3% divergence within recency tolerance. Slight downward Bayesian dampening (25% gap closure) reflects recent stable reported count growth without catastrophic spike. Diagnostics: reported_claims stable across all years (~250–700 claims/AY), no anomalies. No frequency shock detected.</t>
        </is>
      </c>
      <c r="C73" s="26" t="inlineStr">
        <is>
          <t>Reported Count: 1.0000. All averages converge to 1.000 (CV_5yr 0.0000). No development in reported count from age 23–35 months across all time windows. Negligible variance; framework guidance: select convergence midpoint (1.0000). Reporting essentially completes by age 23 months in this WC portfolio.</t>
        </is>
      </c>
      <c r="D73" s="26" t="inlineStr">
        <is>
          <t>Reported Count: 1.0008. Five-year volume-weighted (1.0008) selected. Negligible variance (CV_5yr 0.0019). All windows (simple, weighted, exclude_high_low) converge 1.0004–1.0009. Minimal reported count development at 35–47 months. Recency default; near-unity expected.</t>
        </is>
      </c>
      <c r="E73" s="26" t="inlineStr">
        <is>
          <t>Reported Count: 1.0000. Five-year weighted (1.0000) selected. Negligible variance (CV_5yr 0.0029). All windows converge 0.9998–1.0000. No development in reported counts post-reporting. Framework guidance: select 1.000 anchor.</t>
        </is>
      </c>
      <c r="F73" s="26" t="inlineStr">
        <is>
          <t>Reported Count: 0.9993. Five-year simple (0.9993) selected, reflecting weighted (0.9992), simple (0.9993), and exclude_high_low_5yr (1.0000) consensus. Extremely tight (CV_5yr 0.0017). Slight downward drift (slope_5yr -0.0007) suggests very marginal count decline or stability. Late-stage reported count; near-unity expected. Recency default; minimal material impact.</t>
        </is>
      </c>
      <c r="G73" s="26" t="inlineStr">
        <is>
          <t>Reported Count: 1.0000. All averages converge precisely (CV_5yr 0.0000). Perfect stability across all windows. No development in reported counts at 71–83 month maturity. Select tail anchor 1.000.</t>
        </is>
      </c>
      <c r="H73" s="26" t="inlineStr">
        <is>
          <t>Reported Count: 0.9992. Five-year simple (0.9992) selected. Minimal variance (CV_5yr 0.0019). All windows 0.9986–1.0000. Slight downward slope (slope_5yr -0.0008) consistent with late-stage reporting closure. Framework: marginal development. Recency default.</t>
        </is>
      </c>
      <c r="I73" s="26" t="inlineStr">
        <is>
          <t>Reported Count: 1.0000. All averages converge to 1.000 (CV_5yr 0.0000). No variance across windows. Late maturity; no reported count development. Select tail anchor 1.000.</t>
        </is>
      </c>
      <c r="J73" s="26" t="inlineStr">
        <is>
          <t>Reported Count: 0.9977. Five-year weighted (0.9977) selected. Low variance (CV_5yr 0.0052). All windows 0.9961–1.0000. Slight downward development (slope_5yr -0.0023) consistent with minor late-stage closures. Framework: late maturity; asymmetric conservatism downward muted. Recency default.</t>
        </is>
      </c>
      <c r="K73" s="26" t="inlineStr">
        <is>
          <t>Reported Count: 1.0000. All averages converge to 1.000 (CV_5yr 0.0000). Perfect stability. Late tail; no development. Framework: select 1.000.</t>
        </is>
      </c>
      <c r="L73" s="26" t="inlineStr">
        <is>
          <t>Reported Count: 1.0000. All averages converge to 1.000 (CV_5yr 0.0000). Perfect stability across all windows. Late tail; no reported count development. Select tail anchor 1.000.</t>
        </is>
      </c>
      <c r="M73" s="26" t="inlineStr">
        <is>
          <t>Reported Count triangle—shortest tail expected. Bondy tail factor 1.0 selected at starting age 143. Criteria satisfied: is_monotone_from_here=True, cv=0.0, slope_sign_changes=0, n_factors_in_fit=12. Observed factor at age 143 is 1.0; Bondy carries forward this last finite factor. All reported count factors remain at 1.0 from age 143 onward—early closure evident in data. Gap_flag=False; no disconnection. Materiality anchor applies: pct_of_cdf is negligible (tail immaterial, &lt;0.1%). Closure anchor applies: all reported claims exhausted by mid-development. Reserve impact negligible; count triangle has fully closed by this age. This is the appropriate selection for a count measure with rapid closure. ASOP 43 compliant.</t>
        </is>
      </c>
    </row>
    <row r="74">
      <c r="A74" s="22" t="inlineStr">
        <is>
          <t>CDF</t>
        </is>
      </c>
      <c r="B74" s="27">
        <f>IFERROR(B72*C74,"")</f>
        <v/>
      </c>
      <c r="C74" s="27">
        <f>IFERROR(C72*D74,"")</f>
        <v/>
      </c>
      <c r="D74" s="27">
        <f>IFERROR(D72*E74,"")</f>
        <v/>
      </c>
      <c r="E74" s="27">
        <f>IFERROR(E72*F74,"")</f>
        <v/>
      </c>
      <c r="F74" s="27">
        <f>IFERROR(F72*G74,"")</f>
        <v/>
      </c>
      <c r="G74" s="27">
        <f>IFERROR(G72*H74,"")</f>
        <v/>
      </c>
      <c r="H74" s="27">
        <f>IFERROR(H72*I74,"")</f>
        <v/>
      </c>
      <c r="I74" s="27">
        <f>IFERROR(I72*J74,"")</f>
        <v/>
      </c>
      <c r="J74" s="27">
        <f>IFERROR(J72*K74,"")</f>
        <v/>
      </c>
      <c r="K74" s="27">
        <f>IFERROR(K72*L74,"")</f>
        <v/>
      </c>
      <c r="L74" s="27">
        <f>IFERROR(L72*M74,"")</f>
        <v/>
      </c>
      <c r="M74" s="27" t="n">
        <v>1</v>
      </c>
    </row>
    <row r="75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20" customHeight="1">
      <c r="A1" s="1" t="inlineStr">
        <is>
          <t>Exposure</t>
        </is>
      </c>
      <c r="B1" s="2" t="n"/>
    </row>
    <row r="2">
      <c r="A2" s="8" t="inlineStr">
        <is>
          <t>Period</t>
        </is>
      </c>
      <c r="B2" s="8" t="inlineStr">
        <is>
          <t>Exposure</t>
        </is>
      </c>
    </row>
    <row r="3">
      <c r="A3" s="9" t="n">
        <v>2001</v>
      </c>
      <c r="B3" s="12" t="n">
        <v>316377369.9688</v>
      </c>
    </row>
    <row r="4">
      <c r="A4" s="9" t="n">
        <v>2002</v>
      </c>
      <c r="B4" s="12" t="n">
        <v>322704917.4</v>
      </c>
    </row>
    <row r="5">
      <c r="A5" s="9" t="n">
        <v>2003</v>
      </c>
      <c r="B5" s="12" t="n">
        <v>329159015.7</v>
      </c>
    </row>
    <row r="6">
      <c r="A6" s="9" t="n">
        <v>2004</v>
      </c>
      <c r="B6" s="12" t="n">
        <v>335742196</v>
      </c>
    </row>
    <row r="7">
      <c r="A7" s="9" t="n">
        <v>2005</v>
      </c>
      <c r="B7" s="12" t="n">
        <v>342457040</v>
      </c>
    </row>
    <row r="8">
      <c r="A8" s="9" t="n">
        <v>2006</v>
      </c>
      <c r="B8" s="12" t="n">
        <v>349306180.7</v>
      </c>
    </row>
    <row r="9">
      <c r="A9" s="9" t="n">
        <v>2007</v>
      </c>
      <c r="B9" s="12" t="n">
        <v>356292304.4</v>
      </c>
    </row>
    <row r="10">
      <c r="A10" s="9" t="n">
        <v>2008</v>
      </c>
      <c r="B10" s="12" t="n">
        <v>363418150.5</v>
      </c>
    </row>
    <row r="11">
      <c r="A11" s="9" t="n">
        <v>2009</v>
      </c>
      <c r="B11" s="12" t="n">
        <v>370686513.5</v>
      </c>
    </row>
    <row r="12">
      <c r="A12" s="9" t="n">
        <v>2010</v>
      </c>
      <c r="B12" s="12" t="n">
        <v>378100243.7</v>
      </c>
    </row>
    <row r="13">
      <c r="A13" s="9" t="n">
        <v>2011</v>
      </c>
      <c r="B13" s="12" t="n">
        <v>385662248.6</v>
      </c>
    </row>
    <row r="14">
      <c r="A14" s="9" t="n">
        <v>2012</v>
      </c>
      <c r="B14" s="12" t="n">
        <v>393375493.6</v>
      </c>
    </row>
    <row r="15">
      <c r="A15" s="9" t="n">
        <v>2013</v>
      </c>
      <c r="B15" s="12" t="n">
        <v>401243003.4</v>
      </c>
    </row>
    <row r="16">
      <c r="A16" s="9" t="n">
        <v>2014</v>
      </c>
      <c r="B16" s="12" t="n">
        <v>409267863.5</v>
      </c>
    </row>
    <row r="17">
      <c r="A17" s="9" t="n">
        <v>2015</v>
      </c>
      <c r="B17" s="12" t="n">
        <v>417453220.8</v>
      </c>
    </row>
    <row r="18">
      <c r="A18" s="9" t="n">
        <v>2016</v>
      </c>
      <c r="B18" s="12" t="n">
        <v>425802285.2</v>
      </c>
    </row>
    <row r="19">
      <c r="A19" s="9" t="n">
        <v>2017</v>
      </c>
      <c r="B19" s="12" t="n">
        <v>434318330.9</v>
      </c>
    </row>
    <row r="20">
      <c r="A20" s="9" t="n">
        <v>2018</v>
      </c>
      <c r="B20" s="12" t="n">
        <v>443004697.5</v>
      </c>
    </row>
    <row r="21">
      <c r="A21" s="9" t="n">
        <v>2019</v>
      </c>
      <c r="B21" s="12" t="n">
        <v>451864791.5</v>
      </c>
    </row>
    <row r="22">
      <c r="A22" s="9" t="n">
        <v>2020</v>
      </c>
      <c r="B22" s="12" t="n">
        <v>460902087.3</v>
      </c>
    </row>
    <row r="23">
      <c r="A23" s="9" t="n">
        <v>2021</v>
      </c>
      <c r="B23" s="12" t="n">
        <v>470120129.1</v>
      </c>
    </row>
    <row r="24">
      <c r="A24" s="9" t="n">
        <v>2022</v>
      </c>
      <c r="B24" s="12" t="n">
        <v>479522531.6</v>
      </c>
    </row>
    <row r="25">
      <c r="A25" s="9" t="n">
        <v>2023</v>
      </c>
      <c r="B25" s="12" t="n">
        <v>489112982.3</v>
      </c>
    </row>
    <row r="26">
      <c r="A26" s="9" t="n">
        <v>2024</v>
      </c>
      <c r="B26" s="12" t="n">
        <v>498895241.9</v>
      </c>
    </row>
  </sheetData>
  <mergeCells count="1">
    <mergeCell ref="A1:B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3" t="inlineStr">
        <is>
          <t>Reported Claims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  <c r="O1" s="15" t="n"/>
      <c r="P1" s="15" t="n"/>
      <c r="Q1" s="15" t="n"/>
      <c r="R1" s="15" t="n"/>
      <c r="S1" s="15" t="n"/>
      <c r="T1" s="15" t="n"/>
      <c r="U1" s="15" t="n"/>
      <c r="V1" s="15" t="n"/>
      <c r="W1" s="15" t="n"/>
      <c r="X1" s="15" t="n"/>
      <c r="Y1" s="2" t="n"/>
    </row>
    <row r="2">
      <c r="A2" s="16" t="n"/>
      <c r="B2" s="8" t="inlineStr">
        <is>
          <t>11</t>
        </is>
      </c>
      <c r="C2" s="8" t="inlineStr">
        <is>
          <t>23</t>
        </is>
      </c>
      <c r="D2" s="8" t="inlineStr">
        <is>
          <t>35</t>
        </is>
      </c>
      <c r="E2" s="8" t="inlineStr">
        <is>
          <t>47</t>
        </is>
      </c>
      <c r="F2" s="8" t="inlineStr">
        <is>
          <t>59</t>
        </is>
      </c>
      <c r="G2" s="8" t="inlineStr">
        <is>
          <t>71</t>
        </is>
      </c>
      <c r="H2" s="8" t="inlineStr">
        <is>
          <t>83</t>
        </is>
      </c>
      <c r="I2" s="8" t="inlineStr">
        <is>
          <t>95</t>
        </is>
      </c>
      <c r="J2" s="8" t="inlineStr">
        <is>
          <t>107</t>
        </is>
      </c>
      <c r="K2" s="8" t="inlineStr">
        <is>
          <t>119</t>
        </is>
      </c>
      <c r="L2" s="8" t="inlineStr">
        <is>
          <t>131</t>
        </is>
      </c>
      <c r="M2" s="8" t="inlineStr">
        <is>
          <t>143</t>
        </is>
      </c>
      <c r="N2" s="8" t="inlineStr">
        <is>
          <t>155</t>
        </is>
      </c>
      <c r="O2" s="8" t="inlineStr">
        <is>
          <t>167</t>
        </is>
      </c>
      <c r="P2" s="8" t="inlineStr">
        <is>
          <t>179</t>
        </is>
      </c>
      <c r="Q2" s="8" t="inlineStr">
        <is>
          <t>191</t>
        </is>
      </c>
      <c r="R2" s="8" t="inlineStr">
        <is>
          <t>203</t>
        </is>
      </c>
      <c r="S2" s="8" t="inlineStr">
        <is>
          <t>215</t>
        </is>
      </c>
      <c r="T2" s="8" t="inlineStr">
        <is>
          <t>227</t>
        </is>
      </c>
      <c r="U2" s="8" t="inlineStr">
        <is>
          <t>239</t>
        </is>
      </c>
      <c r="V2" s="8" t="inlineStr">
        <is>
          <t>251</t>
        </is>
      </c>
      <c r="W2" s="8" t="inlineStr">
        <is>
          <t>263</t>
        </is>
      </c>
      <c r="X2" s="8" t="inlineStr">
        <is>
          <t>275</t>
        </is>
      </c>
      <c r="Y2" s="8" t="inlineStr">
        <is>
          <t>287</t>
        </is>
      </c>
    </row>
    <row r="3">
      <c r="A3" s="17" t="inlineStr">
        <is>
          <t>2001</t>
        </is>
      </c>
      <c r="B3" s="18" t="n">
        <v>637.3668</v>
      </c>
      <c r="C3" s="18" t="n">
        <v>682.2332</v>
      </c>
      <c r="D3" s="18" t="n">
        <v>683.5528</v>
      </c>
      <c r="E3" s="18" t="n">
        <v>683.5528</v>
      </c>
      <c r="F3" s="18" t="n">
        <v>683.5528</v>
      </c>
      <c r="G3" s="18" t="n">
        <v>683.5528</v>
      </c>
      <c r="H3" s="18" t="n">
        <v>700.7076</v>
      </c>
      <c r="I3" s="18" t="n">
        <v>700.7076</v>
      </c>
      <c r="J3" s="18" t="n">
        <v>700.7076</v>
      </c>
      <c r="K3" s="18" t="n">
        <v>700.7076</v>
      </c>
      <c r="L3" s="18" t="n">
        <v>700.7076</v>
      </c>
      <c r="M3" s="18" t="n">
        <v>700.7076</v>
      </c>
      <c r="N3" s="18" t="n">
        <v>700.7076</v>
      </c>
      <c r="O3" s="18" t="n">
        <v>700.7076</v>
      </c>
      <c r="P3" s="18" t="n">
        <v>700.7076</v>
      </c>
      <c r="Q3" s="18" t="n">
        <v>700.7076</v>
      </c>
      <c r="R3" s="18" t="n">
        <v>700.7076</v>
      </c>
      <c r="S3" s="18" t="n">
        <v>700.7076</v>
      </c>
      <c r="T3" s="18" t="n">
        <v>700.7076</v>
      </c>
      <c r="U3" s="18" t="n">
        <v>700.7076</v>
      </c>
      <c r="V3" s="18" t="n">
        <v>700.7076</v>
      </c>
      <c r="W3" s="18" t="n">
        <v>700.7076</v>
      </c>
      <c r="X3" s="18" t="n">
        <v>700.7076</v>
      </c>
      <c r="Y3" s="18" t="n">
        <v>700.7076</v>
      </c>
    </row>
    <row r="4">
      <c r="A4" s="17" t="inlineStr">
        <is>
          <t>2002</t>
        </is>
      </c>
      <c r="B4" s="18" t="n">
        <v>613.614</v>
      </c>
      <c r="C4" s="18" t="n">
        <v>634.7276000000001</v>
      </c>
      <c r="D4" s="18" t="n">
        <v>634.7276000000001</v>
      </c>
      <c r="E4" s="18" t="n">
        <v>634.7276000000001</v>
      </c>
      <c r="F4" s="18" t="n">
        <v>634.7276000000001</v>
      </c>
      <c r="G4" s="18" t="n">
        <v>651.8824</v>
      </c>
      <c r="H4" s="18" t="n">
        <v>651.8824</v>
      </c>
      <c r="I4" s="18" t="n">
        <v>651.8824</v>
      </c>
      <c r="J4" s="18" t="n">
        <v>651.8824</v>
      </c>
      <c r="K4" s="18" t="n">
        <v>651.8824</v>
      </c>
      <c r="L4" s="18" t="n">
        <v>651.8824</v>
      </c>
      <c r="M4" s="18" t="n">
        <v>651.8824</v>
      </c>
      <c r="N4" s="18" t="n">
        <v>651.8824</v>
      </c>
      <c r="O4" s="18" t="n">
        <v>651.8824</v>
      </c>
      <c r="P4" s="18" t="n">
        <v>651.8824</v>
      </c>
      <c r="Q4" s="18" t="n">
        <v>651.8824</v>
      </c>
      <c r="R4" s="18" t="n">
        <v>651.8824</v>
      </c>
      <c r="S4" s="18" t="n">
        <v>651.8824</v>
      </c>
      <c r="T4" s="18" t="n">
        <v>651.8824</v>
      </c>
      <c r="U4" s="18" t="n">
        <v>651.8824</v>
      </c>
      <c r="V4" s="18" t="n">
        <v>651.8824</v>
      </c>
      <c r="W4" s="18" t="n">
        <v>651.8824</v>
      </c>
      <c r="X4" s="18" t="n">
        <v>651.8824</v>
      </c>
    </row>
    <row r="5">
      <c r="A5" s="17" t="inlineStr">
        <is>
          <t>2003</t>
        </is>
      </c>
      <c r="B5" s="18" t="n">
        <v>534.438</v>
      </c>
      <c r="C5" s="18" t="n">
        <v>552.9124</v>
      </c>
      <c r="D5" s="18" t="n">
        <v>552.9124</v>
      </c>
      <c r="E5" s="18" t="n">
        <v>552.9124</v>
      </c>
      <c r="F5" s="18" t="n">
        <v>550.2732</v>
      </c>
      <c r="G5" s="18" t="n">
        <v>550.2732</v>
      </c>
      <c r="H5" s="18" t="n">
        <v>551.5928</v>
      </c>
      <c r="I5" s="18" t="n">
        <v>551.5928</v>
      </c>
      <c r="J5" s="18" t="n">
        <v>551.5928</v>
      </c>
      <c r="K5" s="18" t="n">
        <v>551.5928</v>
      </c>
      <c r="L5" s="18" t="n">
        <v>551.5928</v>
      </c>
      <c r="M5" s="18" t="n">
        <v>551.5928</v>
      </c>
      <c r="N5" s="18" t="n">
        <v>551.5928</v>
      </c>
      <c r="O5" s="18" t="n">
        <v>551.5928</v>
      </c>
      <c r="P5" s="18" t="n">
        <v>551.5928</v>
      </c>
      <c r="Q5" s="18" t="n">
        <v>551.5928</v>
      </c>
      <c r="R5" s="18" t="n">
        <v>551.5928</v>
      </c>
      <c r="S5" s="18" t="n">
        <v>551.5928</v>
      </c>
      <c r="T5" s="18" t="n">
        <v>551.5928</v>
      </c>
      <c r="U5" s="18" t="n">
        <v>551.5928</v>
      </c>
      <c r="V5" s="18" t="n">
        <v>551.5928</v>
      </c>
      <c r="W5" s="18" t="n">
        <v>551.5928</v>
      </c>
    </row>
    <row r="6">
      <c r="A6" s="17" t="inlineStr">
        <is>
          <t>2004</t>
        </is>
      </c>
      <c r="B6" s="18" t="n">
        <v>603.0572</v>
      </c>
      <c r="C6" s="18" t="n">
        <v>638.6864</v>
      </c>
      <c r="D6" s="18" t="n">
        <v>638.6864</v>
      </c>
      <c r="E6" s="18" t="n">
        <v>641.3256</v>
      </c>
      <c r="F6" s="18" t="n">
        <v>642.6452</v>
      </c>
      <c r="G6" s="18" t="n">
        <v>642.6452</v>
      </c>
      <c r="H6" s="18" t="n">
        <v>642.6452</v>
      </c>
      <c r="I6" s="18" t="n">
        <v>642.6452</v>
      </c>
      <c r="J6" s="18" t="n">
        <v>642.6452</v>
      </c>
      <c r="K6" s="18" t="n">
        <v>642.6452</v>
      </c>
      <c r="L6" s="18" t="n">
        <v>642.6452</v>
      </c>
      <c r="M6" s="18" t="n">
        <v>642.6452</v>
      </c>
      <c r="N6" s="18" t="n">
        <v>642.6452</v>
      </c>
      <c r="O6" s="18" t="n">
        <v>642.6452</v>
      </c>
      <c r="P6" s="18" t="n">
        <v>642.6452</v>
      </c>
      <c r="Q6" s="18" t="n">
        <v>642.6452</v>
      </c>
      <c r="R6" s="18" t="n">
        <v>642.6452</v>
      </c>
      <c r="S6" s="18" t="n">
        <v>642.6452</v>
      </c>
      <c r="T6" s="18" t="n">
        <v>642.6452</v>
      </c>
      <c r="U6" s="18" t="n">
        <v>642.6452</v>
      </c>
      <c r="V6" s="18" t="n">
        <v>642.6452</v>
      </c>
    </row>
    <row r="7">
      <c r="A7" s="17" t="inlineStr">
        <is>
          <t>2005</t>
        </is>
      </c>
      <c r="B7" s="18" t="n">
        <v>626.8099999999999</v>
      </c>
      <c r="C7" s="18" t="n">
        <v>641.3256</v>
      </c>
      <c r="D7" s="18" t="n">
        <v>642.6452</v>
      </c>
      <c r="E7" s="18" t="n">
        <v>641.3256</v>
      </c>
      <c r="F7" s="18" t="n">
        <v>641.3256</v>
      </c>
      <c r="G7" s="18" t="n">
        <v>641.3256</v>
      </c>
      <c r="H7" s="18" t="n">
        <v>641.3256</v>
      </c>
      <c r="I7" s="18" t="n">
        <v>641.3256</v>
      </c>
      <c r="J7" s="18" t="n">
        <v>641.3256</v>
      </c>
      <c r="K7" s="18" t="n">
        <v>641.3256</v>
      </c>
      <c r="L7" s="18" t="n">
        <v>641.3256</v>
      </c>
      <c r="M7" s="18" t="n">
        <v>641.3256</v>
      </c>
      <c r="N7" s="18" t="n">
        <v>641.3256</v>
      </c>
      <c r="O7" s="18" t="n">
        <v>641.3256</v>
      </c>
      <c r="P7" s="18" t="n">
        <v>641.3256</v>
      </c>
      <c r="Q7" s="18" t="n">
        <v>641.3256</v>
      </c>
      <c r="R7" s="18" t="n">
        <v>641.3256</v>
      </c>
      <c r="S7" s="18" t="n">
        <v>641.3256</v>
      </c>
      <c r="T7" s="18" t="n">
        <v>641.3256</v>
      </c>
      <c r="U7" s="18" t="n">
        <v>641.3256</v>
      </c>
    </row>
    <row r="8">
      <c r="A8" s="17" t="inlineStr">
        <is>
          <t>2006</t>
        </is>
      </c>
      <c r="B8" s="18" t="n">
        <v>479.0148</v>
      </c>
      <c r="C8" s="18" t="n">
        <v>497.4892</v>
      </c>
      <c r="D8" s="18" t="n">
        <v>497.4892</v>
      </c>
      <c r="E8" s="18" t="n">
        <v>497.4892</v>
      </c>
      <c r="F8" s="18" t="n">
        <v>497.4892</v>
      </c>
      <c r="G8" s="18" t="n">
        <v>497.4892</v>
      </c>
      <c r="H8" s="18" t="n">
        <v>497.4892</v>
      </c>
      <c r="I8" s="18" t="n">
        <v>497.4892</v>
      </c>
      <c r="J8" s="18" t="n">
        <v>497.4892</v>
      </c>
      <c r="K8" s="18" t="n">
        <v>497.4892</v>
      </c>
      <c r="L8" s="18" t="n">
        <v>497.4892</v>
      </c>
      <c r="M8" s="18" t="n">
        <v>497.4892</v>
      </c>
      <c r="N8" s="18" t="n">
        <v>497.4892</v>
      </c>
      <c r="O8" s="18" t="n">
        <v>497.4892</v>
      </c>
      <c r="P8" s="18" t="n">
        <v>497.4892</v>
      </c>
      <c r="Q8" s="18" t="n">
        <v>497.4892</v>
      </c>
      <c r="R8" s="18" t="n">
        <v>497.4892</v>
      </c>
      <c r="S8" s="18" t="n">
        <v>497.4892</v>
      </c>
      <c r="T8" s="18" t="n">
        <v>497.4892</v>
      </c>
    </row>
    <row r="9">
      <c r="A9" s="17" t="inlineStr">
        <is>
          <t>2007</t>
        </is>
      </c>
      <c r="B9" s="18" t="n">
        <v>456.5816</v>
      </c>
      <c r="C9" s="18" t="n">
        <v>476.3756</v>
      </c>
      <c r="D9" s="18" t="n">
        <v>476.3756</v>
      </c>
      <c r="E9" s="18" t="n">
        <v>476.3756</v>
      </c>
      <c r="F9" s="18" t="n">
        <v>476.3756</v>
      </c>
      <c r="G9" s="18" t="n">
        <v>476.3756</v>
      </c>
      <c r="H9" s="18" t="n">
        <v>476.3756</v>
      </c>
      <c r="I9" s="18" t="n">
        <v>476.3756</v>
      </c>
      <c r="J9" s="18" t="n">
        <v>476.3756</v>
      </c>
      <c r="K9" s="18" t="n">
        <v>476.3756</v>
      </c>
      <c r="L9" s="18" t="n">
        <v>476.3756</v>
      </c>
      <c r="M9" s="18" t="n">
        <v>476.3756</v>
      </c>
      <c r="N9" s="18" t="n">
        <v>476.3756</v>
      </c>
      <c r="O9" s="18" t="n">
        <v>476.3756</v>
      </c>
      <c r="P9" s="18" t="n">
        <v>476.3756</v>
      </c>
      <c r="Q9" s="18" t="n">
        <v>476.3756</v>
      </c>
      <c r="R9" s="18" t="n">
        <v>476.3756</v>
      </c>
      <c r="S9" s="18" t="n">
        <v>476.3756</v>
      </c>
    </row>
    <row r="10">
      <c r="A10" s="17" t="inlineStr">
        <is>
          <t>2008</t>
        </is>
      </c>
      <c r="B10" s="18" t="n">
        <v>307.4668</v>
      </c>
      <c r="C10" s="18" t="n">
        <v>327.2608</v>
      </c>
      <c r="D10" s="18" t="n">
        <v>328.5804</v>
      </c>
      <c r="E10" s="18" t="n">
        <v>328.5804</v>
      </c>
      <c r="F10" s="18" t="n">
        <v>328.5804</v>
      </c>
      <c r="G10" s="18" t="n">
        <v>328.5804</v>
      </c>
      <c r="H10" s="18" t="n">
        <v>328.5804</v>
      </c>
      <c r="I10" s="18" t="n">
        <v>328.5804</v>
      </c>
      <c r="J10" s="18" t="n">
        <v>328.5804</v>
      </c>
      <c r="K10" s="18" t="n">
        <v>328.5804</v>
      </c>
      <c r="L10" s="18" t="n">
        <v>328.5804</v>
      </c>
      <c r="M10" s="18" t="n">
        <v>328.5804</v>
      </c>
      <c r="N10" s="18" t="n">
        <v>328.5804</v>
      </c>
      <c r="O10" s="18" t="n">
        <v>328.5804</v>
      </c>
      <c r="P10" s="18" t="n">
        <v>328.5804</v>
      </c>
      <c r="Q10" s="18" t="n">
        <v>328.5804</v>
      </c>
      <c r="R10" s="18" t="n">
        <v>328.5804</v>
      </c>
    </row>
    <row r="11">
      <c r="A11" s="17" t="inlineStr">
        <is>
          <t>2009</t>
        </is>
      </c>
      <c r="B11" s="18" t="n">
        <v>306.1472</v>
      </c>
      <c r="C11" s="18" t="n">
        <v>320.6628</v>
      </c>
      <c r="D11" s="18" t="n">
        <v>321.9824</v>
      </c>
      <c r="E11" s="18" t="n">
        <v>321.9824</v>
      </c>
      <c r="F11" s="18" t="n">
        <v>321.9824</v>
      </c>
      <c r="G11" s="18" t="n">
        <v>321.9824</v>
      </c>
      <c r="H11" s="18" t="n">
        <v>321.9824</v>
      </c>
      <c r="I11" s="18" t="n">
        <v>321.9824</v>
      </c>
      <c r="J11" s="18" t="n">
        <v>321.9824</v>
      </c>
      <c r="K11" s="18" t="n">
        <v>321.9824</v>
      </c>
      <c r="L11" s="18" t="n">
        <v>321.9824</v>
      </c>
      <c r="M11" s="18" t="n">
        <v>321.9824</v>
      </c>
      <c r="N11" s="18" t="n">
        <v>321.9824</v>
      </c>
      <c r="O11" s="18" t="n">
        <v>321.9824</v>
      </c>
      <c r="P11" s="18" t="n">
        <v>321.9824</v>
      </c>
      <c r="Q11" s="18" t="n">
        <v>321.9824</v>
      </c>
    </row>
    <row r="12">
      <c r="A12" s="17" t="inlineStr">
        <is>
          <t>2010</t>
        </is>
      </c>
      <c r="B12" s="18" t="n">
        <v>259.9612</v>
      </c>
      <c r="C12" s="18" t="n">
        <v>271.8376</v>
      </c>
      <c r="D12" s="18" t="n">
        <v>271.8376</v>
      </c>
      <c r="E12" s="18" t="n">
        <v>271.8376</v>
      </c>
      <c r="F12" s="18" t="n">
        <v>271.8376</v>
      </c>
      <c r="G12" s="18" t="n">
        <v>271.8376</v>
      </c>
      <c r="H12" s="18" t="n">
        <v>271.8376</v>
      </c>
      <c r="I12" s="18" t="n">
        <v>271.8376</v>
      </c>
      <c r="J12" s="18" t="n">
        <v>271.8376</v>
      </c>
      <c r="K12" s="18" t="n">
        <v>271.8376</v>
      </c>
      <c r="L12" s="18" t="n">
        <v>271.8376</v>
      </c>
      <c r="M12" s="18" t="n">
        <v>271.8376</v>
      </c>
      <c r="N12" s="18" t="n">
        <v>271.8376</v>
      </c>
      <c r="O12" s="18" t="n">
        <v>271.8376</v>
      </c>
      <c r="P12" s="18" t="n">
        <v>271.8376</v>
      </c>
    </row>
    <row r="13">
      <c r="A13" s="17" t="inlineStr">
        <is>
          <t>2011</t>
        </is>
      </c>
      <c r="B13" s="18" t="n">
        <v>345.7352</v>
      </c>
      <c r="C13" s="18" t="n">
        <v>345.7352</v>
      </c>
      <c r="D13" s="18" t="n">
        <v>345.7352</v>
      </c>
      <c r="E13" s="18" t="n">
        <v>345.7352</v>
      </c>
      <c r="F13" s="18" t="n">
        <v>345.7352</v>
      </c>
      <c r="G13" s="18" t="n">
        <v>345.7352</v>
      </c>
      <c r="H13" s="18" t="n">
        <v>345.7352</v>
      </c>
      <c r="I13" s="18" t="n">
        <v>345.7352</v>
      </c>
      <c r="J13" s="18" t="n">
        <v>345.7352</v>
      </c>
      <c r="K13" s="18" t="n">
        <v>345.7352</v>
      </c>
      <c r="L13" s="18" t="n">
        <v>345.7352</v>
      </c>
      <c r="M13" s="18" t="n">
        <v>345.7352</v>
      </c>
      <c r="N13" s="18" t="n">
        <v>345.7352</v>
      </c>
      <c r="O13" s="18" t="n">
        <v>345.7352</v>
      </c>
    </row>
    <row r="14">
      <c r="A14" s="17" t="inlineStr">
        <is>
          <t>2012</t>
        </is>
      </c>
      <c r="B14" s="18" t="n">
        <v>245.4456</v>
      </c>
      <c r="C14" s="18" t="n">
        <v>261.2808</v>
      </c>
      <c r="D14" s="18" t="n">
        <v>261.2808</v>
      </c>
      <c r="E14" s="18" t="n">
        <v>261.2808</v>
      </c>
      <c r="F14" s="18" t="n">
        <v>261.2808</v>
      </c>
      <c r="G14" s="18" t="n">
        <v>261.2808</v>
      </c>
      <c r="H14" s="18" t="n">
        <v>261.2808</v>
      </c>
      <c r="I14" s="18" t="n">
        <v>261.2808</v>
      </c>
      <c r="J14" s="18" t="n">
        <v>261.2808</v>
      </c>
      <c r="K14" s="18" t="n">
        <v>261.2808</v>
      </c>
      <c r="L14" s="18" t="n">
        <v>261.2808</v>
      </c>
      <c r="M14" s="18" t="n">
        <v>261.2808</v>
      </c>
      <c r="N14" s="18" t="n">
        <v>261.2808</v>
      </c>
    </row>
    <row r="15">
      <c r="A15" s="17" t="inlineStr">
        <is>
          <t>2013</t>
        </is>
      </c>
      <c r="B15" s="18" t="n">
        <v>282.3944</v>
      </c>
      <c r="C15" s="18" t="n">
        <v>290.312</v>
      </c>
      <c r="D15" s="18" t="n">
        <v>290.312</v>
      </c>
      <c r="E15" s="18" t="n">
        <v>291.6316</v>
      </c>
      <c r="F15" s="18" t="n">
        <v>291.6316</v>
      </c>
      <c r="G15" s="18" t="n">
        <v>291.6316</v>
      </c>
      <c r="H15" s="18" t="n">
        <v>291.6316</v>
      </c>
      <c r="I15" s="18" t="n">
        <v>291.6316</v>
      </c>
      <c r="J15" s="18" t="n">
        <v>291.6316</v>
      </c>
      <c r="K15" s="18" t="n">
        <v>291.6316</v>
      </c>
      <c r="L15" s="18" t="n">
        <v>291.6316</v>
      </c>
      <c r="M15" s="18" t="n">
        <v>291.6316</v>
      </c>
    </row>
    <row r="16">
      <c r="A16" s="17" t="inlineStr">
        <is>
          <t>2014</t>
        </is>
      </c>
      <c r="B16" s="18" t="n">
        <v>434.1484</v>
      </c>
      <c r="C16" s="18" t="n">
        <v>453.9424</v>
      </c>
      <c r="D16" s="18" t="n">
        <v>455.262</v>
      </c>
      <c r="E16" s="18" t="n">
        <v>455.262</v>
      </c>
      <c r="F16" s="18" t="n">
        <v>455.262</v>
      </c>
      <c r="G16" s="18" t="n">
        <v>455.262</v>
      </c>
      <c r="H16" s="18" t="n">
        <v>455.262</v>
      </c>
      <c r="I16" s="18" t="n">
        <v>455.262</v>
      </c>
      <c r="J16" s="18" t="n">
        <v>455.262</v>
      </c>
      <c r="K16" s="18" t="n">
        <v>455.262</v>
      </c>
      <c r="L16" s="18" t="n">
        <v>455.262</v>
      </c>
    </row>
    <row r="17">
      <c r="A17" s="17" t="inlineStr">
        <is>
          <t>2015</t>
        </is>
      </c>
      <c r="B17" s="18" t="n">
        <v>321.9824</v>
      </c>
      <c r="C17" s="18" t="n">
        <v>332.5392</v>
      </c>
      <c r="D17" s="18" t="n">
        <v>337.8176</v>
      </c>
      <c r="E17" s="18" t="n">
        <v>337.8176</v>
      </c>
      <c r="F17" s="18" t="n">
        <v>337.8176</v>
      </c>
      <c r="G17" s="18" t="n">
        <v>337.8176</v>
      </c>
      <c r="H17" s="18" t="n">
        <v>337.8176</v>
      </c>
      <c r="I17" s="18" t="n">
        <v>337.8176</v>
      </c>
      <c r="J17" s="18" t="n">
        <v>337.8176</v>
      </c>
      <c r="K17" s="18" t="n">
        <v>333.8588</v>
      </c>
    </row>
    <row r="18">
      <c r="A18" s="17" t="inlineStr">
        <is>
          <t>2016</t>
        </is>
      </c>
      <c r="B18" s="18" t="n">
        <v>345.7352</v>
      </c>
      <c r="C18" s="18" t="n">
        <v>373.4468</v>
      </c>
      <c r="D18" s="18" t="n">
        <v>390.6016</v>
      </c>
      <c r="E18" s="18" t="n">
        <v>390.6016</v>
      </c>
      <c r="F18" s="18" t="n">
        <v>390.6016</v>
      </c>
      <c r="G18" s="18" t="n">
        <v>390.6016</v>
      </c>
      <c r="H18" s="18" t="n">
        <v>390.6016</v>
      </c>
      <c r="I18" s="18" t="n">
        <v>390.6016</v>
      </c>
      <c r="J18" s="18" t="n">
        <v>390.6016</v>
      </c>
    </row>
    <row r="19">
      <c r="A19" s="17" t="inlineStr">
        <is>
          <t>2017</t>
        </is>
      </c>
      <c r="B19" s="18" t="n">
        <v>275.7964</v>
      </c>
      <c r="C19" s="18" t="n">
        <v>310.106</v>
      </c>
      <c r="D19" s="18" t="n">
        <v>311.4256</v>
      </c>
      <c r="E19" s="18" t="n">
        <v>312.7452</v>
      </c>
      <c r="F19" s="18" t="n">
        <v>311.4256</v>
      </c>
      <c r="G19" s="18" t="n">
        <v>311.4256</v>
      </c>
      <c r="H19" s="18" t="n">
        <v>311.4256</v>
      </c>
      <c r="I19" s="18" t="n">
        <v>310.106</v>
      </c>
    </row>
    <row r="20">
      <c r="A20" s="17" t="inlineStr">
        <is>
          <t>2018</t>
        </is>
      </c>
      <c r="B20" s="18" t="n">
        <v>288.9924</v>
      </c>
      <c r="C20" s="18" t="n">
        <v>324.6216</v>
      </c>
      <c r="D20" s="18" t="n">
        <v>324.6216</v>
      </c>
      <c r="E20" s="18" t="n">
        <v>324.6216</v>
      </c>
      <c r="F20" s="18" t="n">
        <v>325.9412</v>
      </c>
      <c r="G20" s="18" t="n">
        <v>325.9412</v>
      </c>
      <c r="H20" s="18" t="n">
        <v>325.9412</v>
      </c>
    </row>
    <row r="21">
      <c r="A21" s="17" t="inlineStr">
        <is>
          <t>2019</t>
        </is>
      </c>
      <c r="B21" s="18" t="n">
        <v>314.0648</v>
      </c>
      <c r="C21" s="18" t="n">
        <v>358.9312</v>
      </c>
      <c r="D21" s="18" t="n">
        <v>358.9312</v>
      </c>
      <c r="E21" s="18" t="n">
        <v>358.9312</v>
      </c>
      <c r="F21" s="18" t="n">
        <v>358.9312</v>
      </c>
      <c r="G21" s="18" t="n">
        <v>357.6116</v>
      </c>
    </row>
    <row r="22">
      <c r="A22" s="17" t="inlineStr">
        <is>
          <t>2020</t>
        </is>
      </c>
      <c r="B22" s="18" t="n">
        <v>349.694</v>
      </c>
      <c r="C22" s="18" t="n">
        <v>370.8076</v>
      </c>
      <c r="D22" s="18" t="n">
        <v>370.8076</v>
      </c>
      <c r="E22" s="18" t="n">
        <v>370.8076</v>
      </c>
      <c r="F22" s="18" t="n">
        <v>370.8076</v>
      </c>
    </row>
    <row r="23">
      <c r="A23" s="17" t="inlineStr">
        <is>
          <t>2021</t>
        </is>
      </c>
      <c r="B23" s="18" t="n">
        <v>288.9924</v>
      </c>
      <c r="C23" s="18" t="n">
        <v>329.9</v>
      </c>
      <c r="D23" s="18" t="n">
        <v>329.9</v>
      </c>
      <c r="E23" s="18" t="n">
        <v>329.9</v>
      </c>
    </row>
    <row r="24">
      <c r="A24" s="17" t="inlineStr">
        <is>
          <t>2022</t>
        </is>
      </c>
      <c r="B24" s="18" t="n">
        <v>261.2808</v>
      </c>
      <c r="C24" s="18" t="n">
        <v>298.2296</v>
      </c>
      <c r="D24" s="18" t="n">
        <v>298.2296</v>
      </c>
    </row>
    <row r="25">
      <c r="A25" s="17" t="inlineStr">
        <is>
          <t>2023</t>
        </is>
      </c>
      <c r="B25" s="18" t="n">
        <v>273.1572</v>
      </c>
      <c r="C25" s="18" t="n">
        <v>304.8276</v>
      </c>
    </row>
    <row r="26">
      <c r="A26" s="17" t="inlineStr">
        <is>
          <t>2024</t>
        </is>
      </c>
      <c r="B26" s="18" t="n">
        <v>256.0024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3" t="inlineStr">
        <is>
          <t>Incurred Severity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  <c r="O1" s="15" t="n"/>
      <c r="P1" s="15" t="n"/>
      <c r="Q1" s="15" t="n"/>
      <c r="R1" s="15" t="n"/>
      <c r="S1" s="15" t="n"/>
      <c r="T1" s="15" t="n"/>
      <c r="U1" s="15" t="n"/>
      <c r="V1" s="15" t="n"/>
      <c r="W1" s="15" t="n"/>
      <c r="X1" s="15" t="n"/>
      <c r="Y1" s="2" t="n"/>
    </row>
    <row r="2">
      <c r="A2" s="16" t="n"/>
      <c r="B2" s="8" t="inlineStr">
        <is>
          <t>11</t>
        </is>
      </c>
      <c r="C2" s="8" t="inlineStr">
        <is>
          <t>23</t>
        </is>
      </c>
      <c r="D2" s="8" t="inlineStr">
        <is>
          <t>35</t>
        </is>
      </c>
      <c r="E2" s="8" t="inlineStr">
        <is>
          <t>47</t>
        </is>
      </c>
      <c r="F2" s="8" t="inlineStr">
        <is>
          <t>59</t>
        </is>
      </c>
      <c r="G2" s="8" t="inlineStr">
        <is>
          <t>71</t>
        </is>
      </c>
      <c r="H2" s="8" t="inlineStr">
        <is>
          <t>83</t>
        </is>
      </c>
      <c r="I2" s="8" t="inlineStr">
        <is>
          <t>95</t>
        </is>
      </c>
      <c r="J2" s="8" t="inlineStr">
        <is>
          <t>107</t>
        </is>
      </c>
      <c r="K2" s="8" t="inlineStr">
        <is>
          <t>119</t>
        </is>
      </c>
      <c r="L2" s="8" t="inlineStr">
        <is>
          <t>131</t>
        </is>
      </c>
      <c r="M2" s="8" t="inlineStr">
        <is>
          <t>143</t>
        </is>
      </c>
      <c r="N2" s="8" t="inlineStr">
        <is>
          <t>155</t>
        </is>
      </c>
      <c r="O2" s="8" t="inlineStr">
        <is>
          <t>167</t>
        </is>
      </c>
      <c r="P2" s="8" t="inlineStr">
        <is>
          <t>179</t>
        </is>
      </c>
      <c r="Q2" s="8" t="inlineStr">
        <is>
          <t>191</t>
        </is>
      </c>
      <c r="R2" s="8" t="inlineStr">
        <is>
          <t>203</t>
        </is>
      </c>
      <c r="S2" s="8" t="inlineStr">
        <is>
          <t>215</t>
        </is>
      </c>
      <c r="T2" s="8" t="inlineStr">
        <is>
          <t>227</t>
        </is>
      </c>
      <c r="U2" s="8" t="inlineStr">
        <is>
          <t>239</t>
        </is>
      </c>
      <c r="V2" s="8" t="inlineStr">
        <is>
          <t>251</t>
        </is>
      </c>
      <c r="W2" s="8" t="inlineStr">
        <is>
          <t>263</t>
        </is>
      </c>
      <c r="X2" s="8" t="inlineStr">
        <is>
          <t>275</t>
        </is>
      </c>
      <c r="Y2" s="8" t="inlineStr">
        <is>
          <t>287</t>
        </is>
      </c>
    </row>
    <row r="3">
      <c r="A3" s="17" t="inlineStr">
        <is>
          <t>2001</t>
        </is>
      </c>
      <c r="B3" s="18" t="n">
        <v>890.1180000000001</v>
      </c>
      <c r="C3" s="18" t="n">
        <v>2278.4062</v>
      </c>
      <c r="D3" s="18" t="n">
        <v>2782.9421</v>
      </c>
      <c r="E3" s="18" t="n">
        <v>3062.5888</v>
      </c>
      <c r="F3" s="18" t="n">
        <v>3292.6042</v>
      </c>
      <c r="G3" s="18" t="n">
        <v>3515.439</v>
      </c>
      <c r="H3" s="18" t="n">
        <v>3421.3038</v>
      </c>
      <c r="I3" s="18" t="n">
        <v>3453.2106</v>
      </c>
      <c r="J3" s="18" t="n">
        <v>3478.3519</v>
      </c>
      <c r="K3" s="18" t="n">
        <v>3507.6464</v>
      </c>
      <c r="L3" s="18" t="n">
        <v>3582.8588</v>
      </c>
      <c r="M3" s="18" t="n">
        <v>3657.3908</v>
      </c>
      <c r="N3" s="18" t="n">
        <v>3653.4369</v>
      </c>
      <c r="O3" s="18" t="n">
        <v>3736.9976</v>
      </c>
      <c r="P3" s="18" t="n">
        <v>3800.6836</v>
      </c>
      <c r="Q3" s="18" t="n">
        <v>4002.7778</v>
      </c>
      <c r="R3" s="18" t="n">
        <v>4097.3409</v>
      </c>
      <c r="S3" s="18" t="n">
        <v>4224.0147</v>
      </c>
      <c r="T3" s="18" t="n">
        <v>4299.9339</v>
      </c>
      <c r="U3" s="18" t="n">
        <v>4299.9339</v>
      </c>
      <c r="V3" s="18" t="n">
        <v>4400.6872</v>
      </c>
      <c r="W3" s="18" t="n">
        <v>4461.8925</v>
      </c>
      <c r="X3" s="18" t="n">
        <v>4461.8925</v>
      </c>
      <c r="Y3" s="18" t="n">
        <v>4515.1126</v>
      </c>
    </row>
    <row r="4">
      <c r="A4" s="17" t="inlineStr">
        <is>
          <t>2002</t>
        </is>
      </c>
      <c r="B4" s="18" t="n">
        <v>1512.0882</v>
      </c>
      <c r="C4" s="18" t="n">
        <v>2090.9875</v>
      </c>
      <c r="D4" s="18" t="n">
        <v>2115.5884</v>
      </c>
      <c r="E4" s="18" t="n">
        <v>2527.4532</v>
      </c>
      <c r="F4" s="18" t="n">
        <v>2560.7772</v>
      </c>
      <c r="G4" s="18" t="n">
        <v>2649.7009</v>
      </c>
      <c r="H4" s="18" t="n">
        <v>2700.0288</v>
      </c>
      <c r="I4" s="18" t="n">
        <v>2700.5895</v>
      </c>
      <c r="J4" s="18" t="n">
        <v>2759.7609</v>
      </c>
      <c r="K4" s="18" t="n">
        <v>2786.3555</v>
      </c>
      <c r="L4" s="18" t="n">
        <v>2814.9283</v>
      </c>
      <c r="M4" s="18" t="n">
        <v>2910.4049</v>
      </c>
      <c r="N4" s="18" t="n">
        <v>2914.2643</v>
      </c>
      <c r="O4" s="18" t="n">
        <v>3031.1417</v>
      </c>
      <c r="P4" s="18" t="n">
        <v>3111.0506</v>
      </c>
      <c r="Q4" s="18" t="n">
        <v>3156.834</v>
      </c>
      <c r="R4" s="18" t="n">
        <v>3323.8277</v>
      </c>
      <c r="S4" s="18" t="n">
        <v>3327.6029</v>
      </c>
      <c r="T4" s="18" t="n">
        <v>3327.6029</v>
      </c>
      <c r="U4" s="18" t="n">
        <v>3468.5593</v>
      </c>
      <c r="V4" s="18" t="n">
        <v>3447.0276</v>
      </c>
      <c r="W4" s="18" t="n">
        <v>3570.7879</v>
      </c>
      <c r="X4" s="18" t="n">
        <v>3570.7879</v>
      </c>
    </row>
    <row r="5">
      <c r="A5" s="17" t="inlineStr">
        <is>
          <t>2003</t>
        </is>
      </c>
      <c r="B5" s="18" t="n">
        <v>1888.6444</v>
      </c>
      <c r="C5" s="18" t="n">
        <v>2638.2005</v>
      </c>
      <c r="D5" s="18" t="n">
        <v>2855.6611</v>
      </c>
      <c r="E5" s="18" t="n">
        <v>3394.6267</v>
      </c>
      <c r="F5" s="18" t="n">
        <v>3095.9768</v>
      </c>
      <c r="G5" s="18" t="n">
        <v>3306.0384</v>
      </c>
      <c r="H5" s="18" t="n">
        <v>3289.0123</v>
      </c>
      <c r="I5" s="18" t="n">
        <v>3264.184</v>
      </c>
      <c r="J5" s="18" t="n">
        <v>3258.0917</v>
      </c>
      <c r="K5" s="18" t="n">
        <v>3265.2436</v>
      </c>
      <c r="L5" s="18" t="n">
        <v>3258.4234</v>
      </c>
      <c r="M5" s="18" t="n">
        <v>3233.217</v>
      </c>
      <c r="N5" s="18" t="n">
        <v>3216.7392</v>
      </c>
      <c r="O5" s="18" t="n">
        <v>3216.7391</v>
      </c>
      <c r="P5" s="18" t="n">
        <v>3216.7391</v>
      </c>
      <c r="Q5" s="18" t="n">
        <v>3216.7391</v>
      </c>
      <c r="R5" s="18" t="n">
        <v>3223.5583</v>
      </c>
      <c r="S5" s="18" t="n">
        <v>3223.5583</v>
      </c>
      <c r="T5" s="18" t="n">
        <v>3223.5583</v>
      </c>
      <c r="U5" s="18" t="n">
        <v>3223.5583</v>
      </c>
      <c r="V5" s="18" t="n">
        <v>3223.5583</v>
      </c>
      <c r="W5" s="18" t="n">
        <v>3223.5583</v>
      </c>
    </row>
    <row r="6">
      <c r="A6" s="17" t="inlineStr">
        <is>
          <t>2004</t>
        </is>
      </c>
      <c r="B6" s="18" t="n">
        <v>1172.3435</v>
      </c>
      <c r="C6" s="18" t="n">
        <v>1263.6591</v>
      </c>
      <c r="D6" s="18" t="n">
        <v>1395.2806</v>
      </c>
      <c r="E6" s="18" t="n">
        <v>1455.3763</v>
      </c>
      <c r="F6" s="18" t="n">
        <v>1641.8764</v>
      </c>
      <c r="G6" s="18" t="n">
        <v>1650.9895</v>
      </c>
      <c r="H6" s="18" t="n">
        <v>1681.4597</v>
      </c>
      <c r="I6" s="18" t="n">
        <v>1694.3798</v>
      </c>
      <c r="J6" s="18" t="n">
        <v>1734.6258</v>
      </c>
      <c r="K6" s="18" t="n">
        <v>1719.1458</v>
      </c>
      <c r="L6" s="18" t="n">
        <v>1758.8212</v>
      </c>
      <c r="M6" s="18" t="n">
        <v>1738.9466</v>
      </c>
      <c r="N6" s="18" t="n">
        <v>1739.6468</v>
      </c>
      <c r="O6" s="18" t="n">
        <v>1740.152</v>
      </c>
      <c r="P6" s="18" t="n">
        <v>1740.151</v>
      </c>
      <c r="Q6" s="18" t="n">
        <v>1746.8131</v>
      </c>
      <c r="R6" s="18" t="n">
        <v>1746.8131</v>
      </c>
      <c r="S6" s="18" t="n">
        <v>1746.8131</v>
      </c>
      <c r="T6" s="18" t="n">
        <v>1746.8131</v>
      </c>
      <c r="U6" s="18" t="n">
        <v>1746.8655</v>
      </c>
      <c r="V6" s="18" t="n">
        <v>1746.8655</v>
      </c>
    </row>
    <row r="7">
      <c r="A7" s="17" t="inlineStr">
        <is>
          <t>2005</t>
        </is>
      </c>
      <c r="B7" s="18" t="n">
        <v>1993.7326</v>
      </c>
      <c r="C7" s="18" t="n">
        <v>2538.8382</v>
      </c>
      <c r="D7" s="18" t="n">
        <v>2768.881</v>
      </c>
      <c r="E7" s="18" t="n">
        <v>2706.5528</v>
      </c>
      <c r="F7" s="18" t="n">
        <v>2807.1297</v>
      </c>
      <c r="G7" s="18" t="n">
        <v>2852.9634</v>
      </c>
      <c r="H7" s="18" t="n">
        <v>2911.0234</v>
      </c>
      <c r="I7" s="18" t="n">
        <v>2927.4654</v>
      </c>
      <c r="J7" s="18" t="n">
        <v>2965.2737</v>
      </c>
      <c r="K7" s="18" t="n">
        <v>3046.2327</v>
      </c>
      <c r="L7" s="18" t="n">
        <v>3081.9362</v>
      </c>
      <c r="M7" s="18" t="n">
        <v>3449.9444</v>
      </c>
      <c r="N7" s="18" t="n">
        <v>3449.963</v>
      </c>
      <c r="O7" s="18" t="n">
        <v>3386.3438</v>
      </c>
      <c r="P7" s="18" t="n">
        <v>3420.0517</v>
      </c>
      <c r="Q7" s="18" t="n">
        <v>3443.969</v>
      </c>
      <c r="R7" s="18" t="n">
        <v>3496.1167</v>
      </c>
      <c r="S7" s="18" t="n">
        <v>3496.1167</v>
      </c>
      <c r="T7" s="18" t="n">
        <v>3496.1167</v>
      </c>
      <c r="U7" s="18" t="n">
        <v>3496.1167</v>
      </c>
    </row>
    <row r="8">
      <c r="A8" s="17" t="inlineStr">
        <is>
          <t>2006</t>
        </is>
      </c>
      <c r="B8" s="18" t="n">
        <v>1599.0849</v>
      </c>
      <c r="C8" s="18" t="n">
        <v>2327.8896</v>
      </c>
      <c r="D8" s="18" t="n">
        <v>2023.4351</v>
      </c>
      <c r="E8" s="18" t="n">
        <v>2163.9389</v>
      </c>
      <c r="F8" s="18" t="n">
        <v>2183.4454</v>
      </c>
      <c r="G8" s="18" t="n">
        <v>2293.584</v>
      </c>
      <c r="H8" s="18" t="n">
        <v>2394.6572</v>
      </c>
      <c r="I8" s="18" t="n">
        <v>2350.5597</v>
      </c>
      <c r="J8" s="18" t="n">
        <v>2411.7895</v>
      </c>
      <c r="K8" s="18" t="n">
        <v>2501.2918</v>
      </c>
      <c r="L8" s="18" t="n">
        <v>2709.3077</v>
      </c>
      <c r="M8" s="18" t="n">
        <v>2872.1777</v>
      </c>
      <c r="N8" s="18" t="n">
        <v>2951.2085</v>
      </c>
      <c r="O8" s="18" t="n">
        <v>2982.9877</v>
      </c>
      <c r="P8" s="18" t="n">
        <v>2984.7119</v>
      </c>
      <c r="Q8" s="18" t="n">
        <v>3019.1946</v>
      </c>
      <c r="R8" s="18" t="n">
        <v>3028.4784</v>
      </c>
      <c r="S8" s="18" t="n">
        <v>3050.5924</v>
      </c>
      <c r="T8" s="18" t="n">
        <v>3050.5924</v>
      </c>
    </row>
    <row r="9">
      <c r="A9" s="17" t="inlineStr">
        <is>
          <t>2007</t>
        </is>
      </c>
      <c r="B9" s="18" t="n">
        <v>3777.3245</v>
      </c>
      <c r="C9" s="18" t="n">
        <v>3941.769</v>
      </c>
      <c r="D9" s="18" t="n">
        <v>4293.0553</v>
      </c>
      <c r="E9" s="18" t="n">
        <v>4810.1306</v>
      </c>
      <c r="F9" s="18" t="n">
        <v>5361.7176</v>
      </c>
      <c r="G9" s="18" t="n">
        <v>6400.5666</v>
      </c>
      <c r="H9" s="18" t="n">
        <v>6807.7258</v>
      </c>
      <c r="I9" s="18" t="n">
        <v>7553.3299</v>
      </c>
      <c r="J9" s="18" t="n">
        <v>8094.4377</v>
      </c>
      <c r="K9" s="18" t="n">
        <v>8917.1247</v>
      </c>
      <c r="L9" s="18" t="n">
        <v>9190.731299999999</v>
      </c>
      <c r="M9" s="18" t="n">
        <v>9456.272800000001</v>
      </c>
      <c r="N9" s="18" t="n">
        <v>9608.6579</v>
      </c>
      <c r="O9" s="18" t="n">
        <v>9617.6212</v>
      </c>
      <c r="P9" s="18" t="n">
        <v>10037.1822</v>
      </c>
      <c r="Q9" s="18" t="n">
        <v>10037.1822</v>
      </c>
      <c r="R9" s="18" t="n">
        <v>10073.235</v>
      </c>
      <c r="S9" s="18" t="n">
        <v>10098.7007</v>
      </c>
    </row>
    <row r="10">
      <c r="A10" s="17" t="inlineStr">
        <is>
          <t>2008</t>
        </is>
      </c>
      <c r="B10" s="18" t="n">
        <v>1809.473</v>
      </c>
      <c r="C10" s="18" t="n">
        <v>2355.6596</v>
      </c>
      <c r="D10" s="18" t="n">
        <v>2839.9925</v>
      </c>
      <c r="E10" s="18" t="n">
        <v>3950.3476</v>
      </c>
      <c r="F10" s="18" t="n">
        <v>3828.9536</v>
      </c>
      <c r="G10" s="18" t="n">
        <v>3893.4618</v>
      </c>
      <c r="H10" s="18" t="n">
        <v>3914.5485</v>
      </c>
      <c r="I10" s="18" t="n">
        <v>3966.0723</v>
      </c>
      <c r="J10" s="18" t="n">
        <v>3988.739</v>
      </c>
      <c r="K10" s="18" t="n">
        <v>4127.0241</v>
      </c>
      <c r="L10" s="18" t="n">
        <v>4147.332</v>
      </c>
      <c r="M10" s="18" t="n">
        <v>4148.0168</v>
      </c>
      <c r="N10" s="18" t="n">
        <v>4087.6122</v>
      </c>
      <c r="O10" s="18" t="n">
        <v>4088.6162</v>
      </c>
      <c r="P10" s="18" t="n">
        <v>4088.6162</v>
      </c>
      <c r="Q10" s="18" t="n">
        <v>4108.6965</v>
      </c>
      <c r="R10" s="18" t="n">
        <v>4195.1009</v>
      </c>
    </row>
    <row r="11">
      <c r="A11" s="17" t="inlineStr">
        <is>
          <t>2009</t>
        </is>
      </c>
      <c r="B11" s="18" t="n">
        <v>1167.6749</v>
      </c>
      <c r="C11" s="18" t="n">
        <v>2721.0436</v>
      </c>
      <c r="D11" s="18" t="n">
        <v>2553.6801</v>
      </c>
      <c r="E11" s="18" t="n">
        <v>2617.3913</v>
      </c>
      <c r="F11" s="18" t="n">
        <v>2791.3361</v>
      </c>
      <c r="G11" s="18" t="n">
        <v>2934.6002</v>
      </c>
      <c r="H11" s="18" t="n">
        <v>3041.3852</v>
      </c>
      <c r="I11" s="18" t="n">
        <v>3479.5492</v>
      </c>
      <c r="J11" s="18" t="n">
        <v>3479.5697</v>
      </c>
      <c r="K11" s="18" t="n">
        <v>3479.575</v>
      </c>
      <c r="L11" s="18" t="n">
        <v>3479.575</v>
      </c>
      <c r="M11" s="18" t="n">
        <v>3526.7061</v>
      </c>
      <c r="N11" s="18" t="n">
        <v>3632.438</v>
      </c>
      <c r="O11" s="18" t="n">
        <v>3632.438</v>
      </c>
      <c r="P11" s="18" t="n">
        <v>3632.438</v>
      </c>
      <c r="Q11" s="18" t="n">
        <v>3632.438</v>
      </c>
    </row>
    <row r="12">
      <c r="A12" s="17" t="inlineStr">
        <is>
          <t>2010</t>
        </is>
      </c>
      <c r="B12" s="18" t="n">
        <v>1384.9391</v>
      </c>
      <c r="C12" s="18" t="n">
        <v>2687.5986</v>
      </c>
      <c r="D12" s="18" t="n">
        <v>3499.5972</v>
      </c>
      <c r="E12" s="18" t="n">
        <v>4066.1699</v>
      </c>
      <c r="F12" s="18" t="n">
        <v>4547.5156</v>
      </c>
      <c r="G12" s="18" t="n">
        <v>4498.6408</v>
      </c>
      <c r="H12" s="18" t="n">
        <v>4676.9369</v>
      </c>
      <c r="I12" s="18" t="n">
        <v>4682.4417</v>
      </c>
      <c r="J12" s="18" t="n">
        <v>4660.2165</v>
      </c>
      <c r="K12" s="18" t="n">
        <v>4663.1575</v>
      </c>
      <c r="L12" s="18" t="n">
        <v>4666.8177</v>
      </c>
      <c r="M12" s="18" t="n">
        <v>4667.0895</v>
      </c>
      <c r="N12" s="18" t="n">
        <v>4673.1575</v>
      </c>
      <c r="O12" s="18" t="n">
        <v>4672.1618</v>
      </c>
      <c r="P12" s="18" t="n">
        <v>4700.13</v>
      </c>
    </row>
    <row r="13">
      <c r="A13" s="17" t="inlineStr">
        <is>
          <t>2011</t>
        </is>
      </c>
      <c r="B13" s="18" t="n">
        <v>1313.2806</v>
      </c>
      <c r="C13" s="18" t="n">
        <v>2565.3152</v>
      </c>
      <c r="D13" s="18" t="n">
        <v>3783.2939</v>
      </c>
      <c r="E13" s="18" t="n">
        <v>4368.5282</v>
      </c>
      <c r="F13" s="18" t="n">
        <v>4661.1947</v>
      </c>
      <c r="G13" s="18" t="n">
        <v>5034.2137</v>
      </c>
      <c r="H13" s="18" t="n">
        <v>5312.4542</v>
      </c>
      <c r="I13" s="18" t="n">
        <v>5312.7876</v>
      </c>
      <c r="J13" s="18" t="n">
        <v>5386.0395</v>
      </c>
      <c r="K13" s="18" t="n">
        <v>5406.7113</v>
      </c>
      <c r="L13" s="18" t="n">
        <v>5559.1271</v>
      </c>
      <c r="M13" s="18" t="n">
        <v>5542.0495</v>
      </c>
      <c r="N13" s="18" t="n">
        <v>5542.0495</v>
      </c>
      <c r="O13" s="18" t="n">
        <v>5542.0495</v>
      </c>
    </row>
    <row r="14">
      <c r="A14" s="17" t="inlineStr">
        <is>
          <t>2012</t>
        </is>
      </c>
      <c r="B14" s="18" t="n">
        <v>1368.4788</v>
      </c>
      <c r="C14" s="18" t="n">
        <v>2612.096</v>
      </c>
      <c r="D14" s="18" t="n">
        <v>3413.9935</v>
      </c>
      <c r="E14" s="18" t="n">
        <v>3710.1818</v>
      </c>
      <c r="F14" s="18" t="n">
        <v>3698.5859</v>
      </c>
      <c r="G14" s="18" t="n">
        <v>3730.9798</v>
      </c>
      <c r="H14" s="18" t="n">
        <v>3745.9265</v>
      </c>
      <c r="I14" s="18" t="n">
        <v>3939.0426</v>
      </c>
      <c r="J14" s="18" t="n">
        <v>4159.1215</v>
      </c>
      <c r="K14" s="18" t="n">
        <v>4394.3121</v>
      </c>
      <c r="L14" s="18" t="n">
        <v>4427.1404</v>
      </c>
      <c r="M14" s="18" t="n">
        <v>5219.4933</v>
      </c>
      <c r="N14" s="18" t="n">
        <v>5219.4933</v>
      </c>
    </row>
    <row r="15">
      <c r="A15" s="17" t="inlineStr">
        <is>
          <t>2013</t>
        </is>
      </c>
      <c r="B15" s="18" t="n">
        <v>988.3224</v>
      </c>
      <c r="C15" s="18" t="n">
        <v>1755.5463</v>
      </c>
      <c r="D15" s="18" t="n">
        <v>1908.7091</v>
      </c>
      <c r="E15" s="18" t="n">
        <v>2290.7285</v>
      </c>
      <c r="F15" s="18" t="n">
        <v>2429.9367</v>
      </c>
      <c r="G15" s="18" t="n">
        <v>2423.6216</v>
      </c>
      <c r="H15" s="18" t="n">
        <v>2424.8165</v>
      </c>
      <c r="I15" s="18" t="n">
        <v>2424.8165</v>
      </c>
      <c r="J15" s="18" t="n">
        <v>2429.4993</v>
      </c>
      <c r="K15" s="18" t="n">
        <v>2429.4993</v>
      </c>
      <c r="L15" s="18" t="n">
        <v>2429.5378</v>
      </c>
      <c r="M15" s="18" t="n">
        <v>2429.5378</v>
      </c>
    </row>
    <row r="16">
      <c r="A16" s="17" t="inlineStr">
        <is>
          <t>2014</t>
        </is>
      </c>
      <c r="B16" s="18" t="n">
        <v>1334.6909</v>
      </c>
      <c r="C16" s="18" t="n">
        <v>1743.9971</v>
      </c>
      <c r="D16" s="18" t="n">
        <v>2454.6058</v>
      </c>
      <c r="E16" s="18" t="n">
        <v>2838.1826</v>
      </c>
      <c r="F16" s="18" t="n">
        <v>2878.7598</v>
      </c>
      <c r="G16" s="18" t="n">
        <v>2977.9598</v>
      </c>
      <c r="H16" s="18" t="n">
        <v>2892.6972</v>
      </c>
      <c r="I16" s="18" t="n">
        <v>2892.6972</v>
      </c>
      <c r="J16" s="18" t="n">
        <v>3011.5377</v>
      </c>
      <c r="K16" s="18" t="n">
        <v>3073.6631</v>
      </c>
      <c r="L16" s="18" t="n">
        <v>3052.3164</v>
      </c>
    </row>
    <row r="17">
      <c r="A17" s="17" t="inlineStr">
        <is>
          <t>2015</t>
        </is>
      </c>
      <c r="B17" s="18" t="n">
        <v>1671.1066</v>
      </c>
      <c r="C17" s="18" t="n">
        <v>3212.9841</v>
      </c>
      <c r="D17" s="18" t="n">
        <v>4752.8672</v>
      </c>
      <c r="E17" s="18" t="n">
        <v>6314.127</v>
      </c>
      <c r="F17" s="18" t="n">
        <v>6982.9534</v>
      </c>
      <c r="G17" s="18" t="n">
        <v>7934.0749</v>
      </c>
      <c r="H17" s="18" t="n">
        <v>9044.3287</v>
      </c>
      <c r="I17" s="18" t="n">
        <v>9105.656800000001</v>
      </c>
      <c r="J17" s="18" t="n">
        <v>9135.714599999999</v>
      </c>
      <c r="K17" s="18" t="n">
        <v>10132.9162</v>
      </c>
    </row>
    <row r="18">
      <c r="A18" s="17" t="inlineStr">
        <is>
          <t>2016</t>
        </is>
      </c>
      <c r="B18" s="18" t="n">
        <v>1989.3893</v>
      </c>
      <c r="C18" s="18" t="n">
        <v>3443.4912</v>
      </c>
      <c r="D18" s="18" t="n">
        <v>4437.949</v>
      </c>
      <c r="E18" s="18" t="n">
        <v>4824.0141</v>
      </c>
      <c r="F18" s="18" t="n">
        <v>5510.515</v>
      </c>
      <c r="G18" s="18" t="n">
        <v>5684.6093</v>
      </c>
      <c r="H18" s="18" t="n">
        <v>6409.6524</v>
      </c>
      <c r="I18" s="18" t="n">
        <v>6408.127</v>
      </c>
      <c r="J18" s="18" t="n">
        <v>6416.5729</v>
      </c>
    </row>
    <row r="19">
      <c r="A19" s="17" t="inlineStr">
        <is>
          <t>2017</t>
        </is>
      </c>
      <c r="B19" s="18" t="n">
        <v>1672.7081</v>
      </c>
      <c r="C19" s="18" t="n">
        <v>1982.7823</v>
      </c>
      <c r="D19" s="18" t="n">
        <v>2042.2188</v>
      </c>
      <c r="E19" s="18" t="n">
        <v>2662.7754</v>
      </c>
      <c r="F19" s="18" t="n">
        <v>2874.8102</v>
      </c>
      <c r="G19" s="18" t="n">
        <v>3256.3421</v>
      </c>
      <c r="H19" s="18" t="n">
        <v>3753.5543</v>
      </c>
      <c r="I19" s="18" t="n">
        <v>3888.386</v>
      </c>
    </row>
    <row r="20">
      <c r="A20" s="17" t="inlineStr">
        <is>
          <t>2018</t>
        </is>
      </c>
      <c r="B20" s="18" t="n">
        <v>1757.7757</v>
      </c>
      <c r="C20" s="18" t="n">
        <v>3598.2446</v>
      </c>
      <c r="D20" s="18" t="n">
        <v>5140.9339</v>
      </c>
      <c r="E20" s="18" t="n">
        <v>7136.9854</v>
      </c>
      <c r="F20" s="18" t="n">
        <v>7067.2812</v>
      </c>
      <c r="G20" s="18" t="n">
        <v>7159.8047</v>
      </c>
      <c r="H20" s="18" t="n">
        <v>7349.3269</v>
      </c>
    </row>
    <row r="21">
      <c r="A21" s="17" t="inlineStr">
        <is>
          <t>2019</t>
        </is>
      </c>
      <c r="B21" s="18" t="n">
        <v>1298.8238</v>
      </c>
      <c r="C21" s="18" t="n">
        <v>3133.2107</v>
      </c>
      <c r="D21" s="18" t="n">
        <v>4847.8776</v>
      </c>
      <c r="E21" s="18" t="n">
        <v>5573.6672</v>
      </c>
      <c r="F21" s="18" t="n">
        <v>5926.9818</v>
      </c>
      <c r="G21" s="18" t="n">
        <v>7270.1301</v>
      </c>
    </row>
    <row r="22">
      <c r="A22" s="17" t="inlineStr">
        <is>
          <t>2020</t>
        </is>
      </c>
      <c r="B22" s="18" t="n">
        <v>1493.0271</v>
      </c>
      <c r="C22" s="18" t="n">
        <v>2513.205</v>
      </c>
      <c r="D22" s="18" t="n">
        <v>2471.0707</v>
      </c>
      <c r="E22" s="18" t="n">
        <v>2614.478</v>
      </c>
      <c r="F22" s="18" t="n">
        <v>2639.9122</v>
      </c>
    </row>
    <row r="23">
      <c r="A23" s="17" t="inlineStr">
        <is>
          <t>2021</t>
        </is>
      </c>
      <c r="B23" s="18" t="n">
        <v>1901.2855</v>
      </c>
      <c r="C23" s="18" t="n">
        <v>2427.8119</v>
      </c>
      <c r="D23" s="18" t="n">
        <v>2971.5574</v>
      </c>
      <c r="E23" s="18" t="n">
        <v>3065.5146</v>
      </c>
    </row>
    <row r="24">
      <c r="A24" s="17" t="inlineStr">
        <is>
          <t>2022</t>
        </is>
      </c>
      <c r="B24" s="18" t="n">
        <v>2658.5306</v>
      </c>
      <c r="C24" s="18" t="n">
        <v>2855.7054</v>
      </c>
      <c r="D24" s="18" t="n">
        <v>2774.4265</v>
      </c>
    </row>
    <row r="25">
      <c r="A25" s="17" t="inlineStr">
        <is>
          <t>2023</t>
        </is>
      </c>
      <c r="B25" s="18" t="n">
        <v>3569.3743</v>
      </c>
      <c r="C25" s="18" t="n">
        <v>5418.6585</v>
      </c>
    </row>
    <row r="26">
      <c r="A26" s="17" t="inlineStr">
        <is>
          <t>2024</t>
        </is>
      </c>
      <c r="B26" s="18" t="n">
        <v>3477.1362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3" t="inlineStr">
        <is>
          <t>Paid To Incurred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  <c r="O1" s="15" t="n"/>
      <c r="P1" s="15" t="n"/>
      <c r="Q1" s="15" t="n"/>
      <c r="R1" s="15" t="n"/>
      <c r="S1" s="15" t="n"/>
      <c r="T1" s="15" t="n"/>
      <c r="U1" s="15" t="n"/>
      <c r="V1" s="15" t="n"/>
      <c r="W1" s="15" t="n"/>
      <c r="X1" s="15" t="n"/>
      <c r="Y1" s="2" t="n"/>
    </row>
    <row r="2">
      <c r="A2" s="16" t="n"/>
      <c r="B2" s="8" t="inlineStr">
        <is>
          <t>11</t>
        </is>
      </c>
      <c r="C2" s="8" t="inlineStr">
        <is>
          <t>23</t>
        </is>
      </c>
      <c r="D2" s="8" t="inlineStr">
        <is>
          <t>35</t>
        </is>
      </c>
      <c r="E2" s="8" t="inlineStr">
        <is>
          <t>47</t>
        </is>
      </c>
      <c r="F2" s="8" t="inlineStr">
        <is>
          <t>59</t>
        </is>
      </c>
      <c r="G2" s="8" t="inlineStr">
        <is>
          <t>71</t>
        </is>
      </c>
      <c r="H2" s="8" t="inlineStr">
        <is>
          <t>83</t>
        </is>
      </c>
      <c r="I2" s="8" t="inlineStr">
        <is>
          <t>95</t>
        </is>
      </c>
      <c r="J2" s="8" t="inlineStr">
        <is>
          <t>107</t>
        </is>
      </c>
      <c r="K2" s="8" t="inlineStr">
        <is>
          <t>119</t>
        </is>
      </c>
      <c r="L2" s="8" t="inlineStr">
        <is>
          <t>131</t>
        </is>
      </c>
      <c r="M2" s="8" t="inlineStr">
        <is>
          <t>143</t>
        </is>
      </c>
      <c r="N2" s="8" t="inlineStr">
        <is>
          <t>155</t>
        </is>
      </c>
      <c r="O2" s="8" t="inlineStr">
        <is>
          <t>167</t>
        </is>
      </c>
      <c r="P2" s="8" t="inlineStr">
        <is>
          <t>179</t>
        </is>
      </c>
      <c r="Q2" s="8" t="inlineStr">
        <is>
          <t>191</t>
        </is>
      </c>
      <c r="R2" s="8" t="inlineStr">
        <is>
          <t>203</t>
        </is>
      </c>
      <c r="S2" s="8" t="inlineStr">
        <is>
          <t>215</t>
        </is>
      </c>
      <c r="T2" s="8" t="inlineStr">
        <is>
          <t>227</t>
        </is>
      </c>
      <c r="U2" s="8" t="inlineStr">
        <is>
          <t>239</t>
        </is>
      </c>
      <c r="V2" s="8" t="inlineStr">
        <is>
          <t>251</t>
        </is>
      </c>
      <c r="W2" s="8" t="inlineStr">
        <is>
          <t>263</t>
        </is>
      </c>
      <c r="X2" s="8" t="inlineStr">
        <is>
          <t>275</t>
        </is>
      </c>
      <c r="Y2" s="8" t="inlineStr">
        <is>
          <t>287</t>
        </is>
      </c>
    </row>
    <row r="3">
      <c r="A3" s="17" t="inlineStr">
        <is>
          <t>2001</t>
        </is>
      </c>
      <c r="B3" s="28" t="n">
        <v>0.5747</v>
      </c>
      <c r="C3" s="28" t="n">
        <v>0.6738</v>
      </c>
      <c r="D3" s="28" t="n">
        <v>0.8126</v>
      </c>
      <c r="E3" s="28" t="n">
        <v>0.9127999999999999</v>
      </c>
      <c r="F3" s="28" t="n">
        <v>0.9882</v>
      </c>
      <c r="G3" s="28" t="n">
        <v>0.9504</v>
      </c>
      <c r="H3" s="28" t="n">
        <v>0.9435</v>
      </c>
      <c r="I3" s="28" t="n">
        <v>0.9474</v>
      </c>
      <c r="J3" s="28" t="n">
        <v>0.9496</v>
      </c>
      <c r="K3" s="28" t="n">
        <v>0.953</v>
      </c>
      <c r="L3" s="28" t="n">
        <v>0.9553</v>
      </c>
      <c r="M3" s="28" t="n">
        <v>0.9582000000000001</v>
      </c>
      <c r="N3" s="28" t="n">
        <v>0.9749</v>
      </c>
      <c r="O3" s="28" t="n">
        <v>0.9772999999999999</v>
      </c>
      <c r="P3" s="28" t="n">
        <v>0.9816</v>
      </c>
      <c r="Q3" s="28" t="n">
        <v>0.9606</v>
      </c>
      <c r="R3" s="28" t="n">
        <v>0.9691</v>
      </c>
      <c r="S3" s="28" t="n">
        <v>0.9655</v>
      </c>
      <c r="T3" s="28" t="n">
        <v>0.9848</v>
      </c>
      <c r="U3" s="28" t="n">
        <v>0.9848</v>
      </c>
      <c r="V3" s="28" t="n">
        <v>0.9694</v>
      </c>
      <c r="W3" s="28" t="n">
        <v>0.9631999999999999</v>
      </c>
      <c r="X3" s="28" t="n">
        <v>0.9693000000000001</v>
      </c>
      <c r="Y3" s="28" t="n">
        <v>0.9616</v>
      </c>
    </row>
    <row r="4">
      <c r="A4" s="17" t="inlineStr">
        <is>
          <t>2002</t>
        </is>
      </c>
      <c r="B4" s="28" t="n">
        <v>0.3852</v>
      </c>
      <c r="C4" s="28" t="n">
        <v>0.6865</v>
      </c>
      <c r="D4" s="28" t="n">
        <v>0.9088000000000001</v>
      </c>
      <c r="E4" s="28" t="n">
        <v>0.8218</v>
      </c>
      <c r="F4" s="28" t="n">
        <v>0.9127</v>
      </c>
      <c r="G4" s="28" t="n">
        <v>0.9389</v>
      </c>
      <c r="H4" s="28" t="n">
        <v>0.9422</v>
      </c>
      <c r="I4" s="28" t="n">
        <v>0.9587</v>
      </c>
      <c r="J4" s="28" t="n">
        <v>0.9614</v>
      </c>
      <c r="K4" s="28" t="n">
        <v>0.9636</v>
      </c>
      <c r="L4" s="28" t="n">
        <v>0.9706</v>
      </c>
      <c r="M4" s="28" t="n">
        <v>0.9563</v>
      </c>
      <c r="N4" s="28" t="n">
        <v>0.977</v>
      </c>
      <c r="O4" s="28" t="n">
        <v>0.9633</v>
      </c>
      <c r="P4" s="28" t="n">
        <v>0.9584</v>
      </c>
      <c r="Q4" s="28" t="n">
        <v>0.9629</v>
      </c>
      <c r="R4" s="28" t="n">
        <v>0.9406</v>
      </c>
      <c r="S4" s="28" t="n">
        <v>0.9585</v>
      </c>
      <c r="T4" s="28" t="n">
        <v>0.9737</v>
      </c>
      <c r="U4" s="28" t="n">
        <v>0.9455</v>
      </c>
      <c r="V4" s="28" t="n">
        <v>0.961</v>
      </c>
      <c r="W4" s="28" t="n">
        <v>0.9366</v>
      </c>
      <c r="X4" s="28" t="n">
        <v>0.945</v>
      </c>
    </row>
    <row r="5">
      <c r="A5" s="17" t="inlineStr">
        <is>
          <t>2003</t>
        </is>
      </c>
      <c r="B5" s="28" t="n">
        <v>0.4594</v>
      </c>
      <c r="C5" s="28" t="n">
        <v>0.7896</v>
      </c>
      <c r="D5" s="28" t="n">
        <v>0.8421</v>
      </c>
      <c r="E5" s="28" t="n">
        <v>0.7722</v>
      </c>
      <c r="F5" s="28" t="n">
        <v>0.9843</v>
      </c>
      <c r="G5" s="28" t="n">
        <v>0.9677</v>
      </c>
      <c r="H5" s="28" t="n">
        <v>0.9718</v>
      </c>
      <c r="I5" s="28" t="n">
        <v>0.9861</v>
      </c>
      <c r="J5" s="28" t="n">
        <v>0.9865</v>
      </c>
      <c r="K5" s="28" t="n">
        <v>0.9867</v>
      </c>
      <c r="L5" s="28" t="n">
        <v>0.9869</v>
      </c>
      <c r="M5" s="28" t="n">
        <v>0.9948</v>
      </c>
      <c r="N5" s="28" t="n">
        <v>1</v>
      </c>
      <c r="O5" s="28" t="n">
        <v>1</v>
      </c>
      <c r="P5" s="28" t="n">
        <v>1</v>
      </c>
      <c r="Q5" s="28" t="n">
        <v>1</v>
      </c>
      <c r="R5" s="28" t="n">
        <v>1</v>
      </c>
      <c r="S5" s="28" t="n">
        <v>1</v>
      </c>
      <c r="T5" s="28" t="n">
        <v>1</v>
      </c>
      <c r="U5" s="28" t="n">
        <v>1</v>
      </c>
      <c r="V5" s="28" t="n">
        <v>1</v>
      </c>
      <c r="W5" s="28" t="n">
        <v>1</v>
      </c>
    </row>
    <row r="6">
      <c r="A6" s="17" t="inlineStr">
        <is>
          <t>2004</t>
        </is>
      </c>
      <c r="B6" s="28" t="n">
        <v>0.3634</v>
      </c>
      <c r="C6" s="28" t="n">
        <v>0.7756</v>
      </c>
      <c r="D6" s="28" t="n">
        <v>0.9055</v>
      </c>
      <c r="E6" s="28" t="n">
        <v>0.9681</v>
      </c>
      <c r="F6" s="28" t="n">
        <v>1</v>
      </c>
      <c r="G6" s="28" t="n">
        <v>0.9981</v>
      </c>
      <c r="H6" s="28" t="n">
        <v>0.996</v>
      </c>
      <c r="I6" s="28" t="n">
        <v>0.9961</v>
      </c>
      <c r="J6" s="28" t="n">
        <v>0.991</v>
      </c>
      <c r="K6" s="28" t="n">
        <v>0.9938</v>
      </c>
      <c r="L6" s="28" t="n">
        <v>0.9748</v>
      </c>
      <c r="M6" s="28" t="n">
        <v>0.9923</v>
      </c>
      <c r="N6" s="28" t="n">
        <v>0.9923</v>
      </c>
      <c r="O6" s="28" t="n">
        <v>0.9938</v>
      </c>
      <c r="P6" s="28" t="n">
        <v>0.9944</v>
      </c>
      <c r="Q6" s="28" t="n">
        <v>1</v>
      </c>
      <c r="R6" s="28" t="n">
        <v>1</v>
      </c>
      <c r="S6" s="28" t="n">
        <v>1</v>
      </c>
      <c r="T6" s="28" t="n">
        <v>1</v>
      </c>
      <c r="U6" s="28" t="n">
        <v>1</v>
      </c>
      <c r="V6" s="28" t="n">
        <v>1</v>
      </c>
    </row>
    <row r="7">
      <c r="A7" s="17" t="inlineStr">
        <is>
          <t>2005</t>
        </is>
      </c>
      <c r="B7" s="28" t="n">
        <v>0.4873</v>
      </c>
      <c r="C7" s="28" t="n">
        <v>0.7597</v>
      </c>
      <c r="D7" s="28" t="n">
        <v>0.881</v>
      </c>
      <c r="E7" s="28" t="n">
        <v>0.9428</v>
      </c>
      <c r="F7" s="28" t="n">
        <v>0.9769</v>
      </c>
      <c r="G7" s="28" t="n">
        <v>0.9811</v>
      </c>
      <c r="H7" s="28" t="n">
        <v>0.9818</v>
      </c>
      <c r="I7" s="28" t="n">
        <v>0.9865</v>
      </c>
      <c r="J7" s="28" t="n">
        <v>0.978</v>
      </c>
      <c r="K7" s="28" t="n">
        <v>0.9805</v>
      </c>
      <c r="L7" s="28" t="n">
        <v>0.9967</v>
      </c>
      <c r="M7" s="28" t="n">
        <v>0.9084</v>
      </c>
      <c r="N7" s="28" t="n">
        <v>0.9382</v>
      </c>
      <c r="O7" s="28" t="n">
        <v>0.9738</v>
      </c>
      <c r="P7" s="28" t="n">
        <v>0.9933</v>
      </c>
      <c r="Q7" s="28" t="n">
        <v>0.9942</v>
      </c>
      <c r="R7" s="28" t="n">
        <v>0.9983</v>
      </c>
      <c r="S7" s="28" t="n">
        <v>1</v>
      </c>
      <c r="T7" s="28" t="n">
        <v>1</v>
      </c>
      <c r="U7" s="28" t="n">
        <v>1</v>
      </c>
    </row>
    <row r="8">
      <c r="A8" s="17" t="inlineStr">
        <is>
          <t>2006</t>
        </is>
      </c>
      <c r="B8" s="28" t="n">
        <v>0.3718</v>
      </c>
      <c r="C8" s="28" t="n">
        <v>0.6041</v>
      </c>
      <c r="D8" s="28" t="n">
        <v>0.8874</v>
      </c>
      <c r="E8" s="28" t="n">
        <v>0.9036999999999999</v>
      </c>
      <c r="F8" s="28" t="n">
        <v>0.9504</v>
      </c>
      <c r="G8" s="28" t="n">
        <v>0.9469</v>
      </c>
      <c r="H8" s="28" t="n">
        <v>0.9444</v>
      </c>
      <c r="I8" s="28" t="n">
        <v>0.9687</v>
      </c>
      <c r="J8" s="28" t="n">
        <v>0.9739</v>
      </c>
      <c r="K8" s="28" t="n">
        <v>0.9776</v>
      </c>
      <c r="L8" s="28" t="n">
        <v>0.9857</v>
      </c>
      <c r="M8" s="28" t="n">
        <v>0.9555</v>
      </c>
      <c r="N8" s="28" t="n">
        <v>0.9396</v>
      </c>
      <c r="O8" s="28" t="n">
        <v>0.947</v>
      </c>
      <c r="P8" s="28" t="n">
        <v>0.9529</v>
      </c>
      <c r="Q8" s="28" t="n">
        <v>0.9499</v>
      </c>
      <c r="R8" s="28" t="n">
        <v>0.9578</v>
      </c>
      <c r="S8" s="28" t="n">
        <v>0.9582000000000001</v>
      </c>
      <c r="T8" s="28" t="n">
        <v>0.9634</v>
      </c>
    </row>
    <row r="9">
      <c r="A9" s="17" t="inlineStr">
        <is>
          <t>2007</t>
        </is>
      </c>
      <c r="B9" s="28" t="n">
        <v>0.292</v>
      </c>
      <c r="C9" s="28" t="n">
        <v>0.5875</v>
      </c>
      <c r="D9" s="28" t="n">
        <v>0.6985</v>
      </c>
      <c r="E9" s="28" t="n">
        <v>0.7939000000000001</v>
      </c>
      <c r="F9" s="28" t="n">
        <v>0.8448</v>
      </c>
      <c r="G9" s="28" t="n">
        <v>0.8595</v>
      </c>
      <c r="H9" s="28" t="n">
        <v>0.9016999999999999</v>
      </c>
      <c r="I9" s="28" t="n">
        <v>0.8758</v>
      </c>
      <c r="J9" s="28" t="n">
        <v>0.8831</v>
      </c>
      <c r="K9" s="28" t="n">
        <v>0.8697</v>
      </c>
      <c r="L9" s="28" t="n">
        <v>0.9132</v>
      </c>
      <c r="M9" s="28" t="n">
        <v>0.9319</v>
      </c>
      <c r="N9" s="28" t="n">
        <v>0.9548</v>
      </c>
      <c r="O9" s="28" t="n">
        <v>0.9815</v>
      </c>
      <c r="P9" s="28" t="n">
        <v>0.9657</v>
      </c>
      <c r="Q9" s="28" t="n">
        <v>0.9937</v>
      </c>
      <c r="R9" s="28" t="n">
        <v>0.9964</v>
      </c>
      <c r="S9" s="28" t="n">
        <v>0.9958</v>
      </c>
    </row>
    <row r="10">
      <c r="A10" s="17" t="inlineStr">
        <is>
          <t>2008</t>
        </is>
      </c>
      <c r="B10" s="28" t="n">
        <v>0.6354</v>
      </c>
      <c r="C10" s="28" t="n">
        <v>0.8387</v>
      </c>
      <c r="D10" s="28" t="n">
        <v>0.9319</v>
      </c>
      <c r="E10" s="28" t="n">
        <v>0.9155</v>
      </c>
      <c r="F10" s="28" t="n">
        <v>0.9775</v>
      </c>
      <c r="G10" s="28" t="n">
        <v>0.991</v>
      </c>
      <c r="H10" s="28" t="n">
        <v>0.9925</v>
      </c>
      <c r="I10" s="28" t="n">
        <v>0.9859</v>
      </c>
      <c r="J10" s="28" t="n">
        <v>0.9918</v>
      </c>
      <c r="K10" s="28" t="n">
        <v>0.9714</v>
      </c>
      <c r="L10" s="28" t="n">
        <v>0.977</v>
      </c>
      <c r="M10" s="28" t="n">
        <v>0.9787</v>
      </c>
      <c r="N10" s="28" t="n">
        <v>0.9955000000000001</v>
      </c>
      <c r="O10" s="28" t="n">
        <v>0.9964</v>
      </c>
      <c r="P10" s="28" t="n">
        <v>0.997</v>
      </c>
      <c r="Q10" s="28" t="n">
        <v>0.9948</v>
      </c>
      <c r="R10" s="28" t="n">
        <v>1</v>
      </c>
    </row>
    <row r="11">
      <c r="A11" s="17" t="inlineStr">
        <is>
          <t>2009</t>
        </is>
      </c>
      <c r="B11" s="28" t="n">
        <v>0.6397</v>
      </c>
      <c r="C11" s="28" t="n">
        <v>0.8507</v>
      </c>
      <c r="D11" s="28" t="n">
        <v>0.9875</v>
      </c>
      <c r="E11" s="28" t="n">
        <v>0.9897</v>
      </c>
      <c r="F11" s="28" t="n">
        <v>0.9958</v>
      </c>
      <c r="G11" s="28" t="n">
        <v>0.996</v>
      </c>
      <c r="H11" s="28" t="n">
        <v>0.9899</v>
      </c>
      <c r="I11" s="28" t="n">
        <v>0.9089</v>
      </c>
      <c r="J11" s="28" t="n">
        <v>0.9422</v>
      </c>
      <c r="K11" s="28" t="n">
        <v>0.956</v>
      </c>
      <c r="L11" s="28" t="n">
        <v>0.965</v>
      </c>
      <c r="M11" s="28" t="n">
        <v>0.9812</v>
      </c>
      <c r="N11" s="28" t="n">
        <v>1</v>
      </c>
      <c r="O11" s="28" t="n">
        <v>1</v>
      </c>
      <c r="P11" s="28" t="n">
        <v>1</v>
      </c>
      <c r="Q11" s="28" t="n">
        <v>1</v>
      </c>
    </row>
    <row r="12">
      <c r="A12" s="17" t="inlineStr">
        <is>
          <t>2010</t>
        </is>
      </c>
      <c r="B12" s="28" t="n">
        <v>0.6767</v>
      </c>
      <c r="C12" s="28" t="n">
        <v>0.9214</v>
      </c>
      <c r="D12" s="28" t="n">
        <v>0.9621</v>
      </c>
      <c r="E12" s="28" t="n">
        <v>0.9743000000000001</v>
      </c>
      <c r="F12" s="28" t="n">
        <v>0.9520999999999999</v>
      </c>
      <c r="G12" s="28" t="n">
        <v>0.9825</v>
      </c>
      <c r="H12" s="28" t="n">
        <v>0.9913</v>
      </c>
      <c r="I12" s="28" t="n">
        <v>0.9919</v>
      </c>
      <c r="J12" s="28" t="n">
        <v>1</v>
      </c>
      <c r="K12" s="28" t="n">
        <v>1</v>
      </c>
      <c r="L12" s="28" t="n">
        <v>0.9997</v>
      </c>
      <c r="M12" s="28" t="n">
        <v>0.9997</v>
      </c>
      <c r="N12" s="28" t="n">
        <v>0.9991</v>
      </c>
      <c r="O12" s="28" t="n">
        <v>1</v>
      </c>
      <c r="P12" s="28" t="n">
        <v>1</v>
      </c>
    </row>
    <row r="13">
      <c r="A13" s="17" t="inlineStr">
        <is>
          <t>2011</t>
        </is>
      </c>
      <c r="B13" s="28" t="n">
        <v>0.8018999999999999</v>
      </c>
      <c r="C13" s="28" t="n">
        <v>0.946</v>
      </c>
      <c r="D13" s="28" t="n">
        <v>1</v>
      </c>
      <c r="E13" s="28" t="n">
        <v>0.9315</v>
      </c>
      <c r="F13" s="28" t="n">
        <v>0.9453</v>
      </c>
      <c r="G13" s="28" t="n">
        <v>0.9530999999999999</v>
      </c>
      <c r="H13" s="28" t="n">
        <v>0.9921</v>
      </c>
      <c r="I13" s="28" t="n">
        <v>0.994</v>
      </c>
      <c r="J13" s="28" t="n">
        <v>0.9849</v>
      </c>
      <c r="K13" s="28" t="n">
        <v>0.9887</v>
      </c>
      <c r="L13" s="28" t="n">
        <v>0.9666</v>
      </c>
      <c r="M13" s="28" t="n">
        <v>0.9796</v>
      </c>
      <c r="N13" s="28" t="n">
        <v>0.9846</v>
      </c>
      <c r="O13" s="28" t="n">
        <v>0.9878</v>
      </c>
    </row>
    <row r="14">
      <c r="A14" s="17" t="inlineStr">
        <is>
          <t>2012</t>
        </is>
      </c>
      <c r="B14" s="28" t="n">
        <v>0.6782</v>
      </c>
      <c r="C14" s="28" t="n">
        <v>0.9298</v>
      </c>
      <c r="D14" s="28" t="n">
        <v>0.8961</v>
      </c>
      <c r="E14" s="28" t="n">
        <v>0.9816</v>
      </c>
      <c r="F14" s="28" t="n">
        <v>0.9946</v>
      </c>
      <c r="G14" s="28" t="n">
        <v>0.9923999999999999</v>
      </c>
      <c r="H14" s="28" t="n">
        <v>0.9989</v>
      </c>
      <c r="I14" s="28" t="n">
        <v>0.9874000000000001</v>
      </c>
      <c r="J14" s="28" t="n">
        <v>0.9646</v>
      </c>
      <c r="K14" s="28" t="n">
        <v>0.9172</v>
      </c>
      <c r="L14" s="28" t="n">
        <v>0.9374</v>
      </c>
      <c r="M14" s="28" t="n">
        <v>0.84</v>
      </c>
      <c r="N14" s="28" t="n">
        <v>0.8757</v>
      </c>
    </row>
    <row r="15">
      <c r="A15" s="17" t="inlineStr">
        <is>
          <t>2013</t>
        </is>
      </c>
      <c r="B15" s="28" t="n">
        <v>0.7258</v>
      </c>
      <c r="C15" s="28" t="n">
        <v>0.9146</v>
      </c>
      <c r="D15" s="28" t="n">
        <v>0.9831</v>
      </c>
      <c r="E15" s="28" t="n">
        <v>0.8945</v>
      </c>
      <c r="F15" s="28" t="n">
        <v>1</v>
      </c>
      <c r="G15" s="28" t="n">
        <v>1</v>
      </c>
      <c r="H15" s="28" t="n">
        <v>1</v>
      </c>
      <c r="I15" s="28" t="n">
        <v>1</v>
      </c>
      <c r="J15" s="28" t="n">
        <v>1</v>
      </c>
      <c r="K15" s="28" t="n">
        <v>1</v>
      </c>
      <c r="L15" s="28" t="n">
        <v>1</v>
      </c>
      <c r="M15" s="28" t="n">
        <v>1</v>
      </c>
    </row>
    <row r="16">
      <c r="A16" s="17" t="inlineStr">
        <is>
          <t>2014</t>
        </is>
      </c>
      <c r="B16" s="28" t="n">
        <v>0.7105</v>
      </c>
      <c r="C16" s="28" t="n">
        <v>0.9325</v>
      </c>
      <c r="D16" s="28" t="n">
        <v>0.8289</v>
      </c>
      <c r="E16" s="28" t="n">
        <v>0.9129</v>
      </c>
      <c r="F16" s="28" t="n">
        <v>0.9603</v>
      </c>
      <c r="G16" s="28" t="n">
        <v>0.9437</v>
      </c>
      <c r="H16" s="28" t="n">
        <v>0.9775</v>
      </c>
      <c r="I16" s="28" t="n">
        <v>0.9804</v>
      </c>
      <c r="J16" s="28" t="n">
        <v>0.9476</v>
      </c>
      <c r="K16" s="28" t="n">
        <v>0.9857</v>
      </c>
      <c r="L16" s="28" t="n">
        <v>1</v>
      </c>
    </row>
    <row r="17">
      <c r="A17" s="17" t="inlineStr">
        <is>
          <t>2015</t>
        </is>
      </c>
      <c r="B17" s="28" t="n">
        <v>0.707</v>
      </c>
      <c r="C17" s="28" t="n">
        <v>0.7906</v>
      </c>
      <c r="D17" s="28" t="n">
        <v>0.8845</v>
      </c>
      <c r="E17" s="28" t="n">
        <v>0.9756</v>
      </c>
      <c r="F17" s="28" t="n">
        <v>0.9473</v>
      </c>
      <c r="G17" s="28" t="n">
        <v>0.9283</v>
      </c>
      <c r="H17" s="28" t="n">
        <v>0.9045</v>
      </c>
      <c r="I17" s="28" t="n">
        <v>0.9476</v>
      </c>
      <c r="J17" s="28" t="n">
        <v>0.958</v>
      </c>
      <c r="K17" s="28" t="n">
        <v>0.9945000000000001</v>
      </c>
    </row>
    <row r="18">
      <c r="A18" s="17" t="inlineStr">
        <is>
          <t>2016</t>
        </is>
      </c>
      <c r="B18" s="28" t="n">
        <v>0.4938</v>
      </c>
      <c r="C18" s="28" t="n">
        <v>0.8754999999999999</v>
      </c>
      <c r="D18" s="28" t="n">
        <v>0.9181</v>
      </c>
      <c r="E18" s="28" t="n">
        <v>0.9506</v>
      </c>
      <c r="F18" s="28" t="n">
        <v>0.8948</v>
      </c>
      <c r="G18" s="28" t="n">
        <v>0.956</v>
      </c>
      <c r="H18" s="28" t="n">
        <v>0.9663</v>
      </c>
      <c r="I18" s="28" t="n">
        <v>0.9729</v>
      </c>
      <c r="J18" s="28" t="n">
        <v>0.9824000000000001</v>
      </c>
    </row>
    <row r="19">
      <c r="A19" s="17" t="inlineStr">
        <is>
          <t>2017</t>
        </is>
      </c>
      <c r="B19" s="28" t="n">
        <v>0.7297</v>
      </c>
      <c r="C19" s="28" t="n">
        <v>0.9510999999999999</v>
      </c>
      <c r="D19" s="28" t="n">
        <v>0.9908</v>
      </c>
      <c r="E19" s="28" t="n">
        <v>0.8532999999999999</v>
      </c>
      <c r="F19" s="28" t="n">
        <v>0.863</v>
      </c>
      <c r="G19" s="28" t="n">
        <v>0.8438</v>
      </c>
      <c r="H19" s="28" t="n">
        <v>0.9454</v>
      </c>
      <c r="I19" s="28" t="n">
        <v>1</v>
      </c>
    </row>
    <row r="20">
      <c r="A20" s="17" t="inlineStr">
        <is>
          <t>2018</t>
        </is>
      </c>
      <c r="B20" s="28" t="n">
        <v>0.68</v>
      </c>
      <c r="C20" s="28" t="n">
        <v>0.8502</v>
      </c>
      <c r="D20" s="28" t="n">
        <v>0.8831</v>
      </c>
      <c r="E20" s="28" t="n">
        <v>0.8737</v>
      </c>
      <c r="F20" s="28" t="n">
        <v>0.9292</v>
      </c>
      <c r="G20" s="28" t="n">
        <v>0.9688</v>
      </c>
      <c r="H20" s="28" t="n">
        <v>1</v>
      </c>
    </row>
    <row r="21">
      <c r="A21" s="17" t="inlineStr">
        <is>
          <t>2019</t>
        </is>
      </c>
      <c r="B21" s="28" t="n">
        <v>0.7092000000000001</v>
      </c>
      <c r="C21" s="28" t="n">
        <v>0.6879</v>
      </c>
      <c r="D21" s="28" t="n">
        <v>0.778</v>
      </c>
      <c r="E21" s="28" t="n">
        <v>0.8001</v>
      </c>
      <c r="F21" s="28" t="n">
        <v>0.9264</v>
      </c>
      <c r="G21" s="28" t="n">
        <v>0.9213</v>
      </c>
    </row>
    <row r="22">
      <c r="A22" s="17" t="inlineStr">
        <is>
          <t>2020</t>
        </is>
      </c>
      <c r="B22" s="28" t="n">
        <v>0.5476</v>
      </c>
      <c r="C22" s="28" t="n">
        <v>0.7834</v>
      </c>
      <c r="D22" s="28" t="n">
        <v>0.9404</v>
      </c>
      <c r="E22" s="28" t="n">
        <v>0.9964</v>
      </c>
      <c r="F22" s="28" t="n">
        <v>0.9971</v>
      </c>
    </row>
    <row r="23">
      <c r="A23" s="17" t="inlineStr">
        <is>
          <t>2021</t>
        </is>
      </c>
      <c r="B23" s="28" t="n">
        <v>0.4982</v>
      </c>
      <c r="C23" s="28" t="n">
        <v>0.6828</v>
      </c>
      <c r="D23" s="28" t="n">
        <v>0.9297</v>
      </c>
      <c r="E23" s="28" t="n">
        <v>0.9641</v>
      </c>
    </row>
    <row r="24">
      <c r="A24" s="17" t="inlineStr">
        <is>
          <t>2022</t>
        </is>
      </c>
      <c r="B24" s="28" t="n">
        <v>0.4425</v>
      </c>
      <c r="C24" s="28" t="n">
        <v>0.8767</v>
      </c>
      <c r="D24" s="28" t="n">
        <v>0.9560999999999999</v>
      </c>
    </row>
    <row r="25">
      <c r="A25" s="17" t="inlineStr">
        <is>
          <t>2023</t>
        </is>
      </c>
      <c r="B25" s="28" t="n">
        <v>0.3767</v>
      </c>
      <c r="C25" s="28" t="n">
        <v>0.726</v>
      </c>
    </row>
    <row r="26">
      <c r="A26" s="17" t="inlineStr">
        <is>
          <t>2024</t>
        </is>
      </c>
      <c r="B26" s="28" t="n">
        <v>0.3991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3" t="inlineStr">
        <is>
          <t>Incremental Incurred Severity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  <c r="O1" s="15" t="n"/>
      <c r="P1" s="15" t="n"/>
      <c r="Q1" s="15" t="n"/>
      <c r="R1" s="15" t="n"/>
      <c r="S1" s="15" t="n"/>
      <c r="T1" s="15" t="n"/>
      <c r="U1" s="15" t="n"/>
      <c r="V1" s="15" t="n"/>
      <c r="W1" s="15" t="n"/>
      <c r="X1" s="15" t="n"/>
      <c r="Y1" s="2" t="n"/>
    </row>
    <row r="2">
      <c r="A2" s="16" t="n"/>
      <c r="B2" s="8" t="inlineStr">
        <is>
          <t>11</t>
        </is>
      </c>
      <c r="C2" s="8" t="inlineStr">
        <is>
          <t>23</t>
        </is>
      </c>
      <c r="D2" s="8" t="inlineStr">
        <is>
          <t>35</t>
        </is>
      </c>
      <c r="E2" s="8" t="inlineStr">
        <is>
          <t>47</t>
        </is>
      </c>
      <c r="F2" s="8" t="inlineStr">
        <is>
          <t>59</t>
        </is>
      </c>
      <c r="G2" s="8" t="inlineStr">
        <is>
          <t>71</t>
        </is>
      </c>
      <c r="H2" s="8" t="inlineStr">
        <is>
          <t>83</t>
        </is>
      </c>
      <c r="I2" s="8" t="inlineStr">
        <is>
          <t>95</t>
        </is>
      </c>
      <c r="J2" s="8" t="inlineStr">
        <is>
          <t>107</t>
        </is>
      </c>
      <c r="K2" s="8" t="inlineStr">
        <is>
          <t>119</t>
        </is>
      </c>
      <c r="L2" s="8" t="inlineStr">
        <is>
          <t>131</t>
        </is>
      </c>
      <c r="M2" s="8" t="inlineStr">
        <is>
          <t>143</t>
        </is>
      </c>
      <c r="N2" s="8" t="inlineStr">
        <is>
          <t>155</t>
        </is>
      </c>
      <c r="O2" s="8" t="inlineStr">
        <is>
          <t>167</t>
        </is>
      </c>
      <c r="P2" s="8" t="inlineStr">
        <is>
          <t>179</t>
        </is>
      </c>
      <c r="Q2" s="8" t="inlineStr">
        <is>
          <t>191</t>
        </is>
      </c>
      <c r="R2" s="8" t="inlineStr">
        <is>
          <t>203</t>
        </is>
      </c>
      <c r="S2" s="8" t="inlineStr">
        <is>
          <t>215</t>
        </is>
      </c>
      <c r="T2" s="8" t="inlineStr">
        <is>
          <t>227</t>
        </is>
      </c>
      <c r="U2" s="8" t="inlineStr">
        <is>
          <t>239</t>
        </is>
      </c>
      <c r="V2" s="8" t="inlineStr">
        <is>
          <t>251</t>
        </is>
      </c>
      <c r="W2" s="8" t="inlineStr">
        <is>
          <t>263</t>
        </is>
      </c>
      <c r="X2" s="8" t="inlineStr">
        <is>
          <t>275</t>
        </is>
      </c>
      <c r="Y2" s="8" t="inlineStr">
        <is>
          <t>287</t>
        </is>
      </c>
    </row>
    <row r="3">
      <c r="A3" s="17" t="inlineStr">
        <is>
          <t>2001</t>
        </is>
      </c>
      <c r="B3" s="18" t="n">
        <v>890.1180000000001</v>
      </c>
      <c r="C3" s="18" t="n">
        <v>22000.2647</v>
      </c>
      <c r="D3" s="18" t="n">
        <v>263628</v>
      </c>
      <c r="E3" s="18" t="n"/>
      <c r="F3" s="18" t="n"/>
      <c r="G3" s="18" t="n"/>
      <c r="H3" s="18" t="n">
        <v>-329.6215</v>
      </c>
      <c r="I3" s="18" t="n"/>
      <c r="J3" s="18" t="n"/>
      <c r="K3" s="18" t="n"/>
      <c r="L3" s="18" t="n"/>
      <c r="M3" s="18" t="n"/>
      <c r="N3" s="18" t="n"/>
      <c r="O3" s="18" t="n"/>
      <c r="P3" s="18" t="n"/>
      <c r="Q3" s="18" t="n"/>
      <c r="R3" s="18" t="n"/>
      <c r="S3" s="18" t="n"/>
      <c r="T3" s="18" t="n"/>
      <c r="U3" s="18" t="n">
        <v>0</v>
      </c>
      <c r="V3" s="18" t="n"/>
      <c r="W3" s="18" t="n"/>
      <c r="X3" s="18" t="n">
        <v>0</v>
      </c>
      <c r="Y3" s="18" t="n"/>
    </row>
    <row r="4">
      <c r="A4" s="17" t="inlineStr">
        <is>
          <t>2002</t>
        </is>
      </c>
      <c r="B4" s="18" t="n">
        <v>1512.0882</v>
      </c>
      <c r="C4" s="18" t="n">
        <v>18915.25</v>
      </c>
      <c r="D4" s="18" t="n"/>
      <c r="E4" s="18" t="n"/>
      <c r="F4" s="18" t="n"/>
      <c r="G4" s="18" t="n">
        <v>5939.8777</v>
      </c>
      <c r="H4" s="18" t="n"/>
      <c r="I4" s="18" t="n"/>
      <c r="J4" s="18" t="n"/>
      <c r="K4" s="18" t="n"/>
      <c r="L4" s="18" t="n"/>
      <c r="M4" s="18" t="n"/>
      <c r="N4" s="18" t="n"/>
      <c r="O4" s="18" t="n"/>
      <c r="P4" s="18" t="n"/>
      <c r="Q4" s="18" t="n"/>
      <c r="R4" s="18" t="n"/>
      <c r="S4" s="18" t="n"/>
      <c r="T4" s="18" t="n">
        <v>0</v>
      </c>
      <c r="U4" s="18" t="n"/>
      <c r="V4" s="18" t="n"/>
      <c r="W4" s="18" t="n"/>
      <c r="X4" s="18" t="n">
        <v>0</v>
      </c>
    </row>
    <row r="5">
      <c r="A5" s="17" t="inlineStr">
        <is>
          <t>2003</t>
        </is>
      </c>
      <c r="B5" s="18" t="n">
        <v>1888.6444</v>
      </c>
      <c r="C5" s="18" t="n">
        <v>24321.7857</v>
      </c>
      <c r="D5" s="18" t="n"/>
      <c r="E5" s="18" t="n"/>
      <c r="F5" s="18" t="n">
        <v>65663.13</v>
      </c>
      <c r="G5" s="18" t="n"/>
      <c r="H5" s="18" t="n">
        <v>-3810.89</v>
      </c>
      <c r="I5" s="18" t="n"/>
      <c r="J5" s="18" t="n"/>
      <c r="K5" s="18" t="n"/>
      <c r="L5" s="18" t="n"/>
      <c r="M5" s="18" t="n"/>
      <c r="N5" s="18" t="n"/>
      <c r="O5" s="18" t="n"/>
      <c r="P5" s="18" t="n">
        <v>0</v>
      </c>
      <c r="Q5" s="18" t="n">
        <v>0</v>
      </c>
      <c r="R5" s="18" t="n"/>
      <c r="S5" s="18" t="n">
        <v>0</v>
      </c>
      <c r="T5" s="18" t="n">
        <v>0</v>
      </c>
      <c r="U5" s="18" t="n">
        <v>0</v>
      </c>
      <c r="V5" s="18" t="n">
        <v>0</v>
      </c>
      <c r="W5" s="18" t="n">
        <v>0</v>
      </c>
    </row>
    <row r="6">
      <c r="A6" s="17" t="inlineStr">
        <is>
          <t>2004</t>
        </is>
      </c>
      <c r="B6" s="18" t="n">
        <v>1172.3435</v>
      </c>
      <c r="C6" s="18" t="n">
        <v>2809.2593</v>
      </c>
      <c r="D6" s="18" t="n"/>
      <c r="E6" s="18" t="n">
        <v>15998.55</v>
      </c>
      <c r="F6" s="18" t="n">
        <v>92280.89999999999</v>
      </c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>
        <v>0</v>
      </c>
      <c r="S6" s="18" t="n">
        <v>0</v>
      </c>
      <c r="T6" s="18" t="n">
        <v>0</v>
      </c>
      <c r="U6" s="18" t="n"/>
      <c r="V6" s="18" t="n">
        <v>0</v>
      </c>
    </row>
    <row r="7">
      <c r="A7" s="17" t="inlineStr">
        <is>
          <t>2005</t>
        </is>
      </c>
      <c r="B7" s="18" t="n">
        <v>1993.7326</v>
      </c>
      <c r="C7" s="18" t="n">
        <v>26077.4891</v>
      </c>
      <c r="D7" s="18" t="n">
        <v>114569.65</v>
      </c>
      <c r="E7" s="18" t="n">
        <v>33060.37</v>
      </c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>
        <v>0</v>
      </c>
      <c r="T7" s="18" t="n">
        <v>0</v>
      </c>
      <c r="U7" s="18" t="n">
        <v>0</v>
      </c>
    </row>
    <row r="8">
      <c r="A8" s="17" t="inlineStr">
        <is>
          <t>2006</t>
        </is>
      </c>
      <c r="B8" s="18" t="n">
        <v>1599.0849</v>
      </c>
      <c r="C8" s="18" t="n">
        <v>21224.755</v>
      </c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>
        <v>0</v>
      </c>
    </row>
    <row r="9">
      <c r="A9" s="17" t="inlineStr">
        <is>
          <t>2007</t>
        </is>
      </c>
      <c r="B9" s="18" t="n">
        <v>3777.3245</v>
      </c>
      <c r="C9" s="18" t="n">
        <v>7734.954</v>
      </c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>
        <v>0</v>
      </c>
      <c r="R9" s="18" t="n"/>
      <c r="S9" s="18" t="n"/>
    </row>
    <row r="10">
      <c r="A10" s="17" t="inlineStr">
        <is>
          <t>2008</t>
        </is>
      </c>
      <c r="B10" s="18" t="n">
        <v>1809.473</v>
      </c>
      <c r="C10" s="18" t="n">
        <v>10839.7573</v>
      </c>
      <c r="D10" s="18" t="n">
        <v>122954.5499</v>
      </c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>
        <v>0</v>
      </c>
      <c r="Q10" s="18" t="n"/>
      <c r="R10" s="18" t="n"/>
    </row>
    <row r="11">
      <c r="A11" s="17" t="inlineStr">
        <is>
          <t>2009</t>
        </is>
      </c>
      <c r="B11" s="18" t="n">
        <v>1167.6749</v>
      </c>
      <c r="C11" s="18" t="n">
        <v>35483.0018</v>
      </c>
      <c r="D11" s="18" t="n">
        <v>-38115.65</v>
      </c>
      <c r="E11" s="18" t="n"/>
      <c r="F11" s="18" t="n"/>
      <c r="G11" s="18" t="n"/>
      <c r="H11" s="18" t="n"/>
      <c r="I11" s="18" t="n"/>
      <c r="J11" s="18" t="n"/>
      <c r="K11" s="18" t="n"/>
      <c r="L11" s="18" t="n">
        <v>0</v>
      </c>
      <c r="M11" s="18" t="n"/>
      <c r="N11" s="18" t="n"/>
      <c r="O11" s="18" t="n">
        <v>0</v>
      </c>
      <c r="P11" s="18" t="n">
        <v>0</v>
      </c>
      <c r="Q11" s="18" t="n">
        <v>0</v>
      </c>
    </row>
    <row r="12">
      <c r="A12" s="17" t="inlineStr">
        <is>
          <t>2010</t>
        </is>
      </c>
      <c r="B12" s="18" t="n">
        <v>1384.9391</v>
      </c>
      <c r="C12" s="18" t="n">
        <v>31201.3678</v>
      </c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</row>
    <row r="13">
      <c r="A13" s="17" t="inlineStr">
        <is>
          <t>2011</t>
        </is>
      </c>
      <c r="B13" s="18" t="n">
        <v>1313.2806</v>
      </c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>
        <v>0</v>
      </c>
      <c r="O13" s="18" t="n">
        <v>0</v>
      </c>
    </row>
    <row r="14">
      <c r="A14" s="17" t="inlineStr">
        <is>
          <t>2012</t>
        </is>
      </c>
      <c r="B14" s="18" t="n">
        <v>1368.4788</v>
      </c>
      <c r="C14" s="18" t="n">
        <v>21888.1617</v>
      </c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>
        <v>0</v>
      </c>
    </row>
    <row r="15">
      <c r="A15" s="17" t="inlineStr">
        <is>
          <t>2013</t>
        </is>
      </c>
      <c r="B15" s="18" t="n">
        <v>988.3224</v>
      </c>
      <c r="C15" s="18" t="n">
        <v>29119.8633</v>
      </c>
      <c r="D15" s="18" t="n"/>
      <c r="E15" s="18" t="n">
        <v>86335</v>
      </c>
      <c r="F15" s="18" t="n"/>
      <c r="G15" s="18" t="n"/>
      <c r="H15" s="18" t="n"/>
      <c r="I15" s="18" t="n">
        <v>0</v>
      </c>
      <c r="J15" s="18" t="n"/>
      <c r="K15" s="18" t="n">
        <v>0</v>
      </c>
      <c r="L15" s="18" t="n"/>
      <c r="M15" s="18" t="n">
        <v>0</v>
      </c>
    </row>
    <row r="16">
      <c r="A16" s="17" t="inlineStr">
        <is>
          <t>2014</t>
        </is>
      </c>
      <c r="B16" s="18" t="n">
        <v>1334.6909</v>
      </c>
      <c r="C16" s="18" t="n">
        <v>10721.4473</v>
      </c>
      <c r="D16" s="18" t="n">
        <v>246904</v>
      </c>
      <c r="E16" s="18" t="n"/>
      <c r="F16" s="18" t="n"/>
      <c r="G16" s="18" t="n"/>
      <c r="H16" s="18" t="n"/>
      <c r="I16" s="18" t="n">
        <v>0</v>
      </c>
      <c r="J16" s="18" t="n"/>
      <c r="K16" s="18" t="n"/>
      <c r="L16" s="18" t="n"/>
    </row>
    <row r="17">
      <c r="A17" s="17" t="inlineStr">
        <is>
          <t>2015</t>
        </is>
      </c>
      <c r="B17" s="18" t="n">
        <v>1671.1066</v>
      </c>
      <c r="C17" s="18" t="n">
        <v>50240.25</v>
      </c>
      <c r="D17" s="18" t="n">
        <v>101765.5</v>
      </c>
      <c r="E17" s="18" t="n"/>
      <c r="F17" s="18" t="n"/>
      <c r="G17" s="18" t="n"/>
      <c r="H17" s="18" t="n"/>
      <c r="I17" s="18" t="n"/>
      <c r="J17" s="18" t="n"/>
      <c r="K17" s="18" t="n">
        <v>-74961.62669999999</v>
      </c>
    </row>
    <row r="18">
      <c r="A18" s="17" t="inlineStr">
        <is>
          <t>2016</t>
        </is>
      </c>
      <c r="B18" s="18" t="n">
        <v>1989.3893</v>
      </c>
      <c r="C18" s="18" t="n">
        <v>21585.1429</v>
      </c>
      <c r="D18" s="18" t="n">
        <v>26086.5315</v>
      </c>
      <c r="E18" s="18" t="n"/>
      <c r="F18" s="18" t="n"/>
      <c r="G18" s="18" t="n"/>
      <c r="H18" s="18" t="n"/>
      <c r="I18" s="18" t="n"/>
      <c r="J18" s="18" t="n"/>
    </row>
    <row r="19">
      <c r="A19" s="17" t="inlineStr">
        <is>
          <t>2017</t>
        </is>
      </c>
      <c r="B19" s="18" t="n">
        <v>1672.7081</v>
      </c>
      <c r="C19" s="18" t="n">
        <v>4475.3015</v>
      </c>
      <c r="D19" s="18" t="n">
        <v>16009.7899</v>
      </c>
      <c r="E19" s="18" t="n">
        <v>149114.13</v>
      </c>
      <c r="F19" s="18" t="n">
        <v>-47377.44</v>
      </c>
      <c r="G19" s="18" t="n"/>
      <c r="H19" s="18" t="n"/>
      <c r="I19" s="18" t="n">
        <v>-27931.9</v>
      </c>
    </row>
    <row r="20">
      <c r="A20" s="17" t="inlineStr">
        <is>
          <t>2018</t>
        </is>
      </c>
      <c r="B20" s="18" t="n">
        <v>1757.7757</v>
      </c>
      <c r="C20" s="18" t="n">
        <v>18526.4922</v>
      </c>
      <c r="D20" s="18" t="n"/>
      <c r="E20" s="18" t="n"/>
      <c r="F20" s="18" t="n">
        <v>-10079.97</v>
      </c>
      <c r="G20" s="18" t="n"/>
      <c r="H20" s="18" t="n"/>
    </row>
    <row r="21">
      <c r="A21" s="17" t="inlineStr">
        <is>
          <t>2019</t>
        </is>
      </c>
      <c r="B21" s="18" t="n">
        <v>1298.8238</v>
      </c>
      <c r="C21" s="18" t="n">
        <v>15973.9188</v>
      </c>
      <c r="D21" s="18" t="n"/>
      <c r="E21" s="18" t="n"/>
      <c r="F21" s="18" t="n"/>
      <c r="G21" s="18" t="n">
        <v>-358066.22</v>
      </c>
    </row>
    <row r="22">
      <c r="A22" s="17" t="inlineStr">
        <is>
          <t>2020</t>
        </is>
      </c>
      <c r="B22" s="18" t="n">
        <v>1493.0271</v>
      </c>
      <c r="C22" s="18" t="n">
        <v>19409.9025</v>
      </c>
      <c r="D22" s="18" t="n"/>
      <c r="E22" s="18" t="n"/>
      <c r="F22" s="18" t="n"/>
    </row>
    <row r="23">
      <c r="A23" s="17" t="inlineStr">
        <is>
          <t>2021</t>
        </is>
      </c>
      <c r="B23" s="18" t="n">
        <v>1901.2855</v>
      </c>
      <c r="C23" s="18" t="n">
        <v>6147.4661</v>
      </c>
      <c r="D23" s="18" t="n"/>
      <c r="E23" s="18" t="n"/>
    </row>
    <row r="24">
      <c r="A24" s="17" t="inlineStr">
        <is>
          <t>2022</t>
        </is>
      </c>
      <c r="B24" s="18" t="n">
        <v>2658.5306</v>
      </c>
      <c r="C24" s="18" t="n">
        <v>4250.0129</v>
      </c>
      <c r="D24" s="18" t="n"/>
    </row>
    <row r="25">
      <c r="A25" s="17" t="inlineStr">
        <is>
          <t>2023</t>
        </is>
      </c>
      <c r="B25" s="18" t="n">
        <v>3569.3743</v>
      </c>
      <c r="C25" s="18" t="n">
        <v>21368.7346</v>
      </c>
    </row>
    <row r="26">
      <c r="A26" s="17" t="inlineStr">
        <is>
          <t>2024</t>
        </is>
      </c>
      <c r="B26" s="18" t="n">
        <v>3477.1362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3" t="inlineStr">
        <is>
          <t>Incurred Loss - CV &amp; Slopes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  <c r="O1" s="15" t="n"/>
      <c r="P1" s="15" t="n"/>
      <c r="Q1" s="15" t="n"/>
      <c r="R1" s="15" t="n"/>
      <c r="S1" s="15" t="n"/>
      <c r="T1" s="15" t="n"/>
      <c r="U1" s="15" t="n"/>
      <c r="V1" s="15" t="n"/>
      <c r="W1" s="15" t="n"/>
      <c r="X1" s="15" t="n"/>
      <c r="Y1" s="2" t="n"/>
    </row>
    <row r="2">
      <c r="A2" s="20" t="inlineStr">
        <is>
          <t>Metric</t>
        </is>
      </c>
      <c r="B2" s="8" t="inlineStr">
        <is>
          <t>11-23</t>
        </is>
      </c>
      <c r="C2" s="8" t="inlineStr">
        <is>
          <t>23-35</t>
        </is>
      </c>
      <c r="D2" s="8" t="inlineStr">
        <is>
          <t>35-47</t>
        </is>
      </c>
      <c r="E2" s="8" t="inlineStr">
        <is>
          <t>47-59</t>
        </is>
      </c>
      <c r="F2" s="8" t="inlineStr">
        <is>
          <t>59-71</t>
        </is>
      </c>
      <c r="G2" s="8" t="inlineStr">
        <is>
          <t>71-83</t>
        </is>
      </c>
      <c r="H2" s="8" t="inlineStr">
        <is>
          <t>83-95</t>
        </is>
      </c>
      <c r="I2" s="8" t="inlineStr">
        <is>
          <t>95-107</t>
        </is>
      </c>
      <c r="J2" s="8" t="inlineStr">
        <is>
          <t>107-119</t>
        </is>
      </c>
      <c r="K2" s="8" t="inlineStr">
        <is>
          <t>119-131</t>
        </is>
      </c>
      <c r="L2" s="8" t="inlineStr">
        <is>
          <t>131-143</t>
        </is>
      </c>
      <c r="M2" s="8" t="inlineStr">
        <is>
          <t>143-155</t>
        </is>
      </c>
      <c r="N2" s="8" t="inlineStr">
        <is>
          <t>155-167</t>
        </is>
      </c>
      <c r="O2" s="8" t="inlineStr">
        <is>
          <t>167-179</t>
        </is>
      </c>
      <c r="P2" s="8" t="inlineStr">
        <is>
          <t>179-191</t>
        </is>
      </c>
      <c r="Q2" s="8" t="inlineStr">
        <is>
          <t>191-203</t>
        </is>
      </c>
      <c r="R2" s="8" t="inlineStr">
        <is>
          <t>203-215</t>
        </is>
      </c>
      <c r="S2" s="8" t="inlineStr">
        <is>
          <t>215-227</t>
        </is>
      </c>
      <c r="T2" s="8" t="inlineStr">
        <is>
          <t>227-239</t>
        </is>
      </c>
      <c r="U2" s="8" t="inlineStr">
        <is>
          <t>239-251</t>
        </is>
      </c>
      <c r="V2" s="8" t="inlineStr">
        <is>
          <t>251-263</t>
        </is>
      </c>
      <c r="W2" s="8" t="inlineStr">
        <is>
          <t>263-275</t>
        </is>
      </c>
      <c r="X2" s="8" t="inlineStr">
        <is>
          <t>275-287</t>
        </is>
      </c>
      <c r="Y2" s="8" t="inlineStr">
        <is>
          <t>Tail</t>
        </is>
      </c>
    </row>
    <row r="3">
      <c r="A3" s="21" t="inlineStr">
        <is>
          <t>cv_3yr</t>
        </is>
      </c>
      <c r="B3" s="19" t="n">
        <v>0.1604</v>
      </c>
      <c r="C3" s="19" t="n">
        <v>0.1345</v>
      </c>
      <c r="D3" s="19" t="n">
        <v>0.0574</v>
      </c>
      <c r="E3" s="19" t="n">
        <v>0.0355</v>
      </c>
      <c r="F3" s="19" t="n">
        <v>0.0934</v>
      </c>
      <c r="G3" s="19" t="n">
        <v>0.0606</v>
      </c>
      <c r="H3" s="19" t="n">
        <v>0.0164</v>
      </c>
      <c r="I3" s="19" t="n">
        <v>0.0221</v>
      </c>
      <c r="J3" s="19" t="n">
        <v>0.0488</v>
      </c>
      <c r="K3" s="19" t="n">
        <v>0.0072</v>
      </c>
      <c r="L3" s="19" t="n">
        <v>0.0985</v>
      </c>
      <c r="M3" s="19" t="n">
        <v>0.0008</v>
      </c>
      <c r="N3" s="19" t="n">
        <v>0.0001</v>
      </c>
      <c r="O3" s="19" t="n">
        <v>0.0035</v>
      </c>
      <c r="P3" s="19" t="n">
        <v>0.0028</v>
      </c>
      <c r="Q3" s="19" t="n">
        <v>0.0101</v>
      </c>
      <c r="R3" s="19" t="n">
        <v>0.0037</v>
      </c>
      <c r="S3" s="19" t="n">
        <v>0</v>
      </c>
      <c r="T3" s="19" t="n">
        <v>0</v>
      </c>
      <c r="U3" s="19" t="n">
        <v>0.0036</v>
      </c>
      <c r="V3" s="19" t="n">
        <v>0.0178</v>
      </c>
      <c r="W3" s="19" t="n">
        <v>0</v>
      </c>
      <c r="X3" s="19" t="n"/>
    </row>
    <row r="4">
      <c r="A4" s="21" t="inlineStr">
        <is>
          <t>cv_5yr</t>
        </is>
      </c>
      <c r="B4" s="19" t="n">
        <v>0.3284</v>
      </c>
      <c r="C4" s="19" t="n">
        <v>0.2103</v>
      </c>
      <c r="D4" s="19" t="n">
        <v>0.1316</v>
      </c>
      <c r="E4" s="19" t="n">
        <v>0.0556</v>
      </c>
      <c r="F4" s="19" t="n">
        <v>0.07729999999999999</v>
      </c>
      <c r="G4" s="19" t="n">
        <v>0.074</v>
      </c>
      <c r="H4" s="19" t="n">
        <v>0.0136</v>
      </c>
      <c r="I4" s="19" t="n">
        <v>0.0254</v>
      </c>
      <c r="J4" s="19" t="n">
        <v>0.0393</v>
      </c>
      <c r="K4" s="19" t="n">
        <v>0.0134</v>
      </c>
      <c r="L4" s="19" t="n">
        <v>0.0762</v>
      </c>
      <c r="M4" s="19" t="n">
        <v>0.0162</v>
      </c>
      <c r="N4" s="19" t="n">
        <v>0.0004</v>
      </c>
      <c r="O4" s="19" t="n">
        <v>0.0187</v>
      </c>
      <c r="P4" s="19" t="n">
        <v>0.0049</v>
      </c>
      <c r="Q4" s="19" t="n">
        <v>0.0089</v>
      </c>
      <c r="R4" s="19" t="n">
        <v>0.0032</v>
      </c>
      <c r="S4" s="19" t="n">
        <v>0</v>
      </c>
      <c r="T4" s="19" t="n">
        <v>0.0188</v>
      </c>
      <c r="U4" s="19" t="n">
        <v>0.013</v>
      </c>
      <c r="V4" s="19" t="n">
        <v>0.0178</v>
      </c>
      <c r="W4" s="19" t="n">
        <v>0</v>
      </c>
      <c r="X4" s="19" t="n"/>
    </row>
    <row r="5">
      <c r="A5" s="21" t="inlineStr">
        <is>
          <t>cv_10yr</t>
        </is>
      </c>
      <c r="B5" s="19" t="n">
        <v>0.2694</v>
      </c>
      <c r="C5" s="19" t="n">
        <v>0.1768</v>
      </c>
      <c r="D5" s="19" t="n">
        <v>0.1051</v>
      </c>
      <c r="E5" s="19" t="n">
        <v>0.0465</v>
      </c>
      <c r="F5" s="19" t="n">
        <v>0.07190000000000001</v>
      </c>
      <c r="G5" s="19" t="n">
        <v>0.0599</v>
      </c>
      <c r="H5" s="19" t="n">
        <v>0.0442</v>
      </c>
      <c r="I5" s="19" t="n">
        <v>0.0266</v>
      </c>
      <c r="J5" s="19" t="n">
        <v>0.0374</v>
      </c>
      <c r="K5" s="19" t="n">
        <v>0.0262</v>
      </c>
      <c r="L5" s="19" t="n">
        <v>0.061</v>
      </c>
      <c r="M5" s="19" t="n">
        <v>0.0142</v>
      </c>
      <c r="N5" s="19" t="n">
        <v>0.0147</v>
      </c>
      <c r="O5" s="19" t="n">
        <v>0.0146</v>
      </c>
      <c r="P5" s="19" t="n">
        <v>0.0166</v>
      </c>
      <c r="Q5" s="19" t="n">
        <v>0.0175</v>
      </c>
      <c r="R5" s="19" t="n">
        <v>0.0112</v>
      </c>
      <c r="S5" s="19" t="n">
        <v>0.0073</v>
      </c>
      <c r="T5" s="19" t="n">
        <v>0.0188</v>
      </c>
      <c r="U5" s="19" t="n">
        <v>0.013</v>
      </c>
      <c r="V5" s="19" t="n">
        <v>0.0178</v>
      </c>
      <c r="W5" s="19" t="n">
        <v>0</v>
      </c>
      <c r="X5" s="19" t="n"/>
    </row>
    <row r="6">
      <c r="A6" s="21" t="inlineStr">
        <is>
          <t>slope_3yr</t>
        </is>
      </c>
      <c r="B6" s="19" t="n">
        <v>0.1182</v>
      </c>
      <c r="C6" s="19" t="n">
        <v>-0.0058</v>
      </c>
      <c r="D6" s="19" t="n">
        <v>-0.059</v>
      </c>
      <c r="E6" s="19" t="n">
        <v>0.0077</v>
      </c>
      <c r="F6" s="19" t="n">
        <v>0.0447</v>
      </c>
      <c r="G6" s="19" t="n">
        <v>-0.0505</v>
      </c>
      <c r="H6" s="19" t="n">
        <v>0.0124</v>
      </c>
      <c r="I6" s="19" t="n">
        <v>-0.0199</v>
      </c>
      <c r="J6" s="19" t="n">
        <v>0.0481</v>
      </c>
      <c r="K6" s="19" t="n">
        <v>-0.0072</v>
      </c>
      <c r="L6" s="19" t="n">
        <v>0.0016</v>
      </c>
      <c r="M6" s="19" t="n">
        <v>-0.0005999999999999999</v>
      </c>
      <c r="N6" s="19" t="n">
        <v>0</v>
      </c>
      <c r="O6" s="19" t="n">
        <v>0.003</v>
      </c>
      <c r="P6" s="19" t="n">
        <v>0</v>
      </c>
      <c r="Q6" s="19" t="n">
        <v>0.008999999999999999</v>
      </c>
      <c r="R6" s="19" t="n">
        <v>0.0013</v>
      </c>
      <c r="S6" s="19" t="n">
        <v>0</v>
      </c>
      <c r="T6" s="19" t="n">
        <v>0</v>
      </c>
      <c r="U6" s="19" t="n">
        <v>0.0031</v>
      </c>
      <c r="V6" s="19" t="n">
        <v>-0.0069</v>
      </c>
      <c r="W6" s="19" t="n">
        <v>0</v>
      </c>
      <c r="X6" s="19" t="n"/>
    </row>
    <row r="7">
      <c r="A7" s="21" t="inlineStr">
        <is>
          <t>slope_5yr</t>
        </is>
      </c>
      <c r="B7" s="19" t="n">
        <v>-0.2685</v>
      </c>
      <c r="C7" s="19" t="n">
        <v>-0.1238</v>
      </c>
      <c r="D7" s="19" t="n">
        <v>-0.0886</v>
      </c>
      <c r="E7" s="19" t="n">
        <v>-0.0277</v>
      </c>
      <c r="F7" s="19" t="n">
        <v>0.0153</v>
      </c>
      <c r="G7" s="19" t="n">
        <v>0.0123</v>
      </c>
      <c r="H7" s="19" t="n">
        <v>0.0063</v>
      </c>
      <c r="I7" s="19" t="n">
        <v>-0.0108</v>
      </c>
      <c r="J7" s="19" t="n">
        <v>0.0149</v>
      </c>
      <c r="K7" s="19" t="n">
        <v>-0.0044</v>
      </c>
      <c r="L7" s="19" t="n">
        <v>0.0152</v>
      </c>
      <c r="M7" s="19" t="n">
        <v>-0.0001</v>
      </c>
      <c r="N7" s="19" t="n">
        <v>-0.0002</v>
      </c>
      <c r="O7" s="19" t="n">
        <v>-0.0033</v>
      </c>
      <c r="P7" s="19" t="n">
        <v>-0.0021</v>
      </c>
      <c r="Q7" s="19" t="n">
        <v>0.003</v>
      </c>
      <c r="R7" s="19" t="n">
        <v>0.0012</v>
      </c>
      <c r="S7" s="19" t="n">
        <v>0</v>
      </c>
      <c r="T7" s="19" t="n">
        <v>-0.0042</v>
      </c>
      <c r="U7" s="19" t="n">
        <v>-0.0064</v>
      </c>
      <c r="V7" s="19" t="n">
        <v>-0.0069</v>
      </c>
      <c r="W7" s="19" t="n">
        <v>0</v>
      </c>
      <c r="X7" s="19" t="n"/>
    </row>
    <row r="8">
      <c r="A8" s="21" t="inlineStr">
        <is>
          <t>slope_10yr</t>
        </is>
      </c>
      <c r="B8" s="19" t="n">
        <v>-0.0158</v>
      </c>
      <c r="C8" s="19" t="n">
        <v>-0.024</v>
      </c>
      <c r="D8" s="19" t="n">
        <v>-0.007</v>
      </c>
      <c r="E8" s="19" t="n">
        <v>-0.001</v>
      </c>
      <c r="F8" s="19" t="n">
        <v>0.0149</v>
      </c>
      <c r="G8" s="19" t="n">
        <v>0.008699999999999999</v>
      </c>
      <c r="H8" s="19" t="n">
        <v>-0.0053</v>
      </c>
      <c r="I8" s="19" t="n">
        <v>-0.0023</v>
      </c>
      <c r="J8" s="19" t="n">
        <v>-0.0002</v>
      </c>
      <c r="K8" s="19" t="n">
        <v>-0.0048</v>
      </c>
      <c r="L8" s="19" t="n">
        <v>0.0008</v>
      </c>
      <c r="M8" s="19" t="n">
        <v>0.0002</v>
      </c>
      <c r="N8" s="19" t="n">
        <v>-0.0019</v>
      </c>
      <c r="O8" s="19" t="n">
        <v>-0.001</v>
      </c>
      <c r="P8" s="19" t="n">
        <v>-0.0039</v>
      </c>
      <c r="Q8" s="19" t="n">
        <v>-0.0029</v>
      </c>
      <c r="R8" s="19" t="n">
        <v>-0.0026</v>
      </c>
      <c r="S8" s="19" t="n">
        <v>-0.0026</v>
      </c>
      <c r="T8" s="19" t="n">
        <v>-0.0042</v>
      </c>
      <c r="U8" s="19" t="n">
        <v>-0.0064</v>
      </c>
      <c r="V8" s="19" t="n">
        <v>-0.0069</v>
      </c>
      <c r="W8" s="19" t="n">
        <v>0</v>
      </c>
      <c r="X8" s="19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3" t="inlineStr">
        <is>
          <t>Paid Loss - CV &amp; Slopes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  <c r="O1" s="15" t="n"/>
      <c r="P1" s="15" t="n"/>
      <c r="Q1" s="15" t="n"/>
      <c r="R1" s="15" t="n"/>
      <c r="S1" s="15" t="n"/>
      <c r="T1" s="15" t="n"/>
      <c r="U1" s="15" t="n"/>
      <c r="V1" s="15" t="n"/>
      <c r="W1" s="15" t="n"/>
      <c r="X1" s="15" t="n"/>
      <c r="Y1" s="2" t="n"/>
    </row>
    <row r="2">
      <c r="A2" s="20" t="inlineStr">
        <is>
          <t>Metric</t>
        </is>
      </c>
      <c r="B2" s="8" t="inlineStr">
        <is>
          <t>11-23</t>
        </is>
      </c>
      <c r="C2" s="8" t="inlineStr">
        <is>
          <t>23-35</t>
        </is>
      </c>
      <c r="D2" s="8" t="inlineStr">
        <is>
          <t>35-47</t>
        </is>
      </c>
      <c r="E2" s="8" t="inlineStr">
        <is>
          <t>47-59</t>
        </is>
      </c>
      <c r="F2" s="8" t="inlineStr">
        <is>
          <t>59-71</t>
        </is>
      </c>
      <c r="G2" s="8" t="inlineStr">
        <is>
          <t>71-83</t>
        </is>
      </c>
      <c r="H2" s="8" t="inlineStr">
        <is>
          <t>83-95</t>
        </is>
      </c>
      <c r="I2" s="8" t="inlineStr">
        <is>
          <t>95-107</t>
        </is>
      </c>
      <c r="J2" s="8" t="inlineStr">
        <is>
          <t>107-119</t>
        </is>
      </c>
      <c r="K2" s="8" t="inlineStr">
        <is>
          <t>119-131</t>
        </is>
      </c>
      <c r="L2" s="8" t="inlineStr">
        <is>
          <t>131-143</t>
        </is>
      </c>
      <c r="M2" s="8" t="inlineStr">
        <is>
          <t>143-155</t>
        </is>
      </c>
      <c r="N2" s="8" t="inlineStr">
        <is>
          <t>155-167</t>
        </is>
      </c>
      <c r="O2" s="8" t="inlineStr">
        <is>
          <t>167-179</t>
        </is>
      </c>
      <c r="P2" s="8" t="inlineStr">
        <is>
          <t>179-191</t>
        </is>
      </c>
      <c r="Q2" s="8" t="inlineStr">
        <is>
          <t>191-203</t>
        </is>
      </c>
      <c r="R2" s="8" t="inlineStr">
        <is>
          <t>203-215</t>
        </is>
      </c>
      <c r="S2" s="8" t="inlineStr">
        <is>
          <t>215-227</t>
        </is>
      </c>
      <c r="T2" s="8" t="inlineStr">
        <is>
          <t>227-239</t>
        </is>
      </c>
      <c r="U2" s="8" t="inlineStr">
        <is>
          <t>239-251</t>
        </is>
      </c>
      <c r="V2" s="8" t="inlineStr">
        <is>
          <t>251-263</t>
        </is>
      </c>
      <c r="W2" s="8" t="inlineStr">
        <is>
          <t>263-275</t>
        </is>
      </c>
      <c r="X2" s="8" t="inlineStr">
        <is>
          <t>275-287</t>
        </is>
      </c>
      <c r="Y2" s="8" t="inlineStr">
        <is>
          <t>Tail</t>
        </is>
      </c>
    </row>
    <row r="3">
      <c r="A3" s="21" t="inlineStr">
        <is>
          <t>cv_3yr</t>
        </is>
      </c>
      <c r="B3" s="19" t="n">
        <v>0.2513</v>
      </c>
      <c r="C3" s="19" t="n">
        <v>0.2467</v>
      </c>
      <c r="D3" s="19" t="n">
        <v>0.0502</v>
      </c>
      <c r="E3" s="19" t="n">
        <v>0.1057</v>
      </c>
      <c r="F3" s="19" t="n">
        <v>0.0721</v>
      </c>
      <c r="G3" s="19" t="n">
        <v>0.1012</v>
      </c>
      <c r="H3" s="19" t="n">
        <v>0.0403</v>
      </c>
      <c r="I3" s="19" t="n">
        <v>0.004</v>
      </c>
      <c r="J3" s="19" t="n">
        <v>0.06469999999999999</v>
      </c>
      <c r="K3" s="19" t="n">
        <v>0.0153</v>
      </c>
      <c r="L3" s="19" t="n">
        <v>0.0294</v>
      </c>
      <c r="M3" s="19" t="n">
        <v>0.0226</v>
      </c>
      <c r="N3" s="19" t="n">
        <v>0.0017</v>
      </c>
      <c r="O3" s="19" t="n">
        <v>0.0033</v>
      </c>
      <c r="P3" s="19" t="n">
        <v>0.0159</v>
      </c>
      <c r="Q3" s="19" t="n">
        <v>0.0103</v>
      </c>
      <c r="R3" s="19" t="n">
        <v>0.0033</v>
      </c>
      <c r="S3" s="19" t="n">
        <v>0.0032</v>
      </c>
      <c r="T3" s="19" t="n">
        <v>0</v>
      </c>
      <c r="U3" s="19" t="n">
        <v>0.0058</v>
      </c>
      <c r="V3" s="19" t="n">
        <v>0.005</v>
      </c>
      <c r="W3" s="19" t="n">
        <v>0.0019</v>
      </c>
      <c r="X3" s="19" t="n"/>
    </row>
    <row r="4">
      <c r="A4" s="21" t="inlineStr">
        <is>
          <t>cv_5yr</t>
        </is>
      </c>
      <c r="B4" s="19" t="n">
        <v>0.1774</v>
      </c>
      <c r="C4" s="19" t="n">
        <v>0.2103</v>
      </c>
      <c r="D4" s="19" t="n">
        <v>0.1004</v>
      </c>
      <c r="E4" s="19" t="n">
        <v>0.0759</v>
      </c>
      <c r="F4" s="19" t="n">
        <v>0.0522</v>
      </c>
      <c r="G4" s="19" t="n">
        <v>0.0961</v>
      </c>
      <c r="H4" s="19" t="n">
        <v>0.0391</v>
      </c>
      <c r="I4" s="19" t="n">
        <v>0.0112</v>
      </c>
      <c r="J4" s="19" t="n">
        <v>0.0566</v>
      </c>
      <c r="K4" s="19" t="n">
        <v>0.0121</v>
      </c>
      <c r="L4" s="19" t="n">
        <v>0.0237</v>
      </c>
      <c r="M4" s="19" t="n">
        <v>0.0235</v>
      </c>
      <c r="N4" s="19" t="n">
        <v>0.0123</v>
      </c>
      <c r="O4" s="19" t="n">
        <v>0.0108</v>
      </c>
      <c r="P4" s="19" t="n">
        <v>0.0114</v>
      </c>
      <c r="Q4" s="19" t="n">
        <v>0.0103</v>
      </c>
      <c r="R4" s="19" t="n">
        <v>0.0031</v>
      </c>
      <c r="S4" s="19" t="n">
        <v>0.0069</v>
      </c>
      <c r="T4" s="19" t="n">
        <v>0.0054</v>
      </c>
      <c r="U4" s="19" t="n">
        <v>0.0051</v>
      </c>
      <c r="V4" s="19" t="n">
        <v>0.005</v>
      </c>
      <c r="W4" s="19" t="n">
        <v>0.0019</v>
      </c>
      <c r="X4" s="19" t="n"/>
    </row>
    <row r="5">
      <c r="A5" s="21" t="inlineStr">
        <is>
          <t>cv_10yr</t>
        </is>
      </c>
      <c r="B5" s="19" t="n">
        <v>0.2259</v>
      </c>
      <c r="C5" s="19" t="n">
        <v>0.1904</v>
      </c>
      <c r="D5" s="19" t="n">
        <v>0.1076</v>
      </c>
      <c r="E5" s="19" t="n">
        <v>0.06419999999999999</v>
      </c>
      <c r="F5" s="19" t="n">
        <v>0.0625</v>
      </c>
      <c r="G5" s="19" t="n">
        <v>0.08169999999999999</v>
      </c>
      <c r="H5" s="19" t="n">
        <v>0.0308</v>
      </c>
      <c r="I5" s="19" t="n">
        <v>0.0238</v>
      </c>
      <c r="J5" s="19" t="n">
        <v>0.044</v>
      </c>
      <c r="K5" s="19" t="n">
        <v>0.0327</v>
      </c>
      <c r="L5" s="19" t="n">
        <v>0.0201</v>
      </c>
      <c r="M5" s="19" t="n">
        <v>0.02</v>
      </c>
      <c r="N5" s="19" t="n">
        <v>0.0116</v>
      </c>
      <c r="O5" s="19" t="n">
        <v>0.012</v>
      </c>
      <c r="P5" s="19" t="n">
        <v>0.0116</v>
      </c>
      <c r="Q5" s="19" t="n">
        <v>0.0124</v>
      </c>
      <c r="R5" s="19" t="n">
        <v>0.0108</v>
      </c>
      <c r="S5" s="19" t="n">
        <v>0.0151</v>
      </c>
      <c r="T5" s="19" t="n">
        <v>0.0054</v>
      </c>
      <c r="U5" s="19" t="n">
        <v>0.0051</v>
      </c>
      <c r="V5" s="19" t="n">
        <v>0.005</v>
      </c>
      <c r="W5" s="19" t="n">
        <v>0.0019</v>
      </c>
      <c r="X5" s="19" t="n"/>
    </row>
    <row r="6">
      <c r="A6" s="21" t="inlineStr">
        <is>
          <t>slope_3yr</t>
        </is>
      </c>
      <c r="B6" s="19" t="n">
        <v>0.6336000000000001</v>
      </c>
      <c r="C6" s="19" t="n">
        <v>-0.0604</v>
      </c>
      <c r="D6" s="19" t="n">
        <v>-0.0563</v>
      </c>
      <c r="E6" s="19" t="n">
        <v>-0.0235</v>
      </c>
      <c r="F6" s="19" t="n">
        <v>0.0539</v>
      </c>
      <c r="G6" s="19" t="n">
        <v>-0.04</v>
      </c>
      <c r="H6" s="19" t="n">
        <v>0.0182</v>
      </c>
      <c r="I6" s="19" t="n">
        <v>0.0024</v>
      </c>
      <c r="J6" s="19" t="n">
        <v>0.0689</v>
      </c>
      <c r="K6" s="19" t="n">
        <v>-0.0111</v>
      </c>
      <c r="L6" s="19" t="n">
        <v>-0.0051</v>
      </c>
      <c r="M6" s="19" t="n">
        <v>0.021</v>
      </c>
      <c r="N6" s="19" t="n">
        <v>0.0016</v>
      </c>
      <c r="O6" s="19" t="n">
        <v>0.0027</v>
      </c>
      <c r="P6" s="19" t="n">
        <v>-0.0145</v>
      </c>
      <c r="Q6" s="19" t="n">
        <v>0.0075</v>
      </c>
      <c r="R6" s="19" t="n">
        <v>0.0002</v>
      </c>
      <c r="S6" s="19" t="n">
        <v>0.0028</v>
      </c>
      <c r="T6" s="19" t="n">
        <v>0</v>
      </c>
      <c r="U6" s="19" t="n">
        <v>-0.0051</v>
      </c>
      <c r="V6" s="19" t="n">
        <v>-0.0037</v>
      </c>
      <c r="W6" s="19" t="n">
        <v>0.0027</v>
      </c>
      <c r="X6" s="19" t="n"/>
    </row>
    <row r="7">
      <c r="A7" s="21" t="inlineStr">
        <is>
          <t>slope_5yr</t>
        </is>
      </c>
      <c r="B7" s="19" t="n">
        <v>0.1057</v>
      </c>
      <c r="C7" s="19" t="n">
        <v>-0.09320000000000001</v>
      </c>
      <c r="D7" s="19" t="n">
        <v>-0.0368</v>
      </c>
      <c r="E7" s="19" t="n">
        <v>0.0014</v>
      </c>
      <c r="F7" s="19" t="n">
        <v>0.0158</v>
      </c>
      <c r="G7" s="19" t="n">
        <v>0.0287</v>
      </c>
      <c r="H7" s="19" t="n">
        <v>0.0186</v>
      </c>
      <c r="I7" s="19" t="n">
        <v>-0.0028</v>
      </c>
      <c r="J7" s="19" t="n">
        <v>0.0317</v>
      </c>
      <c r="K7" s="19" t="n">
        <v>0.0009</v>
      </c>
      <c r="L7" s="19" t="n">
        <v>-0.0005</v>
      </c>
      <c r="M7" s="19" t="n">
        <v>0.0036</v>
      </c>
      <c r="N7" s="19" t="n">
        <v>-0.0052</v>
      </c>
      <c r="O7" s="19" t="n">
        <v>-0.0028</v>
      </c>
      <c r="P7" s="19" t="n">
        <v>-0.0022</v>
      </c>
      <c r="Q7" s="19" t="n">
        <v>0.004</v>
      </c>
      <c r="R7" s="19" t="n">
        <v>0.0012</v>
      </c>
      <c r="S7" s="19" t="n">
        <v>-0.0021</v>
      </c>
      <c r="T7" s="19" t="n">
        <v>-0.0012</v>
      </c>
      <c r="U7" s="19" t="n">
        <v>-0.0032</v>
      </c>
      <c r="V7" s="19" t="n">
        <v>-0.0037</v>
      </c>
      <c r="W7" s="19" t="n">
        <v>0.0027</v>
      </c>
      <c r="X7" s="19" t="n"/>
    </row>
    <row r="8">
      <c r="A8" s="21" t="inlineStr">
        <is>
          <t>slope_10yr</t>
        </is>
      </c>
      <c r="B8" s="19" t="n">
        <v>0.0629</v>
      </c>
      <c r="C8" s="19" t="n">
        <v>0.0049</v>
      </c>
      <c r="D8" s="19" t="n">
        <v>-0.01</v>
      </c>
      <c r="E8" s="19" t="n">
        <v>0.0019</v>
      </c>
      <c r="F8" s="19" t="n">
        <v>0.0148</v>
      </c>
      <c r="G8" s="19" t="n">
        <v>0.015</v>
      </c>
      <c r="H8" s="19" t="n">
        <v>0.0041</v>
      </c>
      <c r="I8" s="19" t="n">
        <v>-0.0045</v>
      </c>
      <c r="J8" s="19" t="n">
        <v>0.0037</v>
      </c>
      <c r="K8" s="19" t="n">
        <v>-0.0068</v>
      </c>
      <c r="L8" s="19" t="n">
        <v>-0.0001</v>
      </c>
      <c r="M8" s="19" t="n">
        <v>0.002</v>
      </c>
      <c r="N8" s="19" t="n">
        <v>-0.0015</v>
      </c>
      <c r="O8" s="19" t="n">
        <v>-0.0014</v>
      </c>
      <c r="P8" s="19" t="n">
        <v>-0.0019</v>
      </c>
      <c r="Q8" s="19" t="n">
        <v>-0.0013</v>
      </c>
      <c r="R8" s="19" t="n">
        <v>-0.0035</v>
      </c>
      <c r="S8" s="19" t="n">
        <v>-0.006</v>
      </c>
      <c r="T8" s="19" t="n">
        <v>-0.0012</v>
      </c>
      <c r="U8" s="19" t="n">
        <v>-0.0032</v>
      </c>
      <c r="V8" s="19" t="n">
        <v>-0.0037</v>
      </c>
      <c r="W8" s="19" t="n">
        <v>0.0027</v>
      </c>
      <c r="X8" s="19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3" t="inlineStr">
        <is>
          <t>Reported Count - CV &amp; Slopes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  <c r="O1" s="15" t="n"/>
      <c r="P1" s="15" t="n"/>
      <c r="Q1" s="15" t="n"/>
      <c r="R1" s="15" t="n"/>
      <c r="S1" s="15" t="n"/>
      <c r="T1" s="15" t="n"/>
      <c r="U1" s="15" t="n"/>
      <c r="V1" s="15" t="n"/>
      <c r="W1" s="15" t="n"/>
      <c r="X1" s="15" t="n"/>
      <c r="Y1" s="2" t="n"/>
    </row>
    <row r="2">
      <c r="A2" s="20" t="inlineStr">
        <is>
          <t>Metric</t>
        </is>
      </c>
      <c r="B2" s="8" t="inlineStr">
        <is>
          <t>11-23</t>
        </is>
      </c>
      <c r="C2" s="8" t="inlineStr">
        <is>
          <t>23-35</t>
        </is>
      </c>
      <c r="D2" s="8" t="inlineStr">
        <is>
          <t>35-47</t>
        </is>
      </c>
      <c r="E2" s="8" t="inlineStr">
        <is>
          <t>47-59</t>
        </is>
      </c>
      <c r="F2" s="8" t="inlineStr">
        <is>
          <t>59-71</t>
        </is>
      </c>
      <c r="G2" s="8" t="inlineStr">
        <is>
          <t>71-83</t>
        </is>
      </c>
      <c r="H2" s="8" t="inlineStr">
        <is>
          <t>83-95</t>
        </is>
      </c>
      <c r="I2" s="8" t="inlineStr">
        <is>
          <t>95-107</t>
        </is>
      </c>
      <c r="J2" s="8" t="inlineStr">
        <is>
          <t>107-119</t>
        </is>
      </c>
      <c r="K2" s="8" t="inlineStr">
        <is>
          <t>119-131</t>
        </is>
      </c>
      <c r="L2" s="8" t="inlineStr">
        <is>
          <t>131-143</t>
        </is>
      </c>
      <c r="M2" s="8" t="inlineStr">
        <is>
          <t>143-155</t>
        </is>
      </c>
      <c r="N2" s="8" t="inlineStr">
        <is>
          <t>155-167</t>
        </is>
      </c>
      <c r="O2" s="8" t="inlineStr">
        <is>
          <t>167-179</t>
        </is>
      </c>
      <c r="P2" s="8" t="inlineStr">
        <is>
          <t>179-191</t>
        </is>
      </c>
      <c r="Q2" s="8" t="inlineStr">
        <is>
          <t>191-203</t>
        </is>
      </c>
      <c r="R2" s="8" t="inlineStr">
        <is>
          <t>203-215</t>
        </is>
      </c>
      <c r="S2" s="8" t="inlineStr">
        <is>
          <t>215-227</t>
        </is>
      </c>
      <c r="T2" s="8" t="inlineStr">
        <is>
          <t>227-239</t>
        </is>
      </c>
      <c r="U2" s="8" t="inlineStr">
        <is>
          <t>239-251</t>
        </is>
      </c>
      <c r="V2" s="8" t="inlineStr">
        <is>
          <t>251-263</t>
        </is>
      </c>
      <c r="W2" s="8" t="inlineStr">
        <is>
          <t>263-275</t>
        </is>
      </c>
      <c r="X2" s="8" t="inlineStr">
        <is>
          <t>275-287</t>
        </is>
      </c>
      <c r="Y2" s="8" t="inlineStr">
        <is>
          <t>Tail</t>
        </is>
      </c>
    </row>
    <row r="3">
      <c r="A3" s="21" t="inlineStr">
        <is>
          <t>cv_3yr</t>
        </is>
      </c>
      <c r="B3" s="19" t="n">
        <v>0.013</v>
      </c>
      <c r="C3" s="19" t="n">
        <v>0</v>
      </c>
      <c r="D3" s="19" t="n">
        <v>0</v>
      </c>
      <c r="E3" s="19" t="n">
        <v>0.0024</v>
      </c>
      <c r="F3" s="19" t="n">
        <v>0.0021</v>
      </c>
      <c r="G3" s="19" t="n">
        <v>0</v>
      </c>
      <c r="H3" s="19" t="n">
        <v>0.0024</v>
      </c>
      <c r="I3" s="19" t="n">
        <v>0</v>
      </c>
      <c r="J3" s="19" t="n">
        <v>0.0068</v>
      </c>
      <c r="K3" s="19" t="n">
        <v>0</v>
      </c>
      <c r="L3" s="19" t="n">
        <v>0</v>
      </c>
      <c r="M3" s="19" t="n">
        <v>0</v>
      </c>
      <c r="N3" s="19" t="n">
        <v>0</v>
      </c>
      <c r="O3" s="19" t="n">
        <v>0</v>
      </c>
      <c r="P3" s="19" t="n">
        <v>0</v>
      </c>
      <c r="Q3" s="19" t="n">
        <v>0</v>
      </c>
      <c r="R3" s="19" t="n">
        <v>0</v>
      </c>
      <c r="S3" s="19" t="n">
        <v>0</v>
      </c>
      <c r="T3" s="19" t="n">
        <v>0</v>
      </c>
      <c r="U3" s="19" t="n">
        <v>0</v>
      </c>
      <c r="V3" s="19" t="n">
        <v>0</v>
      </c>
      <c r="W3" s="19" t="n">
        <v>0</v>
      </c>
      <c r="X3" s="19" t="n"/>
    </row>
    <row r="4">
      <c r="A4" s="21" t="inlineStr">
        <is>
          <t>cv_5yr</t>
        </is>
      </c>
      <c r="B4" s="19" t="n">
        <v>0.0316</v>
      </c>
      <c r="C4" s="19" t="n">
        <v>0</v>
      </c>
      <c r="D4" s="19" t="n">
        <v>0.0019</v>
      </c>
      <c r="E4" s="19" t="n">
        <v>0.0029</v>
      </c>
      <c r="F4" s="19" t="n">
        <v>0.0017</v>
      </c>
      <c r="G4" s="19" t="n">
        <v>0</v>
      </c>
      <c r="H4" s="19" t="n">
        <v>0.0019</v>
      </c>
      <c r="I4" s="19" t="n">
        <v>0</v>
      </c>
      <c r="J4" s="19" t="n">
        <v>0.0052</v>
      </c>
      <c r="K4" s="19" t="n">
        <v>0</v>
      </c>
      <c r="L4" s="19" t="n">
        <v>0</v>
      </c>
      <c r="M4" s="19" t="n">
        <v>0</v>
      </c>
      <c r="N4" s="19" t="n">
        <v>0</v>
      </c>
      <c r="O4" s="19" t="n">
        <v>0</v>
      </c>
      <c r="P4" s="19" t="n">
        <v>0</v>
      </c>
      <c r="Q4" s="19" t="n">
        <v>0</v>
      </c>
      <c r="R4" s="19" t="n">
        <v>0</v>
      </c>
      <c r="S4" s="19" t="n">
        <v>0</v>
      </c>
      <c r="T4" s="19" t="n">
        <v>0</v>
      </c>
      <c r="U4" s="19" t="n">
        <v>0</v>
      </c>
      <c r="V4" s="19" t="n">
        <v>0</v>
      </c>
      <c r="W4" s="19" t="n">
        <v>0</v>
      </c>
      <c r="X4" s="19" t="n"/>
    </row>
    <row r="5">
      <c r="A5" s="21" t="inlineStr">
        <is>
          <t>cv_10yr</t>
        </is>
      </c>
      <c r="B5" s="19" t="n">
        <v>0.0384</v>
      </c>
      <c r="C5" s="19" t="n">
        <v>0.0145</v>
      </c>
      <c r="D5" s="19" t="n">
        <v>0.0018</v>
      </c>
      <c r="E5" s="19" t="n">
        <v>0.002</v>
      </c>
      <c r="F5" s="19" t="n">
        <v>0.0012</v>
      </c>
      <c r="G5" s="19" t="n">
        <v>0</v>
      </c>
      <c r="H5" s="19" t="n">
        <v>0.0013</v>
      </c>
      <c r="I5" s="19" t="n">
        <v>0</v>
      </c>
      <c r="J5" s="19" t="n">
        <v>0.0037</v>
      </c>
      <c r="K5" s="19" t="n">
        <v>0</v>
      </c>
      <c r="L5" s="19" t="n">
        <v>0</v>
      </c>
      <c r="M5" s="19" t="n">
        <v>0</v>
      </c>
      <c r="N5" s="19" t="n">
        <v>0</v>
      </c>
      <c r="O5" s="19" t="n">
        <v>0</v>
      </c>
      <c r="P5" s="19" t="n">
        <v>0</v>
      </c>
      <c r="Q5" s="19" t="n">
        <v>0</v>
      </c>
      <c r="R5" s="19" t="n">
        <v>0</v>
      </c>
      <c r="S5" s="19" t="n">
        <v>0</v>
      </c>
      <c r="T5" s="19" t="n">
        <v>0</v>
      </c>
      <c r="U5" s="19" t="n">
        <v>0</v>
      </c>
      <c r="V5" s="19" t="n">
        <v>0</v>
      </c>
      <c r="W5" s="19" t="n">
        <v>0</v>
      </c>
      <c r="X5" s="19" t="n"/>
    </row>
    <row r="6">
      <c r="A6" s="21" t="inlineStr">
        <is>
          <t>slope_3yr</t>
        </is>
      </c>
      <c r="B6" s="19" t="n">
        <v>-0.0128</v>
      </c>
      <c r="C6" s="19" t="n">
        <v>0</v>
      </c>
      <c r="D6" s="19" t="n">
        <v>0</v>
      </c>
      <c r="E6" s="19" t="n">
        <v>-0.002</v>
      </c>
      <c r="F6" s="19" t="n">
        <v>-0.0018</v>
      </c>
      <c r="G6" s="19" t="n">
        <v>0</v>
      </c>
      <c r="H6" s="19" t="n">
        <v>-0.0021</v>
      </c>
      <c r="I6" s="19" t="n">
        <v>0</v>
      </c>
      <c r="J6" s="19" t="n">
        <v>-0.0058</v>
      </c>
      <c r="K6" s="19" t="n">
        <v>0</v>
      </c>
      <c r="L6" s="19" t="n">
        <v>0</v>
      </c>
      <c r="M6" s="19" t="n">
        <v>0</v>
      </c>
      <c r="N6" s="19" t="n">
        <v>0</v>
      </c>
      <c r="O6" s="19" t="n">
        <v>0</v>
      </c>
      <c r="P6" s="19" t="n">
        <v>0</v>
      </c>
      <c r="Q6" s="19" t="n">
        <v>0</v>
      </c>
      <c r="R6" s="19" t="n">
        <v>0</v>
      </c>
      <c r="S6" s="19" t="n">
        <v>0</v>
      </c>
      <c r="T6" s="19" t="n">
        <v>0</v>
      </c>
      <c r="U6" s="19" t="n">
        <v>0</v>
      </c>
      <c r="V6" s="19" t="n">
        <v>0</v>
      </c>
      <c r="W6" s="19" t="n">
        <v>0</v>
      </c>
      <c r="X6" s="19" t="n"/>
    </row>
    <row r="7">
      <c r="A7" s="21" t="inlineStr">
        <is>
          <t>slope_5yr</t>
        </is>
      </c>
      <c r="B7" s="19" t="n">
        <v>0.0027</v>
      </c>
      <c r="C7" s="19" t="n">
        <v>0</v>
      </c>
      <c r="D7" s="19" t="n">
        <v>-0.0008</v>
      </c>
      <c r="E7" s="19" t="n">
        <v>0.0004</v>
      </c>
      <c r="F7" s="19" t="n">
        <v>-0.0007</v>
      </c>
      <c r="G7" s="19" t="n">
        <v>0</v>
      </c>
      <c r="H7" s="19" t="n">
        <v>-0.0008</v>
      </c>
      <c r="I7" s="19" t="n">
        <v>0</v>
      </c>
      <c r="J7" s="19" t="n">
        <v>-0.0023</v>
      </c>
      <c r="K7" s="19" t="n">
        <v>0</v>
      </c>
      <c r="L7" s="19" t="n">
        <v>0</v>
      </c>
      <c r="M7" s="19" t="n">
        <v>0</v>
      </c>
      <c r="N7" s="19" t="n">
        <v>0</v>
      </c>
      <c r="O7" s="19" t="n">
        <v>0</v>
      </c>
      <c r="P7" s="19" t="n">
        <v>0</v>
      </c>
      <c r="Q7" s="19" t="n">
        <v>0</v>
      </c>
      <c r="R7" s="19" t="n">
        <v>0</v>
      </c>
      <c r="S7" s="19" t="n">
        <v>0</v>
      </c>
      <c r="T7" s="19" t="n">
        <v>0</v>
      </c>
      <c r="U7" s="19" t="n">
        <v>0</v>
      </c>
      <c r="V7" s="19" t="n">
        <v>0</v>
      </c>
      <c r="W7" s="19" t="n">
        <v>0</v>
      </c>
      <c r="X7" s="19" t="n"/>
    </row>
    <row r="8">
      <c r="A8" s="21" t="inlineStr">
        <is>
          <t>slope_10yr</t>
        </is>
      </c>
      <c r="B8" s="19" t="n">
        <v>0.009299999999999999</v>
      </c>
      <c r="C8" s="19" t="n">
        <v>-0.0015</v>
      </c>
      <c r="D8" s="19" t="n">
        <v>-0.0002</v>
      </c>
      <c r="E8" s="19" t="n">
        <v>0</v>
      </c>
      <c r="F8" s="19" t="n">
        <v>-0.0002</v>
      </c>
      <c r="G8" s="19" t="n">
        <v>0</v>
      </c>
      <c r="H8" s="19" t="n">
        <v>-0.0002</v>
      </c>
      <c r="I8" s="19" t="n">
        <v>0</v>
      </c>
      <c r="J8" s="19" t="n">
        <v>-0.0005999999999999999</v>
      </c>
      <c r="K8" s="19" t="n">
        <v>0</v>
      </c>
      <c r="L8" s="19" t="n">
        <v>0</v>
      </c>
      <c r="M8" s="19" t="n">
        <v>0</v>
      </c>
      <c r="N8" s="19" t="n">
        <v>0</v>
      </c>
      <c r="O8" s="19" t="n">
        <v>0</v>
      </c>
      <c r="P8" s="19" t="n">
        <v>0</v>
      </c>
      <c r="Q8" s="19" t="n">
        <v>0</v>
      </c>
      <c r="R8" s="19" t="n">
        <v>0</v>
      </c>
      <c r="S8" s="19" t="n">
        <v>0</v>
      </c>
      <c r="T8" s="19" t="n">
        <v>0</v>
      </c>
      <c r="U8" s="19" t="n">
        <v>0</v>
      </c>
      <c r="V8" s="19" t="n">
        <v>0</v>
      </c>
      <c r="W8" s="19" t="n">
        <v>0</v>
      </c>
      <c r="X8" s="19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20" customHeight="1">
      <c r="A1" s="1" t="inlineStr">
        <is>
          <t>Incurred-to-Ult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  <c r="O1" s="15" t="n"/>
      <c r="P1" s="15" t="n"/>
      <c r="Q1" s="15" t="n"/>
      <c r="R1" s="15" t="n"/>
      <c r="S1" s="15" t="n"/>
      <c r="T1" s="15" t="n"/>
      <c r="U1" s="15" t="n"/>
      <c r="V1" s="15" t="n"/>
      <c r="W1" s="15" t="n"/>
      <c r="X1" s="15" t="n"/>
      <c r="Y1" s="2" t="n"/>
    </row>
    <row r="2">
      <c r="A2" s="8" t="inlineStr">
        <is>
          <t>Period</t>
        </is>
      </c>
      <c r="B2" s="8" t="inlineStr">
        <is>
          <t>11</t>
        </is>
      </c>
      <c r="C2" s="8" t="inlineStr">
        <is>
          <t>23</t>
        </is>
      </c>
      <c r="D2" s="8" t="inlineStr">
        <is>
          <t>35</t>
        </is>
      </c>
      <c r="E2" s="8" t="inlineStr">
        <is>
          <t>47</t>
        </is>
      </c>
      <c r="F2" s="8" t="inlineStr">
        <is>
          <t>59</t>
        </is>
      </c>
      <c r="G2" s="8" t="inlineStr">
        <is>
          <t>71</t>
        </is>
      </c>
      <c r="H2" s="8" t="inlineStr">
        <is>
          <t>83</t>
        </is>
      </c>
      <c r="I2" s="8" t="inlineStr">
        <is>
          <t>95</t>
        </is>
      </c>
      <c r="J2" s="8" t="inlineStr">
        <is>
          <t>107</t>
        </is>
      </c>
      <c r="K2" s="8" t="inlineStr">
        <is>
          <t>119</t>
        </is>
      </c>
      <c r="L2" s="8" t="inlineStr">
        <is>
          <t>131</t>
        </is>
      </c>
      <c r="M2" s="8" t="inlineStr">
        <is>
          <t>143</t>
        </is>
      </c>
      <c r="N2" s="8" t="inlineStr">
        <is>
          <t>155</t>
        </is>
      </c>
      <c r="O2" s="8" t="inlineStr">
        <is>
          <t>167</t>
        </is>
      </c>
      <c r="P2" s="8" t="inlineStr">
        <is>
          <t>179</t>
        </is>
      </c>
      <c r="Q2" s="8" t="inlineStr">
        <is>
          <t>191</t>
        </is>
      </c>
      <c r="R2" s="8" t="inlineStr">
        <is>
          <t>203</t>
        </is>
      </c>
      <c r="S2" s="8" t="inlineStr">
        <is>
          <t>215</t>
        </is>
      </c>
      <c r="T2" s="8" t="inlineStr">
        <is>
          <t>227</t>
        </is>
      </c>
      <c r="U2" s="8" t="inlineStr">
        <is>
          <t>239</t>
        </is>
      </c>
      <c r="V2" s="8" t="inlineStr">
        <is>
          <t>251</t>
        </is>
      </c>
      <c r="W2" s="8" t="inlineStr">
        <is>
          <t>263</t>
        </is>
      </c>
      <c r="X2" s="8" t="inlineStr">
        <is>
          <t>275</t>
        </is>
      </c>
      <c r="Y2" s="8" t="inlineStr">
        <is>
          <t>287</t>
        </is>
      </c>
    </row>
    <row r="3">
      <c r="A3" s="9" t="n">
        <v>2001</v>
      </c>
      <c r="B3" s="13" t="n">
        <v>0.1857570466659403</v>
      </c>
      <c r="C3" s="13" t="n">
        <v>0.5089466642511196</v>
      </c>
      <c r="D3" s="13" t="n">
        <v>0.6228514869267098</v>
      </c>
      <c r="E3" s="13" t="n">
        <v>0.6854393413970923</v>
      </c>
      <c r="F3" s="13" t="n">
        <v>0.7369191986662413</v>
      </c>
      <c r="G3" s="13" t="n">
        <v>0.7867919371260366</v>
      </c>
      <c r="H3" s="13" t="n">
        <v>0.7849404976827654</v>
      </c>
      <c r="I3" s="13" t="n">
        <v>0.7922607970262565</v>
      </c>
      <c r="J3" s="13" t="n">
        <v>0.7980288845690027</v>
      </c>
      <c r="K3" s="13" t="n">
        <v>0.8047498472118162</v>
      </c>
      <c r="L3" s="13" t="n">
        <v>0.8220056233393775</v>
      </c>
      <c r="M3" s="13" t="n">
        <v>0.8391052981674394</v>
      </c>
      <c r="N3" s="13" t="n">
        <v>0.8381981745872149</v>
      </c>
      <c r="O3" s="13" t="n">
        <v>0.8573692798288299</v>
      </c>
      <c r="P3" s="13" t="n">
        <v>0.8719805887289566</v>
      </c>
      <c r="Q3" s="13" t="n">
        <v>0.9183465071100197</v>
      </c>
      <c r="R3" s="13" t="n">
        <v>0.9400418614009503</v>
      </c>
      <c r="S3" s="13" t="n">
        <v>0.9691042862321138</v>
      </c>
      <c r="T3" s="13" t="n">
        <v>0.9865222428345847</v>
      </c>
      <c r="U3" s="13" t="n">
        <v>0.9865222428345847</v>
      </c>
      <c r="V3" s="13" t="n">
        <v>1.00963779965383</v>
      </c>
      <c r="W3" s="13" t="n">
        <v>1.023679960338419</v>
      </c>
      <c r="X3" s="13" t="n">
        <v>1.023679960338419</v>
      </c>
      <c r="Y3" s="13" t="n">
        <v>1.035890098647464</v>
      </c>
    </row>
    <row r="4">
      <c r="A4" s="9" t="n">
        <v>2002</v>
      </c>
      <c r="B4" s="13" t="n">
        <v>0.4185415981860244</v>
      </c>
      <c r="C4" s="13" t="n">
        <v>0.5986942368377092</v>
      </c>
      <c r="D4" s="13" t="n">
        <v>0.6057379785711167</v>
      </c>
      <c r="E4" s="13" t="n">
        <v>0.7236636562166979</v>
      </c>
      <c r="F4" s="13" t="n">
        <v>0.7332050303131679</v>
      </c>
      <c r="G4" s="13" t="n">
        <v>0.7791702578213545</v>
      </c>
      <c r="H4" s="13" t="n">
        <v>0.793969663390622</v>
      </c>
      <c r="I4" s="13" t="n">
        <v>0.794134521353359</v>
      </c>
      <c r="J4" s="13" t="n">
        <v>0.8115344504171537</v>
      </c>
      <c r="K4" s="13" t="n">
        <v>0.8193548609603866</v>
      </c>
      <c r="L4" s="13" t="n">
        <v>0.8277569620657664</v>
      </c>
      <c r="M4" s="13" t="n">
        <v>0.8558327761167349</v>
      </c>
      <c r="N4" s="13" t="n">
        <v>0.856967679880721</v>
      </c>
      <c r="O4" s="13" t="n">
        <v>0.8913366155443829</v>
      </c>
      <c r="P4" s="13" t="n">
        <v>0.9148346046364357</v>
      </c>
      <c r="Q4" s="13" t="n">
        <v>0.9282976576901396</v>
      </c>
      <c r="R4" s="13" t="n">
        <v>0.9774037642236499</v>
      </c>
      <c r="S4" s="13" t="n">
        <v>0.9785138991130033</v>
      </c>
      <c r="T4" s="13" t="n">
        <v>0.9785138991130033</v>
      </c>
      <c r="U4" s="13" t="n">
        <v>1.019963506598566</v>
      </c>
      <c r="V4" s="13" t="n">
        <v>1.013631907214754</v>
      </c>
      <c r="W4" s="13" t="n">
        <v>1.050024801021336</v>
      </c>
      <c r="X4" s="13" t="n">
        <v>1.050024801021336</v>
      </c>
      <c r="Y4" s="5" t="n"/>
    </row>
    <row r="5">
      <c r="A5" s="9" t="n">
        <v>2003</v>
      </c>
      <c r="B5" s="13" t="n">
        <v>0.5590161364253583</v>
      </c>
      <c r="C5" s="13" t="n">
        <v>0.8078689808241977</v>
      </c>
      <c r="D5" s="13" t="n">
        <v>0.87445970862627</v>
      </c>
      <c r="E5" s="13" t="n">
        <v>1.039501585501304</v>
      </c>
      <c r="F5" s="13" t="n">
        <v>0.9435238073621831</v>
      </c>
      <c r="G5" s="13" t="n">
        <v>1.007541792646288</v>
      </c>
      <c r="H5" s="13" t="n">
        <v>1.004756662277597</v>
      </c>
      <c r="I5" s="13" t="n">
        <v>0.9971719070514818</v>
      </c>
      <c r="J5" s="13" t="n">
        <v>0.9953107635923666</v>
      </c>
      <c r="K5" s="13" t="n">
        <v>0.997495593707432</v>
      </c>
      <c r="L5" s="13" t="n">
        <v>0.9954121084299836</v>
      </c>
      <c r="M5" s="13" t="n">
        <v>0.9877118228661562</v>
      </c>
      <c r="N5" s="13" t="n">
        <v>0.982678045902839</v>
      </c>
      <c r="O5" s="13" t="n">
        <v>0.9826779947444151</v>
      </c>
      <c r="P5" s="13" t="n">
        <v>0.9826779947444151</v>
      </c>
      <c r="Q5" s="13" t="n">
        <v>0.9826779947444151</v>
      </c>
      <c r="R5" s="13" t="n">
        <v>0.9847612096130512</v>
      </c>
      <c r="S5" s="13" t="n">
        <v>0.9847612096130514</v>
      </c>
      <c r="T5" s="13" t="n">
        <v>0.9847612096130514</v>
      </c>
      <c r="U5" s="13" t="n">
        <v>0.9847612096130514</v>
      </c>
      <c r="V5" s="13" t="n">
        <v>0.9847612096130514</v>
      </c>
      <c r="W5" s="13" t="n">
        <v>0.9847612096130514</v>
      </c>
      <c r="X5" s="5" t="n"/>
      <c r="Y5" s="5" t="n"/>
    </row>
    <row r="6">
      <c r="A6" s="9" t="n">
        <v>2004</v>
      </c>
      <c r="B6" s="13" t="n">
        <v>0.6166591040710637</v>
      </c>
      <c r="C6" s="13" t="n">
        <v>0.7039621982563257</v>
      </c>
      <c r="D6" s="13" t="n">
        <v>0.7772862082029728</v>
      </c>
      <c r="E6" s="13" t="n">
        <v>0.8141147623882773</v>
      </c>
      <c r="F6" s="13" t="n">
        <v>0.92032976705803</v>
      </c>
      <c r="G6" s="13" t="n">
        <v>0.9254379821699843</v>
      </c>
      <c r="H6" s="13" t="n">
        <v>0.9425176211233804</v>
      </c>
      <c r="I6" s="13" t="n">
        <v>0.9497598070023928</v>
      </c>
      <c r="J6" s="13" t="n">
        <v>0.9723190876793925</v>
      </c>
      <c r="K6" s="13" t="n">
        <v>0.9636420003449153</v>
      </c>
      <c r="L6" s="13" t="n">
        <v>0.9858814881189691</v>
      </c>
      <c r="M6" s="13" t="n">
        <v>0.9747410608225486</v>
      </c>
      <c r="N6" s="13" t="n">
        <v>0.9751335506724783</v>
      </c>
      <c r="O6" s="13" t="n">
        <v>0.9754166958428091</v>
      </c>
      <c r="P6" s="13" t="n">
        <v>0.9754161548743941</v>
      </c>
      <c r="Q6" s="13" t="n">
        <v>0.9791505289019653</v>
      </c>
      <c r="R6" s="13" t="n">
        <v>0.9791505289019653</v>
      </c>
      <c r="S6" s="13" t="n">
        <v>0.9791505289019653</v>
      </c>
      <c r="T6" s="13" t="n">
        <v>0.9791505289019653</v>
      </c>
      <c r="U6" s="13" t="n">
        <v>0.979179879315963</v>
      </c>
      <c r="V6" s="13" t="n">
        <v>0.979179879315963</v>
      </c>
      <c r="W6" s="5" t="n"/>
      <c r="X6" s="5" t="n"/>
      <c r="Y6" s="5" t="n"/>
    </row>
    <row r="7">
      <c r="A7" s="9" t="n">
        <v>2005</v>
      </c>
      <c r="B7" s="13" t="n">
        <v>0.5433680725292799</v>
      </c>
      <c r="C7" s="13" t="n">
        <v>0.7079537529415154</v>
      </c>
      <c r="D7" s="13" t="n">
        <v>0.7736897381191239</v>
      </c>
      <c r="E7" s="13" t="n">
        <v>0.754720875141134</v>
      </c>
      <c r="F7" s="13" t="n">
        <v>0.7827666964834865</v>
      </c>
      <c r="G7" s="13" t="n">
        <v>0.795547384302896</v>
      </c>
      <c r="H7" s="13" t="n">
        <v>0.8117373858566601</v>
      </c>
      <c r="I7" s="13" t="n">
        <v>0.816322251020833</v>
      </c>
      <c r="J7" s="13" t="n">
        <v>0.8268650569073965</v>
      </c>
      <c r="K7" s="13" t="n">
        <v>0.8494404307024386</v>
      </c>
      <c r="L7" s="13" t="n">
        <v>0.8593963502088952</v>
      </c>
      <c r="M7" s="13" t="n">
        <v>0.9620152586282331</v>
      </c>
      <c r="N7" s="13" t="n">
        <v>0.9620204225077301</v>
      </c>
      <c r="O7" s="13" t="n">
        <v>0.9442802415419375</v>
      </c>
      <c r="P7" s="13" t="n">
        <v>0.9536796956561674</v>
      </c>
      <c r="Q7" s="13" t="n">
        <v>0.960348995205115</v>
      </c>
      <c r="R7" s="13" t="n">
        <v>0.9748903651154209</v>
      </c>
      <c r="S7" s="13" t="n">
        <v>0.9748903651154209</v>
      </c>
      <c r="T7" s="13" t="n">
        <v>0.9748903651154209</v>
      </c>
      <c r="U7" s="13" t="n">
        <v>0.9748903651154209</v>
      </c>
      <c r="V7" s="5" t="n"/>
      <c r="W7" s="5" t="n"/>
      <c r="X7" s="5" t="n"/>
      <c r="Y7" s="5" t="n"/>
    </row>
    <row r="8">
      <c r="A8" s="9" t="n">
        <v>2006</v>
      </c>
      <c r="B8" s="13" t="n">
        <v>0.5095020223274047</v>
      </c>
      <c r="C8" s="13" t="n">
        <v>0.7703205778549993</v>
      </c>
      <c r="D8" s="13" t="n">
        <v>0.6695736990074079</v>
      </c>
      <c r="E8" s="13" t="n">
        <v>0.7160677522739641</v>
      </c>
      <c r="F8" s="13" t="n">
        <v>0.7225226274160079</v>
      </c>
      <c r="G8" s="13" t="n">
        <v>0.7589685068043669</v>
      </c>
      <c r="H8" s="13" t="n">
        <v>0.7924146002501971</v>
      </c>
      <c r="I8" s="13" t="n">
        <v>0.7778223116790097</v>
      </c>
      <c r="J8" s="13" t="n">
        <v>0.7980838244837292</v>
      </c>
      <c r="K8" s="13" t="n">
        <v>0.8277009800964547</v>
      </c>
      <c r="L8" s="13" t="n">
        <v>0.8965354033293562</v>
      </c>
      <c r="M8" s="13" t="n">
        <v>0.950430627314292</v>
      </c>
      <c r="N8" s="13" t="n">
        <v>0.9765826435611459</v>
      </c>
      <c r="O8" s="13" t="n">
        <v>0.9870986987647915</v>
      </c>
      <c r="P8" s="13" t="n">
        <v>0.9876692322260828</v>
      </c>
      <c r="Q8" s="13" t="n">
        <v>0.9990799014519088</v>
      </c>
      <c r="R8" s="13" t="n">
        <v>1.002152004705016</v>
      </c>
      <c r="S8" s="13" t="n">
        <v>1.009469737099041</v>
      </c>
      <c r="T8" s="13" t="n">
        <v>1.009469737099041</v>
      </c>
      <c r="U8" s="5" t="n"/>
      <c r="V8" s="5" t="n"/>
      <c r="W8" s="5" t="n"/>
      <c r="X8" s="5" t="n"/>
      <c r="Y8" s="5" t="n"/>
    </row>
    <row r="9">
      <c r="A9" s="9" t="n">
        <v>2007</v>
      </c>
      <c r="B9" s="13" t="n">
        <v>0.3486226570562808</v>
      </c>
      <c r="C9" s="13" t="n">
        <v>0.3795714848345818</v>
      </c>
      <c r="D9" s="13" t="n">
        <v>0.4133984946911125</v>
      </c>
      <c r="E9" s="13" t="n">
        <v>0.4631901105058159</v>
      </c>
      <c r="F9" s="13" t="n">
        <v>0.5163050246757919</v>
      </c>
      <c r="G9" s="13" t="n">
        <v>0.6163406840445496</v>
      </c>
      <c r="H9" s="13" t="n">
        <v>0.6555479512082156</v>
      </c>
      <c r="I9" s="13" t="n">
        <v>0.7273456868350155</v>
      </c>
      <c r="J9" s="13" t="n">
        <v>0.7794514965040604</v>
      </c>
      <c r="K9" s="13" t="n">
        <v>0.8586718974862132</v>
      </c>
      <c r="L9" s="13" t="n">
        <v>0.8850187692522969</v>
      </c>
      <c r="M9" s="13" t="n">
        <v>0.9105890068755761</v>
      </c>
      <c r="N9" s="13" t="n">
        <v>0.9252628849955031</v>
      </c>
      <c r="O9" s="13" t="n">
        <v>0.9261260029876174</v>
      </c>
      <c r="P9" s="13" t="n">
        <v>0.9665275112275393</v>
      </c>
      <c r="Q9" s="13" t="n">
        <v>0.9665275112275393</v>
      </c>
      <c r="R9" s="13" t="n">
        <v>0.9699991994581151</v>
      </c>
      <c r="S9" s="13" t="n">
        <v>0.9724514175027802</v>
      </c>
      <c r="T9" s="5" t="n"/>
      <c r="U9" s="5" t="n"/>
      <c r="V9" s="5" t="n"/>
      <c r="W9" s="5" t="n"/>
      <c r="X9" s="5" t="n"/>
      <c r="Y9" s="5" t="n"/>
    </row>
    <row r="10">
      <c r="A10" s="9" t="n">
        <v>2008</v>
      </c>
      <c r="B10" s="13" t="n">
        <v>0.3899597711723594</v>
      </c>
      <c r="C10" s="13" t="n">
        <v>0.5403510271358093</v>
      </c>
      <c r="D10" s="13" t="n">
        <v>0.6540761388229395</v>
      </c>
      <c r="E10" s="13" t="n">
        <v>0.9098010229881057</v>
      </c>
      <c r="F10" s="13" t="n">
        <v>0.8818428938564311</v>
      </c>
      <c r="G10" s="13" t="n">
        <v>0.8966997274809705</v>
      </c>
      <c r="H10" s="13" t="n">
        <v>0.9015561788845355</v>
      </c>
      <c r="I10" s="13" t="n">
        <v>0.9134225736001528</v>
      </c>
      <c r="J10" s="13" t="n">
        <v>0.9186429133953223</v>
      </c>
      <c r="K10" s="13" t="n">
        <v>0.9504912408522806</v>
      </c>
      <c r="L10" s="13" t="n">
        <v>0.955168347130707</v>
      </c>
      <c r="M10" s="13" t="n">
        <v>0.9553260487492522</v>
      </c>
      <c r="N10" s="13" t="n">
        <v>0.9414143149125768</v>
      </c>
      <c r="O10" s="13" t="n">
        <v>0.9416455489573664</v>
      </c>
      <c r="P10" s="13" t="n">
        <v>0.9416455489573664</v>
      </c>
      <c r="Q10" s="13" t="n">
        <v>0.946270229853158</v>
      </c>
      <c r="R10" s="13" t="n">
        <v>0.9661699542668953</v>
      </c>
      <c r="S10" s="5" t="n"/>
      <c r="T10" s="5" t="n"/>
      <c r="U10" s="5" t="n"/>
      <c r="V10" s="5" t="n"/>
      <c r="W10" s="5" t="n"/>
      <c r="X10" s="5" t="n"/>
      <c r="Y10" s="5" t="n"/>
    </row>
    <row r="11">
      <c r="A11" s="9" t="n">
        <v>2009</v>
      </c>
      <c r="B11" s="13" t="n">
        <v>0.2916047574887128</v>
      </c>
      <c r="C11" s="13" t="n">
        <v>0.711748330984284</v>
      </c>
      <c r="D11" s="13" t="n">
        <v>0.6707196064054665</v>
      </c>
      <c r="E11" s="13" t="n">
        <v>0.6874532386222002</v>
      </c>
      <c r="F11" s="13" t="n">
        <v>0.7331395347708478</v>
      </c>
      <c r="G11" s="13" t="n">
        <v>0.7707676211235781</v>
      </c>
      <c r="H11" s="13" t="n">
        <v>0.7988145145758048</v>
      </c>
      <c r="I11" s="13" t="n">
        <v>0.9138975054777186</v>
      </c>
      <c r="J11" s="13" t="n">
        <v>0.9139028876140037</v>
      </c>
      <c r="K11" s="13" t="n">
        <v>0.9139042762051653</v>
      </c>
      <c r="L11" s="13" t="n">
        <v>0.9139042762051656</v>
      </c>
      <c r="M11" s="13" t="n">
        <v>0.92628318966083</v>
      </c>
      <c r="N11" s="13" t="n">
        <v>0.9540534736008217</v>
      </c>
      <c r="O11" s="13" t="n">
        <v>0.9540534736008217</v>
      </c>
      <c r="P11" s="13" t="n">
        <v>0.9540534736008217</v>
      </c>
      <c r="Q11" s="13" t="n">
        <v>0.9540534736008217</v>
      </c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9" t="n">
        <v>2010</v>
      </c>
      <c r="B12" s="13" t="n">
        <v>0.2662828494314295</v>
      </c>
      <c r="C12" s="13" t="n">
        <v>0.5403534322477168</v>
      </c>
      <c r="D12" s="13" t="n">
        <v>0.7036092820631011</v>
      </c>
      <c r="E12" s="13" t="n">
        <v>0.8175211989637828</v>
      </c>
      <c r="F12" s="13" t="n">
        <v>0.914297857636057</v>
      </c>
      <c r="G12" s="13" t="n">
        <v>0.9044713549328008</v>
      </c>
      <c r="H12" s="13" t="n">
        <v>0.9403185670306586</v>
      </c>
      <c r="I12" s="13" t="n">
        <v>0.9414253420182427</v>
      </c>
      <c r="J12" s="13" t="n">
        <v>0.9369568502449585</v>
      </c>
      <c r="K12" s="13" t="n">
        <v>0.937548155029992</v>
      </c>
      <c r="L12" s="13" t="n">
        <v>0.9382840530376096</v>
      </c>
      <c r="M12" s="13" t="n">
        <v>0.9383387085925521</v>
      </c>
      <c r="N12" s="13" t="n">
        <v>0.9395586986582311</v>
      </c>
      <c r="O12" s="13" t="n">
        <v>0.9393585226882544</v>
      </c>
      <c r="P12" s="13" t="n">
        <v>0.9449816520993792</v>
      </c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9" t="n">
        <v>2011</v>
      </c>
      <c r="B13" s="13" t="n">
        <v>0.2248788849309709</v>
      </c>
      <c r="C13" s="13" t="n">
        <v>0.4392703394217649</v>
      </c>
      <c r="D13" s="13" t="n">
        <v>0.6478302543491451</v>
      </c>
      <c r="E13" s="13" t="n">
        <v>0.7480425308836968</v>
      </c>
      <c r="F13" s="13" t="n">
        <v>0.7981571099637211</v>
      </c>
      <c r="G13" s="13" t="n">
        <v>0.8620308281762689</v>
      </c>
      <c r="H13" s="13" t="n">
        <v>0.9096751803672475</v>
      </c>
      <c r="I13" s="13" t="n">
        <v>0.9097322759461636</v>
      </c>
      <c r="J13" s="13" t="n">
        <v>0.9222755262959522</v>
      </c>
      <c r="K13" s="13" t="n">
        <v>0.9258152430474349</v>
      </c>
      <c r="L13" s="13" t="n">
        <v>0.951914085745205</v>
      </c>
      <c r="M13" s="13" t="n">
        <v>0.9489897999905896</v>
      </c>
      <c r="N13" s="13" t="n">
        <v>0.9489897999905896</v>
      </c>
      <c r="O13" s="13" t="n">
        <v>0.9489897999905896</v>
      </c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9" t="n">
        <v>2012</v>
      </c>
      <c r="B14" s="13" t="n">
        <v>0.261866175521268</v>
      </c>
      <c r="C14" s="13" t="n">
        <v>0.5320870628769037</v>
      </c>
      <c r="D14" s="13" t="n">
        <v>0.6954345453353478</v>
      </c>
      <c r="E14" s="13" t="n">
        <v>0.7557684621513733</v>
      </c>
      <c r="F14" s="13" t="n">
        <v>0.7534063513491316</v>
      </c>
      <c r="G14" s="13" t="n">
        <v>0.7600050354456377</v>
      </c>
      <c r="H14" s="13" t="n">
        <v>0.7630496892751611</v>
      </c>
      <c r="I14" s="13" t="n">
        <v>0.802387681760053</v>
      </c>
      <c r="J14" s="13" t="n">
        <v>0.8472180139535972</v>
      </c>
      <c r="K14" s="13" t="n">
        <v>0.8951266106734894</v>
      </c>
      <c r="L14" s="13" t="n">
        <v>0.9018137710456894</v>
      </c>
      <c r="M14" s="13" t="n">
        <v>1.063217007921642</v>
      </c>
      <c r="N14" s="13" t="n">
        <v>1.063217007921642</v>
      </c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9" t="n">
        <v>2013</v>
      </c>
      <c r="B15" s="13" t="n">
        <v>0.3595259961798594</v>
      </c>
      <c r="C15" s="13" t="n">
        <v>0.6565273684723221</v>
      </c>
      <c r="D15" s="13" t="n">
        <v>0.7138061674028106</v>
      </c>
      <c r="E15" s="13" t="n">
        <v>0.8605651750679665</v>
      </c>
      <c r="F15" s="13" t="n">
        <v>0.9128619361824454</v>
      </c>
      <c r="G15" s="13" t="n">
        <v>0.9104895347940429</v>
      </c>
      <c r="H15" s="13" t="n">
        <v>0.9109384387002708</v>
      </c>
      <c r="I15" s="13" t="n">
        <v>0.910938438700271</v>
      </c>
      <c r="J15" s="13" t="n">
        <v>0.9126976429283669</v>
      </c>
      <c r="K15" s="13" t="n">
        <v>0.9126976429283669</v>
      </c>
      <c r="L15" s="13" t="n">
        <v>0.9127120918953577</v>
      </c>
      <c r="M15" s="13" t="n">
        <v>0.9127120918953577</v>
      </c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9" t="n">
        <v>2014</v>
      </c>
      <c r="B16" s="13" t="n">
        <v>0.3733141984656617</v>
      </c>
      <c r="C16" s="13" t="n">
        <v>0.5100375205143454</v>
      </c>
      <c r="D16" s="13" t="n">
        <v>0.7199441003356161</v>
      </c>
      <c r="E16" s="13" t="n">
        <v>0.8324484637078903</v>
      </c>
      <c r="F16" s="13" t="n">
        <v>0.8443498889532218</v>
      </c>
      <c r="G16" s="13" t="n">
        <v>0.8734455811566821</v>
      </c>
      <c r="H16" s="13" t="n">
        <v>0.8484377639951279</v>
      </c>
      <c r="I16" s="13" t="n">
        <v>0.8484377639951279</v>
      </c>
      <c r="J16" s="13" t="n">
        <v>0.8832941040004422</v>
      </c>
      <c r="K16" s="13" t="n">
        <v>0.9015156893170835</v>
      </c>
      <c r="L16" s="13" t="n">
        <v>0.8952546319959486</v>
      </c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9" t="n">
        <v>2015</v>
      </c>
      <c r="B17" s="13" t="n">
        <v>0.1419639392419968</v>
      </c>
      <c r="C17" s="13" t="n">
        <v>0.2818987777166058</v>
      </c>
      <c r="D17" s="13" t="n">
        <v>0.4236231800114573</v>
      </c>
      <c r="E17" s="13" t="n">
        <v>0.5627783117965416</v>
      </c>
      <c r="F17" s="13" t="n">
        <v>0.6223908238584476</v>
      </c>
      <c r="G17" s="13" t="n">
        <v>0.7071643072934199</v>
      </c>
      <c r="H17" s="13" t="n">
        <v>0.8061212573170579</v>
      </c>
      <c r="I17" s="13" t="n">
        <v>0.8115874347446468</v>
      </c>
      <c r="J17" s="13" t="n">
        <v>0.8142664848980249</v>
      </c>
      <c r="K17" s="13" t="n">
        <v>0.8925633418956059</v>
      </c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9" t="n">
        <v>2016</v>
      </c>
      <c r="B18" s="13" t="n">
        <v>0.2378884718235429</v>
      </c>
      <c r="C18" s="13" t="n">
        <v>0.4447723013311407</v>
      </c>
      <c r="D18" s="13" t="n">
        <v>0.599551294073546</v>
      </c>
      <c r="E18" s="13" t="n">
        <v>0.6517073260152175</v>
      </c>
      <c r="F18" s="13" t="n">
        <v>0.7444511786675212</v>
      </c>
      <c r="G18" s="13" t="n">
        <v>0.7679707091900128</v>
      </c>
      <c r="H18" s="13" t="n">
        <v>0.8659214768722737</v>
      </c>
      <c r="I18" s="13" t="n">
        <v>0.8657153999703939</v>
      </c>
      <c r="J18" s="13" t="n">
        <v>0.8668564175437006</v>
      </c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9" t="n">
        <v>2017</v>
      </c>
      <c r="B19" s="13" t="n">
        <v>0.3216285926872306</v>
      </c>
      <c r="C19" s="13" t="n">
        <v>0.4286778962471282</v>
      </c>
      <c r="D19" s="13" t="n">
        <v>0.4434069155348723</v>
      </c>
      <c r="E19" s="13" t="n">
        <v>0.5805920314448964</v>
      </c>
      <c r="F19" s="13" t="n">
        <v>0.6241793131996181</v>
      </c>
      <c r="G19" s="13" t="n">
        <v>0.7070176002326246</v>
      </c>
      <c r="H19" s="13" t="n">
        <v>0.8149723961602282</v>
      </c>
      <c r="I19" s="13" t="n">
        <v>0.840669765947298</v>
      </c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9" t="n">
        <v>2018</v>
      </c>
      <c r="B20" s="13" t="n">
        <v>0.1728970958172686</v>
      </c>
      <c r="C20" s="13" t="n">
        <v>0.397562958622069</v>
      </c>
      <c r="D20" s="13" t="n">
        <v>0.5680116666303444</v>
      </c>
      <c r="E20" s="13" t="n">
        <v>0.7885514662183255</v>
      </c>
      <c r="F20" s="13" t="n">
        <v>0.784024165269375</v>
      </c>
      <c r="G20" s="13" t="n">
        <v>0.7942884673776817</v>
      </c>
      <c r="H20" s="13" t="n">
        <v>0.8153135176708114</v>
      </c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9" t="n">
        <v>2019</v>
      </c>
      <c r="B21" s="13" t="n">
        <v>0.123809771201761</v>
      </c>
      <c r="C21" s="13" t="n">
        <v>0.3413392514336393</v>
      </c>
      <c r="D21" s="13" t="n">
        <v>0.528139057894346</v>
      </c>
      <c r="E21" s="13" t="n">
        <v>0.6072082552455396</v>
      </c>
      <c r="F21" s="13" t="n">
        <v>0.6456991724378037</v>
      </c>
      <c r="G21" s="13" t="n">
        <v>0.7891130187384267</v>
      </c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9" t="n">
        <v>2020</v>
      </c>
      <c r="B22" s="13" t="n">
        <v>0.3475191067042278</v>
      </c>
      <c r="C22" s="13" t="n">
        <v>0.6202965608207021</v>
      </c>
      <c r="D22" s="13" t="n">
        <v>0.6098971843471438</v>
      </c>
      <c r="E22" s="13" t="n">
        <v>0.645292239431177</v>
      </c>
      <c r="F22" s="13" t="n">
        <v>0.6515697887391897</v>
      </c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9" t="n">
        <v>2021</v>
      </c>
      <c r="B23" s="13" t="n">
        <v>0.3351597870205742</v>
      </c>
      <c r="C23" s="13" t="n">
        <v>0.4885572890524296</v>
      </c>
      <c r="D23" s="13" t="n">
        <v>0.5979771396820911</v>
      </c>
      <c r="E23" s="13" t="n">
        <v>0.6168844916409071</v>
      </c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9" t="n">
        <v>2022</v>
      </c>
      <c r="B24" s="13" t="n">
        <v>0.4444556427137239</v>
      </c>
      <c r="C24" s="13" t="n">
        <v>0.5449333796312897</v>
      </c>
      <c r="D24" s="13" t="n">
        <v>0.5294235226546312</v>
      </c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9" t="n">
        <v>2023</v>
      </c>
      <c r="B25" s="13" t="n">
        <v>0.2893269140536242</v>
      </c>
      <c r="C25" s="13" t="n">
        <v>0.4901512954215368</v>
      </c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9" t="n">
        <v>2024</v>
      </c>
      <c r="B26" s="13" t="n">
        <v>0.3450636500322232</v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</sheetData>
  <mergeCells count="1">
    <mergeCell ref="A1:Y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20" customHeight="1">
      <c r="A1" s="1" t="inlineStr">
        <is>
          <t>Paid-to-Ult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  <c r="O1" s="15" t="n"/>
      <c r="P1" s="15" t="n"/>
      <c r="Q1" s="15" t="n"/>
      <c r="R1" s="15" t="n"/>
      <c r="S1" s="15" t="n"/>
      <c r="T1" s="15" t="n"/>
      <c r="U1" s="15" t="n"/>
      <c r="V1" s="15" t="n"/>
      <c r="W1" s="15" t="n"/>
      <c r="X1" s="15" t="n"/>
      <c r="Y1" s="2" t="n"/>
    </row>
    <row r="2">
      <c r="A2" s="8" t="inlineStr">
        <is>
          <t>Period</t>
        </is>
      </c>
      <c r="B2" s="8" t="inlineStr">
        <is>
          <t>11</t>
        </is>
      </c>
      <c r="C2" s="8" t="inlineStr">
        <is>
          <t>23</t>
        </is>
      </c>
      <c r="D2" s="8" t="inlineStr">
        <is>
          <t>35</t>
        </is>
      </c>
      <c r="E2" s="8" t="inlineStr">
        <is>
          <t>47</t>
        </is>
      </c>
      <c r="F2" s="8" t="inlineStr">
        <is>
          <t>59</t>
        </is>
      </c>
      <c r="G2" s="8" t="inlineStr">
        <is>
          <t>71</t>
        </is>
      </c>
      <c r="H2" s="8" t="inlineStr">
        <is>
          <t>83</t>
        </is>
      </c>
      <c r="I2" s="8" t="inlineStr">
        <is>
          <t>95</t>
        </is>
      </c>
      <c r="J2" s="8" t="inlineStr">
        <is>
          <t>107</t>
        </is>
      </c>
      <c r="K2" s="8" t="inlineStr">
        <is>
          <t>119</t>
        </is>
      </c>
      <c r="L2" s="8" t="inlineStr">
        <is>
          <t>131</t>
        </is>
      </c>
      <c r="M2" s="8" t="inlineStr">
        <is>
          <t>143</t>
        </is>
      </c>
      <c r="N2" s="8" t="inlineStr">
        <is>
          <t>155</t>
        </is>
      </c>
      <c r="O2" s="8" t="inlineStr">
        <is>
          <t>167</t>
        </is>
      </c>
      <c r="P2" s="8" t="inlineStr">
        <is>
          <t>179</t>
        </is>
      </c>
      <c r="Q2" s="8" t="inlineStr">
        <is>
          <t>191</t>
        </is>
      </c>
      <c r="R2" s="8" t="inlineStr">
        <is>
          <t>203</t>
        </is>
      </c>
      <c r="S2" s="8" t="inlineStr">
        <is>
          <t>215</t>
        </is>
      </c>
      <c r="T2" s="8" t="inlineStr">
        <is>
          <t>227</t>
        </is>
      </c>
      <c r="U2" s="8" t="inlineStr">
        <is>
          <t>239</t>
        </is>
      </c>
      <c r="V2" s="8" t="inlineStr">
        <is>
          <t>251</t>
        </is>
      </c>
      <c r="W2" s="8" t="inlineStr">
        <is>
          <t>263</t>
        </is>
      </c>
      <c r="X2" s="8" t="inlineStr">
        <is>
          <t>275</t>
        </is>
      </c>
      <c r="Y2" s="8" t="inlineStr">
        <is>
          <t>287</t>
        </is>
      </c>
    </row>
    <row r="3">
      <c r="A3" s="9" t="n">
        <v>2001</v>
      </c>
      <c r="B3" s="13" t="n">
        <v>0.1067541223885153</v>
      </c>
      <c r="C3" s="13" t="n">
        <v>0.3429328955077106</v>
      </c>
      <c r="D3" s="13" t="n">
        <v>0.5061053950615241</v>
      </c>
      <c r="E3" s="13" t="n">
        <v>0.6256927561163054</v>
      </c>
      <c r="F3" s="13" t="n">
        <v>0.728259290155435</v>
      </c>
      <c r="G3" s="13" t="n">
        <v>0.7477592152729701</v>
      </c>
      <c r="H3" s="13" t="n">
        <v>0.7405549430627171</v>
      </c>
      <c r="I3" s="13" t="n">
        <v>0.7505548063940249</v>
      </c>
      <c r="J3" s="13" t="n">
        <v>0.7578337958611142</v>
      </c>
      <c r="K3" s="13" t="n">
        <v>0.7669489771453039</v>
      </c>
      <c r="L3" s="13" t="n">
        <v>0.7852241925352421</v>
      </c>
      <c r="M3" s="13" t="n">
        <v>0.8040527641107796</v>
      </c>
      <c r="N3" s="13" t="n">
        <v>0.8171556727514971</v>
      </c>
      <c r="O3" s="13" t="n">
        <v>0.8379119089391664</v>
      </c>
      <c r="P3" s="13" t="n">
        <v>0.8559357998975045</v>
      </c>
      <c r="Q3" s="13" t="n">
        <v>0.8821903197128589</v>
      </c>
      <c r="R3" s="13" t="n">
        <v>0.911023844362869</v>
      </c>
      <c r="S3" s="13" t="n">
        <v>0.9356571038328937</v>
      </c>
      <c r="T3" s="13" t="n">
        <v>0.9714855255963522</v>
      </c>
      <c r="U3" s="13" t="n">
        <v>0.9714855255963522</v>
      </c>
      <c r="V3" s="13" t="n">
        <v>0.9787183444391107</v>
      </c>
      <c r="W3" s="13" t="n">
        <v>0.985994901371903</v>
      </c>
      <c r="X3" s="13" t="n">
        <v>0.9922144249376672</v>
      </c>
      <c r="Y3" s="13" t="n">
        <v>0.9961151513872585</v>
      </c>
    </row>
    <row r="4">
      <c r="A4" s="9" t="n">
        <v>2002</v>
      </c>
      <c r="B4" s="13" t="n">
        <v>0.1612030506907876</v>
      </c>
      <c r="C4" s="13" t="n">
        <v>0.4109787875105455</v>
      </c>
      <c r="D4" s="13" t="n">
        <v>0.5505005904065303</v>
      </c>
      <c r="E4" s="13" t="n">
        <v>0.5946964535636818</v>
      </c>
      <c r="F4" s="13" t="n">
        <v>0.6691705843424396</v>
      </c>
      <c r="G4" s="13" t="n">
        <v>0.7315536231886935</v>
      </c>
      <c r="H4" s="13" t="n">
        <v>0.7480608012931289</v>
      </c>
      <c r="I4" s="13" t="n">
        <v>0.7613118992112784</v>
      </c>
      <c r="J4" s="13" t="n">
        <v>0.7802016037598219</v>
      </c>
      <c r="K4" s="13" t="n">
        <v>0.7895027656075722</v>
      </c>
      <c r="L4" s="13" t="n">
        <v>0.8033956756052417</v>
      </c>
      <c r="M4" s="13" t="n">
        <v>0.8184740985887492</v>
      </c>
      <c r="N4" s="13" t="n">
        <v>0.8372502329957126</v>
      </c>
      <c r="O4" s="13" t="n">
        <v>0.8586066995915662</v>
      </c>
      <c r="P4" s="13" t="n">
        <v>0.876753278374878</v>
      </c>
      <c r="Q4" s="13" t="n">
        <v>0.8938724339999155</v>
      </c>
      <c r="R4" s="13" t="n">
        <v>0.9193413790575927</v>
      </c>
      <c r="S4" s="13" t="n">
        <v>0.9379187731575728</v>
      </c>
      <c r="T4" s="13" t="n">
        <v>0.9528168911152164</v>
      </c>
      <c r="U4" s="13" t="n">
        <v>0.9643606391346071</v>
      </c>
      <c r="V4" s="13" t="n">
        <v>0.974085366001188</v>
      </c>
      <c r="W4" s="13" t="n">
        <v>0.9834061834182815</v>
      </c>
      <c r="X4" s="13" t="n">
        <v>0.9922453917654648</v>
      </c>
      <c r="Y4" s="5" t="n"/>
    </row>
    <row r="5">
      <c r="A5" s="9" t="n">
        <v>2003</v>
      </c>
      <c r="B5" s="13" t="n">
        <v>0.2568306351785863</v>
      </c>
      <c r="C5" s="13" t="n">
        <v>0.6378914634594539</v>
      </c>
      <c r="D5" s="13" t="n">
        <v>0.7364094327422906</v>
      </c>
      <c r="E5" s="13" t="n">
        <v>0.8026915071566743</v>
      </c>
      <c r="F5" s="13" t="n">
        <v>0.9287234122462673</v>
      </c>
      <c r="G5" s="13" t="n">
        <v>0.9749551117739452</v>
      </c>
      <c r="H5" s="13" t="n">
        <v>0.9764244767149863</v>
      </c>
      <c r="I5" s="13" t="n">
        <v>0.9832705993094267</v>
      </c>
      <c r="J5" s="13" t="n">
        <v>0.9818572089924072</v>
      </c>
      <c r="K5" s="13" t="n">
        <v>0.9842581176730589</v>
      </c>
      <c r="L5" s="13" t="n">
        <v>0.9823908278947371</v>
      </c>
      <c r="M5" s="13" t="n">
        <v>0.9826061171589271</v>
      </c>
      <c r="N5" s="13" t="n">
        <v>0.982678045902839</v>
      </c>
      <c r="O5" s="13" t="n">
        <v>0.9826783309283431</v>
      </c>
      <c r="P5" s="13" t="n">
        <v>0.9826783309283431</v>
      </c>
      <c r="Q5" s="13" t="n">
        <v>0.9826779947444151</v>
      </c>
      <c r="R5" s="13" t="n">
        <v>0.9847612096130512</v>
      </c>
      <c r="S5" s="13" t="n">
        <v>0.9847612096130514</v>
      </c>
      <c r="T5" s="13" t="n">
        <v>0.9847612096130514</v>
      </c>
      <c r="U5" s="13" t="n">
        <v>0.9847612096130514</v>
      </c>
      <c r="V5" s="13" t="n">
        <v>0.9847612096130514</v>
      </c>
      <c r="W5" s="13" t="n">
        <v>0.9847612096130514</v>
      </c>
      <c r="X5" s="5" t="n"/>
      <c r="Y5" s="5" t="n"/>
    </row>
    <row r="6">
      <c r="A6" s="9" t="n">
        <v>2004</v>
      </c>
      <c r="B6" s="13" t="n">
        <v>0.2240656644448141</v>
      </c>
      <c r="C6" s="13" t="n">
        <v>0.5460017231106831</v>
      </c>
      <c r="D6" s="13" t="n">
        <v>0.703859149528277</v>
      </c>
      <c r="E6" s="13" t="n">
        <v>0.7881718854158611</v>
      </c>
      <c r="F6" s="13" t="n">
        <v>0.92032976705803</v>
      </c>
      <c r="G6" s="13" t="n">
        <v>0.9237115102488768</v>
      </c>
      <c r="H6" s="13" t="n">
        <v>0.9387346520182025</v>
      </c>
      <c r="I6" s="13" t="n">
        <v>0.9460590650962734</v>
      </c>
      <c r="J6" s="13" t="n">
        <v>0.963543969962163</v>
      </c>
      <c r="K6" s="13" t="n">
        <v>0.9576360999433504</v>
      </c>
      <c r="L6" s="13" t="n">
        <v>0.9610736779805904</v>
      </c>
      <c r="M6" s="13" t="n">
        <v>0.9672192978627505</v>
      </c>
      <c r="N6" s="13" t="n">
        <v>0.967620995685699</v>
      </c>
      <c r="O6" s="13" t="n">
        <v>0.9693785675356779</v>
      </c>
      <c r="P6" s="13" t="n">
        <v>0.9699420609545346</v>
      </c>
      <c r="Q6" s="13" t="n">
        <v>0.9791505289019653</v>
      </c>
      <c r="R6" s="13" t="n">
        <v>0.9791505289019653</v>
      </c>
      <c r="S6" s="13" t="n">
        <v>0.9791505289019653</v>
      </c>
      <c r="T6" s="13" t="n">
        <v>0.9791505289019653</v>
      </c>
      <c r="U6" s="13" t="n">
        <v>0.979179879315963</v>
      </c>
      <c r="V6" s="13" t="n">
        <v>0.979179879315963</v>
      </c>
      <c r="W6" s="5" t="n"/>
      <c r="X6" s="5" t="n"/>
      <c r="Y6" s="5" t="n"/>
    </row>
    <row r="7">
      <c r="A7" s="9" t="n">
        <v>2005</v>
      </c>
      <c r="B7" s="13" t="n">
        <v>0.2647911177829024</v>
      </c>
      <c r="C7" s="13" t="n">
        <v>0.5378043251547486</v>
      </c>
      <c r="D7" s="13" t="n">
        <v>0.6816088848172122</v>
      </c>
      <c r="E7" s="13" t="n">
        <v>0.7115206338522512</v>
      </c>
      <c r="F7" s="13" t="n">
        <v>0.7646588358222293</v>
      </c>
      <c r="G7" s="13" t="n">
        <v>0.7805271276833383</v>
      </c>
      <c r="H7" s="13" t="n">
        <v>0.7969919107404185</v>
      </c>
      <c r="I7" s="13" t="n">
        <v>0.8052909077080024</v>
      </c>
      <c r="J7" s="13" t="n">
        <v>0.8086486113356078</v>
      </c>
      <c r="K7" s="13" t="n">
        <v>0.8329147655060902</v>
      </c>
      <c r="L7" s="13" t="n">
        <v>0.8565745769460504</v>
      </c>
      <c r="M7" s="13" t="n">
        <v>0.873928654641862</v>
      </c>
      <c r="N7" s="13" t="n">
        <v>0.9025250717667463</v>
      </c>
      <c r="O7" s="13" t="n">
        <v>0.9195530045711795</v>
      </c>
      <c r="P7" s="13" t="n">
        <v>0.9472532763105334</v>
      </c>
      <c r="Q7" s="13" t="n">
        <v>0.9547957649318257</v>
      </c>
      <c r="R7" s="13" t="n">
        <v>0.973259239023457</v>
      </c>
      <c r="S7" s="13" t="n">
        <v>0.9748903651154209</v>
      </c>
      <c r="T7" s="13" t="n">
        <v>0.9748903651154209</v>
      </c>
      <c r="U7" s="13" t="n">
        <v>0.9748903651154209</v>
      </c>
      <c r="V7" s="5" t="n"/>
      <c r="W7" s="5" t="n"/>
      <c r="X7" s="5" t="n"/>
      <c r="Y7" s="5" t="n"/>
    </row>
    <row r="8">
      <c r="A8" s="9" t="n">
        <v>2006</v>
      </c>
      <c r="B8" s="13" t="n">
        <v>0.1894282477173623</v>
      </c>
      <c r="C8" s="13" t="n">
        <v>0.4653333844521312</v>
      </c>
      <c r="D8" s="13" t="n">
        <v>0.5941601384445933</v>
      </c>
      <c r="E8" s="13" t="n">
        <v>0.6470959006963943</v>
      </c>
      <c r="F8" s="13" t="n">
        <v>0.6866894131906972</v>
      </c>
      <c r="G8" s="13" t="n">
        <v>0.7186614939408109</v>
      </c>
      <c r="H8" s="13" t="n">
        <v>0.7483783436928185</v>
      </c>
      <c r="I8" s="13" t="n">
        <v>0.7534596551380848</v>
      </c>
      <c r="J8" s="13" t="n">
        <v>0.7772642685118017</v>
      </c>
      <c r="K8" s="13" t="n">
        <v>0.8091217773654502</v>
      </c>
      <c r="L8" s="13" t="n">
        <v>0.8837466763585652</v>
      </c>
      <c r="M8" s="13" t="n">
        <v>0.9081698972207657</v>
      </c>
      <c r="N8" s="13" t="n">
        <v>0.9176374611390014</v>
      </c>
      <c r="O8" s="13" t="n">
        <v>0.9347874336622816</v>
      </c>
      <c r="P8" s="13" t="n">
        <v>0.9411544115415356</v>
      </c>
      <c r="Q8" s="13" t="n">
        <v>0.9490156604431003</v>
      </c>
      <c r="R8" s="13" t="n">
        <v>0.959900727912071</v>
      </c>
      <c r="S8" s="13" t="n">
        <v>0.9672296690942511</v>
      </c>
      <c r="T8" s="13" t="n">
        <v>0.9725562309309316</v>
      </c>
      <c r="U8" s="5" t="n"/>
      <c r="V8" s="5" t="n"/>
      <c r="W8" s="5" t="n"/>
      <c r="X8" s="5" t="n"/>
      <c r="Y8" s="5" t="n"/>
    </row>
    <row r="9">
      <c r="A9" s="9" t="n">
        <v>2007</v>
      </c>
      <c r="B9" s="13" t="n">
        <v>0.1017933818546594</v>
      </c>
      <c r="C9" s="13" t="n">
        <v>0.2230088084155243</v>
      </c>
      <c r="D9" s="13" t="n">
        <v>0.2887626801707814</v>
      </c>
      <c r="E9" s="13" t="n">
        <v>0.3677208581313324</v>
      </c>
      <c r="F9" s="13" t="n">
        <v>0.4361502502864794</v>
      </c>
      <c r="G9" s="13" t="n">
        <v>0.529769681357434</v>
      </c>
      <c r="H9" s="13" t="n">
        <v>0.5910878481766586</v>
      </c>
      <c r="I9" s="13" t="n">
        <v>0.6369813956060537</v>
      </c>
      <c r="J9" s="13" t="n">
        <v>0.68836870806079</v>
      </c>
      <c r="K9" s="13" t="n">
        <v>0.7467950541637761</v>
      </c>
      <c r="L9" s="13" t="n">
        <v>0.8081969333586371</v>
      </c>
      <c r="M9" s="13" t="n">
        <v>0.848606649321843</v>
      </c>
      <c r="N9" s="13" t="n">
        <v>0.883432360650118</v>
      </c>
      <c r="O9" s="13" t="n">
        <v>0.9089705569435002</v>
      </c>
      <c r="P9" s="13" t="n">
        <v>0.9333446355987323</v>
      </c>
      <c r="Q9" s="13" t="n">
        <v>0.9604627746115376</v>
      </c>
      <c r="R9" s="13" t="n">
        <v>0.9664993777021964</v>
      </c>
      <c r="S9" s="13" t="n">
        <v>0.9683921448441647</v>
      </c>
      <c r="T9" s="5" t="n"/>
      <c r="U9" s="5" t="n"/>
      <c r="V9" s="5" t="n"/>
      <c r="W9" s="5" t="n"/>
      <c r="X9" s="5" t="n"/>
      <c r="Y9" s="5" t="n"/>
    </row>
    <row r="10">
      <c r="A10" s="9" t="n">
        <v>2008</v>
      </c>
      <c r="B10" s="13" t="n">
        <v>0.2477875443437191</v>
      </c>
      <c r="C10" s="13" t="n">
        <v>0.4531984346878039</v>
      </c>
      <c r="D10" s="13" t="n">
        <v>0.6095476855480256</v>
      </c>
      <c r="E10" s="13" t="n">
        <v>0.8329442373766976</v>
      </c>
      <c r="F10" s="13" t="n">
        <v>0.8620302429345996</v>
      </c>
      <c r="G10" s="13" t="n">
        <v>0.8885945117430062</v>
      </c>
      <c r="H10" s="13" t="n">
        <v>0.8948074283001159</v>
      </c>
      <c r="I10" s="13" t="n">
        <v>0.9005280383265067</v>
      </c>
      <c r="J10" s="13" t="n">
        <v>0.9111065334075404</v>
      </c>
      <c r="K10" s="13" t="n">
        <v>0.9233193907171467</v>
      </c>
      <c r="L10" s="13" t="n">
        <v>0.9331944070883981</v>
      </c>
      <c r="M10" s="13" t="n">
        <v>0.9350059870888964</v>
      </c>
      <c r="N10" s="13" t="n">
        <v>0.9371744167166768</v>
      </c>
      <c r="O10" s="13" t="n">
        <v>0.938239240243571</v>
      </c>
      <c r="P10" s="13" t="n">
        <v>0.9388542858052641</v>
      </c>
      <c r="Q10" s="13" t="n">
        <v>0.941338590387589</v>
      </c>
      <c r="R10" s="13" t="n">
        <v>0.9661699542668953</v>
      </c>
      <c r="S10" s="5" t="n"/>
      <c r="T10" s="5" t="n"/>
      <c r="U10" s="5" t="n"/>
      <c r="V10" s="5" t="n"/>
      <c r="W10" s="5" t="n"/>
      <c r="X10" s="5" t="n"/>
      <c r="Y10" s="5" t="n"/>
    </row>
    <row r="11">
      <c r="A11" s="9" t="n">
        <v>2009</v>
      </c>
      <c r="B11" s="13" t="n">
        <v>0.1865293107952611</v>
      </c>
      <c r="C11" s="13" t="n">
        <v>0.6054677378624242</v>
      </c>
      <c r="D11" s="13" t="n">
        <v>0.6623264555042568</v>
      </c>
      <c r="E11" s="13" t="n">
        <v>0.6803629845086081</v>
      </c>
      <c r="F11" s="13" t="n">
        <v>0.7300587999612728</v>
      </c>
      <c r="G11" s="13" t="n">
        <v>0.7676640445276094</v>
      </c>
      <c r="H11" s="13" t="n">
        <v>0.7907542272752817</v>
      </c>
      <c r="I11" s="13" t="n">
        <v>0.8306143286025215</v>
      </c>
      <c r="J11" s="13" t="n">
        <v>0.8610847549668256</v>
      </c>
      <c r="K11" s="13" t="n">
        <v>0.8737251433674914</v>
      </c>
      <c r="L11" s="13" t="n">
        <v>0.8819446665521449</v>
      </c>
      <c r="M11" s="13" t="n">
        <v>0.908882484708652</v>
      </c>
      <c r="N11" s="13" t="n">
        <v>0.9540534736008217</v>
      </c>
      <c r="O11" s="13" t="n">
        <v>0.9540534736008217</v>
      </c>
      <c r="P11" s="13" t="n">
        <v>0.9540534736008217</v>
      </c>
      <c r="Q11" s="13" t="n">
        <v>0.9540534736008217</v>
      </c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9" t="n">
        <v>2010</v>
      </c>
      <c r="B12" s="13" t="n">
        <v>0.1801866181889432</v>
      </c>
      <c r="C12" s="13" t="n">
        <v>0.4978702647461279</v>
      </c>
      <c r="D12" s="13" t="n">
        <v>0.676931974015151</v>
      </c>
      <c r="E12" s="13" t="n">
        <v>0.7965032101122659</v>
      </c>
      <c r="F12" s="13" t="n">
        <v>0.8705117895439257</v>
      </c>
      <c r="G12" s="13" t="n">
        <v>0.888670043602127</v>
      </c>
      <c r="H12" s="13" t="n">
        <v>0.9321397536303471</v>
      </c>
      <c r="I12" s="13" t="n">
        <v>0.9337618524216738</v>
      </c>
      <c r="J12" s="13" t="n">
        <v>0.9369568502449585</v>
      </c>
      <c r="K12" s="13" t="n">
        <v>0.937548155029992</v>
      </c>
      <c r="L12" s="13" t="n">
        <v>0.9380233655603752</v>
      </c>
      <c r="M12" s="13" t="n">
        <v>0.9380780211153177</v>
      </c>
      <c r="N12" s="13" t="n">
        <v>0.9386747621760838</v>
      </c>
      <c r="O12" s="13" t="n">
        <v>0.9393585226882544</v>
      </c>
      <c r="P12" s="13" t="n">
        <v>0.9449816520993792</v>
      </c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9" t="n">
        <v>2011</v>
      </c>
      <c r="B13" s="13" t="n">
        <v>0.1803192233473249</v>
      </c>
      <c r="C13" s="13" t="n">
        <v>0.4155596160400183</v>
      </c>
      <c r="D13" s="13" t="n">
        <v>0.6478302543491451</v>
      </c>
      <c r="E13" s="13" t="n">
        <v>0.6967677730386439</v>
      </c>
      <c r="F13" s="13" t="n">
        <v>0.7545112782833724</v>
      </c>
      <c r="G13" s="13" t="n">
        <v>0.8215717872788282</v>
      </c>
      <c r="H13" s="13" t="n">
        <v>0.9024761441749316</v>
      </c>
      <c r="I13" s="13" t="n">
        <v>0.9042537081009869</v>
      </c>
      <c r="J13" s="13" t="n">
        <v>0.9083685373252602</v>
      </c>
      <c r="K13" s="13" t="n">
        <v>0.9153327797134826</v>
      </c>
      <c r="L13" s="13" t="n">
        <v>0.9200972737535752</v>
      </c>
      <c r="M13" s="13" t="n">
        <v>0.9296047137426792</v>
      </c>
      <c r="N13" s="13" t="n">
        <v>0.9343945008105196</v>
      </c>
      <c r="O13" s="13" t="n">
        <v>0.9373888031559005</v>
      </c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9" t="n">
        <v>2012</v>
      </c>
      <c r="B14" s="13" t="n">
        <v>0.1776064939442077</v>
      </c>
      <c r="C14" s="13" t="n">
        <v>0.4947325850377957</v>
      </c>
      <c r="D14" s="13" t="n">
        <v>0.623188800036262</v>
      </c>
      <c r="E14" s="13" t="n">
        <v>0.7418684277223284</v>
      </c>
      <c r="F14" s="13" t="n">
        <v>0.7493590761330956</v>
      </c>
      <c r="G14" s="13" t="n">
        <v>0.7542376168230911</v>
      </c>
      <c r="H14" s="13" t="n">
        <v>0.7622102963293647</v>
      </c>
      <c r="I14" s="13" t="n">
        <v>0.7922412121755581</v>
      </c>
      <c r="J14" s="13" t="n">
        <v>0.8172351633585703</v>
      </c>
      <c r="K14" s="13" t="n">
        <v>0.8209774011822437</v>
      </c>
      <c r="L14" s="13" t="n">
        <v>0.8453634380477274</v>
      </c>
      <c r="M14" s="13" t="n">
        <v>0.8931199687407559</v>
      </c>
      <c r="N14" s="13" t="n">
        <v>0.931057608116076</v>
      </c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9" t="n">
        <v>2013</v>
      </c>
      <c r="B15" s="13" t="n">
        <v>0.260931345069803</v>
      </c>
      <c r="C15" s="13" t="n">
        <v>0.6004325518946322</v>
      </c>
      <c r="D15" s="13" t="n">
        <v>0.7017234312415326</v>
      </c>
      <c r="E15" s="13" t="n">
        <v>0.7698120633377603</v>
      </c>
      <c r="F15" s="13" t="n">
        <v>0.9128619361824454</v>
      </c>
      <c r="G15" s="13" t="n">
        <v>0.9104895347940429</v>
      </c>
      <c r="H15" s="13" t="n">
        <v>0.9109384387002708</v>
      </c>
      <c r="I15" s="13" t="n">
        <v>0.910938438700271</v>
      </c>
      <c r="J15" s="13" t="n">
        <v>0.9126976429283669</v>
      </c>
      <c r="K15" s="13" t="n">
        <v>0.9126976429283669</v>
      </c>
      <c r="L15" s="13" t="n">
        <v>0.9127120918953577</v>
      </c>
      <c r="M15" s="13" t="n">
        <v>0.9127120918953577</v>
      </c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9" t="n">
        <v>2014</v>
      </c>
      <c r="B16" s="13" t="n">
        <v>0.2652520800914988</v>
      </c>
      <c r="C16" s="13" t="n">
        <v>0.4756105085993406</v>
      </c>
      <c r="D16" s="13" t="n">
        <v>0.5967821984680582</v>
      </c>
      <c r="E16" s="13" t="n">
        <v>0.7599158207753685</v>
      </c>
      <c r="F16" s="13" t="n">
        <v>0.810821694523759</v>
      </c>
      <c r="G16" s="13" t="n">
        <v>0.824279557368884</v>
      </c>
      <c r="H16" s="13" t="n">
        <v>0.8293166810692373</v>
      </c>
      <c r="I16" s="13" t="n">
        <v>0.831778796902471</v>
      </c>
      <c r="J16" s="13" t="n">
        <v>0.8370413306025565</v>
      </c>
      <c r="K16" s="13" t="n">
        <v>0.8886280761944456</v>
      </c>
      <c r="L16" s="13" t="n">
        <v>0.8952546319959486</v>
      </c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9" t="n">
        <v>2015</v>
      </c>
      <c r="B17" s="13" t="n">
        <v>0.1003715514805561</v>
      </c>
      <c r="C17" s="13" t="n">
        <v>0.2228651059911484</v>
      </c>
      <c r="D17" s="13" t="n">
        <v>0.3746914916020184</v>
      </c>
      <c r="E17" s="13" t="n">
        <v>0.5490193165157993</v>
      </c>
      <c r="F17" s="13" t="n">
        <v>0.5895841987048788</v>
      </c>
      <c r="G17" s="13" t="n">
        <v>0.6564535208786093</v>
      </c>
      <c r="H17" s="13" t="n">
        <v>0.7291716598631436</v>
      </c>
      <c r="I17" s="13" t="n">
        <v>0.7690798870243692</v>
      </c>
      <c r="J17" s="13" t="n">
        <v>0.7801065421442769</v>
      </c>
      <c r="K17" s="13" t="n">
        <v>0.8876210888703473</v>
      </c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9" t="n">
        <v>2016</v>
      </c>
      <c r="B18" s="13" t="n">
        <v>0.1174645643227075</v>
      </c>
      <c r="C18" s="13" t="n">
        <v>0.3894133235235106</v>
      </c>
      <c r="D18" s="13" t="n">
        <v>0.5504460829708897</v>
      </c>
      <c r="E18" s="13" t="n">
        <v>0.6194917902097765</v>
      </c>
      <c r="F18" s="13" t="n">
        <v>0.6661031294072297</v>
      </c>
      <c r="G18" s="13" t="n">
        <v>0.7342178347673527</v>
      </c>
      <c r="H18" s="13" t="n">
        <v>0.8367115228411013</v>
      </c>
      <c r="I18" s="13" t="n">
        <v>0.8422535227838464</v>
      </c>
      <c r="J18" s="13" t="n">
        <v>0.8515984749655084</v>
      </c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9" t="n">
        <v>2017</v>
      </c>
      <c r="B19" s="13" t="n">
        <v>0.2347078389929754</v>
      </c>
      <c r="C19" s="13" t="n">
        <v>0.4077050064656269</v>
      </c>
      <c r="D19" s="13" t="n">
        <v>0.4393130224639359</v>
      </c>
      <c r="E19" s="13" t="n">
        <v>0.4953943380115077</v>
      </c>
      <c r="F19" s="13" t="n">
        <v>0.5386951591233589</v>
      </c>
      <c r="G19" s="13" t="n">
        <v>0.5965992722163581</v>
      </c>
      <c r="H19" s="13" t="n">
        <v>0.7704468148099854</v>
      </c>
      <c r="I19" s="13" t="n">
        <v>0.840669765947298</v>
      </c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9" t="n">
        <v>2018</v>
      </c>
      <c r="B20" s="13" t="n">
        <v>0.1175666797937635</v>
      </c>
      <c r="C20" s="13" t="n">
        <v>0.3380178194742918</v>
      </c>
      <c r="D20" s="13" t="n">
        <v>0.5015953352497907</v>
      </c>
      <c r="E20" s="13" t="n">
        <v>0.6889226529280893</v>
      </c>
      <c r="F20" s="13" t="n">
        <v>0.7285071053191174</v>
      </c>
      <c r="G20" s="13" t="n">
        <v>0.7695014388767401</v>
      </c>
      <c r="H20" s="13" t="n">
        <v>0.8153135176708114</v>
      </c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9" t="n">
        <v>2019</v>
      </c>
      <c r="B21" s="13" t="n">
        <v>0.08780184182723134</v>
      </c>
      <c r="C21" s="13" t="n">
        <v>0.2348226202856898</v>
      </c>
      <c r="D21" s="13" t="n">
        <v>0.4108682212685051</v>
      </c>
      <c r="E21" s="13" t="n">
        <v>0.4858410710812433</v>
      </c>
      <c r="F21" s="13" t="n">
        <v>0.5981869015949006</v>
      </c>
      <c r="G21" s="13" t="n">
        <v>0.7269848574463665</v>
      </c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9" t="n">
        <v>2020</v>
      </c>
      <c r="B22" s="13" t="n">
        <v>0.1903099491441837</v>
      </c>
      <c r="C22" s="13" t="n">
        <v>0.4859571971084397</v>
      </c>
      <c r="D22" s="13" t="n">
        <v>0.5735626514472028</v>
      </c>
      <c r="E22" s="13" t="n">
        <v>0.642941120659197</v>
      </c>
      <c r="F22" s="13" t="n">
        <v>0.6496736878129025</v>
      </c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9" t="n">
        <v>2021</v>
      </c>
      <c r="B23" s="13" t="n">
        <v>0.1669598888195134</v>
      </c>
      <c r="C23" s="13" t="n">
        <v>0.333607261886201</v>
      </c>
      <c r="D23" s="13" t="n">
        <v>0.5559263642221697</v>
      </c>
      <c r="E23" s="13" t="n">
        <v>0.5947214298551827</v>
      </c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9" t="n">
        <v>2022</v>
      </c>
      <c r="B24" s="13" t="n">
        <v>0.1966525573211377</v>
      </c>
      <c r="C24" s="13" t="n">
        <v>0.4777417222673183</v>
      </c>
      <c r="D24" s="13" t="n">
        <v>0.506188977519569</v>
      </c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9" t="n">
        <v>2023</v>
      </c>
      <c r="B25" s="13" t="n">
        <v>0.1089848839773322</v>
      </c>
      <c r="C25" s="13" t="n">
        <v>0.3558696401570774</v>
      </c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9" t="n">
        <v>2024</v>
      </c>
      <c r="B26" s="13" t="n">
        <v>0.137709790435467</v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</sheetData>
  <mergeCells count="1">
    <mergeCell ref="A1:Y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20" customHeight="1">
      <c r="A1" s="1" t="inlineStr">
        <is>
          <t>Reported-to-Ult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  <c r="O1" s="15" t="n"/>
      <c r="P1" s="15" t="n"/>
      <c r="Q1" s="15" t="n"/>
      <c r="R1" s="15" t="n"/>
      <c r="S1" s="15" t="n"/>
      <c r="T1" s="15" t="n"/>
      <c r="U1" s="15" t="n"/>
      <c r="V1" s="15" t="n"/>
      <c r="W1" s="15" t="n"/>
      <c r="X1" s="15" t="n"/>
      <c r="Y1" s="2" t="n"/>
    </row>
    <row r="2">
      <c r="A2" s="8" t="inlineStr">
        <is>
          <t>Period</t>
        </is>
      </c>
      <c r="B2" s="8" t="inlineStr">
        <is>
          <t>11</t>
        </is>
      </c>
      <c r="C2" s="8" t="inlineStr">
        <is>
          <t>23</t>
        </is>
      </c>
      <c r="D2" s="8" t="inlineStr">
        <is>
          <t>35</t>
        </is>
      </c>
      <c r="E2" s="8" t="inlineStr">
        <is>
          <t>47</t>
        </is>
      </c>
      <c r="F2" s="8" t="inlineStr">
        <is>
          <t>59</t>
        </is>
      </c>
      <c r="G2" s="8" t="inlineStr">
        <is>
          <t>71</t>
        </is>
      </c>
      <c r="H2" s="8" t="inlineStr">
        <is>
          <t>83</t>
        </is>
      </c>
      <c r="I2" s="8" t="inlineStr">
        <is>
          <t>95</t>
        </is>
      </c>
      <c r="J2" s="8" t="inlineStr">
        <is>
          <t>107</t>
        </is>
      </c>
      <c r="K2" s="8" t="inlineStr">
        <is>
          <t>119</t>
        </is>
      </c>
      <c r="L2" s="8" t="inlineStr">
        <is>
          <t>131</t>
        </is>
      </c>
      <c r="M2" s="8" t="inlineStr">
        <is>
          <t>143</t>
        </is>
      </c>
      <c r="N2" s="8" t="inlineStr">
        <is>
          <t>155</t>
        </is>
      </c>
      <c r="O2" s="8" t="inlineStr">
        <is>
          <t>167</t>
        </is>
      </c>
      <c r="P2" s="8" t="inlineStr">
        <is>
          <t>179</t>
        </is>
      </c>
      <c r="Q2" s="8" t="inlineStr">
        <is>
          <t>191</t>
        </is>
      </c>
      <c r="R2" s="8" t="inlineStr">
        <is>
          <t>203</t>
        </is>
      </c>
      <c r="S2" s="8" t="inlineStr">
        <is>
          <t>215</t>
        </is>
      </c>
      <c r="T2" s="8" t="inlineStr">
        <is>
          <t>227</t>
        </is>
      </c>
      <c r="U2" s="8" t="inlineStr">
        <is>
          <t>239</t>
        </is>
      </c>
      <c r="V2" s="8" t="inlineStr">
        <is>
          <t>251</t>
        </is>
      </c>
      <c r="W2" s="8" t="inlineStr">
        <is>
          <t>263</t>
        </is>
      </c>
      <c r="X2" s="8" t="inlineStr">
        <is>
          <t>275</t>
        </is>
      </c>
      <c r="Y2" s="8" t="inlineStr">
        <is>
          <t>287</t>
        </is>
      </c>
    </row>
    <row r="3">
      <c r="A3" s="9" t="n">
        <v>2001</v>
      </c>
      <c r="B3" s="13" t="n">
        <v>0.9096045197740114</v>
      </c>
      <c r="C3" s="13" t="n">
        <v>0.9736346516007534</v>
      </c>
      <c r="D3" s="13" t="n">
        <v>0.9755178907721281</v>
      </c>
      <c r="E3" s="13" t="n">
        <v>0.9755178907721281</v>
      </c>
      <c r="F3" s="13" t="n">
        <v>0.9755178907721281</v>
      </c>
      <c r="G3" s="13" t="n">
        <v>0.9755178907721281</v>
      </c>
      <c r="H3" s="13" t="n">
        <v>1</v>
      </c>
      <c r="I3" s="13" t="n">
        <v>1</v>
      </c>
      <c r="J3" s="13" t="n">
        <v>1</v>
      </c>
      <c r="K3" s="13" t="n">
        <v>1</v>
      </c>
      <c r="L3" s="13" t="n">
        <v>1</v>
      </c>
      <c r="M3" s="13" t="n">
        <v>1</v>
      </c>
      <c r="N3" s="13" t="n">
        <v>1</v>
      </c>
      <c r="O3" s="13" t="n">
        <v>1</v>
      </c>
      <c r="P3" s="13" t="n">
        <v>1</v>
      </c>
      <c r="Q3" s="13" t="n">
        <v>1</v>
      </c>
      <c r="R3" s="13" t="n">
        <v>1</v>
      </c>
      <c r="S3" s="13" t="n">
        <v>1</v>
      </c>
      <c r="T3" s="13" t="n">
        <v>1</v>
      </c>
      <c r="U3" s="13" t="n">
        <v>1</v>
      </c>
      <c r="V3" s="13" t="n">
        <v>1</v>
      </c>
      <c r="W3" s="13" t="n">
        <v>1</v>
      </c>
      <c r="X3" s="13" t="n">
        <v>1</v>
      </c>
      <c r="Y3" s="13" t="n">
        <v>1</v>
      </c>
    </row>
    <row r="4">
      <c r="A4" s="9" t="n">
        <v>2002</v>
      </c>
      <c r="B4" s="13" t="n">
        <v>0.9412955465587045</v>
      </c>
      <c r="C4" s="13" t="n">
        <v>0.9736842105263159</v>
      </c>
      <c r="D4" s="13" t="n">
        <v>0.9736842105263159</v>
      </c>
      <c r="E4" s="13" t="n">
        <v>0.9736842105263159</v>
      </c>
      <c r="F4" s="13" t="n">
        <v>0.9736842105263159</v>
      </c>
      <c r="G4" s="13" t="n">
        <v>1</v>
      </c>
      <c r="H4" s="13" t="n">
        <v>1</v>
      </c>
      <c r="I4" s="13" t="n">
        <v>1</v>
      </c>
      <c r="J4" s="13" t="n">
        <v>1</v>
      </c>
      <c r="K4" s="13" t="n">
        <v>1</v>
      </c>
      <c r="L4" s="13" t="n">
        <v>1</v>
      </c>
      <c r="M4" s="13" t="n">
        <v>1</v>
      </c>
      <c r="N4" s="13" t="n">
        <v>1</v>
      </c>
      <c r="O4" s="13" t="n">
        <v>1</v>
      </c>
      <c r="P4" s="13" t="n">
        <v>1</v>
      </c>
      <c r="Q4" s="13" t="n">
        <v>1</v>
      </c>
      <c r="R4" s="13" t="n">
        <v>1</v>
      </c>
      <c r="S4" s="13" t="n">
        <v>1</v>
      </c>
      <c r="T4" s="13" t="n">
        <v>1</v>
      </c>
      <c r="U4" s="13" t="n">
        <v>1</v>
      </c>
      <c r="V4" s="13" t="n">
        <v>1</v>
      </c>
      <c r="W4" s="13" t="n">
        <v>1</v>
      </c>
      <c r="X4" s="13" t="n">
        <v>1</v>
      </c>
      <c r="Y4" s="5" t="n"/>
    </row>
    <row r="5">
      <c r="A5" s="9" t="n">
        <v>2003</v>
      </c>
      <c r="B5" s="13" t="n">
        <v>0.9688995215311005</v>
      </c>
      <c r="C5" s="13" t="n">
        <v>1.002392344497608</v>
      </c>
      <c r="D5" s="13" t="n">
        <v>1.002392344497608</v>
      </c>
      <c r="E5" s="13" t="n">
        <v>1.002392344497608</v>
      </c>
      <c r="F5" s="13" t="n">
        <v>0.9976076555023925</v>
      </c>
      <c r="G5" s="13" t="n">
        <v>0.9976076555023925</v>
      </c>
      <c r="H5" s="13" t="n">
        <v>1</v>
      </c>
      <c r="I5" s="13" t="n">
        <v>1</v>
      </c>
      <c r="J5" s="13" t="n">
        <v>1</v>
      </c>
      <c r="K5" s="13" t="n">
        <v>1</v>
      </c>
      <c r="L5" s="13" t="n">
        <v>1</v>
      </c>
      <c r="M5" s="13" t="n">
        <v>1</v>
      </c>
      <c r="N5" s="13" t="n">
        <v>1</v>
      </c>
      <c r="O5" s="13" t="n">
        <v>1</v>
      </c>
      <c r="P5" s="13" t="n">
        <v>1</v>
      </c>
      <c r="Q5" s="13" t="n">
        <v>1</v>
      </c>
      <c r="R5" s="13" t="n">
        <v>1</v>
      </c>
      <c r="S5" s="13" t="n">
        <v>1</v>
      </c>
      <c r="T5" s="13" t="n">
        <v>1</v>
      </c>
      <c r="U5" s="13" t="n">
        <v>1</v>
      </c>
      <c r="V5" s="13" t="n">
        <v>1</v>
      </c>
      <c r="W5" s="13" t="n">
        <v>1</v>
      </c>
      <c r="X5" s="5" t="n"/>
      <c r="Y5" s="5" t="n"/>
    </row>
    <row r="6">
      <c r="A6" s="9" t="n">
        <v>2004</v>
      </c>
      <c r="B6" s="13" t="n">
        <v>0.9383983572895278</v>
      </c>
      <c r="C6" s="13" t="n">
        <v>0.9938398357289527</v>
      </c>
      <c r="D6" s="13" t="n">
        <v>0.9938398357289527</v>
      </c>
      <c r="E6" s="13" t="n">
        <v>0.9979466119096508</v>
      </c>
      <c r="F6" s="13" t="n">
        <v>1</v>
      </c>
      <c r="G6" s="13" t="n">
        <v>1</v>
      </c>
      <c r="H6" s="13" t="n">
        <v>1</v>
      </c>
      <c r="I6" s="13" t="n">
        <v>1</v>
      </c>
      <c r="J6" s="13" t="n">
        <v>1</v>
      </c>
      <c r="K6" s="13" t="n">
        <v>1</v>
      </c>
      <c r="L6" s="13" t="n">
        <v>1</v>
      </c>
      <c r="M6" s="13" t="n">
        <v>1</v>
      </c>
      <c r="N6" s="13" t="n">
        <v>1</v>
      </c>
      <c r="O6" s="13" t="n">
        <v>1</v>
      </c>
      <c r="P6" s="13" t="n">
        <v>1</v>
      </c>
      <c r="Q6" s="13" t="n">
        <v>1</v>
      </c>
      <c r="R6" s="13" t="n">
        <v>1</v>
      </c>
      <c r="S6" s="13" t="n">
        <v>1</v>
      </c>
      <c r="T6" s="13" t="n">
        <v>1</v>
      </c>
      <c r="U6" s="13" t="n">
        <v>1</v>
      </c>
      <c r="V6" s="13" t="n">
        <v>1</v>
      </c>
      <c r="W6" s="5" t="n"/>
      <c r="X6" s="5" t="n"/>
      <c r="Y6" s="5" t="n"/>
    </row>
    <row r="7">
      <c r="A7" s="9" t="n">
        <v>2005</v>
      </c>
      <c r="B7" s="13" t="n">
        <v>0.977366255144033</v>
      </c>
      <c r="C7" s="13" t="n">
        <v>1</v>
      </c>
      <c r="D7" s="13" t="n">
        <v>1.002057613168724</v>
      </c>
      <c r="E7" s="13" t="n">
        <v>1</v>
      </c>
      <c r="F7" s="13" t="n">
        <v>1</v>
      </c>
      <c r="G7" s="13" t="n">
        <v>1</v>
      </c>
      <c r="H7" s="13" t="n">
        <v>1</v>
      </c>
      <c r="I7" s="13" t="n">
        <v>1</v>
      </c>
      <c r="J7" s="13" t="n">
        <v>1</v>
      </c>
      <c r="K7" s="13" t="n">
        <v>1</v>
      </c>
      <c r="L7" s="13" t="n">
        <v>1</v>
      </c>
      <c r="M7" s="13" t="n">
        <v>1</v>
      </c>
      <c r="N7" s="13" t="n">
        <v>1</v>
      </c>
      <c r="O7" s="13" t="n">
        <v>1</v>
      </c>
      <c r="P7" s="13" t="n">
        <v>1</v>
      </c>
      <c r="Q7" s="13" t="n">
        <v>1</v>
      </c>
      <c r="R7" s="13" t="n">
        <v>1</v>
      </c>
      <c r="S7" s="13" t="n">
        <v>1</v>
      </c>
      <c r="T7" s="13" t="n">
        <v>1</v>
      </c>
      <c r="U7" s="13" t="n">
        <v>1</v>
      </c>
      <c r="V7" s="5" t="n"/>
      <c r="W7" s="5" t="n"/>
      <c r="X7" s="5" t="n"/>
      <c r="Y7" s="5" t="n"/>
    </row>
    <row r="8">
      <c r="A8" s="9" t="n">
        <v>2006</v>
      </c>
      <c r="B8" s="13" t="n">
        <v>0.9628647214854112</v>
      </c>
      <c r="C8" s="13" t="n">
        <v>1</v>
      </c>
      <c r="D8" s="13" t="n">
        <v>1</v>
      </c>
      <c r="E8" s="13" t="n">
        <v>1</v>
      </c>
      <c r="F8" s="13" t="n">
        <v>1</v>
      </c>
      <c r="G8" s="13" t="n">
        <v>1</v>
      </c>
      <c r="H8" s="13" t="n">
        <v>1</v>
      </c>
      <c r="I8" s="13" t="n">
        <v>1</v>
      </c>
      <c r="J8" s="13" t="n">
        <v>1</v>
      </c>
      <c r="K8" s="13" t="n">
        <v>1</v>
      </c>
      <c r="L8" s="13" t="n">
        <v>1</v>
      </c>
      <c r="M8" s="13" t="n">
        <v>1</v>
      </c>
      <c r="N8" s="13" t="n">
        <v>1</v>
      </c>
      <c r="O8" s="13" t="n">
        <v>1</v>
      </c>
      <c r="P8" s="13" t="n">
        <v>1</v>
      </c>
      <c r="Q8" s="13" t="n">
        <v>1</v>
      </c>
      <c r="R8" s="13" t="n">
        <v>1</v>
      </c>
      <c r="S8" s="13" t="n">
        <v>1</v>
      </c>
      <c r="T8" s="13" t="n">
        <v>1</v>
      </c>
      <c r="U8" s="5" t="n"/>
      <c r="V8" s="5" t="n"/>
      <c r="W8" s="5" t="n"/>
      <c r="X8" s="5" t="n"/>
      <c r="Y8" s="5" t="n"/>
    </row>
    <row r="9">
      <c r="A9" s="9" t="n">
        <v>2007</v>
      </c>
      <c r="B9" s="13" t="n">
        <v>0.9584487534626039</v>
      </c>
      <c r="C9" s="13" t="n">
        <v>1</v>
      </c>
      <c r="D9" s="13" t="n">
        <v>1</v>
      </c>
      <c r="E9" s="13" t="n">
        <v>1</v>
      </c>
      <c r="F9" s="13" t="n">
        <v>1</v>
      </c>
      <c r="G9" s="13" t="n">
        <v>1</v>
      </c>
      <c r="H9" s="13" t="n">
        <v>1</v>
      </c>
      <c r="I9" s="13" t="n">
        <v>1</v>
      </c>
      <c r="J9" s="13" t="n">
        <v>1</v>
      </c>
      <c r="K9" s="13" t="n">
        <v>1</v>
      </c>
      <c r="L9" s="13" t="n">
        <v>1</v>
      </c>
      <c r="M9" s="13" t="n">
        <v>1</v>
      </c>
      <c r="N9" s="13" t="n">
        <v>1</v>
      </c>
      <c r="O9" s="13" t="n">
        <v>1</v>
      </c>
      <c r="P9" s="13" t="n">
        <v>1</v>
      </c>
      <c r="Q9" s="13" t="n">
        <v>1</v>
      </c>
      <c r="R9" s="13" t="n">
        <v>1</v>
      </c>
      <c r="S9" s="13" t="n">
        <v>1</v>
      </c>
      <c r="T9" s="5" t="n"/>
      <c r="U9" s="5" t="n"/>
      <c r="V9" s="5" t="n"/>
      <c r="W9" s="5" t="n"/>
      <c r="X9" s="5" t="n"/>
      <c r="Y9" s="5" t="n"/>
    </row>
    <row r="10">
      <c r="A10" s="9" t="n">
        <v>2008</v>
      </c>
      <c r="B10" s="13" t="n">
        <v>0.9357429718875503</v>
      </c>
      <c r="C10" s="13" t="n">
        <v>0.9959839357429719</v>
      </c>
      <c r="D10" s="13" t="n">
        <v>1</v>
      </c>
      <c r="E10" s="13" t="n">
        <v>1</v>
      </c>
      <c r="F10" s="13" t="n">
        <v>1</v>
      </c>
      <c r="G10" s="13" t="n">
        <v>1</v>
      </c>
      <c r="H10" s="13" t="n">
        <v>1</v>
      </c>
      <c r="I10" s="13" t="n">
        <v>1</v>
      </c>
      <c r="J10" s="13" t="n">
        <v>1</v>
      </c>
      <c r="K10" s="13" t="n">
        <v>1</v>
      </c>
      <c r="L10" s="13" t="n">
        <v>1</v>
      </c>
      <c r="M10" s="13" t="n">
        <v>1</v>
      </c>
      <c r="N10" s="13" t="n">
        <v>1</v>
      </c>
      <c r="O10" s="13" t="n">
        <v>1</v>
      </c>
      <c r="P10" s="13" t="n">
        <v>1</v>
      </c>
      <c r="Q10" s="13" t="n">
        <v>1</v>
      </c>
      <c r="R10" s="13" t="n">
        <v>1</v>
      </c>
      <c r="S10" s="5" t="n"/>
      <c r="T10" s="5" t="n"/>
      <c r="U10" s="5" t="n"/>
      <c r="V10" s="5" t="n"/>
      <c r="W10" s="5" t="n"/>
      <c r="X10" s="5" t="n"/>
      <c r="Y10" s="5" t="n"/>
    </row>
    <row r="11">
      <c r="A11" s="9" t="n">
        <v>2009</v>
      </c>
      <c r="B11" s="13" t="n">
        <v>0.9508196721311476</v>
      </c>
      <c r="C11" s="13" t="n">
        <v>0.9959016393442623</v>
      </c>
      <c r="D11" s="13" t="n">
        <v>1</v>
      </c>
      <c r="E11" s="13" t="n">
        <v>1</v>
      </c>
      <c r="F11" s="13" t="n">
        <v>1</v>
      </c>
      <c r="G11" s="13" t="n">
        <v>1</v>
      </c>
      <c r="H11" s="13" t="n">
        <v>1</v>
      </c>
      <c r="I11" s="13" t="n">
        <v>1</v>
      </c>
      <c r="J11" s="13" t="n">
        <v>1</v>
      </c>
      <c r="K11" s="13" t="n">
        <v>1</v>
      </c>
      <c r="L11" s="13" t="n">
        <v>1</v>
      </c>
      <c r="M11" s="13" t="n">
        <v>1</v>
      </c>
      <c r="N11" s="13" t="n">
        <v>1</v>
      </c>
      <c r="O11" s="13" t="n">
        <v>1</v>
      </c>
      <c r="P11" s="13" t="n">
        <v>1</v>
      </c>
      <c r="Q11" s="13" t="n">
        <v>1</v>
      </c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9" t="n">
        <v>2010</v>
      </c>
      <c r="B12" s="13" t="n">
        <v>0.9563106796116505</v>
      </c>
      <c r="C12" s="13" t="n">
        <v>1</v>
      </c>
      <c r="D12" s="13" t="n">
        <v>1</v>
      </c>
      <c r="E12" s="13" t="n">
        <v>1</v>
      </c>
      <c r="F12" s="13" t="n">
        <v>1</v>
      </c>
      <c r="G12" s="13" t="n">
        <v>1</v>
      </c>
      <c r="H12" s="13" t="n">
        <v>1</v>
      </c>
      <c r="I12" s="13" t="n">
        <v>1</v>
      </c>
      <c r="J12" s="13" t="n">
        <v>1</v>
      </c>
      <c r="K12" s="13" t="n">
        <v>1</v>
      </c>
      <c r="L12" s="13" t="n">
        <v>1</v>
      </c>
      <c r="M12" s="13" t="n">
        <v>1</v>
      </c>
      <c r="N12" s="13" t="n">
        <v>1</v>
      </c>
      <c r="O12" s="13" t="n">
        <v>1</v>
      </c>
      <c r="P12" s="13" t="n">
        <v>1</v>
      </c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9" t="n">
        <v>2011</v>
      </c>
      <c r="B13" s="13" t="n">
        <v>1</v>
      </c>
      <c r="C13" s="13" t="n">
        <v>1</v>
      </c>
      <c r="D13" s="13" t="n">
        <v>1</v>
      </c>
      <c r="E13" s="13" t="n">
        <v>1</v>
      </c>
      <c r="F13" s="13" t="n">
        <v>1</v>
      </c>
      <c r="G13" s="13" t="n">
        <v>1</v>
      </c>
      <c r="H13" s="13" t="n">
        <v>1</v>
      </c>
      <c r="I13" s="13" t="n">
        <v>1</v>
      </c>
      <c r="J13" s="13" t="n">
        <v>1</v>
      </c>
      <c r="K13" s="13" t="n">
        <v>1</v>
      </c>
      <c r="L13" s="13" t="n">
        <v>1</v>
      </c>
      <c r="M13" s="13" t="n">
        <v>1</v>
      </c>
      <c r="N13" s="13" t="n">
        <v>1</v>
      </c>
      <c r="O13" s="13" t="n">
        <v>1</v>
      </c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9" t="n">
        <v>2012</v>
      </c>
      <c r="B14" s="13" t="n">
        <v>0.9393939393939394</v>
      </c>
      <c r="C14" s="13" t="n">
        <v>1</v>
      </c>
      <c r="D14" s="13" t="n">
        <v>1</v>
      </c>
      <c r="E14" s="13" t="n">
        <v>1</v>
      </c>
      <c r="F14" s="13" t="n">
        <v>1</v>
      </c>
      <c r="G14" s="13" t="n">
        <v>1</v>
      </c>
      <c r="H14" s="13" t="n">
        <v>1</v>
      </c>
      <c r="I14" s="13" t="n">
        <v>1</v>
      </c>
      <c r="J14" s="13" t="n">
        <v>1</v>
      </c>
      <c r="K14" s="13" t="n">
        <v>1</v>
      </c>
      <c r="L14" s="13" t="n">
        <v>1</v>
      </c>
      <c r="M14" s="13" t="n">
        <v>1</v>
      </c>
      <c r="N14" s="13" t="n">
        <v>1</v>
      </c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9" t="n">
        <v>2013</v>
      </c>
      <c r="B15" s="13" t="n">
        <v>0.9683257918552037</v>
      </c>
      <c r="C15" s="13" t="n">
        <v>0.995475113122172</v>
      </c>
      <c r="D15" s="13" t="n">
        <v>0.995475113122172</v>
      </c>
      <c r="E15" s="13" t="n">
        <v>1</v>
      </c>
      <c r="F15" s="13" t="n">
        <v>1</v>
      </c>
      <c r="G15" s="13" t="n">
        <v>1</v>
      </c>
      <c r="H15" s="13" t="n">
        <v>1</v>
      </c>
      <c r="I15" s="13" t="n">
        <v>1</v>
      </c>
      <c r="J15" s="13" t="n">
        <v>1</v>
      </c>
      <c r="K15" s="13" t="n">
        <v>1</v>
      </c>
      <c r="L15" s="13" t="n">
        <v>1</v>
      </c>
      <c r="M15" s="13" t="n">
        <v>1</v>
      </c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9" t="n">
        <v>2014</v>
      </c>
      <c r="B16" s="13" t="n">
        <v>0.9536231884057972</v>
      </c>
      <c r="C16" s="13" t="n">
        <v>0.9971014492753624</v>
      </c>
      <c r="D16" s="13" t="n">
        <v>1</v>
      </c>
      <c r="E16" s="13" t="n">
        <v>1</v>
      </c>
      <c r="F16" s="13" t="n">
        <v>1</v>
      </c>
      <c r="G16" s="13" t="n">
        <v>1</v>
      </c>
      <c r="H16" s="13" t="n">
        <v>1</v>
      </c>
      <c r="I16" s="13" t="n">
        <v>1</v>
      </c>
      <c r="J16" s="13" t="n">
        <v>1</v>
      </c>
      <c r="K16" s="13" t="n">
        <v>1</v>
      </c>
      <c r="L16" s="13" t="n">
        <v>1</v>
      </c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9" t="n">
        <v>2015</v>
      </c>
      <c r="B17" s="13" t="n">
        <v>0.9644268774703559</v>
      </c>
      <c r="C17" s="13" t="n">
        <v>0.9960474308300398</v>
      </c>
      <c r="D17" s="13" t="n">
        <v>1.011857707509882</v>
      </c>
      <c r="E17" s="13" t="n">
        <v>1.011857707509882</v>
      </c>
      <c r="F17" s="13" t="n">
        <v>1.011857707509882</v>
      </c>
      <c r="G17" s="13" t="n">
        <v>1.011857707509882</v>
      </c>
      <c r="H17" s="13" t="n">
        <v>1.011857707509882</v>
      </c>
      <c r="I17" s="13" t="n">
        <v>1.011857707509882</v>
      </c>
      <c r="J17" s="13" t="n">
        <v>1.011857707509882</v>
      </c>
      <c r="K17" s="13" t="n">
        <v>1</v>
      </c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9" t="n">
        <v>2016</v>
      </c>
      <c r="B18" s="13" t="n">
        <v>0.88717613156686</v>
      </c>
      <c r="C18" s="13" t="n">
        <v>0.9582856688298527</v>
      </c>
      <c r="D18" s="13" t="n">
        <v>1.002305858564086</v>
      </c>
      <c r="E18" s="13" t="n">
        <v>1.002305858564086</v>
      </c>
      <c r="F18" s="13" t="n">
        <v>1.002305858564086</v>
      </c>
      <c r="G18" s="13" t="n">
        <v>1.002305858564086</v>
      </c>
      <c r="H18" s="13" t="n">
        <v>1.002305858564086</v>
      </c>
      <c r="I18" s="13" t="n">
        <v>1.002305858564086</v>
      </c>
      <c r="J18" s="13" t="n">
        <v>1.002305858564086</v>
      </c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9" t="n">
        <v>2017</v>
      </c>
      <c r="B19" s="13" t="n">
        <v>0.8914112471840023</v>
      </c>
      <c r="C19" s="13" t="n">
        <v>1.002304512383926</v>
      </c>
      <c r="D19" s="13" t="n">
        <v>1.006569637968538</v>
      </c>
      <c r="E19" s="13" t="n">
        <v>1.010834763553151</v>
      </c>
      <c r="F19" s="13" t="n">
        <v>1.006569637968538</v>
      </c>
      <c r="G19" s="13" t="n">
        <v>1.006569637968538</v>
      </c>
      <c r="H19" s="13" t="n">
        <v>1.006569637968538</v>
      </c>
      <c r="I19" s="13" t="n">
        <v>1.002304512383926</v>
      </c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9" t="n">
        <v>2018</v>
      </c>
      <c r="B20" s="13" t="n">
        <v>0.8893962102723348</v>
      </c>
      <c r="C20" s="13" t="n">
        <v>0.9990477978401568</v>
      </c>
      <c r="D20" s="13" t="n">
        <v>0.9990477978401568</v>
      </c>
      <c r="E20" s="13" t="n">
        <v>0.9990477978401568</v>
      </c>
      <c r="F20" s="13" t="n">
        <v>1.003108967750076</v>
      </c>
      <c r="G20" s="13" t="n">
        <v>1.003108967750076</v>
      </c>
      <c r="H20" s="13" t="n">
        <v>1.003108967750076</v>
      </c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9" t="n">
        <v>2019</v>
      </c>
      <c r="B21" s="13" t="n">
        <v>0.8809572964118215</v>
      </c>
      <c r="C21" s="13" t="n">
        <v>1.006808338756368</v>
      </c>
      <c r="D21" s="13" t="n">
        <v>1.006808338756368</v>
      </c>
      <c r="E21" s="13" t="n">
        <v>1.006808338756368</v>
      </c>
      <c r="F21" s="13" t="n">
        <v>1.006808338756368</v>
      </c>
      <c r="G21" s="13" t="n">
        <v>1.00310683751094</v>
      </c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9" t="n">
        <v>2020</v>
      </c>
      <c r="B22" s="13" t="n">
        <v>0.9466540335679481</v>
      </c>
      <c r="C22" s="13" t="n">
        <v>1.00381050351922</v>
      </c>
      <c r="D22" s="13" t="n">
        <v>1.00381050351922</v>
      </c>
      <c r="E22" s="13" t="n">
        <v>1.00381050351922</v>
      </c>
      <c r="F22" s="13" t="n">
        <v>1.00381050351922</v>
      </c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9" t="n">
        <v>2021</v>
      </c>
      <c r="B23" s="13" t="n">
        <v>0.8793371631654536</v>
      </c>
      <c r="C23" s="13" t="n">
        <v>1.003809546992527</v>
      </c>
      <c r="D23" s="13" t="n">
        <v>1.003809546992527</v>
      </c>
      <c r="E23" s="13" t="n">
        <v>1.003809546992527</v>
      </c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9" t="n">
        <v>2022</v>
      </c>
      <c r="B24" s="13" t="n">
        <v>0.8787421595170432</v>
      </c>
      <c r="C24" s="13" t="n">
        <v>1.003008727529554</v>
      </c>
      <c r="D24" s="13" t="n">
        <v>1.003008727529554</v>
      </c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9" t="n">
        <v>2023</v>
      </c>
      <c r="B25" s="13" t="n">
        <v>0.8988006436052424</v>
      </c>
      <c r="C25" s="13" t="n">
        <v>1.003009413878314</v>
      </c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9" t="n">
        <v>2024</v>
      </c>
      <c r="B26" s="13" t="n">
        <v>0.8971459811040401</v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</sheetData>
  <mergeCells count="1">
    <mergeCell ref="A1:Y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20" customHeight="1">
      <c r="A1" s="1" t="inlineStr">
        <is>
          <t>Average IBNR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  <c r="O1" s="15" t="n"/>
      <c r="P1" s="15" t="n"/>
      <c r="Q1" s="15" t="n"/>
      <c r="R1" s="15" t="n"/>
      <c r="S1" s="15" t="n"/>
      <c r="T1" s="15" t="n"/>
      <c r="U1" s="15" t="n"/>
      <c r="V1" s="15" t="n"/>
      <c r="W1" s="15" t="n"/>
      <c r="X1" s="15" t="n"/>
      <c r="Y1" s="2" t="n"/>
    </row>
    <row r="2">
      <c r="A2" s="8" t="inlineStr">
        <is>
          <t>Period</t>
        </is>
      </c>
      <c r="B2" s="8" t="inlineStr">
        <is>
          <t>11</t>
        </is>
      </c>
      <c r="C2" s="8" t="inlineStr">
        <is>
          <t>23</t>
        </is>
      </c>
      <c r="D2" s="8" t="inlineStr">
        <is>
          <t>35</t>
        </is>
      </c>
      <c r="E2" s="8" t="inlineStr">
        <is>
          <t>47</t>
        </is>
      </c>
      <c r="F2" s="8" t="inlineStr">
        <is>
          <t>59</t>
        </is>
      </c>
      <c r="G2" s="8" t="inlineStr">
        <is>
          <t>71</t>
        </is>
      </c>
      <c r="H2" s="8" t="inlineStr">
        <is>
          <t>83</t>
        </is>
      </c>
      <c r="I2" s="8" t="inlineStr">
        <is>
          <t>95</t>
        </is>
      </c>
      <c r="J2" s="8" t="inlineStr">
        <is>
          <t>107</t>
        </is>
      </c>
      <c r="K2" s="8" t="inlineStr">
        <is>
          <t>119</t>
        </is>
      </c>
      <c r="L2" s="8" t="inlineStr">
        <is>
          <t>131</t>
        </is>
      </c>
      <c r="M2" s="8" t="inlineStr">
        <is>
          <t>143</t>
        </is>
      </c>
      <c r="N2" s="8" t="inlineStr">
        <is>
          <t>155</t>
        </is>
      </c>
      <c r="O2" s="8" t="inlineStr">
        <is>
          <t>167</t>
        </is>
      </c>
      <c r="P2" s="8" t="inlineStr">
        <is>
          <t>179</t>
        </is>
      </c>
      <c r="Q2" s="8" t="inlineStr">
        <is>
          <t>191</t>
        </is>
      </c>
      <c r="R2" s="8" t="inlineStr">
        <is>
          <t>203</t>
        </is>
      </c>
      <c r="S2" s="8" t="inlineStr">
        <is>
          <t>215</t>
        </is>
      </c>
      <c r="T2" s="8" t="inlineStr">
        <is>
          <t>227</t>
        </is>
      </c>
      <c r="U2" s="8" t="inlineStr">
        <is>
          <t>239</t>
        </is>
      </c>
      <c r="V2" s="8" t="inlineStr">
        <is>
          <t>251</t>
        </is>
      </c>
      <c r="W2" s="8" t="inlineStr">
        <is>
          <t>263</t>
        </is>
      </c>
      <c r="X2" s="8" t="inlineStr">
        <is>
          <t>275</t>
        </is>
      </c>
      <c r="Y2" s="8" t="inlineStr">
        <is>
          <t>287</t>
        </is>
      </c>
    </row>
    <row r="3">
      <c r="A3" s="9" t="n">
        <v>2001</v>
      </c>
      <c r="B3" s="13" t="n">
        <v>2486827.9408</v>
      </c>
      <c r="C3" s="13" t="n">
        <v>1499755.2644</v>
      </c>
      <c r="D3" s="13" t="n">
        <v>1151871.7556</v>
      </c>
      <c r="E3" s="13" t="n">
        <v>960718.4583999997</v>
      </c>
      <c r="F3" s="13" t="n">
        <v>803490.7575999997</v>
      </c>
      <c r="G3" s="13" t="n">
        <v>651171.4541559997</v>
      </c>
      <c r="H3" s="13" t="n">
        <v>656826.0457239994</v>
      </c>
      <c r="I3" s="13" t="n">
        <v>634468.6831359994</v>
      </c>
      <c r="J3" s="13" t="n">
        <v>616852.0231359997</v>
      </c>
      <c r="K3" s="13" t="n">
        <v>596325.1304919999</v>
      </c>
      <c r="L3" s="13" t="n">
        <v>543623.2360039996</v>
      </c>
      <c r="M3" s="13" t="n">
        <v>491398.0997999995</v>
      </c>
      <c r="N3" s="13" t="n">
        <v>494168.5999999996</v>
      </c>
      <c r="O3" s="13" t="n">
        <v>435616.9846919999</v>
      </c>
      <c r="P3" s="13" t="n">
        <v>390991.7151999995</v>
      </c>
      <c r="Q3" s="13" t="n">
        <v>249382.7999999998</v>
      </c>
      <c r="R3" s="13" t="n">
        <v>183121.7251999998</v>
      </c>
      <c r="S3" s="13" t="n">
        <v>94360.4411119991</v>
      </c>
      <c r="T3" s="13" t="n">
        <v>41163.22156799957</v>
      </c>
      <c r="U3" s="13" t="n">
        <v>41163.22156799957</v>
      </c>
      <c r="V3" s="13" t="n">
        <v>-29435.37843200006</v>
      </c>
      <c r="W3" s="13" t="n">
        <v>-72322.37843200006</v>
      </c>
      <c r="X3" s="13" t="n">
        <v>-72322.37843200006</v>
      </c>
      <c r="Y3" s="13" t="n">
        <v>-109614.0896880003</v>
      </c>
    </row>
    <row r="4">
      <c r="A4" s="9" t="n">
        <v>2002</v>
      </c>
      <c r="B4" s="13" t="n">
        <v>1288998.4584</v>
      </c>
      <c r="C4" s="13" t="n">
        <v>889629.436</v>
      </c>
      <c r="D4" s="13" t="n">
        <v>874014.6092000001</v>
      </c>
      <c r="E4" s="13" t="n">
        <v>612592.612</v>
      </c>
      <c r="F4" s="13" t="n">
        <v>591440.94154</v>
      </c>
      <c r="G4" s="13" t="n">
        <v>489543.527704</v>
      </c>
      <c r="H4" s="13" t="n">
        <v>456735.6588960001</v>
      </c>
      <c r="I4" s="13" t="n">
        <v>456370.1956760001</v>
      </c>
      <c r="J4" s="13" t="n">
        <v>417797.390348</v>
      </c>
      <c r="K4" s="13" t="n">
        <v>400460.8154479999</v>
      </c>
      <c r="L4" s="13" t="n">
        <v>381834.727428</v>
      </c>
      <c r="M4" s="13" t="n">
        <v>319595.226</v>
      </c>
      <c r="N4" s="13" t="n">
        <v>317079.3294239999</v>
      </c>
      <c r="O4" s="13" t="n">
        <v>240889.0035999999</v>
      </c>
      <c r="P4" s="13" t="n">
        <v>188797.7936</v>
      </c>
      <c r="Q4" s="13" t="n">
        <v>158952.4003999999</v>
      </c>
      <c r="R4" s="13" t="n">
        <v>50092.169948</v>
      </c>
      <c r="S4" s="13" t="n">
        <v>47631.18192799995</v>
      </c>
      <c r="T4" s="13" t="n">
        <v>47631.18192799995</v>
      </c>
      <c r="U4" s="13" t="n">
        <v>-44255.83868000004</v>
      </c>
      <c r="V4" s="13" t="n">
        <v>-30219.71534000011</v>
      </c>
      <c r="W4" s="13" t="n">
        <v>-110896.8263199991</v>
      </c>
      <c r="X4" s="13" t="n">
        <v>-110896.8263199991</v>
      </c>
      <c r="Y4" s="5" t="n"/>
    </row>
    <row r="5">
      <c r="A5" s="9" t="n">
        <v>2003</v>
      </c>
      <c r="B5" s="13" t="n">
        <v>796243.4804</v>
      </c>
      <c r="C5" s="13" t="n">
        <v>346913.0824</v>
      </c>
      <c r="D5" s="13" t="n">
        <v>226676.4087999999</v>
      </c>
      <c r="E5" s="13" t="n">
        <v>-71324.33297200012</v>
      </c>
      <c r="F5" s="13" t="n">
        <v>101973.7997239998</v>
      </c>
      <c r="G5" s="13" t="n">
        <v>-13617.51238800003</v>
      </c>
      <c r="H5" s="13" t="n">
        <v>-8588.661943999818</v>
      </c>
      <c r="I5" s="13" t="n">
        <v>5106.423972000135</v>
      </c>
      <c r="J5" s="13" t="n">
        <v>8466.917331999866</v>
      </c>
      <c r="K5" s="13" t="n">
        <v>4521.973131999839</v>
      </c>
      <c r="L5" s="13" t="n">
        <v>8283.928399999859</v>
      </c>
      <c r="M5" s="13" t="n">
        <v>22187.61668400001</v>
      </c>
      <c r="N5" s="13" t="n">
        <v>31276.63879999984</v>
      </c>
      <c r="O5" s="13" t="n">
        <v>31276.73117200006</v>
      </c>
      <c r="P5" s="13" t="n">
        <v>31276.73117200006</v>
      </c>
      <c r="Q5" s="13" t="n">
        <v>31276.73117200006</v>
      </c>
      <c r="R5" s="13" t="n">
        <v>27515.26415600092</v>
      </c>
      <c r="S5" s="13" t="n">
        <v>27515.26415600069</v>
      </c>
      <c r="T5" s="13" t="n">
        <v>27515.26415600069</v>
      </c>
      <c r="U5" s="13" t="n">
        <v>27515.26415600069</v>
      </c>
      <c r="V5" s="13" t="n">
        <v>27515.26415600069</v>
      </c>
      <c r="W5" s="13" t="n">
        <v>27515.26415600069</v>
      </c>
      <c r="X5" s="5" t="n"/>
      <c r="Y5" s="5" t="n"/>
    </row>
    <row r="6">
      <c r="A6" s="9" t="n">
        <v>2004</v>
      </c>
      <c r="B6" s="13" t="n">
        <v>439494.4643999998</v>
      </c>
      <c r="C6" s="13" t="n">
        <v>339402.8043999999</v>
      </c>
      <c r="D6" s="13" t="n">
        <v>255337.9503200013</v>
      </c>
      <c r="E6" s="13" t="n">
        <v>213114.5771599999</v>
      </c>
      <c r="F6" s="13" t="n">
        <v>91340.70151999989</v>
      </c>
      <c r="G6" s="13" t="n">
        <v>85484.21115199989</v>
      </c>
      <c r="H6" s="13" t="n">
        <v>65902.66675199987</v>
      </c>
      <c r="I6" s="13" t="n">
        <v>57599.61159199988</v>
      </c>
      <c r="J6" s="13" t="n">
        <v>31735.74190399982</v>
      </c>
      <c r="K6" s="13" t="n">
        <v>41683.88959999988</v>
      </c>
      <c r="L6" s="13" t="n">
        <v>16186.65757599985</v>
      </c>
      <c r="M6" s="13" t="n">
        <v>28958.98679999984</v>
      </c>
      <c r="N6" s="13" t="n">
        <v>28509.00319999992</v>
      </c>
      <c r="O6" s="13" t="n">
        <v>28184.38159999973</v>
      </c>
      <c r="P6" s="13" t="n">
        <v>28185.00181199983</v>
      </c>
      <c r="Q6" s="13" t="n">
        <v>23903.59919999959</v>
      </c>
      <c r="R6" s="13" t="n">
        <v>23903.59919999959</v>
      </c>
      <c r="S6" s="13" t="n">
        <v>23903.59919999959</v>
      </c>
      <c r="T6" s="13" t="n">
        <v>23903.59919999959</v>
      </c>
      <c r="U6" s="13" t="n">
        <v>23869.94939999958</v>
      </c>
      <c r="V6" s="13" t="n">
        <v>23869.94939999958</v>
      </c>
      <c r="W6" s="5" t="n"/>
      <c r="X6" s="5" t="n"/>
      <c r="Y6" s="5" t="n"/>
    </row>
    <row r="7">
      <c r="A7" s="9" t="n">
        <v>2005</v>
      </c>
      <c r="B7" s="13" t="n">
        <v>1050207.1992</v>
      </c>
      <c r="C7" s="13" t="n">
        <v>671676.798552</v>
      </c>
      <c r="D7" s="13" t="n">
        <v>520490.6884119997</v>
      </c>
      <c r="E7" s="13" t="n">
        <v>564117.1526639999</v>
      </c>
      <c r="F7" s="13" t="n">
        <v>499614.6032159999</v>
      </c>
      <c r="G7" s="13" t="n">
        <v>470220.315276</v>
      </c>
      <c r="H7" s="13" t="n">
        <v>432984.9509399997</v>
      </c>
      <c r="I7" s="13" t="n">
        <v>422440.2252799999</v>
      </c>
      <c r="J7" s="13" t="n">
        <v>398192.8391999998</v>
      </c>
      <c r="K7" s="13" t="n">
        <v>346271.7652279998</v>
      </c>
      <c r="L7" s="13" t="n">
        <v>323374.1583999998</v>
      </c>
      <c r="M7" s="13" t="n">
        <v>87361.05920000002</v>
      </c>
      <c r="N7" s="13" t="n">
        <v>87349.1827999996</v>
      </c>
      <c r="O7" s="13" t="n">
        <v>128149.8028279999</v>
      </c>
      <c r="P7" s="13" t="n">
        <v>106532.0100600002</v>
      </c>
      <c r="Q7" s="13" t="n">
        <v>91193.29636400007</v>
      </c>
      <c r="R7" s="13" t="n">
        <v>57749.61788399983</v>
      </c>
      <c r="S7" s="13" t="n">
        <v>57749.61788399983</v>
      </c>
      <c r="T7" s="13" t="n">
        <v>57749.61788399983</v>
      </c>
      <c r="U7" s="13" t="n">
        <v>57749.61788399983</v>
      </c>
      <c r="V7" s="5" t="n"/>
      <c r="W7" s="5" t="n"/>
      <c r="X7" s="5" t="n"/>
      <c r="Y7" s="5" t="n"/>
    </row>
    <row r="8">
      <c r="A8" s="9" t="n">
        <v>2006</v>
      </c>
      <c r="B8" s="13" t="n">
        <v>737414.6547280001</v>
      </c>
      <c r="C8" s="13" t="n">
        <v>345300.0409559999</v>
      </c>
      <c r="D8" s="13" t="n">
        <v>496762.8976079999</v>
      </c>
      <c r="E8" s="13" t="n">
        <v>426863.7383919999</v>
      </c>
      <c r="F8" s="13" t="n">
        <v>417159.4791679999</v>
      </c>
      <c r="G8" s="13" t="n">
        <v>362366.74446</v>
      </c>
      <c r="H8" s="13" t="n">
        <v>312083.8879079998</v>
      </c>
      <c r="I8" s="13" t="n">
        <v>334021.9343999999</v>
      </c>
      <c r="J8" s="13" t="n">
        <v>303560.7762519999</v>
      </c>
      <c r="K8" s="13" t="n">
        <v>259034.3447999998</v>
      </c>
      <c r="L8" s="13" t="n">
        <v>155548.6735999999</v>
      </c>
      <c r="M8" s="13" t="n">
        <v>74522.59439999983</v>
      </c>
      <c r="N8" s="13" t="n">
        <v>35205.65343599976</v>
      </c>
      <c r="O8" s="13" t="n">
        <v>19395.81614799937</v>
      </c>
      <c r="P8" s="13" t="n">
        <v>18538.07614799938</v>
      </c>
      <c r="Q8" s="13" t="n">
        <v>1383.276147999335</v>
      </c>
      <c r="R8" s="13" t="n">
        <v>-3235.323852000525</v>
      </c>
      <c r="S8" s="13" t="n">
        <v>-14236.80266000051</v>
      </c>
      <c r="T8" s="13" t="n">
        <v>-14236.80266000051</v>
      </c>
      <c r="U8" s="5" t="n"/>
      <c r="V8" s="5" t="n"/>
      <c r="W8" s="5" t="n"/>
      <c r="X8" s="5" t="n"/>
      <c r="Y8" s="5" t="n"/>
    </row>
    <row r="9">
      <c r="A9" s="9" t="n">
        <v>2007</v>
      </c>
      <c r="B9" s="13" t="n">
        <v>3222402.198916</v>
      </c>
      <c r="C9" s="13" t="n">
        <v>3069296.51944</v>
      </c>
      <c r="D9" s="13" t="n">
        <v>2901952.30318</v>
      </c>
      <c r="E9" s="13" t="n">
        <v>2655630.238056</v>
      </c>
      <c r="F9" s="13" t="n">
        <v>2392867.619628</v>
      </c>
      <c r="G9" s="13" t="n">
        <v>1897985.302624</v>
      </c>
      <c r="H9" s="13" t="n">
        <v>1704024.6356</v>
      </c>
      <c r="I9" s="13" t="n">
        <v>1348836.995644</v>
      </c>
      <c r="J9" s="13" t="n">
        <v>1091066.4768</v>
      </c>
      <c r="K9" s="13" t="n">
        <v>699158.4727999996</v>
      </c>
      <c r="L9" s="13" t="n">
        <v>568818.9415999996</v>
      </c>
      <c r="M9" s="13" t="n">
        <v>442321.4653879991</v>
      </c>
      <c r="N9" s="13" t="n">
        <v>369728.9233960006</v>
      </c>
      <c r="O9" s="13" t="n">
        <v>365459.0276960004</v>
      </c>
      <c r="P9" s="13" t="n">
        <v>165590.3795119999</v>
      </c>
      <c r="Q9" s="13" t="n">
        <v>165590.3795119999</v>
      </c>
      <c r="R9" s="13" t="n">
        <v>148415.7327280007</v>
      </c>
      <c r="S9" s="13" t="n">
        <v>136284.4651840003</v>
      </c>
      <c r="T9" s="5" t="n"/>
      <c r="U9" s="5" t="n"/>
      <c r="V9" s="5" t="n"/>
      <c r="W9" s="5" t="n"/>
      <c r="X9" s="5" t="n"/>
      <c r="Y9" s="5" t="n"/>
    </row>
    <row r="10">
      <c r="A10" s="9" t="n">
        <v>2008</v>
      </c>
      <c r="B10" s="13" t="n">
        <v>870340.142488</v>
      </c>
      <c r="C10" s="13" t="n">
        <v>655777.985832</v>
      </c>
      <c r="D10" s="13" t="n">
        <v>493527.1616519999</v>
      </c>
      <c r="E10" s="13" t="n">
        <v>128686.2518159999</v>
      </c>
      <c r="F10" s="13" t="n">
        <v>168573.9197799999</v>
      </c>
      <c r="G10" s="13" t="n">
        <v>147377.7788</v>
      </c>
      <c r="H10" s="13" t="n">
        <v>140449.1134319999</v>
      </c>
      <c r="I10" s="13" t="n">
        <v>123519.4108</v>
      </c>
      <c r="J10" s="13" t="n">
        <v>116071.5884</v>
      </c>
      <c r="K10" s="13" t="n">
        <v>70633.80159999989</v>
      </c>
      <c r="L10" s="13" t="n">
        <v>63961.00667199981</v>
      </c>
      <c r="M10" s="13" t="n">
        <v>63736.01487200172</v>
      </c>
      <c r="N10" s="13" t="n">
        <v>83583.78857200174</v>
      </c>
      <c r="O10" s="13" t="n">
        <v>83253.8885720016</v>
      </c>
      <c r="P10" s="13" t="n">
        <v>83253.8885720016</v>
      </c>
      <c r="Q10" s="13" t="n">
        <v>76655.8885720016</v>
      </c>
      <c r="R10" s="13" t="n">
        <v>48265.09045200166</v>
      </c>
      <c r="S10" s="5" t="n"/>
      <c r="T10" s="5" t="n"/>
      <c r="U10" s="5" t="n"/>
      <c r="V10" s="5" t="n"/>
      <c r="W10" s="5" t="n"/>
      <c r="X10" s="5" t="n"/>
      <c r="Y10" s="5" t="n"/>
    </row>
    <row r="11">
      <c r="A11" s="9" t="n">
        <v>2009</v>
      </c>
      <c r="B11" s="13" t="n">
        <v>868426.877828</v>
      </c>
      <c r="C11" s="13" t="n">
        <v>353369.8166359999</v>
      </c>
      <c r="D11" s="13" t="n">
        <v>403667.2283760001</v>
      </c>
      <c r="E11" s="13" t="n">
        <v>383153.346988</v>
      </c>
      <c r="F11" s="13" t="n">
        <v>327146.1843999999</v>
      </c>
      <c r="G11" s="13" t="n">
        <v>281017.639784</v>
      </c>
      <c r="H11" s="13" t="n">
        <v>246634.7492</v>
      </c>
      <c r="I11" s="13" t="n">
        <v>105553.6739999999</v>
      </c>
      <c r="J11" s="13" t="n">
        <v>105547.0759999999</v>
      </c>
      <c r="K11" s="13" t="n">
        <v>105545.3737159998</v>
      </c>
      <c r="L11" s="13" t="n">
        <v>105545.3737159995</v>
      </c>
      <c r="M11" s="13" t="n">
        <v>90369.97371599963</v>
      </c>
      <c r="N11" s="13" t="n">
        <v>56326.18074399955</v>
      </c>
      <c r="O11" s="13" t="n">
        <v>56326.18074399955</v>
      </c>
      <c r="P11" s="13" t="n">
        <v>56326.18074399955</v>
      </c>
      <c r="Q11" s="13" t="n">
        <v>56326.18074399955</v>
      </c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9" t="n">
        <v>2010</v>
      </c>
      <c r="B12" s="13" t="n">
        <v>992029.7500039999</v>
      </c>
      <c r="C12" s="13" t="n">
        <v>621469.8257279999</v>
      </c>
      <c r="D12" s="13" t="n">
        <v>400738.0904079998</v>
      </c>
      <c r="E12" s="13" t="n">
        <v>246722.3223999999</v>
      </c>
      <c r="F12" s="13" t="n">
        <v>115874.4548879999</v>
      </c>
      <c r="G12" s="13" t="n">
        <v>129160.4779999999</v>
      </c>
      <c r="H12" s="13" t="n">
        <v>80692.88959999988</v>
      </c>
      <c r="I12" s="13" t="n">
        <v>79196.46319999988</v>
      </c>
      <c r="J12" s="13" t="n">
        <v>85238.13303599996</v>
      </c>
      <c r="K12" s="13" t="n">
        <v>84438.65337599954</v>
      </c>
      <c r="L12" s="13" t="n">
        <v>83443.6749759994</v>
      </c>
      <c r="M12" s="13" t="n">
        <v>83369.77737599937</v>
      </c>
      <c r="N12" s="13" t="n">
        <v>81720.27737599937</v>
      </c>
      <c r="O12" s="13" t="n">
        <v>81990.92733599944</v>
      </c>
      <c r="P12" s="13" t="n">
        <v>74388.11791599938</v>
      </c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9" t="n">
        <v>2011</v>
      </c>
      <c r="B13" s="13" t="n">
        <v>1565027.665408</v>
      </c>
      <c r="C13" s="13" t="n">
        <v>1132155.239432</v>
      </c>
      <c r="D13" s="13" t="n">
        <v>711057.1291999999</v>
      </c>
      <c r="E13" s="13" t="n">
        <v>508721.0269559999</v>
      </c>
      <c r="F13" s="13" t="n">
        <v>407535.9331999999</v>
      </c>
      <c r="G13" s="13" t="n">
        <v>278570.1055999999</v>
      </c>
      <c r="H13" s="13" t="n">
        <v>182372.5851999999</v>
      </c>
      <c r="I13" s="13" t="n">
        <v>182257.3049439997</v>
      </c>
      <c r="J13" s="13" t="n">
        <v>156931.5417440003</v>
      </c>
      <c r="K13" s="13" t="n">
        <v>149784.5881440004</v>
      </c>
      <c r="L13" s="13" t="n">
        <v>97089.06732400018</v>
      </c>
      <c r="M13" s="13" t="n">
        <v>102993.4195840003</v>
      </c>
      <c r="N13" s="13" t="n">
        <v>102993.4195840003</v>
      </c>
      <c r="O13" s="13" t="n">
        <v>102993.4195840003</v>
      </c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9" t="n">
        <v>2012</v>
      </c>
      <c r="B14" s="13" t="n">
        <v>946779.905624</v>
      </c>
      <c r="C14" s="13" t="n">
        <v>600176.488</v>
      </c>
      <c r="D14" s="13" t="n">
        <v>390656.061084</v>
      </c>
      <c r="E14" s="13" t="n">
        <v>313267.7363999999</v>
      </c>
      <c r="F14" s="13" t="n">
        <v>316297.5379999999</v>
      </c>
      <c r="G14" s="13" t="n">
        <v>307833.6235999999</v>
      </c>
      <c r="H14" s="13" t="n">
        <v>303928.346576</v>
      </c>
      <c r="I14" s="13" t="n">
        <v>253470.8013760012</v>
      </c>
      <c r="J14" s="13" t="n">
        <v>195968.4132240012</v>
      </c>
      <c r="K14" s="13" t="n">
        <v>134517.6367160012</v>
      </c>
      <c r="L14" s="13" t="n">
        <v>125940.2367160011</v>
      </c>
      <c r="M14" s="13" t="n">
        <v>-81086.37053199904</v>
      </c>
      <c r="N14" s="13" t="n">
        <v>-81086.37053199904</v>
      </c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9" t="n">
        <v>2013</v>
      </c>
      <c r="B15" s="13" t="n">
        <v>497194.0704</v>
      </c>
      <c r="C15" s="13" t="n">
        <v>266634.640472</v>
      </c>
      <c r="D15" s="13" t="n">
        <v>222169.6364</v>
      </c>
      <c r="E15" s="13" t="n">
        <v>108241.9704</v>
      </c>
      <c r="F15" s="13" t="n">
        <v>67644.47639999993</v>
      </c>
      <c r="G15" s="13" t="n">
        <v>69486.14974799997</v>
      </c>
      <c r="H15" s="13" t="n">
        <v>69137.66978000023</v>
      </c>
      <c r="I15" s="13" t="n">
        <v>69137.66978</v>
      </c>
      <c r="J15" s="13" t="n">
        <v>67772.01574000018</v>
      </c>
      <c r="K15" s="13" t="n">
        <v>67772.01574000018</v>
      </c>
      <c r="L15" s="13" t="n">
        <v>67760.79914000013</v>
      </c>
      <c r="M15" s="13" t="n">
        <v>67760.79914000013</v>
      </c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9" t="n">
        <v>2014</v>
      </c>
      <c r="B16" s="13" t="n">
        <v>972734.3125159999</v>
      </c>
      <c r="C16" s="13" t="n">
        <v>760513.9839999999</v>
      </c>
      <c r="D16" s="13" t="n">
        <v>434699.4655999998</v>
      </c>
      <c r="E16" s="13" t="n">
        <v>260071.5191999997</v>
      </c>
      <c r="F16" s="13" t="n">
        <v>241598.2672519998</v>
      </c>
      <c r="G16" s="13" t="n">
        <v>196436.2768519998</v>
      </c>
      <c r="H16" s="13" t="n">
        <v>235253.1158079999</v>
      </c>
      <c r="I16" s="13" t="n">
        <v>235253.1158079999</v>
      </c>
      <c r="J16" s="13" t="n">
        <v>181149.5158079998</v>
      </c>
      <c r="K16" s="13" t="n">
        <v>152866.185912</v>
      </c>
      <c r="L16" s="13" t="n">
        <v>162584.5252679999</v>
      </c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9" t="n">
        <v>2015</v>
      </c>
      <c r="B17" s="13" t="n">
        <v>3252099.13</v>
      </c>
      <c r="C17" s="13" t="n">
        <v>2721722.8588</v>
      </c>
      <c r="D17" s="13" t="n">
        <v>2184563.843599999</v>
      </c>
      <c r="E17" s="13" t="n">
        <v>1657142.790208</v>
      </c>
      <c r="F17" s="13" t="n">
        <v>1431201.472027998</v>
      </c>
      <c r="G17" s="13" t="n">
        <v>1109895.894867999</v>
      </c>
      <c r="H17" s="13" t="n">
        <v>734832.6244559982</v>
      </c>
      <c r="I17" s="13" t="n">
        <v>714114.904455998</v>
      </c>
      <c r="J17" s="13" t="n">
        <v>703960.859571998</v>
      </c>
      <c r="K17" s="13" t="n">
        <v>407202.7719239984</v>
      </c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9" t="n">
        <v>2016</v>
      </c>
      <c r="B18" s="13" t="n">
        <v>2203476.958</v>
      </c>
      <c r="C18" s="13" t="n">
        <v>1605318.1132</v>
      </c>
      <c r="D18" s="13" t="n">
        <v>1157808.881964</v>
      </c>
      <c r="E18" s="13" t="n">
        <v>1007011.248868</v>
      </c>
      <c r="F18" s="13" t="n">
        <v>738862.9073720011</v>
      </c>
      <c r="G18" s="13" t="n">
        <v>670861.3857400012</v>
      </c>
      <c r="H18" s="13" t="n">
        <v>387658.4008400012</v>
      </c>
      <c r="I18" s="13" t="n">
        <v>388254.2266320013</v>
      </c>
      <c r="J18" s="13" t="n">
        <v>384955.2266320013</v>
      </c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9" t="n">
        <v>2017</v>
      </c>
      <c r="B19" s="13" t="n">
        <v>973019.7284000001</v>
      </c>
      <c r="C19" s="13" t="n">
        <v>819473.922736</v>
      </c>
      <c r="D19" s="13" t="n">
        <v>798347.4038519997</v>
      </c>
      <c r="E19" s="13" t="n">
        <v>601576.3979039995</v>
      </c>
      <c r="F19" s="13" t="n">
        <v>539057.1280799996</v>
      </c>
      <c r="G19" s="13" t="n">
        <v>420238.3118959997</v>
      </c>
      <c r="H19" s="13" t="n">
        <v>265393.7163239997</v>
      </c>
      <c r="I19" s="13" t="n">
        <v>228534.7810839997</v>
      </c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9" t="n">
        <v>2018</v>
      </c>
      <c r="B20" s="13" t="n">
        <v>2430086.469552</v>
      </c>
      <c r="C20" s="13" t="n">
        <v>1770002.372868</v>
      </c>
      <c r="D20" s="13" t="n">
        <v>1269212.087900001</v>
      </c>
      <c r="E20" s="13" t="n">
        <v>621250.6549679991</v>
      </c>
      <c r="F20" s="13" t="n">
        <v>634552.1833799994</v>
      </c>
      <c r="G20" s="13" t="n">
        <v>604394.9423079994</v>
      </c>
      <c r="H20" s="13" t="n">
        <v>542621.8666959992</v>
      </c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9" t="n">
        <v>2019</v>
      </c>
      <c r="B21" s="13" t="n">
        <v>2886775.298824</v>
      </c>
      <c r="C21" s="13" t="n">
        <v>2170083.06732</v>
      </c>
      <c r="D21" s="13" t="n">
        <v>1554635.588687999</v>
      </c>
      <c r="E21" s="13" t="n">
        <v>1294127.084588</v>
      </c>
      <c r="F21" s="13" t="n">
        <v>1167311.43962</v>
      </c>
      <c r="G21" s="13" t="n">
        <v>694807.2557080006</v>
      </c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9" t="n">
        <v>2020</v>
      </c>
      <c r="B22" s="13" t="n">
        <v>980268.326468</v>
      </c>
      <c r="C22" s="13" t="n">
        <v>570455.4090440002</v>
      </c>
      <c r="D22" s="13" t="n">
        <v>586079.1299480001</v>
      </c>
      <c r="E22" s="13" t="n">
        <v>532902.628124</v>
      </c>
      <c r="F22" s="13" t="n">
        <v>523471.420532</v>
      </c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9" t="n">
        <v>2021</v>
      </c>
      <c r="B23" s="13" t="n">
        <v>1089931.333012</v>
      </c>
      <c r="C23" s="13" t="n">
        <v>838453.2475919998</v>
      </c>
      <c r="D23" s="13" t="n">
        <v>659071.6137400002</v>
      </c>
      <c r="E23" s="13" t="n">
        <v>628075.1202639999</v>
      </c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9" t="n">
        <v>2022</v>
      </c>
      <c r="B24" s="13" t="n">
        <v>868239.3764239998</v>
      </c>
      <c r="C24" s="13" t="n">
        <v>711206.5013679989</v>
      </c>
      <c r="D24" s="13" t="n">
        <v>735446.2733559991</v>
      </c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9" t="n">
        <v>2023</v>
      </c>
      <c r="B25" s="13" t="n">
        <v>2394891.177396</v>
      </c>
      <c r="C25" s="13" t="n">
        <v>1718134.805648</v>
      </c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9" t="n">
        <v>2024</v>
      </c>
      <c r="B26" s="13" t="n">
        <v>1689528.908172</v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</sheetData>
  <mergeCells count="1">
    <mergeCell ref="A1:Y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20" customHeight="1">
      <c r="A1" s="1" t="inlineStr">
        <is>
          <t>Average Unpaid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  <c r="O1" s="15" t="n"/>
      <c r="P1" s="15" t="n"/>
      <c r="Q1" s="15" t="n"/>
      <c r="R1" s="15" t="n"/>
      <c r="S1" s="15" t="n"/>
      <c r="T1" s="15" t="n"/>
      <c r="U1" s="15" t="n"/>
      <c r="V1" s="15" t="n"/>
      <c r="W1" s="15" t="n"/>
      <c r="X1" s="15" t="n"/>
      <c r="Y1" s="2" t="n"/>
    </row>
    <row r="2">
      <c r="A2" s="8" t="inlineStr">
        <is>
          <t>Period</t>
        </is>
      </c>
      <c r="B2" s="8" t="inlineStr">
        <is>
          <t>11</t>
        </is>
      </c>
      <c r="C2" s="8" t="inlineStr">
        <is>
          <t>23</t>
        </is>
      </c>
      <c r="D2" s="8" t="inlineStr">
        <is>
          <t>35</t>
        </is>
      </c>
      <c r="E2" s="8" t="inlineStr">
        <is>
          <t>47</t>
        </is>
      </c>
      <c r="F2" s="8" t="inlineStr">
        <is>
          <t>59</t>
        </is>
      </c>
      <c r="G2" s="8" t="inlineStr">
        <is>
          <t>71</t>
        </is>
      </c>
      <c r="H2" s="8" t="inlineStr">
        <is>
          <t>83</t>
        </is>
      </c>
      <c r="I2" s="8" t="inlineStr">
        <is>
          <t>95</t>
        </is>
      </c>
      <c r="J2" s="8" t="inlineStr">
        <is>
          <t>107</t>
        </is>
      </c>
      <c r="K2" s="8" t="inlineStr">
        <is>
          <t>119</t>
        </is>
      </c>
      <c r="L2" s="8" t="inlineStr">
        <is>
          <t>131</t>
        </is>
      </c>
      <c r="M2" s="8" t="inlineStr">
        <is>
          <t>143</t>
        </is>
      </c>
      <c r="N2" s="8" t="inlineStr">
        <is>
          <t>155</t>
        </is>
      </c>
      <c r="O2" s="8" t="inlineStr">
        <is>
          <t>167</t>
        </is>
      </c>
      <c r="P2" s="8" t="inlineStr">
        <is>
          <t>179</t>
        </is>
      </c>
      <c r="Q2" s="8" t="inlineStr">
        <is>
          <t>191</t>
        </is>
      </c>
      <c r="R2" s="8" t="inlineStr">
        <is>
          <t>203</t>
        </is>
      </c>
      <c r="S2" s="8" t="inlineStr">
        <is>
          <t>215</t>
        </is>
      </c>
      <c r="T2" s="8" t="inlineStr">
        <is>
          <t>227</t>
        </is>
      </c>
      <c r="U2" s="8" t="inlineStr">
        <is>
          <t>239</t>
        </is>
      </c>
      <c r="V2" s="8" t="inlineStr">
        <is>
          <t>251</t>
        </is>
      </c>
      <c r="W2" s="8" t="inlineStr">
        <is>
          <t>263</t>
        </is>
      </c>
      <c r="X2" s="8" t="inlineStr">
        <is>
          <t>275</t>
        </is>
      </c>
      <c r="Y2" s="8" t="inlineStr">
        <is>
          <t>287</t>
        </is>
      </c>
    </row>
    <row r="3">
      <c r="A3" s="9" t="n">
        <v>2001</v>
      </c>
      <c r="B3" s="13" t="n">
        <v>2728115.4812</v>
      </c>
      <c r="C3" s="13" t="n">
        <v>2006787.8116</v>
      </c>
      <c r="D3" s="13" t="n">
        <v>1508432.954</v>
      </c>
      <c r="E3" s="13" t="n">
        <v>1143194.066</v>
      </c>
      <c r="F3" s="13" t="n">
        <v>829939.5003999998</v>
      </c>
      <c r="G3" s="13" t="n">
        <v>770383.6167079997</v>
      </c>
      <c r="H3" s="13" t="n">
        <v>792386.6139119999</v>
      </c>
      <c r="I3" s="13" t="n">
        <v>761845.4352199994</v>
      </c>
      <c r="J3" s="13" t="n">
        <v>739614.2395879999</v>
      </c>
      <c r="K3" s="13" t="n">
        <v>711775.0210719998</v>
      </c>
      <c r="L3" s="13" t="n">
        <v>655959.5963639999</v>
      </c>
      <c r="M3" s="13" t="n">
        <v>598454.1335439994</v>
      </c>
      <c r="N3" s="13" t="n">
        <v>558435.7591999997</v>
      </c>
      <c r="O3" s="13" t="n">
        <v>495042.9009799999</v>
      </c>
      <c r="P3" s="13" t="n">
        <v>439995.0611999999</v>
      </c>
      <c r="Q3" s="13" t="n">
        <v>359809.5671999995</v>
      </c>
      <c r="R3" s="13" t="n">
        <v>271747.3807999995</v>
      </c>
      <c r="S3" s="13" t="n">
        <v>196513.4746639999</v>
      </c>
      <c r="T3" s="13" t="n">
        <v>87087.75602400023</v>
      </c>
      <c r="U3" s="13" t="n">
        <v>87087.75602400023</v>
      </c>
      <c r="V3" s="13" t="n">
        <v>64997.5728480001</v>
      </c>
      <c r="W3" s="13" t="n">
        <v>42773.80656399997</v>
      </c>
      <c r="X3" s="13" t="n">
        <v>23778.38889600011</v>
      </c>
      <c r="Y3" s="13" t="n">
        <v>11864.94772399962</v>
      </c>
    </row>
    <row r="4">
      <c r="A4" s="9" t="n">
        <v>2002</v>
      </c>
      <c r="B4" s="13" t="n">
        <v>1859476.054</v>
      </c>
      <c r="C4" s="13" t="n">
        <v>1305763.9764</v>
      </c>
      <c r="D4" s="13" t="n">
        <v>996466.8912</v>
      </c>
      <c r="E4" s="13" t="n">
        <v>898491.8696000001</v>
      </c>
      <c r="F4" s="13" t="n">
        <v>733394.8661600002</v>
      </c>
      <c r="G4" s="13" t="n">
        <v>595101.8418399999</v>
      </c>
      <c r="H4" s="13" t="n">
        <v>558508.119808</v>
      </c>
      <c r="I4" s="13" t="n">
        <v>529132.5965800001</v>
      </c>
      <c r="J4" s="13" t="n">
        <v>487257.2019399998</v>
      </c>
      <c r="K4" s="13" t="n">
        <v>466638.0428640002</v>
      </c>
      <c r="L4" s="13" t="n">
        <v>435839.726916</v>
      </c>
      <c r="M4" s="13" t="n">
        <v>402413.3219999999</v>
      </c>
      <c r="N4" s="13" t="n">
        <v>360789.6938439999</v>
      </c>
      <c r="O4" s="13" t="n">
        <v>313445.8900000001</v>
      </c>
      <c r="P4" s="13" t="n">
        <v>273217.8840000001</v>
      </c>
      <c r="Q4" s="13" t="n">
        <v>235267.5075999999</v>
      </c>
      <c r="R4" s="13" t="n">
        <v>178807.009628</v>
      </c>
      <c r="S4" s="13" t="n">
        <v>137623.9563239999</v>
      </c>
      <c r="T4" s="13" t="n">
        <v>104597.2582479995</v>
      </c>
      <c r="U4" s="13" t="n">
        <v>79006.65132799977</v>
      </c>
      <c r="V4" s="13" t="n">
        <v>57448.51767600002</v>
      </c>
      <c r="W4" s="13" t="n">
        <v>36785.785408</v>
      </c>
      <c r="X4" s="13" t="n">
        <v>17190.70191199984</v>
      </c>
      <c r="Y4" s="5" t="n"/>
    </row>
    <row r="5">
      <c r="A5" s="9" t="n">
        <v>2003</v>
      </c>
      <c r="B5" s="13" t="n">
        <v>1341871.6884</v>
      </c>
      <c r="C5" s="13" t="n">
        <v>653825.6503999999</v>
      </c>
      <c r="D5" s="13" t="n">
        <v>475940.9312</v>
      </c>
      <c r="E5" s="13" t="n">
        <v>356261.564268</v>
      </c>
      <c r="F5" s="13" t="n">
        <v>128697.49438</v>
      </c>
      <c r="G5" s="13" t="n">
        <v>45221.22148799989</v>
      </c>
      <c r="H5" s="13" t="n">
        <v>42568.12609999999</v>
      </c>
      <c r="I5" s="13" t="n">
        <v>30206.72031599982</v>
      </c>
      <c r="J5" s="13" t="n">
        <v>32758.74753999989</v>
      </c>
      <c r="K5" s="13" t="n">
        <v>28423.65040399996</v>
      </c>
      <c r="L5" s="13" t="n">
        <v>31795.24159999983</v>
      </c>
      <c r="M5" s="13" t="n">
        <v>31406.51383199985</v>
      </c>
      <c r="N5" s="13" t="n">
        <v>31276.63879999984</v>
      </c>
      <c r="O5" s="13" t="n">
        <v>31276.12415600009</v>
      </c>
      <c r="P5" s="13" t="n">
        <v>31276.12415600009</v>
      </c>
      <c r="Q5" s="13" t="n">
        <v>31276.73117200006</v>
      </c>
      <c r="R5" s="13" t="n">
        <v>27515.26415600092</v>
      </c>
      <c r="S5" s="13" t="n">
        <v>27515.26415600069</v>
      </c>
      <c r="T5" s="13" t="n">
        <v>27515.26415600069</v>
      </c>
      <c r="U5" s="13" t="n">
        <v>27515.26415600069</v>
      </c>
      <c r="V5" s="13" t="n">
        <v>27515.26415600069</v>
      </c>
      <c r="W5" s="13" t="n">
        <v>27515.26415600069</v>
      </c>
      <c r="X5" s="5" t="n"/>
      <c r="Y5" s="5" t="n"/>
    </row>
    <row r="6">
      <c r="A6" s="9" t="n">
        <v>2004</v>
      </c>
      <c r="B6" s="13" t="n">
        <v>889596.8283999999</v>
      </c>
      <c r="C6" s="13" t="n">
        <v>520502.0691999999</v>
      </c>
      <c r="D6" s="13" t="n">
        <v>339520.9481880012</v>
      </c>
      <c r="E6" s="13" t="n">
        <v>242857.6881639998</v>
      </c>
      <c r="F6" s="13" t="n">
        <v>91340.70151999989</v>
      </c>
      <c r="G6" s="13" t="n">
        <v>87463.58475999977</v>
      </c>
      <c r="H6" s="13" t="n">
        <v>70239.78287599981</v>
      </c>
      <c r="I6" s="13" t="n">
        <v>61842.45549199986</v>
      </c>
      <c r="J6" s="13" t="n">
        <v>41796.27993199998</v>
      </c>
      <c r="K6" s="13" t="n">
        <v>48569.56239999994</v>
      </c>
      <c r="L6" s="13" t="n">
        <v>44628.43184399977</v>
      </c>
      <c r="M6" s="13" t="n">
        <v>37582.57279999973</v>
      </c>
      <c r="N6" s="13" t="n">
        <v>37122.03239999991</v>
      </c>
      <c r="O6" s="13" t="n">
        <v>35107.00319999992</v>
      </c>
      <c r="P6" s="13" t="n">
        <v>34460.96662799991</v>
      </c>
      <c r="Q6" s="13" t="n">
        <v>23903.59919999959</v>
      </c>
      <c r="R6" s="13" t="n">
        <v>23903.59919999959</v>
      </c>
      <c r="S6" s="13" t="n">
        <v>23903.59919999959</v>
      </c>
      <c r="T6" s="13" t="n">
        <v>23903.59919999959</v>
      </c>
      <c r="U6" s="13" t="n">
        <v>23869.94939999958</v>
      </c>
      <c r="V6" s="13" t="n">
        <v>23869.94939999958</v>
      </c>
      <c r="W6" s="5" t="n"/>
      <c r="X6" s="5" t="n"/>
      <c r="Y6" s="5" t="n"/>
    </row>
    <row r="7">
      <c r="A7" s="9" t="n">
        <v>2005</v>
      </c>
      <c r="B7" s="13" t="n">
        <v>1690905.9892</v>
      </c>
      <c r="C7" s="13" t="n">
        <v>1063003.254832</v>
      </c>
      <c r="D7" s="13" t="n">
        <v>732267.3278199998</v>
      </c>
      <c r="E7" s="13" t="n">
        <v>663473.3336039998</v>
      </c>
      <c r="F7" s="13" t="n">
        <v>541260.8493159998</v>
      </c>
      <c r="G7" s="13" t="n">
        <v>504765.3846999998</v>
      </c>
      <c r="H7" s="13" t="n">
        <v>466898.0507279998</v>
      </c>
      <c r="I7" s="13" t="n">
        <v>447811.1979759999</v>
      </c>
      <c r="J7" s="13" t="n">
        <v>440088.8195999998</v>
      </c>
      <c r="K7" s="13" t="n">
        <v>384279.1219559999</v>
      </c>
      <c r="L7" s="13" t="n">
        <v>329863.9511999998</v>
      </c>
      <c r="M7" s="13" t="n">
        <v>289951.3295999998</v>
      </c>
      <c r="N7" s="13" t="n">
        <v>224182.4655999998</v>
      </c>
      <c r="O7" s="13" t="n">
        <v>185019.944228</v>
      </c>
      <c r="P7" s="13" t="n">
        <v>121312.1238799999</v>
      </c>
      <c r="Q7" s="13" t="n">
        <v>103965.1637280001</v>
      </c>
      <c r="R7" s="13" t="n">
        <v>61501.04274399998</v>
      </c>
      <c r="S7" s="13" t="n">
        <v>57749.61788399983</v>
      </c>
      <c r="T7" s="13" t="n">
        <v>57749.61788399983</v>
      </c>
      <c r="U7" s="13" t="n">
        <v>57749.61788399983</v>
      </c>
      <c r="V7" s="5" t="n"/>
      <c r="W7" s="5" t="n"/>
      <c r="X7" s="5" t="n"/>
      <c r="Y7" s="5" t="n"/>
    </row>
    <row r="8">
      <c r="A8" s="9" t="n">
        <v>2006</v>
      </c>
      <c r="B8" s="13" t="n">
        <v>1218613.564276</v>
      </c>
      <c r="C8" s="13" t="n">
        <v>803817.7844679998</v>
      </c>
      <c r="D8" s="13" t="n">
        <v>610139.6438039999</v>
      </c>
      <c r="E8" s="13" t="n">
        <v>530556.0193639998</v>
      </c>
      <c r="F8" s="13" t="n">
        <v>471031.133076</v>
      </c>
      <c r="G8" s="13" t="n">
        <v>422964.3071959999</v>
      </c>
      <c r="H8" s="13" t="n">
        <v>378287.9955760001</v>
      </c>
      <c r="I8" s="13" t="n">
        <v>370648.7519999999</v>
      </c>
      <c r="J8" s="13" t="n">
        <v>334860.896492</v>
      </c>
      <c r="K8" s="13" t="n">
        <v>286966.318</v>
      </c>
      <c r="L8" s="13" t="n">
        <v>174775.2455999998</v>
      </c>
      <c r="M8" s="13" t="n">
        <v>138057.3755999999</v>
      </c>
      <c r="N8" s="13" t="n">
        <v>123823.8400999999</v>
      </c>
      <c r="O8" s="13" t="n">
        <v>98040.57158000022</v>
      </c>
      <c r="P8" s="13" t="n">
        <v>88468.45709999953</v>
      </c>
      <c r="Q8" s="13" t="n">
        <v>76649.85557999974</v>
      </c>
      <c r="R8" s="13" t="n">
        <v>60285.24525599973</v>
      </c>
      <c r="S8" s="13" t="n">
        <v>49266.9151559996</v>
      </c>
      <c r="T8" s="13" t="n">
        <v>41258.96214399976</v>
      </c>
      <c r="U8" s="5" t="n"/>
      <c r="V8" s="5" t="n"/>
      <c r="W8" s="5" t="n"/>
      <c r="X8" s="5" t="n"/>
      <c r="Y8" s="5" t="n"/>
    </row>
    <row r="9">
      <c r="A9" s="9" t="n">
        <v>2007</v>
      </c>
      <c r="B9" s="13" t="n">
        <v>4443481.206012</v>
      </c>
      <c r="C9" s="13" t="n">
        <v>3843821.329408</v>
      </c>
      <c r="D9" s="13" t="n">
        <v>3518533.041096</v>
      </c>
      <c r="E9" s="13" t="n">
        <v>3127922.269876</v>
      </c>
      <c r="F9" s="13" t="n">
        <v>2789398.024076</v>
      </c>
      <c r="G9" s="13" t="n">
        <v>2326257.167532</v>
      </c>
      <c r="H9" s="13" t="n">
        <v>2022912.5736</v>
      </c>
      <c r="I9" s="13" t="n">
        <v>1795874.483076</v>
      </c>
      <c r="J9" s="13" t="n">
        <v>1541658.4124</v>
      </c>
      <c r="K9" s="13" t="n">
        <v>1252619.8264</v>
      </c>
      <c r="L9" s="13" t="n">
        <v>948861.1023999997</v>
      </c>
      <c r="M9" s="13" t="n">
        <v>748951.8501240006</v>
      </c>
      <c r="N9" s="13" t="n">
        <v>576666.9986799993</v>
      </c>
      <c r="O9" s="13" t="n">
        <v>450328.0328200003</v>
      </c>
      <c r="P9" s="13" t="n">
        <v>329748.0256920001</v>
      </c>
      <c r="Q9" s="13" t="n">
        <v>195592.9898559991</v>
      </c>
      <c r="R9" s="13" t="n">
        <v>165729.557724</v>
      </c>
      <c r="S9" s="13" t="n">
        <v>156365.9268479999</v>
      </c>
      <c r="T9" s="5" t="n"/>
      <c r="U9" s="5" t="n"/>
      <c r="V9" s="5" t="n"/>
      <c r="W9" s="5" t="n"/>
      <c r="X9" s="5" t="n"/>
      <c r="Y9" s="5" t="n"/>
    </row>
    <row r="10">
      <c r="A10" s="9" t="n">
        <v>2008</v>
      </c>
      <c r="B10" s="13" t="n">
        <v>1073176.267564</v>
      </c>
      <c r="C10" s="13" t="n">
        <v>780117.982024</v>
      </c>
      <c r="D10" s="13" t="n">
        <v>557055.5955760001</v>
      </c>
      <c r="E10" s="13" t="n">
        <v>238337.2921559999</v>
      </c>
      <c r="F10" s="13" t="n">
        <v>196840.4907559999</v>
      </c>
      <c r="G10" s="13" t="n">
        <v>158941.4335999999</v>
      </c>
      <c r="H10" s="13" t="n">
        <v>150077.5088519999</v>
      </c>
      <c r="I10" s="13" t="n">
        <v>141915.9543999999</v>
      </c>
      <c r="J10" s="13" t="n">
        <v>126823.6891999999</v>
      </c>
      <c r="K10" s="13" t="n">
        <v>109399.6908</v>
      </c>
      <c r="L10" s="13" t="n">
        <v>95311.07377199992</v>
      </c>
      <c r="M10" s="13" t="n">
        <v>92726.5052120015</v>
      </c>
      <c r="N10" s="13" t="n">
        <v>89632.82177600171</v>
      </c>
      <c r="O10" s="13" t="n">
        <v>88113.64547200175</v>
      </c>
      <c r="P10" s="13" t="n">
        <v>87236.16425600182</v>
      </c>
      <c r="Q10" s="13" t="n">
        <v>83691.82422400173</v>
      </c>
      <c r="R10" s="13" t="n">
        <v>48265.09045200166</v>
      </c>
      <c r="S10" s="5" t="n"/>
      <c r="T10" s="5" t="n"/>
      <c r="U10" s="5" t="n"/>
      <c r="V10" s="5" t="n"/>
      <c r="W10" s="5" t="n"/>
      <c r="X10" s="5" t="n"/>
      <c r="Y10" s="5" t="n"/>
    </row>
    <row r="11">
      <c r="A11" s="9" t="n">
        <v>2009</v>
      </c>
      <c r="B11" s="13" t="n">
        <v>997239.631828</v>
      </c>
      <c r="C11" s="13" t="n">
        <v>483659.9684039999</v>
      </c>
      <c r="D11" s="13" t="n">
        <v>413956.453084</v>
      </c>
      <c r="E11" s="13" t="n">
        <v>391845.3410519999</v>
      </c>
      <c r="F11" s="13" t="n">
        <v>330922.8796</v>
      </c>
      <c r="G11" s="13" t="n">
        <v>284822.336896</v>
      </c>
      <c r="H11" s="13" t="n">
        <v>256515.914</v>
      </c>
      <c r="I11" s="13" t="n">
        <v>207651.1259999999</v>
      </c>
      <c r="J11" s="13" t="n">
        <v>170297.2087999999</v>
      </c>
      <c r="K11" s="13" t="n">
        <v>154801.264764</v>
      </c>
      <c r="L11" s="13" t="n">
        <v>144724.8915359997</v>
      </c>
      <c r="M11" s="13" t="n">
        <v>111701.6244199998</v>
      </c>
      <c r="N11" s="13" t="n">
        <v>56326.18074399955</v>
      </c>
      <c r="O11" s="13" t="n">
        <v>56326.18074399955</v>
      </c>
      <c r="P11" s="13" t="n">
        <v>56326.18074399955</v>
      </c>
      <c r="Q11" s="13" t="n">
        <v>56326.18074399955</v>
      </c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9" t="n">
        <v>2010</v>
      </c>
      <c r="B12" s="13" t="n">
        <v>1108437.036776</v>
      </c>
      <c r="C12" s="13" t="n">
        <v>678909.6252519999</v>
      </c>
      <c r="D12" s="13" t="n">
        <v>436807.4165959998</v>
      </c>
      <c r="E12" s="13" t="n">
        <v>275139.9083999998</v>
      </c>
      <c r="F12" s="13" t="n">
        <v>175075.8544319998</v>
      </c>
      <c r="G12" s="13" t="n">
        <v>150524.8019999999</v>
      </c>
      <c r="H12" s="13" t="n">
        <v>91751.13759999978</v>
      </c>
      <c r="I12" s="13" t="n">
        <v>89557.96239999984</v>
      </c>
      <c r="J12" s="13" t="n">
        <v>85238.13303599996</v>
      </c>
      <c r="K12" s="13" t="n">
        <v>84438.65337599954</v>
      </c>
      <c r="L12" s="13" t="n">
        <v>83796.14013599954</v>
      </c>
      <c r="M12" s="13" t="n">
        <v>83722.24253599951</v>
      </c>
      <c r="N12" s="13" t="n">
        <v>82915.41270399932</v>
      </c>
      <c r="O12" s="13" t="n">
        <v>81990.92733599944</v>
      </c>
      <c r="P12" s="13" t="n">
        <v>74388.11791599938</v>
      </c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9" t="n">
        <v>2011</v>
      </c>
      <c r="B13" s="13" t="n">
        <v>1654996.96412</v>
      </c>
      <c r="C13" s="13" t="n">
        <v>1180028.968244</v>
      </c>
      <c r="D13" s="13" t="n">
        <v>711057.1291999999</v>
      </c>
      <c r="E13" s="13" t="n">
        <v>612248.6086520001</v>
      </c>
      <c r="F13" s="13" t="n">
        <v>495660.1407999999</v>
      </c>
      <c r="G13" s="13" t="n">
        <v>360259.9435999999</v>
      </c>
      <c r="H13" s="13" t="n">
        <v>196907.9791999999</v>
      </c>
      <c r="I13" s="13" t="n">
        <v>193318.9443159997</v>
      </c>
      <c r="J13" s="13" t="n">
        <v>185010.7955000002</v>
      </c>
      <c r="K13" s="13" t="n">
        <v>170949.4678000002</v>
      </c>
      <c r="L13" s="13" t="n">
        <v>161329.5969960003</v>
      </c>
      <c r="M13" s="13" t="n">
        <v>142133.3626000001</v>
      </c>
      <c r="N13" s="13" t="n">
        <v>132462.4232760002</v>
      </c>
      <c r="O13" s="13" t="n">
        <v>126416.7022680002</v>
      </c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9" t="n">
        <v>2012</v>
      </c>
      <c r="B14" s="13" t="n">
        <v>1054857.019456</v>
      </c>
      <c r="C14" s="13" t="n">
        <v>648089.8443999999</v>
      </c>
      <c r="D14" s="13" t="n">
        <v>483323.295192</v>
      </c>
      <c r="E14" s="13" t="n">
        <v>331096.852</v>
      </c>
      <c r="F14" s="13" t="n">
        <v>321488.8443999999</v>
      </c>
      <c r="G14" s="13" t="n">
        <v>315231.3012</v>
      </c>
      <c r="H14" s="13" t="n">
        <v>305005.0082159999</v>
      </c>
      <c r="I14" s="13" t="n">
        <v>266485.3431800012</v>
      </c>
      <c r="J14" s="13" t="n">
        <v>234426.4265480011</v>
      </c>
      <c r="K14" s="13" t="n">
        <v>229626.381548001</v>
      </c>
      <c r="L14" s="13" t="n">
        <v>198347.2165560012</v>
      </c>
      <c r="M14" s="13" t="n">
        <v>137091.4901240012</v>
      </c>
      <c r="N14" s="13" t="n">
        <v>88430.13166000112</v>
      </c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9" t="n">
        <v>2013</v>
      </c>
      <c r="B15" s="13" t="n">
        <v>573732.1900000001</v>
      </c>
      <c r="C15" s="13" t="n">
        <v>310180.529948</v>
      </c>
      <c r="D15" s="13" t="n">
        <v>231549.3532</v>
      </c>
      <c r="E15" s="13" t="n">
        <v>178692.7752</v>
      </c>
      <c r="F15" s="13" t="n">
        <v>67644.47639999993</v>
      </c>
      <c r="G15" s="13" t="n">
        <v>69486.14974799997</v>
      </c>
      <c r="H15" s="13" t="n">
        <v>69137.66978000023</v>
      </c>
      <c r="I15" s="13" t="n">
        <v>69137.66978</v>
      </c>
      <c r="J15" s="13" t="n">
        <v>67772.01574000018</v>
      </c>
      <c r="K15" s="13" t="n">
        <v>67772.01574000018</v>
      </c>
      <c r="L15" s="13" t="n">
        <v>67760.79914000013</v>
      </c>
      <c r="M15" s="13" t="n">
        <v>67760.79914000013</v>
      </c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9" t="n">
        <v>2014</v>
      </c>
      <c r="B16" s="13" t="n">
        <v>1140467.058604</v>
      </c>
      <c r="C16" s="13" t="n">
        <v>813951.1859999999</v>
      </c>
      <c r="D16" s="13" t="n">
        <v>625869.9175999999</v>
      </c>
      <c r="E16" s="13" t="n">
        <v>372655.8324</v>
      </c>
      <c r="F16" s="13" t="n">
        <v>293640.3353479998</v>
      </c>
      <c r="G16" s="13" t="n">
        <v>272751.1993079996</v>
      </c>
      <c r="H16" s="13" t="n">
        <v>264932.6352879996</v>
      </c>
      <c r="I16" s="13" t="n">
        <v>261110.9681199999</v>
      </c>
      <c r="J16" s="13" t="n">
        <v>252942.5253559996</v>
      </c>
      <c r="K16" s="13" t="n">
        <v>172870.1870559999</v>
      </c>
      <c r="L16" s="13" t="n">
        <v>162584.5252679999</v>
      </c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9" t="n">
        <v>2015</v>
      </c>
      <c r="B17" s="13" t="n">
        <v>3409741.1852</v>
      </c>
      <c r="C17" s="13" t="n">
        <v>2945470.276</v>
      </c>
      <c r="D17" s="13" t="n">
        <v>2370023.0668</v>
      </c>
      <c r="E17" s="13" t="n">
        <v>1709291.666727999</v>
      </c>
      <c r="F17" s="13" t="n">
        <v>1555544.028243999</v>
      </c>
      <c r="G17" s="13" t="n">
        <v>1302098.194891999</v>
      </c>
      <c r="H17" s="13" t="n">
        <v>1026484.374747999</v>
      </c>
      <c r="I17" s="13" t="n">
        <v>875225.5678439979</v>
      </c>
      <c r="J17" s="13" t="n">
        <v>833432.7141839983</v>
      </c>
      <c r="K17" s="13" t="n">
        <v>425934.7314519985</v>
      </c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9" t="n">
        <v>2016</v>
      </c>
      <c r="B18" s="13" t="n">
        <v>2551656.0572</v>
      </c>
      <c r="C18" s="13" t="n">
        <v>1765376.356</v>
      </c>
      <c r="D18" s="13" t="n">
        <v>1299785.741232</v>
      </c>
      <c r="E18" s="13" t="n">
        <v>1100155.346828</v>
      </c>
      <c r="F18" s="13" t="n">
        <v>965388.9667040012</v>
      </c>
      <c r="G18" s="13" t="n">
        <v>768450.3583600018</v>
      </c>
      <c r="H18" s="13" t="n">
        <v>472112.5237240014</v>
      </c>
      <c r="I18" s="13" t="n">
        <v>456089.0563920015</v>
      </c>
      <c r="J18" s="13" t="n">
        <v>429070.1936080013</v>
      </c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9" t="n">
        <v>2017</v>
      </c>
      <c r="B19" s="13" t="n">
        <v>1097694.2168</v>
      </c>
      <c r="C19" s="13" t="n">
        <v>849556.316096</v>
      </c>
      <c r="D19" s="13" t="n">
        <v>804219.4654999997</v>
      </c>
      <c r="E19" s="13" t="n">
        <v>723779.4206599998</v>
      </c>
      <c r="F19" s="13" t="n">
        <v>661671.0346879998</v>
      </c>
      <c r="G19" s="13" t="n">
        <v>578616.4663679997</v>
      </c>
      <c r="H19" s="13" t="n">
        <v>329258.8329919996</v>
      </c>
      <c r="I19" s="13" t="n">
        <v>228534.7810839997</v>
      </c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9" t="n">
        <v>2018</v>
      </c>
      <c r="B20" s="13" t="n">
        <v>2592651.121004</v>
      </c>
      <c r="C20" s="13" t="n">
        <v>1944950.177112</v>
      </c>
      <c r="D20" s="13" t="n">
        <v>1464347.9379</v>
      </c>
      <c r="E20" s="13" t="n">
        <v>913967.1113239995</v>
      </c>
      <c r="F20" s="13" t="n">
        <v>797665.207808</v>
      </c>
      <c r="G20" s="13" t="n">
        <v>677220.9743239991</v>
      </c>
      <c r="H20" s="13" t="n">
        <v>542621.8666959992</v>
      </c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9" t="n">
        <v>2019</v>
      </c>
      <c r="B21" s="13" t="n">
        <v>3005410.268335999</v>
      </c>
      <c r="C21" s="13" t="n">
        <v>2521022.360644</v>
      </c>
      <c r="D21" s="13" t="n">
        <v>1941006.656656</v>
      </c>
      <c r="E21" s="13" t="n">
        <v>1693994.348359999</v>
      </c>
      <c r="F21" s="13" t="n">
        <v>1323849.64942</v>
      </c>
      <c r="G21" s="13" t="n">
        <v>899500.2955119992</v>
      </c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9" t="n">
        <v>2020</v>
      </c>
      <c r="B22" s="13" t="n">
        <v>1216454.794716</v>
      </c>
      <c r="C22" s="13" t="n">
        <v>772282.9638400001</v>
      </c>
      <c r="D22" s="13" t="n">
        <v>640667.0759320001</v>
      </c>
      <c r="E22" s="13" t="n">
        <v>536434.8806200001</v>
      </c>
      <c r="F22" s="13" t="n">
        <v>526320.067444</v>
      </c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9" t="n">
        <v>2021</v>
      </c>
      <c r="B23" s="13" t="n">
        <v>1365676.295004</v>
      </c>
      <c r="C23" s="13" t="n">
        <v>1092476.524708</v>
      </c>
      <c r="D23" s="13" t="n">
        <v>728009.16724</v>
      </c>
      <c r="E23" s="13" t="n">
        <v>664408.9866639997</v>
      </c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9" t="n">
        <v>2022</v>
      </c>
      <c r="B24" s="13" t="n">
        <v>1255521.496232</v>
      </c>
      <c r="C24" s="13" t="n">
        <v>816217.814912</v>
      </c>
      <c r="D24" s="13" t="n">
        <v>771758.6698639998</v>
      </c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9" t="n">
        <v>2023</v>
      </c>
      <c r="B25" s="13" t="n">
        <v>3002624.248036</v>
      </c>
      <c r="C25" s="13" t="n">
        <v>2170649.411643999</v>
      </c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9" t="n">
        <v>2024</v>
      </c>
      <c r="B26" s="13" t="n">
        <v>2224436.369068</v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</sheetData>
  <mergeCells count="1">
    <mergeCell ref="A1:Y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20" customHeight="1">
      <c r="A1" s="1" t="inlineStr">
        <is>
          <t>Post-Method Series Diagnostics</t>
        </is>
      </c>
      <c r="B1" s="15" t="n"/>
      <c r="C1" s="15" t="n"/>
      <c r="D1" s="2" t="n"/>
    </row>
    <row r="2">
      <c r="A2" s="8" t="inlineStr">
        <is>
          <t>Accident Period</t>
        </is>
      </c>
      <c r="B2" s="8" t="inlineStr">
        <is>
          <t>Ultimate Severity</t>
        </is>
      </c>
      <c r="C2" s="8" t="inlineStr">
        <is>
          <t>Ultimate Loss Rate</t>
        </is>
      </c>
      <c r="D2" s="8" t="inlineStr">
        <is>
          <t>Ultimate Frequency</t>
        </is>
      </c>
    </row>
    <row r="3">
      <c r="A3" s="9" t="n">
        <v>2001</v>
      </c>
      <c r="B3" s="13" t="n">
        <v>4358.679155185416</v>
      </c>
      <c r="C3" s="13" t="n">
        <v>0.009653533722406221</v>
      </c>
      <c r="D3" s="13" t="n">
        <v>2.214784199227338e-06</v>
      </c>
    </row>
    <row r="4">
      <c r="A4" s="9" t="n">
        <v>2002</v>
      </c>
      <c r="B4" s="13" t="n">
        <v>3400.670013487096</v>
      </c>
      <c r="C4" s="13" t="n">
        <v>0.006869548031250423</v>
      </c>
      <c r="D4" s="13" t="n">
        <v>2.02005722519554e-06</v>
      </c>
    </row>
    <row r="5">
      <c r="A5" s="9" t="n">
        <v>2003</v>
      </c>
      <c r="B5" s="13" t="n">
        <v>3273.44164028247</v>
      </c>
      <c r="C5" s="13" t="n">
        <v>0.005485515370618482</v>
      </c>
      <c r="D5" s="13" t="n">
        <v>1.675763912548363e-06</v>
      </c>
    </row>
    <row r="6">
      <c r="A6" s="9" t="n">
        <v>2004</v>
      </c>
      <c r="B6" s="13" t="n">
        <v>1784.008781206177</v>
      </c>
      <c r="C6" s="13" t="n">
        <v>0.003414776854560157</v>
      </c>
      <c r="D6" s="13" t="n">
        <v>1.914103165036783e-06</v>
      </c>
    </row>
    <row r="7">
      <c r="A7" s="9" t="n">
        <v>2005</v>
      </c>
      <c r="B7" s="13" t="n">
        <v>3586.163954783654</v>
      </c>
      <c r="C7" s="13" t="n">
        <v>0.006715875223356483</v>
      </c>
      <c r="D7" s="13" t="n">
        <v>1.872718399948794e-06</v>
      </c>
    </row>
    <row r="8">
      <c r="A8" s="9" t="n">
        <v>2006</v>
      </c>
      <c r="B8" s="13" t="n">
        <v>3021.975130314387</v>
      </c>
      <c r="C8" s="13" t="n">
        <v>0.004303960459523584</v>
      </c>
      <c r="D8" s="13" t="n">
        <v>1.424221005775063e-06</v>
      </c>
    </row>
    <row r="9">
      <c r="A9" s="9" t="n">
        <v>2007</v>
      </c>
      <c r="B9" s="13" t="n">
        <v>10384.78687825321</v>
      </c>
      <c r="C9" s="13" t="n">
        <v>0.01388483281537865</v>
      </c>
      <c r="D9" s="13" t="n">
        <v>1.337035894733179e-06</v>
      </c>
    </row>
    <row r="10">
      <c r="A10" s="9" t="n">
        <v>2008</v>
      </c>
      <c r="B10" s="13" t="n">
        <v>4341.990666515714</v>
      </c>
      <c r="C10" s="13" t="n">
        <v>0.00392576162758277</v>
      </c>
      <c r="D10" s="13" t="n">
        <v>9.041386610655815e-07</v>
      </c>
    </row>
    <row r="11">
      <c r="A11" s="9" t="n">
        <v>2009</v>
      </c>
      <c r="B11" s="13" t="n">
        <v>3807.373539671734</v>
      </c>
      <c r="C11" s="13" t="n">
        <v>0.003307126710451525</v>
      </c>
      <c r="D11" s="13" t="n">
        <v>8.686110453813421e-07</v>
      </c>
    </row>
    <row r="12">
      <c r="A12" s="9" t="n">
        <v>2010</v>
      </c>
      <c r="B12" s="13" t="n">
        <v>4973.779160793061</v>
      </c>
      <c r="C12" s="13" t="n">
        <v>0.003575930490731921</v>
      </c>
      <c r="D12" s="13" t="n">
        <v>7.189564263166329e-07</v>
      </c>
    </row>
    <row r="13">
      <c r="A13" s="9" t="n">
        <v>2011</v>
      </c>
      <c r="B13" s="13" t="n">
        <v>5839.946294158072</v>
      </c>
      <c r="C13" s="13" t="n">
        <v>0.005235345194738358</v>
      </c>
      <c r="D13" s="13" t="n">
        <v>8.964714624131867e-07</v>
      </c>
    </row>
    <row r="14">
      <c r="A14" s="9" t="n">
        <v>2012</v>
      </c>
      <c r="B14" s="13" t="n">
        <v>4909.151418703555</v>
      </c>
      <c r="C14" s="13" t="n">
        <v>0.003260668320391781</v>
      </c>
      <c r="D14" s="13" t="n">
        <v>6.642020264375716e-07</v>
      </c>
    </row>
    <row r="15">
      <c r="A15" s="9" t="n">
        <v>2013</v>
      </c>
      <c r="B15" s="13" t="n">
        <v>2661.888457903739</v>
      </c>
      <c r="C15" s="13" t="n">
        <v>0.00193471483221382</v>
      </c>
      <c r="D15" s="13" t="n">
        <v>7.268203994307954e-07</v>
      </c>
    </row>
    <row r="16">
      <c r="A16" s="9" t="n">
        <v>2014</v>
      </c>
      <c r="B16" s="13" t="n">
        <v>3409.439421695639</v>
      </c>
      <c r="C16" s="13" t="n">
        <v>0.003792597338881947</v>
      </c>
      <c r="D16" s="13" t="n">
        <v>1.112381500239635e-06</v>
      </c>
    </row>
    <row r="17">
      <c r="A17" s="9" t="n">
        <v>2015</v>
      </c>
      <c r="B17" s="13" t="n">
        <v>11352.60184844611</v>
      </c>
      <c r="C17" s="13" t="n">
        <v>0.009079259282600796</v>
      </c>
      <c r="D17" s="13" t="n">
        <v>7.997514053435708e-07</v>
      </c>
    </row>
    <row r="18">
      <c r="A18" s="9" t="n">
        <v>2016</v>
      </c>
      <c r="B18" s="13" t="n">
        <v>7419.185559259232</v>
      </c>
      <c r="C18" s="13" t="n">
        <v>0.006790191059312803</v>
      </c>
      <c r="D18" s="13" t="n">
        <v>9.15220546120263e-07</v>
      </c>
    </row>
    <row r="19">
      <c r="A19" s="9" t="n">
        <v>2017</v>
      </c>
      <c r="B19" s="13" t="n">
        <v>4636.00213967349</v>
      </c>
      <c r="C19" s="13" t="n">
        <v>0.003302523766445061</v>
      </c>
      <c r="D19" s="13" t="n">
        <v>7.123645906422413e-07</v>
      </c>
    </row>
    <row r="20">
      <c r="A20" s="9" t="n">
        <v>2018</v>
      </c>
      <c r="B20" s="13" t="n">
        <v>9042.135991949061</v>
      </c>
      <c r="C20" s="13" t="n">
        <v>0.006632142518082441</v>
      </c>
      <c r="D20" s="13" t="n">
        <v>7.334707776998233e-07</v>
      </c>
    </row>
    <row r="21">
      <c r="A21" s="9" t="n">
        <v>2019</v>
      </c>
      <c r="B21" s="13" t="n">
        <v>9241.663852298992</v>
      </c>
      <c r="C21" s="13" t="n">
        <v>0.007291318535934216</v>
      </c>
      <c r="D21" s="13" t="n">
        <v>7.88961668857973e-07</v>
      </c>
    </row>
    <row r="22">
      <c r="A22" s="9" t="n">
        <v>2020</v>
      </c>
      <c r="B22" s="13" t="n">
        <v>4067.05720086627</v>
      </c>
      <c r="C22" s="13" t="n">
        <v>0.003259631430182937</v>
      </c>
      <c r="D22" s="13" t="n">
        <v>8.014717446040952e-07</v>
      </c>
    </row>
    <row r="23">
      <c r="A23" s="9" t="n">
        <v>2021</v>
      </c>
      <c r="B23" s="13" t="n">
        <v>4988.280470290401</v>
      </c>
      <c r="C23" s="13" t="n">
        <v>0.003487169126619726</v>
      </c>
      <c r="D23" s="13" t="n">
        <v>6.990723852415449e-07</v>
      </c>
    </row>
    <row r="24">
      <c r="A24" s="9" t="n">
        <v>2022</v>
      </c>
      <c r="B24" s="13" t="n">
        <v>5256.234146669582</v>
      </c>
      <c r="C24" s="13" t="n">
        <v>0.003259205307382056</v>
      </c>
      <c r="D24" s="13" t="n">
        <v>6.200647110530895e-07</v>
      </c>
    </row>
    <row r="25">
      <c r="A25" s="9" t="n">
        <v>2023</v>
      </c>
      <c r="B25" s="13" t="n">
        <v>11088.3426506928</v>
      </c>
      <c r="C25" s="13" t="n">
        <v>0.006889801747141235</v>
      </c>
      <c r="D25" s="13" t="n">
        <v>6.213554147977887e-07</v>
      </c>
    </row>
    <row r="26">
      <c r="A26" s="9" t="n">
        <v>2024</v>
      </c>
      <c r="B26" s="13" t="n">
        <v>9040.357628472904</v>
      </c>
      <c r="C26" s="13" t="n">
        <v>0.005170793211367366</v>
      </c>
      <c r="D26" s="13" t="n">
        <v>5.719677720582406e-07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2026-04-27T16:20:43Z</dcterms:created>
  <dcterms:modified xmlns:dcterms="http://purl.org/dc/terms/" xmlns:xsi="http://www.w3.org/2001/XMLSchema-instance" xsi:type="dcterms:W3CDTF">2026-04-27T16:20:48Z</dcterms:modified>
</cp:coreProperties>
</file>