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Loss Selection" sheetId="2" state="visible" r:id="rId2"/>
    <sheet xmlns:r="http://schemas.openxmlformats.org/officeDocument/2006/relationships" name="Incurred CL" sheetId="3" state="visible" r:id="rId3"/>
    <sheet xmlns:r="http://schemas.openxmlformats.org/officeDocument/2006/relationships" name="Paid CL" sheetId="4" state="visible" r:id="rId4"/>
    <sheet xmlns:r="http://schemas.openxmlformats.org/officeDocument/2006/relationships" name="Incurred BF" sheetId="5" state="visible" r:id="rId5"/>
    <sheet xmlns:r="http://schemas.openxmlformats.org/officeDocument/2006/relationships" name="Paid BF" sheetId="6" state="visible" r:id="rId6"/>
    <sheet xmlns:r="http://schemas.openxmlformats.org/officeDocument/2006/relationships" name="Incurred IE" sheetId="7" state="visible" r:id="rId7"/>
    <sheet xmlns:r="http://schemas.openxmlformats.org/officeDocument/2006/relationships" name="Paid IE" sheetId="8" state="visible" r:id="rId8"/>
    <sheet xmlns:r="http://schemas.openxmlformats.org/officeDocument/2006/relationships" name="Count Selection" sheetId="9" state="visible" r:id="rId9"/>
    <sheet xmlns:r="http://schemas.openxmlformats.org/officeDocument/2006/relationships" name="Closed CL" sheetId="10" state="visible" r:id="rId10"/>
    <sheet xmlns:r="http://schemas.openxmlformats.org/officeDocument/2006/relationships" name="Reported CL" sheetId="11" state="visible" r:id="rId11"/>
    <sheet xmlns:r="http://schemas.openxmlformats.org/officeDocument/2006/relationships" name="Reported BF" sheetId="12" state="visible" r:id="rId12"/>
    <sheet xmlns:r="http://schemas.openxmlformats.org/officeDocument/2006/relationships" name="Closed IE" sheetId="13" state="visible" r:id="rId13"/>
    <sheet xmlns:r="http://schemas.openxmlformats.org/officeDocument/2006/relationships" name="Reported IE" sheetId="14" state="visible" r:id="rId14"/>
    <sheet xmlns:r="http://schemas.openxmlformats.org/officeDocument/2006/relationships" name="Incurred" sheetId="15" state="visible" r:id="rId15"/>
    <sheet xmlns:r="http://schemas.openxmlformats.org/officeDocument/2006/relationships" name="Paid" sheetId="16" state="visible" r:id="rId16"/>
    <sheet xmlns:r="http://schemas.openxmlformats.org/officeDocument/2006/relationships" name="Reported" sheetId="17" state="visible" r:id="rId17"/>
    <sheet xmlns:r="http://schemas.openxmlformats.org/officeDocument/2006/relationships" name="Exposure" sheetId="18" state="visible" r:id="rId18"/>
    <sheet xmlns:r="http://schemas.openxmlformats.org/officeDocument/2006/relationships" name="Diag - Rptd Claims" sheetId="19" state="visible" r:id="rId19"/>
    <sheet xmlns:r="http://schemas.openxmlformats.org/officeDocument/2006/relationships" name="Diag - Inc Severity" sheetId="20" state="visible" r:id="rId20"/>
    <sheet xmlns:r="http://schemas.openxmlformats.org/officeDocument/2006/relationships" name="Diag - Paid to Incurred" sheetId="21" state="visible" r:id="rId21"/>
    <sheet xmlns:r="http://schemas.openxmlformats.org/officeDocument/2006/relationships" name="Diag - Incr Inc Svty" sheetId="22" state="visible" r:id="rId22"/>
    <sheet xmlns:r="http://schemas.openxmlformats.org/officeDocument/2006/relationships" name="Incurred Loss - CV &amp; Slopes" sheetId="23" state="visible" r:id="rId23"/>
    <sheet xmlns:r="http://schemas.openxmlformats.org/officeDocument/2006/relationships" name="Paid Loss - CV &amp; Slopes" sheetId="24" state="visible" r:id="rId24"/>
    <sheet xmlns:r="http://schemas.openxmlformats.org/officeDocument/2006/relationships" name="Reported Count - CV &amp; Slopes" sheetId="25" state="visible" r:id="rId25"/>
    <sheet xmlns:r="http://schemas.openxmlformats.org/officeDocument/2006/relationships" name="Incurred-to-Ult" sheetId="26" state="visible" r:id="rId26"/>
    <sheet xmlns:r="http://schemas.openxmlformats.org/officeDocument/2006/relationships" name="Paid-to-Ult" sheetId="27" state="visible" r:id="rId27"/>
    <sheet xmlns:r="http://schemas.openxmlformats.org/officeDocument/2006/relationships" name="Reported-to-Ult" sheetId="28" state="visible" r:id="rId28"/>
    <sheet xmlns:r="http://schemas.openxmlformats.org/officeDocument/2006/relationships" name="Average IBNR" sheetId="29" state="visible" r:id="rId29"/>
    <sheet xmlns:r="http://schemas.openxmlformats.org/officeDocument/2006/relationships" name="Average Unpaid" sheetId="30" state="visible" r:id="rId30"/>
    <sheet xmlns:r="http://schemas.openxmlformats.org/officeDocument/2006/relationships" name="Diagnostics" sheetId="31" state="visible" r:id="rId31"/>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
  </numFmts>
  <fonts count="6">
    <font>
      <name val="Calibri"/>
      <family val="2"/>
      <color theme="1"/>
      <sz val="11"/>
      <scheme val="minor"/>
    </font>
    <font>
      <b val="1"/>
      <color rgb="00FFFFFF"/>
      <sz val="10"/>
    </font>
    <font>
      <sz val="9"/>
    </font>
    <font>
      <b val="1"/>
      <sz val="10"/>
    </font>
    <font>
      <b val="1"/>
      <sz val="9"/>
    </font>
    <font>
      <b val="1"/>
      <color rgb="00FFFFFF"/>
      <sz val="11"/>
    </font>
  </fonts>
  <fills count="6">
    <fill>
      <patternFill/>
    </fill>
    <fill>
      <patternFill patternType="gray125"/>
    </fill>
    <fill>
      <patternFill patternType="solid">
        <fgColor rgb="002E75B6"/>
      </patternFill>
    </fill>
    <fill>
      <patternFill patternType="solid">
        <fgColor rgb="00D6E4F0"/>
      </patternFill>
    </fill>
    <fill>
      <patternFill patternType="solid">
        <fgColor rgb="00FFF2CC"/>
      </patternFill>
    </fill>
    <fill>
      <patternFill patternType="solid">
        <fgColor rgb="001F4E79"/>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9">
    <xf numFmtId="0" fontId="0" fillId="0" borderId="0" pivotButton="0" quotePrefix="0" xfId="0"/>
    <xf numFmtId="0" fontId="5" fillId="5" borderId="1" applyAlignment="1" pivotButton="0" quotePrefix="0" xfId="0">
      <alignment horizontal="center" vertical="center" wrapText="1"/>
    </xf>
    <xf numFmtId="0" fontId="0" fillId="0" borderId="3"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center"/>
    </xf>
    <xf numFmtId="0" fontId="2" fillId="0" borderId="1" applyAlignment="1" pivotButton="0" quotePrefix="0" xfId="0">
      <alignment horizontal="left" vertical="center"/>
    </xf>
    <xf numFmtId="0" fontId="1" fillId="2" borderId="1" applyAlignment="1" pivotButton="0" quotePrefix="0" xfId="0">
      <alignment horizontal="center" vertical="center"/>
    </xf>
    <xf numFmtId="0" fontId="2" fillId="0"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0" borderId="1" applyAlignment="1" pivotButton="0" quotePrefix="0" xfId="0">
      <alignment horizontal="right" vertical="center"/>
    </xf>
    <xf numFmtId="3" fontId="2" fillId="0" borderId="1" pivotButton="0" quotePrefix="0" xfId="0"/>
    <xf numFmtId="49" fontId="2" fillId="0" borderId="1" pivotButton="0" quotePrefix="0" xfId="0"/>
    <xf numFmtId="3" fontId="2" fillId="0" borderId="1" applyAlignment="1" pivotButton="0" quotePrefix="0" xfId="0">
      <alignment horizontal="right" vertical="center"/>
    </xf>
    <xf numFmtId="164" fontId="2" fillId="0" borderId="1" applyAlignment="1" pivotButton="0" quotePrefix="0" xfId="0">
      <alignment horizontal="right" vertical="center"/>
    </xf>
    <xf numFmtId="165" fontId="2" fillId="0" borderId="1" pivotButton="0" quotePrefix="0" xfId="0"/>
    <xf numFmtId="0" fontId="0" fillId="0" borderId="2" pivotButton="0" quotePrefix="0" xfId="0"/>
    <xf numFmtId="0" fontId="0" fillId="0" borderId="1" pivotButton="0" quotePrefix="0" xfId="0"/>
    <xf numFmtId="0" fontId="4" fillId="0" borderId="1" applyAlignment="1" pivotButton="0" quotePrefix="0" xfId="0">
      <alignment horizontal="left"/>
    </xf>
    <xf numFmtId="3" fontId="2" fillId="0" borderId="1" applyAlignment="1" pivotButton="0" quotePrefix="0" xfId="0">
      <alignment horizontal="right"/>
    </xf>
    <xf numFmtId="166" fontId="2" fillId="0" borderId="1" applyAlignment="1" pivotButton="0" quotePrefix="0" xfId="0">
      <alignment horizontal="right"/>
    </xf>
    <xf numFmtId="0" fontId="1" fillId="2" borderId="1" applyAlignment="1" pivotButton="0" quotePrefix="0" xfId="0">
      <alignment horizontal="center"/>
    </xf>
    <xf numFmtId="0" fontId="4" fillId="0" borderId="1" pivotButton="0" quotePrefix="0" xfId="0"/>
    <xf numFmtId="0" fontId="4" fillId="4" borderId="1" applyAlignment="1" pivotButton="0" quotePrefix="0" xfId="0">
      <alignment horizontal="center" vertical="center" wrapText="1"/>
    </xf>
    <xf numFmtId="166" fontId="2" fillId="4" borderId="1" applyAlignment="1" pivotButton="0" quotePrefix="0" xfId="0">
      <alignment horizontal="right"/>
    </xf>
    <xf numFmtId="164" fontId="2" fillId="4" borderId="1" applyAlignment="1" pivotButton="0" quotePrefix="0" xfId="0">
      <alignment horizontal="right"/>
    </xf>
    <xf numFmtId="167" fontId="4" fillId="4" borderId="1" applyAlignment="1" pivotButton="0" quotePrefix="0" xfId="0">
      <alignment horizontal="left" vertical="top" wrapText="1"/>
    </xf>
    <xf numFmtId="167" fontId="2" fillId="4" borderId="1" applyAlignment="1" pivotButton="0" quotePrefix="0" xfId="0">
      <alignment horizontal="left" vertical="top" wrapText="1"/>
    </xf>
    <xf numFmtId="164" fontId="2" fillId="0" borderId="1" pivotButton="0" quotePrefix="0" xfId="0"/>
    <xf numFmtId="10" fontId="2"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pane ySplit="7" topLeftCell="A8" activePane="bottomLeft" state="frozen"/>
      <selection pane="bottomLeft" activeCell="A1" sqref="A1"/>
    </sheetView>
  </sheetViews>
  <sheetFormatPr baseColWidth="8" defaultRowHeight="15"/>
  <cols>
    <col width="28" customWidth="1" min="1" max="1"/>
    <col width="80" customWidth="1" min="2" max="2"/>
  </cols>
  <sheetData>
    <row r="1" ht="24" customHeight="1">
      <c r="A1" s="1" t="inlineStr">
        <is>
          <t>Reserve Analysis - Complete Analysis</t>
        </is>
      </c>
      <c r="B1" s="2" t="n"/>
    </row>
    <row r="2">
      <c r="A2" s="3" t="inlineStr">
        <is>
          <t>Workbook Information</t>
        </is>
      </c>
      <c r="B2" s="2" t="n"/>
    </row>
    <row r="3">
      <c r="A3" s="4" t="inlineStr">
        <is>
          <t>Created:</t>
        </is>
      </c>
      <c r="B3" s="5" t="inlineStr">
        <is>
          <t>April 27, 2026 01:20 PM</t>
        </is>
      </c>
    </row>
    <row r="4">
      <c r="A4" s="4" t="inlineStr">
        <is>
          <t>Description:</t>
        </is>
      </c>
      <c r="B4" s="5" t="inlineStr">
        <is>
          <t>Complete actuarial reserve analysis combining selections, ultimates, and diagnostics</t>
        </is>
      </c>
    </row>
    <row r="6">
      <c r="A6" s="3" t="inlineStr">
        <is>
          <t>Table of Contents</t>
        </is>
      </c>
      <c r="B6" s="2" t="n"/>
    </row>
    <row r="7">
      <c r="A7" s="6" t="inlineStr">
        <is>
          <t>Name</t>
        </is>
      </c>
      <c r="B7" s="6" t="inlineStr">
        <is>
          <t>Description</t>
        </is>
      </c>
    </row>
    <row r="8">
      <c r="A8" s="5" t="inlineStr">
        <is>
          <t>Loss Selection</t>
        </is>
      </c>
      <c r="B8" s="7" t="inlineStr">
        <is>
          <t>Actuary-selected ultimates for loss measures. Compare CL/BF/IE methods and record final selection.</t>
        </is>
      </c>
    </row>
    <row r="9">
      <c r="A9" s="5" t="inlineStr">
        <is>
          <t>Incurred CL</t>
        </is>
      </c>
      <c r="B9" s="7" t="inlineStr">
        <is>
          <t>Chain Ladder method results. Ultimate = Actual × CDF. IBNR = Ultimate − Actual. Unpaid = Ultimate − latest paid (proxy measure).</t>
        </is>
      </c>
    </row>
    <row r="10">
      <c r="A10" s="5" t="inlineStr">
        <is>
          <t>Paid CL</t>
        </is>
      </c>
      <c r="B10" s="7" t="inlineStr">
        <is>
          <t>Chain Ladder method results. Ultimate = Actual × CDF. IBNR = Ultimate − Actual. Unpaid = Ultimate − latest paid (proxy measure).</t>
        </is>
      </c>
    </row>
    <row r="11">
      <c r="A11" s="5" t="inlineStr">
        <is>
          <t>Incurred BF</t>
        </is>
      </c>
      <c r="B11" s="7" t="inlineStr">
        <is>
          <t>Bornhuetter-Ferguson method. Blends Initial Expected with emerged experience. % Unreported = 1 − 1/CDF. Ultimate = (IE × % Unreported) + Actual.</t>
        </is>
      </c>
    </row>
    <row r="12">
      <c r="A12" s="5" t="inlineStr">
        <is>
          <t>Paid BF</t>
        </is>
      </c>
      <c r="B12" s="7" t="inlineStr">
        <is>
          <t>Bornhuetter-Ferguson method. Blends Initial Expected with emerged experience. % Unreported = 1 − 1/CDF. Ultimate = (IE × % Unreported) + Actual.</t>
        </is>
      </c>
    </row>
    <row r="13">
      <c r="A13" s="5" t="inlineStr">
        <is>
          <t>Incurred IE</t>
        </is>
      </c>
      <c r="B13" s="7" t="inlineStr">
        <is>
          <t>Initial Expected method. Ultimate = Exposure × Selected Loss Rate (ELR). ELR back-calculated from IE ultimate and exposure.</t>
        </is>
      </c>
    </row>
    <row r="14">
      <c r="A14" s="5" t="inlineStr">
        <is>
          <t>Paid IE</t>
        </is>
      </c>
      <c r="B14" s="7" t="inlineStr">
        <is>
          <t>Initial Expected method. Ultimate = Exposure × Selected Loss Rate (ELR). ELR back-calculated from IE ultimate and exposure.</t>
        </is>
      </c>
    </row>
    <row r="15">
      <c r="A15" s="5" t="inlineStr">
        <is>
          <t>Count Selection</t>
        </is>
      </c>
      <c r="B15" s="7" t="inlineStr">
        <is>
          <t>Analysis results</t>
        </is>
      </c>
    </row>
    <row r="16">
      <c r="A16" s="5" t="inlineStr">
        <is>
          <t>Closed CL</t>
        </is>
      </c>
      <c r="B16" s="7" t="inlineStr">
        <is>
          <t>Chain Ladder method results. Ultimate = Actual × CDF. IBNR = Ultimate − Actual. Unpaid = Ultimate − latest paid (proxy measure).</t>
        </is>
      </c>
    </row>
    <row r="17">
      <c r="A17" s="5" t="inlineStr">
        <is>
          <t>Reported CL</t>
        </is>
      </c>
      <c r="B17" s="7" t="inlineStr">
        <is>
          <t>Chain Ladder method results. Ultimate = Actual × CDF. IBNR = Ultimate − Actual. Unpaid = Ultimate − latest paid (proxy measure).</t>
        </is>
      </c>
    </row>
    <row r="18">
      <c r="A18" s="5" t="inlineStr">
        <is>
          <t>Reported BF</t>
        </is>
      </c>
      <c r="B18" s="7" t="inlineStr">
        <is>
          <t>Bornhuetter-Ferguson method. Blends Initial Expected with emerged experience. % Unreported = 1 − 1/CDF. Ultimate = (IE × % Unreported) + Actual.</t>
        </is>
      </c>
    </row>
    <row r="19">
      <c r="A19" s="5" t="inlineStr">
        <is>
          <t>Closed IE</t>
        </is>
      </c>
      <c r="B19" s="7" t="inlineStr">
        <is>
          <t>Initial Expected method. Ultimate = Exposure × Selected Loss Rate (ELR). ELR back-calculated from IE ultimate and exposure.</t>
        </is>
      </c>
    </row>
    <row r="20">
      <c r="A20" s="5" t="inlineStr">
        <is>
          <t>Reported IE</t>
        </is>
      </c>
      <c r="B20" s="7" t="inlineStr">
        <is>
          <t>Initial Expected method. Ultimate = Exposure × Selected Loss Rate (ELR). ELR back-calculated from IE ultimate and exposure.</t>
        </is>
      </c>
    </row>
    <row r="21">
      <c r="A21" s="5" t="inlineStr">
        <is>
          <t>Incurred</t>
        </is>
      </c>
      <c r="B21" s="7" t="inlineStr">
        <is>
          <t>Incurred development triangle with age-to-age factors, weighted/simple averages, and selected LDFs.</t>
        </is>
      </c>
    </row>
    <row r="22">
      <c r="A22" s="5" t="inlineStr">
        <is>
          <t>Paid</t>
        </is>
      </c>
      <c r="B22" s="7" t="inlineStr">
        <is>
          <t>Paid development triangle with age-to-age factors, weighted/simple averages, and selected LDFs.</t>
        </is>
      </c>
    </row>
    <row r="23">
      <c r="A23" s="5" t="inlineStr">
        <is>
          <t>Reported</t>
        </is>
      </c>
      <c r="B23" s="7" t="inlineStr">
        <is>
          <t>Reported development triangle with age-to-age factors, weighted/simple averages, and selected LDFs.</t>
        </is>
      </c>
    </row>
    <row r="24">
      <c r="A24" s="5" t="inlineStr">
        <is>
          <t>Exposure</t>
        </is>
      </c>
      <c r="B24" s="7" t="inlineStr">
        <is>
          <t>Exposure development triangle with age-to-age factors, weighted/simple averages, and selected LDFs.</t>
        </is>
      </c>
    </row>
    <row r="25">
      <c r="A25" s="5" t="inlineStr">
        <is>
          <t>Diag - Rptd Claims</t>
        </is>
      </c>
      <c r="B25" s="7" t="inlineStr">
        <is>
          <t>Diagnostic scatter plot data for development pattern review.</t>
        </is>
      </c>
    </row>
    <row r="26">
      <c r="A26" s="5" t="inlineStr">
        <is>
          <t>Diag - Inc Severity</t>
        </is>
      </c>
      <c r="B26" s="7" t="inlineStr">
        <is>
          <t>Diagnostic scatter plot data for development pattern review.</t>
        </is>
      </c>
    </row>
    <row r="27">
      <c r="A27" s="5" t="inlineStr">
        <is>
          <t>Diag - Paid to Incurred</t>
        </is>
      </c>
      <c r="B27" s="7" t="inlineStr">
        <is>
          <t>Diagnostic scatter plot data for development pattern review.</t>
        </is>
      </c>
    </row>
    <row r="28">
      <c r="A28" s="5" t="inlineStr">
        <is>
          <t>Diag - Incr Inc Svty</t>
        </is>
      </c>
      <c r="B28" s="7" t="inlineStr">
        <is>
          <t>Diagnostic scatter plot data for development pattern review.</t>
        </is>
      </c>
    </row>
    <row r="29">
      <c r="A29" s="5" t="inlineStr">
        <is>
          <t>Incurred Loss - CV &amp; Slopes</t>
        </is>
      </c>
      <c r="B29" s="7" t="inlineStr">
        <is>
          <t>Coefficient of variation and regression slope statistics for age-to-age factors by development interval.</t>
        </is>
      </c>
    </row>
    <row r="30">
      <c r="A30" s="5" t="inlineStr">
        <is>
          <t>Paid Loss - CV &amp; Slopes</t>
        </is>
      </c>
      <c r="B30" s="7" t="inlineStr">
        <is>
          <t>Coefficient of variation and regression slope statistics for age-to-age factors by development interval.</t>
        </is>
      </c>
    </row>
    <row r="31">
      <c r="A31" s="5" t="inlineStr">
        <is>
          <t>Reported Count - CV &amp; Slopes</t>
        </is>
      </c>
      <c r="B31" s="7" t="inlineStr">
        <is>
          <t>Coefficient of variation and regression slope statistics for age-to-age factors by development interval.</t>
        </is>
      </c>
    </row>
    <row r="32">
      <c r="A32" s="5" t="inlineStr">
        <is>
          <t>Incurred-to-Ult</t>
        </is>
      </c>
      <c r="B32" s="7" t="inlineStr">
        <is>
          <t>Incurred loss as a percent of selected ultimate by age. Values approach 1.0 as periods mature.</t>
        </is>
      </c>
    </row>
    <row r="33">
      <c r="A33" s="5" t="inlineStr">
        <is>
          <t>Paid-to-Ult</t>
        </is>
      </c>
      <c r="B33" s="7" t="inlineStr">
        <is>
          <t>Paid loss as a percent of selected ultimate by age. Values approach 1.0 as periods mature.</t>
        </is>
      </c>
    </row>
    <row r="34">
      <c r="A34" s="5" t="inlineStr">
        <is>
          <t>Reported-to-Ult</t>
        </is>
      </c>
      <c r="B34" s="7" t="inlineStr">
        <is>
          <t>Reported count as a percent of selected ultimate by age. Values approach 1.0 as periods mature.</t>
        </is>
      </c>
    </row>
    <row r="35">
      <c r="A35" s="5" t="inlineStr">
        <is>
          <t>Average IBNR</t>
        </is>
      </c>
      <c r="B35" s="7" t="inlineStr">
        <is>
          <t>Selected Ultimate minus Incurred at each development age. Shows average reserve need remaining by age.</t>
        </is>
      </c>
    </row>
    <row r="36">
      <c r="A36" s="5" t="inlineStr">
        <is>
          <t>Average Unpaid</t>
        </is>
      </c>
      <c r="B36" s="7" t="inlineStr">
        <is>
          <t>Selected Ultimate minus Paid at each development age. Shows average unpaid reserve remaining by age.</t>
        </is>
      </c>
    </row>
    <row r="37">
      <c r="A37" s="5" t="inlineStr">
        <is>
          <t>Diagnostics</t>
        </is>
      </c>
      <c r="B37" s="7" t="inlineStr">
        <is>
          <t>Post-selection reasonableness checks. Severity = Ultimate Loss / Ultimate Count. Loss Rate and Frequency require Exposure.</t>
        </is>
      </c>
    </row>
  </sheetData>
  <mergeCells count="5">
    <mergeCell ref="B4"/>
    <mergeCell ref="A2:B2"/>
    <mergeCell ref="A1:B1"/>
    <mergeCell ref="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40" customWidth="1" min="13" max="13"/>
  </cols>
  <sheetData>
    <row r="1">
      <c r="A1" s="8" t="inlineStr">
        <is>
          <t>Accident Period</t>
        </is>
      </c>
      <c r="B1" s="8" t="inlineStr">
        <is>
          <t>Current Age</t>
        </is>
      </c>
      <c r="C1" s="8" t="inlineStr">
        <is>
          <t>Incurred</t>
        </is>
      </c>
      <c r="D1" s="8" t="inlineStr">
        <is>
          <t>Paid</t>
        </is>
      </c>
      <c r="E1" s="8" t="inlineStr">
        <is>
          <t>Incurred CL</t>
        </is>
      </c>
      <c r="F1" s="8" t="inlineStr">
        <is>
          <t>Paid CL</t>
        </is>
      </c>
      <c r="G1" s="8" t="inlineStr">
        <is>
          <t>Initial Expected</t>
        </is>
      </c>
      <c r="H1" s="8" t="inlineStr">
        <is>
          <t>Incurred BF</t>
        </is>
      </c>
      <c r="I1" s="8" t="inlineStr">
        <is>
          <t>Paid BF</t>
        </is>
      </c>
      <c r="J1" s="8" t="inlineStr">
        <is>
          <t>Selected Ultimate</t>
        </is>
      </c>
      <c r="K1" s="8" t="inlineStr">
        <is>
          <t>IBNR</t>
        </is>
      </c>
      <c r="L1" s="8" t="inlineStr">
        <is>
          <t>Unpaid</t>
        </is>
      </c>
      <c r="M1" s="8" t="inlineStr">
        <is>
          <t>Selected Reasoning</t>
        </is>
      </c>
    </row>
    <row r="2">
      <c r="A2" s="9" t="n">
        <v>2001</v>
      </c>
      <c r="B2" s="9" t="n">
        <v>287</v>
      </c>
      <c r="C2" s="10" t="n">
        <v>3163773.699688</v>
      </c>
      <c r="D2" s="10" t="n">
        <v>3042294.662276</v>
      </c>
      <c r="E2" s="10" t="n">
        <v>3279961.952959755</v>
      </c>
      <c r="F2" s="10" t="n">
        <v>3054159.611458877</v>
      </c>
      <c r="G2" s="10" t="n">
        <v>3163773.699688</v>
      </c>
      <c r="H2" s="10" t="n">
        <v>3275846.139913155</v>
      </c>
      <c r="I2" s="10" t="n">
        <v>3054585.445649627</v>
      </c>
      <c r="J2" s="10" t="n">
        <v>3054159.61</v>
      </c>
      <c r="K2" s="10" t="n">
        <v>-109614.0896880003</v>
      </c>
      <c r="L2" s="10" t="n">
        <v>11864.94772399962</v>
      </c>
      <c r="M2" s="11" t="inlineStr">
        <is>
          <t>Paid CL selected. Age 287 months (fully developed). Paid CL ultimate 3,054,160; Incurred CL 3,279,962. Paid CL is preferred at full maturity when payment data is highly credible and case adequacy effects are minimal. Convergence near 1.004 CDF indicates minimal tail. No material diagnostic concerns. Prior ultimate anchoring not specified, but selection reflects most mature measure choice.</t>
        </is>
      </c>
    </row>
    <row r="3">
      <c r="A3" s="9" t="n">
        <v>2002</v>
      </c>
      <c r="B3" s="9" t="n">
        <v>275</v>
      </c>
      <c r="C3" s="10" t="n">
        <v>2327733.756319999</v>
      </c>
      <c r="D3" s="10" t="n">
        <v>2199646.228088</v>
      </c>
      <c r="E3" s="10" t="n">
        <v>2441936.099343652</v>
      </c>
      <c r="F3" s="10" t="n">
        <v>2216836.925286216</v>
      </c>
      <c r="G3" s="10" t="n">
        <v>2904344.256599999</v>
      </c>
      <c r="H3" s="10" t="n">
        <v>2463561.601749763</v>
      </c>
      <c r="I3" s="10" t="n">
        <v>2222168.273848376</v>
      </c>
      <c r="J3" s="10" t="n">
        <v>2216836.93</v>
      </c>
      <c r="K3" s="10" t="n">
        <v>-110896.8263199991</v>
      </c>
      <c r="L3" s="10" t="n">
        <v>17190.70191199984</v>
      </c>
      <c r="M3" s="11" t="inlineStr">
        <is>
          <t>Paid CL selected. Age 275 months (fully developed). Paid CL ultimate 2,216,837; Incurred CL 2,441,936. Paid CL 1.008 CDF indicates closure of final claims. Incurred CL higher (1.049 CDF) suggesting reserve bias. At this maturity, paid data is most credible. No IBNR concerns.</t>
        </is>
      </c>
    </row>
    <row r="4">
      <c r="A4" s="9" t="n">
        <v>2003</v>
      </c>
      <c r="B4" s="9" t="n">
        <v>263</v>
      </c>
      <c r="C4" s="10" t="n">
        <v>1778091.575843999</v>
      </c>
      <c r="D4" s="10" t="n">
        <v>1778091.575843999</v>
      </c>
      <c r="E4" s="10" t="n">
        <v>1865327.593932697</v>
      </c>
      <c r="F4" s="10" t="n">
        <v>1805606.841693755</v>
      </c>
      <c r="G4" s="10" t="n">
        <v>2633272.1256</v>
      </c>
      <c r="H4" s="10" t="n">
        <v>1901242.15568236</v>
      </c>
      <c r="I4" s="10" t="n">
        <v>1818219.46023032</v>
      </c>
      <c r="J4" s="10" t="n">
        <v>1805606.84</v>
      </c>
      <c r="K4" s="10" t="n">
        <v>27515.26415600069</v>
      </c>
      <c r="L4" s="10" t="n">
        <v>27515.26415600069</v>
      </c>
      <c r="M4" s="11" t="inlineStr">
        <is>
          <t>Paid CL selected. Age 263 months (fully developed). Paid CL 1,805,607 (CDF 1.015); Incurred CL 1,865,328 (CDF 1.049). Paid CL is lower and reflects actual payment finality. Incurred CL IBNR of 87k suggests residual case reserves. Paid measure is more objective at full maturity.</t>
        </is>
      </c>
    </row>
    <row r="5">
      <c r="A5" s="9" t="n">
        <v>2004</v>
      </c>
      <c r="B5" s="9" t="n">
        <v>251</v>
      </c>
      <c r="C5" s="10" t="n">
        <v>1122614.7306</v>
      </c>
      <c r="D5" s="10" t="n">
        <v>1122614.7306</v>
      </c>
      <c r="E5" s="10" t="n">
        <v>1197241.693034361</v>
      </c>
      <c r="F5" s="10" t="n">
        <v>1146484.675271811</v>
      </c>
      <c r="G5" s="10" t="n">
        <v>1678710.98</v>
      </c>
      <c r="H5" s="10" t="n">
        <v>1227252.83497899</v>
      </c>
      <c r="I5" s="10" t="n">
        <v>1157565.689018229</v>
      </c>
      <c r="J5" s="10" t="n">
        <v>1146484.68</v>
      </c>
      <c r="K5" s="10" t="n">
        <v>23869.94939999958</v>
      </c>
      <c r="L5" s="10" t="n">
        <v>23869.94939999958</v>
      </c>
      <c r="M5" s="11" t="inlineStr">
        <is>
          <t>Paid CL selected. Age 251 months (fully developed). Paid CL 1,146,485; Incurred CL 1,197,242. CDF 1.021 for Paid, 1.066 for Incurred. Incurred shows larger tail estimation (74.6k IBNR). Paid CL is cleaner at this age. No red flags on paid development.</t>
        </is>
      </c>
    </row>
    <row r="6">
      <c r="A6" s="9" t="n">
        <v>2005</v>
      </c>
      <c r="B6" s="9" t="n">
        <v>239</v>
      </c>
      <c r="C6" s="10" t="n">
        <v>2242149.132116</v>
      </c>
      <c r="D6" s="10" t="n">
        <v>2242149.132116</v>
      </c>
      <c r="E6" s="10" t="n">
        <v>2401480.441600801</v>
      </c>
      <c r="F6" s="10" t="n">
        <v>2299898.748514981</v>
      </c>
      <c r="G6" s="10" t="n">
        <v>1712285.2</v>
      </c>
      <c r="H6" s="10" t="n">
        <v>2355754.322648214</v>
      </c>
      <c r="I6" s="10" t="n">
        <v>2285143.987228427</v>
      </c>
      <c r="J6" s="10" t="n">
        <v>2299898.75</v>
      </c>
      <c r="K6" s="10" t="n">
        <v>57749.61788399983</v>
      </c>
      <c r="L6" s="10" t="n">
        <v>57749.61788399983</v>
      </c>
      <c r="M6" s="11" t="inlineStr">
        <is>
          <t>Paid CL selected. Age 239 months (fully developed). Paid CL 2,299,899; Incurred CL 2,401,480. Paid shows normal development (CDF 1.026). Incurred CL IBNR of 159k and IE showing negative adjustment (-529.9k) indicates incurred measure instability. Paid is more reliable. Selected paid with confidence in tail closure.</t>
        </is>
      </c>
    </row>
    <row r="7">
      <c r="A7" s="9" t="n">
        <v>2006</v>
      </c>
      <c r="B7" s="9" t="n">
        <v>227</v>
      </c>
      <c r="C7" s="10" t="n">
        <v>1517636.792660001</v>
      </c>
      <c r="D7" s="10" t="n">
        <v>1462141.027856</v>
      </c>
      <c r="E7" s="10" t="n">
        <v>1639299.505334746</v>
      </c>
      <c r="F7" s="10" t="n">
        <v>1503399.990216312</v>
      </c>
      <c r="G7" s="10" t="n">
        <v>1746530.9035</v>
      </c>
      <c r="H7" s="10" t="n">
        <v>1647257.820909316</v>
      </c>
      <c r="I7" s="10" t="n">
        <v>1510072.418888043</v>
      </c>
      <c r="J7" s="10" t="n">
        <v>1503399.99</v>
      </c>
      <c r="K7" s="10" t="n">
        <v>-14236.80266000051</v>
      </c>
      <c r="L7" s="10" t="n">
        <v>41258.96214399976</v>
      </c>
      <c r="M7" s="11" t="inlineStr">
        <is>
          <t>Paid CL selected. Age 227 months (fully developed). Paid CL 1,503,400; Incurred CL 1,639,300. Paid CDF 1.028; Incurred 1.080. Incurred shows 121.7k IBNR and IE volatility. Paid measure reflects actual cash finality. No material concerns on paid development trajectory.</t>
        </is>
      </c>
    </row>
    <row r="8">
      <c r="A8" s="9" t="n">
        <v>2007</v>
      </c>
      <c r="B8" s="9" t="n">
        <v>215</v>
      </c>
      <c r="C8" s="10" t="n">
        <v>4810774.614816</v>
      </c>
      <c r="D8" s="10" t="n">
        <v>4790693.153152</v>
      </c>
      <c r="E8" s="10" t="n">
        <v>5196434.670328665</v>
      </c>
      <c r="F8" s="10" t="n">
        <v>4947059.081403897</v>
      </c>
      <c r="G8" s="10" t="n">
        <v>2850338.4352</v>
      </c>
      <c r="H8" s="10" t="n">
        <v>5022316.132969944</v>
      </c>
      <c r="I8" s="10" t="n">
        <v>4880786.238340226</v>
      </c>
      <c r="J8" s="10" t="n">
        <v>4947059.08</v>
      </c>
      <c r="K8" s="10" t="n">
        <v>136284.4651840003</v>
      </c>
      <c r="L8" s="10" t="n">
        <v>156365.9268479999</v>
      </c>
      <c r="M8" s="11" t="inlineStr">
        <is>
          <t>Paid CL selected. Age 215 months. Paid CL 4,947,059; Incurred CL 5,196,435. Paid CDF 1.033, Incurred 1.081. Large Incurred IBNR (385.7k) and negative IE (-1,960.4k) indicate case adequacy instability. Paid CL more objective. Note: High loss period, paid development normal for this size.</t>
        </is>
      </c>
    </row>
    <row r="9">
      <c r="A9" s="9" t="n">
        <v>2008</v>
      </c>
      <c r="B9" s="9" t="n">
        <v>203</v>
      </c>
      <c r="C9" s="10" t="n">
        <v>1378427.939547998</v>
      </c>
      <c r="D9" s="10" t="n">
        <v>1378427.939547998</v>
      </c>
      <c r="E9" s="10" t="n">
        <v>1491908.711537647</v>
      </c>
      <c r="F9" s="10" t="n">
        <v>1426693.030872698</v>
      </c>
      <c r="G9" s="10" t="n">
        <v>2543927.0535</v>
      </c>
      <c r="H9" s="10" t="n">
        <v>1571929.595302119</v>
      </c>
      <c r="I9" s="10" t="n">
        <v>1464489.109613045</v>
      </c>
      <c r="J9" s="10" t="n">
        <v>1426693.03</v>
      </c>
      <c r="K9" s="10" t="n">
        <v>48265.09045200166</v>
      </c>
      <c r="L9" s="10" t="n">
        <v>48265.09045200166</v>
      </c>
      <c r="M9" s="11" t="inlineStr">
        <is>
          <t>Paid CL selected. Age 203 months. Paid CL 1,426,693; Incurred CL 1,491,909. Paid CDF 1.035, Incurred 1.082. Incurred IE shows 1,165.5k IBNR (unrealistic), suggesting case adequacy bias. Paid measure is cleaner. IBNR on Paid (48.3k) is reasonable tail.</t>
        </is>
      </c>
    </row>
    <row r="10">
      <c r="A10" s="9" t="n">
        <v>2009</v>
      </c>
      <c r="B10" s="9" t="n">
        <v>191</v>
      </c>
      <c r="C10" s="10" t="n">
        <v>1169581.089256</v>
      </c>
      <c r="D10" s="10" t="n">
        <v>1169581.089256</v>
      </c>
      <c r="E10" s="10" t="n">
        <v>1276754.755235623</v>
      </c>
      <c r="F10" s="10" t="n">
        <v>1225907.268781485</v>
      </c>
      <c r="G10" s="10" t="n">
        <v>2594805.5945</v>
      </c>
      <c r="H10" s="10" t="n">
        <v>1387394.90739657</v>
      </c>
      <c r="I10" s="10" t="n">
        <v>1288803.390543776</v>
      </c>
      <c r="J10" s="10" t="n">
        <v>1225907.27</v>
      </c>
      <c r="K10" s="10" t="n">
        <v>56326.18074399955</v>
      </c>
      <c r="L10" s="10" t="n">
        <v>56326.18074399955</v>
      </c>
      <c r="M10" s="11" t="inlineStr">
        <is>
          <t>Paid CL selected. Age 191 months. Paid CL 1,225,907; Incurred CL 1,276,755. Paid CDF 1.048, Incurred 1.092. Incurred IE (1,425.2k IBNR) is illogical relative to actual reported. Paid measure reflects real payment momentum. Convergence check: Paid and Incurred within reasonable distance; Paid selected as more objective.</t>
        </is>
      </c>
    </row>
    <row r="11">
      <c r="A11" s="9" t="n">
        <v>2010</v>
      </c>
      <c r="B11" s="9" t="n">
        <v>179</v>
      </c>
      <c r="C11" s="10" t="n">
        <v>1277672.072084001</v>
      </c>
      <c r="D11" s="10" t="n">
        <v>1277672.072084001</v>
      </c>
      <c r="E11" s="10" t="n">
        <v>1401305.900053323</v>
      </c>
      <c r="F11" s="10" t="n">
        <v>1352060.191998799</v>
      </c>
      <c r="G11" s="10" t="n">
        <v>1134300.7311</v>
      </c>
      <c r="H11" s="10" t="n">
        <v>1377748.680231413</v>
      </c>
      <c r="I11" s="10" t="n">
        <v>1340079.425916207</v>
      </c>
      <c r="J11" s="10" t="n">
        <v>1352060.19</v>
      </c>
      <c r="K11" s="10" t="n">
        <v>74388.11791599938</v>
      </c>
      <c r="L11" s="10" t="n">
        <v>74388.11791599938</v>
      </c>
      <c r="M11" s="11" t="inlineStr">
        <is>
          <t>Paid CL selected. Age 179 months. Paid CL 1,352,060; Incurred CL 1,401,306. Paid CDF 1.058, Incurred 1.097. Incurred IE shows negative IBNR (-143.4k), indicating overstated reported reserves. Paid development is steady. IBNR 74.4k on paid is credible tail.</t>
        </is>
      </c>
    </row>
    <row r="12">
      <c r="A12" s="9" t="n">
        <v>2011</v>
      </c>
      <c r="B12" s="9" t="n">
        <v>167</v>
      </c>
      <c r="C12" s="10" t="n">
        <v>1916081.580416</v>
      </c>
      <c r="D12" s="10" t="n">
        <v>1892658.297732</v>
      </c>
      <c r="E12" s="10" t="n">
        <v>2122505.959947404</v>
      </c>
      <c r="F12" s="10" t="n">
        <v>2019075.00375851</v>
      </c>
      <c r="G12" s="10" t="n">
        <v>1542648.9944</v>
      </c>
      <c r="H12" s="10" t="n">
        <v>2066111.95371665</v>
      </c>
      <c r="I12" s="10" t="n">
        <v>1989245.400273576</v>
      </c>
      <c r="J12" s="10" t="n">
        <v>2019075</v>
      </c>
      <c r="K12" s="10" t="n">
        <v>102993.4195840003</v>
      </c>
      <c r="L12" s="10" t="n">
        <v>126416.7022680002</v>
      </c>
      <c r="M12" s="11" t="inlineStr">
        <is>
          <t>Paid CL selected. Age 167 months. Paid CL 2,019,075; Incurred CL 2,122,506. Paid CDF 1.067, Incurred 1.108. Incurred IE shows -350k negative reserve (stale case reserves), Paid normal. Paid CDF 1.067 reasonable for this age. Selected Paid CL as more stable measure.</t>
        </is>
      </c>
    </row>
    <row r="13">
      <c r="A13" s="9" t="n">
        <v>2012</v>
      </c>
      <c r="B13" s="9" t="n">
        <v>155</v>
      </c>
      <c r="C13" s="10" t="n">
        <v>1363753.380531999</v>
      </c>
      <c r="D13" s="10" t="n">
        <v>1194236.878339999</v>
      </c>
      <c r="E13" s="10" t="n">
        <v>1511278.297096373</v>
      </c>
      <c r="F13" s="10" t="n">
        <v>1282667.00786582</v>
      </c>
      <c r="G13" s="10" t="n">
        <v>1573501.9744</v>
      </c>
      <c r="H13" s="10" t="n">
        <v>1517352.322522519</v>
      </c>
      <c r="I13" s="10" t="n">
        <v>1302717.86565162</v>
      </c>
      <c r="J13" s="10" t="n">
        <v>1282667.01</v>
      </c>
      <c r="K13" s="10" t="n">
        <v>-81086.37053199904</v>
      </c>
      <c r="L13" s="10" t="n">
        <v>88430.13166000112</v>
      </c>
      <c r="M13" s="11" t="inlineStr">
        <is>
          <t>Paid CL selected. Age 155 months. Paid CL 1,282,667; Incurred CL 1,511,278. Paid CDF 1.074, Incurred 1.108. Incurred IE (379.3k IBNR) diverges significantly, suggesting case bias. Paid measure is developing smoothly. Paid IBNR 88.4k is reasonable for expected tail.</t>
        </is>
      </c>
    </row>
    <row r="14">
      <c r="A14" s="9" t="n">
        <v>2013</v>
      </c>
      <c r="B14" s="9" t="n">
        <v>143</v>
      </c>
      <c r="C14" s="10" t="n">
        <v>708529.9908599999</v>
      </c>
      <c r="D14" s="10" t="n">
        <v>708529.9908599999</v>
      </c>
      <c r="E14" s="10" t="n">
        <v>787766.7671870498</v>
      </c>
      <c r="F14" s="10" t="n">
        <v>776290.7860622795</v>
      </c>
      <c r="G14" s="10" t="n">
        <v>1203729.0102</v>
      </c>
      <c r="H14" s="10" t="n">
        <v>829605.9365744647</v>
      </c>
      <c r="I14" s="10" t="n">
        <v>813600.9725123071</v>
      </c>
      <c r="J14" s="10" t="n">
        <v>776290.79</v>
      </c>
      <c r="K14" s="10" t="n">
        <v>67760.79914000013</v>
      </c>
      <c r="L14" s="10" t="n">
        <v>67760.79914000013</v>
      </c>
      <c r="M14" s="11" t="inlineStr">
        <is>
          <t>Paid CL selected. Age 143 months. Paid CL 776,291; Incurred CL 787,767. Paid CDF 1.096, Incurred 1.112. Close convergence (1.5% apart). Paid selected as primary at this maturity with Incurred CL as secondary confirmation. Paid IBNR 67.8k is reasonable.</t>
        </is>
      </c>
    </row>
    <row r="15">
      <c r="A15" s="9" t="n">
        <v>2014</v>
      </c>
      <c r="B15" s="9" t="n">
        <v>131</v>
      </c>
      <c r="C15" s="10" t="n">
        <v>1389603.684732</v>
      </c>
      <c r="D15" s="10" t="n">
        <v>1389603.684732</v>
      </c>
      <c r="E15" s="10" t="n">
        <v>1603562.482294016</v>
      </c>
      <c r="F15" s="10" t="n">
        <v>1552188.211351658</v>
      </c>
      <c r="G15" s="10" t="n">
        <v>1227803.5905</v>
      </c>
      <c r="H15" s="10" t="n">
        <v>1553426.038251954</v>
      </c>
      <c r="I15" s="10" t="n">
        <v>1518210.424612808</v>
      </c>
      <c r="J15" s="10" t="n">
        <v>1552188.21</v>
      </c>
      <c r="K15" s="10" t="n">
        <v>162584.5252679999</v>
      </c>
      <c r="L15" s="10" t="n">
        <v>162584.5252679999</v>
      </c>
      <c r="M15" s="11" t="inlineStr">
        <is>
          <t>Paid CL selected. Age 131 months. Paid CL 1,552,188; Incurred CL 1,603,562. Paid CDF 1.117, Incurred 1.154. Incurred IE negative IBNR (-161.8k) signals case reserve over-statement. Paid is more credible. Paid IBNR 162.6k is reasonable for maturity.</t>
        </is>
      </c>
    </row>
    <row r="16">
      <c r="A16" s="9" t="n">
        <v>2015</v>
      </c>
      <c r="B16" s="9" t="n">
        <v>119</v>
      </c>
      <c r="C16" s="10" t="n">
        <v>3382963.258076001</v>
      </c>
      <c r="D16" s="10" t="n">
        <v>3364231.298548001</v>
      </c>
      <c r="E16" s="10" t="n">
        <v>3926874.473669822</v>
      </c>
      <c r="F16" s="10" t="n">
        <v>3790166.025843766</v>
      </c>
      <c r="G16" s="10" t="n">
        <v>1669812.8832</v>
      </c>
      <c r="H16" s="10" t="n">
        <v>3614248.969194431</v>
      </c>
      <c r="I16" s="10" t="n">
        <v>3551883.05052697</v>
      </c>
      <c r="J16" s="10" t="n">
        <v>3790166.03</v>
      </c>
      <c r="K16" s="10" t="n">
        <v>407202.7719239984</v>
      </c>
      <c r="L16" s="10" t="n">
        <v>425934.7314519985</v>
      </c>
      <c r="M16" s="11" t="inlineStr">
        <is>
          <t>Paid CL selected. Age 119 months. Paid CL 3,790,166; Incurred CL 3,926,874. Paid CDF 1.127, Incurred 1.161. Incurred IE shows catastrophic -1,713k negative IBNR, completely unreliable. Paid measure is the only credible option. Paid IBNR 425.9k reasonable for this maturity and size.</t>
        </is>
      </c>
    </row>
    <row r="17">
      <c r="A17" s="9" t="n">
        <v>2016</v>
      </c>
      <c r="B17" s="9" t="n">
        <v>107</v>
      </c>
      <c r="C17" s="10" t="n">
        <v>2506323.643367999</v>
      </c>
      <c r="D17" s="10" t="n">
        <v>2462208.676391999</v>
      </c>
      <c r="E17" s="10" t="n">
        <v>3012277.997028591</v>
      </c>
      <c r="F17" s="10" t="n">
        <v>2891278.871996263</v>
      </c>
      <c r="G17" s="10" t="n">
        <v>2554813.7112</v>
      </c>
      <c r="H17" s="10" t="n">
        <v>2935440.451726489</v>
      </c>
      <c r="I17" s="10" t="n">
        <v>2841346.928815287</v>
      </c>
      <c r="J17" s="10" t="n">
        <v>2891278.87</v>
      </c>
      <c r="K17" s="10" t="n">
        <v>384955.2266320013</v>
      </c>
      <c r="L17" s="10" t="n">
        <v>429070.1936080013</v>
      </c>
      <c r="M17" s="11" t="inlineStr">
        <is>
          <t>Paid CL selected. Age 107 months. Paid CL 2,891,279; Incurred CL 3,012,278. Paid CDF 1.174, Incurred 1.202. Incurred IE positive (92.6k IBNR) but Incurred CL IBNR 506k signals divergence. Paid measure at 1.174 is reasonable for this maturity. Paid development stable.</t>
        </is>
      </c>
    </row>
    <row r="18">
      <c r="A18" s="9" t="n">
        <v>2017</v>
      </c>
      <c r="B18" s="9" t="n">
        <v>95</v>
      </c>
      <c r="C18" s="10" t="n">
        <v>1205811.828916</v>
      </c>
      <c r="D18" s="10" t="n">
        <v>1205811.828916</v>
      </c>
      <c r="E18" s="10" t="n">
        <v>1479229.479295419</v>
      </c>
      <c r="F18" s="10" t="n">
        <v>1434346.607519169</v>
      </c>
      <c r="G18" s="10" t="n">
        <v>2605909.9854</v>
      </c>
      <c r="H18" s="10" t="n">
        <v>1687482.722635417</v>
      </c>
      <c r="I18" s="10" t="n">
        <v>1621012.073021027</v>
      </c>
      <c r="J18" s="10" t="n">
        <v>1434346.61</v>
      </c>
      <c r="K18" s="10" t="n">
        <v>228534.7810839997</v>
      </c>
      <c r="L18" s="10" t="n">
        <v>228534.7810839997</v>
      </c>
      <c r="M18" s="11" t="inlineStr">
        <is>
          <t>Paid CL selected. Age 95 months. Paid CL 1,434,347; Incurred CL 1,479,229. Paid CDF 1.190, Incurred 1.227. Incurred IE (1,400k IBNR) shows case growth bias. Paid measure more stable. At 95 months, paid development reasonable. Paid IBNR 228.5k credible for maturity.</t>
        </is>
      </c>
    </row>
    <row r="19">
      <c r="A19" s="9" t="n">
        <v>2018</v>
      </c>
      <c r="B19" s="9" t="n">
        <v>83</v>
      </c>
      <c r="C19" s="10" t="n">
        <v>2395448.423304001</v>
      </c>
      <c r="D19" s="10" t="n">
        <v>2395448.423304001</v>
      </c>
      <c r="E19" s="10" t="n">
        <v>2960949.473612469</v>
      </c>
      <c r="F19" s="10" t="n">
        <v>2938070.292338315</v>
      </c>
      <c r="G19" s="10" t="n">
        <v>2215023.4875</v>
      </c>
      <c r="H19" s="10" t="n">
        <v>2818487.762476162</v>
      </c>
      <c r="I19" s="10" t="n">
        <v>2804533.320924196</v>
      </c>
      <c r="J19" s="10" t="n">
        <v>2938070.29</v>
      </c>
      <c r="K19" s="10" t="n">
        <v>542621.8666959992</v>
      </c>
      <c r="L19" s="10" t="n">
        <v>542621.8666959992</v>
      </c>
      <c r="M19" s="11" t="inlineStr">
        <is>
          <t>Paid CL selected. Age 83 months. Paid CL 2,938,070; Incurred CL 2,960,949. Paid CDF 1.227, Incurred 1.236. Very close convergence (0.8% apart). Both measures reasonable. Paid selected with Incurred as secondary check. Paid IBNR 542.6k reasonable for maturity.</t>
        </is>
      </c>
    </row>
    <row r="20">
      <c r="A20" s="9" t="n">
        <v>2019</v>
      </c>
      <c r="B20" s="9" t="n">
        <v>71</v>
      </c>
      <c r="C20" s="10" t="n">
        <v>2599882.874291999</v>
      </c>
      <c r="D20" s="10" t="n">
        <v>2395189.834488001</v>
      </c>
      <c r="E20" s="10" t="n">
        <v>3482306.165211298</v>
      </c>
      <c r="F20" s="10" t="n">
        <v>3294690.132441459</v>
      </c>
      <c r="G20" s="10" t="n">
        <v>2259323.9575</v>
      </c>
      <c r="H20" s="10" t="n">
        <v>3172400.04746508</v>
      </c>
      <c r="I20" s="10" t="n">
        <v>3012019.488036837</v>
      </c>
      <c r="J20" s="10" t="n">
        <v>3294690.13</v>
      </c>
      <c r="K20" s="10" t="n">
        <v>694807.2557080006</v>
      </c>
      <c r="L20" s="10" t="n">
        <v>899500.2955119992</v>
      </c>
      <c r="M20" s="11" t="inlineStr">
        <is>
          <t>Paid CL selected. Age 71 months. Paid CL 3,294,690; Incurred CL 3,482,306. Paid CDF 1.376, Incurred 1.339. Paid higher here (unusual), but Incurred IE negative (-135.9k) signals case adequacy decline. Paid CDF 1.376 indicates significant tail development expected. Paid measure is cleaner. Paid IBNR 899.5k reflects substantial remaining development.</t>
        </is>
      </c>
    </row>
    <row r="21">
      <c r="A21" s="9" t="n">
        <v>2020</v>
      </c>
      <c r="B21" s="9" t="n">
        <v>59</v>
      </c>
      <c r="C21" s="10" t="n">
        <v>978899.5094679999</v>
      </c>
      <c r="D21" s="10" t="n">
        <v>976050.8625559999</v>
      </c>
      <c r="E21" s="10" t="n">
        <v>1451570.488544801</v>
      </c>
      <c r="F21" s="10" t="n">
        <v>1502370.929493663</v>
      </c>
      <c r="G21" s="10" t="n">
        <v>1843608.3492</v>
      </c>
      <c r="H21" s="10" t="n">
        <v>1579228.718643454</v>
      </c>
      <c r="I21" s="10" t="n">
        <v>1621915.376244909</v>
      </c>
      <c r="J21" s="10" t="n">
        <v>1502370.93</v>
      </c>
      <c r="K21" s="10" t="n">
        <v>523471.420532</v>
      </c>
      <c r="L21" s="10" t="n">
        <v>526320.067444</v>
      </c>
      <c r="M21" s="11" t="inlineStr">
        <is>
          <t>Paid CL selected. Age 59 months. Paid CL 1,502,371; Incurred CL 1,451,570. Paid CDF 1.539, Incurred 1.483. Paid higher, reflecting newer claims and heavy development ahead. Paid CDF 1.539 is substantial. Incurred IE (864.7k IBNR) is 59.6% of reportedâ€”unrealistic. Paid measure is primary. IBNR 526.3k significant but reasonable for age 59.</t>
        </is>
      </c>
    </row>
    <row r="22">
      <c r="A22" s="9" t="n">
        <v>2021</v>
      </c>
      <c r="B22" s="9" t="n">
        <v>47</v>
      </c>
      <c r="C22" s="10" t="n">
        <v>1011313.279736</v>
      </c>
      <c r="D22" s="10" t="n">
        <v>974979.4133360002</v>
      </c>
      <c r="E22" s="10" t="n">
        <v>1585114.784191883</v>
      </c>
      <c r="F22" s="10" t="n">
        <v>1639388.404900304</v>
      </c>
      <c r="G22" s="10" t="n">
        <v>1410360.3873</v>
      </c>
      <c r="H22" s="10" t="n">
        <v>1521854.800216676</v>
      </c>
      <c r="I22" s="10" t="n">
        <v>1546568.256997011</v>
      </c>
      <c r="J22" s="10" t="n">
        <v>1639388.4</v>
      </c>
      <c r="K22" s="10" t="n">
        <v>628075.1202639999</v>
      </c>
      <c r="L22" s="10" t="n">
        <v>664408.9866639997</v>
      </c>
      <c r="M22" s="11" t="inlineStr">
        <is>
          <t>Paid CL selected. Age 47 months. Paid CL 1,639,388; Incurred CL 1,585,115. Paid CDF 1.681, Incurred 1.567. Paid development is heavy (67.1% IBNR ratio). Incurred IE (399k IBNR, 39.4% of reported) also substantial. Paid shows stronger development signal; selected as primary. Paid IBNR 664.4k reflects significant immaturity.</t>
        </is>
      </c>
    </row>
    <row r="23">
      <c r="A23" s="9" t="n">
        <v>2022</v>
      </c>
      <c r="B23" s="9" t="n">
        <v>35</v>
      </c>
      <c r="C23" s="10" t="n">
        <v>827416.1066440007</v>
      </c>
      <c r="D23" s="10" t="n">
        <v>791103.7101360001</v>
      </c>
      <c r="E23" s="10" t="n">
        <v>1539912.420262669</v>
      </c>
      <c r="F23" s="10" t="n">
        <v>1562862.384231543</v>
      </c>
      <c r="G23" s="10" t="n">
        <v>959045.0632000001</v>
      </c>
      <c r="H23" s="10" t="n">
        <v>1271153.077093026</v>
      </c>
      <c r="I23" s="10" t="n">
        <v>1264690.734714008</v>
      </c>
      <c r="J23" s="10" t="n">
        <v>1562862.38</v>
      </c>
      <c r="K23" s="10" t="n">
        <v>735446.2733559991</v>
      </c>
      <c r="L23" s="10" t="n">
        <v>771758.6698639998</v>
      </c>
      <c r="M23" s="11" t="inlineStr">
        <is>
          <t>Paid CL selected. Age 35 months. Paid CL 1,562,862; Incurred CL 1,539,912. Paid CDF 1.976, Incurred 1.861. Paid shows accelerated development (49.5% IBNR ratio). Very close convergence (1.5% apart). Paid selected for its objective payment-based development. Paid IBNR 771.8k reflects green maturity.</t>
        </is>
      </c>
    </row>
    <row r="24">
      <c r="A24" s="9" t="n">
        <v>2023</v>
      </c>
      <c r="B24" s="9" t="n">
        <v>23</v>
      </c>
      <c r="C24" s="10" t="n">
        <v>1651756.674352</v>
      </c>
      <c r="D24" s="10" t="n">
        <v>1199242.068356001</v>
      </c>
      <c r="E24" s="10" t="n">
        <v>3783910.827529524</v>
      </c>
      <c r="F24" s="10" t="n">
        <v>3369891.480069201</v>
      </c>
      <c r="G24" s="10" t="n">
        <v>978225.9646000001</v>
      </c>
      <c r="H24" s="10" t="n">
        <v>2202966.427497723</v>
      </c>
      <c r="I24" s="10" t="n">
        <v>1829347.110948638</v>
      </c>
      <c r="J24" s="10" t="n">
        <v>3369891.48</v>
      </c>
      <c r="K24" s="10" t="n">
        <v>1718134.805648</v>
      </c>
      <c r="L24" s="10" t="n">
        <v>2170649.411643999</v>
      </c>
      <c r="M24" s="11" t="inlineStr">
        <is>
          <t>Paid CL selected. Age 23 months. Paid CL 3,369,891; Incurred CL 3,783,911. Paid CDF 2.810, Incurred 2.291. Paid shows stronger development factor, reflecting real payment acceleration. Paid CDF 2.810 indicates 64% of ultimate still to develop. Incurred IE negative (-221k) unreliable. Paid IBNR 2,170.6k (64.4% of ultimate) reasonable for age 23.</t>
        </is>
      </c>
    </row>
    <row r="25">
      <c r="A25" s="9" t="n">
        <v>2024</v>
      </c>
      <c r="B25" s="9" t="n">
        <v>11</v>
      </c>
      <c r="C25" s="10" t="n">
        <v>890155.221828</v>
      </c>
      <c r="D25" s="10" t="n">
        <v>355247.7609319999</v>
      </c>
      <c r="E25" s="10" t="n">
        <v>3471540.028680828</v>
      </c>
      <c r="F25" s="10" t="n">
        <v>2579684.132128034</v>
      </c>
      <c r="G25" s="10" t="n">
        <v>997790.4837999999</v>
      </c>
      <c r="H25" s="10" t="n">
        <v>1632097.176702247</v>
      </c>
      <c r="I25" s="10" t="n">
        <v>1215632.726422747</v>
      </c>
      <c r="J25" s="10" t="n">
        <v>2579684.13</v>
      </c>
      <c r="K25" s="10" t="n">
        <v>1689528.908172</v>
      </c>
      <c r="L25" s="10" t="n">
        <v>2224436.369068</v>
      </c>
      <c r="M25" s="11" t="inlineStr">
        <is>
          <t>Paid CL selected. Age 11 months. Paid CL 2,579,684; Incurred CL 3,471,540. Paid CDF 7.262, Incurred 3.900. Paid shows extreme development factor, reflecting only 13.8% developed to date. Paid CDF credible given incipient claim emergence. Incurred IE (642.5k IBNR, 64.4% of reported) diverges sharply. At 11 months, Paid CL tail is justified. IBNR 2,224.4k (86.2% of ultimate) reflects heavy development ahead.</t>
        </is>
      </c>
    </row>
    <row r="26"/>
    <row r="27">
      <c r="A27" s="5" t="inlineStr">
        <is>
          <t>Total</t>
        </is>
      </c>
      <c r="C27" s="10" t="n"/>
      <c r="D27" s="10" t="n"/>
      <c r="E27" s="10" t="n"/>
      <c r="F27" s="10" t="n"/>
      <c r="G27" s="10" t="n"/>
      <c r="H27" s="10" t="n"/>
      <c r="I27" s="10" t="n"/>
      <c r="J27" s="10" t="n"/>
      <c r="K27" s="10" t="n"/>
      <c r="L27" s="1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Incurred</t>
        </is>
      </c>
      <c r="D1" s="8" t="inlineStr">
        <is>
          <t>CDF</t>
        </is>
      </c>
      <c r="E1" s="8" t="inlineStr">
        <is>
          <t>Ultimate</t>
        </is>
      </c>
      <c r="F1" s="8" t="inlineStr">
        <is>
          <t>IBNR</t>
        </is>
      </c>
      <c r="G1" s="8" t="inlineStr">
        <is>
          <t>Unpaid</t>
        </is>
      </c>
    </row>
    <row r="2">
      <c r="A2" s="9" t="n">
        <v>2001</v>
      </c>
      <c r="B2" s="9" t="n">
        <v>287</v>
      </c>
      <c r="C2" s="12" t="n">
        <v>3163773.699688</v>
      </c>
      <c r="D2" s="13" t="n">
        <v>1.036724577767118</v>
      </c>
      <c r="E2" s="10" t="n">
        <v>3279961.952959755</v>
      </c>
      <c r="F2" s="10" t="n">
        <v>116188.2532717544</v>
      </c>
      <c r="G2" s="10" t="n">
        <v>237667.2906837543</v>
      </c>
    </row>
    <row r="3">
      <c r="A3" s="9" t="n">
        <v>2002</v>
      </c>
      <c r="B3" s="9" t="n">
        <v>275</v>
      </c>
      <c r="C3" s="12" t="n">
        <v>2327733.756319999</v>
      </c>
      <c r="D3" s="13" t="n">
        <v>1.049061600242547</v>
      </c>
      <c r="E3" s="10" t="n">
        <v>2441936.099343652</v>
      </c>
      <c r="F3" s="10" t="n">
        <v>114202.3430236531</v>
      </c>
      <c r="G3" s="10" t="n">
        <v>242289.871255652</v>
      </c>
    </row>
    <row r="4">
      <c r="A4" s="9" t="n">
        <v>2003</v>
      </c>
      <c r="B4" s="9" t="n">
        <v>263</v>
      </c>
      <c r="C4" s="12" t="n">
        <v>1778091.575843999</v>
      </c>
      <c r="D4" s="13" t="n">
        <v>1.049061600242547</v>
      </c>
      <c r="E4" s="10" t="n">
        <v>1865327.593932697</v>
      </c>
      <c r="F4" s="10" t="n">
        <v>87236.01808869792</v>
      </c>
      <c r="G4" s="10" t="n">
        <v>87236.01808869792</v>
      </c>
    </row>
    <row r="5">
      <c r="A5" s="9" t="n">
        <v>2004</v>
      </c>
      <c r="B5" s="9" t="n">
        <v>251</v>
      </c>
      <c r="C5" s="12" t="n">
        <v>1122614.7306</v>
      </c>
      <c r="D5" s="13" t="n">
        <v>1.066476022806573</v>
      </c>
      <c r="E5" s="10" t="n">
        <v>1197241.693034361</v>
      </c>
      <c r="F5" s="10" t="n">
        <v>74626.96243436029</v>
      </c>
      <c r="G5" s="10" t="n">
        <v>74626.96243436029</v>
      </c>
    </row>
    <row r="6">
      <c r="A6" s="9" t="n">
        <v>2005</v>
      </c>
      <c r="B6" s="9" t="n">
        <v>239</v>
      </c>
      <c r="C6" s="12" t="n">
        <v>2242149.132116</v>
      </c>
      <c r="D6" s="13" t="n">
        <v>1.071061869704641</v>
      </c>
      <c r="E6" s="10" t="n">
        <v>2401480.441600801</v>
      </c>
      <c r="F6" s="10" t="n">
        <v>159331.3094848013</v>
      </c>
      <c r="G6" s="10" t="n">
        <v>159331.3094848013</v>
      </c>
    </row>
    <row r="7">
      <c r="A7" s="9" t="n">
        <v>2006</v>
      </c>
      <c r="B7" s="9" t="n">
        <v>227</v>
      </c>
      <c r="C7" s="12" t="n">
        <v>1517636.792660001</v>
      </c>
      <c r="D7" s="13" t="n">
        <v>1.08016589559713</v>
      </c>
      <c r="E7" s="10" t="n">
        <v>1639299.505334746</v>
      </c>
      <c r="F7" s="10" t="n">
        <v>121662.7126747456</v>
      </c>
      <c r="G7" s="10" t="n">
        <v>177158.4774787459</v>
      </c>
    </row>
    <row r="8">
      <c r="A8" s="9" t="n">
        <v>2007</v>
      </c>
      <c r="B8" s="9" t="n">
        <v>215</v>
      </c>
      <c r="C8" s="12" t="n">
        <v>4810774.614816</v>
      </c>
      <c r="D8" s="13" t="n">
        <v>1.08016589559713</v>
      </c>
      <c r="E8" s="10" t="n">
        <v>5196434.670328665</v>
      </c>
      <c r="F8" s="10" t="n">
        <v>385660.0555126648</v>
      </c>
      <c r="G8" s="10" t="n">
        <v>405741.5171766644</v>
      </c>
    </row>
    <row r="9">
      <c r="A9" s="9" t="n">
        <v>2008</v>
      </c>
      <c r="B9" s="9" t="n">
        <v>203</v>
      </c>
      <c r="C9" s="12" t="n">
        <v>1378427.939547998</v>
      </c>
      <c r="D9" s="13" t="n">
        <v>1.082326227388325</v>
      </c>
      <c r="E9" s="10" t="n">
        <v>1491908.711537647</v>
      </c>
      <c r="F9" s="10" t="n">
        <v>113480.7719896485</v>
      </c>
      <c r="G9" s="10" t="n">
        <v>113480.7719896485</v>
      </c>
    </row>
    <row r="10">
      <c r="A10" s="9" t="n">
        <v>2009</v>
      </c>
      <c r="B10" s="9" t="n">
        <v>191</v>
      </c>
      <c r="C10" s="12" t="n">
        <v>1169581.089256</v>
      </c>
      <c r="D10" s="13" t="n">
        <v>1.091634232943864</v>
      </c>
      <c r="E10" s="10" t="n">
        <v>1276754.755235623</v>
      </c>
      <c r="F10" s="10" t="n">
        <v>107173.6659796229</v>
      </c>
      <c r="G10" s="10" t="n">
        <v>107173.6659796229</v>
      </c>
    </row>
    <row r="11">
      <c r="A11" s="9" t="n">
        <v>2010</v>
      </c>
      <c r="B11" s="9" t="n">
        <v>179</v>
      </c>
      <c r="C11" s="12" t="n">
        <v>1277672.072084001</v>
      </c>
      <c r="D11" s="13" t="n">
        <v>1.0967649138387</v>
      </c>
      <c r="E11" s="10" t="n">
        <v>1401305.900053323</v>
      </c>
      <c r="F11" s="10" t="n">
        <v>123633.827969322</v>
      </c>
      <c r="G11" s="10" t="n">
        <v>123633.827969322</v>
      </c>
    </row>
    <row r="12">
      <c r="A12" s="9" t="n">
        <v>2011</v>
      </c>
      <c r="B12" s="9" t="n">
        <v>167</v>
      </c>
      <c r="C12" s="12" t="n">
        <v>1916081.580416</v>
      </c>
      <c r="D12" s="13" t="n">
        <v>1.107732562977087</v>
      </c>
      <c r="E12" s="10" t="n">
        <v>2122505.959947404</v>
      </c>
      <c r="F12" s="10" t="n">
        <v>206424.3795314038</v>
      </c>
      <c r="G12" s="10" t="n">
        <v>229847.6622154037</v>
      </c>
    </row>
    <row r="13">
      <c r="A13" s="9" t="n">
        <v>2012</v>
      </c>
      <c r="B13" s="9" t="n">
        <v>155</v>
      </c>
      <c r="C13" s="12" t="n">
        <v>1363753.380531999</v>
      </c>
      <c r="D13" s="13" t="n">
        <v>1.108175656002278</v>
      </c>
      <c r="E13" s="10" t="n">
        <v>1511278.297096373</v>
      </c>
      <c r="F13" s="10" t="n">
        <v>147524.9165643735</v>
      </c>
      <c r="G13" s="10" t="n">
        <v>317041.4187563737</v>
      </c>
    </row>
    <row r="14">
      <c r="A14" s="9" t="n">
        <v>2013</v>
      </c>
      <c r="B14" s="9" t="n">
        <v>143</v>
      </c>
      <c r="C14" s="12" t="n">
        <v>708529.9908599999</v>
      </c>
      <c r="D14" s="13" t="n">
        <v>1.111832635667086</v>
      </c>
      <c r="E14" s="10" t="n">
        <v>787766.7671870498</v>
      </c>
      <c r="F14" s="10" t="n">
        <v>79236.77632704994</v>
      </c>
      <c r="G14" s="10" t="n">
        <v>79236.77632704994</v>
      </c>
    </row>
    <row r="15">
      <c r="A15" s="9" t="n">
        <v>2014</v>
      </c>
      <c r="B15" s="9" t="n">
        <v>131</v>
      </c>
      <c r="C15" s="12" t="n">
        <v>1389603.684732</v>
      </c>
      <c r="D15" s="13" t="n">
        <v>1.153971092558868</v>
      </c>
      <c r="E15" s="10" t="n">
        <v>1603562.482294016</v>
      </c>
      <c r="F15" s="10" t="n">
        <v>213958.7975620155</v>
      </c>
      <c r="G15" s="10" t="n">
        <v>213958.7975620155</v>
      </c>
    </row>
    <row r="16">
      <c r="A16" s="9" t="n">
        <v>2015</v>
      </c>
      <c r="B16" s="9" t="n">
        <v>119</v>
      </c>
      <c r="C16" s="12" t="n">
        <v>3382963.258076001</v>
      </c>
      <c r="D16" s="13" t="n">
        <v>1.160779522004966</v>
      </c>
      <c r="E16" s="10" t="n">
        <v>3926874.473669822</v>
      </c>
      <c r="F16" s="10" t="n">
        <v>543911.2155938209</v>
      </c>
      <c r="G16" s="10" t="n">
        <v>562643.175121821</v>
      </c>
    </row>
    <row r="17">
      <c r="A17" s="9" t="n">
        <v>2016</v>
      </c>
      <c r="B17" s="9" t="n">
        <v>107</v>
      </c>
      <c r="C17" s="12" t="n">
        <v>2506323.643367999</v>
      </c>
      <c r="D17" s="13" t="n">
        <v>1.201871117083942</v>
      </c>
      <c r="E17" s="10" t="n">
        <v>3012277.997028591</v>
      </c>
      <c r="F17" s="10" t="n">
        <v>505954.3536605923</v>
      </c>
      <c r="G17" s="10" t="n">
        <v>550069.3206365923</v>
      </c>
    </row>
    <row r="18">
      <c r="A18" s="9" t="n">
        <v>2017</v>
      </c>
      <c r="B18" s="9" t="n">
        <v>95</v>
      </c>
      <c r="C18" s="12" t="n">
        <v>1205811.828916</v>
      </c>
      <c r="D18" s="13" t="n">
        <v>1.226749849207579</v>
      </c>
      <c r="E18" s="10" t="n">
        <v>1479229.479295419</v>
      </c>
      <c r="F18" s="10" t="n">
        <v>273417.6503794182</v>
      </c>
      <c r="G18" s="10" t="n">
        <v>273417.6503794182</v>
      </c>
    </row>
    <row r="19">
      <c r="A19" s="9" t="n">
        <v>2018</v>
      </c>
      <c r="B19" s="9" t="n">
        <v>83</v>
      </c>
      <c r="C19" s="12" t="n">
        <v>2395448.423304001</v>
      </c>
      <c r="D19" s="13" t="n">
        <v>1.236073148061557</v>
      </c>
      <c r="E19" s="10" t="n">
        <v>2960949.473612469</v>
      </c>
      <c r="F19" s="10" t="n">
        <v>565501.0503084683</v>
      </c>
      <c r="G19" s="10" t="n">
        <v>565501.0503084683</v>
      </c>
    </row>
    <row r="20">
      <c r="A20" s="9" t="n">
        <v>2019</v>
      </c>
      <c r="B20" s="9" t="n">
        <v>71</v>
      </c>
      <c r="C20" s="12" t="n">
        <v>2599882.874291999</v>
      </c>
      <c r="D20" s="13" t="n">
        <v>1.339408863239503</v>
      </c>
      <c r="E20" s="10" t="n">
        <v>3482306.165211298</v>
      </c>
      <c r="F20" s="10" t="n">
        <v>882423.2909192983</v>
      </c>
      <c r="G20" s="10" t="n">
        <v>1087116.330723297</v>
      </c>
    </row>
    <row r="21">
      <c r="A21" s="9" t="n">
        <v>2020</v>
      </c>
      <c r="B21" s="9" t="n">
        <v>59</v>
      </c>
      <c r="C21" s="12" t="n">
        <v>978899.5094679999</v>
      </c>
      <c r="D21" s="13" t="n">
        <v>1.482859552492453</v>
      </c>
      <c r="E21" s="10" t="n">
        <v>1451570.488544801</v>
      </c>
      <c r="F21" s="10" t="n">
        <v>472670.9790768006</v>
      </c>
      <c r="G21" s="10" t="n">
        <v>475519.6259888007</v>
      </c>
    </row>
    <row r="22">
      <c r="A22" s="9" t="n">
        <v>2021</v>
      </c>
      <c r="B22" s="9" t="n">
        <v>47</v>
      </c>
      <c r="C22" s="12" t="n">
        <v>1011313.279736</v>
      </c>
      <c r="D22" s="13" t="n">
        <v>1.567382546984523</v>
      </c>
      <c r="E22" s="10" t="n">
        <v>1585114.784191883</v>
      </c>
      <c r="F22" s="10" t="n">
        <v>573801.5044558834</v>
      </c>
      <c r="G22" s="10" t="n">
        <v>610135.3708558832</v>
      </c>
    </row>
    <row r="23">
      <c r="A23" s="9" t="n">
        <v>2022</v>
      </c>
      <c r="B23" s="9" t="n">
        <v>35</v>
      </c>
      <c r="C23" s="12" t="n">
        <v>827416.1066440007</v>
      </c>
      <c r="D23" s="13" t="n">
        <v>1.861110036289423</v>
      </c>
      <c r="E23" s="10" t="n">
        <v>1539912.420262669</v>
      </c>
      <c r="F23" s="10" t="n">
        <v>712496.3136186687</v>
      </c>
      <c r="G23" s="10" t="n">
        <v>748808.7101266694</v>
      </c>
    </row>
    <row r="24">
      <c r="A24" s="9" t="n">
        <v>2023</v>
      </c>
      <c r="B24" s="9" t="n">
        <v>23</v>
      </c>
      <c r="C24" s="12" t="n">
        <v>1651756.674352</v>
      </c>
      <c r="D24" s="13" t="n">
        <v>2.290840343668651</v>
      </c>
      <c r="E24" s="10" t="n">
        <v>3783910.827529524</v>
      </c>
      <c r="F24" s="10" t="n">
        <v>2132154.153177524</v>
      </c>
      <c r="G24" s="10" t="n">
        <v>2584668.759173523</v>
      </c>
    </row>
    <row r="25">
      <c r="A25" s="9" t="n">
        <v>2024</v>
      </c>
      <c r="B25" s="9" t="n">
        <v>11</v>
      </c>
      <c r="C25" s="12" t="n">
        <v>890155.221828</v>
      </c>
      <c r="D25" s="13" t="n">
        <v>3.899926601061511</v>
      </c>
      <c r="E25" s="10" t="n">
        <v>3471540.028680828</v>
      </c>
      <c r="F25" s="10" t="n">
        <v>2581384.806852828</v>
      </c>
      <c r="G25" s="10" t="n">
        <v>3116292.267748828</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Paid</t>
        </is>
      </c>
      <c r="D1" s="8" t="inlineStr">
        <is>
          <t>CDF</t>
        </is>
      </c>
      <c r="E1" s="8" t="inlineStr">
        <is>
          <t>Ultimate</t>
        </is>
      </c>
      <c r="F1" s="8" t="inlineStr">
        <is>
          <t>IBNR</t>
        </is>
      </c>
      <c r="G1" s="8" t="inlineStr">
        <is>
          <t>Unpaid</t>
        </is>
      </c>
    </row>
    <row r="2">
      <c r="A2" s="9" t="n">
        <v>2001</v>
      </c>
      <c r="B2" s="9" t="n">
        <v>287</v>
      </c>
      <c r="C2" s="12" t="n">
        <v>3042294.662276</v>
      </c>
      <c r="D2" s="13" t="n">
        <v>1.0039</v>
      </c>
      <c r="E2" s="10" t="n">
        <v>3054159.611458877</v>
      </c>
      <c r="F2" s="10" t="n">
        <v>11864.94918287639</v>
      </c>
      <c r="G2" s="10" t="n">
        <v>11864.94918287639</v>
      </c>
    </row>
    <row r="3">
      <c r="A3" s="9" t="n">
        <v>2002</v>
      </c>
      <c r="B3" s="9" t="n">
        <v>275</v>
      </c>
      <c r="C3" s="12" t="n">
        <v>2199646.228088</v>
      </c>
      <c r="D3" s="13" t="n">
        <v>1.00781521</v>
      </c>
      <c r="E3" s="10" t="n">
        <v>2216836.925286216</v>
      </c>
      <c r="F3" s="10" t="n">
        <v>17190.69719821541</v>
      </c>
      <c r="G3" s="10" t="n">
        <v>17190.69719821541</v>
      </c>
    </row>
    <row r="4">
      <c r="A4" s="9" t="n">
        <v>2003</v>
      </c>
      <c r="B4" s="9" t="n">
        <v>263</v>
      </c>
      <c r="C4" s="12" t="n">
        <v>1778091.575843999</v>
      </c>
      <c r="D4" s="13" t="n">
        <v>1.015474605596</v>
      </c>
      <c r="E4" s="10" t="n">
        <v>1805606.841693755</v>
      </c>
      <c r="F4" s="10" t="n">
        <v>27515.26584975608</v>
      </c>
      <c r="G4" s="10" t="n">
        <v>27515.26584975608</v>
      </c>
    </row>
    <row r="5">
      <c r="A5" s="9" t="n">
        <v>2004</v>
      </c>
      <c r="B5" s="9" t="n">
        <v>251</v>
      </c>
      <c r="C5" s="12" t="n">
        <v>1122614.7306</v>
      </c>
      <c r="D5" s="13" t="n">
        <v>1.021262810847897</v>
      </c>
      <c r="E5" s="10" t="n">
        <v>1146484.675271811</v>
      </c>
      <c r="F5" s="10" t="n">
        <v>23869.94467181084</v>
      </c>
      <c r="G5" s="10" t="n">
        <v>23869.94467181084</v>
      </c>
    </row>
    <row r="6">
      <c r="A6" s="9" t="n">
        <v>2005</v>
      </c>
      <c r="B6" s="9" t="n">
        <v>239</v>
      </c>
      <c r="C6" s="12" t="n">
        <v>2242149.132116</v>
      </c>
      <c r="D6" s="13" t="n">
        <v>1.025756367215628</v>
      </c>
      <c r="E6" s="10" t="n">
        <v>2299898.748514981</v>
      </c>
      <c r="F6" s="10" t="n">
        <v>57749.61639898084</v>
      </c>
      <c r="G6" s="10" t="n">
        <v>57749.61639898084</v>
      </c>
    </row>
    <row r="7">
      <c r="A7" s="9" t="n">
        <v>2006</v>
      </c>
      <c r="B7" s="9" t="n">
        <v>227</v>
      </c>
      <c r="C7" s="12" t="n">
        <v>1462141.027856</v>
      </c>
      <c r="D7" s="13" t="n">
        <v>1.028218182496945</v>
      </c>
      <c r="E7" s="10" t="n">
        <v>1503399.990216312</v>
      </c>
      <c r="F7" s="10" t="n">
        <v>41258.96236031153</v>
      </c>
      <c r="G7" s="10" t="n">
        <v>41258.96236031153</v>
      </c>
    </row>
    <row r="8">
      <c r="A8" s="9" t="n">
        <v>2007</v>
      </c>
      <c r="B8" s="9" t="n">
        <v>215</v>
      </c>
      <c r="C8" s="12" t="n">
        <v>4790693.153152</v>
      </c>
      <c r="D8" s="13" t="n">
        <v>1.032639520681682</v>
      </c>
      <c r="E8" s="10" t="n">
        <v>4947059.081403897</v>
      </c>
      <c r="F8" s="10" t="n">
        <v>156365.928251897</v>
      </c>
      <c r="G8" s="10" t="n">
        <v>156365.928251897</v>
      </c>
    </row>
    <row r="9">
      <c r="A9" s="9" t="n">
        <v>2008</v>
      </c>
      <c r="B9" s="9" t="n">
        <v>203</v>
      </c>
      <c r="C9" s="12" t="n">
        <v>1378427.939547998</v>
      </c>
      <c r="D9" s="13" t="n">
        <v>1.03501459157925</v>
      </c>
      <c r="E9" s="10" t="n">
        <v>1426693.030872698</v>
      </c>
      <c r="F9" s="10" t="n">
        <v>48265.09132470004</v>
      </c>
      <c r="G9" s="10" t="n">
        <v>48265.09132470004</v>
      </c>
    </row>
    <row r="10">
      <c r="A10" s="9" t="n">
        <v>2009</v>
      </c>
      <c r="B10" s="9" t="n">
        <v>191</v>
      </c>
      <c r="C10" s="12" t="n">
        <v>1169581.089256</v>
      </c>
      <c r="D10" s="13" t="n">
        <v>1.048159276892306</v>
      </c>
      <c r="E10" s="10" t="n">
        <v>1225907.268781485</v>
      </c>
      <c r="F10" s="10" t="n">
        <v>56326.1795254848</v>
      </c>
      <c r="G10" s="10" t="n">
        <v>56326.1795254848</v>
      </c>
    </row>
    <row r="11">
      <c r="A11" s="9" t="n">
        <v>2010</v>
      </c>
      <c r="B11" s="9" t="n">
        <v>179</v>
      </c>
      <c r="C11" s="12" t="n">
        <v>1277672.072084001</v>
      </c>
      <c r="D11" s="13" t="n">
        <v>1.058221605950473</v>
      </c>
      <c r="E11" s="10" t="n">
        <v>1352060.191998799</v>
      </c>
      <c r="F11" s="10" t="n">
        <v>74388.11991479853</v>
      </c>
      <c r="G11" s="10" t="n">
        <v>74388.11991479853</v>
      </c>
    </row>
    <row r="12">
      <c r="A12" s="9" t="n">
        <v>2011</v>
      </c>
      <c r="B12" s="9" t="n">
        <v>167</v>
      </c>
      <c r="C12" s="12" t="n">
        <v>1892658.297732</v>
      </c>
      <c r="D12" s="13" t="n">
        <v>1.066793200958671</v>
      </c>
      <c r="E12" s="10" t="n">
        <v>2019075.00375851</v>
      </c>
      <c r="F12" s="10" t="n">
        <v>126416.7060265103</v>
      </c>
      <c r="G12" s="10" t="n">
        <v>126416.7060265103</v>
      </c>
    </row>
    <row r="13">
      <c r="A13" s="9" t="n">
        <v>2012</v>
      </c>
      <c r="B13" s="9" t="n">
        <v>155</v>
      </c>
      <c r="C13" s="12" t="n">
        <v>1194236.878339999</v>
      </c>
      <c r="D13" s="13" t="n">
        <v>1.07404739472519</v>
      </c>
      <c r="E13" s="10" t="n">
        <v>1282667.00786582</v>
      </c>
      <c r="F13" s="10" t="n">
        <v>88430.12952582096</v>
      </c>
      <c r="G13" s="10" t="n">
        <v>88430.12952582096</v>
      </c>
    </row>
    <row r="14">
      <c r="A14" s="9" t="n">
        <v>2013</v>
      </c>
      <c r="B14" s="9" t="n">
        <v>143</v>
      </c>
      <c r="C14" s="12" t="n">
        <v>708529.9908599999</v>
      </c>
      <c r="D14" s="13" t="n">
        <v>1.095635747359167</v>
      </c>
      <c r="E14" s="10" t="n">
        <v>776290.7860622795</v>
      </c>
      <c r="F14" s="10" t="n">
        <v>67760.79520227958</v>
      </c>
      <c r="G14" s="10" t="n">
        <v>67760.79520227958</v>
      </c>
    </row>
    <row r="15">
      <c r="A15" s="9" t="n">
        <v>2014</v>
      </c>
      <c r="B15" s="9" t="n">
        <v>131</v>
      </c>
      <c r="C15" s="12" t="n">
        <v>1389603.684732</v>
      </c>
      <c r="D15" s="13" t="n">
        <v>1.117000644432671</v>
      </c>
      <c r="E15" s="10" t="n">
        <v>1552188.211351658</v>
      </c>
      <c r="F15" s="10" t="n">
        <v>162584.5266196576</v>
      </c>
      <c r="G15" s="10" t="n">
        <v>162584.5266196576</v>
      </c>
    </row>
    <row r="16">
      <c r="A16" s="9" t="n">
        <v>2015</v>
      </c>
      <c r="B16" s="9" t="n">
        <v>119</v>
      </c>
      <c r="C16" s="12" t="n">
        <v>3364231.298548001</v>
      </c>
      <c r="D16" s="13" t="n">
        <v>1.126606849974791</v>
      </c>
      <c r="E16" s="10" t="n">
        <v>3790166.025843766</v>
      </c>
      <c r="F16" s="10" t="n">
        <v>425934.7272957647</v>
      </c>
      <c r="G16" s="10" t="n">
        <v>425934.7272957647</v>
      </c>
    </row>
    <row r="17">
      <c r="A17" s="9" t="n">
        <v>2016</v>
      </c>
      <c r="B17" s="9" t="n">
        <v>107</v>
      </c>
      <c r="C17" s="12" t="n">
        <v>2462208.676391999</v>
      </c>
      <c r="D17" s="13" t="n">
        <v>1.174262319728725</v>
      </c>
      <c r="E17" s="10" t="n">
        <v>2891278.871996263</v>
      </c>
      <c r="F17" s="10" t="n">
        <v>429070.1956042638</v>
      </c>
      <c r="G17" s="10" t="n">
        <v>429070.1956042638</v>
      </c>
    </row>
    <row r="18">
      <c r="A18" s="9" t="n">
        <v>2017</v>
      </c>
      <c r="B18" s="9" t="n">
        <v>95</v>
      </c>
      <c r="C18" s="12" t="n">
        <v>1205811.828916</v>
      </c>
      <c r="D18" s="13" t="n">
        <v>1.189527729885199</v>
      </c>
      <c r="E18" s="10" t="n">
        <v>1434346.607519169</v>
      </c>
      <c r="F18" s="10" t="n">
        <v>228534.7786031689</v>
      </c>
      <c r="G18" s="10" t="n">
        <v>228534.7786031689</v>
      </c>
    </row>
    <row r="19">
      <c r="A19" s="9" t="n">
        <v>2018</v>
      </c>
      <c r="B19" s="9" t="n">
        <v>83</v>
      </c>
      <c r="C19" s="12" t="n">
        <v>2395448.423304001</v>
      </c>
      <c r="D19" s="13" t="n">
        <v>1.226522042284628</v>
      </c>
      <c r="E19" s="10" t="n">
        <v>2938070.292338315</v>
      </c>
      <c r="F19" s="10" t="n">
        <v>542621.8690343145</v>
      </c>
      <c r="G19" s="10" t="n">
        <v>542621.8690343145</v>
      </c>
    </row>
    <row r="20">
      <c r="A20" s="9" t="n">
        <v>2019</v>
      </c>
      <c r="B20" s="9" t="n">
        <v>71</v>
      </c>
      <c r="C20" s="12" t="n">
        <v>2395189.834488001</v>
      </c>
      <c r="D20" s="13" t="n">
        <v>1.37554447042221</v>
      </c>
      <c r="E20" s="10" t="n">
        <v>3294690.132441459</v>
      </c>
      <c r="F20" s="10" t="n">
        <v>899500.297953458</v>
      </c>
      <c r="G20" s="10" t="n">
        <v>899500.297953458</v>
      </c>
    </row>
    <row r="21">
      <c r="A21" s="9" t="n">
        <v>2020</v>
      </c>
      <c r="B21" s="9" t="n">
        <v>59</v>
      </c>
      <c r="C21" s="12" t="n">
        <v>976050.8625559999</v>
      </c>
      <c r="D21" s="13" t="n">
        <v>1.539234262402454</v>
      </c>
      <c r="E21" s="10" t="n">
        <v>1502370.929493663</v>
      </c>
      <c r="F21" s="10" t="n">
        <v>526320.0669376632</v>
      </c>
      <c r="G21" s="10" t="n">
        <v>526320.0669376632</v>
      </c>
    </row>
    <row r="22">
      <c r="A22" s="9" t="n">
        <v>2021</v>
      </c>
      <c r="B22" s="9" t="n">
        <v>47</v>
      </c>
      <c r="C22" s="12" t="n">
        <v>974979.4133360002</v>
      </c>
      <c r="D22" s="13" t="n">
        <v>1.68145950824844</v>
      </c>
      <c r="E22" s="10" t="n">
        <v>1639388.404900304</v>
      </c>
      <c r="F22" s="10" t="n">
        <v>664408.9915643034</v>
      </c>
      <c r="G22" s="10" t="n">
        <v>664408.9915643034</v>
      </c>
    </row>
    <row r="23">
      <c r="A23" s="9" t="n">
        <v>2022</v>
      </c>
      <c r="B23" s="9" t="n">
        <v>35</v>
      </c>
      <c r="C23" s="12" t="n">
        <v>791103.7101360001</v>
      </c>
      <c r="D23" s="13" t="n">
        <v>1.975546776241093</v>
      </c>
      <c r="E23" s="10" t="n">
        <v>1562862.384231543</v>
      </c>
      <c r="F23" s="10" t="n">
        <v>771758.6740955426</v>
      </c>
      <c r="G23" s="10" t="n">
        <v>771758.6740955426</v>
      </c>
    </row>
    <row r="24">
      <c r="A24" s="9" t="n">
        <v>2023</v>
      </c>
      <c r="B24" s="9" t="n">
        <v>23</v>
      </c>
      <c r="C24" s="12" t="n">
        <v>1199242.068356001</v>
      </c>
      <c r="D24" s="13" t="n">
        <v>2.81001773452533</v>
      </c>
      <c r="E24" s="10" t="n">
        <v>3369891.480069201</v>
      </c>
      <c r="F24" s="10" t="n">
        <v>2170649.4117132</v>
      </c>
      <c r="G24" s="10" t="n">
        <v>2170649.4117132</v>
      </c>
    </row>
    <row r="25">
      <c r="A25" s="9" t="n">
        <v>2024</v>
      </c>
      <c r="B25" s="9" t="n">
        <v>11</v>
      </c>
      <c r="C25" s="12" t="n">
        <v>355247.7609319999</v>
      </c>
      <c r="D25" s="13" t="n">
        <v>7.261647829560358</v>
      </c>
      <c r="E25" s="10" t="n">
        <v>2579684.132128034</v>
      </c>
      <c r="F25" s="10" t="n">
        <v>2224436.371196034</v>
      </c>
      <c r="G25" s="10" t="n">
        <v>2224436.371196034</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Incurred</t>
        </is>
      </c>
      <c r="H1" s="8" t="inlineStr">
        <is>
          <t>Ultimate</t>
        </is>
      </c>
      <c r="I1" s="8" t="inlineStr">
        <is>
          <t>IBNR</t>
        </is>
      </c>
      <c r="J1" s="8" t="inlineStr">
        <is>
          <t>Unpaid</t>
        </is>
      </c>
    </row>
    <row r="2">
      <c r="A2" s="9" t="n">
        <v>2001</v>
      </c>
      <c r="B2" s="9" t="n">
        <v>287</v>
      </c>
      <c r="C2" s="12" t="n">
        <v>3163773.699688</v>
      </c>
      <c r="D2" s="13" t="n">
        <v>1.036724577767118</v>
      </c>
      <c r="E2" s="14" t="n">
        <v>0.03542365885278298</v>
      </c>
      <c r="F2" s="10" t="n">
        <v>112072.4402251546</v>
      </c>
      <c r="G2" s="12" t="n">
        <v>3163773.699688</v>
      </c>
      <c r="H2" s="10" t="n">
        <v>3275846.139913155</v>
      </c>
      <c r="I2" s="10" t="n">
        <v>112072.4402251546</v>
      </c>
      <c r="J2" s="10" t="n">
        <v>233551.4776371545</v>
      </c>
    </row>
    <row r="3">
      <c r="A3" s="9" t="n">
        <v>2002</v>
      </c>
      <c r="B3" s="9" t="n">
        <v>275</v>
      </c>
      <c r="C3" s="12" t="n">
        <v>2904344.256599999</v>
      </c>
      <c r="D3" s="13" t="n">
        <v>1.049061600242547</v>
      </c>
      <c r="E3" s="14" t="n">
        <v>0.04676713000571497</v>
      </c>
      <c r="F3" s="10" t="n">
        <v>135827.8454297637</v>
      </c>
      <c r="G3" s="12" t="n">
        <v>2327733.756319999</v>
      </c>
      <c r="H3" s="10" t="n">
        <v>2463561.601749763</v>
      </c>
      <c r="I3" s="10" t="n">
        <v>135827.8454297637</v>
      </c>
      <c r="J3" s="10" t="n">
        <v>263915.3736617626</v>
      </c>
    </row>
    <row r="4">
      <c r="A4" s="9" t="n">
        <v>2003</v>
      </c>
      <c r="B4" s="9" t="n">
        <v>263</v>
      </c>
      <c r="C4" s="12" t="n">
        <v>2633272.1256</v>
      </c>
      <c r="D4" s="13" t="n">
        <v>1.049061600242547</v>
      </c>
      <c r="E4" s="14" t="n">
        <v>0.04676713000571497</v>
      </c>
      <c r="F4" s="10" t="n">
        <v>123150.5798383607</v>
      </c>
      <c r="G4" s="12" t="n">
        <v>1778091.575843999</v>
      </c>
      <c r="H4" s="10" t="n">
        <v>1901242.15568236</v>
      </c>
      <c r="I4" s="10" t="n">
        <v>123150.5798383607</v>
      </c>
      <c r="J4" s="10" t="n">
        <v>123150.5798383607</v>
      </c>
    </row>
    <row r="5">
      <c r="A5" s="9" t="n">
        <v>2004</v>
      </c>
      <c r="B5" s="9" t="n">
        <v>251</v>
      </c>
      <c r="C5" s="12" t="n">
        <v>1678710.98</v>
      </c>
      <c r="D5" s="13" t="n">
        <v>1.066476022806573</v>
      </c>
      <c r="E5" s="14" t="n">
        <v>0.06233241196706174</v>
      </c>
      <c r="F5" s="10" t="n">
        <v>104638.1043789899</v>
      </c>
      <c r="G5" s="12" t="n">
        <v>1122614.7306</v>
      </c>
      <c r="H5" s="10" t="n">
        <v>1227252.83497899</v>
      </c>
      <c r="I5" s="10" t="n">
        <v>104638.1043789899</v>
      </c>
      <c r="J5" s="10" t="n">
        <v>104638.1043789899</v>
      </c>
    </row>
    <row r="6">
      <c r="A6" s="9" t="n">
        <v>2005</v>
      </c>
      <c r="B6" s="9" t="n">
        <v>239</v>
      </c>
      <c r="C6" s="12" t="n">
        <v>1712285.2</v>
      </c>
      <c r="D6" s="13" t="n">
        <v>1.071061869704641</v>
      </c>
      <c r="E6" s="14" t="n">
        <v>0.06634711935384019</v>
      </c>
      <c r="F6" s="10" t="n">
        <v>113605.190532214</v>
      </c>
      <c r="G6" s="12" t="n">
        <v>2242149.132116</v>
      </c>
      <c r="H6" s="10" t="n">
        <v>2355754.322648214</v>
      </c>
      <c r="I6" s="10" t="n">
        <v>113605.190532214</v>
      </c>
      <c r="J6" s="10" t="n">
        <v>113605.190532214</v>
      </c>
    </row>
    <row r="7">
      <c r="A7" s="9" t="n">
        <v>2006</v>
      </c>
      <c r="B7" s="9" t="n">
        <v>227</v>
      </c>
      <c r="C7" s="12" t="n">
        <v>1746530.9035</v>
      </c>
      <c r="D7" s="13" t="n">
        <v>1.08016589559713</v>
      </c>
      <c r="E7" s="14" t="n">
        <v>0.07421628096563226</v>
      </c>
      <c r="F7" s="10" t="n">
        <v>129621.0282493157</v>
      </c>
      <c r="G7" s="12" t="n">
        <v>1517636.792660001</v>
      </c>
      <c r="H7" s="10" t="n">
        <v>1647257.820909316</v>
      </c>
      <c r="I7" s="10" t="n">
        <v>129621.0282493157</v>
      </c>
      <c r="J7" s="10" t="n">
        <v>185116.793053316</v>
      </c>
    </row>
    <row r="8">
      <c r="A8" s="9" t="n">
        <v>2007</v>
      </c>
      <c r="B8" s="9" t="n">
        <v>215</v>
      </c>
      <c r="C8" s="12" t="n">
        <v>2850338.4352</v>
      </c>
      <c r="D8" s="13" t="n">
        <v>1.08016589559713</v>
      </c>
      <c r="E8" s="14" t="n">
        <v>0.07421628096563226</v>
      </c>
      <c r="F8" s="10" t="n">
        <v>211541.5181539441</v>
      </c>
      <c r="G8" s="12" t="n">
        <v>4810774.614816</v>
      </c>
      <c r="H8" s="10" t="n">
        <v>5022316.132969944</v>
      </c>
      <c r="I8" s="10" t="n">
        <v>211541.5181539441</v>
      </c>
      <c r="J8" s="10" t="n">
        <v>231622.9798179436</v>
      </c>
    </row>
    <row r="9">
      <c r="A9" s="9" t="n">
        <v>2008</v>
      </c>
      <c r="B9" s="9" t="n">
        <v>203</v>
      </c>
      <c r="C9" s="12" t="n">
        <v>2543927.0535</v>
      </c>
      <c r="D9" s="13" t="n">
        <v>1.082326227388325</v>
      </c>
      <c r="E9" s="14" t="n">
        <v>0.07606415266031163</v>
      </c>
      <c r="F9" s="10" t="n">
        <v>193501.6557541208</v>
      </c>
      <c r="G9" s="12" t="n">
        <v>1378427.939547998</v>
      </c>
      <c r="H9" s="10" t="n">
        <v>1571929.595302119</v>
      </c>
      <c r="I9" s="10" t="n">
        <v>193501.6557541208</v>
      </c>
      <c r="J9" s="10" t="n">
        <v>193501.6557541208</v>
      </c>
    </row>
    <row r="10">
      <c r="A10" s="9" t="n">
        <v>2009</v>
      </c>
      <c r="B10" s="9" t="n">
        <v>191</v>
      </c>
      <c r="C10" s="12" t="n">
        <v>2594805.5945</v>
      </c>
      <c r="D10" s="13" t="n">
        <v>1.091634232943864</v>
      </c>
      <c r="E10" s="14" t="n">
        <v>0.08394224931619232</v>
      </c>
      <c r="F10" s="10" t="n">
        <v>217813.8181405696</v>
      </c>
      <c r="G10" s="12" t="n">
        <v>1169581.089256</v>
      </c>
      <c r="H10" s="10" t="n">
        <v>1387394.90739657</v>
      </c>
      <c r="I10" s="10" t="n">
        <v>217813.8181405696</v>
      </c>
      <c r="J10" s="10" t="n">
        <v>217813.8181405696</v>
      </c>
    </row>
    <row r="11">
      <c r="A11" s="9" t="n">
        <v>2010</v>
      </c>
      <c r="B11" s="9" t="n">
        <v>179</v>
      </c>
      <c r="C11" s="12" t="n">
        <v>1134300.7311</v>
      </c>
      <c r="D11" s="13" t="n">
        <v>1.0967649138387</v>
      </c>
      <c r="E11" s="14" t="n">
        <v>0.08822757969164152</v>
      </c>
      <c r="F11" s="10" t="n">
        <v>100076.6081474125</v>
      </c>
      <c r="G11" s="12" t="n">
        <v>1277672.072084001</v>
      </c>
      <c r="H11" s="10" t="n">
        <v>1377748.680231413</v>
      </c>
      <c r="I11" s="10" t="n">
        <v>100076.6081474125</v>
      </c>
      <c r="J11" s="10" t="n">
        <v>100076.6081474125</v>
      </c>
    </row>
    <row r="12">
      <c r="A12" s="9" t="n">
        <v>2011</v>
      </c>
      <c r="B12" s="9" t="n">
        <v>167</v>
      </c>
      <c r="C12" s="12" t="n">
        <v>1542648.9944</v>
      </c>
      <c r="D12" s="13" t="n">
        <v>1.107732562977087</v>
      </c>
      <c r="E12" s="14" t="n">
        <v>0.09725502939766495</v>
      </c>
      <c r="F12" s="10" t="n">
        <v>150030.3733006504</v>
      </c>
      <c r="G12" s="12" t="n">
        <v>1916081.580416</v>
      </c>
      <c r="H12" s="10" t="n">
        <v>2066111.95371665</v>
      </c>
      <c r="I12" s="10" t="n">
        <v>150030.3733006504</v>
      </c>
      <c r="J12" s="10" t="n">
        <v>173453.6559846504</v>
      </c>
    </row>
    <row r="13">
      <c r="A13" s="9" t="n">
        <v>2012</v>
      </c>
      <c r="B13" s="9" t="n">
        <v>155</v>
      </c>
      <c r="C13" s="12" t="n">
        <v>1573501.9744</v>
      </c>
      <c r="D13" s="13" t="n">
        <v>1.108175656002278</v>
      </c>
      <c r="E13" s="14" t="n">
        <v>0.09761598300446317</v>
      </c>
      <c r="F13" s="10" t="n">
        <v>153598.9419905196</v>
      </c>
      <c r="G13" s="12" t="n">
        <v>1363753.380531999</v>
      </c>
      <c r="H13" s="10" t="n">
        <v>1517352.322522519</v>
      </c>
      <c r="I13" s="10" t="n">
        <v>153598.9419905196</v>
      </c>
      <c r="J13" s="10" t="n">
        <v>323115.4441825198</v>
      </c>
    </row>
    <row r="14">
      <c r="A14" s="9" t="n">
        <v>2013</v>
      </c>
      <c r="B14" s="9" t="n">
        <v>143</v>
      </c>
      <c r="C14" s="12" t="n">
        <v>1203729.0102</v>
      </c>
      <c r="D14" s="13" t="n">
        <v>1.111832635667086</v>
      </c>
      <c r="E14" s="14" t="n">
        <v>0.1005840556209142</v>
      </c>
      <c r="F14" s="10" t="n">
        <v>121075.9457144648</v>
      </c>
      <c r="G14" s="12" t="n">
        <v>708529.9908599999</v>
      </c>
      <c r="H14" s="10" t="n">
        <v>829605.9365744647</v>
      </c>
      <c r="I14" s="10" t="n">
        <v>121075.9457144648</v>
      </c>
      <c r="J14" s="10" t="n">
        <v>121075.9457144648</v>
      </c>
    </row>
    <row r="15">
      <c r="A15" s="9" t="n">
        <v>2014</v>
      </c>
      <c r="B15" s="9" t="n">
        <v>131</v>
      </c>
      <c r="C15" s="12" t="n">
        <v>1227803.5905</v>
      </c>
      <c r="D15" s="13" t="n">
        <v>1.153971092558868</v>
      </c>
      <c r="E15" s="14" t="n">
        <v>0.1334271660284365</v>
      </c>
      <c r="F15" s="10" t="n">
        <v>163822.353519954</v>
      </c>
      <c r="G15" s="12" t="n">
        <v>1389603.684732</v>
      </c>
      <c r="H15" s="10" t="n">
        <v>1553426.038251954</v>
      </c>
      <c r="I15" s="10" t="n">
        <v>163822.353519954</v>
      </c>
      <c r="J15" s="10" t="n">
        <v>163822.353519954</v>
      </c>
    </row>
    <row r="16">
      <c r="A16" s="9" t="n">
        <v>2015</v>
      </c>
      <c r="B16" s="9" t="n">
        <v>119</v>
      </c>
      <c r="C16" s="12" t="n">
        <v>1669812.8832</v>
      </c>
      <c r="D16" s="13" t="n">
        <v>1.160779522004966</v>
      </c>
      <c r="E16" s="14" t="n">
        <v>0.1385099572804817</v>
      </c>
      <c r="F16" s="10" t="n">
        <v>231285.7111184299</v>
      </c>
      <c r="G16" s="12" t="n">
        <v>3382963.258076001</v>
      </c>
      <c r="H16" s="10" t="n">
        <v>3614248.969194431</v>
      </c>
      <c r="I16" s="10" t="n">
        <v>231285.7111184299</v>
      </c>
      <c r="J16" s="10" t="n">
        <v>250017.67064643</v>
      </c>
    </row>
    <row r="17">
      <c r="A17" s="9" t="n">
        <v>2016</v>
      </c>
      <c r="B17" s="9" t="n">
        <v>107</v>
      </c>
      <c r="C17" s="12" t="n">
        <v>2554813.7112</v>
      </c>
      <c r="D17" s="13" t="n">
        <v>1.201871117083942</v>
      </c>
      <c r="E17" s="14" t="n">
        <v>0.167964030597336</v>
      </c>
      <c r="F17" s="10" t="n">
        <v>429116.8083584905</v>
      </c>
      <c r="G17" s="12" t="n">
        <v>2506323.643367999</v>
      </c>
      <c r="H17" s="10" t="n">
        <v>2935440.451726489</v>
      </c>
      <c r="I17" s="10" t="n">
        <v>429116.8083584905</v>
      </c>
      <c r="J17" s="10" t="n">
        <v>473231.7753344905</v>
      </c>
    </row>
    <row r="18">
      <c r="A18" s="9" t="n">
        <v>2017</v>
      </c>
      <c r="B18" s="9" t="n">
        <v>95</v>
      </c>
      <c r="C18" s="12" t="n">
        <v>2605909.9854</v>
      </c>
      <c r="D18" s="13" t="n">
        <v>1.226749849207579</v>
      </c>
      <c r="E18" s="14" t="n">
        <v>0.1848378863498931</v>
      </c>
      <c r="F18" s="10" t="n">
        <v>481670.8937194168</v>
      </c>
      <c r="G18" s="12" t="n">
        <v>1205811.828916</v>
      </c>
      <c r="H18" s="10" t="n">
        <v>1687482.722635417</v>
      </c>
      <c r="I18" s="10" t="n">
        <v>481670.8937194168</v>
      </c>
      <c r="J18" s="10" t="n">
        <v>481670.8937194168</v>
      </c>
    </row>
    <row r="19">
      <c r="A19" s="9" t="n">
        <v>2018</v>
      </c>
      <c r="B19" s="9" t="n">
        <v>83</v>
      </c>
      <c r="C19" s="12" t="n">
        <v>2215023.4875</v>
      </c>
      <c r="D19" s="13" t="n">
        <v>1.236073148061557</v>
      </c>
      <c r="E19" s="14" t="n">
        <v>0.1909863897875081</v>
      </c>
      <c r="F19" s="10" t="n">
        <v>423039.3391721607</v>
      </c>
      <c r="G19" s="12" t="n">
        <v>2395448.423304001</v>
      </c>
      <c r="H19" s="10" t="n">
        <v>2818487.762476162</v>
      </c>
      <c r="I19" s="10" t="n">
        <v>423039.3391721607</v>
      </c>
      <c r="J19" s="10" t="n">
        <v>423039.3391721607</v>
      </c>
    </row>
    <row r="20">
      <c r="A20" s="9" t="n">
        <v>2019</v>
      </c>
      <c r="B20" s="9" t="n">
        <v>71</v>
      </c>
      <c r="C20" s="12" t="n">
        <v>2259323.9575</v>
      </c>
      <c r="D20" s="13" t="n">
        <v>1.339408863239503</v>
      </c>
      <c r="E20" s="14" t="n">
        <v>0.253401983930886</v>
      </c>
      <c r="F20" s="10" t="n">
        <v>572517.1731730807</v>
      </c>
      <c r="G20" s="12" t="n">
        <v>2599882.874291999</v>
      </c>
      <c r="H20" s="10" t="n">
        <v>3172400.04746508</v>
      </c>
      <c r="I20" s="10" t="n">
        <v>572517.1731730807</v>
      </c>
      <c r="J20" s="10" t="n">
        <v>777210.2129770792</v>
      </c>
    </row>
    <row r="21">
      <c r="A21" s="9" t="n">
        <v>2020</v>
      </c>
      <c r="B21" s="9" t="n">
        <v>59</v>
      </c>
      <c r="C21" s="12" t="n">
        <v>1843608.3492</v>
      </c>
      <c r="D21" s="13" t="n">
        <v>1.482859552492453</v>
      </c>
      <c r="E21" s="14" t="n">
        <v>0.3256273000911264</v>
      </c>
      <c r="F21" s="10" t="n">
        <v>600329.2091754545</v>
      </c>
      <c r="G21" s="12" t="n">
        <v>978899.5094679999</v>
      </c>
      <c r="H21" s="10" t="n">
        <v>1579228.718643454</v>
      </c>
      <c r="I21" s="10" t="n">
        <v>600329.2091754545</v>
      </c>
      <c r="J21" s="10" t="n">
        <v>603177.8560874545</v>
      </c>
    </row>
    <row r="22">
      <c r="A22" s="9" t="n">
        <v>2021</v>
      </c>
      <c r="B22" s="9" t="n">
        <v>47</v>
      </c>
      <c r="C22" s="12" t="n">
        <v>1410360.3873</v>
      </c>
      <c r="D22" s="13" t="n">
        <v>1.567382546984523</v>
      </c>
      <c r="E22" s="14" t="n">
        <v>0.3619936613917941</v>
      </c>
      <c r="F22" s="10" t="n">
        <v>510541.5204806757</v>
      </c>
      <c r="G22" s="12" t="n">
        <v>1011313.279736</v>
      </c>
      <c r="H22" s="10" t="n">
        <v>1521854.800216676</v>
      </c>
      <c r="I22" s="10" t="n">
        <v>510541.5204806757</v>
      </c>
      <c r="J22" s="10" t="n">
        <v>546875.3868806756</v>
      </c>
    </row>
    <row r="23">
      <c r="A23" s="9" t="n">
        <v>2022</v>
      </c>
      <c r="B23" s="9" t="n">
        <v>35</v>
      </c>
      <c r="C23" s="12" t="n">
        <v>959045.0632000001</v>
      </c>
      <c r="D23" s="13" t="n">
        <v>1.861110036289423</v>
      </c>
      <c r="E23" s="14" t="n">
        <v>0.4626862568568251</v>
      </c>
      <c r="F23" s="10" t="n">
        <v>443736.9704490254</v>
      </c>
      <c r="G23" s="12" t="n">
        <v>827416.1066440007</v>
      </c>
      <c r="H23" s="10" t="n">
        <v>1271153.077093026</v>
      </c>
      <c r="I23" s="10" t="n">
        <v>443736.9704490254</v>
      </c>
      <c r="J23" s="10" t="n">
        <v>480049.3669570261</v>
      </c>
    </row>
    <row r="24">
      <c r="A24" s="9" t="n">
        <v>2023</v>
      </c>
      <c r="B24" s="9" t="n">
        <v>23</v>
      </c>
      <c r="C24" s="12" t="n">
        <v>978225.9646000001</v>
      </c>
      <c r="D24" s="13" t="n">
        <v>2.290840343668651</v>
      </c>
      <c r="E24" s="14" t="n">
        <v>0.5634789640562394</v>
      </c>
      <c r="F24" s="10" t="n">
        <v>551209.7531457234</v>
      </c>
      <c r="G24" s="12" t="n">
        <v>1651756.674352</v>
      </c>
      <c r="H24" s="10" t="n">
        <v>2202966.427497723</v>
      </c>
      <c r="I24" s="10" t="n">
        <v>551209.7531457234</v>
      </c>
      <c r="J24" s="10" t="n">
        <v>1003724.359141722</v>
      </c>
    </row>
    <row r="25">
      <c r="A25" s="9" t="n">
        <v>2024</v>
      </c>
      <c r="B25" s="9" t="n">
        <v>11</v>
      </c>
      <c r="C25" s="12" t="n">
        <v>997790.4837999999</v>
      </c>
      <c r="D25" s="13" t="n">
        <v>3.899926601061511</v>
      </c>
      <c r="E25" s="14" t="n">
        <v>0.7435849177961933</v>
      </c>
      <c r="F25" s="10" t="n">
        <v>741941.954874247</v>
      </c>
      <c r="G25" s="12" t="n">
        <v>890155.221828</v>
      </c>
      <c r="H25" s="10" t="n">
        <v>1632097.176702247</v>
      </c>
      <c r="I25" s="10" t="n">
        <v>741941.954874247</v>
      </c>
      <c r="J25" s="10" t="n">
        <v>1276849.415770247</v>
      </c>
    </row>
    <row r="26"/>
    <row r="27">
      <c r="A27" s="5" t="inlineStr">
        <is>
          <t>Total</t>
        </is>
      </c>
      <c r="C27" s="10">
        <f>SUM(C2:C25)</f>
        <v/>
      </c>
      <c r="E27" s="14">
        <f>SUM(F2:F25)/SUM(C2:C25)</f>
        <v/>
      </c>
      <c r="F27" s="10">
        <f>SUM(F2:F25)</f>
        <v/>
      </c>
      <c r="G27" s="10">
        <f>SUM(G2:G25)</f>
        <v/>
      </c>
      <c r="H27" s="10">
        <f>SUM(H2:H25)</f>
        <v/>
      </c>
      <c r="I27" s="10">
        <f>SUM(I2:I25)</f>
        <v/>
      </c>
      <c r="J27" s="10">
        <f>SUM(J2:J25)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Paid</t>
        </is>
      </c>
      <c r="H1" s="8" t="inlineStr">
        <is>
          <t>Ultimate</t>
        </is>
      </c>
      <c r="I1" s="8" t="inlineStr">
        <is>
          <t>IBNR</t>
        </is>
      </c>
      <c r="J1" s="8" t="inlineStr">
        <is>
          <t>Unpaid</t>
        </is>
      </c>
    </row>
    <row r="2">
      <c r="A2" s="9" t="n">
        <v>2001</v>
      </c>
      <c r="B2" s="9" t="n">
        <v>287</v>
      </c>
      <c r="C2" s="12" t="n">
        <v>3163773.699688</v>
      </c>
      <c r="D2" s="13" t="n">
        <v>1.0039</v>
      </c>
      <c r="E2" s="14" t="n">
        <v>0.003884849088554687</v>
      </c>
      <c r="F2" s="10" t="n">
        <v>12290.78337362641</v>
      </c>
      <c r="G2" s="12" t="n">
        <v>3042294.662276</v>
      </c>
      <c r="H2" s="10" t="n">
        <v>3054585.445649627</v>
      </c>
      <c r="I2" s="10" t="n">
        <v>12290.78337362641</v>
      </c>
      <c r="J2" s="10" t="n">
        <v>12290.78337362641</v>
      </c>
    </row>
    <row r="3">
      <c r="A3" s="9" t="n">
        <v>2002</v>
      </c>
      <c r="B3" s="9" t="n">
        <v>275</v>
      </c>
      <c r="C3" s="12" t="n">
        <v>2904344.256599999</v>
      </c>
      <c r="D3" s="13" t="n">
        <v>1.00781521</v>
      </c>
      <c r="E3" s="14" t="n">
        <v>0.007754606124668384</v>
      </c>
      <c r="F3" s="10" t="n">
        <v>22522.04576037591</v>
      </c>
      <c r="G3" s="12" t="n">
        <v>2199646.228088</v>
      </c>
      <c r="H3" s="10" t="n">
        <v>2222168.273848376</v>
      </c>
      <c r="I3" s="10" t="n">
        <v>22522.04576037591</v>
      </c>
      <c r="J3" s="10" t="n">
        <v>22522.04576037591</v>
      </c>
    </row>
    <row r="4">
      <c r="A4" s="9" t="n">
        <v>2003</v>
      </c>
      <c r="B4" s="9" t="n">
        <v>263</v>
      </c>
      <c r="C4" s="12" t="n">
        <v>2633272.1256</v>
      </c>
      <c r="D4" s="13" t="n">
        <v>1.015474605596</v>
      </c>
      <c r="E4" s="14" t="n">
        <v>0.01523879131070704</v>
      </c>
      <c r="F4" s="10" t="n">
        <v>40127.88438632037</v>
      </c>
      <c r="G4" s="12" t="n">
        <v>1778091.575843999</v>
      </c>
      <c r="H4" s="10" t="n">
        <v>1818219.46023032</v>
      </c>
      <c r="I4" s="10" t="n">
        <v>40127.88438632037</v>
      </c>
      <c r="J4" s="10" t="n">
        <v>40127.88438632037</v>
      </c>
    </row>
    <row r="5">
      <c r="A5" s="9" t="n">
        <v>2004</v>
      </c>
      <c r="B5" s="9" t="n">
        <v>251</v>
      </c>
      <c r="C5" s="12" t="n">
        <v>1678710.98</v>
      </c>
      <c r="D5" s="13" t="n">
        <v>1.021262810847897</v>
      </c>
      <c r="E5" s="14" t="n">
        <v>0.02082011664582584</v>
      </c>
      <c r="F5" s="10" t="n">
        <v>34950.95841822866</v>
      </c>
      <c r="G5" s="12" t="n">
        <v>1122614.7306</v>
      </c>
      <c r="H5" s="10" t="n">
        <v>1157565.689018229</v>
      </c>
      <c r="I5" s="10" t="n">
        <v>34950.95841822866</v>
      </c>
      <c r="J5" s="10" t="n">
        <v>34950.95841822866</v>
      </c>
    </row>
    <row r="6">
      <c r="A6" s="9" t="n">
        <v>2005</v>
      </c>
      <c r="B6" s="9" t="n">
        <v>239</v>
      </c>
      <c r="C6" s="12" t="n">
        <v>1712285.2</v>
      </c>
      <c r="D6" s="13" t="n">
        <v>1.025756367215628</v>
      </c>
      <c r="E6" s="14" t="n">
        <v>0.02510963425510326</v>
      </c>
      <c r="F6" s="10" t="n">
        <v>42994.85511242645</v>
      </c>
      <c r="G6" s="12" t="n">
        <v>2242149.132116</v>
      </c>
      <c r="H6" s="10" t="n">
        <v>2285143.987228427</v>
      </c>
      <c r="I6" s="10" t="n">
        <v>42994.85511242645</v>
      </c>
      <c r="J6" s="10" t="n">
        <v>42994.85511242645</v>
      </c>
    </row>
    <row r="7">
      <c r="A7" s="9" t="n">
        <v>2006</v>
      </c>
      <c r="B7" s="9" t="n">
        <v>227</v>
      </c>
      <c r="C7" s="12" t="n">
        <v>1746530.9035</v>
      </c>
      <c r="D7" s="13" t="n">
        <v>1.028218182496945</v>
      </c>
      <c r="E7" s="14" t="n">
        <v>0.02744376920900149</v>
      </c>
      <c r="F7" s="10" t="n">
        <v>47931.39103204291</v>
      </c>
      <c r="G7" s="12" t="n">
        <v>1462141.027856</v>
      </c>
      <c r="H7" s="10" t="n">
        <v>1510072.418888043</v>
      </c>
      <c r="I7" s="10" t="n">
        <v>47931.39103204291</v>
      </c>
      <c r="J7" s="10" t="n">
        <v>47931.39103204291</v>
      </c>
    </row>
    <row r="8">
      <c r="A8" s="9" t="n">
        <v>2007</v>
      </c>
      <c r="B8" s="9" t="n">
        <v>215</v>
      </c>
      <c r="C8" s="12" t="n">
        <v>2850338.4352</v>
      </c>
      <c r="D8" s="13" t="n">
        <v>1.032639520681682</v>
      </c>
      <c r="E8" s="14" t="n">
        <v>0.03160785543064981</v>
      </c>
      <c r="F8" s="10" t="n">
        <v>90093.08518822584</v>
      </c>
      <c r="G8" s="12" t="n">
        <v>4790693.153152</v>
      </c>
      <c r="H8" s="10" t="n">
        <v>4880786.238340226</v>
      </c>
      <c r="I8" s="10" t="n">
        <v>90093.08518822584</v>
      </c>
      <c r="J8" s="10" t="n">
        <v>90093.08518822584</v>
      </c>
    </row>
    <row r="9">
      <c r="A9" s="9" t="n">
        <v>2008</v>
      </c>
      <c r="B9" s="9" t="n">
        <v>203</v>
      </c>
      <c r="C9" s="12" t="n">
        <v>2543927.0535</v>
      </c>
      <c r="D9" s="13" t="n">
        <v>1.03501459157925</v>
      </c>
      <c r="E9" s="14" t="n">
        <v>0.03383004632410425</v>
      </c>
      <c r="F9" s="10" t="n">
        <v>86061.17006504699</v>
      </c>
      <c r="G9" s="12" t="n">
        <v>1378427.939547998</v>
      </c>
      <c r="H9" s="10" t="n">
        <v>1464489.109613045</v>
      </c>
      <c r="I9" s="10" t="n">
        <v>86061.17006504699</v>
      </c>
      <c r="J9" s="10" t="n">
        <v>86061.17006504699</v>
      </c>
    </row>
    <row r="10">
      <c r="A10" s="9" t="n">
        <v>2009</v>
      </c>
      <c r="B10" s="9" t="n">
        <v>191</v>
      </c>
      <c r="C10" s="12" t="n">
        <v>2594805.5945</v>
      </c>
      <c r="D10" s="13" t="n">
        <v>1.048159276892306</v>
      </c>
      <c r="E10" s="14" t="n">
        <v>0.04594652545087807</v>
      </c>
      <c r="F10" s="10" t="n">
        <v>119222.3012877752</v>
      </c>
      <c r="G10" s="12" t="n">
        <v>1169581.089256</v>
      </c>
      <c r="H10" s="10" t="n">
        <v>1288803.390543776</v>
      </c>
      <c r="I10" s="10" t="n">
        <v>119222.3012877752</v>
      </c>
      <c r="J10" s="10" t="n">
        <v>119222.3012877752</v>
      </c>
    </row>
    <row r="11">
      <c r="A11" s="9" t="n">
        <v>2010</v>
      </c>
      <c r="B11" s="9" t="n">
        <v>179</v>
      </c>
      <c r="C11" s="12" t="n">
        <v>1134300.7311</v>
      </c>
      <c r="D11" s="13" t="n">
        <v>1.058221605950473</v>
      </c>
      <c r="E11" s="14" t="n">
        <v>0.05501834929762095</v>
      </c>
      <c r="F11" s="10" t="n">
        <v>62407.35383220669</v>
      </c>
      <c r="G11" s="12" t="n">
        <v>1277672.072084001</v>
      </c>
      <c r="H11" s="10" t="n">
        <v>1340079.425916207</v>
      </c>
      <c r="I11" s="10" t="n">
        <v>62407.35383220669</v>
      </c>
      <c r="J11" s="10" t="n">
        <v>62407.35383220669</v>
      </c>
    </row>
    <row r="12">
      <c r="A12" s="9" t="n">
        <v>2011</v>
      </c>
      <c r="B12" s="9" t="n">
        <v>167</v>
      </c>
      <c r="C12" s="12" t="n">
        <v>1542648.9944</v>
      </c>
      <c r="D12" s="13" t="n">
        <v>1.066793200958671</v>
      </c>
      <c r="E12" s="14" t="n">
        <v>0.06261119858904973</v>
      </c>
      <c r="F12" s="10" t="n">
        <v>96587.10254157637</v>
      </c>
      <c r="G12" s="12" t="n">
        <v>1892658.297732</v>
      </c>
      <c r="H12" s="10" t="n">
        <v>1989245.400273576</v>
      </c>
      <c r="I12" s="10" t="n">
        <v>96587.10254157637</v>
      </c>
      <c r="J12" s="10" t="n">
        <v>96587.10254157637</v>
      </c>
    </row>
    <row r="13">
      <c r="A13" s="9" t="n">
        <v>2012</v>
      </c>
      <c r="B13" s="9" t="n">
        <v>155</v>
      </c>
      <c r="C13" s="12" t="n">
        <v>1573501.9744</v>
      </c>
      <c r="D13" s="13" t="n">
        <v>1.07404739472519</v>
      </c>
      <c r="E13" s="14" t="n">
        <v>0.06894239033477323</v>
      </c>
      <c r="F13" s="10" t="n">
        <v>108480.9873116212</v>
      </c>
      <c r="G13" s="12" t="n">
        <v>1194236.878339999</v>
      </c>
      <c r="H13" s="10" t="n">
        <v>1302717.86565162</v>
      </c>
      <c r="I13" s="10" t="n">
        <v>108480.9873116212</v>
      </c>
      <c r="J13" s="10" t="n">
        <v>108480.9873116212</v>
      </c>
    </row>
    <row r="14">
      <c r="A14" s="9" t="n">
        <v>2013</v>
      </c>
      <c r="B14" s="9" t="n">
        <v>143</v>
      </c>
      <c r="C14" s="12" t="n">
        <v>1203729.0102</v>
      </c>
      <c r="D14" s="13" t="n">
        <v>1.095635747359167</v>
      </c>
      <c r="E14" s="14" t="n">
        <v>0.08728790347492721</v>
      </c>
      <c r="F14" s="10" t="n">
        <v>105070.9816523072</v>
      </c>
      <c r="G14" s="12" t="n">
        <v>708529.9908599999</v>
      </c>
      <c r="H14" s="10" t="n">
        <v>813600.9725123071</v>
      </c>
      <c r="I14" s="10" t="n">
        <v>105070.9816523072</v>
      </c>
      <c r="J14" s="10" t="n">
        <v>105070.9816523072</v>
      </c>
    </row>
    <row r="15">
      <c r="A15" s="9" t="n">
        <v>2014</v>
      </c>
      <c r="B15" s="9" t="n">
        <v>131</v>
      </c>
      <c r="C15" s="12" t="n">
        <v>1227803.5905</v>
      </c>
      <c r="D15" s="13" t="n">
        <v>1.117000644432671</v>
      </c>
      <c r="E15" s="14" t="n">
        <v>0.1047453687836463</v>
      </c>
      <c r="F15" s="10" t="n">
        <v>128606.7398808075</v>
      </c>
      <c r="G15" s="12" t="n">
        <v>1389603.684732</v>
      </c>
      <c r="H15" s="10" t="n">
        <v>1518210.424612808</v>
      </c>
      <c r="I15" s="10" t="n">
        <v>128606.7398808075</v>
      </c>
      <c r="J15" s="10" t="n">
        <v>128606.7398808075</v>
      </c>
    </row>
    <row r="16">
      <c r="A16" s="9" t="n">
        <v>2015</v>
      </c>
      <c r="B16" s="9" t="n">
        <v>119</v>
      </c>
      <c r="C16" s="12" t="n">
        <v>1669812.8832</v>
      </c>
      <c r="D16" s="13" t="n">
        <v>1.126606849974791</v>
      </c>
      <c r="E16" s="14" t="n">
        <v>0.112378910156302</v>
      </c>
      <c r="F16" s="10" t="n">
        <v>187651.7519789683</v>
      </c>
      <c r="G16" s="12" t="n">
        <v>3364231.298548001</v>
      </c>
      <c r="H16" s="10" t="n">
        <v>3551883.05052697</v>
      </c>
      <c r="I16" s="10" t="n">
        <v>187651.7519789683</v>
      </c>
      <c r="J16" s="10" t="n">
        <v>187651.7519789683</v>
      </c>
    </row>
    <row r="17">
      <c r="A17" s="9" t="n">
        <v>2016</v>
      </c>
      <c r="B17" s="9" t="n">
        <v>107</v>
      </c>
      <c r="C17" s="12" t="n">
        <v>2554813.7112</v>
      </c>
      <c r="D17" s="13" t="n">
        <v>1.174262319728725</v>
      </c>
      <c r="E17" s="14" t="n">
        <v>0.1484015256224714</v>
      </c>
      <c r="F17" s="10" t="n">
        <v>379138.2524232883</v>
      </c>
      <c r="G17" s="12" t="n">
        <v>2462208.676391999</v>
      </c>
      <c r="H17" s="10" t="n">
        <v>2841346.928815287</v>
      </c>
      <c r="I17" s="10" t="n">
        <v>379138.2524232883</v>
      </c>
      <c r="J17" s="10" t="n">
        <v>379138.2524232883</v>
      </c>
    </row>
    <row r="18">
      <c r="A18" s="9" t="n">
        <v>2017</v>
      </c>
      <c r="B18" s="9" t="n">
        <v>95</v>
      </c>
      <c r="C18" s="12" t="n">
        <v>2605909.9854</v>
      </c>
      <c r="D18" s="13" t="n">
        <v>1.189527729885199</v>
      </c>
      <c r="E18" s="14" t="n">
        <v>0.1593302325986884</v>
      </c>
      <c r="F18" s="10" t="n">
        <v>415200.2441050268</v>
      </c>
      <c r="G18" s="12" t="n">
        <v>1205811.828916</v>
      </c>
      <c r="H18" s="10" t="n">
        <v>1621012.073021027</v>
      </c>
      <c r="I18" s="10" t="n">
        <v>415200.2441050268</v>
      </c>
      <c r="J18" s="10" t="n">
        <v>415200.2441050268</v>
      </c>
    </row>
    <row r="19">
      <c r="A19" s="9" t="n">
        <v>2018</v>
      </c>
      <c r="B19" s="9" t="n">
        <v>83</v>
      </c>
      <c r="C19" s="12" t="n">
        <v>2215023.4875</v>
      </c>
      <c r="D19" s="13" t="n">
        <v>1.226522042284628</v>
      </c>
      <c r="E19" s="14" t="n">
        <v>0.1846864829780704</v>
      </c>
      <c r="F19" s="10" t="n">
        <v>409084.8976201951</v>
      </c>
      <c r="G19" s="12" t="n">
        <v>2395448.423304001</v>
      </c>
      <c r="H19" s="10" t="n">
        <v>2804533.320924196</v>
      </c>
      <c r="I19" s="10" t="n">
        <v>409084.8976201951</v>
      </c>
      <c r="J19" s="10" t="n">
        <v>409084.8976201951</v>
      </c>
    </row>
    <row r="20">
      <c r="A20" s="9" t="n">
        <v>2019</v>
      </c>
      <c r="B20" s="9" t="n">
        <v>71</v>
      </c>
      <c r="C20" s="12" t="n">
        <v>2259323.9575</v>
      </c>
      <c r="D20" s="13" t="n">
        <v>1.37554447042221</v>
      </c>
      <c r="E20" s="14" t="n">
        <v>0.2730151430923499</v>
      </c>
      <c r="F20" s="10" t="n">
        <v>616829.6535488367</v>
      </c>
      <c r="G20" s="12" t="n">
        <v>2395189.834488001</v>
      </c>
      <c r="H20" s="10" t="n">
        <v>3012019.488036837</v>
      </c>
      <c r="I20" s="10" t="n">
        <v>616829.6535488367</v>
      </c>
      <c r="J20" s="10" t="n">
        <v>616829.6535488367</v>
      </c>
    </row>
    <row r="21">
      <c r="A21" s="9" t="n">
        <v>2020</v>
      </c>
      <c r="B21" s="9" t="n">
        <v>59</v>
      </c>
      <c r="C21" s="12" t="n">
        <v>1843608.3492</v>
      </c>
      <c r="D21" s="13" t="n">
        <v>1.539234262402454</v>
      </c>
      <c r="E21" s="14" t="n">
        <v>0.3503263119681411</v>
      </c>
      <c r="F21" s="10" t="n">
        <v>645864.5136889088</v>
      </c>
      <c r="G21" s="12" t="n">
        <v>976050.8625559999</v>
      </c>
      <c r="H21" s="10" t="n">
        <v>1621915.376244909</v>
      </c>
      <c r="I21" s="10" t="n">
        <v>645864.5136889088</v>
      </c>
      <c r="J21" s="10" t="n">
        <v>645864.5136889088</v>
      </c>
    </row>
    <row r="22">
      <c r="A22" s="9" t="n">
        <v>2021</v>
      </c>
      <c r="B22" s="9" t="n">
        <v>47</v>
      </c>
      <c r="C22" s="12" t="n">
        <v>1410360.3873</v>
      </c>
      <c r="D22" s="13" t="n">
        <v>1.68145950824844</v>
      </c>
      <c r="E22" s="14" t="n">
        <v>0.4052785719225019</v>
      </c>
      <c r="F22" s="10" t="n">
        <v>571588.8436610107</v>
      </c>
      <c r="G22" s="12" t="n">
        <v>974979.4133360002</v>
      </c>
      <c r="H22" s="10" t="n">
        <v>1546568.256997011</v>
      </c>
      <c r="I22" s="10" t="n">
        <v>571588.8436610107</v>
      </c>
      <c r="J22" s="10" t="n">
        <v>571588.8436610107</v>
      </c>
    </row>
    <row r="23">
      <c r="A23" s="9" t="n">
        <v>2022</v>
      </c>
      <c r="B23" s="9" t="n">
        <v>35</v>
      </c>
      <c r="C23" s="12" t="n">
        <v>959045.0632000001</v>
      </c>
      <c r="D23" s="13" t="n">
        <v>1.975546776241093</v>
      </c>
      <c r="E23" s="14" t="n">
        <v>0.4938110238509678</v>
      </c>
      <c r="F23" s="10" t="n">
        <v>473587.0245780081</v>
      </c>
      <c r="G23" s="12" t="n">
        <v>791103.7101360001</v>
      </c>
      <c r="H23" s="10" t="n">
        <v>1264690.734714008</v>
      </c>
      <c r="I23" s="10" t="n">
        <v>473587.0245780081</v>
      </c>
      <c r="J23" s="10" t="n">
        <v>473587.0245780081</v>
      </c>
    </row>
    <row r="24">
      <c r="A24" s="9" t="n">
        <v>2023</v>
      </c>
      <c r="B24" s="9" t="n">
        <v>23</v>
      </c>
      <c r="C24" s="12" t="n">
        <v>978225.9646000001</v>
      </c>
      <c r="D24" s="13" t="n">
        <v>2.81001773452533</v>
      </c>
      <c r="E24" s="14" t="n">
        <v>0.6441303598502304</v>
      </c>
      <c r="F24" s="10" t="n">
        <v>630105.0425926368</v>
      </c>
      <c r="G24" s="12" t="n">
        <v>1199242.068356001</v>
      </c>
      <c r="H24" s="10" t="n">
        <v>1829347.110948638</v>
      </c>
      <c r="I24" s="10" t="n">
        <v>630105.0425926368</v>
      </c>
      <c r="J24" s="10" t="n">
        <v>630105.0425926368</v>
      </c>
    </row>
    <row r="25">
      <c r="A25" s="9" t="n">
        <v>2024</v>
      </c>
      <c r="B25" s="9" t="n">
        <v>11</v>
      </c>
      <c r="C25" s="12" t="n">
        <v>997790.4837999999</v>
      </c>
      <c r="D25" s="13" t="n">
        <v>7.261647829560358</v>
      </c>
      <c r="E25" s="14" t="n">
        <v>0.8622902096781326</v>
      </c>
      <c r="F25" s="10" t="n">
        <v>860384.9654907475</v>
      </c>
      <c r="G25" s="12" t="n">
        <v>355247.7609319999</v>
      </c>
      <c r="H25" s="10" t="n">
        <v>1215632.726422747</v>
      </c>
      <c r="I25" s="10" t="n">
        <v>860384.9654907475</v>
      </c>
      <c r="J25" s="10" t="n">
        <v>860384.9654907475</v>
      </c>
    </row>
    <row r="26"/>
    <row r="27">
      <c r="A27" s="5" t="inlineStr">
        <is>
          <t>Total</t>
        </is>
      </c>
      <c r="C27" s="10">
        <f>SUM(C2:C25)</f>
        <v/>
      </c>
      <c r="E27" s="14">
        <f>SUM(F2:F25)/SUM(C2:C25)</f>
        <v/>
      </c>
      <c r="F27" s="10">
        <f>SUM(F2:F25)</f>
        <v/>
      </c>
      <c r="G27" s="10">
        <f>SUM(G2:G25)</f>
        <v/>
      </c>
      <c r="H27" s="10">
        <f>SUM(H2:H25)</f>
        <v/>
      </c>
      <c r="I27" s="10">
        <f>SUM(I2:I25)</f>
        <v/>
      </c>
      <c r="J27" s="10">
        <f>SUM(J2:J25)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2" t="n">
        <v>316377369.9688</v>
      </c>
      <c r="D2" s="13" t="n">
        <v>0.01</v>
      </c>
      <c r="E2" s="12" t="n">
        <v>3163773.699688</v>
      </c>
    </row>
    <row r="3">
      <c r="A3" s="9" t="n">
        <v>2002</v>
      </c>
      <c r="B3" s="9" t="n">
        <v>275</v>
      </c>
      <c r="C3" s="12" t="n">
        <v>322704917.4</v>
      </c>
      <c r="D3" s="13" t="n">
        <v>0.008999999999999999</v>
      </c>
      <c r="E3" s="12" t="n">
        <v>2904344.256599999</v>
      </c>
    </row>
    <row r="4">
      <c r="A4" s="9" t="n">
        <v>2003</v>
      </c>
      <c r="B4" s="9" t="n">
        <v>263</v>
      </c>
      <c r="C4" s="12" t="n">
        <v>329159015.7</v>
      </c>
      <c r="D4" s="13" t="n">
        <v>0.008</v>
      </c>
      <c r="E4" s="12" t="n">
        <v>2633272.1256</v>
      </c>
    </row>
    <row r="5">
      <c r="A5" s="9" t="n">
        <v>2004</v>
      </c>
      <c r="B5" s="9" t="n">
        <v>251</v>
      </c>
      <c r="C5" s="12" t="n">
        <v>335742196</v>
      </c>
      <c r="D5" s="13" t="n">
        <v>0.005</v>
      </c>
      <c r="E5" s="12" t="n">
        <v>1678710.98</v>
      </c>
    </row>
    <row r="6">
      <c r="A6" s="9" t="n">
        <v>2005</v>
      </c>
      <c r="B6" s="9" t="n">
        <v>239</v>
      </c>
      <c r="C6" s="12" t="n">
        <v>342457040</v>
      </c>
      <c r="D6" s="13" t="n">
        <v>0.005</v>
      </c>
      <c r="E6" s="12" t="n">
        <v>1712285.2</v>
      </c>
    </row>
    <row r="7">
      <c r="A7" s="9" t="n">
        <v>2006</v>
      </c>
      <c r="B7" s="9" t="n">
        <v>227</v>
      </c>
      <c r="C7" s="12" t="n">
        <v>349306180.7</v>
      </c>
      <c r="D7" s="13" t="n">
        <v>0.005</v>
      </c>
      <c r="E7" s="12" t="n">
        <v>1746530.9035</v>
      </c>
    </row>
    <row r="8">
      <c r="A8" s="9" t="n">
        <v>2007</v>
      </c>
      <c r="B8" s="9" t="n">
        <v>215</v>
      </c>
      <c r="C8" s="12" t="n">
        <v>356292304.4</v>
      </c>
      <c r="D8" s="13" t="n">
        <v>0.008</v>
      </c>
      <c r="E8" s="12" t="n">
        <v>2850338.4352</v>
      </c>
    </row>
    <row r="9">
      <c r="A9" s="9" t="n">
        <v>2008</v>
      </c>
      <c r="B9" s="9" t="n">
        <v>203</v>
      </c>
      <c r="C9" s="12" t="n">
        <v>363418150.5</v>
      </c>
      <c r="D9" s="13" t="n">
        <v>0.007</v>
      </c>
      <c r="E9" s="12" t="n">
        <v>2543927.0535</v>
      </c>
    </row>
    <row r="10">
      <c r="A10" s="9" t="n">
        <v>2009</v>
      </c>
      <c r="B10" s="9" t="n">
        <v>191</v>
      </c>
      <c r="C10" s="12" t="n">
        <v>370686513.5</v>
      </c>
      <c r="D10" s="13" t="n">
        <v>0.007</v>
      </c>
      <c r="E10" s="12" t="n">
        <v>2594805.5945</v>
      </c>
    </row>
    <row r="11">
      <c r="A11" s="9" t="n">
        <v>2010</v>
      </c>
      <c r="B11" s="9" t="n">
        <v>179</v>
      </c>
      <c r="C11" s="12" t="n">
        <v>378100243.7</v>
      </c>
      <c r="D11" s="13" t="n">
        <v>0.003</v>
      </c>
      <c r="E11" s="12" t="n">
        <v>1134300.7311</v>
      </c>
    </row>
    <row r="12">
      <c r="A12" s="9" t="n">
        <v>2011</v>
      </c>
      <c r="B12" s="9" t="n">
        <v>167</v>
      </c>
      <c r="C12" s="12" t="n">
        <v>385662248.6</v>
      </c>
      <c r="D12" s="13" t="n">
        <v>0.004</v>
      </c>
      <c r="E12" s="12" t="n">
        <v>1542648.9944</v>
      </c>
    </row>
    <row r="13">
      <c r="A13" s="9" t="n">
        <v>2012</v>
      </c>
      <c r="B13" s="9" t="n">
        <v>155</v>
      </c>
      <c r="C13" s="12" t="n">
        <v>393375493.6</v>
      </c>
      <c r="D13" s="13" t="n">
        <v>0.004</v>
      </c>
      <c r="E13" s="12" t="n">
        <v>1573501.9744</v>
      </c>
    </row>
    <row r="14">
      <c r="A14" s="9" t="n">
        <v>2013</v>
      </c>
      <c r="B14" s="9" t="n">
        <v>143</v>
      </c>
      <c r="C14" s="12" t="n">
        <v>401243003.4</v>
      </c>
      <c r="D14" s="13" t="n">
        <v>0.003</v>
      </c>
      <c r="E14" s="12" t="n">
        <v>1203729.0102</v>
      </c>
    </row>
    <row r="15">
      <c r="A15" s="9" t="n">
        <v>2014</v>
      </c>
      <c r="B15" s="9" t="n">
        <v>131</v>
      </c>
      <c r="C15" s="12" t="n">
        <v>409267863.5</v>
      </c>
      <c r="D15" s="13" t="n">
        <v>0.003</v>
      </c>
      <c r="E15" s="12" t="n">
        <v>1227803.5905</v>
      </c>
    </row>
    <row r="16">
      <c r="A16" s="9" t="n">
        <v>2015</v>
      </c>
      <c r="B16" s="9" t="n">
        <v>119</v>
      </c>
      <c r="C16" s="12" t="n">
        <v>417453220.8</v>
      </c>
      <c r="D16" s="13" t="n">
        <v>0.004</v>
      </c>
      <c r="E16" s="12" t="n">
        <v>1669812.8832</v>
      </c>
    </row>
    <row r="17">
      <c r="A17" s="9" t="n">
        <v>2016</v>
      </c>
      <c r="B17" s="9" t="n">
        <v>107</v>
      </c>
      <c r="C17" s="12" t="n">
        <v>425802285.2</v>
      </c>
      <c r="D17" s="13" t="n">
        <v>0.005999999999999999</v>
      </c>
      <c r="E17" s="12" t="n">
        <v>2554813.7112</v>
      </c>
    </row>
    <row r="18">
      <c r="A18" s="9" t="n">
        <v>2017</v>
      </c>
      <c r="B18" s="9" t="n">
        <v>95</v>
      </c>
      <c r="C18" s="12" t="n">
        <v>434318330.9</v>
      </c>
      <c r="D18" s="13" t="n">
        <v>0.006000000000000001</v>
      </c>
      <c r="E18" s="12" t="n">
        <v>2605909.9854</v>
      </c>
    </row>
    <row r="19">
      <c r="A19" s="9" t="n">
        <v>2018</v>
      </c>
      <c r="B19" s="9" t="n">
        <v>83</v>
      </c>
      <c r="C19" s="12" t="n">
        <v>443004697.5</v>
      </c>
      <c r="D19" s="13" t="n">
        <v>0.004999999999999999</v>
      </c>
      <c r="E19" s="12" t="n">
        <v>2215023.4875</v>
      </c>
    </row>
    <row r="20">
      <c r="A20" s="9" t="n">
        <v>2019</v>
      </c>
      <c r="B20" s="9" t="n">
        <v>71</v>
      </c>
      <c r="C20" s="12" t="n">
        <v>451864791.5</v>
      </c>
      <c r="D20" s="13" t="n">
        <v>0.005</v>
      </c>
      <c r="E20" s="12" t="n">
        <v>2259323.9575</v>
      </c>
    </row>
    <row r="21">
      <c r="A21" s="9" t="n">
        <v>2020</v>
      </c>
      <c r="B21" s="9" t="n">
        <v>59</v>
      </c>
      <c r="C21" s="12" t="n">
        <v>460902087.3</v>
      </c>
      <c r="D21" s="13" t="n">
        <v>0.004</v>
      </c>
      <c r="E21" s="12" t="n">
        <v>1843608.3492</v>
      </c>
    </row>
    <row r="22">
      <c r="A22" s="9" t="n">
        <v>2021</v>
      </c>
      <c r="B22" s="9" t="n">
        <v>47</v>
      </c>
      <c r="C22" s="12" t="n">
        <v>470120129.1</v>
      </c>
      <c r="D22" s="13" t="n">
        <v>0.003</v>
      </c>
      <c r="E22" s="12" t="n">
        <v>1410360.3873</v>
      </c>
    </row>
    <row r="23">
      <c r="A23" s="9" t="n">
        <v>2022</v>
      </c>
      <c r="B23" s="9" t="n">
        <v>35</v>
      </c>
      <c r="C23" s="12" t="n">
        <v>479522531.6</v>
      </c>
      <c r="D23" s="13" t="n">
        <v>0.002</v>
      </c>
      <c r="E23" s="12" t="n">
        <v>959045.0632000001</v>
      </c>
    </row>
    <row r="24">
      <c r="A24" s="9" t="n">
        <v>2023</v>
      </c>
      <c r="B24" s="9" t="n">
        <v>23</v>
      </c>
      <c r="C24" s="12" t="n">
        <v>489112982.3</v>
      </c>
      <c r="D24" s="13" t="n">
        <v>0.002</v>
      </c>
      <c r="E24" s="12" t="n">
        <v>978225.9646000001</v>
      </c>
    </row>
    <row r="25">
      <c r="A25" s="9" t="n">
        <v>2024</v>
      </c>
      <c r="B25" s="9" t="n">
        <v>11</v>
      </c>
      <c r="C25" s="12" t="n">
        <v>498895241.9</v>
      </c>
      <c r="D25" s="13" t="n">
        <v>0.002</v>
      </c>
      <c r="E25" s="12" t="n">
        <v>997790.4837999999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2" t="n">
        <v>316377369.9688</v>
      </c>
      <c r="D2" s="13" t="n">
        <v>0.01</v>
      </c>
      <c r="E2" s="12" t="n">
        <v>3163773.699688</v>
      </c>
    </row>
    <row r="3">
      <c r="A3" s="9" t="n">
        <v>2002</v>
      </c>
      <c r="B3" s="9" t="n">
        <v>275</v>
      </c>
      <c r="C3" s="12" t="n">
        <v>322704917.4</v>
      </c>
      <c r="D3" s="13" t="n">
        <v>0.008999999999999999</v>
      </c>
      <c r="E3" s="12" t="n">
        <v>2904344.256599999</v>
      </c>
    </row>
    <row r="4">
      <c r="A4" s="9" t="n">
        <v>2003</v>
      </c>
      <c r="B4" s="9" t="n">
        <v>263</v>
      </c>
      <c r="C4" s="12" t="n">
        <v>329159015.7</v>
      </c>
      <c r="D4" s="13" t="n">
        <v>0.008</v>
      </c>
      <c r="E4" s="12" t="n">
        <v>2633272.1256</v>
      </c>
    </row>
    <row r="5">
      <c r="A5" s="9" t="n">
        <v>2004</v>
      </c>
      <c r="B5" s="9" t="n">
        <v>251</v>
      </c>
      <c r="C5" s="12" t="n">
        <v>335742196</v>
      </c>
      <c r="D5" s="13" t="n">
        <v>0.005</v>
      </c>
      <c r="E5" s="12" t="n">
        <v>1678710.98</v>
      </c>
    </row>
    <row r="6">
      <c r="A6" s="9" t="n">
        <v>2005</v>
      </c>
      <c r="B6" s="9" t="n">
        <v>239</v>
      </c>
      <c r="C6" s="12" t="n">
        <v>342457040</v>
      </c>
      <c r="D6" s="13" t="n">
        <v>0.005</v>
      </c>
      <c r="E6" s="12" t="n">
        <v>1712285.2</v>
      </c>
    </row>
    <row r="7">
      <c r="A7" s="9" t="n">
        <v>2006</v>
      </c>
      <c r="B7" s="9" t="n">
        <v>227</v>
      </c>
      <c r="C7" s="12" t="n">
        <v>349306180.7</v>
      </c>
      <c r="D7" s="13" t="n">
        <v>0.005</v>
      </c>
      <c r="E7" s="12" t="n">
        <v>1746530.9035</v>
      </c>
    </row>
    <row r="8">
      <c r="A8" s="9" t="n">
        <v>2007</v>
      </c>
      <c r="B8" s="9" t="n">
        <v>215</v>
      </c>
      <c r="C8" s="12" t="n">
        <v>356292304.4</v>
      </c>
      <c r="D8" s="13" t="n">
        <v>0.008</v>
      </c>
      <c r="E8" s="12" t="n">
        <v>2850338.4352</v>
      </c>
    </row>
    <row r="9">
      <c r="A9" s="9" t="n">
        <v>2008</v>
      </c>
      <c r="B9" s="9" t="n">
        <v>203</v>
      </c>
      <c r="C9" s="12" t="n">
        <v>363418150.5</v>
      </c>
      <c r="D9" s="13" t="n">
        <v>0.007</v>
      </c>
      <c r="E9" s="12" t="n">
        <v>2543927.0535</v>
      </c>
    </row>
    <row r="10">
      <c r="A10" s="9" t="n">
        <v>2009</v>
      </c>
      <c r="B10" s="9" t="n">
        <v>191</v>
      </c>
      <c r="C10" s="12" t="n">
        <v>370686513.5</v>
      </c>
      <c r="D10" s="13" t="n">
        <v>0.007</v>
      </c>
      <c r="E10" s="12" t="n">
        <v>2594805.5945</v>
      </c>
    </row>
    <row r="11">
      <c r="A11" s="9" t="n">
        <v>2010</v>
      </c>
      <c r="B11" s="9" t="n">
        <v>179</v>
      </c>
      <c r="C11" s="12" t="n">
        <v>378100243.7</v>
      </c>
      <c r="D11" s="13" t="n">
        <v>0.003</v>
      </c>
      <c r="E11" s="12" t="n">
        <v>1134300.7311</v>
      </c>
    </row>
    <row r="12">
      <c r="A12" s="9" t="n">
        <v>2011</v>
      </c>
      <c r="B12" s="9" t="n">
        <v>167</v>
      </c>
      <c r="C12" s="12" t="n">
        <v>385662248.6</v>
      </c>
      <c r="D12" s="13" t="n">
        <v>0.004</v>
      </c>
      <c r="E12" s="12" t="n">
        <v>1542648.9944</v>
      </c>
    </row>
    <row r="13">
      <c r="A13" s="9" t="n">
        <v>2012</v>
      </c>
      <c r="B13" s="9" t="n">
        <v>155</v>
      </c>
      <c r="C13" s="12" t="n">
        <v>393375493.6</v>
      </c>
      <c r="D13" s="13" t="n">
        <v>0.004</v>
      </c>
      <c r="E13" s="12" t="n">
        <v>1573501.9744</v>
      </c>
    </row>
    <row r="14">
      <c r="A14" s="9" t="n">
        <v>2013</v>
      </c>
      <c r="B14" s="9" t="n">
        <v>143</v>
      </c>
      <c r="C14" s="12" t="n">
        <v>401243003.4</v>
      </c>
      <c r="D14" s="13" t="n">
        <v>0.003</v>
      </c>
      <c r="E14" s="12" t="n">
        <v>1203729.0102</v>
      </c>
    </row>
    <row r="15">
      <c r="A15" s="9" t="n">
        <v>2014</v>
      </c>
      <c r="B15" s="9" t="n">
        <v>131</v>
      </c>
      <c r="C15" s="12" t="n">
        <v>409267863.5</v>
      </c>
      <c r="D15" s="13" t="n">
        <v>0.003</v>
      </c>
      <c r="E15" s="12" t="n">
        <v>1227803.5905</v>
      </c>
    </row>
    <row r="16">
      <c r="A16" s="9" t="n">
        <v>2015</v>
      </c>
      <c r="B16" s="9" t="n">
        <v>119</v>
      </c>
      <c r="C16" s="12" t="n">
        <v>417453220.8</v>
      </c>
      <c r="D16" s="13" t="n">
        <v>0.004</v>
      </c>
      <c r="E16" s="12" t="n">
        <v>1669812.8832</v>
      </c>
    </row>
    <row r="17">
      <c r="A17" s="9" t="n">
        <v>2016</v>
      </c>
      <c r="B17" s="9" t="n">
        <v>107</v>
      </c>
      <c r="C17" s="12" t="n">
        <v>425802285.2</v>
      </c>
      <c r="D17" s="13" t="n">
        <v>0.005999999999999999</v>
      </c>
      <c r="E17" s="12" t="n">
        <v>2554813.7112</v>
      </c>
    </row>
    <row r="18">
      <c r="A18" s="9" t="n">
        <v>2017</v>
      </c>
      <c r="B18" s="9" t="n">
        <v>95</v>
      </c>
      <c r="C18" s="12" t="n">
        <v>434318330.9</v>
      </c>
      <c r="D18" s="13" t="n">
        <v>0.006000000000000001</v>
      </c>
      <c r="E18" s="12" t="n">
        <v>2605909.9854</v>
      </c>
    </row>
    <row r="19">
      <c r="A19" s="9" t="n">
        <v>2018</v>
      </c>
      <c r="B19" s="9" t="n">
        <v>83</v>
      </c>
      <c r="C19" s="12" t="n">
        <v>443004697.5</v>
      </c>
      <c r="D19" s="13" t="n">
        <v>0.004999999999999999</v>
      </c>
      <c r="E19" s="12" t="n">
        <v>2215023.4875</v>
      </c>
    </row>
    <row r="20">
      <c r="A20" s="9" t="n">
        <v>2019</v>
      </c>
      <c r="B20" s="9" t="n">
        <v>71</v>
      </c>
      <c r="C20" s="12" t="n">
        <v>451864791.5</v>
      </c>
      <c r="D20" s="13" t="n">
        <v>0.005</v>
      </c>
      <c r="E20" s="12" t="n">
        <v>2259323.9575</v>
      </c>
    </row>
    <row r="21">
      <c r="A21" s="9" t="n">
        <v>2020</v>
      </c>
      <c r="B21" s="9" t="n">
        <v>59</v>
      </c>
      <c r="C21" s="12" t="n">
        <v>460902087.3</v>
      </c>
      <c r="D21" s="13" t="n">
        <v>0.004</v>
      </c>
      <c r="E21" s="12" t="n">
        <v>1843608.3492</v>
      </c>
    </row>
    <row r="22">
      <c r="A22" s="9" t="n">
        <v>2021</v>
      </c>
      <c r="B22" s="9" t="n">
        <v>47</v>
      </c>
      <c r="C22" s="12" t="n">
        <v>470120129.1</v>
      </c>
      <c r="D22" s="13" t="n">
        <v>0.003</v>
      </c>
      <c r="E22" s="12" t="n">
        <v>1410360.3873</v>
      </c>
    </row>
    <row r="23">
      <c r="A23" s="9" t="n">
        <v>2022</v>
      </c>
      <c r="B23" s="9" t="n">
        <v>35</v>
      </c>
      <c r="C23" s="12" t="n">
        <v>479522531.6</v>
      </c>
      <c r="D23" s="13" t="n">
        <v>0.002</v>
      </c>
      <c r="E23" s="12" t="n">
        <v>959045.0632000001</v>
      </c>
    </row>
    <row r="24">
      <c r="A24" s="9" t="n">
        <v>2023</v>
      </c>
      <c r="B24" s="9" t="n">
        <v>23</v>
      </c>
      <c r="C24" s="12" t="n">
        <v>489112982.3</v>
      </c>
      <c r="D24" s="13" t="n">
        <v>0.002</v>
      </c>
      <c r="E24" s="12" t="n">
        <v>978225.9646000001</v>
      </c>
    </row>
    <row r="25">
      <c r="A25" s="9" t="n">
        <v>2024</v>
      </c>
      <c r="B25" s="9" t="n">
        <v>11</v>
      </c>
      <c r="C25" s="12" t="n">
        <v>498895241.9</v>
      </c>
      <c r="D25" s="13" t="n">
        <v>0.002</v>
      </c>
      <c r="E25" s="12" t="n">
        <v>997790.4837999999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0" customWidth="1" min="10" max="10"/>
  </cols>
  <sheetData>
    <row r="1">
      <c r="A1" s="8" t="inlineStr">
        <is>
          <t>Accident Period</t>
        </is>
      </c>
      <c r="B1" s="8" t="inlineStr">
        <is>
          <t>Current Age</t>
        </is>
      </c>
      <c r="C1" s="8" t="inlineStr">
        <is>
          <t>Reported</t>
        </is>
      </c>
      <c r="D1" s="8" t="inlineStr">
        <is>
          <t>Reported CL</t>
        </is>
      </c>
      <c r="E1" s="8" t="inlineStr">
        <is>
          <t>Initial Expected</t>
        </is>
      </c>
      <c r="F1" s="8" t="inlineStr">
        <is>
          <t>Reported BF</t>
        </is>
      </c>
      <c r="G1" s="8" t="inlineStr">
        <is>
          <t>Selected Ultimate</t>
        </is>
      </c>
      <c r="H1" s="8" t="inlineStr">
        <is>
          <t>IBNR</t>
        </is>
      </c>
      <c r="I1" s="8" t="inlineStr">
        <is>
          <t>Unpaid</t>
        </is>
      </c>
      <c r="J1" s="8" t="inlineStr">
        <is>
          <t>Selected Reasoning</t>
        </is>
      </c>
    </row>
    <row r="2">
      <c r="A2" s="9" t="n">
        <v>2001</v>
      </c>
      <c r="B2" s="9" t="n">
        <v>287</v>
      </c>
      <c r="C2" s="10" t="n">
        <v>700.7076000000001</v>
      </c>
      <c r="D2" s="10" t="n">
        <v>700.7076000000001</v>
      </c>
      <c r="E2" s="10" t="n">
        <v>700.775874480892</v>
      </c>
      <c r="F2" s="10" t="n">
        <v>700.7076000000001</v>
      </c>
      <c r="G2" s="10" t="n">
        <v>700.7076</v>
      </c>
      <c r="H2" s="10" t="n">
        <v>-1.13686837721616e-13</v>
      </c>
      <c r="I2" s="10" t="n">
        <v>-1.13686837721616e-13</v>
      </c>
      <c r="J2" s="11" t="inlineStr">
        <is>
          <t>Reported Count CL selected. Age 287 months (fully developed, CDF 1.000). Ultimate 700.7 counts. No IBNR needed (0.0). All three methods (CL, IE, BF) converge on ~700-701, indicating full closure and claim count maturity. Reported Count is appropriate measure at this age. Zero additional development expected.</t>
        </is>
      </c>
    </row>
    <row r="3">
      <c r="A3" s="9" t="n">
        <v>2002</v>
      </c>
      <c r="B3" s="9" t="n">
        <v>275</v>
      </c>
      <c r="C3" s="10" t="n">
        <v>651.8824000000001</v>
      </c>
      <c r="D3" s="10" t="n">
        <v>651.8824000000001</v>
      </c>
      <c r="E3" s="10" t="n">
        <v>683.1663101357999</v>
      </c>
      <c r="F3" s="10" t="n">
        <v>651.8824000000001</v>
      </c>
      <c r="G3" s="10" t="n">
        <v>651.8824</v>
      </c>
      <c r="H3" s="10" t="n">
        <v>-1.13686837721616e-13</v>
      </c>
      <c r="I3" s="10" t="n">
        <v>-1.13686837721616e-13</v>
      </c>
      <c r="J3" s="11" t="inlineStr">
        <is>
          <t>Reported Count CL selected. Age 275 months (fully developed, CDF 1.000). Ultimate 651.9 counts. Zero IBNR. Reported IE shows 31.3 additional counts (overstated relative to CL/BF convergence). Reported CL and BF both indicate ~651.9, suggesting stable closure. CL selected as primary.</t>
        </is>
      </c>
    </row>
    <row r="4">
      <c r="A4" s="9" t="n">
        <v>2003</v>
      </c>
      <c r="B4" s="9" t="n">
        <v>263</v>
      </c>
      <c r="C4" s="10" t="n">
        <v>551.5928</v>
      </c>
      <c r="D4" s="10" t="n">
        <v>551.5928</v>
      </c>
      <c r="E4" s="10" t="n">
        <v>648.4432609290001</v>
      </c>
      <c r="F4" s="10" t="n">
        <v>551.5928</v>
      </c>
      <c r="G4" s="10" t="n">
        <v>551.5928</v>
      </c>
      <c r="H4" s="10" t="n">
        <v>0</v>
      </c>
      <c r="I4" s="10" t="n">
        <v>0</v>
      </c>
      <c r="J4" s="11" t="inlineStr">
        <is>
          <t>Reported Count CL selected. Age 263 months (fully developed, CDF 1.000). Ultimate 551.6 counts. Zero IBNR on CL. IE shows +97 counts (11.7% inflation, unreliable). CL and BF converge at 551.6, confirming full development. Reported Count CL is most credible.</t>
        </is>
      </c>
    </row>
    <row r="5">
      <c r="A5" s="9" t="n">
        <v>2004</v>
      </c>
      <c r="B5" s="9" t="n">
        <v>251</v>
      </c>
      <c r="C5" s="10" t="n">
        <v>642.6452</v>
      </c>
      <c r="D5" s="10" t="n">
        <v>642.6452</v>
      </c>
      <c r="E5" s="10" t="n">
        <v>627.83790652</v>
      </c>
      <c r="F5" s="10" t="n">
        <v>642.6452</v>
      </c>
      <c r="G5" s="10" t="n">
        <v>642.6452</v>
      </c>
      <c r="H5" s="10" t="n">
        <v>0</v>
      </c>
      <c r="I5" s="10" t="n">
        <v>0</v>
      </c>
      <c r="J5" s="11" t="inlineStr">
        <is>
          <t>Reported Count CL selected. Age 251 months (fully developed, CDF 1.000). Ultimate 642.6 counts. CL shows zero IBNR. IE shows -14.8 counts (negative, illogical). CL at 642.6 is credible. BF at 642.6 confirms. Reported Count CL selected.</t>
        </is>
      </c>
    </row>
    <row r="6">
      <c r="A6" s="9" t="n">
        <v>2005</v>
      </c>
      <c r="B6" s="9" t="n">
        <v>239</v>
      </c>
      <c r="C6" s="10" t="n">
        <v>641.3256</v>
      </c>
      <c r="D6" s="10" t="n">
        <v>641.3256</v>
      </c>
      <c r="E6" s="10" t="n">
        <v>623.61426984</v>
      </c>
      <c r="F6" s="10" t="n">
        <v>641.3256</v>
      </c>
      <c r="G6" s="10" t="n">
        <v>641.3256</v>
      </c>
      <c r="H6" s="10" t="n">
        <v>0</v>
      </c>
      <c r="I6" s="10" t="n">
        <v>0</v>
      </c>
      <c r="J6" s="11" t="inlineStr">
        <is>
          <t>Reported Count CL selected. Age 239 months (fully developed, CDF 1.000). Ultimate 641.3 counts. CL zero IBNR. IE shows -17.7 counts (unreliable negative). CL and BF both ~641.3. Reported Count CL is only credible method at this maturity.</t>
        </is>
      </c>
    </row>
    <row r="7">
      <c r="A7" s="9" t="n">
        <v>2006</v>
      </c>
      <c r="B7" s="9" t="n">
        <v>227</v>
      </c>
      <c r="C7" s="10" t="n">
        <v>497.4892</v>
      </c>
      <c r="D7" s="10" t="n">
        <v>497.4892</v>
      </c>
      <c r="E7" s="10" t="n">
        <v>606.7448358759</v>
      </c>
      <c r="F7" s="10" t="n">
        <v>497.4892</v>
      </c>
      <c r="G7" s="10" t="n">
        <v>497.4892</v>
      </c>
      <c r="H7" s="10" t="n">
        <v>-5.684341886080801e-14</v>
      </c>
      <c r="I7" s="10" t="n">
        <v>-5.684341886080801e-14</v>
      </c>
      <c r="J7" s="11" t="inlineStr">
        <is>
          <t>Reported Count CL selected. Age 227 months (fully developed, CDF 1.000). Ultimate 497.5 counts. CL shows zero IBNR. IE shows +109.3 counts (22% inflation). CL at 497.5 and BF converge. Reported Count CL is objective measure. IE unreliable.</t>
        </is>
      </c>
    </row>
    <row r="8">
      <c r="A8" s="9" t="n">
        <v>2007</v>
      </c>
      <c r="B8" s="9" t="n">
        <v>215</v>
      </c>
      <c r="C8" s="10" t="n">
        <v>476.3756</v>
      </c>
      <c r="D8" s="10" t="n">
        <v>476.3756</v>
      </c>
      <c r="E8" s="10" t="n">
        <v>550.471610298</v>
      </c>
      <c r="F8" s="10" t="n">
        <v>476.3756</v>
      </c>
      <c r="G8" s="10" t="n">
        <v>476.3756</v>
      </c>
      <c r="H8" s="10" t="n">
        <v>0</v>
      </c>
      <c r="I8" s="10" t="n">
        <v>0</v>
      </c>
      <c r="J8" s="11" t="inlineStr">
        <is>
          <t>Reported Count CL selected. Age 215 months (fully developed, CDF 1.000). Ultimate 476.4 counts. CL zero IBNR. IE shows +74.1 counts (15.6% overstate). CL 476.4 and BF converge. Reported Count CL is credible at full maturity. No additional development.</t>
        </is>
      </c>
    </row>
    <row r="9">
      <c r="A9" s="9" t="n">
        <v>2008</v>
      </c>
      <c r="B9" s="9" t="n">
        <v>203</v>
      </c>
      <c r="C9" s="10" t="n">
        <v>328.5804000000001</v>
      </c>
      <c r="D9" s="10" t="n">
        <v>328.5804000000001</v>
      </c>
      <c r="E9" s="10" t="n">
        <v>444.0969799109999</v>
      </c>
      <c r="F9" s="10" t="n">
        <v>328.5804000000001</v>
      </c>
      <c r="G9" s="10" t="n">
        <v>328.5804</v>
      </c>
      <c r="H9" s="10" t="n">
        <v>-5.684341886080801e-14</v>
      </c>
      <c r="I9" s="10" t="n">
        <v>-5.684341886080801e-14</v>
      </c>
      <c r="J9" s="11" t="inlineStr">
        <is>
          <t>Reported Count CL selected. Age 203 months (fully developed, CDF 1.000). Ultimate 328.6 counts. CL zero IBNR. IE shows +115.5 counts (35.2% inflation). CL 328.6 and BF converge. Reported Count CL only credible method. IE severely overestimates.</t>
        </is>
      </c>
    </row>
    <row r="10">
      <c r="A10" s="9" t="n">
        <v>2009</v>
      </c>
      <c r="B10" s="9" t="n">
        <v>191</v>
      </c>
      <c r="C10" s="10" t="n">
        <v>321.9824</v>
      </c>
      <c r="D10" s="10" t="n">
        <v>321.9824</v>
      </c>
      <c r="E10" s="10" t="n">
        <v>384.4019144995</v>
      </c>
      <c r="F10" s="10" t="n">
        <v>321.9824</v>
      </c>
      <c r="G10" s="10" t="n">
        <v>321.9824</v>
      </c>
      <c r="H10" s="10" t="n">
        <v>-5.684341886080801e-14</v>
      </c>
      <c r="I10" s="10" t="n">
        <v>-5.684341886080801e-14</v>
      </c>
      <c r="J10" s="11" t="inlineStr">
        <is>
          <t>Reported Count CL selected. Age 191 months (fully developed, CDF 1.000). Ultimate 322.0 counts. CL zero IBNR. IE shows +62.4 counts (19.4% overstate). CL and BF both 322.0. Reported Count CL is only objective measure at full development.</t>
        </is>
      </c>
    </row>
    <row r="11">
      <c r="A11" s="9" t="n">
        <v>2010</v>
      </c>
      <c r="B11" s="9" t="n">
        <v>179</v>
      </c>
      <c r="C11" s="10" t="n">
        <v>271.8376</v>
      </c>
      <c r="D11" s="10" t="n">
        <v>271.8376</v>
      </c>
      <c r="E11" s="10" t="n">
        <v>314.2013025147</v>
      </c>
      <c r="F11" s="10" t="n">
        <v>271.8376</v>
      </c>
      <c r="G11" s="10" t="n">
        <v>271.8376</v>
      </c>
      <c r="H11" s="10" t="n">
        <v>0</v>
      </c>
      <c r="I11" s="10" t="n">
        <v>0</v>
      </c>
      <c r="J11" s="11" t="inlineStr">
        <is>
          <t>Reported Count CL selected. Age 179 months (fully developed, CDF 1.000). Ultimate 271.8 counts. CL zero IBNR. IE shows +42.4 counts (15.6% inflation). CL 271.8 and BF converge. Reported Count CL is credible primary. IE unreliable.</t>
        </is>
      </c>
    </row>
    <row r="12">
      <c r="A12" s="9" t="n">
        <v>2011</v>
      </c>
      <c r="B12" s="9" t="n">
        <v>167</v>
      </c>
      <c r="C12" s="10" t="n">
        <v>345.7352</v>
      </c>
      <c r="D12" s="10" t="n">
        <v>345.7352</v>
      </c>
      <c r="E12" s="10" t="n">
        <v>319.3283418408</v>
      </c>
      <c r="F12" s="10" t="n">
        <v>345.7352</v>
      </c>
      <c r="G12" s="10" t="n">
        <v>345.7352</v>
      </c>
      <c r="H12" s="10" t="n">
        <v>0</v>
      </c>
      <c r="I12" s="10" t="n">
        <v>0</v>
      </c>
      <c r="J12" s="11" t="inlineStr">
        <is>
          <t>Reported Count CL selected. Age 167 months (fully developed, CDF 1.000). Ultimate 345.7 counts. CL zero IBNR. IE shows -26.4 counts (negative, illogical). CL 345.7 and BF converge. Reported Count CL is only sound method. IE unreliable at all ages.</t>
        </is>
      </c>
    </row>
    <row r="13">
      <c r="A13" s="9" t="n">
        <v>2012</v>
      </c>
      <c r="B13" s="9" t="n">
        <v>155</v>
      </c>
      <c r="C13" s="10" t="n">
        <v>261.2808</v>
      </c>
      <c r="D13" s="10" t="n">
        <v>261.2808</v>
      </c>
      <c r="E13" s="10" t="n">
        <v>298.965375136</v>
      </c>
      <c r="F13" s="10" t="n">
        <v>261.2808</v>
      </c>
      <c r="G13" s="10" t="n">
        <v>261.2808</v>
      </c>
      <c r="H13" s="10" t="n">
        <v>0</v>
      </c>
      <c r="I13" s="10" t="n">
        <v>0</v>
      </c>
      <c r="J13" s="11" t="inlineStr">
        <is>
          <t>Reported Count CL selected. Age 155 months (fully developed, CDF 1.000). Ultimate 261.3 counts. CL zero IBNR. IE shows +37.7 counts (14.4% inflation). CL 261.3 and BF converge. Reported Count CL is objective measure. IE consistently biased.</t>
        </is>
      </c>
    </row>
    <row r="14">
      <c r="A14" s="9" t="n">
        <v>2013</v>
      </c>
      <c r="B14" s="9" t="n">
        <v>143</v>
      </c>
      <c r="C14" s="10" t="n">
        <v>291.6316</v>
      </c>
      <c r="D14" s="10" t="n">
        <v>291.6316</v>
      </c>
      <c r="E14" s="10" t="n">
        <v>305.7471685908</v>
      </c>
      <c r="F14" s="10" t="n">
        <v>291.6316</v>
      </c>
      <c r="G14" s="10" t="n">
        <v>291.6316</v>
      </c>
      <c r="H14" s="10" t="n">
        <v>-5.684341886080801e-14</v>
      </c>
      <c r="I14" s="10" t="n">
        <v>-5.684341886080801e-14</v>
      </c>
      <c r="J14" s="11" t="inlineStr">
        <is>
          <t>Reported Count CL selected. Age 143 months (fully developed, CDF 1.000). Ultimate 291.6 counts. CL zero IBNR. IE shows +14.1 counts (4.8% overstate). CL 291.6 and BF converge. Reported Count CL is credible. IE method not reliable across all periods.</t>
        </is>
      </c>
    </row>
    <row r="15">
      <c r="A15" s="9" t="n">
        <v>2014</v>
      </c>
      <c r="B15" s="9" t="n">
        <v>131</v>
      </c>
      <c r="C15" s="10" t="n">
        <v>455.2620000000001</v>
      </c>
      <c r="D15" s="10" t="n">
        <v>455.2620000000001</v>
      </c>
      <c r="E15" s="10" t="n">
        <v>341.329398159</v>
      </c>
      <c r="F15" s="10" t="n">
        <v>455.2620000000001</v>
      </c>
      <c r="G15" s="10" t="n">
        <v>455.262</v>
      </c>
      <c r="H15" s="10" t="n">
        <v>-5.684341886080801e-14</v>
      </c>
      <c r="I15" s="10" t="n">
        <v>-5.684341886080801e-14</v>
      </c>
      <c r="J15" s="11" t="inlineStr">
        <is>
          <t>Reported Count CL selected. Age 131 months (fully developed, CDF 1.000). Ultimate 455.3 counts. CL zero IBNR. IE shows -113.9 counts (severely negative, illogical). CL 455.3 and BF converge. Reported Count CL is only credible method. IE completely unreliable.</t>
        </is>
      </c>
    </row>
    <row r="16">
      <c r="A16" s="9" t="n">
        <v>2015</v>
      </c>
      <c r="B16" s="9" t="n">
        <v>119</v>
      </c>
      <c r="C16" s="10" t="n">
        <v>333.8588</v>
      </c>
      <c r="D16" s="10" t="n">
        <v>333.8588</v>
      </c>
      <c r="E16" s="10" t="n">
        <v>367.358834304</v>
      </c>
      <c r="F16" s="10" t="n">
        <v>333.8588</v>
      </c>
      <c r="G16" s="10" t="n">
        <v>333.8588</v>
      </c>
      <c r="H16" s="10" t="n">
        <v>-5.684341886080801e-14</v>
      </c>
      <c r="I16" s="10" t="n">
        <v>-5.684341886080801e-14</v>
      </c>
      <c r="J16" s="11" t="inlineStr">
        <is>
          <t>Reported Count CL selected. Age 119 months (fully developed, CDF 1.000). Ultimate 333.9 counts. CL zero IBNR. IE shows +33.5 counts (10% inflation). CL 333.9 and BF converge. Reported Count CL is credible primary at full maturity.</t>
        </is>
      </c>
    </row>
    <row r="17">
      <c r="A17" s="9" t="n">
        <v>2016</v>
      </c>
      <c r="B17" s="9" t="n">
        <v>107</v>
      </c>
      <c r="C17" s="10" t="n">
        <v>390.6016</v>
      </c>
      <c r="D17" s="10" t="n">
        <v>389.70321632</v>
      </c>
      <c r="E17" s="10" t="n">
        <v>401.5315549436</v>
      </c>
      <c r="F17" s="10" t="n">
        <v>389.6759484250073</v>
      </c>
      <c r="G17" s="10" t="n">
        <v>389.703</v>
      </c>
      <c r="H17" s="10" t="n">
        <v>-0.8986000000000445</v>
      </c>
      <c r="I17" s="10" t="n">
        <v>-0.8986000000000445</v>
      </c>
      <c r="J17" s="11" t="inlineStr">
        <is>
          <t>Reported Count CL selected. Age 107 months (CDF 0.9977, slight reopening). Ultimate 389.7 counts. CL shows -0.9 IBNR (slight closure adjustment). IE shows +10.9 counts (2.8% inflation). CL 389.7 and BF (389.676) converge within 0.1%. Reported Count CL is credible primary.</t>
        </is>
      </c>
    </row>
    <row r="18">
      <c r="A18" s="9" t="n">
        <v>2017</v>
      </c>
      <c r="B18" s="9" t="n">
        <v>95</v>
      </c>
      <c r="C18" s="10" t="n">
        <v>310.1060000000001</v>
      </c>
      <c r="D18" s="10" t="n">
        <v>309.3927562000001</v>
      </c>
      <c r="E18" s="10" t="n">
        <v>351.797848029</v>
      </c>
      <c r="F18" s="10" t="n">
        <v>309.2949996487254</v>
      </c>
      <c r="G18" s="10" t="n">
        <v>309.393</v>
      </c>
      <c r="H18" s="10" t="n">
        <v>-0.7130000000000791</v>
      </c>
      <c r="I18" s="10" t="n">
        <v>-0.7130000000000791</v>
      </c>
      <c r="J18" s="11" t="inlineStr">
        <is>
          <t>Reported Count CL selected. Age 95 months (CDF 0.9977, slight reopening). Ultimate 309.4 counts. CL shows -0.7 IBNR (closure adjustment). IE shows +41.7 counts (13.4% inflation, unreliable). CL 309.4 and BF converge. Reported Count CL is primary measure.</t>
        </is>
      </c>
    </row>
    <row r="19">
      <c r="A19" s="9" t="n">
        <v>2018</v>
      </c>
      <c r="B19" s="9" t="n">
        <v>83</v>
      </c>
      <c r="C19" s="10" t="n">
        <v>325.9412</v>
      </c>
      <c r="D19" s="10" t="n">
        <v>324.9313820118081</v>
      </c>
      <c r="E19" s="10" t="n">
        <v>349.5307063275</v>
      </c>
      <c r="F19" s="10" t="n">
        <v>324.8549325164175</v>
      </c>
      <c r="G19" s="10" t="n">
        <v>324.931</v>
      </c>
      <c r="H19" s="10" t="n">
        <v>-1.010200000000054</v>
      </c>
      <c r="I19" s="10" t="n">
        <v>-1.010200000000054</v>
      </c>
      <c r="J19" s="11" t="inlineStr">
        <is>
          <t>Reported Count CL selected. Age 83 months (CDF 0.9969, slight reopening). Ultimate 324.9 counts. CL shows -1.0 IBNR (closure). IE shows +23.6 counts (7.3% inflation). CL 324.9 and BF (324.855) converge. Reported Count CL is most credible. Reopening effect minor.</t>
        </is>
      </c>
    </row>
    <row r="20">
      <c r="A20" s="9" t="n">
        <v>2019</v>
      </c>
      <c r="B20" s="9" t="n">
        <v>71</v>
      </c>
      <c r="C20" s="10" t="n">
        <v>357.6116</v>
      </c>
      <c r="D20" s="10" t="n">
        <v>356.503662045344</v>
      </c>
      <c r="E20" s="10" t="n">
        <v>337.5429992505</v>
      </c>
      <c r="F20" s="10" t="n">
        <v>356.5625877737231</v>
      </c>
      <c r="G20" s="10" t="n">
        <v>356.504</v>
      </c>
      <c r="H20" s="10" t="n">
        <v>-1.107599999999991</v>
      </c>
      <c r="I20" s="10" t="n">
        <v>-1.107599999999991</v>
      </c>
      <c r="J20" s="11" t="inlineStr">
        <is>
          <t>Reported Count CL selected. Age 71 months (CDF 0.9969, slight reopening). Ultimate 356.5 counts. CL shows -1.1 IBNR (closure effect). IE shows -20.1 counts (negative, unreliable). CL 356.5 and BF (356.563) converge tightly. Reported Count CL is credible primary.</t>
        </is>
      </c>
    </row>
    <row r="21">
      <c r="A21" s="9" t="n">
        <v>2020</v>
      </c>
      <c r="B21" s="9" t="n">
        <v>59</v>
      </c>
      <c r="C21" s="10" t="n">
        <v>370.8076</v>
      </c>
      <c r="D21" s="10" t="n">
        <v>369.4000175808758</v>
      </c>
      <c r="E21" s="10" t="n">
        <v>358.1209218321</v>
      </c>
      <c r="F21" s="10" t="n">
        <v>369.442996076068</v>
      </c>
      <c r="G21" s="10" t="n">
        <v>369.4</v>
      </c>
      <c r="H21" s="10" t="n">
        <v>-1.407600000000059</v>
      </c>
      <c r="I21" s="10" t="n">
        <v>-1.407600000000059</v>
      </c>
      <c r="J21" s="11" t="inlineStr">
        <is>
          <t>Reported Count CL selected. Age 59 months (CDF 0.9962, reopening effect). Ultimate 369.4 counts. CL shows -1.4 IBNR (closure). IE shows -12.7 counts (negative). CL 369.4 and BF (369.443) converge. Reported Count CL is primary. Slight reopening embedded in CDF.</t>
        </is>
      </c>
    </row>
    <row r="22">
      <c r="A22" s="9" t="n">
        <v>2021</v>
      </c>
      <c r="B22" s="9" t="n">
        <v>47</v>
      </c>
      <c r="C22" s="10" t="n">
        <v>329.9</v>
      </c>
      <c r="D22" s="10" t="n">
        <v>328.6477024740888</v>
      </c>
      <c r="E22" s="10" t="n">
        <v>360.1120188906</v>
      </c>
      <c r="F22" s="10" t="n">
        <v>328.527809088843</v>
      </c>
      <c r="G22" s="10" t="n">
        <v>328.648</v>
      </c>
      <c r="H22" s="10" t="n">
        <v>-1.25200000000001</v>
      </c>
      <c r="I22" s="10" t="n">
        <v>-1.25200000000001</v>
      </c>
      <c r="J22" s="11" t="inlineStr">
        <is>
          <t>Reported Count CL selected. Age 47 months (CDF 0.9962, reopening effect). Ultimate 328.6 counts. CL shows -1.3 IBNR (closure). IE shows +30.2 counts (9.2% inflation). CL 328.6 and BF (328.528) converge. Reported Count CL is credible primary. Reopening minor.</t>
        </is>
      </c>
    </row>
    <row r="23">
      <c r="A23" s="9" t="n">
        <v>2022</v>
      </c>
      <c r="B23" s="9" t="n">
        <v>35</v>
      </c>
      <c r="C23" s="10" t="n">
        <v>298.2296</v>
      </c>
      <c r="D23" s="10" t="n">
        <v>297.3352010550055</v>
      </c>
      <c r="E23" s="10" t="n">
        <v>339.9814749044</v>
      </c>
      <c r="F23" s="10" t="n">
        <v>297.2069189605764</v>
      </c>
      <c r="G23" s="10" t="n">
        <v>297.335</v>
      </c>
      <c r="H23" s="10" t="n">
        <v>-0.8946000000000254</v>
      </c>
      <c r="I23" s="10" t="n">
        <v>-0.8946000000000254</v>
      </c>
      <c r="J23" s="11" t="inlineStr">
        <is>
          <t>Reported Count CL selected. Age 35 months (CDF 0.9970, reopening). Ultimate 297.3 counts. CL shows -0.9 IBNR (closure). IE shows +41.8 counts (14.0% inflation). CL 297.3 and BF (297.207) converge. Reported Count CL is primary. Reopening very minor.</t>
        </is>
      </c>
    </row>
    <row r="24">
      <c r="A24" s="9" t="n">
        <v>2023</v>
      </c>
      <c r="B24" s="9" t="n">
        <v>23</v>
      </c>
      <c r="C24" s="10" t="n">
        <v>304.8276</v>
      </c>
      <c r="D24" s="10" t="n">
        <v>303.9134134677269</v>
      </c>
      <c r="E24" s="10" t="n">
        <v>317.4343255127</v>
      </c>
      <c r="F24" s="10" t="n">
        <v>303.8727418976421</v>
      </c>
      <c r="G24" s="10" t="n">
        <v>303.913</v>
      </c>
      <c r="H24" s="10" t="n">
        <v>-0.9146000000000072</v>
      </c>
      <c r="I24" s="10" t="n">
        <v>-0.9146000000000072</v>
      </c>
      <c r="J24" s="11" t="inlineStr">
        <is>
          <t>Reported Count CL selected. Age 23 months (CDF 0.9970, reopening). Ultimate 303.9 counts. CL shows -0.9 IBNR (closure effect). IE shows +12.6 counts (4.2% inflation). CL 303.9 and BF (303.873) converge tightly. Reported Count CL is primary. Young age, reopening embedded in CDF.</t>
        </is>
      </c>
    </row>
    <row r="25">
      <c r="A25" s="9" t="n">
        <v>2024</v>
      </c>
      <c r="B25" s="9" t="n">
        <v>11</v>
      </c>
      <c r="C25" s="10" t="n">
        <v>256.0024</v>
      </c>
      <c r="D25" s="10" t="n">
        <v>285.3523293239924</v>
      </c>
      <c r="E25" s="10" t="n">
        <v>292.3526117534</v>
      </c>
      <c r="F25" s="10" t="n">
        <v>286.0723437533045</v>
      </c>
      <c r="G25" s="10" t="n">
        <v>285.352</v>
      </c>
      <c r="H25" s="10" t="n">
        <v>29.34959999999995</v>
      </c>
      <c r="I25" s="10" t="n">
        <v>29.34959999999995</v>
      </c>
      <c r="J25" s="11" t="inlineStr">
        <is>
          <t>Reported Count CL selected. Age 11 months (CDF 1.1146, significant development ahead). Ultimate 285.4 counts. CL shows +29.3 IBNR (10.3% of reported). IE shows +36.4 counts (12.6% of reported, consistent with CL). CL 285.4 and IE 292.4 show 2.4% convergence. CL selected as primary; at 11 months, CDF 1.1146 indicates ~10% additional claim count development expected.</t>
        </is>
      </c>
    </row>
    <row r="26"/>
    <row r="27">
      <c r="A27" s="5" t="inlineStr">
        <is>
          <t>Total</t>
        </is>
      </c>
      <c r="C27" s="10" t="n"/>
      <c r="D27" s="10" t="n"/>
      <c r="E27" s="10" t="n"/>
      <c r="F27" s="10" t="n"/>
      <c r="G27" s="10" t="n"/>
      <c r="H27" s="10" t="n"/>
      <c r="I27" s="10"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Closed</t>
        </is>
      </c>
      <c r="D1" s="8" t="inlineStr">
        <is>
          <t>CDF</t>
        </is>
      </c>
      <c r="E1" s="8" t="inlineStr">
        <is>
          <t>Ultimate</t>
        </is>
      </c>
      <c r="F1" s="8" t="inlineStr">
        <is>
          <t>IBNR</t>
        </is>
      </c>
      <c r="G1" s="8" t="inlineStr">
        <is>
          <t>Unpaid</t>
        </is>
      </c>
    </row>
    <row r="2">
      <c r="A2" s="9" t="n">
        <v>2001</v>
      </c>
      <c r="B2" s="5" t="inlineStr">
        <is>
          <t>None</t>
        </is>
      </c>
      <c r="C2" s="5" t="n"/>
      <c r="D2" s="5" t="n"/>
      <c r="E2" s="10" t="n"/>
      <c r="F2" s="10" t="n"/>
      <c r="G2" s="10" t="n"/>
    </row>
    <row r="3">
      <c r="A3" s="9" t="n">
        <v>2002</v>
      </c>
      <c r="B3" s="5" t="inlineStr">
        <is>
          <t>None</t>
        </is>
      </c>
      <c r="C3" s="5" t="n"/>
      <c r="D3" s="5" t="n"/>
      <c r="E3" s="10" t="n"/>
      <c r="F3" s="10" t="n"/>
      <c r="G3" s="10" t="n"/>
    </row>
    <row r="4">
      <c r="A4" s="9" t="n">
        <v>2003</v>
      </c>
      <c r="B4" s="5" t="inlineStr">
        <is>
          <t>None</t>
        </is>
      </c>
      <c r="C4" s="5" t="n"/>
      <c r="D4" s="5" t="n"/>
      <c r="E4" s="10" t="n"/>
      <c r="F4" s="10" t="n"/>
      <c r="G4" s="10" t="n"/>
    </row>
    <row r="5">
      <c r="A5" s="9" t="n">
        <v>2004</v>
      </c>
      <c r="B5" s="5" t="inlineStr">
        <is>
          <t>None</t>
        </is>
      </c>
      <c r="C5" s="5" t="n"/>
      <c r="D5" s="5" t="n"/>
      <c r="E5" s="10" t="n"/>
      <c r="F5" s="10" t="n"/>
      <c r="G5" s="10" t="n"/>
    </row>
    <row r="6">
      <c r="A6" s="9" t="n">
        <v>2005</v>
      </c>
      <c r="B6" s="5" t="inlineStr">
        <is>
          <t>None</t>
        </is>
      </c>
      <c r="C6" s="5" t="n"/>
      <c r="D6" s="5" t="n"/>
      <c r="E6" s="10" t="n"/>
      <c r="F6" s="10" t="n"/>
      <c r="G6" s="10" t="n"/>
    </row>
    <row r="7">
      <c r="A7" s="9" t="n">
        <v>2006</v>
      </c>
      <c r="B7" s="5" t="inlineStr">
        <is>
          <t>None</t>
        </is>
      </c>
      <c r="C7" s="5" t="n"/>
      <c r="D7" s="5" t="n"/>
      <c r="E7" s="10" t="n"/>
      <c r="F7" s="10" t="n"/>
      <c r="G7" s="10" t="n"/>
    </row>
    <row r="8">
      <c r="A8" s="9" t="n">
        <v>2007</v>
      </c>
      <c r="B8" s="5" t="inlineStr">
        <is>
          <t>None</t>
        </is>
      </c>
      <c r="C8" s="5" t="n"/>
      <c r="D8" s="5" t="n"/>
      <c r="E8" s="10" t="n"/>
      <c r="F8" s="10" t="n"/>
      <c r="G8" s="10" t="n"/>
    </row>
    <row r="9">
      <c r="A9" s="9" t="n">
        <v>2008</v>
      </c>
      <c r="B9" s="5" t="inlineStr">
        <is>
          <t>None</t>
        </is>
      </c>
      <c r="C9" s="5" t="n"/>
      <c r="D9" s="5" t="n"/>
      <c r="E9" s="10" t="n"/>
      <c r="F9" s="10" t="n"/>
      <c r="G9" s="10" t="n"/>
    </row>
    <row r="10">
      <c r="A10" s="9" t="n">
        <v>2009</v>
      </c>
      <c r="B10" s="5" t="inlineStr">
        <is>
          <t>None</t>
        </is>
      </c>
      <c r="C10" s="5" t="n"/>
      <c r="D10" s="5" t="n"/>
      <c r="E10" s="10" t="n"/>
      <c r="F10" s="10" t="n"/>
      <c r="G10" s="10" t="n"/>
    </row>
    <row r="11">
      <c r="A11" s="9" t="n">
        <v>2010</v>
      </c>
      <c r="B11" s="5" t="inlineStr">
        <is>
          <t>None</t>
        </is>
      </c>
      <c r="C11" s="5" t="n"/>
      <c r="D11" s="5" t="n"/>
      <c r="E11" s="10" t="n"/>
      <c r="F11" s="10" t="n"/>
      <c r="G11" s="10" t="n"/>
    </row>
    <row r="12">
      <c r="A12" s="9" t="n">
        <v>2011</v>
      </c>
      <c r="B12" s="5" t="inlineStr">
        <is>
          <t>None</t>
        </is>
      </c>
      <c r="C12" s="5" t="n"/>
      <c r="D12" s="5" t="n"/>
      <c r="E12" s="10" t="n"/>
      <c r="F12" s="10" t="n"/>
      <c r="G12" s="10" t="n"/>
    </row>
    <row r="13">
      <c r="A13" s="9" t="n">
        <v>2012</v>
      </c>
      <c r="B13" s="5" t="inlineStr">
        <is>
          <t>None</t>
        </is>
      </c>
      <c r="C13" s="5" t="n"/>
      <c r="D13" s="5" t="n"/>
      <c r="E13" s="10" t="n"/>
      <c r="F13" s="10" t="n"/>
      <c r="G13" s="10" t="n"/>
    </row>
    <row r="14">
      <c r="A14" s="9" t="n">
        <v>2013</v>
      </c>
      <c r="B14" s="5" t="inlineStr">
        <is>
          <t>None</t>
        </is>
      </c>
      <c r="C14" s="5" t="n"/>
      <c r="D14" s="5" t="n"/>
      <c r="E14" s="10" t="n"/>
      <c r="F14" s="10" t="n"/>
      <c r="G14" s="10" t="n"/>
    </row>
    <row r="15">
      <c r="A15" s="9" t="n">
        <v>2014</v>
      </c>
      <c r="B15" s="5" t="inlineStr">
        <is>
          <t>None</t>
        </is>
      </c>
      <c r="C15" s="5" t="n"/>
      <c r="D15" s="5" t="n"/>
      <c r="E15" s="10" t="n"/>
      <c r="F15" s="10" t="n"/>
      <c r="G15" s="10" t="n"/>
    </row>
    <row r="16">
      <c r="A16" s="9" t="n">
        <v>2015</v>
      </c>
      <c r="B16" s="5" t="inlineStr">
        <is>
          <t>None</t>
        </is>
      </c>
      <c r="C16" s="5" t="n"/>
      <c r="D16" s="5" t="n"/>
      <c r="E16" s="10" t="n"/>
      <c r="F16" s="10" t="n"/>
      <c r="G16" s="10" t="n"/>
    </row>
    <row r="17">
      <c r="A17" s="9" t="n">
        <v>2016</v>
      </c>
      <c r="B17" s="5" t="inlineStr">
        <is>
          <t>None</t>
        </is>
      </c>
      <c r="C17" s="5" t="n"/>
      <c r="D17" s="5" t="n"/>
      <c r="E17" s="10" t="n"/>
      <c r="F17" s="10" t="n"/>
      <c r="G17" s="10" t="n"/>
    </row>
    <row r="18">
      <c r="A18" s="9" t="n">
        <v>2017</v>
      </c>
      <c r="B18" s="5" t="inlineStr">
        <is>
          <t>None</t>
        </is>
      </c>
      <c r="C18" s="5" t="n"/>
      <c r="D18" s="5" t="n"/>
      <c r="E18" s="10" t="n"/>
      <c r="F18" s="10" t="n"/>
      <c r="G18" s="10" t="n"/>
    </row>
    <row r="19">
      <c r="A19" s="9" t="n">
        <v>2018</v>
      </c>
      <c r="B19" s="5" t="inlineStr">
        <is>
          <t>None</t>
        </is>
      </c>
      <c r="C19" s="5" t="n"/>
      <c r="D19" s="5" t="n"/>
      <c r="E19" s="10" t="n"/>
      <c r="F19" s="10" t="n"/>
      <c r="G19" s="10" t="n"/>
    </row>
    <row r="20">
      <c r="A20" s="9" t="n">
        <v>2019</v>
      </c>
      <c r="B20" s="5" t="inlineStr">
        <is>
          <t>None</t>
        </is>
      </c>
      <c r="C20" s="5" t="n"/>
      <c r="D20" s="5" t="n"/>
      <c r="E20" s="10" t="n"/>
      <c r="F20" s="10" t="n"/>
      <c r="G20" s="10" t="n"/>
    </row>
    <row r="21">
      <c r="A21" s="9" t="n">
        <v>2020</v>
      </c>
      <c r="B21" s="5" t="inlineStr">
        <is>
          <t>None</t>
        </is>
      </c>
      <c r="C21" s="5" t="n"/>
      <c r="D21" s="5" t="n"/>
      <c r="E21" s="10" t="n"/>
      <c r="F21" s="10" t="n"/>
      <c r="G21" s="10" t="n"/>
    </row>
    <row r="22">
      <c r="A22" s="9" t="n">
        <v>2021</v>
      </c>
      <c r="B22" s="5" t="inlineStr">
        <is>
          <t>None</t>
        </is>
      </c>
      <c r="C22" s="5" t="n"/>
      <c r="D22" s="5" t="n"/>
      <c r="E22" s="10" t="n"/>
      <c r="F22" s="10" t="n"/>
      <c r="G22" s="10" t="n"/>
    </row>
    <row r="23">
      <c r="A23" s="9" t="n">
        <v>2022</v>
      </c>
      <c r="B23" s="5" t="inlineStr">
        <is>
          <t>None</t>
        </is>
      </c>
      <c r="C23" s="5" t="n"/>
      <c r="D23" s="5" t="n"/>
      <c r="E23" s="10" t="n"/>
      <c r="F23" s="10" t="n"/>
      <c r="G23" s="10" t="n"/>
    </row>
    <row r="24">
      <c r="A24" s="9" t="n">
        <v>2023</v>
      </c>
      <c r="B24" s="5" t="inlineStr">
        <is>
          <t>None</t>
        </is>
      </c>
      <c r="C24" s="5" t="n"/>
      <c r="D24" s="5" t="n"/>
      <c r="E24" s="10" t="n"/>
      <c r="F24" s="10" t="n"/>
      <c r="G24" s="10" t="n"/>
    </row>
    <row r="25">
      <c r="A25" s="9" t="n">
        <v>2024</v>
      </c>
      <c r="B25" s="5" t="inlineStr">
        <is>
          <t>None</t>
        </is>
      </c>
      <c r="C25" s="5" t="n"/>
      <c r="D25" s="5" t="n"/>
      <c r="E25" s="10" t="n"/>
      <c r="F25" s="10" t="n"/>
      <c r="G25" s="10" t="n"/>
    </row>
    <row r="26"/>
    <row r="27">
      <c r="A27" s="5" t="inlineStr">
        <is>
          <t>Total</t>
        </is>
      </c>
      <c r="C27" s="10">
        <f>SUM(C2:C25)</f>
        <v/>
      </c>
      <c r="E27" s="10">
        <f>SUM(E2:E25)</f>
        <v/>
      </c>
      <c r="F27" s="10">
        <f>SUM(F2:F25)</f>
        <v/>
      </c>
      <c r="G27" s="10">
        <f>SUM(G2:G25)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CDF</t>
        </is>
      </c>
      <c r="E1" s="8" t="inlineStr">
        <is>
          <t>Ultimate</t>
        </is>
      </c>
      <c r="F1" s="8" t="inlineStr">
        <is>
          <t>IBNR</t>
        </is>
      </c>
      <c r="G1" s="8" t="inlineStr">
        <is>
          <t>Unpaid</t>
        </is>
      </c>
    </row>
    <row r="2">
      <c r="A2" s="9" t="n">
        <v>2001</v>
      </c>
      <c r="B2" s="9" t="n">
        <v>287</v>
      </c>
      <c r="C2" s="12" t="n">
        <v>700.7076000000001</v>
      </c>
      <c r="D2" s="13" t="n">
        <v>1</v>
      </c>
      <c r="E2" s="10" t="n">
        <v>700.7076000000001</v>
      </c>
      <c r="F2" s="10" t="n">
        <v>0</v>
      </c>
      <c r="G2" s="10" t="n">
        <v/>
      </c>
    </row>
    <row r="3">
      <c r="A3" s="9" t="n">
        <v>2002</v>
      </c>
      <c r="B3" s="9" t="n">
        <v>275</v>
      </c>
      <c r="C3" s="12" t="n">
        <v>651.8824000000001</v>
      </c>
      <c r="D3" s="13" t="n">
        <v>1</v>
      </c>
      <c r="E3" s="10" t="n">
        <v>651.8824000000001</v>
      </c>
      <c r="F3" s="10" t="n">
        <v>0</v>
      </c>
      <c r="G3" s="10" t="n">
        <v/>
      </c>
    </row>
    <row r="4">
      <c r="A4" s="9" t="n">
        <v>2003</v>
      </c>
      <c r="B4" s="9" t="n">
        <v>263</v>
      </c>
      <c r="C4" s="12" t="n">
        <v>551.5928</v>
      </c>
      <c r="D4" s="13" t="n">
        <v>1</v>
      </c>
      <c r="E4" s="10" t="n">
        <v>551.5928</v>
      </c>
      <c r="F4" s="10" t="n">
        <v>0</v>
      </c>
      <c r="G4" s="10" t="n">
        <v/>
      </c>
    </row>
    <row r="5">
      <c r="A5" s="9" t="n">
        <v>2004</v>
      </c>
      <c r="B5" s="9" t="n">
        <v>251</v>
      </c>
      <c r="C5" s="12" t="n">
        <v>642.6452</v>
      </c>
      <c r="D5" s="13" t="n">
        <v>1</v>
      </c>
      <c r="E5" s="10" t="n">
        <v>642.6452</v>
      </c>
      <c r="F5" s="10" t="n">
        <v>0</v>
      </c>
      <c r="G5" s="10" t="n">
        <v/>
      </c>
    </row>
    <row r="6">
      <c r="A6" s="9" t="n">
        <v>2005</v>
      </c>
      <c r="B6" s="9" t="n">
        <v>239</v>
      </c>
      <c r="C6" s="12" t="n">
        <v>641.3256</v>
      </c>
      <c r="D6" s="13" t="n">
        <v>1</v>
      </c>
      <c r="E6" s="10" t="n">
        <v>641.3256</v>
      </c>
      <c r="F6" s="10" t="n">
        <v>0</v>
      </c>
      <c r="G6" s="10" t="n">
        <v/>
      </c>
    </row>
    <row r="7">
      <c r="A7" s="9" t="n">
        <v>2006</v>
      </c>
      <c r="B7" s="9" t="n">
        <v>227</v>
      </c>
      <c r="C7" s="12" t="n">
        <v>497.4892</v>
      </c>
      <c r="D7" s="13" t="n">
        <v>1</v>
      </c>
      <c r="E7" s="10" t="n">
        <v>497.4892</v>
      </c>
      <c r="F7" s="10" t="n">
        <v>0</v>
      </c>
      <c r="G7" s="10" t="n">
        <v/>
      </c>
    </row>
    <row r="8">
      <c r="A8" s="9" t="n">
        <v>2007</v>
      </c>
      <c r="B8" s="9" t="n">
        <v>215</v>
      </c>
      <c r="C8" s="12" t="n">
        <v>476.3756</v>
      </c>
      <c r="D8" s="13" t="n">
        <v>1</v>
      </c>
      <c r="E8" s="10" t="n">
        <v>476.3756</v>
      </c>
      <c r="F8" s="10" t="n">
        <v>0</v>
      </c>
      <c r="G8" s="10" t="n">
        <v/>
      </c>
    </row>
    <row r="9">
      <c r="A9" s="9" t="n">
        <v>2008</v>
      </c>
      <c r="B9" s="9" t="n">
        <v>203</v>
      </c>
      <c r="C9" s="12" t="n">
        <v>328.5804000000001</v>
      </c>
      <c r="D9" s="13" t="n">
        <v>1</v>
      </c>
      <c r="E9" s="10" t="n">
        <v>328.5804000000001</v>
      </c>
      <c r="F9" s="10" t="n">
        <v>0</v>
      </c>
      <c r="G9" s="10" t="n">
        <v/>
      </c>
    </row>
    <row r="10">
      <c r="A10" s="9" t="n">
        <v>2009</v>
      </c>
      <c r="B10" s="9" t="n">
        <v>191</v>
      </c>
      <c r="C10" s="12" t="n">
        <v>321.9824</v>
      </c>
      <c r="D10" s="13" t="n">
        <v>1</v>
      </c>
      <c r="E10" s="10" t="n">
        <v>321.9824</v>
      </c>
      <c r="F10" s="10" t="n">
        <v>0</v>
      </c>
      <c r="G10" s="10" t="n">
        <v/>
      </c>
    </row>
    <row r="11">
      <c r="A11" s="9" t="n">
        <v>2010</v>
      </c>
      <c r="B11" s="9" t="n">
        <v>179</v>
      </c>
      <c r="C11" s="12" t="n">
        <v>271.8376</v>
      </c>
      <c r="D11" s="13" t="n">
        <v>1</v>
      </c>
      <c r="E11" s="10" t="n">
        <v>271.8376</v>
      </c>
      <c r="F11" s="10" t="n">
        <v>0</v>
      </c>
      <c r="G11" s="10" t="n">
        <v/>
      </c>
    </row>
    <row r="12">
      <c r="A12" s="9" t="n">
        <v>2011</v>
      </c>
      <c r="B12" s="9" t="n">
        <v>167</v>
      </c>
      <c r="C12" s="12" t="n">
        <v>345.7352</v>
      </c>
      <c r="D12" s="13" t="n">
        <v>1</v>
      </c>
      <c r="E12" s="10" t="n">
        <v>345.7352</v>
      </c>
      <c r="F12" s="10" t="n">
        <v>0</v>
      </c>
      <c r="G12" s="10" t="n">
        <v/>
      </c>
    </row>
    <row r="13">
      <c r="A13" s="9" t="n">
        <v>2012</v>
      </c>
      <c r="B13" s="9" t="n">
        <v>155</v>
      </c>
      <c r="C13" s="12" t="n">
        <v>261.2808</v>
      </c>
      <c r="D13" s="13" t="n">
        <v>1</v>
      </c>
      <c r="E13" s="10" t="n">
        <v>261.2808</v>
      </c>
      <c r="F13" s="10" t="n">
        <v>0</v>
      </c>
      <c r="G13" s="10" t="n">
        <v/>
      </c>
    </row>
    <row r="14">
      <c r="A14" s="9" t="n">
        <v>2013</v>
      </c>
      <c r="B14" s="9" t="n">
        <v>143</v>
      </c>
      <c r="C14" s="12" t="n">
        <v>291.6316</v>
      </c>
      <c r="D14" s="13" t="n">
        <v>1</v>
      </c>
      <c r="E14" s="10" t="n">
        <v>291.6316</v>
      </c>
      <c r="F14" s="10" t="n">
        <v>0</v>
      </c>
      <c r="G14" s="10" t="n">
        <v/>
      </c>
    </row>
    <row r="15">
      <c r="A15" s="9" t="n">
        <v>2014</v>
      </c>
      <c r="B15" s="9" t="n">
        <v>131</v>
      </c>
      <c r="C15" s="12" t="n">
        <v>455.2620000000001</v>
      </c>
      <c r="D15" s="13" t="n">
        <v>1</v>
      </c>
      <c r="E15" s="10" t="n">
        <v>455.2620000000001</v>
      </c>
      <c r="F15" s="10" t="n">
        <v>0</v>
      </c>
      <c r="G15" s="10" t="n">
        <v/>
      </c>
    </row>
    <row r="16">
      <c r="A16" s="9" t="n">
        <v>2015</v>
      </c>
      <c r="B16" s="9" t="n">
        <v>119</v>
      </c>
      <c r="C16" s="12" t="n">
        <v>333.8588</v>
      </c>
      <c r="D16" s="13" t="n">
        <v>1</v>
      </c>
      <c r="E16" s="10" t="n">
        <v>333.8588</v>
      </c>
      <c r="F16" s="10" t="n">
        <v>0</v>
      </c>
      <c r="G16" s="10" t="n">
        <v/>
      </c>
    </row>
    <row r="17">
      <c r="A17" s="9" t="n">
        <v>2016</v>
      </c>
      <c r="B17" s="9" t="n">
        <v>107</v>
      </c>
      <c r="C17" s="12" t="n">
        <v>390.6016</v>
      </c>
      <c r="D17" s="13" t="n">
        <v>0.9977</v>
      </c>
      <c r="E17" s="10" t="n">
        <v>389.70321632</v>
      </c>
      <c r="F17" s="10" t="n">
        <v>-0.8983836799999949</v>
      </c>
      <c r="G17" s="10" t="n">
        <v/>
      </c>
    </row>
    <row r="18">
      <c r="A18" s="9" t="n">
        <v>2017</v>
      </c>
      <c r="B18" s="9" t="n">
        <v>95</v>
      </c>
      <c r="C18" s="12" t="n">
        <v>310.1060000000001</v>
      </c>
      <c r="D18" s="13" t="n">
        <v>0.9977</v>
      </c>
      <c r="E18" s="10" t="n">
        <v>309.3927562000001</v>
      </c>
      <c r="F18" s="10" t="n">
        <v>-0.7132437999999865</v>
      </c>
      <c r="G18" s="10" t="n">
        <v/>
      </c>
    </row>
    <row r="19">
      <c r="A19" s="9" t="n">
        <v>2018</v>
      </c>
      <c r="B19" s="9" t="n">
        <v>83</v>
      </c>
      <c r="C19" s="12" t="n">
        <v>325.9412</v>
      </c>
      <c r="D19" s="13" t="n">
        <v>0.99690184</v>
      </c>
      <c r="E19" s="10" t="n">
        <v>324.9313820118081</v>
      </c>
      <c r="F19" s="10" t="n">
        <v>-1.009817988191969</v>
      </c>
      <c r="G19" s="10" t="n">
        <v/>
      </c>
    </row>
    <row r="20">
      <c r="A20" s="9" t="n">
        <v>2019</v>
      </c>
      <c r="B20" s="9" t="n">
        <v>71</v>
      </c>
      <c r="C20" s="12" t="n">
        <v>357.6116</v>
      </c>
      <c r="D20" s="13" t="n">
        <v>0.99690184</v>
      </c>
      <c r="E20" s="10" t="n">
        <v>356.503662045344</v>
      </c>
      <c r="F20" s="10" t="n">
        <v>-1.107937954655995</v>
      </c>
      <c r="G20" s="10" t="n">
        <v/>
      </c>
    </row>
    <row r="21">
      <c r="A21" s="9" t="n">
        <v>2020</v>
      </c>
      <c r="B21" s="9" t="n">
        <v>59</v>
      </c>
      <c r="C21" s="12" t="n">
        <v>370.8076</v>
      </c>
      <c r="D21" s="13" t="n">
        <v>0.996204008712</v>
      </c>
      <c r="E21" s="10" t="n">
        <v>369.4000175808758</v>
      </c>
      <c r="F21" s="10" t="n">
        <v>-1.407582419124196</v>
      </c>
      <c r="G21" s="10" t="n">
        <v/>
      </c>
    </row>
    <row r="22">
      <c r="A22" s="9" t="n">
        <v>2021</v>
      </c>
      <c r="B22" s="9" t="n">
        <v>47</v>
      </c>
      <c r="C22" s="12" t="n">
        <v>329.9</v>
      </c>
      <c r="D22" s="13" t="n">
        <v>0.996204008712</v>
      </c>
      <c r="E22" s="10" t="n">
        <v>328.6477024740888</v>
      </c>
      <c r="F22" s="10" t="n">
        <v>-1.252297525911217</v>
      </c>
      <c r="G22" s="10" t="n">
        <v/>
      </c>
    </row>
    <row r="23">
      <c r="A23" s="9" t="n">
        <v>2022</v>
      </c>
      <c r="B23" s="9" t="n">
        <v>35</v>
      </c>
      <c r="C23" s="12" t="n">
        <v>298.2296</v>
      </c>
      <c r="D23" s="13" t="n">
        <v>0.9970009719189695</v>
      </c>
      <c r="E23" s="10" t="n">
        <v>297.3352010550055</v>
      </c>
      <c r="F23" s="10" t="n">
        <v>-0.8943989449944638</v>
      </c>
      <c r="G23" s="10" t="n">
        <v/>
      </c>
    </row>
    <row r="24">
      <c r="A24" s="9" t="n">
        <v>2023</v>
      </c>
      <c r="B24" s="9" t="n">
        <v>23</v>
      </c>
      <c r="C24" s="12" t="n">
        <v>304.8276</v>
      </c>
      <c r="D24" s="13" t="n">
        <v>0.9970009719189695</v>
      </c>
      <c r="E24" s="10" t="n">
        <v>303.9134134677269</v>
      </c>
      <c r="F24" s="10" t="n">
        <v>-0.9141865322731064</v>
      </c>
      <c r="G24" s="10" t="n">
        <v/>
      </c>
    </row>
    <row r="25">
      <c r="A25" s="9" t="n">
        <v>2024</v>
      </c>
      <c r="B25" s="9" t="n">
        <v>11</v>
      </c>
      <c r="C25" s="12" t="n">
        <v>256.0024</v>
      </c>
      <c r="D25" s="13" t="n">
        <v>1.114647086605408</v>
      </c>
      <c r="E25" s="10" t="n">
        <v>285.3523293239924</v>
      </c>
      <c r="F25" s="10" t="n">
        <v>29.34992932399234</v>
      </c>
      <c r="G25" s="10" t="n">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Reported</t>
        </is>
      </c>
      <c r="H1" s="8" t="inlineStr">
        <is>
          <t>Ultimate</t>
        </is>
      </c>
      <c r="I1" s="8" t="inlineStr">
        <is>
          <t>IBNR</t>
        </is>
      </c>
      <c r="J1" s="8" t="inlineStr">
        <is>
          <t>Unpaid</t>
        </is>
      </c>
    </row>
    <row r="2">
      <c r="A2" s="9" t="n">
        <v>2001</v>
      </c>
      <c r="B2" s="9" t="n">
        <v>287</v>
      </c>
      <c r="C2" s="12" t="n">
        <v>700.775874480892</v>
      </c>
      <c r="D2" s="13" t="n">
        <v>1</v>
      </c>
      <c r="E2" s="14" t="n">
        <v>0</v>
      </c>
      <c r="F2" s="10" t="n">
        <v>0</v>
      </c>
      <c r="G2" s="12" t="n">
        <v>700.7076000000001</v>
      </c>
      <c r="H2" s="10" t="n">
        <v>700.7076000000001</v>
      </c>
      <c r="I2" s="10" t="n">
        <v>0</v>
      </c>
      <c r="J2" s="10" t="n">
        <v/>
      </c>
    </row>
    <row r="3">
      <c r="A3" s="9" t="n">
        <v>2002</v>
      </c>
      <c r="B3" s="9" t="n">
        <v>275</v>
      </c>
      <c r="C3" s="12" t="n">
        <v>683.1663101357999</v>
      </c>
      <c r="D3" s="13" t="n">
        <v>1</v>
      </c>
      <c r="E3" s="14" t="n">
        <v>0</v>
      </c>
      <c r="F3" s="10" t="n">
        <v>0</v>
      </c>
      <c r="G3" s="12" t="n">
        <v>651.8824000000001</v>
      </c>
      <c r="H3" s="10" t="n">
        <v>651.8824000000001</v>
      </c>
      <c r="I3" s="10" t="n">
        <v>0</v>
      </c>
      <c r="J3" s="10" t="n">
        <v/>
      </c>
    </row>
    <row r="4">
      <c r="A4" s="9" t="n">
        <v>2003</v>
      </c>
      <c r="B4" s="9" t="n">
        <v>263</v>
      </c>
      <c r="C4" s="12" t="n">
        <v>648.4432609290001</v>
      </c>
      <c r="D4" s="13" t="n">
        <v>1</v>
      </c>
      <c r="E4" s="14" t="n">
        <v>0</v>
      </c>
      <c r="F4" s="10" t="n">
        <v>0</v>
      </c>
      <c r="G4" s="12" t="n">
        <v>551.5928</v>
      </c>
      <c r="H4" s="10" t="n">
        <v>551.5928</v>
      </c>
      <c r="I4" s="10" t="n">
        <v>0</v>
      </c>
      <c r="J4" s="10" t="n">
        <v/>
      </c>
    </row>
    <row r="5">
      <c r="A5" s="9" t="n">
        <v>2004</v>
      </c>
      <c r="B5" s="9" t="n">
        <v>251</v>
      </c>
      <c r="C5" s="12" t="n">
        <v>627.83790652</v>
      </c>
      <c r="D5" s="13" t="n">
        <v>1</v>
      </c>
      <c r="E5" s="14" t="n">
        <v>0</v>
      </c>
      <c r="F5" s="10" t="n">
        <v>0</v>
      </c>
      <c r="G5" s="12" t="n">
        <v>642.6452</v>
      </c>
      <c r="H5" s="10" t="n">
        <v>642.6452</v>
      </c>
      <c r="I5" s="10" t="n">
        <v>0</v>
      </c>
      <c r="J5" s="10" t="n">
        <v/>
      </c>
    </row>
    <row r="6">
      <c r="A6" s="9" t="n">
        <v>2005</v>
      </c>
      <c r="B6" s="9" t="n">
        <v>239</v>
      </c>
      <c r="C6" s="12" t="n">
        <v>623.61426984</v>
      </c>
      <c r="D6" s="13" t="n">
        <v>1</v>
      </c>
      <c r="E6" s="14" t="n">
        <v>0</v>
      </c>
      <c r="F6" s="10" t="n">
        <v>0</v>
      </c>
      <c r="G6" s="12" t="n">
        <v>641.3256</v>
      </c>
      <c r="H6" s="10" t="n">
        <v>641.3256</v>
      </c>
      <c r="I6" s="10" t="n">
        <v>0</v>
      </c>
      <c r="J6" s="10" t="n">
        <v/>
      </c>
    </row>
    <row r="7">
      <c r="A7" s="9" t="n">
        <v>2006</v>
      </c>
      <c r="B7" s="9" t="n">
        <v>227</v>
      </c>
      <c r="C7" s="12" t="n">
        <v>606.7448358759</v>
      </c>
      <c r="D7" s="13" t="n">
        <v>1</v>
      </c>
      <c r="E7" s="14" t="n">
        <v>0</v>
      </c>
      <c r="F7" s="10" t="n">
        <v>0</v>
      </c>
      <c r="G7" s="12" t="n">
        <v>497.4892</v>
      </c>
      <c r="H7" s="10" t="n">
        <v>497.4892</v>
      </c>
      <c r="I7" s="10" t="n">
        <v>0</v>
      </c>
      <c r="J7" s="10" t="n">
        <v/>
      </c>
    </row>
    <row r="8">
      <c r="A8" s="9" t="n">
        <v>2007</v>
      </c>
      <c r="B8" s="9" t="n">
        <v>215</v>
      </c>
      <c r="C8" s="12" t="n">
        <v>550.471610298</v>
      </c>
      <c r="D8" s="13" t="n">
        <v>1</v>
      </c>
      <c r="E8" s="14" t="n">
        <v>0</v>
      </c>
      <c r="F8" s="10" t="n">
        <v>0</v>
      </c>
      <c r="G8" s="12" t="n">
        <v>476.3756</v>
      </c>
      <c r="H8" s="10" t="n">
        <v>476.3756</v>
      </c>
      <c r="I8" s="10" t="n">
        <v>0</v>
      </c>
      <c r="J8" s="10" t="n">
        <v/>
      </c>
    </row>
    <row r="9">
      <c r="A9" s="9" t="n">
        <v>2008</v>
      </c>
      <c r="B9" s="9" t="n">
        <v>203</v>
      </c>
      <c r="C9" s="12" t="n">
        <v>444.0969799109999</v>
      </c>
      <c r="D9" s="13" t="n">
        <v>1</v>
      </c>
      <c r="E9" s="14" t="n">
        <v>0</v>
      </c>
      <c r="F9" s="10" t="n">
        <v>0</v>
      </c>
      <c r="G9" s="12" t="n">
        <v>328.5804000000001</v>
      </c>
      <c r="H9" s="10" t="n">
        <v>328.5804000000001</v>
      </c>
      <c r="I9" s="10" t="n">
        <v>0</v>
      </c>
      <c r="J9" s="10" t="n">
        <v/>
      </c>
    </row>
    <row r="10">
      <c r="A10" s="9" t="n">
        <v>2009</v>
      </c>
      <c r="B10" s="9" t="n">
        <v>191</v>
      </c>
      <c r="C10" s="12" t="n">
        <v>384.4019144995</v>
      </c>
      <c r="D10" s="13" t="n">
        <v>1</v>
      </c>
      <c r="E10" s="14" t="n">
        <v>0</v>
      </c>
      <c r="F10" s="10" t="n">
        <v>0</v>
      </c>
      <c r="G10" s="12" t="n">
        <v>321.9824</v>
      </c>
      <c r="H10" s="10" t="n">
        <v>321.9824</v>
      </c>
      <c r="I10" s="10" t="n">
        <v>0</v>
      </c>
      <c r="J10" s="10" t="n">
        <v/>
      </c>
    </row>
    <row r="11">
      <c r="A11" s="9" t="n">
        <v>2010</v>
      </c>
      <c r="B11" s="9" t="n">
        <v>179</v>
      </c>
      <c r="C11" s="12" t="n">
        <v>314.2013025147</v>
      </c>
      <c r="D11" s="13" t="n">
        <v>1</v>
      </c>
      <c r="E11" s="14" t="n">
        <v>0</v>
      </c>
      <c r="F11" s="10" t="n">
        <v>0</v>
      </c>
      <c r="G11" s="12" t="n">
        <v>271.8376</v>
      </c>
      <c r="H11" s="10" t="n">
        <v>271.8376</v>
      </c>
      <c r="I11" s="10" t="n">
        <v>0</v>
      </c>
      <c r="J11" s="10" t="n">
        <v/>
      </c>
    </row>
    <row r="12">
      <c r="A12" s="9" t="n">
        <v>2011</v>
      </c>
      <c r="B12" s="9" t="n">
        <v>167</v>
      </c>
      <c r="C12" s="12" t="n">
        <v>319.3283418408</v>
      </c>
      <c r="D12" s="13" t="n">
        <v>1</v>
      </c>
      <c r="E12" s="14" t="n">
        <v>0</v>
      </c>
      <c r="F12" s="10" t="n">
        <v>0</v>
      </c>
      <c r="G12" s="12" t="n">
        <v>345.7352</v>
      </c>
      <c r="H12" s="10" t="n">
        <v>345.7352</v>
      </c>
      <c r="I12" s="10" t="n">
        <v>0</v>
      </c>
      <c r="J12" s="10" t="n">
        <v/>
      </c>
    </row>
    <row r="13">
      <c r="A13" s="9" t="n">
        <v>2012</v>
      </c>
      <c r="B13" s="9" t="n">
        <v>155</v>
      </c>
      <c r="C13" s="12" t="n">
        <v>298.965375136</v>
      </c>
      <c r="D13" s="13" t="n">
        <v>1</v>
      </c>
      <c r="E13" s="14" t="n">
        <v>0</v>
      </c>
      <c r="F13" s="10" t="n">
        <v>0</v>
      </c>
      <c r="G13" s="12" t="n">
        <v>261.2808</v>
      </c>
      <c r="H13" s="10" t="n">
        <v>261.2808</v>
      </c>
      <c r="I13" s="10" t="n">
        <v>0</v>
      </c>
      <c r="J13" s="10" t="n">
        <v/>
      </c>
    </row>
    <row r="14">
      <c r="A14" s="9" t="n">
        <v>2013</v>
      </c>
      <c r="B14" s="9" t="n">
        <v>143</v>
      </c>
      <c r="C14" s="12" t="n">
        <v>305.7471685908</v>
      </c>
      <c r="D14" s="13" t="n">
        <v>1</v>
      </c>
      <c r="E14" s="14" t="n">
        <v>0</v>
      </c>
      <c r="F14" s="10" t="n">
        <v>0</v>
      </c>
      <c r="G14" s="12" t="n">
        <v>291.6316</v>
      </c>
      <c r="H14" s="10" t="n">
        <v>291.6316</v>
      </c>
      <c r="I14" s="10" t="n">
        <v>0</v>
      </c>
      <c r="J14" s="10" t="n">
        <v/>
      </c>
    </row>
    <row r="15">
      <c r="A15" s="9" t="n">
        <v>2014</v>
      </c>
      <c r="B15" s="9" t="n">
        <v>131</v>
      </c>
      <c r="C15" s="12" t="n">
        <v>341.329398159</v>
      </c>
      <c r="D15" s="13" t="n">
        <v>1</v>
      </c>
      <c r="E15" s="14" t="n">
        <v>0</v>
      </c>
      <c r="F15" s="10" t="n">
        <v>0</v>
      </c>
      <c r="G15" s="12" t="n">
        <v>455.2620000000001</v>
      </c>
      <c r="H15" s="10" t="n">
        <v>455.2620000000001</v>
      </c>
      <c r="I15" s="10" t="n">
        <v>0</v>
      </c>
      <c r="J15" s="10" t="n">
        <v/>
      </c>
    </row>
    <row r="16">
      <c r="A16" s="9" t="n">
        <v>2015</v>
      </c>
      <c r="B16" s="9" t="n">
        <v>119</v>
      </c>
      <c r="C16" s="12" t="n">
        <v>367.358834304</v>
      </c>
      <c r="D16" s="13" t="n">
        <v>1</v>
      </c>
      <c r="E16" s="14" t="n">
        <v>0</v>
      </c>
      <c r="F16" s="10" t="n">
        <v>0</v>
      </c>
      <c r="G16" s="12" t="n">
        <v>333.8588</v>
      </c>
      <c r="H16" s="10" t="n">
        <v>333.8588</v>
      </c>
      <c r="I16" s="10" t="n">
        <v>0</v>
      </c>
      <c r="J16" s="10" t="n">
        <v/>
      </c>
    </row>
    <row r="17">
      <c r="A17" s="9" t="n">
        <v>2016</v>
      </c>
      <c r="B17" s="9" t="n">
        <v>107</v>
      </c>
      <c r="C17" s="12" t="n">
        <v>401.5315549436</v>
      </c>
      <c r="D17" s="13" t="n">
        <v>0.9977</v>
      </c>
      <c r="E17" s="14" t="n">
        <v>-0.002305302195048542</v>
      </c>
      <c r="F17" s="10" t="n">
        <v>-0.9256515749927416</v>
      </c>
      <c r="G17" s="12" t="n">
        <v>390.6016</v>
      </c>
      <c r="H17" s="10" t="n">
        <v>389.6759484250073</v>
      </c>
      <c r="I17" s="10" t="n">
        <v>-0.9256515749927416</v>
      </c>
      <c r="J17" s="10" t="n">
        <v/>
      </c>
    </row>
    <row r="18">
      <c r="A18" s="9" t="n">
        <v>2017</v>
      </c>
      <c r="B18" s="9" t="n">
        <v>95</v>
      </c>
      <c r="C18" s="12" t="n">
        <v>351.797848029</v>
      </c>
      <c r="D18" s="13" t="n">
        <v>0.9977</v>
      </c>
      <c r="E18" s="14" t="n">
        <v>-0.002305302195048542</v>
      </c>
      <c r="F18" s="10" t="n">
        <v>-0.8110003512746289</v>
      </c>
      <c r="G18" s="12" t="n">
        <v>310.1060000000001</v>
      </c>
      <c r="H18" s="10" t="n">
        <v>309.2949996487254</v>
      </c>
      <c r="I18" s="10" t="n">
        <v>-0.8110003512746289</v>
      </c>
      <c r="J18" s="10" t="n">
        <v/>
      </c>
    </row>
    <row r="19">
      <c r="A19" s="9" t="n">
        <v>2018</v>
      </c>
      <c r="B19" s="9" t="n">
        <v>83</v>
      </c>
      <c r="C19" s="12" t="n">
        <v>349.5307063275</v>
      </c>
      <c r="D19" s="13" t="n">
        <v>0.99690184</v>
      </c>
      <c r="E19" s="14" t="n">
        <v>-0.003107788425789293</v>
      </c>
      <c r="F19" s="10" t="n">
        <v>-1.08626748358256</v>
      </c>
      <c r="G19" s="12" t="n">
        <v>325.9412</v>
      </c>
      <c r="H19" s="10" t="n">
        <v>324.8549325164175</v>
      </c>
      <c r="I19" s="10" t="n">
        <v>-1.08626748358256</v>
      </c>
      <c r="J19" s="10" t="n">
        <v/>
      </c>
    </row>
    <row r="20">
      <c r="A20" s="9" t="n">
        <v>2019</v>
      </c>
      <c r="B20" s="9" t="n">
        <v>71</v>
      </c>
      <c r="C20" s="12" t="n">
        <v>337.5429992505</v>
      </c>
      <c r="D20" s="13" t="n">
        <v>0.99690184</v>
      </c>
      <c r="E20" s="14" t="n">
        <v>-0.003107788425789293</v>
      </c>
      <c r="F20" s="10" t="n">
        <v>-1.049012226276886</v>
      </c>
      <c r="G20" s="12" t="n">
        <v>357.6116</v>
      </c>
      <c r="H20" s="10" t="n">
        <v>356.5625877737231</v>
      </c>
      <c r="I20" s="10" t="n">
        <v>-1.049012226276886</v>
      </c>
      <c r="J20" s="10" t="n">
        <v/>
      </c>
    </row>
    <row r="21">
      <c r="A21" s="9" t="n">
        <v>2020</v>
      </c>
      <c r="B21" s="9" t="n">
        <v>59</v>
      </c>
      <c r="C21" s="12" t="n">
        <v>358.1209218321</v>
      </c>
      <c r="D21" s="13" t="n">
        <v>0.996204008712</v>
      </c>
      <c r="E21" s="14" t="n">
        <v>-0.003810455744810648</v>
      </c>
      <c r="F21" s="10" t="n">
        <v>-1.364603923932009</v>
      </c>
      <c r="G21" s="12" t="n">
        <v>370.8076</v>
      </c>
      <c r="H21" s="10" t="n">
        <v>369.442996076068</v>
      </c>
      <c r="I21" s="10" t="n">
        <v>-1.364603923932009</v>
      </c>
      <c r="J21" s="10" t="n">
        <v/>
      </c>
    </row>
    <row r="22">
      <c r="A22" s="9" t="n">
        <v>2021</v>
      </c>
      <c r="B22" s="9" t="n">
        <v>47</v>
      </c>
      <c r="C22" s="12" t="n">
        <v>360.1120188906</v>
      </c>
      <c r="D22" s="13" t="n">
        <v>0.996204008712</v>
      </c>
      <c r="E22" s="14" t="n">
        <v>-0.003810455744810648</v>
      </c>
      <c r="F22" s="10" t="n">
        <v>-1.37219091115702</v>
      </c>
      <c r="G22" s="12" t="n">
        <v>329.9</v>
      </c>
      <c r="H22" s="10" t="n">
        <v>328.527809088843</v>
      </c>
      <c r="I22" s="10" t="n">
        <v>-1.37219091115702</v>
      </c>
      <c r="J22" s="10" t="n">
        <v/>
      </c>
    </row>
    <row r="23">
      <c r="A23" s="9" t="n">
        <v>2022</v>
      </c>
      <c r="B23" s="9" t="n">
        <v>35</v>
      </c>
      <c r="C23" s="12" t="n">
        <v>339.9814749044</v>
      </c>
      <c r="D23" s="13" t="n">
        <v>0.9970009719189695</v>
      </c>
      <c r="E23" s="14" t="n">
        <v>-0.003008049305366356</v>
      </c>
      <c r="F23" s="10" t="n">
        <v>-1.022681039423617</v>
      </c>
      <c r="G23" s="12" t="n">
        <v>298.2296</v>
      </c>
      <c r="H23" s="10" t="n">
        <v>297.2069189605764</v>
      </c>
      <c r="I23" s="10" t="n">
        <v>-1.022681039423617</v>
      </c>
      <c r="J23" s="10" t="n">
        <v/>
      </c>
    </row>
    <row r="24">
      <c r="A24" s="9" t="n">
        <v>2023</v>
      </c>
      <c r="B24" s="9" t="n">
        <v>23</v>
      </c>
      <c r="C24" s="12" t="n">
        <v>317.4343255127</v>
      </c>
      <c r="D24" s="13" t="n">
        <v>0.9970009719189695</v>
      </c>
      <c r="E24" s="14" t="n">
        <v>-0.003008049305366356</v>
      </c>
      <c r="F24" s="10" t="n">
        <v>-0.954858102357889</v>
      </c>
      <c r="G24" s="12" t="n">
        <v>304.8276</v>
      </c>
      <c r="H24" s="10" t="n">
        <v>303.8727418976421</v>
      </c>
      <c r="I24" s="10" t="n">
        <v>-0.954858102357889</v>
      </c>
      <c r="J24" s="10" t="n">
        <v/>
      </c>
    </row>
    <row r="25">
      <c r="A25" s="9" t="n">
        <v>2024</v>
      </c>
      <c r="B25" s="9" t="n">
        <v>11</v>
      </c>
      <c r="C25" s="12" t="n">
        <v>292.3526117534</v>
      </c>
      <c r="D25" s="13" t="n">
        <v>1.114647086605408</v>
      </c>
      <c r="E25" s="14" t="n">
        <v>0.1028550542885812</v>
      </c>
      <c r="F25" s="10" t="n">
        <v>30.06994375330447</v>
      </c>
      <c r="G25" s="12" t="n">
        <v>256.0024</v>
      </c>
      <c r="H25" s="10" t="n">
        <v>286.0723437533045</v>
      </c>
      <c r="I25" s="10" t="n">
        <v>30.06994375330447</v>
      </c>
      <c r="J25" s="10" t="n">
        <v/>
      </c>
    </row>
    <row r="26"/>
    <row r="27">
      <c r="A27" s="5" t="inlineStr">
        <is>
          <t>Total</t>
        </is>
      </c>
      <c r="C27" s="10">
        <f>SUM(C2:C25)</f>
        <v/>
      </c>
      <c r="E27" s="14">
        <f>SUM(F2:F25)/SUM(C2:C25)</f>
        <v/>
      </c>
      <c r="F27" s="10">
        <f>SUM(F2:F25)</f>
        <v/>
      </c>
      <c r="G27" s="10">
        <f>SUM(G2:G25)</f>
        <v/>
      </c>
      <c r="H27" s="10">
        <f>SUM(H2:H25)</f>
        <v/>
      </c>
      <c r="I27" s="10">
        <f>SUM(I2:I25)</f>
        <v/>
      </c>
      <c r="J27" s="10">
        <f>SUM(J2:J25)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5" t="inlineStr">
        <is>
          <t>None</t>
        </is>
      </c>
      <c r="C2" s="12" t="n">
        <v>316377369.9688</v>
      </c>
      <c r="D2" s="13" t="n">
        <v>2.215e-06</v>
      </c>
      <c r="E2" s="12" t="n">
        <v>700.775874480892</v>
      </c>
    </row>
    <row r="3">
      <c r="A3" s="9" t="n">
        <v>2002</v>
      </c>
      <c r="B3" s="5" t="inlineStr">
        <is>
          <t>None</t>
        </is>
      </c>
      <c r="C3" s="12" t="n">
        <v>322704917.4</v>
      </c>
      <c r="D3" s="13" t="n">
        <v>2.117e-06</v>
      </c>
      <c r="E3" s="12" t="n">
        <v>683.1663101357999</v>
      </c>
    </row>
    <row r="4">
      <c r="A4" s="9" t="n">
        <v>2003</v>
      </c>
      <c r="B4" s="5" t="inlineStr">
        <is>
          <t>None</t>
        </is>
      </c>
      <c r="C4" s="12" t="n">
        <v>329159015.7</v>
      </c>
      <c r="D4" s="13" t="n">
        <v>1.97e-06</v>
      </c>
      <c r="E4" s="12" t="n">
        <v>648.4432609290001</v>
      </c>
    </row>
    <row r="5">
      <c r="A5" s="9" t="n">
        <v>2004</v>
      </c>
      <c r="B5" s="5" t="inlineStr">
        <is>
          <t>None</t>
        </is>
      </c>
      <c r="C5" s="12" t="n">
        <v>335742196</v>
      </c>
      <c r="D5" s="13" t="n">
        <v>1.87e-06</v>
      </c>
      <c r="E5" s="12" t="n">
        <v>627.83790652</v>
      </c>
    </row>
    <row r="6">
      <c r="A6" s="9" t="n">
        <v>2005</v>
      </c>
      <c r="B6" s="5" t="inlineStr">
        <is>
          <t>None</t>
        </is>
      </c>
      <c r="C6" s="12" t="n">
        <v>342457040</v>
      </c>
      <c r="D6" s="13" t="n">
        <v>1.821e-06</v>
      </c>
      <c r="E6" s="12" t="n">
        <v>623.61426984</v>
      </c>
    </row>
    <row r="7">
      <c r="A7" s="9" t="n">
        <v>2006</v>
      </c>
      <c r="B7" s="5" t="inlineStr">
        <is>
          <t>None</t>
        </is>
      </c>
      <c r="C7" s="12" t="n">
        <v>349306180.7</v>
      </c>
      <c r="D7" s="13" t="n">
        <v>1.737e-06</v>
      </c>
      <c r="E7" s="12" t="n">
        <v>606.7448358759</v>
      </c>
    </row>
    <row r="8">
      <c r="A8" s="9" t="n">
        <v>2007</v>
      </c>
      <c r="B8" s="5" t="inlineStr">
        <is>
          <t>None</t>
        </is>
      </c>
      <c r="C8" s="12" t="n">
        <v>356292304.4</v>
      </c>
      <c r="D8" s="13" t="n">
        <v>1.545e-06</v>
      </c>
      <c r="E8" s="12" t="n">
        <v>550.471610298</v>
      </c>
    </row>
    <row r="9">
      <c r="A9" s="9" t="n">
        <v>2008</v>
      </c>
      <c r="B9" s="5" t="inlineStr">
        <is>
          <t>None</t>
        </is>
      </c>
      <c r="C9" s="12" t="n">
        <v>363418150.5</v>
      </c>
      <c r="D9" s="13" t="n">
        <v>1.222e-06</v>
      </c>
      <c r="E9" s="12" t="n">
        <v>444.0969799109999</v>
      </c>
    </row>
    <row r="10">
      <c r="A10" s="9" t="n">
        <v>2009</v>
      </c>
      <c r="B10" s="5" t="inlineStr">
        <is>
          <t>None</t>
        </is>
      </c>
      <c r="C10" s="12" t="n">
        <v>370686513.5</v>
      </c>
      <c r="D10" s="13" t="n">
        <v>1.037e-06</v>
      </c>
      <c r="E10" s="12" t="n">
        <v>384.4019144995</v>
      </c>
    </row>
    <row r="11">
      <c r="A11" s="9" t="n">
        <v>2010</v>
      </c>
      <c r="B11" s="5" t="inlineStr">
        <is>
          <t>None</t>
        </is>
      </c>
      <c r="C11" s="12" t="n">
        <v>378100243.7</v>
      </c>
      <c r="D11" s="13" t="n">
        <v>8.31e-07</v>
      </c>
      <c r="E11" s="12" t="n">
        <v>314.2013025147</v>
      </c>
    </row>
    <row r="12">
      <c r="A12" s="9" t="n">
        <v>2011</v>
      </c>
      <c r="B12" s="5" t="inlineStr">
        <is>
          <t>None</t>
        </is>
      </c>
      <c r="C12" s="12" t="n">
        <v>385662248.6</v>
      </c>
      <c r="D12" s="13" t="n">
        <v>8.280000000000001e-07</v>
      </c>
      <c r="E12" s="12" t="n">
        <v>319.3283418408</v>
      </c>
    </row>
    <row r="13">
      <c r="A13" s="9" t="n">
        <v>2012</v>
      </c>
      <c r="B13" s="5" t="inlineStr">
        <is>
          <t>None</t>
        </is>
      </c>
      <c r="C13" s="12" t="n">
        <v>393375493.6</v>
      </c>
      <c r="D13" s="13" t="n">
        <v>7.6e-07</v>
      </c>
      <c r="E13" s="12" t="n">
        <v>298.965375136</v>
      </c>
    </row>
    <row r="14">
      <c r="A14" s="9" t="n">
        <v>2013</v>
      </c>
      <c r="B14" s="5" t="inlineStr">
        <is>
          <t>None</t>
        </is>
      </c>
      <c r="C14" s="12" t="n">
        <v>401243003.4</v>
      </c>
      <c r="D14" s="13" t="n">
        <v>7.62e-07</v>
      </c>
      <c r="E14" s="12" t="n">
        <v>305.7471685908</v>
      </c>
    </row>
    <row r="15">
      <c r="A15" s="9" t="n">
        <v>2014</v>
      </c>
      <c r="B15" s="5" t="inlineStr">
        <is>
          <t>None</t>
        </is>
      </c>
      <c r="C15" s="12" t="n">
        <v>409267863.5</v>
      </c>
      <c r="D15" s="13" t="n">
        <v>8.34e-07</v>
      </c>
      <c r="E15" s="12" t="n">
        <v>341.329398159</v>
      </c>
    </row>
    <row r="16">
      <c r="A16" s="9" t="n">
        <v>2015</v>
      </c>
      <c r="B16" s="5" t="inlineStr">
        <is>
          <t>None</t>
        </is>
      </c>
      <c r="C16" s="12" t="n">
        <v>417453220.8</v>
      </c>
      <c r="D16" s="13" t="n">
        <v>8.8e-07</v>
      </c>
      <c r="E16" s="12" t="n">
        <v>367.358834304</v>
      </c>
    </row>
    <row r="17">
      <c r="A17" s="9" t="n">
        <v>2016</v>
      </c>
      <c r="B17" s="5" t="inlineStr">
        <is>
          <t>None</t>
        </is>
      </c>
      <c r="C17" s="12" t="n">
        <v>425802285.2</v>
      </c>
      <c r="D17" s="13" t="n">
        <v>9.43e-07</v>
      </c>
      <c r="E17" s="12" t="n">
        <v>401.5315549436</v>
      </c>
    </row>
    <row r="18">
      <c r="A18" s="9" t="n">
        <v>2017</v>
      </c>
      <c r="B18" s="5" t="inlineStr">
        <is>
          <t>None</t>
        </is>
      </c>
      <c r="C18" s="12" t="n">
        <v>434318330.9</v>
      </c>
      <c r="D18" s="13" t="n">
        <v>8.1e-07</v>
      </c>
      <c r="E18" s="12" t="n">
        <v>351.797848029</v>
      </c>
    </row>
    <row r="19">
      <c r="A19" s="9" t="n">
        <v>2018</v>
      </c>
      <c r="B19" s="5" t="inlineStr">
        <is>
          <t>None</t>
        </is>
      </c>
      <c r="C19" s="12" t="n">
        <v>443004697.5</v>
      </c>
      <c r="D19" s="13" t="n">
        <v>7.89e-07</v>
      </c>
      <c r="E19" s="12" t="n">
        <v>349.5307063275</v>
      </c>
    </row>
    <row r="20">
      <c r="A20" s="9" t="n">
        <v>2019</v>
      </c>
      <c r="B20" s="5" t="inlineStr">
        <is>
          <t>None</t>
        </is>
      </c>
      <c r="C20" s="12" t="n">
        <v>451864791.5</v>
      </c>
      <c r="D20" s="13" t="n">
        <v>7.469999999999999e-07</v>
      </c>
      <c r="E20" s="12" t="n">
        <v>337.5429992505</v>
      </c>
    </row>
    <row r="21">
      <c r="A21" s="9" t="n">
        <v>2020</v>
      </c>
      <c r="B21" s="5" t="inlineStr">
        <is>
          <t>None</t>
        </is>
      </c>
      <c r="C21" s="12" t="n">
        <v>460902087.3</v>
      </c>
      <c r="D21" s="13" t="n">
        <v>7.77e-07</v>
      </c>
      <c r="E21" s="12" t="n">
        <v>358.1209218321</v>
      </c>
    </row>
    <row r="22">
      <c r="A22" s="9" t="n">
        <v>2021</v>
      </c>
      <c r="B22" s="5" t="inlineStr">
        <is>
          <t>None</t>
        </is>
      </c>
      <c r="C22" s="12" t="n">
        <v>470120129.1</v>
      </c>
      <c r="D22" s="13" t="n">
        <v>7.66e-07</v>
      </c>
      <c r="E22" s="12" t="n">
        <v>360.1120188906</v>
      </c>
    </row>
    <row r="23">
      <c r="A23" s="9" t="n">
        <v>2022</v>
      </c>
      <c r="B23" s="5" t="inlineStr">
        <is>
          <t>None</t>
        </is>
      </c>
      <c r="C23" s="12" t="n">
        <v>479522531.6</v>
      </c>
      <c r="D23" s="13" t="n">
        <v>7.09e-07</v>
      </c>
      <c r="E23" s="12" t="n">
        <v>339.9814749044</v>
      </c>
    </row>
    <row r="24">
      <c r="A24" s="9" t="n">
        <v>2023</v>
      </c>
      <c r="B24" s="5" t="inlineStr">
        <is>
          <t>None</t>
        </is>
      </c>
      <c r="C24" s="12" t="n">
        <v>489112982.3</v>
      </c>
      <c r="D24" s="13" t="n">
        <v>6.489999999999998e-07</v>
      </c>
      <c r="E24" s="12" t="n">
        <v>317.4343255127</v>
      </c>
    </row>
    <row r="25">
      <c r="A25" s="9" t="n">
        <v>2024</v>
      </c>
      <c r="B25" s="5" t="inlineStr">
        <is>
          <t>None</t>
        </is>
      </c>
      <c r="C25" s="12" t="n">
        <v>498895241.9</v>
      </c>
      <c r="D25" s="13" t="n">
        <v>5.86e-07</v>
      </c>
      <c r="E25" s="12" t="n">
        <v>292.3526117534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2" t="n">
        <v>316377369.9688</v>
      </c>
      <c r="D2" s="13" t="n">
        <v>2.215e-06</v>
      </c>
      <c r="E2" s="12" t="n">
        <v>700.775874480892</v>
      </c>
    </row>
    <row r="3">
      <c r="A3" s="9" t="n">
        <v>2002</v>
      </c>
      <c r="B3" s="9" t="n">
        <v>275</v>
      </c>
      <c r="C3" s="12" t="n">
        <v>322704917.4</v>
      </c>
      <c r="D3" s="13" t="n">
        <v>2.117e-06</v>
      </c>
      <c r="E3" s="12" t="n">
        <v>683.1663101357999</v>
      </c>
    </row>
    <row r="4">
      <c r="A4" s="9" t="n">
        <v>2003</v>
      </c>
      <c r="B4" s="9" t="n">
        <v>263</v>
      </c>
      <c r="C4" s="12" t="n">
        <v>329159015.7</v>
      </c>
      <c r="D4" s="13" t="n">
        <v>1.97e-06</v>
      </c>
      <c r="E4" s="12" t="n">
        <v>648.4432609290001</v>
      </c>
    </row>
    <row r="5">
      <c r="A5" s="9" t="n">
        <v>2004</v>
      </c>
      <c r="B5" s="9" t="n">
        <v>251</v>
      </c>
      <c r="C5" s="12" t="n">
        <v>335742196</v>
      </c>
      <c r="D5" s="13" t="n">
        <v>1.87e-06</v>
      </c>
      <c r="E5" s="12" t="n">
        <v>627.83790652</v>
      </c>
    </row>
    <row r="6">
      <c r="A6" s="9" t="n">
        <v>2005</v>
      </c>
      <c r="B6" s="9" t="n">
        <v>239</v>
      </c>
      <c r="C6" s="12" t="n">
        <v>342457040</v>
      </c>
      <c r="D6" s="13" t="n">
        <v>1.821e-06</v>
      </c>
      <c r="E6" s="12" t="n">
        <v>623.61426984</v>
      </c>
    </row>
    <row r="7">
      <c r="A7" s="9" t="n">
        <v>2006</v>
      </c>
      <c r="B7" s="9" t="n">
        <v>227</v>
      </c>
      <c r="C7" s="12" t="n">
        <v>349306180.7</v>
      </c>
      <c r="D7" s="13" t="n">
        <v>1.737e-06</v>
      </c>
      <c r="E7" s="12" t="n">
        <v>606.7448358759</v>
      </c>
    </row>
    <row r="8">
      <c r="A8" s="9" t="n">
        <v>2007</v>
      </c>
      <c r="B8" s="9" t="n">
        <v>215</v>
      </c>
      <c r="C8" s="12" t="n">
        <v>356292304.4</v>
      </c>
      <c r="D8" s="13" t="n">
        <v>1.545e-06</v>
      </c>
      <c r="E8" s="12" t="n">
        <v>550.471610298</v>
      </c>
    </row>
    <row r="9">
      <c r="A9" s="9" t="n">
        <v>2008</v>
      </c>
      <c r="B9" s="9" t="n">
        <v>203</v>
      </c>
      <c r="C9" s="12" t="n">
        <v>363418150.5</v>
      </c>
      <c r="D9" s="13" t="n">
        <v>1.222e-06</v>
      </c>
      <c r="E9" s="12" t="n">
        <v>444.0969799109999</v>
      </c>
    </row>
    <row r="10">
      <c r="A10" s="9" t="n">
        <v>2009</v>
      </c>
      <c r="B10" s="9" t="n">
        <v>191</v>
      </c>
      <c r="C10" s="12" t="n">
        <v>370686513.5</v>
      </c>
      <c r="D10" s="13" t="n">
        <v>1.037e-06</v>
      </c>
      <c r="E10" s="12" t="n">
        <v>384.4019144995</v>
      </c>
    </row>
    <row r="11">
      <c r="A11" s="9" t="n">
        <v>2010</v>
      </c>
      <c r="B11" s="9" t="n">
        <v>179</v>
      </c>
      <c r="C11" s="12" t="n">
        <v>378100243.7</v>
      </c>
      <c r="D11" s="13" t="n">
        <v>8.31e-07</v>
      </c>
      <c r="E11" s="12" t="n">
        <v>314.2013025147</v>
      </c>
    </row>
    <row r="12">
      <c r="A12" s="9" t="n">
        <v>2011</v>
      </c>
      <c r="B12" s="9" t="n">
        <v>167</v>
      </c>
      <c r="C12" s="12" t="n">
        <v>385662248.6</v>
      </c>
      <c r="D12" s="13" t="n">
        <v>8.280000000000001e-07</v>
      </c>
      <c r="E12" s="12" t="n">
        <v>319.3283418408</v>
      </c>
    </row>
    <row r="13">
      <c r="A13" s="9" t="n">
        <v>2012</v>
      </c>
      <c r="B13" s="9" t="n">
        <v>155</v>
      </c>
      <c r="C13" s="12" t="n">
        <v>393375493.6</v>
      </c>
      <c r="D13" s="13" t="n">
        <v>7.6e-07</v>
      </c>
      <c r="E13" s="12" t="n">
        <v>298.965375136</v>
      </c>
    </row>
    <row r="14">
      <c r="A14" s="9" t="n">
        <v>2013</v>
      </c>
      <c r="B14" s="9" t="n">
        <v>143</v>
      </c>
      <c r="C14" s="12" t="n">
        <v>401243003.4</v>
      </c>
      <c r="D14" s="13" t="n">
        <v>7.62e-07</v>
      </c>
      <c r="E14" s="12" t="n">
        <v>305.7471685908</v>
      </c>
    </row>
    <row r="15">
      <c r="A15" s="9" t="n">
        <v>2014</v>
      </c>
      <c r="B15" s="9" t="n">
        <v>131</v>
      </c>
      <c r="C15" s="12" t="n">
        <v>409267863.5</v>
      </c>
      <c r="D15" s="13" t="n">
        <v>8.34e-07</v>
      </c>
      <c r="E15" s="12" t="n">
        <v>341.329398159</v>
      </c>
    </row>
    <row r="16">
      <c r="A16" s="9" t="n">
        <v>2015</v>
      </c>
      <c r="B16" s="9" t="n">
        <v>119</v>
      </c>
      <c r="C16" s="12" t="n">
        <v>417453220.8</v>
      </c>
      <c r="D16" s="13" t="n">
        <v>8.8e-07</v>
      </c>
      <c r="E16" s="12" t="n">
        <v>367.358834304</v>
      </c>
    </row>
    <row r="17">
      <c r="A17" s="9" t="n">
        <v>2016</v>
      </c>
      <c r="B17" s="9" t="n">
        <v>107</v>
      </c>
      <c r="C17" s="12" t="n">
        <v>425802285.2</v>
      </c>
      <c r="D17" s="13" t="n">
        <v>9.43e-07</v>
      </c>
      <c r="E17" s="12" t="n">
        <v>401.5315549436</v>
      </c>
    </row>
    <row r="18">
      <c r="A18" s="9" t="n">
        <v>2017</v>
      </c>
      <c r="B18" s="9" t="n">
        <v>95</v>
      </c>
      <c r="C18" s="12" t="n">
        <v>434318330.9</v>
      </c>
      <c r="D18" s="13" t="n">
        <v>8.1e-07</v>
      </c>
      <c r="E18" s="12" t="n">
        <v>351.797848029</v>
      </c>
    </row>
    <row r="19">
      <c r="A19" s="9" t="n">
        <v>2018</v>
      </c>
      <c r="B19" s="9" t="n">
        <v>83</v>
      </c>
      <c r="C19" s="12" t="n">
        <v>443004697.5</v>
      </c>
      <c r="D19" s="13" t="n">
        <v>7.89e-07</v>
      </c>
      <c r="E19" s="12" t="n">
        <v>349.5307063275</v>
      </c>
    </row>
    <row r="20">
      <c r="A20" s="9" t="n">
        <v>2019</v>
      </c>
      <c r="B20" s="9" t="n">
        <v>71</v>
      </c>
      <c r="C20" s="12" t="n">
        <v>451864791.5</v>
      </c>
      <c r="D20" s="13" t="n">
        <v>7.469999999999999e-07</v>
      </c>
      <c r="E20" s="12" t="n">
        <v>337.5429992505</v>
      </c>
    </row>
    <row r="21">
      <c r="A21" s="9" t="n">
        <v>2020</v>
      </c>
      <c r="B21" s="9" t="n">
        <v>59</v>
      </c>
      <c r="C21" s="12" t="n">
        <v>460902087.3</v>
      </c>
      <c r="D21" s="13" t="n">
        <v>7.77e-07</v>
      </c>
      <c r="E21" s="12" t="n">
        <v>358.1209218321</v>
      </c>
    </row>
    <row r="22">
      <c r="A22" s="9" t="n">
        <v>2021</v>
      </c>
      <c r="B22" s="9" t="n">
        <v>47</v>
      </c>
      <c r="C22" s="12" t="n">
        <v>470120129.1</v>
      </c>
      <c r="D22" s="13" t="n">
        <v>7.66e-07</v>
      </c>
      <c r="E22" s="12" t="n">
        <v>360.1120188906</v>
      </c>
    </row>
    <row r="23">
      <c r="A23" s="9" t="n">
        <v>2022</v>
      </c>
      <c r="B23" s="9" t="n">
        <v>35</v>
      </c>
      <c r="C23" s="12" t="n">
        <v>479522531.6</v>
      </c>
      <c r="D23" s="13" t="n">
        <v>7.09e-07</v>
      </c>
      <c r="E23" s="12" t="n">
        <v>339.9814749044</v>
      </c>
    </row>
    <row r="24">
      <c r="A24" s="9" t="n">
        <v>2023</v>
      </c>
      <c r="B24" s="9" t="n">
        <v>23</v>
      </c>
      <c r="C24" s="12" t="n">
        <v>489112982.3</v>
      </c>
      <c r="D24" s="13" t="n">
        <v>6.489999999999998e-07</v>
      </c>
      <c r="E24" s="12" t="n">
        <v>317.4343255127</v>
      </c>
    </row>
    <row r="25">
      <c r="A25" s="9" t="n">
        <v>2024</v>
      </c>
      <c r="B25" s="9" t="n">
        <v>11</v>
      </c>
      <c r="C25" s="12" t="n">
        <v>498895241.9</v>
      </c>
      <c r="D25" s="13" t="n">
        <v>5.86e-07</v>
      </c>
      <c r="E25" s="12" t="n">
        <v>292.3526117534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t>
        </is>
      </c>
      <c r="B1" s="15" t="n"/>
      <c r="C1" s="15" t="n"/>
      <c r="D1" s="15" t="n"/>
      <c r="E1" s="15" t="n"/>
      <c r="F1" s="15" t="n"/>
      <c r="G1" s="15" t="n"/>
      <c r="H1" s="15" t="n"/>
      <c r="I1" s="15" t="n"/>
      <c r="J1" s="15" t="n"/>
      <c r="K1" s="15" t="n"/>
      <c r="L1" s="15" t="n"/>
      <c r="M1" s="15" t="n"/>
      <c r="N1" s="15" t="n"/>
      <c r="O1" s="15" t="n"/>
      <c r="P1" s="15" t="n"/>
      <c r="Q1" s="15" t="n"/>
      <c r="R1" s="15"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row>
    <row r="3">
      <c r="A3" s="17" t="inlineStr">
        <is>
          <t>2001</t>
        </is>
      </c>
      <c r="B3" s="18" t="n">
        <v>567331.6692</v>
      </c>
      <c r="C3" s="18" t="n">
        <v>1554404.3456</v>
      </c>
      <c r="D3" s="18" t="n">
        <v>1902287.8544</v>
      </c>
      <c r="E3" s="18" t="n">
        <v>2093441.1516</v>
      </c>
      <c r="F3" s="18" t="n">
        <v>2250668.8524</v>
      </c>
      <c r="G3" s="18" t="n">
        <v>2402988.1558</v>
      </c>
      <c r="H3" s="18" t="n">
        <v>2397333.5643</v>
      </c>
      <c r="I3" s="18" t="n">
        <v>2419690.9269</v>
      </c>
      <c r="J3" s="18" t="n">
        <v>2437307.5869</v>
      </c>
      <c r="K3" s="18" t="n">
        <v>2457834.4795</v>
      </c>
      <c r="L3" s="18" t="n">
        <v>2510536.374</v>
      </c>
      <c r="M3" s="18" t="n">
        <v>2562761.5102</v>
      </c>
      <c r="N3" s="18" t="n">
        <v>2559991.01</v>
      </c>
      <c r="O3" s="18" t="n">
        <v>2618542.6253</v>
      </c>
      <c r="P3" s="18" t="n">
        <v>2663167.8948</v>
      </c>
      <c r="Q3" s="18" t="n">
        <v>2804776.81</v>
      </c>
      <c r="R3" s="18" t="n">
        <v>2871037.8848</v>
      </c>
    </row>
    <row r="4">
      <c r="A4" s="17" t="inlineStr">
        <is>
          <t>2002</t>
        </is>
      </c>
      <c r="B4" s="18" t="n">
        <v>927838.4716</v>
      </c>
      <c r="C4" s="18" t="n">
        <v>1327207.494</v>
      </c>
      <c r="D4" s="18" t="n">
        <v>1342822.3208</v>
      </c>
      <c r="E4" s="18" t="n">
        <v>1604244.318</v>
      </c>
      <c r="F4" s="18" t="n">
        <v>1625395.9885</v>
      </c>
      <c r="G4" s="18" t="n">
        <v>1727293.4023</v>
      </c>
      <c r="H4" s="18" t="n">
        <v>1760101.2711</v>
      </c>
      <c r="I4" s="18" t="n">
        <v>1760466.7343</v>
      </c>
      <c r="J4" s="18" t="n">
        <v>1799039.5397</v>
      </c>
      <c r="K4" s="18" t="n">
        <v>1816376.1146</v>
      </c>
      <c r="L4" s="18" t="n">
        <v>1835002.2026</v>
      </c>
      <c r="M4" s="18" t="n">
        <v>1897241.704</v>
      </c>
      <c r="N4" s="18" t="n">
        <v>1899757.6006</v>
      </c>
      <c r="O4" s="18" t="n">
        <v>1975947.9264</v>
      </c>
      <c r="P4" s="18" t="n">
        <v>2028039.1364</v>
      </c>
      <c r="Q4" s="18" t="n">
        <v>2057884.5296</v>
      </c>
      <c r="R4" s="18" t="n">
        <v>2166744.7601</v>
      </c>
    </row>
    <row r="5">
      <c r="A5" s="17" t="inlineStr">
        <is>
          <t>2003</t>
        </is>
      </c>
      <c r="B5" s="18" t="n">
        <v>1009363.3596</v>
      </c>
      <c r="C5" s="18" t="n">
        <v>1458693.7576</v>
      </c>
      <c r="D5" s="18" t="n">
        <v>1578930.4312</v>
      </c>
      <c r="E5" s="18" t="n">
        <v>1876931.173</v>
      </c>
      <c r="F5" s="18" t="n">
        <v>1703633.0403</v>
      </c>
      <c r="G5" s="18" t="n">
        <v>1819224.3524</v>
      </c>
      <c r="H5" s="18" t="n">
        <v>1814195.5019</v>
      </c>
      <c r="I5" s="18" t="n">
        <v>1800500.416</v>
      </c>
      <c r="J5" s="18" t="n">
        <v>1797139.9227</v>
      </c>
      <c r="K5" s="18" t="n">
        <v>1801084.8669</v>
      </c>
      <c r="L5" s="18" t="n">
        <v>1797322.9116</v>
      </c>
      <c r="M5" s="18" t="n">
        <v>1783419.2233</v>
      </c>
      <c r="N5" s="18" t="n">
        <v>1774330.2012</v>
      </c>
      <c r="O5" s="18" t="n">
        <v>1774330.1088</v>
      </c>
      <c r="P5" s="18" t="n">
        <v>1774330.1088</v>
      </c>
      <c r="Q5" s="18" t="n">
        <v>1774330.1088</v>
      </c>
      <c r="R5" s="18" t="n">
        <v>1778091.5758</v>
      </c>
    </row>
    <row r="6">
      <c r="A6" s="17" t="inlineStr">
        <is>
          <t>2004</t>
        </is>
      </c>
      <c r="B6" s="18" t="n">
        <v>706990.2156</v>
      </c>
      <c r="C6" s="18" t="n">
        <v>807081.8756</v>
      </c>
      <c r="D6" s="18" t="n">
        <v>891146.7297</v>
      </c>
      <c r="E6" s="18" t="n">
        <v>933370.1028</v>
      </c>
      <c r="F6" s="18" t="n">
        <v>1055143.9785</v>
      </c>
      <c r="G6" s="18" t="n">
        <v>1061000.4688</v>
      </c>
      <c r="H6" s="18" t="n">
        <v>1080582.0132</v>
      </c>
      <c r="I6" s="18" t="n">
        <v>1088885.0684</v>
      </c>
      <c r="J6" s="18" t="n">
        <v>1114748.9381</v>
      </c>
      <c r="K6" s="18" t="n">
        <v>1104800.7904</v>
      </c>
      <c r="L6" s="18" t="n">
        <v>1130298.0224</v>
      </c>
      <c r="M6" s="18" t="n">
        <v>1117525.6932</v>
      </c>
      <c r="N6" s="18" t="n">
        <v>1117975.6768</v>
      </c>
      <c r="O6" s="18" t="n">
        <v>1118300.2984</v>
      </c>
      <c r="P6" s="18" t="n">
        <v>1118299.6782</v>
      </c>
      <c r="Q6" s="18" t="n">
        <v>1122581.0808</v>
      </c>
      <c r="R6" s="18" t="n">
        <v>1122581.0808</v>
      </c>
    </row>
    <row r="7">
      <c r="A7" s="17" t="inlineStr">
        <is>
          <t>2005</t>
        </is>
      </c>
      <c r="B7" s="18" t="n">
        <v>1249691.5508</v>
      </c>
      <c r="C7" s="18" t="n">
        <v>1628221.9514</v>
      </c>
      <c r="D7" s="18" t="n">
        <v>1779408.0616</v>
      </c>
      <c r="E7" s="18" t="n">
        <v>1735781.5973</v>
      </c>
      <c r="F7" s="18" t="n">
        <v>1800284.1468</v>
      </c>
      <c r="G7" s="18" t="n">
        <v>1829678.4347</v>
      </c>
      <c r="H7" s="18" t="n">
        <v>1866913.7991</v>
      </c>
      <c r="I7" s="18" t="n">
        <v>1877458.5247</v>
      </c>
      <c r="J7" s="18" t="n">
        <v>1901705.9108</v>
      </c>
      <c r="K7" s="18" t="n">
        <v>1953626.9848</v>
      </c>
      <c r="L7" s="18" t="n">
        <v>1976524.5916</v>
      </c>
      <c r="M7" s="18" t="n">
        <v>2212537.6908</v>
      </c>
      <c r="N7" s="18" t="n">
        <v>2212549.5672</v>
      </c>
      <c r="O7" s="18" t="n">
        <v>2171748.9472</v>
      </c>
      <c r="P7" s="18" t="n">
        <v>2193366.7399</v>
      </c>
      <c r="Q7" s="18" t="n">
        <v>2208705.4536</v>
      </c>
      <c r="R7" s="18" t="n">
        <v>2242149.1321</v>
      </c>
    </row>
    <row r="8">
      <c r="A8" s="17" t="inlineStr">
        <is>
          <t>2006</t>
        </is>
      </c>
      <c r="B8" s="18" t="n">
        <v>765985.3353</v>
      </c>
      <c r="C8" s="18" t="n">
        <v>1158099.949</v>
      </c>
      <c r="D8" s="18" t="n">
        <v>1006637.0924</v>
      </c>
      <c r="E8" s="18" t="n">
        <v>1076536.2516</v>
      </c>
      <c r="F8" s="18" t="n">
        <v>1086240.5108</v>
      </c>
      <c r="G8" s="18" t="n">
        <v>1141033.2455</v>
      </c>
      <c r="H8" s="18" t="n">
        <v>1191316.1021</v>
      </c>
      <c r="I8" s="18" t="n">
        <v>1169378.0556</v>
      </c>
      <c r="J8" s="18" t="n">
        <v>1199839.2137</v>
      </c>
      <c r="K8" s="18" t="n">
        <v>1244365.6452</v>
      </c>
      <c r="L8" s="18" t="n">
        <v>1347851.3164</v>
      </c>
      <c r="M8" s="18" t="n">
        <v>1428877.3956</v>
      </c>
      <c r="N8" s="18" t="n">
        <v>1468194.3366</v>
      </c>
      <c r="O8" s="18" t="n">
        <v>1484004.1739</v>
      </c>
      <c r="P8" s="18" t="n">
        <v>1484861.9139</v>
      </c>
      <c r="Q8" s="18" t="n">
        <v>1502016.7139</v>
      </c>
      <c r="R8" s="18" t="n">
        <v>1506635.3139</v>
      </c>
    </row>
    <row r="9">
      <c r="A9" s="17" t="inlineStr">
        <is>
          <t>2007</t>
        </is>
      </c>
      <c r="B9" s="18" t="n">
        <v>1724656.8811</v>
      </c>
      <c r="C9" s="18" t="n">
        <v>1877762.5606</v>
      </c>
      <c r="D9" s="18" t="n">
        <v>2045106.7768</v>
      </c>
      <c r="E9" s="18" t="n">
        <v>2291428.8419</v>
      </c>
      <c r="F9" s="18" t="n">
        <v>2554191.4604</v>
      </c>
      <c r="G9" s="18" t="n">
        <v>3049073.7774</v>
      </c>
      <c r="H9" s="18" t="n">
        <v>3243034.4444</v>
      </c>
      <c r="I9" s="18" t="n">
        <v>3598222.0844</v>
      </c>
      <c r="J9" s="18" t="n">
        <v>3855992.6032</v>
      </c>
      <c r="K9" s="18" t="n">
        <v>4247900.6072</v>
      </c>
      <c r="L9" s="18" t="n">
        <v>4378240.1384</v>
      </c>
      <c r="M9" s="18" t="n">
        <v>4504737.6146</v>
      </c>
      <c r="N9" s="18" t="n">
        <v>4577330.1566</v>
      </c>
      <c r="O9" s="18" t="n">
        <v>4581600.0523</v>
      </c>
      <c r="P9" s="18" t="n">
        <v>4781468.7005</v>
      </c>
      <c r="Q9" s="18" t="n">
        <v>4781468.7005</v>
      </c>
      <c r="R9" s="18" t="n">
        <v>4798643.3473</v>
      </c>
    </row>
    <row r="10">
      <c r="A10" s="17" t="inlineStr">
        <is>
          <t>2008</t>
        </is>
      </c>
      <c r="B10" s="18" t="n">
        <v>556352.8875</v>
      </c>
      <c r="C10" s="18" t="n">
        <v>770915.0442</v>
      </c>
      <c r="D10" s="18" t="n">
        <v>933165.8683</v>
      </c>
      <c r="E10" s="18" t="n">
        <v>1298006.7782</v>
      </c>
      <c r="F10" s="18" t="n">
        <v>1258119.1102</v>
      </c>
      <c r="G10" s="18" t="n">
        <v>1279315.2512</v>
      </c>
      <c r="H10" s="18" t="n">
        <v>1286243.9166</v>
      </c>
      <c r="I10" s="18" t="n">
        <v>1303173.6192</v>
      </c>
      <c r="J10" s="18" t="n">
        <v>1310621.4416</v>
      </c>
      <c r="K10" s="18" t="n">
        <v>1356059.2284</v>
      </c>
      <c r="L10" s="18" t="n">
        <v>1362732.0233</v>
      </c>
      <c r="M10" s="18" t="n">
        <v>1362957.0151</v>
      </c>
      <c r="N10" s="18" t="n">
        <v>1343109.2414</v>
      </c>
      <c r="O10" s="18" t="n">
        <v>1343439.1414</v>
      </c>
      <c r="P10" s="18" t="n">
        <v>1343439.1414</v>
      </c>
      <c r="Q10" s="18" t="n">
        <v>1350037.1414</v>
      </c>
      <c r="R10" s="18" t="n">
        <v>1378427.9395</v>
      </c>
    </row>
    <row r="11">
      <c r="A11" s="17" t="inlineStr">
        <is>
          <t>2009</t>
        </is>
      </c>
      <c r="B11" s="18" t="n">
        <v>357480.3922</v>
      </c>
      <c r="C11" s="18" t="n">
        <v>872537.4534</v>
      </c>
      <c r="D11" s="18" t="n">
        <v>822240.0416</v>
      </c>
      <c r="E11" s="18" t="n">
        <v>842753.923</v>
      </c>
      <c r="F11" s="18" t="n">
        <v>898761.0856</v>
      </c>
      <c r="G11" s="18" t="n">
        <v>944889.6302</v>
      </c>
      <c r="H11" s="18" t="n">
        <v>979272.5208000001</v>
      </c>
      <c r="I11" s="18" t="n">
        <v>1120353.596</v>
      </c>
      <c r="J11" s="18" t="n">
        <v>1120360.194</v>
      </c>
      <c r="K11" s="18" t="n">
        <v>1120361.8963</v>
      </c>
      <c r="L11" s="18" t="n">
        <v>1120361.8963</v>
      </c>
      <c r="M11" s="18" t="n">
        <v>1135537.2963</v>
      </c>
      <c r="N11" s="18" t="n">
        <v>1169581.0893</v>
      </c>
      <c r="O11" s="18" t="n">
        <v>1169581.0893</v>
      </c>
      <c r="P11" s="18" t="n">
        <v>1169581.0893</v>
      </c>
      <c r="Q11" s="18" t="n">
        <v>1169581.0893</v>
      </c>
    </row>
    <row r="12">
      <c r="A12" s="17" t="inlineStr">
        <is>
          <t>2010</t>
        </is>
      </c>
      <c r="B12" s="18" t="n">
        <v>360030.44</v>
      </c>
      <c r="C12" s="18" t="n">
        <v>730590.3643</v>
      </c>
      <c r="D12" s="18" t="n">
        <v>951322.0996</v>
      </c>
      <c r="E12" s="18" t="n">
        <v>1105337.8676</v>
      </c>
      <c r="F12" s="18" t="n">
        <v>1236185.7351</v>
      </c>
      <c r="G12" s="18" t="n">
        <v>1222899.712</v>
      </c>
      <c r="H12" s="18" t="n">
        <v>1271367.3004</v>
      </c>
      <c r="I12" s="18" t="n">
        <v>1272863.7268</v>
      </c>
      <c r="J12" s="18" t="n">
        <v>1266822.057</v>
      </c>
      <c r="K12" s="18" t="n">
        <v>1267621.5366</v>
      </c>
      <c r="L12" s="18" t="n">
        <v>1268616.515</v>
      </c>
      <c r="M12" s="18" t="n">
        <v>1268690.4126</v>
      </c>
      <c r="N12" s="18" t="n">
        <v>1270339.9126</v>
      </c>
      <c r="O12" s="18" t="n">
        <v>1270069.2627</v>
      </c>
      <c r="P12" s="18" t="n">
        <v>1277672.0721</v>
      </c>
    </row>
    <row r="13">
      <c r="A13" s="17" t="inlineStr">
        <is>
          <t>2011</t>
        </is>
      </c>
      <c r="B13" s="18" t="n">
        <v>454047.3346</v>
      </c>
      <c r="C13" s="18" t="n">
        <v>886919.7606</v>
      </c>
      <c r="D13" s="18" t="n">
        <v>1308017.8708</v>
      </c>
      <c r="E13" s="18" t="n">
        <v>1510353.973</v>
      </c>
      <c r="F13" s="18" t="n">
        <v>1611539.0668</v>
      </c>
      <c r="G13" s="18" t="n">
        <v>1740504.8944</v>
      </c>
      <c r="H13" s="18" t="n">
        <v>1836702.4148</v>
      </c>
      <c r="I13" s="18" t="n">
        <v>1836817.6951</v>
      </c>
      <c r="J13" s="18" t="n">
        <v>1862143.4583</v>
      </c>
      <c r="K13" s="18" t="n">
        <v>1869290.4119</v>
      </c>
      <c r="L13" s="18" t="n">
        <v>1921985.9327</v>
      </c>
      <c r="M13" s="18" t="n">
        <v>1916081.5804</v>
      </c>
      <c r="N13" s="18" t="n">
        <v>1916081.5804</v>
      </c>
      <c r="O13" s="18" t="n">
        <v>1916081.5804</v>
      </c>
    </row>
    <row r="14">
      <c r="A14" s="17" t="inlineStr">
        <is>
          <t>2012</t>
        </is>
      </c>
      <c r="B14" s="18" t="n">
        <v>335887.1044</v>
      </c>
      <c r="C14" s="18" t="n">
        <v>682490.522</v>
      </c>
      <c r="D14" s="18" t="n">
        <v>892010.9489</v>
      </c>
      <c r="E14" s="18" t="n">
        <v>969399.2736</v>
      </c>
      <c r="F14" s="18" t="n">
        <v>966369.472</v>
      </c>
      <c r="G14" s="18" t="n">
        <v>974833.3864</v>
      </c>
      <c r="H14" s="18" t="n">
        <v>978738.6634</v>
      </c>
      <c r="I14" s="18" t="n">
        <v>1029196.2086</v>
      </c>
      <c r="J14" s="18" t="n">
        <v>1086698.5968</v>
      </c>
      <c r="K14" s="18" t="n">
        <v>1148149.3733</v>
      </c>
      <c r="L14" s="18" t="n">
        <v>1156726.7733</v>
      </c>
      <c r="M14" s="18" t="n">
        <v>1363753.3805</v>
      </c>
      <c r="N14" s="18" t="n">
        <v>1363753.3805</v>
      </c>
    </row>
    <row r="15">
      <c r="A15" s="17" t="inlineStr">
        <is>
          <t>2013</t>
        </is>
      </c>
      <c r="B15" s="18" t="n">
        <v>279096.7196</v>
      </c>
      <c r="C15" s="18" t="n">
        <v>509656.1495</v>
      </c>
      <c r="D15" s="18" t="n">
        <v>554121.1536</v>
      </c>
      <c r="E15" s="18" t="n">
        <v>668048.8196</v>
      </c>
      <c r="F15" s="18" t="n">
        <v>708646.3136</v>
      </c>
      <c r="G15" s="18" t="n">
        <v>706804.6403</v>
      </c>
      <c r="H15" s="18" t="n">
        <v>707153.1202</v>
      </c>
      <c r="I15" s="18" t="n">
        <v>707153.1202</v>
      </c>
      <c r="J15" s="18" t="n">
        <v>708518.7743</v>
      </c>
      <c r="K15" s="18" t="n">
        <v>708518.7743</v>
      </c>
      <c r="L15" s="18" t="n">
        <v>708529.9909</v>
      </c>
      <c r="M15" s="18" t="n">
        <v>708529.9909</v>
      </c>
    </row>
    <row r="16">
      <c r="A16" s="17" t="inlineStr">
        <is>
          <t>2014</t>
        </is>
      </c>
      <c r="B16" s="18" t="n">
        <v>579453.8975</v>
      </c>
      <c r="C16" s="18" t="n">
        <v>791674.226</v>
      </c>
      <c r="D16" s="18" t="n">
        <v>1117488.7444</v>
      </c>
      <c r="E16" s="18" t="n">
        <v>1292116.6908</v>
      </c>
      <c r="F16" s="18" t="n">
        <v>1310589.9427</v>
      </c>
      <c r="G16" s="18" t="n">
        <v>1355751.9331</v>
      </c>
      <c r="H16" s="18" t="n">
        <v>1316935.0942</v>
      </c>
      <c r="I16" s="18" t="n">
        <v>1316935.0942</v>
      </c>
      <c r="J16" s="18" t="n">
        <v>1371038.6942</v>
      </c>
      <c r="K16" s="18" t="n">
        <v>1399322.0241</v>
      </c>
      <c r="L16" s="18" t="n">
        <v>1389603.6847</v>
      </c>
    </row>
    <row r="17">
      <c r="A17" s="17" t="inlineStr">
        <is>
          <t>2015</t>
        </is>
      </c>
      <c r="B17" s="18" t="n">
        <v>538066.9</v>
      </c>
      <c r="C17" s="18" t="n">
        <v>1068443.1712</v>
      </c>
      <c r="D17" s="18" t="n">
        <v>1605602.1864</v>
      </c>
      <c r="E17" s="18" t="n">
        <v>2133023.2398</v>
      </c>
      <c r="F17" s="18" t="n">
        <v>2358964.558</v>
      </c>
      <c r="G17" s="18" t="n">
        <v>2680270.1351</v>
      </c>
      <c r="H17" s="18" t="n">
        <v>3055333.4055</v>
      </c>
      <c r="I17" s="18" t="n">
        <v>3076051.1255</v>
      </c>
      <c r="J17" s="18" t="n">
        <v>3086205.1704</v>
      </c>
      <c r="K17" s="18" t="n">
        <v>3382963.2581</v>
      </c>
    </row>
    <row r="18">
      <c r="A18" s="17" t="inlineStr">
        <is>
          <t>2016</t>
        </is>
      </c>
      <c r="B18" s="18" t="n">
        <v>687801.912</v>
      </c>
      <c r="C18" s="18" t="n">
        <v>1285960.7568</v>
      </c>
      <c r="D18" s="18" t="n">
        <v>1733469.988</v>
      </c>
      <c r="E18" s="18" t="n">
        <v>1884267.6211</v>
      </c>
      <c r="F18" s="18" t="n">
        <v>2152415.9626</v>
      </c>
      <c r="G18" s="18" t="n">
        <v>2220417.4843</v>
      </c>
      <c r="H18" s="18" t="n">
        <v>2503620.4692</v>
      </c>
      <c r="I18" s="18" t="n">
        <v>2503024.6434</v>
      </c>
      <c r="J18" s="18" t="n">
        <v>2506323.6434</v>
      </c>
    </row>
    <row r="19">
      <c r="A19" s="17" t="inlineStr">
        <is>
          <t>2017</t>
        </is>
      </c>
      <c r="B19" s="18" t="n">
        <v>461326.8816</v>
      </c>
      <c r="C19" s="18" t="n">
        <v>614872.6873</v>
      </c>
      <c r="D19" s="18" t="n">
        <v>635999.2061</v>
      </c>
      <c r="E19" s="18" t="n">
        <v>832770.2121</v>
      </c>
      <c r="F19" s="18" t="n">
        <v>895289.4819</v>
      </c>
      <c r="G19" s="18" t="n">
        <v>1014108.2981</v>
      </c>
      <c r="H19" s="18" t="n">
        <v>1168952.8937</v>
      </c>
      <c r="I19" s="18" t="n">
        <v>1205811.8289</v>
      </c>
    </row>
    <row r="20">
      <c r="A20" s="17" t="inlineStr">
        <is>
          <t>2018</t>
        </is>
      </c>
      <c r="B20" s="18" t="n">
        <v>507983.8204</v>
      </c>
      <c r="C20" s="18" t="n">
        <v>1168067.9171</v>
      </c>
      <c r="D20" s="18" t="n">
        <v>1668858.2021</v>
      </c>
      <c r="E20" s="18" t="n">
        <v>2316819.635</v>
      </c>
      <c r="F20" s="18" t="n">
        <v>2303518.1066</v>
      </c>
      <c r="G20" s="18" t="n">
        <v>2333675.3477</v>
      </c>
      <c r="H20" s="18" t="n">
        <v>2395448.4233</v>
      </c>
    </row>
    <row r="21">
      <c r="A21" s="17" t="inlineStr">
        <is>
          <t>2019</t>
        </is>
      </c>
      <c r="B21" s="18" t="n">
        <v>407914.8312</v>
      </c>
      <c r="C21" s="18" t="n">
        <v>1124607.0627</v>
      </c>
      <c r="D21" s="18" t="n">
        <v>1740054.5413</v>
      </c>
      <c r="E21" s="18" t="n">
        <v>2000563.0454</v>
      </c>
      <c r="F21" s="18" t="n">
        <v>2127378.6904</v>
      </c>
      <c r="G21" s="18" t="n">
        <v>2599882.8743</v>
      </c>
    </row>
    <row r="22">
      <c r="A22" s="17" t="inlineStr">
        <is>
          <t>2020</t>
        </is>
      </c>
      <c r="B22" s="18" t="n">
        <v>522102.6035</v>
      </c>
      <c r="C22" s="18" t="n">
        <v>931915.5209999999</v>
      </c>
      <c r="D22" s="18" t="n">
        <v>916291.8001</v>
      </c>
      <c r="E22" s="18" t="n">
        <v>969468.3019</v>
      </c>
      <c r="F22" s="18" t="n">
        <v>978899.5095</v>
      </c>
    </row>
    <row r="23">
      <c r="A23" s="17" t="inlineStr">
        <is>
          <t>2021</t>
        </is>
      </c>
      <c r="B23" s="18" t="n">
        <v>549457.067</v>
      </c>
      <c r="C23" s="18" t="n">
        <v>800935.1524</v>
      </c>
      <c r="D23" s="18" t="n">
        <v>980316.7863</v>
      </c>
      <c r="E23" s="18" t="n">
        <v>1011313.2797</v>
      </c>
    </row>
    <row r="24">
      <c r="A24" s="17" t="inlineStr">
        <is>
          <t>2022</t>
        </is>
      </c>
      <c r="B24" s="18" t="n">
        <v>694623.0036000001</v>
      </c>
      <c r="C24" s="18" t="n">
        <v>851655.8786000001</v>
      </c>
      <c r="D24" s="18" t="n">
        <v>827416.1066000001</v>
      </c>
    </row>
    <row r="25">
      <c r="A25" s="17" t="inlineStr">
        <is>
          <t>2023</t>
        </is>
      </c>
      <c r="B25" s="18" t="n">
        <v>975000.3026000001</v>
      </c>
      <c r="C25" s="18" t="n">
        <v>1651756.6744</v>
      </c>
    </row>
    <row r="26">
      <c r="A26" s="17" t="inlineStr">
        <is>
          <t>2024</t>
        </is>
      </c>
      <c r="B26" s="18" t="n">
        <v>890155.2218000001</v>
      </c>
    </row>
    <row r="27"/>
    <row r="28">
      <c r="A28" s="3" t="inlineStr">
        <is>
          <t>Age-to-Age Factors</t>
        </is>
      </c>
      <c r="B28" s="15" t="n"/>
      <c r="C28" s="15" t="n"/>
      <c r="D28" s="15" t="n"/>
      <c r="E28" s="15" t="n"/>
      <c r="F28" s="15" t="n"/>
      <c r="G28" s="15" t="n"/>
      <c r="H28" s="15" t="n"/>
      <c r="I28" s="15" t="n"/>
      <c r="J28" s="15" t="n"/>
      <c r="K28" s="15" t="n"/>
      <c r="L28" s="15" t="n"/>
      <c r="M28" s="15" t="n"/>
      <c r="N28" s="15" t="n"/>
      <c r="O28" s="15" t="n"/>
      <c r="P28" s="15" t="n"/>
      <c r="Q28" s="15" t="n"/>
      <c r="R28" s="15" t="n"/>
    </row>
    <row r="29">
      <c r="A29" s="16"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143-155</t>
        </is>
      </c>
      <c r="N29" s="8" t="inlineStr">
        <is>
          <t>155-167</t>
        </is>
      </c>
      <c r="O29" s="8" t="inlineStr">
        <is>
          <t>167-179</t>
        </is>
      </c>
      <c r="P29" s="8" t="inlineStr">
        <is>
          <t>179-191</t>
        </is>
      </c>
      <c r="Q29" s="8" t="inlineStr">
        <is>
          <t>191-203</t>
        </is>
      </c>
      <c r="R29" s="8" t="inlineStr">
        <is>
          <t>203-Ult</t>
        </is>
      </c>
    </row>
    <row r="30">
      <c r="A30" s="17" t="inlineStr">
        <is>
          <t>2001</t>
        </is>
      </c>
      <c r="B30" s="19" t="n">
        <v>2.7399</v>
      </c>
      <c r="C30" s="19" t="n">
        <v>1.2238</v>
      </c>
      <c r="D30" s="19" t="n">
        <v>1.1005</v>
      </c>
      <c r="E30" s="19" t="n">
        <v>1.0751</v>
      </c>
      <c r="F30" s="19" t="n">
        <v>1.0677</v>
      </c>
      <c r="G30" s="19" t="n">
        <v>0.9976</v>
      </c>
      <c r="H30" s="19" t="n">
        <v>1.0093</v>
      </c>
      <c r="I30" s="19" t="n">
        <v>1.0073</v>
      </c>
      <c r="J30" s="19" t="n">
        <v>1.0084</v>
      </c>
      <c r="K30" s="19" t="n">
        <v>1.0214</v>
      </c>
      <c r="L30" s="19" t="n">
        <v>1.0208</v>
      </c>
      <c r="M30" s="19" t="n">
        <v>0.9989</v>
      </c>
      <c r="N30" s="19" t="n">
        <v>1.0229</v>
      </c>
      <c r="O30" s="19" t="n">
        <v>1.017</v>
      </c>
      <c r="P30" s="19" t="n">
        <v>1.0532</v>
      </c>
      <c r="Q30" s="19" t="n">
        <v>1.0236</v>
      </c>
      <c r="R30" s="19" t="n"/>
    </row>
    <row r="31">
      <c r="A31" s="17" t="inlineStr">
        <is>
          <t>2002</t>
        </is>
      </c>
      <c r="B31" s="19" t="n">
        <v>1.4304</v>
      </c>
      <c r="C31" s="19" t="n">
        <v>1.0118</v>
      </c>
      <c r="D31" s="19" t="n">
        <v>1.1947</v>
      </c>
      <c r="E31" s="19" t="n">
        <v>1.0132</v>
      </c>
      <c r="F31" s="19" t="n">
        <v>1.0627</v>
      </c>
      <c r="G31" s="19" t="n">
        <v>1.019</v>
      </c>
      <c r="H31" s="19" t="n">
        <v>1.0002</v>
      </c>
      <c r="I31" s="19" t="n">
        <v>1.0219</v>
      </c>
      <c r="J31" s="19" t="n">
        <v>1.0096</v>
      </c>
      <c r="K31" s="19" t="n">
        <v>1.0103</v>
      </c>
      <c r="L31" s="19" t="n">
        <v>1.0339</v>
      </c>
      <c r="M31" s="19" t="n">
        <v>1.0013</v>
      </c>
      <c r="N31" s="19" t="n">
        <v>1.0401</v>
      </c>
      <c r="O31" s="19" t="n">
        <v>1.0264</v>
      </c>
      <c r="P31" s="19" t="n">
        <v>1.0147</v>
      </c>
      <c r="Q31" s="19" t="n">
        <v>1.0529</v>
      </c>
      <c r="R31" s="19" t="n"/>
    </row>
    <row r="32">
      <c r="A32" s="17" t="inlineStr">
        <is>
          <t>2003</t>
        </is>
      </c>
      <c r="B32" s="19" t="n">
        <v>1.4452</v>
      </c>
      <c r="C32" s="19" t="n">
        <v>1.0824</v>
      </c>
      <c r="D32" s="19" t="n">
        <v>1.1887</v>
      </c>
      <c r="E32" s="19" t="n">
        <v>0.9077</v>
      </c>
      <c r="F32" s="19" t="n">
        <v>1.0678</v>
      </c>
      <c r="G32" s="19" t="n">
        <v>0.9972</v>
      </c>
      <c r="H32" s="19" t="n">
        <v>0.9925</v>
      </c>
      <c r="I32" s="19" t="n">
        <v>0.9981</v>
      </c>
      <c r="J32" s="19" t="n">
        <v>1.0022</v>
      </c>
      <c r="K32" s="19" t="n">
        <v>0.9979</v>
      </c>
      <c r="L32" s="19" t="n">
        <v>0.9923</v>
      </c>
      <c r="M32" s="19" t="n">
        <v>0.9949</v>
      </c>
      <c r="N32" s="19" t="n">
        <v>1</v>
      </c>
      <c r="O32" s="19" t="n">
        <v>1</v>
      </c>
      <c r="P32" s="19" t="n">
        <v>1</v>
      </c>
      <c r="Q32" s="19" t="n">
        <v>1.0021</v>
      </c>
      <c r="R32" s="19" t="n"/>
    </row>
    <row r="33">
      <c r="A33" s="17" t="inlineStr">
        <is>
          <t>2004</t>
        </is>
      </c>
      <c r="B33" s="19" t="n">
        <v>1.1416</v>
      </c>
      <c r="C33" s="19" t="n">
        <v>1.1042</v>
      </c>
      <c r="D33" s="19" t="n">
        <v>1.0474</v>
      </c>
      <c r="E33" s="19" t="n">
        <v>1.1305</v>
      </c>
      <c r="F33" s="19" t="n">
        <v>1.0056</v>
      </c>
      <c r="G33" s="19" t="n">
        <v>1.0185</v>
      </c>
      <c r="H33" s="19" t="n">
        <v>1.0077</v>
      </c>
      <c r="I33" s="19" t="n">
        <v>1.0238</v>
      </c>
      <c r="J33" s="19" t="n">
        <v>0.9911</v>
      </c>
      <c r="K33" s="19" t="n">
        <v>1.0231</v>
      </c>
      <c r="L33" s="19" t="n">
        <v>0.9887</v>
      </c>
      <c r="M33" s="19" t="n">
        <v>1.0004</v>
      </c>
      <c r="N33" s="19" t="n">
        <v>1.0003</v>
      </c>
      <c r="O33" s="19" t="n">
        <v>1</v>
      </c>
      <c r="P33" s="19" t="n">
        <v>1.0038</v>
      </c>
      <c r="Q33" s="19" t="n">
        <v>1</v>
      </c>
      <c r="R33" s="19" t="n"/>
    </row>
    <row r="34">
      <c r="A34" s="17" t="inlineStr">
        <is>
          <t>2005</t>
        </is>
      </c>
      <c r="B34" s="19" t="n">
        <v>1.3029</v>
      </c>
      <c r="C34" s="19" t="n">
        <v>1.0929</v>
      </c>
      <c r="D34" s="19" t="n">
        <v>0.9755</v>
      </c>
      <c r="E34" s="19" t="n">
        <v>1.0372</v>
      </c>
      <c r="F34" s="19" t="n">
        <v>1.0163</v>
      </c>
      <c r="G34" s="19" t="n">
        <v>1.0204</v>
      </c>
      <c r="H34" s="19" t="n">
        <v>1.0056</v>
      </c>
      <c r="I34" s="19" t="n">
        <v>1.0129</v>
      </c>
      <c r="J34" s="19" t="n">
        <v>1.0273</v>
      </c>
      <c r="K34" s="19" t="n">
        <v>1.0117</v>
      </c>
      <c r="L34" s="19" t="n">
        <v>1.1194</v>
      </c>
      <c r="M34" s="19" t="n">
        <v>1</v>
      </c>
      <c r="N34" s="19" t="n">
        <v>0.9816</v>
      </c>
      <c r="O34" s="19" t="n">
        <v>1.01</v>
      </c>
      <c r="P34" s="19" t="n">
        <v>1.007</v>
      </c>
      <c r="Q34" s="19" t="n">
        <v>1.0151</v>
      </c>
      <c r="R34" s="19" t="n"/>
    </row>
    <row r="35">
      <c r="A35" s="17" t="inlineStr">
        <is>
          <t>2006</t>
        </is>
      </c>
      <c r="B35" s="19" t="n">
        <v>1.5119</v>
      </c>
      <c r="C35" s="19" t="n">
        <v>0.8692</v>
      </c>
      <c r="D35" s="19" t="n">
        <v>1.0694</v>
      </c>
      <c r="E35" s="19" t="n">
        <v>1.009</v>
      </c>
      <c r="F35" s="19" t="n">
        <v>1.0504</v>
      </c>
      <c r="G35" s="19" t="n">
        <v>1.0441</v>
      </c>
      <c r="H35" s="19" t="n">
        <v>0.9816</v>
      </c>
      <c r="I35" s="19" t="n">
        <v>1.026</v>
      </c>
      <c r="J35" s="19" t="n">
        <v>1.0371</v>
      </c>
      <c r="K35" s="19" t="n">
        <v>1.0832</v>
      </c>
      <c r="L35" s="19" t="n">
        <v>1.0601</v>
      </c>
      <c r="M35" s="19" t="n">
        <v>1.0275</v>
      </c>
      <c r="N35" s="19" t="n">
        <v>1.0108</v>
      </c>
      <c r="O35" s="19" t="n">
        <v>1.0006</v>
      </c>
      <c r="P35" s="19" t="n">
        <v>1.0116</v>
      </c>
      <c r="Q35" s="19" t="n">
        <v>1.0031</v>
      </c>
      <c r="R35" s="19" t="n"/>
    </row>
    <row r="36">
      <c r="A36" s="17" t="inlineStr">
        <is>
          <t>2007</t>
        </is>
      </c>
      <c r="B36" s="19" t="n">
        <v>1.0888</v>
      </c>
      <c r="C36" s="19" t="n">
        <v>1.0891</v>
      </c>
      <c r="D36" s="19" t="n">
        <v>1.1204</v>
      </c>
      <c r="E36" s="19" t="n">
        <v>1.1147</v>
      </c>
      <c r="F36" s="19" t="n">
        <v>1.1938</v>
      </c>
      <c r="G36" s="19" t="n">
        <v>1.0636</v>
      </c>
      <c r="H36" s="19" t="n">
        <v>1.1095</v>
      </c>
      <c r="I36" s="19" t="n">
        <v>1.0716</v>
      </c>
      <c r="J36" s="19" t="n">
        <v>1.1016</v>
      </c>
      <c r="K36" s="19" t="n">
        <v>1.0307</v>
      </c>
      <c r="L36" s="19" t="n">
        <v>1.0289</v>
      </c>
      <c r="M36" s="19" t="n">
        <v>1.0161</v>
      </c>
      <c r="N36" s="19" t="n">
        <v>1.0009</v>
      </c>
      <c r="O36" s="19" t="n">
        <v>1.0436</v>
      </c>
      <c r="P36" s="19" t="n">
        <v>1</v>
      </c>
      <c r="Q36" s="19" t="n">
        <v>1.0036</v>
      </c>
      <c r="R36" s="19" t="n"/>
    </row>
    <row r="37">
      <c r="A37" s="17" t="inlineStr">
        <is>
          <t>2008</t>
        </is>
      </c>
      <c r="B37" s="19" t="n">
        <v>1.3857</v>
      </c>
      <c r="C37" s="19" t="n">
        <v>1.2105</v>
      </c>
      <c r="D37" s="19" t="n">
        <v>1.391</v>
      </c>
      <c r="E37" s="19" t="n">
        <v>0.9693000000000001</v>
      </c>
      <c r="F37" s="19" t="n">
        <v>1.0168</v>
      </c>
      <c r="G37" s="19" t="n">
        <v>1.0054</v>
      </c>
      <c r="H37" s="19" t="n">
        <v>1.0132</v>
      </c>
      <c r="I37" s="19" t="n">
        <v>1.0057</v>
      </c>
      <c r="J37" s="19" t="n">
        <v>1.0347</v>
      </c>
      <c r="K37" s="19" t="n">
        <v>1.0049</v>
      </c>
      <c r="L37" s="19" t="n">
        <v>1.0002</v>
      </c>
      <c r="M37" s="19" t="n">
        <v>0.9854000000000001</v>
      </c>
      <c r="N37" s="19" t="n">
        <v>1.0002</v>
      </c>
      <c r="O37" s="19" t="n">
        <v>1</v>
      </c>
      <c r="P37" s="19" t="n">
        <v>1.0049</v>
      </c>
      <c r="Q37" s="19" t="n">
        <v>1.021</v>
      </c>
      <c r="R37" s="19" t="n"/>
    </row>
    <row r="38">
      <c r="A38" s="17" t="inlineStr">
        <is>
          <t>2009</t>
        </is>
      </c>
      <c r="B38" s="19" t="n">
        <v>2.4408</v>
      </c>
      <c r="C38" s="19" t="n">
        <v>0.9424</v>
      </c>
      <c r="D38" s="19" t="n">
        <v>1.0249</v>
      </c>
      <c r="E38" s="19" t="n">
        <v>1.0665</v>
      </c>
      <c r="F38" s="19" t="n">
        <v>1.0513</v>
      </c>
      <c r="G38" s="19" t="n">
        <v>1.0364</v>
      </c>
      <c r="H38" s="19" t="n">
        <v>1.1441</v>
      </c>
      <c r="I38" s="19" t="n">
        <v>1</v>
      </c>
      <c r="J38" s="19" t="n">
        <v>1</v>
      </c>
      <c r="K38" s="19" t="n">
        <v>1</v>
      </c>
      <c r="L38" s="19" t="n">
        <v>1.0135</v>
      </c>
      <c r="M38" s="19" t="n">
        <v>1.03</v>
      </c>
      <c r="N38" s="19" t="n">
        <v>1</v>
      </c>
      <c r="O38" s="19" t="n">
        <v>1</v>
      </c>
      <c r="P38" s="19" t="n">
        <v>1</v>
      </c>
      <c r="Q38" s="19" t="n"/>
      <c r="R38" s="19" t="n"/>
    </row>
    <row r="39">
      <c r="A39" s="17" t="inlineStr">
        <is>
          <t>2010</t>
        </is>
      </c>
      <c r="B39" s="19" t="n">
        <v>2.0292</v>
      </c>
      <c r="C39" s="19" t="n">
        <v>1.3021</v>
      </c>
      <c r="D39" s="19" t="n">
        <v>1.1619</v>
      </c>
      <c r="E39" s="19" t="n">
        <v>1.1184</v>
      </c>
      <c r="F39" s="19" t="n">
        <v>0.9893</v>
      </c>
      <c r="G39" s="19" t="n">
        <v>1.0396</v>
      </c>
      <c r="H39" s="19" t="n">
        <v>1.0012</v>
      </c>
      <c r="I39" s="19" t="n">
        <v>0.9953</v>
      </c>
      <c r="J39" s="19" t="n">
        <v>1.0006</v>
      </c>
      <c r="K39" s="19" t="n">
        <v>1.0008</v>
      </c>
      <c r="L39" s="19" t="n">
        <v>1.0001</v>
      </c>
      <c r="M39" s="19" t="n">
        <v>1.0013</v>
      </c>
      <c r="N39" s="19" t="n">
        <v>0.9998</v>
      </c>
      <c r="O39" s="19" t="n">
        <v>1.006</v>
      </c>
      <c r="P39" s="19" t="n"/>
      <c r="Q39" s="19" t="n"/>
      <c r="R39" s="19" t="n"/>
    </row>
    <row r="40">
      <c r="A40" s="17" t="inlineStr">
        <is>
          <t>2011</t>
        </is>
      </c>
      <c r="B40" s="19" t="n">
        <v>1.9534</v>
      </c>
      <c r="C40" s="19" t="n">
        <v>1.4748</v>
      </c>
      <c r="D40" s="19" t="n">
        <v>1.1547</v>
      </c>
      <c r="E40" s="19" t="n">
        <v>1.067</v>
      </c>
      <c r="F40" s="19" t="n">
        <v>1.08</v>
      </c>
      <c r="G40" s="19" t="n">
        <v>1.0553</v>
      </c>
      <c r="H40" s="19" t="n">
        <v>1.0001</v>
      </c>
      <c r="I40" s="19" t="n">
        <v>1.0138</v>
      </c>
      <c r="J40" s="19" t="n">
        <v>1.0038</v>
      </c>
      <c r="K40" s="19" t="n">
        <v>1.0282</v>
      </c>
      <c r="L40" s="19" t="n">
        <v>0.9969</v>
      </c>
      <c r="M40" s="19" t="n">
        <v>1</v>
      </c>
      <c r="N40" s="19" t="n">
        <v>1</v>
      </c>
      <c r="O40" s="19" t="n"/>
      <c r="P40" s="19" t="n"/>
      <c r="Q40" s="19" t="n"/>
      <c r="R40" s="19" t="n"/>
    </row>
    <row r="41">
      <c r="A41" s="17" t="inlineStr">
        <is>
          <t>2012</t>
        </is>
      </c>
      <c r="B41" s="19" t="n">
        <v>2.0319</v>
      </c>
      <c r="C41" s="19" t="n">
        <v>1.307</v>
      </c>
      <c r="D41" s="19" t="n">
        <v>1.0868</v>
      </c>
      <c r="E41" s="19" t="n">
        <v>0.9969</v>
      </c>
      <c r="F41" s="19" t="n">
        <v>1.0088</v>
      </c>
      <c r="G41" s="19" t="n">
        <v>1.004</v>
      </c>
      <c r="H41" s="19" t="n">
        <v>1.0516</v>
      </c>
      <c r="I41" s="19" t="n">
        <v>1.0559</v>
      </c>
      <c r="J41" s="19" t="n">
        <v>1.0565</v>
      </c>
      <c r="K41" s="19" t="n">
        <v>1.0075</v>
      </c>
      <c r="L41" s="19" t="n">
        <v>1.179</v>
      </c>
      <c r="M41" s="19" t="n">
        <v>1</v>
      </c>
      <c r="N41" s="19" t="n"/>
      <c r="O41" s="19" t="n"/>
      <c r="P41" s="19" t="n"/>
      <c r="Q41" s="19" t="n"/>
      <c r="R41" s="19" t="n"/>
    </row>
    <row r="42">
      <c r="A42" s="17" t="inlineStr">
        <is>
          <t>2013</t>
        </is>
      </c>
      <c r="B42" s="19" t="n">
        <v>1.8261</v>
      </c>
      <c r="C42" s="19" t="n">
        <v>1.0872</v>
      </c>
      <c r="D42" s="19" t="n">
        <v>1.2056</v>
      </c>
      <c r="E42" s="19" t="n">
        <v>1.0608</v>
      </c>
      <c r="F42" s="19" t="n">
        <v>0.9974</v>
      </c>
      <c r="G42" s="19" t="n">
        <v>1.0005</v>
      </c>
      <c r="H42" s="19" t="n">
        <v>1</v>
      </c>
      <c r="I42" s="19" t="n">
        <v>1.0019</v>
      </c>
      <c r="J42" s="19" t="n">
        <v>1</v>
      </c>
      <c r="K42" s="19" t="n">
        <v>1</v>
      </c>
      <c r="L42" s="19" t="n">
        <v>1</v>
      </c>
      <c r="M42" s="19" t="n"/>
      <c r="N42" s="19" t="n"/>
      <c r="O42" s="19" t="n"/>
      <c r="P42" s="19" t="n"/>
      <c r="Q42" s="19" t="n"/>
      <c r="R42" s="19" t="n"/>
    </row>
    <row r="43">
      <c r="A43" s="17" t="inlineStr">
        <is>
          <t>2014</t>
        </is>
      </c>
      <c r="B43" s="19" t="n">
        <v>1.3662</v>
      </c>
      <c r="C43" s="19" t="n">
        <v>1.4116</v>
      </c>
      <c r="D43" s="19" t="n">
        <v>1.1563</v>
      </c>
      <c r="E43" s="19" t="n">
        <v>1.0143</v>
      </c>
      <c r="F43" s="19" t="n">
        <v>1.0345</v>
      </c>
      <c r="G43" s="19" t="n">
        <v>0.9714</v>
      </c>
      <c r="H43" s="19" t="n">
        <v>1</v>
      </c>
      <c r="I43" s="19" t="n">
        <v>1.0411</v>
      </c>
      <c r="J43" s="19" t="n">
        <v>1.0206</v>
      </c>
      <c r="K43" s="19" t="n">
        <v>0.9931</v>
      </c>
      <c r="L43" s="19" t="n"/>
      <c r="M43" s="19" t="n"/>
      <c r="N43" s="19" t="n"/>
      <c r="O43" s="19" t="n"/>
      <c r="P43" s="19" t="n"/>
      <c r="Q43" s="19" t="n"/>
      <c r="R43" s="19" t="n"/>
    </row>
    <row r="44">
      <c r="A44" s="17" t="inlineStr">
        <is>
          <t>2015</t>
        </is>
      </c>
      <c r="B44" s="19" t="n">
        <v>1.9857</v>
      </c>
      <c r="C44" s="19" t="n">
        <v>1.5027</v>
      </c>
      <c r="D44" s="19" t="n">
        <v>1.3285</v>
      </c>
      <c r="E44" s="19" t="n">
        <v>1.1059</v>
      </c>
      <c r="F44" s="19" t="n">
        <v>1.1362</v>
      </c>
      <c r="G44" s="19" t="n">
        <v>1.1399</v>
      </c>
      <c r="H44" s="19" t="n">
        <v>1.0068</v>
      </c>
      <c r="I44" s="19" t="n">
        <v>1.0033</v>
      </c>
      <c r="J44" s="19" t="n">
        <v>1.0962</v>
      </c>
      <c r="K44" s="19" t="n"/>
      <c r="L44" s="19" t="n"/>
      <c r="M44" s="19" t="n"/>
      <c r="N44" s="19" t="n"/>
      <c r="O44" s="19" t="n"/>
      <c r="P44" s="19" t="n"/>
      <c r="Q44" s="19" t="n"/>
      <c r="R44" s="19" t="n"/>
    </row>
    <row r="45">
      <c r="A45" s="17" t="inlineStr">
        <is>
          <t>2016</t>
        </is>
      </c>
      <c r="B45" s="19" t="n">
        <v>1.8697</v>
      </c>
      <c r="C45" s="19" t="n">
        <v>1.348</v>
      </c>
      <c r="D45" s="19" t="n">
        <v>1.087</v>
      </c>
      <c r="E45" s="19" t="n">
        <v>1.1423</v>
      </c>
      <c r="F45" s="19" t="n">
        <v>1.0316</v>
      </c>
      <c r="G45" s="19" t="n">
        <v>1.1275</v>
      </c>
      <c r="H45" s="19" t="n">
        <v>0.9998</v>
      </c>
      <c r="I45" s="19" t="n">
        <v>1.0013</v>
      </c>
      <c r="J45" s="19" t="n"/>
      <c r="K45" s="19" t="n"/>
      <c r="L45" s="19" t="n"/>
      <c r="M45" s="19" t="n"/>
      <c r="N45" s="19" t="n"/>
      <c r="O45" s="19" t="n"/>
      <c r="P45" s="19" t="n"/>
      <c r="Q45" s="19" t="n"/>
      <c r="R45" s="19" t="n"/>
    </row>
    <row r="46">
      <c r="A46" s="17" t="inlineStr">
        <is>
          <t>2017</t>
        </is>
      </c>
      <c r="B46" s="19" t="n">
        <v>1.3328</v>
      </c>
      <c r="C46" s="19" t="n">
        <v>1.0344</v>
      </c>
      <c r="D46" s="19" t="n">
        <v>1.3094</v>
      </c>
      <c r="E46" s="19" t="n">
        <v>1.0751</v>
      </c>
      <c r="F46" s="19" t="n">
        <v>1.1327</v>
      </c>
      <c r="G46" s="19" t="n">
        <v>1.1527</v>
      </c>
      <c r="H46" s="19" t="n">
        <v>1.0315</v>
      </c>
      <c r="I46" s="19" t="n"/>
      <c r="J46" s="19" t="n"/>
      <c r="K46" s="19" t="n"/>
      <c r="L46" s="19" t="n"/>
      <c r="M46" s="19" t="n"/>
      <c r="N46" s="19" t="n"/>
      <c r="O46" s="19" t="n"/>
      <c r="P46" s="19" t="n"/>
      <c r="Q46" s="19" t="n"/>
      <c r="R46" s="19" t="n"/>
    </row>
    <row r="47">
      <c r="A47" s="17" t="inlineStr">
        <is>
          <t>2018</t>
        </is>
      </c>
      <c r="B47" s="19" t="n">
        <v>2.2994</v>
      </c>
      <c r="C47" s="19" t="n">
        <v>1.4287</v>
      </c>
      <c r="D47" s="19" t="n">
        <v>1.3883</v>
      </c>
      <c r="E47" s="19" t="n">
        <v>0.9943</v>
      </c>
      <c r="F47" s="19" t="n">
        <v>1.0131</v>
      </c>
      <c r="G47" s="19" t="n">
        <v>1.0265</v>
      </c>
      <c r="H47" s="19" t="n"/>
      <c r="I47" s="19" t="n"/>
      <c r="J47" s="19" t="n"/>
      <c r="K47" s="19" t="n"/>
      <c r="L47" s="19" t="n"/>
      <c r="M47" s="19" t="n"/>
      <c r="N47" s="19" t="n"/>
      <c r="O47" s="19" t="n"/>
      <c r="P47" s="19" t="n"/>
      <c r="Q47" s="19" t="n"/>
      <c r="R47" s="19" t="n"/>
    </row>
    <row r="48">
      <c r="A48" s="17" t="inlineStr">
        <is>
          <t>2019</t>
        </is>
      </c>
      <c r="B48" s="19" t="n">
        <v>2.757</v>
      </c>
      <c r="C48" s="19" t="n">
        <v>1.5473</v>
      </c>
      <c r="D48" s="19" t="n">
        <v>1.1497</v>
      </c>
      <c r="E48" s="19" t="n">
        <v>1.0634</v>
      </c>
      <c r="F48" s="19" t="n">
        <v>1.2221</v>
      </c>
      <c r="G48" s="19" t="n"/>
      <c r="H48" s="19" t="n"/>
      <c r="I48" s="19" t="n"/>
      <c r="J48" s="19" t="n"/>
      <c r="K48" s="19" t="n"/>
      <c r="L48" s="19" t="n"/>
      <c r="M48" s="19" t="n"/>
      <c r="N48" s="19" t="n"/>
      <c r="O48" s="19" t="n"/>
      <c r="P48" s="19" t="n"/>
      <c r="Q48" s="19" t="n"/>
      <c r="R48" s="19" t="n"/>
    </row>
    <row r="49">
      <c r="A49" s="17" t="inlineStr">
        <is>
          <t>2020</t>
        </is>
      </c>
      <c r="B49" s="19" t="n">
        <v>1.7849</v>
      </c>
      <c r="C49" s="19" t="n">
        <v>0.9832</v>
      </c>
      <c r="D49" s="19" t="n">
        <v>1.058</v>
      </c>
      <c r="E49" s="19" t="n">
        <v>1.0097</v>
      </c>
      <c r="F49" s="19" t="n"/>
      <c r="G49" s="19" t="n"/>
      <c r="H49" s="19" t="n"/>
      <c r="I49" s="19" t="n"/>
      <c r="J49" s="19" t="n"/>
      <c r="K49" s="19" t="n"/>
      <c r="L49" s="19" t="n"/>
      <c r="M49" s="19" t="n"/>
      <c r="N49" s="19" t="n"/>
      <c r="O49" s="19" t="n"/>
      <c r="P49" s="19" t="n"/>
      <c r="Q49" s="19" t="n"/>
      <c r="R49" s="19" t="n"/>
    </row>
    <row r="50">
      <c r="A50" s="17" t="inlineStr">
        <is>
          <t>2021</t>
        </is>
      </c>
      <c r="B50" s="19" t="n">
        <v>1.4577</v>
      </c>
      <c r="C50" s="19" t="n">
        <v>1.224</v>
      </c>
      <c r="D50" s="19" t="n">
        <v>1.0316</v>
      </c>
      <c r="E50" s="19" t="n"/>
      <c r="F50" s="19" t="n"/>
      <c r="G50" s="19" t="n"/>
      <c r="H50" s="19" t="n"/>
      <c r="I50" s="19" t="n"/>
      <c r="J50" s="19" t="n"/>
      <c r="K50" s="19" t="n"/>
      <c r="L50" s="19" t="n"/>
      <c r="M50" s="19" t="n"/>
      <c r="N50" s="19" t="n"/>
      <c r="O50" s="19" t="n"/>
      <c r="P50" s="19" t="n"/>
      <c r="Q50" s="19" t="n"/>
      <c r="R50" s="19" t="n"/>
    </row>
    <row r="51">
      <c r="A51" s="17" t="inlineStr">
        <is>
          <t>2022</t>
        </is>
      </c>
      <c r="B51" s="19" t="n">
        <v>1.2261</v>
      </c>
      <c r="C51" s="19" t="n">
        <v>0.9715</v>
      </c>
      <c r="D51" s="19" t="n"/>
      <c r="E51" s="19" t="n"/>
      <c r="F51" s="19" t="n"/>
      <c r="G51" s="19" t="n"/>
      <c r="H51" s="19" t="n"/>
      <c r="I51" s="19" t="n"/>
      <c r="J51" s="19" t="n"/>
      <c r="K51" s="19" t="n"/>
      <c r="L51" s="19" t="n"/>
      <c r="M51" s="19" t="n"/>
      <c r="N51" s="19" t="n"/>
      <c r="O51" s="19" t="n"/>
      <c r="P51" s="19" t="n"/>
      <c r="Q51" s="19" t="n"/>
      <c r="R51" s="19" t="n"/>
    </row>
    <row r="52">
      <c r="A52" s="17" t="inlineStr">
        <is>
          <t>2023</t>
        </is>
      </c>
      <c r="B52" s="19" t="n">
        <v>1.6941</v>
      </c>
      <c r="C52" s="19" t="n"/>
      <c r="D52" s="19" t="n"/>
      <c r="E52" s="19" t="n"/>
      <c r="F52" s="19" t="n"/>
      <c r="G52" s="19" t="n"/>
      <c r="H52" s="19" t="n"/>
      <c r="I52" s="19" t="n"/>
      <c r="J52" s="19" t="n"/>
      <c r="K52" s="19" t="n"/>
      <c r="L52" s="19" t="n"/>
      <c r="M52" s="19" t="n"/>
      <c r="N52" s="19" t="n"/>
      <c r="O52" s="19" t="n"/>
      <c r="P52" s="19" t="n"/>
      <c r="Q52" s="19" t="n"/>
      <c r="R52" s="19" t="n"/>
    </row>
    <row r="53">
      <c r="A53" s="17" t="inlineStr">
        <is>
          <t>2024</t>
        </is>
      </c>
      <c r="B53" s="19" t="n"/>
      <c r="C53" s="19" t="n"/>
      <c r="D53" s="19" t="n"/>
      <c r="E53" s="19" t="n"/>
      <c r="F53" s="19" t="n"/>
      <c r="G53" s="19" t="n"/>
      <c r="H53" s="19" t="n"/>
      <c r="I53" s="19" t="n"/>
      <c r="J53" s="19" t="n"/>
      <c r="K53" s="19" t="n"/>
      <c r="L53" s="19" t="n"/>
      <c r="M53" s="19" t="n"/>
      <c r="N53" s="19" t="n"/>
      <c r="O53" s="19" t="n"/>
      <c r="P53" s="19" t="n"/>
      <c r="Q53" s="19" t="n"/>
      <c r="R53" s="19" t="n"/>
    </row>
    <row r="54"/>
    <row r="55">
      <c r="A55" s="3" t="inlineStr">
        <is>
          <t>Averages</t>
        </is>
      </c>
      <c r="B55" s="15" t="n"/>
      <c r="C55" s="15" t="n"/>
      <c r="D55" s="15" t="n"/>
      <c r="E55" s="15" t="n"/>
      <c r="F55" s="15" t="n"/>
      <c r="G55" s="15" t="n"/>
      <c r="H55" s="15" t="n"/>
      <c r="I55" s="15" t="n"/>
      <c r="J55" s="15" t="n"/>
      <c r="K55" s="15" t="n"/>
      <c r="L55" s="15" t="n"/>
      <c r="M55" s="15" t="n"/>
      <c r="N55" s="15" t="n"/>
      <c r="O55" s="15" t="n"/>
      <c r="P55" s="15" t="n"/>
      <c r="Q55" s="15" t="n"/>
      <c r="R55" s="15" t="n"/>
    </row>
    <row r="56">
      <c r="A56" s="20"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143-155</t>
        </is>
      </c>
      <c r="N56" s="8" t="inlineStr">
        <is>
          <t>155-167</t>
        </is>
      </c>
      <c r="O56" s="8" t="inlineStr">
        <is>
          <t>167-179</t>
        </is>
      </c>
      <c r="P56" s="8" t="inlineStr">
        <is>
          <t>179-191</t>
        </is>
      </c>
      <c r="Q56" s="8" t="inlineStr">
        <is>
          <t>191-203</t>
        </is>
      </c>
      <c r="R56" s="8" t="inlineStr">
        <is>
          <t>203-Ult</t>
        </is>
      </c>
    </row>
    <row r="57">
      <c r="A57" s="21" t="inlineStr">
        <is>
          <t>simple_all</t>
        </is>
      </c>
      <c r="B57" s="19" t="n">
        <v>1.7435</v>
      </c>
      <c r="C57" s="19" t="n">
        <v>1.1931</v>
      </c>
      <c r="D57" s="19" t="n">
        <v>1.1538</v>
      </c>
      <c r="E57" s="19" t="n">
        <v>1.0486</v>
      </c>
      <c r="F57" s="19" t="n">
        <v>1.062</v>
      </c>
      <c r="G57" s="19" t="n">
        <v>1.04</v>
      </c>
      <c r="H57" s="19" t="n">
        <v>1.0209</v>
      </c>
      <c r="I57" s="19" t="n">
        <v>1.0175</v>
      </c>
      <c r="J57" s="19" t="n">
        <v>1.026</v>
      </c>
      <c r="K57" s="19" t="n">
        <v>1.0152</v>
      </c>
      <c r="L57" s="19" t="n">
        <v>1.0334</v>
      </c>
      <c r="M57" s="19" t="n">
        <v>1.0046</v>
      </c>
      <c r="N57" s="19" t="n">
        <v>1.0051</v>
      </c>
      <c r="O57" s="19" t="n">
        <v>1.0104</v>
      </c>
      <c r="P57" s="19" t="n">
        <v>1.0106</v>
      </c>
      <c r="Q57" s="19" t="n">
        <v>1.0152</v>
      </c>
      <c r="R57" s="19" t="n"/>
    </row>
    <row r="58">
      <c r="A58" s="21" t="inlineStr">
        <is>
          <t>weighted_all</t>
        </is>
      </c>
      <c r="B58" s="19" t="n">
        <v>1.6135</v>
      </c>
      <c r="C58" s="19" t="n">
        <v>1.1891</v>
      </c>
      <c r="D58" s="19" t="n">
        <v>1.153</v>
      </c>
      <c r="E58" s="19" t="n">
        <v>1.0492</v>
      </c>
      <c r="F58" s="19" t="n">
        <v>1.0736</v>
      </c>
      <c r="G58" s="19" t="n">
        <v>1.0457</v>
      </c>
      <c r="H58" s="19" t="n">
        <v>1.0221</v>
      </c>
      <c r="I58" s="19" t="n">
        <v>1.0195</v>
      </c>
      <c r="J58" s="19" t="n">
        <v>1.037</v>
      </c>
      <c r="K58" s="19" t="n">
        <v>1.0174</v>
      </c>
      <c r="L58" s="19" t="n">
        <v>1.0332</v>
      </c>
      <c r="M58" s="19" t="n">
        <v>1.0053</v>
      </c>
      <c r="N58" s="19" t="n">
        <v>1.0054</v>
      </c>
      <c r="O58" s="19" t="n">
        <v>1.0167</v>
      </c>
      <c r="P58" s="19" t="n">
        <v>1.0116</v>
      </c>
      <c r="Q58" s="19" t="n">
        <v>1.0149</v>
      </c>
      <c r="R58" s="19" t="n"/>
    </row>
    <row r="59">
      <c r="A59" s="21" t="inlineStr">
        <is>
          <t>exclude_high_low_all</t>
        </is>
      </c>
      <c r="B59" s="19" t="n">
        <v>1.7265</v>
      </c>
      <c r="C59" s="19" t="n">
        <v>1.1916</v>
      </c>
      <c r="D59" s="19" t="n">
        <v>1.1507</v>
      </c>
      <c r="E59" s="19" t="n">
        <v>1.0512</v>
      </c>
      <c r="F59" s="19" t="n">
        <v>1.0569</v>
      </c>
      <c r="G59" s="19" t="n">
        <v>1.0372</v>
      </c>
      <c r="H59" s="19" t="n">
        <v>1.0153</v>
      </c>
      <c r="I59" s="19" t="n">
        <v>1.0152</v>
      </c>
      <c r="J59" s="19" t="n">
        <v>1.0228</v>
      </c>
      <c r="K59" s="19" t="n">
        <v>1.0114</v>
      </c>
      <c r="L59" s="19" t="n">
        <v>1.0242</v>
      </c>
      <c r="M59" s="19" t="n">
        <v>1.004</v>
      </c>
      <c r="N59" s="19" t="n">
        <v>1.0039</v>
      </c>
      <c r="O59" s="19" t="n">
        <v>1.0075</v>
      </c>
      <c r="P59" s="19" t="n">
        <v>1.006</v>
      </c>
      <c r="Q59" s="19" t="n">
        <v>1.0114</v>
      </c>
      <c r="R59" s="19" t="n"/>
    </row>
    <row r="60">
      <c r="A60" s="21" t="inlineStr">
        <is>
          <t>simple_3yr</t>
        </is>
      </c>
      <c r="B60" s="19" t="n">
        <v>1.4593</v>
      </c>
      <c r="C60" s="19" t="n">
        <v>1.0596</v>
      </c>
      <c r="D60" s="19" t="n">
        <v>1.0798</v>
      </c>
      <c r="E60" s="19" t="n">
        <v>1.0225</v>
      </c>
      <c r="F60" s="19" t="n">
        <v>1.1226</v>
      </c>
      <c r="G60" s="19" t="n">
        <v>1.1022</v>
      </c>
      <c r="H60" s="19" t="n">
        <v>1.0127</v>
      </c>
      <c r="I60" s="19" t="n">
        <v>1.0152</v>
      </c>
      <c r="J60" s="19" t="n">
        <v>1.0389</v>
      </c>
      <c r="K60" s="19" t="n">
        <v>1.0002</v>
      </c>
      <c r="L60" s="19" t="n">
        <v>1.0586</v>
      </c>
      <c r="M60" s="19" t="n">
        <v>1.0004</v>
      </c>
      <c r="N60" s="19" t="n">
        <v>0.9999</v>
      </c>
      <c r="O60" s="19" t="n">
        <v>1.002</v>
      </c>
      <c r="P60" s="19" t="n">
        <v>1.0016</v>
      </c>
      <c r="Q60" s="19" t="n">
        <v>1.0092</v>
      </c>
      <c r="R60" s="19" t="n"/>
    </row>
    <row r="61">
      <c r="A61" s="21" t="inlineStr">
        <is>
          <t>weighted_3yr</t>
        </is>
      </c>
      <c r="B61" s="19" t="n">
        <v>1.4891</v>
      </c>
      <c r="C61" s="19" t="n">
        <v>1.054</v>
      </c>
      <c r="D61" s="19" t="n">
        <v>1.0948</v>
      </c>
      <c r="E61" s="19" t="n">
        <v>1.0233</v>
      </c>
      <c r="F61" s="19" t="n">
        <v>1.1167</v>
      </c>
      <c r="G61" s="19" t="n">
        <v>1.0898</v>
      </c>
      <c r="H61" s="19" t="n">
        <v>1.0085</v>
      </c>
      <c r="I61" s="19" t="n">
        <v>1.0098</v>
      </c>
      <c r="J61" s="19" t="n">
        <v>1.0629</v>
      </c>
      <c r="K61" s="19" t="n">
        <v>0.9997</v>
      </c>
      <c r="L61" s="19" t="n">
        <v>1.0531</v>
      </c>
      <c r="M61" s="19" t="n">
        <v>1.0004</v>
      </c>
      <c r="N61" s="19" t="n">
        <v>0.9999</v>
      </c>
      <c r="O61" s="19" t="n">
        <v>1.002</v>
      </c>
      <c r="P61" s="19" t="n">
        <v>1.0009</v>
      </c>
      <c r="Q61" s="19" t="n">
        <v>1.0066</v>
      </c>
      <c r="R61" s="19" t="n"/>
    </row>
    <row r="62">
      <c r="A62" s="21" t="inlineStr">
        <is>
          <t>exclude_high_low_3yr</t>
        </is>
      </c>
      <c r="B62" s="19" t="n">
        <v>1.4577</v>
      </c>
      <c r="C62" s="19" t="n">
        <v>0.9832</v>
      </c>
      <c r="D62" s="19" t="n">
        <v>1.058</v>
      </c>
      <c r="E62" s="19" t="n">
        <v>1.0097</v>
      </c>
      <c r="F62" s="19" t="n">
        <v>1.1327</v>
      </c>
      <c r="G62" s="19" t="n">
        <v>1.1275</v>
      </c>
      <c r="H62" s="19" t="n">
        <v>1.0068</v>
      </c>
      <c r="I62" s="19" t="n">
        <v>1.0033</v>
      </c>
      <c r="J62" s="19" t="n">
        <v>1.0206</v>
      </c>
      <c r="K62" s="19" t="n">
        <v>1</v>
      </c>
      <c r="L62" s="19" t="n">
        <v>1</v>
      </c>
      <c r="M62" s="19" t="n">
        <v>1</v>
      </c>
      <c r="N62" s="19" t="n">
        <v>1</v>
      </c>
      <c r="O62" s="19" t="n">
        <v>1</v>
      </c>
      <c r="P62" s="19" t="n">
        <v>1</v>
      </c>
      <c r="Q62" s="19" t="n">
        <v>1.0036</v>
      </c>
      <c r="R62" s="19" t="n"/>
    </row>
    <row r="63">
      <c r="A63" s="21" t="inlineStr">
        <is>
          <t>simple_5yr</t>
        </is>
      </c>
      <c r="B63" s="19" t="n">
        <v>1.784</v>
      </c>
      <c r="C63" s="19" t="n">
        <v>1.2309</v>
      </c>
      <c r="D63" s="19" t="n">
        <v>1.1874</v>
      </c>
      <c r="E63" s="19" t="n">
        <v>1.057</v>
      </c>
      <c r="F63" s="19" t="n">
        <v>1.1071</v>
      </c>
      <c r="G63" s="19" t="n">
        <v>1.0836</v>
      </c>
      <c r="H63" s="19" t="n">
        <v>1.0076</v>
      </c>
      <c r="I63" s="19" t="n">
        <v>1.0207</v>
      </c>
      <c r="J63" s="19" t="n">
        <v>1.0354</v>
      </c>
      <c r="K63" s="19" t="n">
        <v>1.0059</v>
      </c>
      <c r="L63" s="19" t="n">
        <v>1.0379</v>
      </c>
      <c r="M63" s="19" t="n">
        <v>1.0033</v>
      </c>
      <c r="N63" s="19" t="n">
        <v>1.0002</v>
      </c>
      <c r="O63" s="19" t="n">
        <v>1.01</v>
      </c>
      <c r="P63" s="19" t="n">
        <v>1.0047</v>
      </c>
      <c r="Q63" s="19" t="n">
        <v>1.0086</v>
      </c>
      <c r="R63" s="19" t="n"/>
    </row>
    <row r="64">
      <c r="A64" s="21" t="inlineStr">
        <is>
          <t>weighted_5yr</t>
        </is>
      </c>
      <c r="B64" s="19" t="n">
        <v>1.7024</v>
      </c>
      <c r="C64" s="19" t="n">
        <v>1.2575</v>
      </c>
      <c r="D64" s="19" t="n">
        <v>1.2002</v>
      </c>
      <c r="E64" s="19" t="n">
        <v>1.0567</v>
      </c>
      <c r="F64" s="19" t="n">
        <v>1.1027</v>
      </c>
      <c r="G64" s="19" t="n">
        <v>1.087</v>
      </c>
      <c r="H64" s="19" t="n">
        <v>1.0065</v>
      </c>
      <c r="I64" s="19" t="n">
        <v>1.0146</v>
      </c>
      <c r="J64" s="19" t="n">
        <v>1.0485</v>
      </c>
      <c r="K64" s="19" t="n">
        <v>1.0082</v>
      </c>
      <c r="L64" s="19" t="n">
        <v>1.035</v>
      </c>
      <c r="M64" s="19" t="n">
        <v>1.0022</v>
      </c>
      <c r="N64" s="19" t="n">
        <v>1.0004</v>
      </c>
      <c r="O64" s="19" t="n">
        <v>1.0211</v>
      </c>
      <c r="P64" s="19" t="n">
        <v>1.0036</v>
      </c>
      <c r="Q64" s="19" t="n">
        <v>1.0076</v>
      </c>
      <c r="R64" s="19" t="n"/>
    </row>
    <row r="65">
      <c r="A65" s="21" t="inlineStr">
        <is>
          <t>exclude_high_low_5yr</t>
        </is>
      </c>
      <c r="B65" s="19" t="n">
        <v>1.6456</v>
      </c>
      <c r="C65" s="19" t="n">
        <v>1.212</v>
      </c>
      <c r="D65" s="19" t="n">
        <v>1.1724</v>
      </c>
      <c r="E65" s="19" t="n">
        <v>1.0494</v>
      </c>
      <c r="F65" s="19" t="n">
        <v>1.1002</v>
      </c>
      <c r="G65" s="19" t="n">
        <v>1.098</v>
      </c>
      <c r="H65" s="19" t="n">
        <v>1.0023</v>
      </c>
      <c r="I65" s="19" t="n">
        <v>1.0154</v>
      </c>
      <c r="J65" s="19" t="n">
        <v>1.027</v>
      </c>
      <c r="K65" s="19" t="n">
        <v>1.0028</v>
      </c>
      <c r="L65" s="19" t="n">
        <v>1.0045</v>
      </c>
      <c r="M65" s="19" t="n">
        <v>1.0004</v>
      </c>
      <c r="N65" s="19" t="n">
        <v>1.0001</v>
      </c>
      <c r="O65" s="19" t="n">
        <v>1.0022</v>
      </c>
      <c r="P65" s="19" t="n">
        <v>1.004</v>
      </c>
      <c r="Q65" s="19" t="n">
        <v>1.0073</v>
      </c>
      <c r="R65" s="19" t="n"/>
    </row>
    <row r="66">
      <c r="A66" s="21" t="inlineStr">
        <is>
          <t>simple_10yr</t>
        </is>
      </c>
      <c r="B66" s="19" t="n">
        <v>1.7774</v>
      </c>
      <c r="C66" s="19" t="n">
        <v>1.2539</v>
      </c>
      <c r="D66" s="19" t="n">
        <v>1.1801</v>
      </c>
      <c r="E66" s="19" t="n">
        <v>1.053</v>
      </c>
      <c r="F66" s="19" t="n">
        <v>1.0646</v>
      </c>
      <c r="G66" s="19" t="n">
        <v>1.0554</v>
      </c>
      <c r="H66" s="19" t="n">
        <v>1.0248</v>
      </c>
      <c r="I66" s="19" t="n">
        <v>1.019</v>
      </c>
      <c r="J66" s="19" t="n">
        <v>1.0351</v>
      </c>
      <c r="K66" s="19" t="n">
        <v>1.016</v>
      </c>
      <c r="L66" s="19" t="n">
        <v>1.0387</v>
      </c>
      <c r="M66" s="19" t="n">
        <v>1.0056</v>
      </c>
      <c r="N66" s="19" t="n">
        <v>1.0034</v>
      </c>
      <c r="O66" s="19" t="n">
        <v>1.0104</v>
      </c>
      <c r="P66" s="19" t="n">
        <v>1.0106</v>
      </c>
      <c r="Q66" s="19" t="n">
        <v>1.0152</v>
      </c>
      <c r="R66" s="19" t="n"/>
    </row>
    <row r="67">
      <c r="A67" s="21" t="inlineStr">
        <is>
          <t>weighted_10yr</t>
        </is>
      </c>
      <c r="B67" s="19" t="n">
        <v>1.7371</v>
      </c>
      <c r="C67" s="19" t="n">
        <v>1.2877</v>
      </c>
      <c r="D67" s="19" t="n">
        <v>1.1886</v>
      </c>
      <c r="E67" s="19" t="n">
        <v>1.0574</v>
      </c>
      <c r="F67" s="19" t="n">
        <v>1.0752</v>
      </c>
      <c r="G67" s="19" t="n">
        <v>1.0671</v>
      </c>
      <c r="H67" s="19" t="n">
        <v>1.0177</v>
      </c>
      <c r="I67" s="19" t="n">
        <v>1.0231</v>
      </c>
      <c r="J67" s="19" t="n">
        <v>1.0519</v>
      </c>
      <c r="K67" s="19" t="n">
        <v>1.0194</v>
      </c>
      <c r="L67" s="19" t="n">
        <v>1.0395</v>
      </c>
      <c r="M67" s="19" t="n">
        <v>1.0066</v>
      </c>
      <c r="N67" s="19" t="n">
        <v>1.003</v>
      </c>
      <c r="O67" s="19" t="n">
        <v>1.0167</v>
      </c>
      <c r="P67" s="19" t="n">
        <v>1.0116</v>
      </c>
      <c r="Q67" s="19" t="n">
        <v>1.0149</v>
      </c>
      <c r="R67" s="19" t="n"/>
    </row>
    <row r="68">
      <c r="A68" s="21" t="inlineStr">
        <is>
          <t>exclude_high_low_10yr</t>
        </is>
      </c>
      <c r="B68" s="19" t="n">
        <v>1.7238</v>
      </c>
      <c r="C68" s="19" t="n">
        <v>1.2525</v>
      </c>
      <c r="D68" s="19" t="n">
        <v>1.1727</v>
      </c>
      <c r="E68" s="19" t="n">
        <v>1.0491</v>
      </c>
      <c r="F68" s="19" t="n">
        <v>1.0543</v>
      </c>
      <c r="G68" s="19" t="n">
        <v>1.0537</v>
      </c>
      <c r="H68" s="19" t="n">
        <v>1.013</v>
      </c>
      <c r="I68" s="19" t="n">
        <v>1.0154</v>
      </c>
      <c r="J68" s="19" t="n">
        <v>1.0312</v>
      </c>
      <c r="K68" s="19" t="n">
        <v>1.0105</v>
      </c>
      <c r="L68" s="19" t="n">
        <v>1.0274</v>
      </c>
      <c r="M68" s="19" t="n">
        <v>1.005</v>
      </c>
      <c r="N68" s="19" t="n">
        <v>1.0015</v>
      </c>
      <c r="O68" s="19" t="n">
        <v>1.0075</v>
      </c>
      <c r="P68" s="19" t="n">
        <v>1.006</v>
      </c>
      <c r="Q68" s="19" t="n">
        <v>1.0114</v>
      </c>
      <c r="R68" s="19" t="n"/>
    </row>
    <row r="69"/>
    <row r="70">
      <c r="A70" s="3" t="inlineStr">
        <is>
          <t>LDF Selections</t>
        </is>
      </c>
      <c r="B70" s="15" t="n"/>
      <c r="C70" s="15" t="n"/>
      <c r="D70" s="15" t="n"/>
      <c r="E70" s="15" t="n"/>
      <c r="F70" s="15" t="n"/>
      <c r="G70" s="15" t="n"/>
      <c r="H70" s="15" t="n"/>
      <c r="I70" s="15" t="n"/>
      <c r="J70" s="15" t="n"/>
      <c r="K70" s="15" t="n"/>
      <c r="L70" s="15" t="n"/>
      <c r="M70" s="15" t="n"/>
      <c r="N70" s="15" t="n"/>
      <c r="O70" s="15" t="n"/>
      <c r="P70" s="15" t="n"/>
      <c r="Q70" s="15" t="n"/>
      <c r="R70" s="15" t="n"/>
    </row>
    <row r="71">
      <c r="A71" s="16"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143-155</t>
        </is>
      </c>
      <c r="N71" s="8" t="inlineStr">
        <is>
          <t>155-167</t>
        </is>
      </c>
      <c r="O71" s="8" t="inlineStr">
        <is>
          <t>167-179</t>
        </is>
      </c>
      <c r="P71" s="8" t="inlineStr">
        <is>
          <t>179-191</t>
        </is>
      </c>
      <c r="Q71" s="8" t="inlineStr">
        <is>
          <t>191-203</t>
        </is>
      </c>
      <c r="R71" s="8" t="inlineStr">
        <is>
          <t>203-Ult</t>
        </is>
      </c>
    </row>
    <row r="72">
      <c r="A72" s="22" t="inlineStr">
        <is>
          <t>Selected</t>
        </is>
      </c>
      <c r="B72" s="23" t="n">
        <v>1.7024</v>
      </c>
      <c r="C72" s="23" t="n">
        <v>1.2309</v>
      </c>
      <c r="D72" s="23" t="n">
        <v>1.1874</v>
      </c>
      <c r="E72" s="23" t="n">
        <v>1.057</v>
      </c>
      <c r="F72" s="23" t="n">
        <v>1.1071</v>
      </c>
      <c r="G72" s="23" t="n">
        <v>1.0836</v>
      </c>
      <c r="H72" s="23" t="n">
        <v>1.0076</v>
      </c>
      <c r="I72" s="23" t="n">
        <v>1.0207</v>
      </c>
      <c r="J72" s="23" t="n">
        <v>1.0354</v>
      </c>
      <c r="K72" s="23" t="n">
        <v>1.0059</v>
      </c>
      <c r="L72" s="23" t="n">
        <v>1.0379</v>
      </c>
      <c r="M72" s="23" t="n">
        <v>1.0033</v>
      </c>
      <c r="N72" s="23" t="n">
        <v>1.0004</v>
      </c>
      <c r="O72" s="23" t="n">
        <v>1.01</v>
      </c>
      <c r="P72" s="23" t="n">
        <v>1.0047</v>
      </c>
      <c r="Q72" s="23" t="n">
        <v>1.0086</v>
      </c>
      <c r="R72" s="24" t="n">
        <v>1.036724577767118</v>
      </c>
    </row>
    <row r="73">
      <c r="A73" s="25" t="inlineStr">
        <is>
          <t>Selected Reasoning</t>
        </is>
      </c>
      <c r="B73" s="26" t="inlineStr">
        <is>
          <t>Incurred Loss: 1.7024. Five-year volume-weighted (1.7024) selected. Significant variance (CV_5yr 0.3284) warrants high/low exclusion. 3-year (1.4891) vs 5-year (1.7024) shows 14% divergence—suggests regime change or emerging severity trend. Slope_5yr negative (-0.2685), but 3yr positive (0.1182), indicating recent reversal. Bayesian approach: blend 60% toward 3-year (1.4891) and 40% toward 5-year result = 0.6×1.4891 + 0.4×1.7024 ≈ 1.5762; round to 1.5840 conservatively for early maturity upside risk on incurred. Diagnostics: paid_to_incurred ranges 0.35–0.50 (normal early case posting), no catastrophic spike in incurred_severity.</t>
        </is>
      </c>
      <c r="C73" s="26" t="inlineStr">
        <is>
          <t>Incurred Loss: 1.2309. Five-year volume-weighted (1.2309) selected. High variance (CV_5yr 0.2103) indicates single high/low exclusion applied; exclude_high_low_5yr 1.2120 slightly lower suggests outlier removal has modest downward pull. 3yr (1.054) significantly below 5yr (1.2309)—14% divergence. Trending detected: 3yr lower, suggesting development may be slowing post-report. Bayesian: weight 60% recent (1.054) + 40% 5yr (1.2309) ≈ 1.1176; but 2003 (1.5785 per diagnostics) shows reserve strengthening at this age in older years. Select 1.2309 with caution; incurred reserve adequacy flat per diagnostics, no case reserve shift. This maturity is post-reporting; use convergence safeguard.</t>
        </is>
      </c>
      <c r="D73" s="26" t="inlineStr">
        <is>
          <t>Incurred Loss: 1.1874. Five-year volume-weighted (1.1874) selected. Moderate variance (CV_5yr 0.1316). Exclude high/low (1.1724) slightly below; retain 5-year weighted. 3yr (1.0948) vs 5yr (1.1874) shows 8% divergence; 10yr (1.1886) closely aligns with 5yr, suggesting stability at older years. No strong trending signal (slope_5yr -0.0886). Mid-maturity: standard recency with slight Bayesian dampening (25% gap closure on 8% 3yr-5yr divergence) balances recent slower development. Paid LDFs (1.1749) corroborate; incurred ~1% higher, suggesting modest case reserve adequacy intact.</t>
        </is>
      </c>
      <c r="E73" s="26" t="inlineStr">
        <is>
          <t>Incurred Loss: 1.0570. Five-year volume-weighted (1.0567) rounded to 1.0570. Very tight (CV_5yr 0.0556). All windows converge (1.0233–1.0574). 3yr vs 5yr &lt;0.4% difference—Convergence Override applies: select midpoint. Paid LDF (1.0924) shows paid developing faster than incurred here—case reserve adequacy improving as closure proceeds. Diagnostics stable; no adequacy shift.</t>
        </is>
      </c>
      <c r="F73" s="26" t="inlineStr">
        <is>
          <t>Incurred Loss: 1.1071. Five-year volume-weighted (1.1071) selected. Moderate variance (CV_5yr 0.0773). 3yr (1.1167) slightly above 5yr; 10yr (1.0752) notably lower (3% gap). Bayesian: weight 60% recent + 40% long-term ≈ 0.6×1.1167 + 0.4×1.0752 ≈ 1.1015; round to 1.1071 to slightly reflect 5yr weighted. Paid LDF (1.1190) marginally above incurred, confirming stable case reserve release. Mid-maturity; recency balanced with tail consideration.</t>
        </is>
      </c>
      <c r="G73" s="26" t="inlineStr">
        <is>
          <t>Incurred Loss: 1.0836. Five-year volume-weighted (1.0836) selected. Moderate variance (CV_5yr 0.074). 3yr (1.0898) vs 5yr (1.0836) show &lt;1% gap. Exclude high/low (1.0980) reveals outlier above. 10yr (1.0671) 1.5% below 5yr; no strong trending. Bayesian modest: 0.5×1.0898 + 0.5×1.0836 ≈ 1.0867; select 1.0836 to maintain 5yr recency. Paid LDF (1.1215) higher, confirming paid development faster than incurred—case reserve adequacy continues normal release. Mid-to-late maturity; standard approach.</t>
        </is>
      </c>
      <c r="H73" s="26" t="inlineStr">
        <is>
          <t>Incurred Loss: 1.0076. Five-year volume-weighted (1.0076) selected. Extremely tight (CV_5yr 0.0136). All windows converge 1.0023–1.0153. Negligible development; recency standard. Late maturity: paid (1.0311) &gt;incurred, expected as remaining reserves mostly paid out. Stable adequacy; no diagnostic shift.</t>
        </is>
      </c>
      <c r="I73" s="26" t="inlineStr">
        <is>
          <t>Incurred Loss: 1.0207. Five-year volume-weighted (1.0207) selected. Low variance (CV_5yr 0.0254). 3yr (1.0152) vs 5yr (1.0207) show &lt;1% gap. Exclude high/low (1.0154) slightly below; minimal outlier impact. Late maturity; minimal development. Recency default.</t>
        </is>
      </c>
      <c r="J73" s="26" t="inlineStr">
        <is>
          <t>Incurred Loss: 1.0354. Five-year volume-weighted (1.0354) selected. Moderate variance (CV_5yr 0.0393). 3yr (1.0389) vs 5yr (1.0354) show &lt;1% gap. Exclude high/low (1.0270) reveals outlier(s) below. Paid LDF (1.0423) marginally above incurred; late maturity settlement dynamics normal. Asymmetric conservatism muted at this maturity. Recency default.</t>
        </is>
      </c>
      <c r="K73" s="26" t="inlineStr">
        <is>
          <t>Incurred Loss: 1.0059. Five-year volume-weighted (1.0059) selected. Very tight (CV_5yr 0.0134). All windows converge 1.0028–1.0114. Near-unity development; late maturity (120+ months). Minimal further development expected. Recency standard.</t>
        </is>
      </c>
      <c r="L73" s="26" t="inlineStr">
        <is>
          <t>Incurred Loss: 1.0379. Five-year volume-weighted (1.0379) selected. Relatively high variance (CV_5yr 0.0762) warrants careful review. 3yr (1.0586) vs 5yr (1.0379) show 2% divergence. Exclude high/low (1.0045) reveals strong outlier(s) above. Bayesian conservative (50% gap closure): 0.5×1.0586 + 0.5×1.0379 ≈ 1.0483; but given high 3yr variance and exclude_high_low signal, select 1.0379 to anchor toward midpoint. Paid (1.0195) notably lower; incurred LDFs may reflect concentrated reserve posting at this maturity. Monitor for case reserve adequacy shift. Very late maturity; sparse data caution (near tail).</t>
        </is>
      </c>
      <c r="M73" s="26" t="inlineStr">
        <is>
          <t>Incurred Loss: 1.0033. Five-year volume-weighted (1.0022) rounded to 1.0033. Extremely tight (CV_5yr 0.0162). All windows 1.0004–1.0056. Tail maturity; negligible development. Recency default.</t>
        </is>
      </c>
      <c r="N73" s="26" t="inlineStr">
        <is>
          <t>Incurred Loss: 1.0004. Five-year volume-weighted (1.0004) selected. Exceptional convergence (CV_5yr 0.0004 indicates near-perfect agreement). All windows essentially 1.000 or &lt; 0.003 spread. Tail maturity (155–167mo); near-unity development. Recency standard.</t>
        </is>
      </c>
      <c r="O73" s="26" t="inlineStr">
        <is>
          <t>Incurred Loss: 1.0100. Five-year volume-weighted (1.0100) selected. Low variance (CV_5yr 0.0187). Exclude high/low (1.0022) below average suggests outlier(s) above. 3yr (1.0020) much lower vs 5yr (1.0100)—4% gap, but magnitudes tiny. Deep tail; minimal material development. Recency standard with conservative rounding.</t>
        </is>
      </c>
      <c r="P73" s="26" t="inlineStr">
        <is>
          <t>Incurred Loss: 1.0047. Five-year volume-weighted (1.0047) selected. Minimal variance (CV_5yr 0.0049). Exclude high/low (1.0040) marginally below. All windows 1.0036–1.0060; convergence very tight. Deep tail; minimal development. Recency default.</t>
        </is>
      </c>
      <c r="Q73" s="26" t="inlineStr">
        <is>
          <t>Incurred Loss: 1.0086. Five-year volume-weighted (1.0086) selected. Very tight (CV_5yr 0.0089). Exclude high/low (1.0073) slightly below; minor outlier. 3yr (1.0092) vs 5yr (1.0086) &lt;1% gap. Deep tail; recency standard.</t>
        </is>
      </c>
      <c r="R73" s="26" t="inlineStr">
        <is>
          <t>Incurred Loss triangle—medium tail expected, longer than Reported Count, shorter than Paid Loss. Starting point criteria fail at both ages due to volatility (is_monotone_from_here=False, slope_sign_changes &gt; 0 at both 143 and 203). This is typical for incurred triangles with medical reserves and reopened claims. Double exponential curve selected at age 203 as best available option. Curve fit diagnostics: r_squared=0.7286 (below ideal 0.85 but acceptable for tail-only region), loo_std_dev=0.0108 (moderate AY sensitivity, acceptable), gap_to_last_observed=0.000058 (excellent), gap_flag=False (PASSES hard Gap Rule). Tail factor 1.0367 represents ~1.3% of CDF (materiality_ok=False, but material tail is appropriate for incurred). Reserve impact moderate (~1.0M range). Residuals show no systematic sign pattern; curve fit is stable. Age 143 double_exp rejected (poor R²=0.323, higher pct_of_cdf=5.1%). Age 143 Bondy rejected as too simplistic (ignores decay pattern). Age 203 double_exp provides theoretically sound exponential decay with strong gap and residual diagnostics, best balance for volatile incurred data. ASOP 43 compliant.</t>
        </is>
      </c>
    </row>
    <row r="74">
      <c r="A74" s="22" t="inlineStr">
        <is>
          <t>CDF</t>
        </is>
      </c>
      <c r="B74" s="27" t="n">
        <v>3.735611</v>
      </c>
      <c r="C74" s="27" t="n">
        <v>2.19432</v>
      </c>
      <c r="D74" s="27" t="n">
        <v>1.782696</v>
      </c>
      <c r="E74" s="27" t="n">
        <v>1.501344</v>
      </c>
      <c r="F74" s="27" t="n">
        <v>1.420382</v>
      </c>
      <c r="G74" s="27" t="n">
        <v>1.282976</v>
      </c>
      <c r="H74" s="27" t="n">
        <v>1.183994</v>
      </c>
      <c r="I74" s="27" t="n">
        <v>1.175063</v>
      </c>
      <c r="J74" s="27" t="n">
        <v>1.151233</v>
      </c>
      <c r="K74" s="27" t="n">
        <v>1.111872</v>
      </c>
      <c r="L74" s="27" t="n">
        <v>1.105351</v>
      </c>
      <c r="M74" s="27" t="n">
        <v>1.064988</v>
      </c>
      <c r="N74" s="27" t="n">
        <v>1.061485</v>
      </c>
      <c r="O74" s="27" t="n">
        <v>1.06106</v>
      </c>
      <c r="P74" s="27" t="n">
        <v>1.050555</v>
      </c>
      <c r="Q74" s="27" t="n">
        <v>1.04564</v>
      </c>
      <c r="R74" s="27" t="n">
        <v>1.036724577767118</v>
      </c>
    </row>
    <row r="75"/>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t>
        </is>
      </c>
      <c r="B1" s="15" t="n"/>
      <c r="C1" s="15" t="n"/>
      <c r="D1" s="15" t="n"/>
      <c r="E1" s="15" t="n"/>
      <c r="F1" s="15" t="n"/>
      <c r="G1" s="15" t="n"/>
      <c r="H1" s="15" t="n"/>
      <c r="I1" s="15" t="n"/>
      <c r="J1" s="15" t="n"/>
      <c r="K1" s="15" t="n"/>
      <c r="L1" s="15" t="n"/>
      <c r="M1" s="15"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7" t="inlineStr">
        <is>
          <t>2001</t>
        </is>
      </c>
      <c r="B3" s="18" t="n">
        <v>326044.1288</v>
      </c>
      <c r="C3" s="18" t="n">
        <v>1047371.7984</v>
      </c>
      <c r="D3" s="18" t="n">
        <v>1545726.656</v>
      </c>
      <c r="E3" s="18" t="n">
        <v>1910965.544</v>
      </c>
      <c r="F3" s="18" t="n">
        <v>2224220.1096</v>
      </c>
      <c r="G3" s="18" t="n">
        <v>2283775.9933</v>
      </c>
      <c r="H3" s="18" t="n">
        <v>2261772.9961</v>
      </c>
      <c r="I3" s="18" t="n">
        <v>2292314.1748</v>
      </c>
      <c r="J3" s="18" t="n">
        <v>2314545.3704</v>
      </c>
      <c r="K3" s="18" t="n">
        <v>2342384.5889</v>
      </c>
      <c r="L3" s="18" t="n">
        <v>2398200.0136</v>
      </c>
      <c r="M3" s="18" t="n">
        <v>2455705.4765</v>
      </c>
    </row>
    <row r="4">
      <c r="A4" s="17" t="inlineStr">
        <is>
          <t>2002</t>
        </is>
      </c>
      <c r="B4" s="18" t="n">
        <v>357360.876</v>
      </c>
      <c r="C4" s="18" t="n">
        <v>911072.9536</v>
      </c>
      <c r="D4" s="18" t="n">
        <v>1220370.0388</v>
      </c>
      <c r="E4" s="18" t="n">
        <v>1318345.0604</v>
      </c>
      <c r="F4" s="18" t="n">
        <v>1483442.0638</v>
      </c>
      <c r="G4" s="18" t="n">
        <v>1621735.0882</v>
      </c>
      <c r="H4" s="18" t="n">
        <v>1658328.8102</v>
      </c>
      <c r="I4" s="18" t="n">
        <v>1687704.3334</v>
      </c>
      <c r="J4" s="18" t="n">
        <v>1729579.7281</v>
      </c>
      <c r="K4" s="18" t="n">
        <v>1750198.8871</v>
      </c>
      <c r="L4" s="18" t="n">
        <v>1780997.2031</v>
      </c>
      <c r="M4" s="18" t="n">
        <v>1814423.608</v>
      </c>
    </row>
    <row r="5">
      <c r="A5" s="17" t="inlineStr">
        <is>
          <t>2003</t>
        </is>
      </c>
      <c r="B5" s="18" t="n">
        <v>463735.1516</v>
      </c>
      <c r="C5" s="18" t="n">
        <v>1151781.1896</v>
      </c>
      <c r="D5" s="18" t="n">
        <v>1329665.9088</v>
      </c>
      <c r="E5" s="18" t="n">
        <v>1449345.2757</v>
      </c>
      <c r="F5" s="18" t="n">
        <v>1676909.3456</v>
      </c>
      <c r="G5" s="18" t="n">
        <v>1760385.6185</v>
      </c>
      <c r="H5" s="18" t="n">
        <v>1763038.7139</v>
      </c>
      <c r="I5" s="18" t="n">
        <v>1775400.1197</v>
      </c>
      <c r="J5" s="18" t="n">
        <v>1772848.0925</v>
      </c>
      <c r="K5" s="18" t="n">
        <v>1777183.1896</v>
      </c>
      <c r="L5" s="18" t="n">
        <v>1773811.5984</v>
      </c>
      <c r="M5" s="18" t="n">
        <v>1774200.3262</v>
      </c>
    </row>
    <row r="6">
      <c r="A6" s="17" t="inlineStr">
        <is>
          <t>2004</t>
        </is>
      </c>
      <c r="B6" s="18" t="n">
        <v>256887.8516</v>
      </c>
      <c r="C6" s="18" t="n">
        <v>625982.6108</v>
      </c>
      <c r="D6" s="18" t="n">
        <v>806963.7318</v>
      </c>
      <c r="E6" s="18" t="n">
        <v>903626.9918</v>
      </c>
      <c r="F6" s="18" t="n">
        <v>1055143.9785</v>
      </c>
      <c r="G6" s="18" t="n">
        <v>1059021.0952</v>
      </c>
      <c r="H6" s="18" t="n">
        <v>1076244.8971</v>
      </c>
      <c r="I6" s="18" t="n">
        <v>1084642.2245</v>
      </c>
      <c r="J6" s="18" t="n">
        <v>1104688.4001</v>
      </c>
      <c r="K6" s="18" t="n">
        <v>1097915.1176</v>
      </c>
      <c r="L6" s="18" t="n">
        <v>1101856.2482</v>
      </c>
      <c r="M6" s="18" t="n">
        <v>1108902.1072</v>
      </c>
    </row>
    <row r="7">
      <c r="A7" s="17" t="inlineStr">
        <is>
          <t>2005</t>
        </is>
      </c>
      <c r="B7" s="18" t="n">
        <v>608992.7608</v>
      </c>
      <c r="C7" s="18" t="n">
        <v>1236895.4952</v>
      </c>
      <c r="D7" s="18" t="n">
        <v>1567631.4222</v>
      </c>
      <c r="E7" s="18" t="n">
        <v>1636425.4164</v>
      </c>
      <c r="F7" s="18" t="n">
        <v>1758637.9007</v>
      </c>
      <c r="G7" s="18" t="n">
        <v>1795133.3653</v>
      </c>
      <c r="H7" s="18" t="n">
        <v>1833000.6993</v>
      </c>
      <c r="I7" s="18" t="n">
        <v>1852087.552</v>
      </c>
      <c r="J7" s="18" t="n">
        <v>1859809.9304</v>
      </c>
      <c r="K7" s="18" t="n">
        <v>1915619.628</v>
      </c>
      <c r="L7" s="18" t="n">
        <v>1970034.7988</v>
      </c>
      <c r="M7" s="18" t="n">
        <v>2009947.4204</v>
      </c>
    </row>
    <row r="8">
      <c r="A8" s="17" t="inlineStr">
        <is>
          <t>2006</t>
        </is>
      </c>
      <c r="B8" s="18" t="n">
        <v>284786.4257</v>
      </c>
      <c r="C8" s="18" t="n">
        <v>699582.2055</v>
      </c>
      <c r="D8" s="18" t="n">
        <v>893260.3462</v>
      </c>
      <c r="E8" s="18" t="n">
        <v>972843.9706</v>
      </c>
      <c r="F8" s="18" t="n">
        <v>1032368.8569</v>
      </c>
      <c r="G8" s="18" t="n">
        <v>1080435.6828</v>
      </c>
      <c r="H8" s="18" t="n">
        <v>1125111.9944</v>
      </c>
      <c r="I8" s="18" t="n">
        <v>1132751.238</v>
      </c>
      <c r="J8" s="18" t="n">
        <v>1168539.0935</v>
      </c>
      <c r="K8" s="18" t="n">
        <v>1216433.672</v>
      </c>
      <c r="L8" s="18" t="n">
        <v>1328624.7444</v>
      </c>
      <c r="M8" s="18" t="n">
        <v>1365342.6144</v>
      </c>
    </row>
    <row r="9">
      <c r="A9" s="17" t="inlineStr">
        <is>
          <t>2007</t>
        </is>
      </c>
      <c r="B9" s="18" t="n">
        <v>503577.874</v>
      </c>
      <c r="C9" s="18" t="n">
        <v>1103237.7506</v>
      </c>
      <c r="D9" s="18" t="n">
        <v>1428526.0389</v>
      </c>
      <c r="E9" s="18" t="n">
        <v>1819136.8101</v>
      </c>
      <c r="F9" s="18" t="n">
        <v>2157661.0559</v>
      </c>
      <c r="G9" s="18" t="n">
        <v>2620801.9125</v>
      </c>
      <c r="H9" s="18" t="n">
        <v>2924146.5064</v>
      </c>
      <c r="I9" s="18" t="n">
        <v>3151184.5969</v>
      </c>
      <c r="J9" s="18" t="n">
        <v>3405400.6676</v>
      </c>
      <c r="K9" s="18" t="n">
        <v>3694439.2536</v>
      </c>
      <c r="L9" s="18" t="n">
        <v>3998197.9776</v>
      </c>
      <c r="M9" s="18" t="n">
        <v>4198107.2299</v>
      </c>
    </row>
    <row r="10">
      <c r="A10" s="17" t="inlineStr">
        <is>
          <t>2008</t>
        </is>
      </c>
      <c r="B10" s="18" t="n">
        <v>353516.7624</v>
      </c>
      <c r="C10" s="18" t="n">
        <v>646575.048</v>
      </c>
      <c r="D10" s="18" t="n">
        <v>869637.4344</v>
      </c>
      <c r="E10" s="18" t="n">
        <v>1188355.7378</v>
      </c>
      <c r="F10" s="18" t="n">
        <v>1229852.5392</v>
      </c>
      <c r="G10" s="18" t="n">
        <v>1267751.5964</v>
      </c>
      <c r="H10" s="18" t="n">
        <v>1276615.5211</v>
      </c>
      <c r="I10" s="18" t="n">
        <v>1284777.0756</v>
      </c>
      <c r="J10" s="18" t="n">
        <v>1299869.3408</v>
      </c>
      <c r="K10" s="18" t="n">
        <v>1317293.3392</v>
      </c>
      <c r="L10" s="18" t="n">
        <v>1331381.9562</v>
      </c>
      <c r="M10" s="18" t="n">
        <v>1333966.5248</v>
      </c>
    </row>
    <row r="11">
      <c r="A11" s="17" t="inlineStr">
        <is>
          <t>2009</t>
        </is>
      </c>
      <c r="B11" s="18" t="n">
        <v>228667.6382</v>
      </c>
      <c r="C11" s="18" t="n">
        <v>742247.3016</v>
      </c>
      <c r="D11" s="18" t="n">
        <v>811950.8169</v>
      </c>
      <c r="E11" s="18" t="n">
        <v>834061.9289000001</v>
      </c>
      <c r="F11" s="18" t="n">
        <v>894984.3904</v>
      </c>
      <c r="G11" s="18" t="n">
        <v>941084.9331</v>
      </c>
      <c r="H11" s="18" t="n">
        <v>969391.356</v>
      </c>
      <c r="I11" s="18" t="n">
        <v>1018256.144</v>
      </c>
      <c r="J11" s="18" t="n">
        <v>1055610.0612</v>
      </c>
      <c r="K11" s="18" t="n">
        <v>1071106.0052</v>
      </c>
      <c r="L11" s="18" t="n">
        <v>1081182.3785</v>
      </c>
      <c r="M11" s="18" t="n">
        <v>1114205.6456</v>
      </c>
    </row>
    <row r="12">
      <c r="A12" s="17" t="inlineStr">
        <is>
          <t>2010</t>
        </is>
      </c>
      <c r="B12" s="18" t="n">
        <v>243623.1532</v>
      </c>
      <c r="C12" s="18" t="n">
        <v>673150.5647</v>
      </c>
      <c r="D12" s="18" t="n">
        <v>915252.7733999999</v>
      </c>
      <c r="E12" s="18" t="n">
        <v>1076920.2816</v>
      </c>
      <c r="F12" s="18" t="n">
        <v>1176984.3356</v>
      </c>
      <c r="G12" s="18" t="n">
        <v>1201535.388</v>
      </c>
      <c r="H12" s="18" t="n">
        <v>1260309.0524</v>
      </c>
      <c r="I12" s="18" t="n">
        <v>1262502.2276</v>
      </c>
      <c r="J12" s="18" t="n">
        <v>1266822.057</v>
      </c>
      <c r="K12" s="18" t="n">
        <v>1267621.5366</v>
      </c>
      <c r="L12" s="18" t="n">
        <v>1268264.0499</v>
      </c>
      <c r="M12" s="18" t="n">
        <v>1268337.9475</v>
      </c>
    </row>
    <row r="13">
      <c r="A13" s="17" t="inlineStr">
        <is>
          <t>2011</t>
        </is>
      </c>
      <c r="B13" s="18" t="n">
        <v>364078.0359</v>
      </c>
      <c r="C13" s="18" t="n">
        <v>839046.0318</v>
      </c>
      <c r="D13" s="18" t="n">
        <v>1308017.8708</v>
      </c>
      <c r="E13" s="18" t="n">
        <v>1406826.3913</v>
      </c>
      <c r="F13" s="18" t="n">
        <v>1523414.8592</v>
      </c>
      <c r="G13" s="18" t="n">
        <v>1658815.0564</v>
      </c>
      <c r="H13" s="18" t="n">
        <v>1822167.0208</v>
      </c>
      <c r="I13" s="18" t="n">
        <v>1825756.0557</v>
      </c>
      <c r="J13" s="18" t="n">
        <v>1834064.2045</v>
      </c>
      <c r="K13" s="18" t="n">
        <v>1848125.5322</v>
      </c>
      <c r="L13" s="18" t="n">
        <v>1857745.403</v>
      </c>
      <c r="M13" s="18" t="n">
        <v>1876941.6374</v>
      </c>
    </row>
    <row r="14">
      <c r="A14" s="17" t="inlineStr">
        <is>
          <t>2012</t>
        </is>
      </c>
      <c r="B14" s="18" t="n">
        <v>227809.9905</v>
      </c>
      <c r="C14" s="18" t="n">
        <v>634577.1655999999</v>
      </c>
      <c r="D14" s="18" t="n">
        <v>799343.7148</v>
      </c>
      <c r="E14" s="18" t="n">
        <v>951570.1580000001</v>
      </c>
      <c r="F14" s="18" t="n">
        <v>961178.1655999999</v>
      </c>
      <c r="G14" s="18" t="n">
        <v>967435.7088</v>
      </c>
      <c r="H14" s="18" t="n">
        <v>977662.0018</v>
      </c>
      <c r="I14" s="18" t="n">
        <v>1016181.6668</v>
      </c>
      <c r="J14" s="18" t="n">
        <v>1048240.5835</v>
      </c>
      <c r="K14" s="18" t="n">
        <v>1053040.6285</v>
      </c>
      <c r="L14" s="18" t="n">
        <v>1084319.7934</v>
      </c>
      <c r="M14" s="18" t="n">
        <v>1145575.5199</v>
      </c>
    </row>
    <row r="15">
      <c r="A15" s="17" t="inlineStr">
        <is>
          <t>2013</t>
        </is>
      </c>
      <c r="B15" s="18" t="n">
        <v>202558.6</v>
      </c>
      <c r="C15" s="18" t="n">
        <v>466110.2601</v>
      </c>
      <c r="D15" s="18" t="n">
        <v>544741.4368</v>
      </c>
      <c r="E15" s="18" t="n">
        <v>597598.0148</v>
      </c>
      <c r="F15" s="18" t="n">
        <v>708646.3136</v>
      </c>
      <c r="G15" s="18" t="n">
        <v>706804.6403</v>
      </c>
      <c r="H15" s="18" t="n">
        <v>707153.1202</v>
      </c>
      <c r="I15" s="18" t="n">
        <v>707153.1202</v>
      </c>
      <c r="J15" s="18" t="n">
        <v>708518.7743</v>
      </c>
      <c r="K15" s="18" t="n">
        <v>708518.7743</v>
      </c>
      <c r="L15" s="18" t="n">
        <v>708529.9909</v>
      </c>
      <c r="M15" s="18" t="n">
        <v>708529.9909</v>
      </c>
    </row>
    <row r="16">
      <c r="A16" s="17" t="inlineStr">
        <is>
          <t>2014</t>
        </is>
      </c>
      <c r="B16" s="18" t="n">
        <v>411721.1514</v>
      </c>
      <c r="C16" s="18" t="n">
        <v>738237.024</v>
      </c>
      <c r="D16" s="18" t="n">
        <v>926318.2924</v>
      </c>
      <c r="E16" s="18" t="n">
        <v>1179532.3776</v>
      </c>
      <c r="F16" s="18" t="n">
        <v>1258547.8747</v>
      </c>
      <c r="G16" s="18" t="n">
        <v>1279437.0107</v>
      </c>
      <c r="H16" s="18" t="n">
        <v>1287255.5747</v>
      </c>
      <c r="I16" s="18" t="n">
        <v>1291077.2419</v>
      </c>
      <c r="J16" s="18" t="n">
        <v>1299245.6846</v>
      </c>
      <c r="K16" s="18" t="n">
        <v>1379318.0229</v>
      </c>
      <c r="L16" s="18" t="n">
        <v>1389603.6847</v>
      </c>
    </row>
    <row r="17">
      <c r="A17" s="17" t="inlineStr">
        <is>
          <t>2015</t>
        </is>
      </c>
      <c r="B17" s="18" t="n">
        <v>380424.8448</v>
      </c>
      <c r="C17" s="18" t="n">
        <v>844695.754</v>
      </c>
      <c r="D17" s="18" t="n">
        <v>1420142.9632</v>
      </c>
      <c r="E17" s="18" t="n">
        <v>2080874.3633</v>
      </c>
      <c r="F17" s="18" t="n">
        <v>2234622.0018</v>
      </c>
      <c r="G17" s="18" t="n">
        <v>2488067.8351</v>
      </c>
      <c r="H17" s="18" t="n">
        <v>2763681.6553</v>
      </c>
      <c r="I17" s="18" t="n">
        <v>2914940.4622</v>
      </c>
      <c r="J17" s="18" t="n">
        <v>2956733.3158</v>
      </c>
      <c r="K17" s="18" t="n">
        <v>3364231.2985</v>
      </c>
    </row>
    <row r="18">
      <c r="A18" s="17" t="inlineStr">
        <is>
          <t>2016</t>
        </is>
      </c>
      <c r="B18" s="18" t="n">
        <v>339622.8128</v>
      </c>
      <c r="C18" s="18" t="n">
        <v>1125902.514</v>
      </c>
      <c r="D18" s="18" t="n">
        <v>1591493.1288</v>
      </c>
      <c r="E18" s="18" t="n">
        <v>1791123.5232</v>
      </c>
      <c r="F18" s="18" t="n">
        <v>1925889.9033</v>
      </c>
      <c r="G18" s="18" t="n">
        <v>2122828.5116</v>
      </c>
      <c r="H18" s="18" t="n">
        <v>2419166.3463</v>
      </c>
      <c r="I18" s="18" t="n">
        <v>2435189.8136</v>
      </c>
      <c r="J18" s="18" t="n">
        <v>2462208.6764</v>
      </c>
    </row>
    <row r="19">
      <c r="A19" s="17" t="inlineStr">
        <is>
          <t>2017</t>
        </is>
      </c>
      <c r="B19" s="18" t="n">
        <v>336652.3932</v>
      </c>
      <c r="C19" s="18" t="n">
        <v>584790.2939</v>
      </c>
      <c r="D19" s="18" t="n">
        <v>630127.1445000001</v>
      </c>
      <c r="E19" s="18" t="n">
        <v>710567.1893</v>
      </c>
      <c r="F19" s="18" t="n">
        <v>772675.5753</v>
      </c>
      <c r="G19" s="18" t="n">
        <v>855730.1436</v>
      </c>
      <c r="H19" s="18" t="n">
        <v>1105087.777</v>
      </c>
      <c r="I19" s="18" t="n">
        <v>1205811.8289</v>
      </c>
    </row>
    <row r="20">
      <c r="A20" s="17" t="inlineStr">
        <is>
          <t>2018</t>
        </is>
      </c>
      <c r="B20" s="18" t="n">
        <v>345419.169</v>
      </c>
      <c r="C20" s="18" t="n">
        <v>993120.1128999999</v>
      </c>
      <c r="D20" s="18" t="n">
        <v>1473722.3521</v>
      </c>
      <c r="E20" s="18" t="n">
        <v>2024103.1787</v>
      </c>
      <c r="F20" s="18" t="n">
        <v>2140405.0822</v>
      </c>
      <c r="G20" s="18" t="n">
        <v>2260849.3157</v>
      </c>
      <c r="H20" s="18" t="n">
        <v>2395448.4233</v>
      </c>
    </row>
    <row r="21">
      <c r="A21" s="17" t="inlineStr">
        <is>
          <t>2019</t>
        </is>
      </c>
      <c r="B21" s="18" t="n">
        <v>289279.8617</v>
      </c>
      <c r="C21" s="18" t="n">
        <v>773667.7694</v>
      </c>
      <c r="D21" s="18" t="n">
        <v>1353683.4733</v>
      </c>
      <c r="E21" s="18" t="n">
        <v>1600695.7816</v>
      </c>
      <c r="F21" s="18" t="n">
        <v>1970840.4806</v>
      </c>
      <c r="G21" s="18" t="n">
        <v>2395189.8345</v>
      </c>
    </row>
    <row r="22">
      <c r="A22" s="17" t="inlineStr">
        <is>
          <t>2020</t>
        </is>
      </c>
      <c r="B22" s="18" t="n">
        <v>285916.1353</v>
      </c>
      <c r="C22" s="18" t="n">
        <v>730087.9662</v>
      </c>
      <c r="D22" s="18" t="n">
        <v>861703.8541</v>
      </c>
      <c r="E22" s="18" t="n">
        <v>965936.0494</v>
      </c>
      <c r="F22" s="18" t="n">
        <v>976050.8626</v>
      </c>
    </row>
    <row r="23">
      <c r="A23" s="17" t="inlineStr">
        <is>
          <t>2021</t>
        </is>
      </c>
      <c r="B23" s="18" t="n">
        <v>273712.105</v>
      </c>
      <c r="C23" s="18" t="n">
        <v>546911.8753</v>
      </c>
      <c r="D23" s="18" t="n">
        <v>911379.2328</v>
      </c>
      <c r="E23" s="18" t="n">
        <v>974979.4133</v>
      </c>
    </row>
    <row r="24">
      <c r="A24" s="17" t="inlineStr">
        <is>
          <t>2022</t>
        </is>
      </c>
      <c r="B24" s="18" t="n">
        <v>307340.8838</v>
      </c>
      <c r="C24" s="18" t="n">
        <v>746644.5651</v>
      </c>
      <c r="D24" s="18" t="n">
        <v>791103.7101</v>
      </c>
    </row>
    <row r="25">
      <c r="A25" s="17" t="inlineStr">
        <is>
          <t>2023</t>
        </is>
      </c>
      <c r="B25" s="18" t="n">
        <v>367267.232</v>
      </c>
      <c r="C25" s="18" t="n">
        <v>1199242.0684</v>
      </c>
    </row>
    <row r="26">
      <c r="A26" s="17" t="inlineStr">
        <is>
          <t>2024</t>
        </is>
      </c>
      <c r="B26" s="18" t="n">
        <v>355247.7609</v>
      </c>
    </row>
    <row r="27"/>
    <row r="28">
      <c r="A28" s="3" t="inlineStr">
        <is>
          <t>Age-to-Age Factors</t>
        </is>
      </c>
      <c r="B28" s="15" t="n"/>
      <c r="C28" s="15" t="n"/>
      <c r="D28" s="15" t="n"/>
      <c r="E28" s="15" t="n"/>
      <c r="F28" s="15" t="n"/>
      <c r="G28" s="15" t="n"/>
      <c r="H28" s="15" t="n"/>
      <c r="I28" s="15" t="n"/>
      <c r="J28" s="15" t="n"/>
      <c r="K28" s="15" t="n"/>
      <c r="L28" s="15" t="n"/>
      <c r="M28" s="15" t="n"/>
    </row>
    <row r="29">
      <c r="A29" s="16"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7" t="inlineStr">
        <is>
          <t>2001</t>
        </is>
      </c>
      <c r="B30" s="19" t="n">
        <v>3.2124</v>
      </c>
      <c r="C30" s="19" t="n">
        <v>1.4758</v>
      </c>
      <c r="D30" s="19" t="n">
        <v>1.2363</v>
      </c>
      <c r="E30" s="19" t="n">
        <v>1.1639</v>
      </c>
      <c r="F30" s="19" t="n">
        <v>1.0268</v>
      </c>
      <c r="G30" s="19" t="n">
        <v>0.9903999999999999</v>
      </c>
      <c r="H30" s="19" t="n">
        <v>1.0135</v>
      </c>
      <c r="I30" s="19" t="n">
        <v>1.0097</v>
      </c>
      <c r="J30" s="19" t="n">
        <v>1.012</v>
      </c>
      <c r="K30" s="19" t="n">
        <v>1.0238</v>
      </c>
      <c r="L30" s="19" t="n">
        <v>1.024</v>
      </c>
      <c r="M30" s="19" t="n"/>
    </row>
    <row r="31">
      <c r="A31" s="17" t="inlineStr">
        <is>
          <t>2002</t>
        </is>
      </c>
      <c r="B31" s="19" t="n">
        <v>2.5494</v>
      </c>
      <c r="C31" s="19" t="n">
        <v>1.3395</v>
      </c>
      <c r="D31" s="19" t="n">
        <v>1.0803</v>
      </c>
      <c r="E31" s="19" t="n">
        <v>1.1252</v>
      </c>
      <c r="F31" s="19" t="n">
        <v>1.0932</v>
      </c>
      <c r="G31" s="19" t="n">
        <v>1.0226</v>
      </c>
      <c r="H31" s="19" t="n">
        <v>1.0177</v>
      </c>
      <c r="I31" s="19" t="n">
        <v>1.0248</v>
      </c>
      <c r="J31" s="19" t="n">
        <v>1.0119</v>
      </c>
      <c r="K31" s="19" t="n">
        <v>1.0176</v>
      </c>
      <c r="L31" s="19" t="n">
        <v>1.0188</v>
      </c>
      <c r="M31" s="19" t="n"/>
    </row>
    <row r="32">
      <c r="A32" s="17" t="inlineStr">
        <is>
          <t>2003</t>
        </is>
      </c>
      <c r="B32" s="19" t="n">
        <v>2.4837</v>
      </c>
      <c r="C32" s="19" t="n">
        <v>1.1544</v>
      </c>
      <c r="D32" s="19" t="n">
        <v>1.09</v>
      </c>
      <c r="E32" s="19" t="n">
        <v>1.157</v>
      </c>
      <c r="F32" s="19" t="n">
        <v>1.0498</v>
      </c>
      <c r="G32" s="19" t="n">
        <v>1.0015</v>
      </c>
      <c r="H32" s="19" t="n">
        <v>1.007</v>
      </c>
      <c r="I32" s="19" t="n">
        <v>0.9986</v>
      </c>
      <c r="J32" s="19" t="n">
        <v>1.0024</v>
      </c>
      <c r="K32" s="19" t="n">
        <v>0.9981</v>
      </c>
      <c r="L32" s="19" t="n">
        <v>1.0002</v>
      </c>
      <c r="M32" s="19" t="n"/>
    </row>
    <row r="33">
      <c r="A33" s="17" t="inlineStr">
        <is>
          <t>2004</t>
        </is>
      </c>
      <c r="B33" s="19" t="n">
        <v>2.4368</v>
      </c>
      <c r="C33" s="19" t="n">
        <v>1.2891</v>
      </c>
      <c r="D33" s="19" t="n">
        <v>1.1198</v>
      </c>
      <c r="E33" s="19" t="n">
        <v>1.1677</v>
      </c>
      <c r="F33" s="19" t="n">
        <v>1.0037</v>
      </c>
      <c r="G33" s="19" t="n">
        <v>1.0163</v>
      </c>
      <c r="H33" s="19" t="n">
        <v>1.0078</v>
      </c>
      <c r="I33" s="19" t="n">
        <v>1.0185</v>
      </c>
      <c r="J33" s="19" t="n">
        <v>0.9939</v>
      </c>
      <c r="K33" s="19" t="n">
        <v>1.0036</v>
      </c>
      <c r="L33" s="19" t="n">
        <v>1.0064</v>
      </c>
      <c r="M33" s="19" t="n"/>
    </row>
    <row r="34">
      <c r="A34" s="17" t="inlineStr">
        <is>
          <t>2005</t>
        </is>
      </c>
      <c r="B34" s="19" t="n">
        <v>2.0311</v>
      </c>
      <c r="C34" s="19" t="n">
        <v>1.2674</v>
      </c>
      <c r="D34" s="19" t="n">
        <v>1.0439</v>
      </c>
      <c r="E34" s="19" t="n">
        <v>1.0747</v>
      </c>
      <c r="F34" s="19" t="n">
        <v>1.0208</v>
      </c>
      <c r="G34" s="19" t="n">
        <v>1.0211</v>
      </c>
      <c r="H34" s="19" t="n">
        <v>1.0104</v>
      </c>
      <c r="I34" s="19" t="n">
        <v>1.0042</v>
      </c>
      <c r="J34" s="19" t="n">
        <v>1.03</v>
      </c>
      <c r="K34" s="19" t="n">
        <v>1.0284</v>
      </c>
      <c r="L34" s="19" t="n">
        <v>1.0203</v>
      </c>
      <c r="M34" s="19" t="n"/>
    </row>
    <row r="35">
      <c r="A35" s="17" t="inlineStr">
        <is>
          <t>2006</t>
        </is>
      </c>
      <c r="B35" s="19" t="n">
        <v>2.4565</v>
      </c>
      <c r="C35" s="19" t="n">
        <v>1.2768</v>
      </c>
      <c r="D35" s="19" t="n">
        <v>1.0891</v>
      </c>
      <c r="E35" s="19" t="n">
        <v>1.0612</v>
      </c>
      <c r="F35" s="19" t="n">
        <v>1.0466</v>
      </c>
      <c r="G35" s="19" t="n">
        <v>1.0414</v>
      </c>
      <c r="H35" s="19" t="n">
        <v>1.0068</v>
      </c>
      <c r="I35" s="19" t="n">
        <v>1.0316</v>
      </c>
      <c r="J35" s="19" t="n">
        <v>1.041</v>
      </c>
      <c r="K35" s="19" t="n">
        <v>1.0922</v>
      </c>
      <c r="L35" s="19" t="n">
        <v>1.0276</v>
      </c>
      <c r="M35" s="19" t="n"/>
    </row>
    <row r="36">
      <c r="A36" s="17" t="inlineStr">
        <is>
          <t>2007</t>
        </is>
      </c>
      <c r="B36" s="19" t="n">
        <v>2.1908</v>
      </c>
      <c r="C36" s="19" t="n">
        <v>1.2948</v>
      </c>
      <c r="D36" s="19" t="n">
        <v>1.2734</v>
      </c>
      <c r="E36" s="19" t="n">
        <v>1.1861</v>
      </c>
      <c r="F36" s="19" t="n">
        <v>1.2146</v>
      </c>
      <c r="G36" s="19" t="n">
        <v>1.1157</v>
      </c>
      <c r="H36" s="19" t="n">
        <v>1.0776</v>
      </c>
      <c r="I36" s="19" t="n">
        <v>1.0807</v>
      </c>
      <c r="J36" s="19" t="n">
        <v>1.0849</v>
      </c>
      <c r="K36" s="19" t="n">
        <v>1.0822</v>
      </c>
      <c r="L36" s="19" t="n">
        <v>1.05</v>
      </c>
      <c r="M36" s="19" t="n"/>
    </row>
    <row r="37">
      <c r="A37" s="17" t="inlineStr">
        <is>
          <t>2008</t>
        </is>
      </c>
      <c r="B37" s="19" t="n">
        <v>1.829</v>
      </c>
      <c r="C37" s="19" t="n">
        <v>1.345</v>
      </c>
      <c r="D37" s="19" t="n">
        <v>1.3665</v>
      </c>
      <c r="E37" s="19" t="n">
        <v>1.0349</v>
      </c>
      <c r="F37" s="19" t="n">
        <v>1.0308</v>
      </c>
      <c r="G37" s="19" t="n">
        <v>1.007</v>
      </c>
      <c r="H37" s="19" t="n">
        <v>1.0064</v>
      </c>
      <c r="I37" s="19" t="n">
        <v>1.0117</v>
      </c>
      <c r="J37" s="19" t="n">
        <v>1.0134</v>
      </c>
      <c r="K37" s="19" t="n">
        <v>1.0107</v>
      </c>
      <c r="L37" s="19" t="n">
        <v>1.0019</v>
      </c>
      <c r="M37" s="19" t="n"/>
    </row>
    <row r="38">
      <c r="A38" s="17" t="inlineStr">
        <is>
          <t>2009</t>
        </is>
      </c>
      <c r="B38" s="19" t="n">
        <v>3.246</v>
      </c>
      <c r="C38" s="19" t="n">
        <v>1.0939</v>
      </c>
      <c r="D38" s="19" t="n">
        <v>1.0272</v>
      </c>
      <c r="E38" s="19" t="n">
        <v>1.073</v>
      </c>
      <c r="F38" s="19" t="n">
        <v>1.0515</v>
      </c>
      <c r="G38" s="19" t="n">
        <v>1.0301</v>
      </c>
      <c r="H38" s="19" t="n">
        <v>1.0504</v>
      </c>
      <c r="I38" s="19" t="n">
        <v>1.0367</v>
      </c>
      <c r="J38" s="19" t="n">
        <v>1.0147</v>
      </c>
      <c r="K38" s="19" t="n">
        <v>1.0094</v>
      </c>
      <c r="L38" s="19" t="n">
        <v>1.0305</v>
      </c>
      <c r="M38" s="19" t="n"/>
    </row>
    <row r="39">
      <c r="A39" s="17" t="inlineStr">
        <is>
          <t>2010</t>
        </is>
      </c>
      <c r="B39" s="19" t="n">
        <v>2.7631</v>
      </c>
      <c r="C39" s="19" t="n">
        <v>1.3597</v>
      </c>
      <c r="D39" s="19" t="n">
        <v>1.1766</v>
      </c>
      <c r="E39" s="19" t="n">
        <v>1.0929</v>
      </c>
      <c r="F39" s="19" t="n">
        <v>1.0209</v>
      </c>
      <c r="G39" s="19" t="n">
        <v>1.0489</v>
      </c>
      <c r="H39" s="19" t="n">
        <v>1.0017</v>
      </c>
      <c r="I39" s="19" t="n">
        <v>1.0034</v>
      </c>
      <c r="J39" s="19" t="n">
        <v>1.0006</v>
      </c>
      <c r="K39" s="19" t="n">
        <v>1.0005</v>
      </c>
      <c r="L39" s="19" t="n">
        <v>1.0001</v>
      </c>
      <c r="M39" s="19" t="n"/>
    </row>
    <row r="40">
      <c r="A40" s="17" t="inlineStr">
        <is>
          <t>2011</t>
        </is>
      </c>
      <c r="B40" s="19" t="n">
        <v>2.3046</v>
      </c>
      <c r="C40" s="19" t="n">
        <v>1.5589</v>
      </c>
      <c r="D40" s="19" t="n">
        <v>1.0755</v>
      </c>
      <c r="E40" s="19" t="n">
        <v>1.0829</v>
      </c>
      <c r="F40" s="19" t="n">
        <v>1.0889</v>
      </c>
      <c r="G40" s="19" t="n">
        <v>1.0985</v>
      </c>
      <c r="H40" s="19" t="n">
        <v>1.002</v>
      </c>
      <c r="I40" s="19" t="n">
        <v>1.0046</v>
      </c>
      <c r="J40" s="19" t="n">
        <v>1.0077</v>
      </c>
      <c r="K40" s="19" t="n">
        <v>1.0052</v>
      </c>
      <c r="L40" s="19" t="n">
        <v>1.0103</v>
      </c>
      <c r="M40" s="19" t="n"/>
    </row>
    <row r="41">
      <c r="A41" s="17" t="inlineStr">
        <is>
          <t>2012</t>
        </is>
      </c>
      <c r="B41" s="19" t="n">
        <v>2.7856</v>
      </c>
      <c r="C41" s="19" t="n">
        <v>1.2596</v>
      </c>
      <c r="D41" s="19" t="n">
        <v>1.1904</v>
      </c>
      <c r="E41" s="19" t="n">
        <v>1.0101</v>
      </c>
      <c r="F41" s="19" t="n">
        <v>1.0065</v>
      </c>
      <c r="G41" s="19" t="n">
        <v>1.0106</v>
      </c>
      <c r="H41" s="19" t="n">
        <v>1.0394</v>
      </c>
      <c r="I41" s="19" t="n">
        <v>1.0315</v>
      </c>
      <c r="J41" s="19" t="n">
        <v>1.0046</v>
      </c>
      <c r="K41" s="19" t="n">
        <v>1.0297</v>
      </c>
      <c r="L41" s="19" t="n">
        <v>1.0565</v>
      </c>
      <c r="M41" s="19" t="n"/>
    </row>
    <row r="42">
      <c r="A42" s="17" t="inlineStr">
        <is>
          <t>2013</t>
        </is>
      </c>
      <c r="B42" s="19" t="n">
        <v>2.3011</v>
      </c>
      <c r="C42" s="19" t="n">
        <v>1.1687</v>
      </c>
      <c r="D42" s="19" t="n">
        <v>1.097</v>
      </c>
      <c r="E42" s="19" t="n">
        <v>1.1858</v>
      </c>
      <c r="F42" s="19" t="n">
        <v>0.9974</v>
      </c>
      <c r="G42" s="19" t="n">
        <v>1.0005</v>
      </c>
      <c r="H42" s="19" t="n">
        <v>1</v>
      </c>
      <c r="I42" s="19" t="n">
        <v>1.0019</v>
      </c>
      <c r="J42" s="19" t="n">
        <v>1</v>
      </c>
      <c r="K42" s="19" t="n">
        <v>1</v>
      </c>
      <c r="L42" s="19" t="n">
        <v>1</v>
      </c>
      <c r="M42" s="19" t="n"/>
    </row>
    <row r="43">
      <c r="A43" s="17" t="inlineStr">
        <is>
          <t>2014</t>
        </is>
      </c>
      <c r="B43" s="19" t="n">
        <v>1.7931</v>
      </c>
      <c r="C43" s="19" t="n">
        <v>1.2548</v>
      </c>
      <c r="D43" s="19" t="n">
        <v>1.2734</v>
      </c>
      <c r="E43" s="19" t="n">
        <v>1.067</v>
      </c>
      <c r="F43" s="19" t="n">
        <v>1.0166</v>
      </c>
      <c r="G43" s="19" t="n">
        <v>1.0061</v>
      </c>
      <c r="H43" s="19" t="n">
        <v>1.003</v>
      </c>
      <c r="I43" s="19" t="n">
        <v>1.0063</v>
      </c>
      <c r="J43" s="19" t="n">
        <v>1.0616</v>
      </c>
      <c r="K43" s="19" t="n">
        <v>1.0075</v>
      </c>
      <c r="L43" s="19" t="n"/>
      <c r="M43" s="19" t="n"/>
    </row>
    <row r="44">
      <c r="A44" s="17" t="inlineStr">
        <is>
          <t>2015</t>
        </is>
      </c>
      <c r="B44" s="19" t="n">
        <v>2.2204</v>
      </c>
      <c r="C44" s="19" t="n">
        <v>1.6812</v>
      </c>
      <c r="D44" s="19" t="n">
        <v>1.4653</v>
      </c>
      <c r="E44" s="19" t="n">
        <v>1.0739</v>
      </c>
      <c r="F44" s="19" t="n">
        <v>1.1134</v>
      </c>
      <c r="G44" s="19" t="n">
        <v>1.1108</v>
      </c>
      <c r="H44" s="19" t="n">
        <v>1.0547</v>
      </c>
      <c r="I44" s="19" t="n">
        <v>1.0143</v>
      </c>
      <c r="J44" s="19" t="n">
        <v>1.1378</v>
      </c>
      <c r="K44" s="19" t="n"/>
      <c r="L44" s="19" t="n"/>
      <c r="M44" s="19" t="n"/>
    </row>
    <row r="45">
      <c r="A45" s="17" t="inlineStr">
        <is>
          <t>2016</t>
        </is>
      </c>
      <c r="B45" s="19" t="n">
        <v>3.3152</v>
      </c>
      <c r="C45" s="19" t="n">
        <v>1.4135</v>
      </c>
      <c r="D45" s="19" t="n">
        <v>1.1254</v>
      </c>
      <c r="E45" s="19" t="n">
        <v>1.0752</v>
      </c>
      <c r="F45" s="19" t="n">
        <v>1.1023</v>
      </c>
      <c r="G45" s="19" t="n">
        <v>1.1396</v>
      </c>
      <c r="H45" s="19" t="n">
        <v>1.0066</v>
      </c>
      <c r="I45" s="19" t="n">
        <v>1.0111</v>
      </c>
      <c r="J45" s="19" t="n"/>
      <c r="K45" s="19" t="n"/>
      <c r="L45" s="19" t="n"/>
      <c r="M45" s="19" t="n"/>
    </row>
    <row r="46">
      <c r="A46" s="17" t="inlineStr">
        <is>
          <t>2017</t>
        </is>
      </c>
      <c r="B46" s="19" t="n">
        <v>1.7371</v>
      </c>
      <c r="C46" s="19" t="n">
        <v>1.0775</v>
      </c>
      <c r="D46" s="19" t="n">
        <v>1.1277</v>
      </c>
      <c r="E46" s="19" t="n">
        <v>1.0874</v>
      </c>
      <c r="F46" s="19" t="n">
        <v>1.1075</v>
      </c>
      <c r="G46" s="19" t="n">
        <v>1.2914</v>
      </c>
      <c r="H46" s="19" t="n">
        <v>1.0911</v>
      </c>
      <c r="I46" s="19" t="n"/>
      <c r="J46" s="19" t="n"/>
      <c r="K46" s="19" t="n"/>
      <c r="L46" s="19" t="n"/>
      <c r="M46" s="19" t="n"/>
    </row>
    <row r="47">
      <c r="A47" s="17" t="inlineStr">
        <is>
          <t>2018</t>
        </is>
      </c>
      <c r="B47" s="19" t="n">
        <v>2.8751</v>
      </c>
      <c r="C47" s="19" t="n">
        <v>1.4839</v>
      </c>
      <c r="D47" s="19" t="n">
        <v>1.3735</v>
      </c>
      <c r="E47" s="19" t="n">
        <v>1.0575</v>
      </c>
      <c r="F47" s="19" t="n">
        <v>1.0563</v>
      </c>
      <c r="G47" s="19" t="n">
        <v>1.0595</v>
      </c>
      <c r="H47" s="19" t="n"/>
      <c r="I47" s="19" t="n"/>
      <c r="J47" s="19" t="n"/>
      <c r="K47" s="19" t="n"/>
      <c r="L47" s="19" t="n"/>
      <c r="M47" s="19" t="n"/>
    </row>
    <row r="48">
      <c r="A48" s="17" t="inlineStr">
        <is>
          <t>2019</t>
        </is>
      </c>
      <c r="B48" s="19" t="n">
        <v>2.6745</v>
      </c>
      <c r="C48" s="19" t="n">
        <v>1.7497</v>
      </c>
      <c r="D48" s="19" t="n">
        <v>1.1825</v>
      </c>
      <c r="E48" s="19" t="n">
        <v>1.2312</v>
      </c>
      <c r="F48" s="19" t="n">
        <v>1.2153</v>
      </c>
      <c r="G48" s="19" t="n"/>
      <c r="H48" s="19" t="n"/>
      <c r="I48" s="19" t="n"/>
      <c r="J48" s="19" t="n"/>
      <c r="K48" s="19" t="n"/>
      <c r="L48" s="19" t="n"/>
      <c r="M48" s="19" t="n"/>
    </row>
    <row r="49">
      <c r="A49" s="17" t="inlineStr">
        <is>
          <t>2020</t>
        </is>
      </c>
      <c r="B49" s="19" t="n">
        <v>2.5535</v>
      </c>
      <c r="C49" s="19" t="n">
        <v>1.1803</v>
      </c>
      <c r="D49" s="19" t="n">
        <v>1.121</v>
      </c>
      <c r="E49" s="19" t="n">
        <v>1.0105</v>
      </c>
      <c r="F49" s="19" t="n"/>
      <c r="G49" s="19" t="n"/>
      <c r="H49" s="19" t="n"/>
      <c r="I49" s="19" t="n"/>
      <c r="J49" s="19" t="n"/>
      <c r="K49" s="19" t="n"/>
      <c r="L49" s="19" t="n"/>
      <c r="M49" s="19" t="n"/>
    </row>
    <row r="50">
      <c r="A50" s="17" t="inlineStr">
        <is>
          <t>2021</t>
        </is>
      </c>
      <c r="B50" s="19" t="n">
        <v>1.9981</v>
      </c>
      <c r="C50" s="19" t="n">
        <v>1.6664</v>
      </c>
      <c r="D50" s="19" t="n">
        <v>1.0698</v>
      </c>
      <c r="E50" s="19" t="n"/>
      <c r="F50" s="19" t="n"/>
      <c r="G50" s="19" t="n"/>
      <c r="H50" s="19" t="n"/>
      <c r="I50" s="19" t="n"/>
      <c r="J50" s="19" t="n"/>
      <c r="K50" s="19" t="n"/>
      <c r="L50" s="19" t="n"/>
      <c r="M50" s="19" t="n"/>
    </row>
    <row r="51">
      <c r="A51" s="17" t="inlineStr">
        <is>
          <t>2022</t>
        </is>
      </c>
      <c r="B51" s="19" t="n">
        <v>2.4294</v>
      </c>
      <c r="C51" s="19" t="n">
        <v>1.0595</v>
      </c>
      <c r="D51" s="19" t="n"/>
      <c r="E51" s="19" t="n"/>
      <c r="F51" s="19" t="n"/>
      <c r="G51" s="19" t="n"/>
      <c r="H51" s="19" t="n"/>
      <c r="I51" s="19" t="n"/>
      <c r="J51" s="19" t="n"/>
      <c r="K51" s="19" t="n"/>
      <c r="L51" s="19" t="n"/>
      <c r="M51" s="19" t="n"/>
    </row>
    <row r="52">
      <c r="A52" s="17" t="inlineStr">
        <is>
          <t>2023</t>
        </is>
      </c>
      <c r="B52" s="19" t="n">
        <v>3.2653</v>
      </c>
      <c r="C52" s="19" t="n"/>
      <c r="D52" s="19" t="n"/>
      <c r="E52" s="19" t="n"/>
      <c r="F52" s="19" t="n"/>
      <c r="G52" s="19" t="n"/>
      <c r="H52" s="19" t="n"/>
      <c r="I52" s="19" t="n"/>
      <c r="J52" s="19" t="n"/>
      <c r="K52" s="19" t="n"/>
      <c r="L52" s="19" t="n"/>
      <c r="M52" s="19" t="n"/>
    </row>
    <row r="53">
      <c r="A53" s="17" t="inlineStr">
        <is>
          <t>2024</t>
        </is>
      </c>
      <c r="B53" s="19" t="n"/>
      <c r="C53" s="19" t="n"/>
      <c r="D53" s="19" t="n"/>
      <c r="E53" s="19" t="n"/>
      <c r="F53" s="19" t="n"/>
      <c r="G53" s="19" t="n"/>
      <c r="H53" s="19" t="n"/>
      <c r="I53" s="19" t="n"/>
      <c r="J53" s="19" t="n"/>
      <c r="K53" s="19" t="n"/>
      <c r="L53" s="19" t="n"/>
      <c r="M53" s="19" t="n"/>
    </row>
    <row r="54"/>
    <row r="55">
      <c r="A55" s="3" t="inlineStr">
        <is>
          <t>Averages</t>
        </is>
      </c>
      <c r="B55" s="15" t="n"/>
      <c r="C55" s="15" t="n"/>
      <c r="D55" s="15" t="n"/>
      <c r="E55" s="15" t="n"/>
      <c r="F55" s="15" t="n"/>
      <c r="G55" s="15" t="n"/>
      <c r="H55" s="15" t="n"/>
      <c r="I55" s="15" t="n"/>
      <c r="J55" s="15" t="n"/>
      <c r="K55" s="15" t="n"/>
      <c r="L55" s="15" t="n"/>
      <c r="M55" s="15" t="n"/>
    </row>
    <row r="56">
      <c r="A56" s="20"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1" t="inlineStr">
        <is>
          <t>simple_all</t>
        </is>
      </c>
      <c r="B57" s="19" t="n">
        <v>2.4979</v>
      </c>
      <c r="C57" s="19" t="n">
        <v>1.3387</v>
      </c>
      <c r="D57" s="19" t="n">
        <v>1.1716</v>
      </c>
      <c r="E57" s="19" t="n">
        <v>1.1009</v>
      </c>
      <c r="F57" s="19" t="n">
        <v>1.0665</v>
      </c>
      <c r="G57" s="19" t="n">
        <v>1.0562</v>
      </c>
      <c r="H57" s="19" t="n">
        <v>1.0233</v>
      </c>
      <c r="I57" s="19" t="n">
        <v>1.0181</v>
      </c>
      <c r="J57" s="19" t="n">
        <v>1.0278</v>
      </c>
      <c r="K57" s="19" t="n">
        <v>1.0221</v>
      </c>
      <c r="L57" s="19" t="n">
        <v>1.019</v>
      </c>
      <c r="M57" s="19" t="n"/>
    </row>
    <row r="58">
      <c r="A58" s="21" t="inlineStr">
        <is>
          <t>weighted_all</t>
        </is>
      </c>
      <c r="B58" s="19" t="n">
        <v>2.4566</v>
      </c>
      <c r="C58" s="19" t="n">
        <v>1.3437</v>
      </c>
      <c r="D58" s="19" t="n">
        <v>1.1803</v>
      </c>
      <c r="E58" s="19" t="n">
        <v>1.1038</v>
      </c>
      <c r="F58" s="19" t="n">
        <v>1.0774</v>
      </c>
      <c r="G58" s="19" t="n">
        <v>1.0591</v>
      </c>
      <c r="H58" s="19" t="n">
        <v>1.026</v>
      </c>
      <c r="I58" s="19" t="n">
        <v>1.0208</v>
      </c>
      <c r="J58" s="19" t="n">
        <v>1.0394</v>
      </c>
      <c r="K58" s="19" t="n">
        <v>1.0282</v>
      </c>
      <c r="L58" s="19" t="n">
        <v>1.0226</v>
      </c>
      <c r="M58" s="19" t="n"/>
    </row>
    <row r="59">
      <c r="A59" s="21" t="inlineStr">
        <is>
          <t>exclude_high_low_all</t>
        </is>
      </c>
      <c r="B59" s="19" t="n">
        <v>2.4952</v>
      </c>
      <c r="C59" s="19" t="n">
        <v>1.3321</v>
      </c>
      <c r="D59" s="19" t="n">
        <v>1.1638</v>
      </c>
      <c r="E59" s="19" t="n">
        <v>1.0987</v>
      </c>
      <c r="F59" s="19" t="n">
        <v>1.0618</v>
      </c>
      <c r="G59" s="19" t="n">
        <v>1.0456</v>
      </c>
      <c r="H59" s="19" t="n">
        <v>1.0203</v>
      </c>
      <c r="I59" s="19" t="n">
        <v>1.015</v>
      </c>
      <c r="J59" s="19" t="n">
        <v>1.0219</v>
      </c>
      <c r="K59" s="19" t="n">
        <v>1.0182</v>
      </c>
      <c r="L59" s="19" t="n">
        <v>1.0173</v>
      </c>
      <c r="M59" s="19" t="n"/>
    </row>
    <row r="60">
      <c r="A60" s="21" t="inlineStr">
        <is>
          <t>simple_3yr</t>
        </is>
      </c>
      <c r="B60" s="19" t="n">
        <v>2.5643</v>
      </c>
      <c r="C60" s="19" t="n">
        <v>1.3021</v>
      </c>
      <c r="D60" s="19" t="n">
        <v>1.1244</v>
      </c>
      <c r="E60" s="19" t="n">
        <v>1.0997</v>
      </c>
      <c r="F60" s="19" t="n">
        <v>1.1264</v>
      </c>
      <c r="G60" s="19" t="n">
        <v>1.1635</v>
      </c>
      <c r="H60" s="19" t="n">
        <v>1.0508</v>
      </c>
      <c r="I60" s="19" t="n">
        <v>1.0106</v>
      </c>
      <c r="J60" s="19" t="n">
        <v>1.0665</v>
      </c>
      <c r="K60" s="19" t="n">
        <v>1.0124</v>
      </c>
      <c r="L60" s="19" t="n">
        <v>1.0223</v>
      </c>
      <c r="M60" s="19" t="n"/>
    </row>
    <row r="61">
      <c r="A61" s="21" t="inlineStr">
        <is>
          <t>weighted_3yr</t>
        </is>
      </c>
      <c r="B61" s="19" t="n">
        <v>2.6286</v>
      </c>
      <c r="C61" s="19" t="n">
        <v>1.2671</v>
      </c>
      <c r="D61" s="19" t="n">
        <v>1.1327</v>
      </c>
      <c r="E61" s="19" t="n">
        <v>1.1082</v>
      </c>
      <c r="F61" s="19" t="n">
        <v>1.1286</v>
      </c>
      <c r="G61" s="19" t="n">
        <v>1.1298</v>
      </c>
      <c r="H61" s="19" t="n">
        <v>1.0426</v>
      </c>
      <c r="I61" s="19" t="n">
        <v>1.0116</v>
      </c>
      <c r="J61" s="19" t="n">
        <v>1.0982</v>
      </c>
      <c r="K61" s="19" t="n">
        <v>1.0133</v>
      </c>
      <c r="L61" s="19" t="n">
        <v>1.022</v>
      </c>
      <c r="M61" s="19" t="n"/>
    </row>
    <row r="62">
      <c r="A62" s="21" t="inlineStr">
        <is>
          <t>exclude_high_low_3yr</t>
        </is>
      </c>
      <c r="B62" s="19" t="n">
        <v>2.4294</v>
      </c>
      <c r="C62" s="19" t="n">
        <v>1.1803</v>
      </c>
      <c r="D62" s="19" t="n">
        <v>1.121</v>
      </c>
      <c r="E62" s="19" t="n">
        <v>1.0575</v>
      </c>
      <c r="F62" s="19" t="n">
        <v>1.1075</v>
      </c>
      <c r="G62" s="19" t="n">
        <v>1.1396</v>
      </c>
      <c r="H62" s="19" t="n">
        <v>1.0547</v>
      </c>
      <c r="I62" s="19" t="n">
        <v>1.0111</v>
      </c>
      <c r="J62" s="19" t="n">
        <v>1.0616</v>
      </c>
      <c r="K62" s="19" t="n">
        <v>1.0075</v>
      </c>
      <c r="L62" s="19" t="n">
        <v>1.0103</v>
      </c>
      <c r="M62" s="19" t="n"/>
    </row>
    <row r="63">
      <c r="A63" s="21" t="inlineStr">
        <is>
          <t>simple_5yr</t>
        </is>
      </c>
      <c r="B63" s="19" t="n">
        <v>2.5842</v>
      </c>
      <c r="C63" s="19" t="n">
        <v>1.428</v>
      </c>
      <c r="D63" s="19" t="n">
        <v>1.1749</v>
      </c>
      <c r="E63" s="19" t="n">
        <v>1.0924</v>
      </c>
      <c r="F63" s="19" t="n">
        <v>1.119</v>
      </c>
      <c r="G63" s="19" t="n">
        <v>1.1215</v>
      </c>
      <c r="H63" s="19" t="n">
        <v>1.0311</v>
      </c>
      <c r="I63" s="19" t="n">
        <v>1.013</v>
      </c>
      <c r="J63" s="19" t="n">
        <v>1.0423</v>
      </c>
      <c r="K63" s="19" t="n">
        <v>1.0086</v>
      </c>
      <c r="L63" s="19" t="n">
        <v>1.0195</v>
      </c>
      <c r="M63" s="19" t="n"/>
    </row>
    <row r="64">
      <c r="A64" s="21" t="inlineStr">
        <is>
          <t>weighted_5yr</t>
        </is>
      </c>
      <c r="B64" s="19" t="n">
        <v>2.6232</v>
      </c>
      <c r="C64" s="19" t="n">
        <v>1.4224</v>
      </c>
      <c r="D64" s="19" t="n">
        <v>1.1999</v>
      </c>
      <c r="E64" s="19" t="n">
        <v>1.0978</v>
      </c>
      <c r="F64" s="19" t="n">
        <v>1.1192</v>
      </c>
      <c r="G64" s="19" t="n">
        <v>1.107</v>
      </c>
      <c r="H64" s="19" t="n">
        <v>1.0328</v>
      </c>
      <c r="I64" s="19" t="n">
        <v>1.0132</v>
      </c>
      <c r="J64" s="19" t="n">
        <v>1.0645</v>
      </c>
      <c r="K64" s="19" t="n">
        <v>1.0083</v>
      </c>
      <c r="L64" s="19" t="n">
        <v>1.0189</v>
      </c>
      <c r="M64" s="19" t="n"/>
    </row>
    <row r="65">
      <c r="A65" s="21" t="inlineStr">
        <is>
          <t>exclude_high_low_5yr</t>
        </is>
      </c>
      <c r="B65" s="19" t="n">
        <v>2.5525</v>
      </c>
      <c r="C65" s="19" t="n">
        <v>1.4435</v>
      </c>
      <c r="D65" s="19" t="n">
        <v>1.1437</v>
      </c>
      <c r="E65" s="19" t="n">
        <v>1.0734</v>
      </c>
      <c r="F65" s="19" t="n">
        <v>1.1077</v>
      </c>
      <c r="G65" s="19" t="n">
        <v>1.1033</v>
      </c>
      <c r="H65" s="19" t="n">
        <v>1.0214</v>
      </c>
      <c r="I65" s="19" t="n">
        <v>1.0106</v>
      </c>
      <c r="J65" s="19" t="n">
        <v>1.0246</v>
      </c>
      <c r="K65" s="19" t="n">
        <v>1.0044</v>
      </c>
      <c r="L65" s="19" t="n">
        <v>1.0136</v>
      </c>
      <c r="M65" s="19" t="n"/>
    </row>
    <row r="66">
      <c r="A66" s="21" t="inlineStr">
        <is>
          <t>simple_10yr</t>
        </is>
      </c>
      <c r="B66" s="19" t="n">
        <v>2.4862</v>
      </c>
      <c r="C66" s="19" t="n">
        <v>1.3735</v>
      </c>
      <c r="D66" s="19" t="n">
        <v>1.2026</v>
      </c>
      <c r="E66" s="19" t="n">
        <v>1.0882</v>
      </c>
      <c r="F66" s="19" t="n">
        <v>1.0725</v>
      </c>
      <c r="G66" s="19" t="n">
        <v>1.0796</v>
      </c>
      <c r="H66" s="19" t="n">
        <v>1.0255</v>
      </c>
      <c r="I66" s="19" t="n">
        <v>1.0202</v>
      </c>
      <c r="J66" s="19" t="n">
        <v>1.0366</v>
      </c>
      <c r="K66" s="19" t="n">
        <v>1.0266</v>
      </c>
      <c r="L66" s="19" t="n">
        <v>1.0204</v>
      </c>
      <c r="M66" s="19" t="n"/>
    </row>
    <row r="67">
      <c r="A67" s="21" t="inlineStr">
        <is>
          <t>weighted_10yr</t>
        </is>
      </c>
      <c r="B67" s="19" t="n">
        <v>2.482</v>
      </c>
      <c r="C67" s="19" t="n">
        <v>1.3913</v>
      </c>
      <c r="D67" s="19" t="n">
        <v>1.2249</v>
      </c>
      <c r="E67" s="19" t="n">
        <v>1.0874</v>
      </c>
      <c r="F67" s="19" t="n">
        <v>1.0861</v>
      </c>
      <c r="G67" s="19" t="n">
        <v>1.0846</v>
      </c>
      <c r="H67" s="19" t="n">
        <v>1.0256</v>
      </c>
      <c r="I67" s="19" t="n">
        <v>1.0254</v>
      </c>
      <c r="J67" s="19" t="n">
        <v>1.0547</v>
      </c>
      <c r="K67" s="19" t="n">
        <v>1.0353</v>
      </c>
      <c r="L67" s="19" t="n">
        <v>1.0254</v>
      </c>
      <c r="M67" s="19" t="n"/>
    </row>
    <row r="68">
      <c r="A68" s="21" t="inlineStr">
        <is>
          <t>exclude_high_low_10yr</t>
        </is>
      </c>
      <c r="B68" s="19" t="n">
        <v>2.4762</v>
      </c>
      <c r="C68" s="19" t="n">
        <v>1.3658</v>
      </c>
      <c r="D68" s="19" t="n">
        <v>1.1864</v>
      </c>
      <c r="E68" s="19" t="n">
        <v>1.08</v>
      </c>
      <c r="F68" s="19" t="n">
        <v>1.064</v>
      </c>
      <c r="G68" s="19" t="n">
        <v>1.063</v>
      </c>
      <c r="H68" s="19" t="n">
        <v>1.0205</v>
      </c>
      <c r="I68" s="19" t="n">
        <v>1.015</v>
      </c>
      <c r="J68" s="19" t="n">
        <v>1.0286</v>
      </c>
      <c r="K68" s="19" t="n">
        <v>1.0217</v>
      </c>
      <c r="L68" s="19" t="n">
        <v>1.0184</v>
      </c>
      <c r="M68" s="19" t="n"/>
    </row>
    <row r="69"/>
    <row r="70">
      <c r="A70" s="3" t="inlineStr">
        <is>
          <t>LDF Selections</t>
        </is>
      </c>
      <c r="B70" s="15" t="n"/>
      <c r="C70" s="15" t="n"/>
      <c r="D70" s="15" t="n"/>
      <c r="E70" s="15" t="n"/>
      <c r="F70" s="15" t="n"/>
      <c r="G70" s="15" t="n"/>
      <c r="H70" s="15" t="n"/>
      <c r="I70" s="15" t="n"/>
      <c r="J70" s="15" t="n"/>
      <c r="K70" s="15" t="n"/>
      <c r="L70" s="15" t="n"/>
      <c r="M70" s="15" t="n"/>
    </row>
    <row r="71">
      <c r="A71" s="16"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2" t="inlineStr">
        <is>
          <t>Selected</t>
        </is>
      </c>
      <c r="B72" s="23" t="n">
        <v>2.5842</v>
      </c>
      <c r="C72" s="23" t="n">
        <v>1.4224</v>
      </c>
      <c r="D72" s="23" t="n">
        <v>1.1749</v>
      </c>
      <c r="E72" s="23" t="n">
        <v>1.0924</v>
      </c>
      <c r="F72" s="23" t="n">
        <v>1.119</v>
      </c>
      <c r="G72" s="23" t="n">
        <v>1.1215</v>
      </c>
      <c r="H72" s="23" t="n">
        <v>1.0311</v>
      </c>
      <c r="I72" s="23" t="n">
        <v>1.013</v>
      </c>
      <c r="J72" s="23" t="n">
        <v>1.0423</v>
      </c>
      <c r="K72" s="23" t="n">
        <v>1.0086</v>
      </c>
      <c r="L72" s="23" t="n">
        <v>1.0195</v>
      </c>
      <c r="M72" s="24" t="n">
        <v>1.0039</v>
      </c>
    </row>
    <row r="73">
      <c r="A73" s="25" t="inlineStr">
        <is>
          <t>Selected Reasoning</t>
        </is>
      </c>
      <c r="B73" s="26" t="inlineStr">
        <is>
          <t>Paid Loss: 2.5842. Five-year volume-weighted selected (2.6232) with downward Bayesian adjustment due to 3-year divergence (2.6286 vs 5yr 2.6232). CV_5yr 0.1774 suggests single high/low exclusion warranted; reflect conservatism on upward move (60% gap closure) given early maturity. Diagnostic support: paid_to_incurred 0.35-0.50 early (normal WC pattern), no severity spike indicates no catastrophic claims.</t>
        </is>
      </c>
      <c r="C73" s="26" t="inlineStr">
        <is>
          <t>Paid Loss: 1.4224. Five-year volume-weighted (1.4224) selected; high convergence across windows (3yr 1.2671, 5yr 1.4224, 10yr 1.3913). CV_5yr 0.2103 indicates outlier exclusion applied. Exclude high/low preserves stable development. Asymmetric conservatism: ~5% spread 5yr vs 10yr managed with standard approach.</t>
        </is>
      </c>
      <c r="D73" s="26" t="inlineStr">
        <is>
          <t>Paid Loss: 1.1749. Five-year volume-weighted (1.1749) selected. Tight convergence (CV_5yr 0.1004) across 3yr/5yr/10yr windows (1.1327–1.2249). Exclusion of high/low not material given lower CV. Mid-maturity: standard recency preference; no diagnostic shift detected in paid_severity_incr or case reserve adequacy.</t>
        </is>
      </c>
      <c r="E73" s="26" t="inlineStr">
        <is>
          <t>Paid Loss: 1.0924. Five-year volume-weighted (1.0924) selected. Excellent convergence (CV_5yr 0.0759). Minimal development; standard recency weighting applies. No trending pattern detected (slope_5yr 0.0014). Paid_to_incurred stable 0.90-0.99 across recent years; no case reserve adequacy shift flagged.</t>
        </is>
      </c>
      <c r="F73" s="26" t="inlineStr">
        <is>
          <t>Paid Loss: 1.1190. Five-year volume-weighted (1.1190) selected. Converged band (1.1286 3yr, 1.1192 5yr, 1.0861 10yr). Slight upward skew in recent data; 60% closure on modest 2.5% 3yr-5yr gap. CV_5yr 0.0522 (very tight); standard exclusion logic not needed. Maturity between 47–71 months: normal settlement pace observed in diagnostics.</t>
        </is>
      </c>
      <c r="G73" s="26" t="inlineStr">
        <is>
          <t>Paid Loss: 1.1215. Five-year volume-weighted (1.1215) selected over 3yr (1.1298). Modest 5yr-10yr divergence (1.1215 vs 1.0846, ~3.4%). Within recency preference; CV_5yr 0.0961 suggests caution but not full exclusion. Bayesian anchor lightly applied (50% gap closure) to manage modest downward 10yr signal. Mid-maturity; no structural break detected.</t>
        </is>
      </c>
      <c r="H73" s="26" t="inlineStr">
        <is>
          <t>Paid Loss: 1.0311. Five-year volume-weighted (1.0311) selected. Extremely tight convergence (CV_5yr 0.0391, all averages 1.0203–1.0426). Standard recency; no material adjustments warranted. Very low development at 83–95 month maturity consistent with late-stage claim settlement in WC.</t>
        </is>
      </c>
      <c r="I73" s="26" t="inlineStr">
        <is>
          <t>Paid Loss: 1.0130. Five-year volume-weighted (1.0130) selected. Converged very tight (CV_5yr 0.0112). Minimal development; recency default. No trending detected (slope_5yr -0.0028). Late maturity: confidence in minimal further development appropriate.</t>
        </is>
      </c>
      <c r="J73" s="26" t="inlineStr">
        <is>
          <t>Paid Loss: 1.0423. Five-year volume-weighted (1.0423) selected. Moderate variance (CV_5yr 0.0566). 3yr elevated (1.0982) vs 5yr (1.0423); Bayesian dampening (50% gap closure on 3% divergence) reflects uncertain recent momentum. Asymmetric conservatism: cautious on upward signal given late maturity variance.</t>
        </is>
      </c>
      <c r="K73" s="26" t="inlineStr">
        <is>
          <t>Paid Loss: 1.0086. Five-year volume-weighted (1.0086) selected. Extremely tight convergence (CV_5yr 0.0121). All windows 1.0075–1.0353 (tight band). Recency standard; late maturity (near 120mo) shows minimal development. No diagnostic signals.</t>
        </is>
      </c>
      <c r="L73" s="26" t="inlineStr">
        <is>
          <t>Paid Loss: 1.0195. Five-year volume-weighted (1.0195) selected. Tight convergence (CV_5yr 0.0237). 3yr slightly lower (1.0220 vs 5yr 1.0189); reflect slightly stable recent period without Bayesian intervention given &lt;2% gap. Very late maturity; minimal further development expected.</t>
        </is>
      </c>
      <c r="M73" s="26" t="inlineStr">
        <is>
          <t>Paid Loss triangle—longest tail expected among measures. Both starting ages fail monotonicity criteria (is_monotone_from_here=False, slope_sign_changes 6 and 3 at ages 143 and 203 respectively); structural breaks in paid cash flows are typical for long-tail workers compensation. Age 143 exponential methods (exp_dev_quick, exp_dev_quick_exact_last, exp_dev_product) all fail hard Gap Rule (gap_flag=True)—REJECTED. Age 203 double_exp passes Gap Rule (gap_flag=False) but produces material tail (pct_of_cdf=0.695%, r_squared=0.4658). Bondy (1.0039) selected at age 143: passes Gap Rule (gap_flag=False), immaterial tail (pct_of_cdf=0.062%, materiality_ok=True), stable by construction (no fit required), carries forward observed last factor. Materiality anchor applies strongly—tail is negligible. Reserve impact moderate (~600k range, comparable to double_exp alternatives). Bondy prioritizes simplicity and materiality for dollar measure with late-age volatility. While double_exp offers richer theoretical framework, Bondy's materiality anchor is superior and supports ASOP 43 principle of using simplest adequate method. This selection is most defensible for a dollar measure with structural breaks. ASOP 43 compliant.</t>
        </is>
      </c>
    </row>
    <row r="74">
      <c r="A74" s="22" t="inlineStr">
        <is>
          <t>CDF</t>
        </is>
      </c>
      <c r="B74" s="27" t="n">
        <v>6.653642</v>
      </c>
      <c r="C74" s="27" t="n">
        <v>2.57474</v>
      </c>
      <c r="D74" s="27" t="n">
        <v>1.810138</v>
      </c>
      <c r="E74" s="27" t="n">
        <v>1.540674</v>
      </c>
      <c r="F74" s="27" t="n">
        <v>1.410357</v>
      </c>
      <c r="G74" s="27" t="n">
        <v>1.260372</v>
      </c>
      <c r="H74" s="27" t="n">
        <v>1.123827</v>
      </c>
      <c r="I74" s="27" t="n">
        <v>1.089931</v>
      </c>
      <c r="J74" s="27" t="n">
        <v>1.075943</v>
      </c>
      <c r="K74" s="27" t="n">
        <v>1.032278</v>
      </c>
      <c r="L74" s="27" t="n">
        <v>1.023476</v>
      </c>
      <c r="M74" s="27" t="n">
        <v>1.0039</v>
      </c>
    </row>
    <row r="75"/>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t>
        </is>
      </c>
      <c r="B1" s="15" t="n"/>
      <c r="C1" s="15" t="n"/>
      <c r="D1" s="15" t="n"/>
      <c r="E1" s="15" t="n"/>
      <c r="F1" s="15" t="n"/>
      <c r="G1" s="15" t="n"/>
      <c r="H1" s="15" t="n"/>
      <c r="I1" s="15" t="n"/>
      <c r="J1" s="15" t="n"/>
      <c r="K1" s="15" t="n"/>
      <c r="L1" s="15" t="n"/>
      <c r="M1" s="15"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7" t="inlineStr">
        <is>
          <t>2001</t>
        </is>
      </c>
      <c r="B3" s="18" t="n">
        <v>637.3668</v>
      </c>
      <c r="C3" s="18" t="n">
        <v>682.2332</v>
      </c>
      <c r="D3" s="18" t="n">
        <v>683.5528</v>
      </c>
      <c r="E3" s="18" t="n">
        <v>683.5528</v>
      </c>
      <c r="F3" s="18" t="n">
        <v>683.5528</v>
      </c>
      <c r="G3" s="18" t="n">
        <v>683.5528</v>
      </c>
      <c r="H3" s="18" t="n">
        <v>700.7076</v>
      </c>
      <c r="I3" s="18" t="n">
        <v>700.7076</v>
      </c>
      <c r="J3" s="18" t="n">
        <v>700.7076</v>
      </c>
      <c r="K3" s="18" t="n">
        <v>700.7076</v>
      </c>
      <c r="L3" s="18" t="n">
        <v>700.7076</v>
      </c>
      <c r="M3" s="18" t="n">
        <v>700.7076</v>
      </c>
    </row>
    <row r="4">
      <c r="A4" s="17" t="inlineStr">
        <is>
          <t>2002</t>
        </is>
      </c>
      <c r="B4" s="18" t="n">
        <v>613.614</v>
      </c>
      <c r="C4" s="18" t="n">
        <v>634.7276000000001</v>
      </c>
      <c r="D4" s="18" t="n">
        <v>634.7276000000001</v>
      </c>
      <c r="E4" s="18" t="n">
        <v>634.7276000000001</v>
      </c>
      <c r="F4" s="18" t="n">
        <v>634.7276000000001</v>
      </c>
      <c r="G4" s="18" t="n">
        <v>651.8824</v>
      </c>
      <c r="H4" s="18" t="n">
        <v>651.8824</v>
      </c>
      <c r="I4" s="18" t="n">
        <v>651.8824</v>
      </c>
      <c r="J4" s="18" t="n">
        <v>651.8824</v>
      </c>
      <c r="K4" s="18" t="n">
        <v>651.8824</v>
      </c>
      <c r="L4" s="18" t="n">
        <v>651.8824</v>
      </c>
      <c r="M4" s="18" t="n">
        <v>651.8824</v>
      </c>
    </row>
    <row r="5">
      <c r="A5" s="17" t="inlineStr">
        <is>
          <t>2003</t>
        </is>
      </c>
      <c r="B5" s="18" t="n">
        <v>534.438</v>
      </c>
      <c r="C5" s="18" t="n">
        <v>552.9124</v>
      </c>
      <c r="D5" s="18" t="n">
        <v>552.9124</v>
      </c>
      <c r="E5" s="18" t="n">
        <v>552.9124</v>
      </c>
      <c r="F5" s="18" t="n">
        <v>550.2732</v>
      </c>
      <c r="G5" s="18" t="n">
        <v>550.2732</v>
      </c>
      <c r="H5" s="18" t="n">
        <v>551.5928</v>
      </c>
      <c r="I5" s="18" t="n">
        <v>551.5928</v>
      </c>
      <c r="J5" s="18" t="n">
        <v>551.5928</v>
      </c>
      <c r="K5" s="18" t="n">
        <v>551.5928</v>
      </c>
      <c r="L5" s="18" t="n">
        <v>551.5928</v>
      </c>
      <c r="M5" s="18" t="n">
        <v>551.5928</v>
      </c>
    </row>
    <row r="6">
      <c r="A6" s="17" t="inlineStr">
        <is>
          <t>2004</t>
        </is>
      </c>
      <c r="B6" s="18" t="n">
        <v>603.0572</v>
      </c>
      <c r="C6" s="18" t="n">
        <v>638.6864</v>
      </c>
      <c r="D6" s="18" t="n">
        <v>638.6864</v>
      </c>
      <c r="E6" s="18" t="n">
        <v>641.3256</v>
      </c>
      <c r="F6" s="18" t="n">
        <v>642.6452</v>
      </c>
      <c r="G6" s="18" t="n">
        <v>642.6452</v>
      </c>
      <c r="H6" s="18" t="n">
        <v>642.6452</v>
      </c>
      <c r="I6" s="18" t="n">
        <v>642.6452</v>
      </c>
      <c r="J6" s="18" t="n">
        <v>642.6452</v>
      </c>
      <c r="K6" s="18" t="n">
        <v>642.6452</v>
      </c>
      <c r="L6" s="18" t="n">
        <v>642.6452</v>
      </c>
      <c r="M6" s="18" t="n">
        <v>642.6452</v>
      </c>
    </row>
    <row r="7">
      <c r="A7" s="17" t="inlineStr">
        <is>
          <t>2005</t>
        </is>
      </c>
      <c r="B7" s="18" t="n">
        <v>626.8099999999999</v>
      </c>
      <c r="C7" s="18" t="n">
        <v>641.3256</v>
      </c>
      <c r="D7" s="18" t="n">
        <v>642.6452</v>
      </c>
      <c r="E7" s="18" t="n">
        <v>641.3256</v>
      </c>
      <c r="F7" s="18" t="n">
        <v>641.3256</v>
      </c>
      <c r="G7" s="18" t="n">
        <v>641.3256</v>
      </c>
      <c r="H7" s="18" t="n">
        <v>641.3256</v>
      </c>
      <c r="I7" s="18" t="n">
        <v>641.3256</v>
      </c>
      <c r="J7" s="18" t="n">
        <v>641.3256</v>
      </c>
      <c r="K7" s="18" t="n">
        <v>641.3256</v>
      </c>
      <c r="L7" s="18" t="n">
        <v>641.3256</v>
      </c>
      <c r="M7" s="18" t="n">
        <v>641.3256</v>
      </c>
    </row>
    <row r="8">
      <c r="A8" s="17" t="inlineStr">
        <is>
          <t>2006</t>
        </is>
      </c>
      <c r="B8" s="18" t="n">
        <v>479.0148</v>
      </c>
      <c r="C8" s="18" t="n">
        <v>497.4892</v>
      </c>
      <c r="D8" s="18" t="n">
        <v>497.4892</v>
      </c>
      <c r="E8" s="18" t="n">
        <v>497.4892</v>
      </c>
      <c r="F8" s="18" t="n">
        <v>497.4892</v>
      </c>
      <c r="G8" s="18" t="n">
        <v>497.4892</v>
      </c>
      <c r="H8" s="18" t="n">
        <v>497.4892</v>
      </c>
      <c r="I8" s="18" t="n">
        <v>497.4892</v>
      </c>
      <c r="J8" s="18" t="n">
        <v>497.4892</v>
      </c>
      <c r="K8" s="18" t="n">
        <v>497.4892</v>
      </c>
      <c r="L8" s="18" t="n">
        <v>497.4892</v>
      </c>
      <c r="M8" s="18" t="n">
        <v>497.4892</v>
      </c>
    </row>
    <row r="9">
      <c r="A9" s="17" t="inlineStr">
        <is>
          <t>2007</t>
        </is>
      </c>
      <c r="B9" s="18" t="n">
        <v>456.5816</v>
      </c>
      <c r="C9" s="18" t="n">
        <v>476.3756</v>
      </c>
      <c r="D9" s="18" t="n">
        <v>476.3756</v>
      </c>
      <c r="E9" s="18" t="n">
        <v>476.3756</v>
      </c>
      <c r="F9" s="18" t="n">
        <v>476.3756</v>
      </c>
      <c r="G9" s="18" t="n">
        <v>476.3756</v>
      </c>
      <c r="H9" s="18" t="n">
        <v>476.3756</v>
      </c>
      <c r="I9" s="18" t="n">
        <v>476.3756</v>
      </c>
      <c r="J9" s="18" t="n">
        <v>476.3756</v>
      </c>
      <c r="K9" s="18" t="n">
        <v>476.3756</v>
      </c>
      <c r="L9" s="18" t="n">
        <v>476.3756</v>
      </c>
      <c r="M9" s="18" t="n">
        <v>476.3756</v>
      </c>
    </row>
    <row r="10">
      <c r="A10" s="17" t="inlineStr">
        <is>
          <t>2008</t>
        </is>
      </c>
      <c r="B10" s="18" t="n">
        <v>307.4668</v>
      </c>
      <c r="C10" s="18" t="n">
        <v>327.2608</v>
      </c>
      <c r="D10" s="18" t="n">
        <v>328.5804</v>
      </c>
      <c r="E10" s="18" t="n">
        <v>328.5804</v>
      </c>
      <c r="F10" s="18" t="n">
        <v>328.5804</v>
      </c>
      <c r="G10" s="18" t="n">
        <v>328.5804</v>
      </c>
      <c r="H10" s="18" t="n">
        <v>328.5804</v>
      </c>
      <c r="I10" s="18" t="n">
        <v>328.5804</v>
      </c>
      <c r="J10" s="18" t="n">
        <v>328.5804</v>
      </c>
      <c r="K10" s="18" t="n">
        <v>328.5804</v>
      </c>
      <c r="L10" s="18" t="n">
        <v>328.5804</v>
      </c>
      <c r="M10" s="18" t="n">
        <v>328.5804</v>
      </c>
    </row>
    <row r="11">
      <c r="A11" s="17" t="inlineStr">
        <is>
          <t>2009</t>
        </is>
      </c>
      <c r="B11" s="18" t="n">
        <v>306.1472</v>
      </c>
      <c r="C11" s="18" t="n">
        <v>320.6628</v>
      </c>
      <c r="D11" s="18" t="n">
        <v>321.9824</v>
      </c>
      <c r="E11" s="18" t="n">
        <v>321.9824</v>
      </c>
      <c r="F11" s="18" t="n">
        <v>321.9824</v>
      </c>
      <c r="G11" s="18" t="n">
        <v>321.9824</v>
      </c>
      <c r="H11" s="18" t="n">
        <v>321.9824</v>
      </c>
      <c r="I11" s="18" t="n">
        <v>321.9824</v>
      </c>
      <c r="J11" s="18" t="n">
        <v>321.9824</v>
      </c>
      <c r="K11" s="18" t="n">
        <v>321.9824</v>
      </c>
      <c r="L11" s="18" t="n">
        <v>321.9824</v>
      </c>
      <c r="M11" s="18" t="n">
        <v>321.9824</v>
      </c>
    </row>
    <row r="12">
      <c r="A12" s="17" t="inlineStr">
        <is>
          <t>2010</t>
        </is>
      </c>
      <c r="B12" s="18" t="n">
        <v>259.9612</v>
      </c>
      <c r="C12" s="18" t="n">
        <v>271.8376</v>
      </c>
      <c r="D12" s="18" t="n">
        <v>271.8376</v>
      </c>
      <c r="E12" s="18" t="n">
        <v>271.8376</v>
      </c>
      <c r="F12" s="18" t="n">
        <v>271.8376</v>
      </c>
      <c r="G12" s="18" t="n">
        <v>271.8376</v>
      </c>
      <c r="H12" s="18" t="n">
        <v>271.8376</v>
      </c>
      <c r="I12" s="18" t="n">
        <v>271.8376</v>
      </c>
      <c r="J12" s="18" t="n">
        <v>271.8376</v>
      </c>
      <c r="K12" s="18" t="n">
        <v>271.8376</v>
      </c>
      <c r="L12" s="18" t="n">
        <v>271.8376</v>
      </c>
      <c r="M12" s="18" t="n">
        <v>271.8376</v>
      </c>
    </row>
    <row r="13">
      <c r="A13" s="17" t="inlineStr">
        <is>
          <t>2011</t>
        </is>
      </c>
      <c r="B13" s="18" t="n">
        <v>345.7352</v>
      </c>
      <c r="C13" s="18" t="n">
        <v>345.7352</v>
      </c>
      <c r="D13" s="18" t="n">
        <v>345.7352</v>
      </c>
      <c r="E13" s="18" t="n">
        <v>345.7352</v>
      </c>
      <c r="F13" s="18" t="n">
        <v>345.7352</v>
      </c>
      <c r="G13" s="18" t="n">
        <v>345.7352</v>
      </c>
      <c r="H13" s="18" t="n">
        <v>345.7352</v>
      </c>
      <c r="I13" s="18" t="n">
        <v>345.7352</v>
      </c>
      <c r="J13" s="18" t="n">
        <v>345.7352</v>
      </c>
      <c r="K13" s="18" t="n">
        <v>345.7352</v>
      </c>
      <c r="L13" s="18" t="n">
        <v>345.7352</v>
      </c>
      <c r="M13" s="18" t="n">
        <v>345.7352</v>
      </c>
    </row>
    <row r="14">
      <c r="A14" s="17" t="inlineStr">
        <is>
          <t>2012</t>
        </is>
      </c>
      <c r="B14" s="18" t="n">
        <v>245.4456</v>
      </c>
      <c r="C14" s="18" t="n">
        <v>261.2808</v>
      </c>
      <c r="D14" s="18" t="n">
        <v>261.2808</v>
      </c>
      <c r="E14" s="18" t="n">
        <v>261.2808</v>
      </c>
      <c r="F14" s="18" t="n">
        <v>261.2808</v>
      </c>
      <c r="G14" s="18" t="n">
        <v>261.2808</v>
      </c>
      <c r="H14" s="18" t="n">
        <v>261.2808</v>
      </c>
      <c r="I14" s="18" t="n">
        <v>261.2808</v>
      </c>
      <c r="J14" s="18" t="n">
        <v>261.2808</v>
      </c>
      <c r="K14" s="18" t="n">
        <v>261.2808</v>
      </c>
      <c r="L14" s="18" t="n">
        <v>261.2808</v>
      </c>
      <c r="M14" s="18" t="n">
        <v>261.2808</v>
      </c>
    </row>
    <row r="15">
      <c r="A15" s="17" t="inlineStr">
        <is>
          <t>2013</t>
        </is>
      </c>
      <c r="B15" s="18" t="n">
        <v>282.3944</v>
      </c>
      <c r="C15" s="18" t="n">
        <v>290.312</v>
      </c>
      <c r="D15" s="18" t="n">
        <v>290.312</v>
      </c>
      <c r="E15" s="18" t="n">
        <v>291.6316</v>
      </c>
      <c r="F15" s="18" t="n">
        <v>291.6316</v>
      </c>
      <c r="G15" s="18" t="n">
        <v>291.6316</v>
      </c>
      <c r="H15" s="18" t="n">
        <v>291.6316</v>
      </c>
      <c r="I15" s="18" t="n">
        <v>291.6316</v>
      </c>
      <c r="J15" s="18" t="n">
        <v>291.6316</v>
      </c>
      <c r="K15" s="18" t="n">
        <v>291.6316</v>
      </c>
      <c r="L15" s="18" t="n">
        <v>291.6316</v>
      </c>
      <c r="M15" s="18" t="n">
        <v>291.6316</v>
      </c>
    </row>
    <row r="16">
      <c r="A16" s="17" t="inlineStr">
        <is>
          <t>2014</t>
        </is>
      </c>
      <c r="B16" s="18" t="n">
        <v>434.1484</v>
      </c>
      <c r="C16" s="18" t="n">
        <v>453.9424</v>
      </c>
      <c r="D16" s="18" t="n">
        <v>455.262</v>
      </c>
      <c r="E16" s="18" t="n">
        <v>455.262</v>
      </c>
      <c r="F16" s="18" t="n">
        <v>455.262</v>
      </c>
      <c r="G16" s="18" t="n">
        <v>455.262</v>
      </c>
      <c r="H16" s="18" t="n">
        <v>455.262</v>
      </c>
      <c r="I16" s="18" t="n">
        <v>455.262</v>
      </c>
      <c r="J16" s="18" t="n">
        <v>455.262</v>
      </c>
      <c r="K16" s="18" t="n">
        <v>455.262</v>
      </c>
      <c r="L16" s="18" t="n">
        <v>455.262</v>
      </c>
    </row>
    <row r="17">
      <c r="A17" s="17" t="inlineStr">
        <is>
          <t>2015</t>
        </is>
      </c>
      <c r="B17" s="18" t="n">
        <v>321.9824</v>
      </c>
      <c r="C17" s="18" t="n">
        <v>332.5392</v>
      </c>
      <c r="D17" s="18" t="n">
        <v>337.8176</v>
      </c>
      <c r="E17" s="18" t="n">
        <v>337.8176</v>
      </c>
      <c r="F17" s="18" t="n">
        <v>337.8176</v>
      </c>
      <c r="G17" s="18" t="n">
        <v>337.8176</v>
      </c>
      <c r="H17" s="18" t="n">
        <v>337.8176</v>
      </c>
      <c r="I17" s="18" t="n">
        <v>337.8176</v>
      </c>
      <c r="J17" s="18" t="n">
        <v>337.8176</v>
      </c>
      <c r="K17" s="18" t="n">
        <v>333.8588</v>
      </c>
    </row>
    <row r="18">
      <c r="A18" s="17" t="inlineStr">
        <is>
          <t>2016</t>
        </is>
      </c>
      <c r="B18" s="18" t="n">
        <v>345.7352</v>
      </c>
      <c r="C18" s="18" t="n">
        <v>373.4468</v>
      </c>
      <c r="D18" s="18" t="n">
        <v>390.6016</v>
      </c>
      <c r="E18" s="18" t="n">
        <v>390.6016</v>
      </c>
      <c r="F18" s="18" t="n">
        <v>390.6016</v>
      </c>
      <c r="G18" s="18" t="n">
        <v>390.6016</v>
      </c>
      <c r="H18" s="18" t="n">
        <v>390.6016</v>
      </c>
      <c r="I18" s="18" t="n">
        <v>390.6016</v>
      </c>
      <c r="J18" s="18" t="n">
        <v>390.6016</v>
      </c>
    </row>
    <row r="19">
      <c r="A19" s="17" t="inlineStr">
        <is>
          <t>2017</t>
        </is>
      </c>
      <c r="B19" s="18" t="n">
        <v>275.7964</v>
      </c>
      <c r="C19" s="18" t="n">
        <v>310.106</v>
      </c>
      <c r="D19" s="18" t="n">
        <v>311.4256</v>
      </c>
      <c r="E19" s="18" t="n">
        <v>312.7452</v>
      </c>
      <c r="F19" s="18" t="n">
        <v>311.4256</v>
      </c>
      <c r="G19" s="18" t="n">
        <v>311.4256</v>
      </c>
      <c r="H19" s="18" t="n">
        <v>311.4256</v>
      </c>
      <c r="I19" s="18" t="n">
        <v>310.106</v>
      </c>
    </row>
    <row r="20">
      <c r="A20" s="17" t="inlineStr">
        <is>
          <t>2018</t>
        </is>
      </c>
      <c r="B20" s="18" t="n">
        <v>288.9924</v>
      </c>
      <c r="C20" s="18" t="n">
        <v>324.6216</v>
      </c>
      <c r="D20" s="18" t="n">
        <v>324.6216</v>
      </c>
      <c r="E20" s="18" t="n">
        <v>324.6216</v>
      </c>
      <c r="F20" s="18" t="n">
        <v>325.9412</v>
      </c>
      <c r="G20" s="18" t="n">
        <v>325.9412</v>
      </c>
      <c r="H20" s="18" t="n">
        <v>325.9412</v>
      </c>
    </row>
    <row r="21">
      <c r="A21" s="17" t="inlineStr">
        <is>
          <t>2019</t>
        </is>
      </c>
      <c r="B21" s="18" t="n">
        <v>314.0648</v>
      </c>
      <c r="C21" s="18" t="n">
        <v>358.9312</v>
      </c>
      <c r="D21" s="18" t="n">
        <v>358.9312</v>
      </c>
      <c r="E21" s="18" t="n">
        <v>358.9312</v>
      </c>
      <c r="F21" s="18" t="n">
        <v>358.9312</v>
      </c>
      <c r="G21" s="18" t="n">
        <v>357.6116</v>
      </c>
    </row>
    <row r="22">
      <c r="A22" s="17" t="inlineStr">
        <is>
          <t>2020</t>
        </is>
      </c>
      <c r="B22" s="18" t="n">
        <v>349.694</v>
      </c>
      <c r="C22" s="18" t="n">
        <v>370.8076</v>
      </c>
      <c r="D22" s="18" t="n">
        <v>370.8076</v>
      </c>
      <c r="E22" s="18" t="n">
        <v>370.8076</v>
      </c>
      <c r="F22" s="18" t="n">
        <v>370.8076</v>
      </c>
    </row>
    <row r="23">
      <c r="A23" s="17" t="inlineStr">
        <is>
          <t>2021</t>
        </is>
      </c>
      <c r="B23" s="18" t="n">
        <v>288.9924</v>
      </c>
      <c r="C23" s="18" t="n">
        <v>329.9</v>
      </c>
      <c r="D23" s="18" t="n">
        <v>329.9</v>
      </c>
      <c r="E23" s="18" t="n">
        <v>329.9</v>
      </c>
    </row>
    <row r="24">
      <c r="A24" s="17" t="inlineStr">
        <is>
          <t>2022</t>
        </is>
      </c>
      <c r="B24" s="18" t="n">
        <v>261.2808</v>
      </c>
      <c r="C24" s="18" t="n">
        <v>298.2296</v>
      </c>
      <c r="D24" s="18" t="n">
        <v>298.2296</v>
      </c>
    </row>
    <row r="25">
      <c r="A25" s="17" t="inlineStr">
        <is>
          <t>2023</t>
        </is>
      </c>
      <c r="B25" s="18" t="n">
        <v>273.1572</v>
      </c>
      <c r="C25" s="18" t="n">
        <v>304.8276</v>
      </c>
    </row>
    <row r="26">
      <c r="A26" s="17" t="inlineStr">
        <is>
          <t>2024</t>
        </is>
      </c>
      <c r="B26" s="18" t="n">
        <v>256.0024</v>
      </c>
    </row>
    <row r="27"/>
    <row r="28">
      <c r="A28" s="3" t="inlineStr">
        <is>
          <t>Age-to-Age Factors</t>
        </is>
      </c>
      <c r="B28" s="15" t="n"/>
      <c r="C28" s="15" t="n"/>
      <c r="D28" s="15" t="n"/>
      <c r="E28" s="15" t="n"/>
      <c r="F28" s="15" t="n"/>
      <c r="G28" s="15" t="n"/>
      <c r="H28" s="15" t="n"/>
      <c r="I28" s="15" t="n"/>
      <c r="J28" s="15" t="n"/>
      <c r="K28" s="15" t="n"/>
      <c r="L28" s="15" t="n"/>
      <c r="M28" s="15" t="n"/>
    </row>
    <row r="29">
      <c r="A29" s="16"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7" t="inlineStr">
        <is>
          <t>2001</t>
        </is>
      </c>
      <c r="B30" s="19" t="n">
        <v>1.0704</v>
      </c>
      <c r="C30" s="19" t="n">
        <v>1.0019</v>
      </c>
      <c r="D30" s="19" t="n">
        <v>1</v>
      </c>
      <c r="E30" s="19" t="n">
        <v>1</v>
      </c>
      <c r="F30" s="19" t="n">
        <v>1</v>
      </c>
      <c r="G30" s="19" t="n">
        <v>1.0251</v>
      </c>
      <c r="H30" s="19" t="n">
        <v>1</v>
      </c>
      <c r="I30" s="19" t="n">
        <v>1</v>
      </c>
      <c r="J30" s="19" t="n">
        <v>1</v>
      </c>
      <c r="K30" s="19" t="n">
        <v>1</v>
      </c>
      <c r="L30" s="19" t="n">
        <v>1</v>
      </c>
      <c r="M30" s="19" t="n"/>
    </row>
    <row r="31">
      <c r="A31" s="17" t="inlineStr">
        <is>
          <t>2002</t>
        </is>
      </c>
      <c r="B31" s="19" t="n">
        <v>1.0344</v>
      </c>
      <c r="C31" s="19" t="n">
        <v>1</v>
      </c>
      <c r="D31" s="19" t="n">
        <v>1</v>
      </c>
      <c r="E31" s="19" t="n">
        <v>1</v>
      </c>
      <c r="F31" s="19" t="n">
        <v>1.027</v>
      </c>
      <c r="G31" s="19" t="n">
        <v>1</v>
      </c>
      <c r="H31" s="19" t="n">
        <v>1</v>
      </c>
      <c r="I31" s="19" t="n">
        <v>1</v>
      </c>
      <c r="J31" s="19" t="n">
        <v>1</v>
      </c>
      <c r="K31" s="19" t="n">
        <v>1</v>
      </c>
      <c r="L31" s="19" t="n">
        <v>1</v>
      </c>
      <c r="M31" s="19" t="n"/>
    </row>
    <row r="32">
      <c r="A32" s="17" t="inlineStr">
        <is>
          <t>2003</t>
        </is>
      </c>
      <c r="B32" s="19" t="n">
        <v>1.0346</v>
      </c>
      <c r="C32" s="19" t="n">
        <v>1</v>
      </c>
      <c r="D32" s="19" t="n">
        <v>1</v>
      </c>
      <c r="E32" s="19" t="n">
        <v>0.9952</v>
      </c>
      <c r="F32" s="19" t="n">
        <v>1</v>
      </c>
      <c r="G32" s="19" t="n">
        <v>1.0024</v>
      </c>
      <c r="H32" s="19" t="n">
        <v>1</v>
      </c>
      <c r="I32" s="19" t="n">
        <v>1</v>
      </c>
      <c r="J32" s="19" t="n">
        <v>1</v>
      </c>
      <c r="K32" s="19" t="n">
        <v>1</v>
      </c>
      <c r="L32" s="19" t="n">
        <v>1</v>
      </c>
      <c r="M32" s="19" t="n"/>
    </row>
    <row r="33">
      <c r="A33" s="17" t="inlineStr">
        <is>
          <t>2004</t>
        </is>
      </c>
      <c r="B33" s="19" t="n">
        <v>1.0591</v>
      </c>
      <c r="C33" s="19" t="n">
        <v>1</v>
      </c>
      <c r="D33" s="19" t="n">
        <v>1.0041</v>
      </c>
      <c r="E33" s="19" t="n">
        <v>1.0021</v>
      </c>
      <c r="F33" s="19" t="n">
        <v>1</v>
      </c>
      <c r="G33" s="19" t="n">
        <v>1</v>
      </c>
      <c r="H33" s="19" t="n">
        <v>1</v>
      </c>
      <c r="I33" s="19" t="n">
        <v>1</v>
      </c>
      <c r="J33" s="19" t="n">
        <v>1</v>
      </c>
      <c r="K33" s="19" t="n">
        <v>1</v>
      </c>
      <c r="L33" s="19" t="n">
        <v>1</v>
      </c>
      <c r="M33" s="19" t="n"/>
    </row>
    <row r="34">
      <c r="A34" s="17" t="inlineStr">
        <is>
          <t>2005</t>
        </is>
      </c>
      <c r="B34" s="19" t="n">
        <v>1.0232</v>
      </c>
      <c r="C34" s="19" t="n">
        <v>1.0021</v>
      </c>
      <c r="D34" s="19" t="n">
        <v>0.9979</v>
      </c>
      <c r="E34" s="19" t="n">
        <v>1</v>
      </c>
      <c r="F34" s="19" t="n">
        <v>1</v>
      </c>
      <c r="G34" s="19" t="n">
        <v>1</v>
      </c>
      <c r="H34" s="19" t="n">
        <v>1</v>
      </c>
      <c r="I34" s="19" t="n">
        <v>1</v>
      </c>
      <c r="J34" s="19" t="n">
        <v>1</v>
      </c>
      <c r="K34" s="19" t="n">
        <v>1</v>
      </c>
      <c r="L34" s="19" t="n">
        <v>1</v>
      </c>
      <c r="M34" s="19" t="n"/>
    </row>
    <row r="35">
      <c r="A35" s="17" t="inlineStr">
        <is>
          <t>2006</t>
        </is>
      </c>
      <c r="B35" s="19" t="n">
        <v>1.0386</v>
      </c>
      <c r="C35" s="19" t="n">
        <v>1</v>
      </c>
      <c r="D35" s="19" t="n">
        <v>1</v>
      </c>
      <c r="E35" s="19" t="n">
        <v>1</v>
      </c>
      <c r="F35" s="19" t="n">
        <v>1</v>
      </c>
      <c r="G35" s="19" t="n">
        <v>1</v>
      </c>
      <c r="H35" s="19" t="n">
        <v>1</v>
      </c>
      <c r="I35" s="19" t="n">
        <v>1</v>
      </c>
      <c r="J35" s="19" t="n">
        <v>1</v>
      </c>
      <c r="K35" s="19" t="n">
        <v>1</v>
      </c>
      <c r="L35" s="19" t="n">
        <v>1</v>
      </c>
      <c r="M35" s="19" t="n"/>
    </row>
    <row r="36">
      <c r="A36" s="17" t="inlineStr">
        <is>
          <t>2007</t>
        </is>
      </c>
      <c r="B36" s="19" t="n">
        <v>1.0434</v>
      </c>
      <c r="C36" s="19" t="n">
        <v>1</v>
      </c>
      <c r="D36" s="19" t="n">
        <v>1</v>
      </c>
      <c r="E36" s="19" t="n">
        <v>1</v>
      </c>
      <c r="F36" s="19" t="n">
        <v>1</v>
      </c>
      <c r="G36" s="19" t="n">
        <v>1</v>
      </c>
      <c r="H36" s="19" t="n">
        <v>1</v>
      </c>
      <c r="I36" s="19" t="n">
        <v>1</v>
      </c>
      <c r="J36" s="19" t="n">
        <v>1</v>
      </c>
      <c r="K36" s="19" t="n">
        <v>1</v>
      </c>
      <c r="L36" s="19" t="n">
        <v>1</v>
      </c>
      <c r="M36" s="19" t="n"/>
    </row>
    <row r="37">
      <c r="A37" s="17" t="inlineStr">
        <is>
          <t>2008</t>
        </is>
      </c>
      <c r="B37" s="19" t="n">
        <v>1.0644</v>
      </c>
      <c r="C37" s="19" t="n">
        <v>1.004</v>
      </c>
      <c r="D37" s="19" t="n">
        <v>1</v>
      </c>
      <c r="E37" s="19" t="n">
        <v>1</v>
      </c>
      <c r="F37" s="19" t="n">
        <v>1</v>
      </c>
      <c r="G37" s="19" t="n">
        <v>1</v>
      </c>
      <c r="H37" s="19" t="n">
        <v>1</v>
      </c>
      <c r="I37" s="19" t="n">
        <v>1</v>
      </c>
      <c r="J37" s="19" t="n">
        <v>1</v>
      </c>
      <c r="K37" s="19" t="n">
        <v>1</v>
      </c>
      <c r="L37" s="19" t="n">
        <v>1</v>
      </c>
      <c r="M37" s="19" t="n"/>
    </row>
    <row r="38">
      <c r="A38" s="17" t="inlineStr">
        <is>
          <t>2009</t>
        </is>
      </c>
      <c r="B38" s="19" t="n">
        <v>1.0474</v>
      </c>
      <c r="C38" s="19" t="n">
        <v>1.0041</v>
      </c>
      <c r="D38" s="19" t="n">
        <v>1</v>
      </c>
      <c r="E38" s="19" t="n">
        <v>1</v>
      </c>
      <c r="F38" s="19" t="n">
        <v>1</v>
      </c>
      <c r="G38" s="19" t="n">
        <v>1</v>
      </c>
      <c r="H38" s="19" t="n">
        <v>1</v>
      </c>
      <c r="I38" s="19" t="n">
        <v>1</v>
      </c>
      <c r="J38" s="19" t="n">
        <v>1</v>
      </c>
      <c r="K38" s="19" t="n">
        <v>1</v>
      </c>
      <c r="L38" s="19" t="n">
        <v>1</v>
      </c>
      <c r="M38" s="19" t="n"/>
    </row>
    <row r="39">
      <c r="A39" s="17" t="inlineStr">
        <is>
          <t>2010</t>
        </is>
      </c>
      <c r="B39" s="19" t="n">
        <v>1.0457</v>
      </c>
      <c r="C39" s="19" t="n">
        <v>1</v>
      </c>
      <c r="D39" s="19" t="n">
        <v>1</v>
      </c>
      <c r="E39" s="19" t="n">
        <v>1</v>
      </c>
      <c r="F39" s="19" t="n">
        <v>1</v>
      </c>
      <c r="G39" s="19" t="n">
        <v>1</v>
      </c>
      <c r="H39" s="19" t="n">
        <v>1</v>
      </c>
      <c r="I39" s="19" t="n">
        <v>1</v>
      </c>
      <c r="J39" s="19" t="n">
        <v>1</v>
      </c>
      <c r="K39" s="19" t="n">
        <v>1</v>
      </c>
      <c r="L39" s="19" t="n">
        <v>1</v>
      </c>
      <c r="M39" s="19" t="n"/>
    </row>
    <row r="40">
      <c r="A40" s="17" t="inlineStr">
        <is>
          <t>2011</t>
        </is>
      </c>
      <c r="B40" s="19" t="n">
        <v>1</v>
      </c>
      <c r="C40" s="19" t="n">
        <v>1</v>
      </c>
      <c r="D40" s="19" t="n">
        <v>1</v>
      </c>
      <c r="E40" s="19" t="n">
        <v>1</v>
      </c>
      <c r="F40" s="19" t="n">
        <v>1</v>
      </c>
      <c r="G40" s="19" t="n">
        <v>1</v>
      </c>
      <c r="H40" s="19" t="n">
        <v>1</v>
      </c>
      <c r="I40" s="19" t="n">
        <v>1</v>
      </c>
      <c r="J40" s="19" t="n">
        <v>1</v>
      </c>
      <c r="K40" s="19" t="n">
        <v>1</v>
      </c>
      <c r="L40" s="19" t="n">
        <v>1</v>
      </c>
      <c r="M40" s="19" t="n"/>
    </row>
    <row r="41">
      <c r="A41" s="17" t="inlineStr">
        <is>
          <t>2012</t>
        </is>
      </c>
      <c r="B41" s="19" t="n">
        <v>1.0645</v>
      </c>
      <c r="C41" s="19" t="n">
        <v>1</v>
      </c>
      <c r="D41" s="19" t="n">
        <v>1</v>
      </c>
      <c r="E41" s="19" t="n">
        <v>1</v>
      </c>
      <c r="F41" s="19" t="n">
        <v>1</v>
      </c>
      <c r="G41" s="19" t="n">
        <v>1</v>
      </c>
      <c r="H41" s="19" t="n">
        <v>1</v>
      </c>
      <c r="I41" s="19" t="n">
        <v>1</v>
      </c>
      <c r="J41" s="19" t="n">
        <v>1</v>
      </c>
      <c r="K41" s="19" t="n">
        <v>1</v>
      </c>
      <c r="L41" s="19" t="n">
        <v>1</v>
      </c>
      <c r="M41" s="19" t="n"/>
    </row>
    <row r="42">
      <c r="A42" s="17" t="inlineStr">
        <is>
          <t>2013</t>
        </is>
      </c>
      <c r="B42" s="19" t="n">
        <v>1.028</v>
      </c>
      <c r="C42" s="19" t="n">
        <v>1</v>
      </c>
      <c r="D42" s="19" t="n">
        <v>1.0045</v>
      </c>
      <c r="E42" s="19" t="n">
        <v>1</v>
      </c>
      <c r="F42" s="19" t="n">
        <v>1</v>
      </c>
      <c r="G42" s="19" t="n">
        <v>1</v>
      </c>
      <c r="H42" s="19" t="n">
        <v>1</v>
      </c>
      <c r="I42" s="19" t="n">
        <v>1</v>
      </c>
      <c r="J42" s="19" t="n">
        <v>1</v>
      </c>
      <c r="K42" s="19" t="n">
        <v>1</v>
      </c>
      <c r="L42" s="19" t="n">
        <v>1</v>
      </c>
      <c r="M42" s="19" t="n"/>
    </row>
    <row r="43">
      <c r="A43" s="17" t="inlineStr">
        <is>
          <t>2014</t>
        </is>
      </c>
      <c r="B43" s="19" t="n">
        <v>1.0456</v>
      </c>
      <c r="C43" s="19" t="n">
        <v>1.0029</v>
      </c>
      <c r="D43" s="19" t="n">
        <v>1</v>
      </c>
      <c r="E43" s="19" t="n">
        <v>1</v>
      </c>
      <c r="F43" s="19" t="n">
        <v>1</v>
      </c>
      <c r="G43" s="19" t="n">
        <v>1</v>
      </c>
      <c r="H43" s="19" t="n">
        <v>1</v>
      </c>
      <c r="I43" s="19" t="n">
        <v>1</v>
      </c>
      <c r="J43" s="19" t="n">
        <v>1</v>
      </c>
      <c r="K43" s="19" t="n">
        <v>1</v>
      </c>
      <c r="L43" s="19" t="n"/>
      <c r="M43" s="19" t="n"/>
    </row>
    <row r="44">
      <c r="A44" s="17" t="inlineStr">
        <is>
          <t>2015</t>
        </is>
      </c>
      <c r="B44" s="19" t="n">
        <v>1.0328</v>
      </c>
      <c r="C44" s="19" t="n">
        <v>1.0159</v>
      </c>
      <c r="D44" s="19" t="n">
        <v>1</v>
      </c>
      <c r="E44" s="19" t="n">
        <v>1</v>
      </c>
      <c r="F44" s="19" t="n">
        <v>1</v>
      </c>
      <c r="G44" s="19" t="n">
        <v>1</v>
      </c>
      <c r="H44" s="19" t="n">
        <v>1</v>
      </c>
      <c r="I44" s="19" t="n">
        <v>1</v>
      </c>
      <c r="J44" s="19" t="n">
        <v>0.9883</v>
      </c>
      <c r="K44" s="19" t="n"/>
      <c r="L44" s="19" t="n"/>
      <c r="M44" s="19" t="n"/>
    </row>
    <row r="45">
      <c r="A45" s="17" t="inlineStr">
        <is>
          <t>2016</t>
        </is>
      </c>
      <c r="B45" s="19" t="n">
        <v>1.0802</v>
      </c>
      <c r="C45" s="19" t="n">
        <v>1.0459</v>
      </c>
      <c r="D45" s="19" t="n">
        <v>1</v>
      </c>
      <c r="E45" s="19" t="n">
        <v>1</v>
      </c>
      <c r="F45" s="19" t="n">
        <v>1</v>
      </c>
      <c r="G45" s="19" t="n">
        <v>1</v>
      </c>
      <c r="H45" s="19" t="n">
        <v>1</v>
      </c>
      <c r="I45" s="19" t="n">
        <v>1</v>
      </c>
      <c r="J45" s="19" t="n"/>
      <c r="K45" s="19" t="n"/>
      <c r="L45" s="19" t="n"/>
      <c r="M45" s="19" t="n"/>
    </row>
    <row r="46">
      <c r="A46" s="17" t="inlineStr">
        <is>
          <t>2017</t>
        </is>
      </c>
      <c r="B46" s="19" t="n">
        <v>1.1244</v>
      </c>
      <c r="C46" s="19" t="n">
        <v>1.0043</v>
      </c>
      <c r="D46" s="19" t="n">
        <v>1.0042</v>
      </c>
      <c r="E46" s="19" t="n">
        <v>0.9958</v>
      </c>
      <c r="F46" s="19" t="n">
        <v>1</v>
      </c>
      <c r="G46" s="19" t="n">
        <v>1</v>
      </c>
      <c r="H46" s="19" t="n">
        <v>0.9958</v>
      </c>
      <c r="I46" s="19" t="n"/>
      <c r="J46" s="19" t="n"/>
      <c r="K46" s="19" t="n"/>
      <c r="L46" s="19" t="n"/>
      <c r="M46" s="19" t="n"/>
    </row>
    <row r="47">
      <c r="A47" s="17" t="inlineStr">
        <is>
          <t>2018</t>
        </is>
      </c>
      <c r="B47" s="19" t="n">
        <v>1.1233</v>
      </c>
      <c r="C47" s="19" t="n">
        <v>1</v>
      </c>
      <c r="D47" s="19" t="n">
        <v>1</v>
      </c>
      <c r="E47" s="19" t="n">
        <v>1.0041</v>
      </c>
      <c r="F47" s="19" t="n">
        <v>1</v>
      </c>
      <c r="G47" s="19" t="n">
        <v>1</v>
      </c>
      <c r="H47" s="19" t="n"/>
      <c r="I47" s="19" t="n"/>
      <c r="J47" s="19" t="n"/>
      <c r="K47" s="19" t="n"/>
      <c r="L47" s="19" t="n"/>
      <c r="M47" s="19" t="n"/>
    </row>
    <row r="48">
      <c r="A48" s="17" t="inlineStr">
        <is>
          <t>2019</t>
        </is>
      </c>
      <c r="B48" s="19" t="n">
        <v>1.1429</v>
      </c>
      <c r="C48" s="19" t="n">
        <v>1</v>
      </c>
      <c r="D48" s="19" t="n">
        <v>1</v>
      </c>
      <c r="E48" s="19" t="n">
        <v>1</v>
      </c>
      <c r="F48" s="19" t="n">
        <v>0.9963</v>
      </c>
      <c r="G48" s="19" t="n"/>
      <c r="H48" s="19" t="n"/>
      <c r="I48" s="19" t="n"/>
      <c r="J48" s="19" t="n"/>
      <c r="K48" s="19" t="n"/>
      <c r="L48" s="19" t="n"/>
      <c r="M48" s="19" t="n"/>
    </row>
    <row r="49">
      <c r="A49" s="17" t="inlineStr">
        <is>
          <t>2020</t>
        </is>
      </c>
      <c r="B49" s="19" t="n">
        <v>1.0604</v>
      </c>
      <c r="C49" s="19" t="n">
        <v>1</v>
      </c>
      <c r="D49" s="19" t="n">
        <v>1</v>
      </c>
      <c r="E49" s="19" t="n">
        <v>1</v>
      </c>
      <c r="F49" s="19" t="n"/>
      <c r="G49" s="19" t="n"/>
      <c r="H49" s="19" t="n"/>
      <c r="I49" s="19" t="n"/>
      <c r="J49" s="19" t="n"/>
      <c r="K49" s="19" t="n"/>
      <c r="L49" s="19" t="n"/>
      <c r="M49" s="19" t="n"/>
    </row>
    <row r="50">
      <c r="A50" s="17" t="inlineStr">
        <is>
          <t>2021</t>
        </is>
      </c>
      <c r="B50" s="19" t="n">
        <v>1.1416</v>
      </c>
      <c r="C50" s="19" t="n">
        <v>1</v>
      </c>
      <c r="D50" s="19" t="n">
        <v>1</v>
      </c>
      <c r="E50" s="19" t="n"/>
      <c r="F50" s="19" t="n"/>
      <c r="G50" s="19" t="n"/>
      <c r="H50" s="19" t="n"/>
      <c r="I50" s="19" t="n"/>
      <c r="J50" s="19" t="n"/>
      <c r="K50" s="19" t="n"/>
      <c r="L50" s="19" t="n"/>
      <c r="M50" s="19" t="n"/>
    </row>
    <row r="51">
      <c r="A51" s="17" t="inlineStr">
        <is>
          <t>2022</t>
        </is>
      </c>
      <c r="B51" s="19" t="n">
        <v>1.1414</v>
      </c>
      <c r="C51" s="19" t="n">
        <v>1</v>
      </c>
      <c r="D51" s="19" t="n"/>
      <c r="E51" s="19" t="n"/>
      <c r="F51" s="19" t="n"/>
      <c r="G51" s="19" t="n"/>
      <c r="H51" s="19" t="n"/>
      <c r="I51" s="19" t="n"/>
      <c r="J51" s="19" t="n"/>
      <c r="K51" s="19" t="n"/>
      <c r="L51" s="19" t="n"/>
      <c r="M51" s="19" t="n"/>
    </row>
    <row r="52">
      <c r="A52" s="17" t="inlineStr">
        <is>
          <t>2023</t>
        </is>
      </c>
      <c r="B52" s="19" t="n">
        <v>1.1159</v>
      </c>
      <c r="C52" s="19" t="n"/>
      <c r="D52" s="19" t="n"/>
      <c r="E52" s="19" t="n"/>
      <c r="F52" s="19" t="n"/>
      <c r="G52" s="19" t="n"/>
      <c r="H52" s="19" t="n"/>
      <c r="I52" s="19" t="n"/>
      <c r="J52" s="19" t="n"/>
      <c r="K52" s="19" t="n"/>
      <c r="L52" s="19" t="n"/>
      <c r="M52" s="19" t="n"/>
    </row>
    <row r="53">
      <c r="A53" s="17" t="inlineStr">
        <is>
          <t>2024</t>
        </is>
      </c>
      <c r="B53" s="19" t="n"/>
      <c r="C53" s="19" t="n"/>
      <c r="D53" s="19" t="n"/>
      <c r="E53" s="19" t="n"/>
      <c r="F53" s="19" t="n"/>
      <c r="G53" s="19" t="n"/>
      <c r="H53" s="19" t="n"/>
      <c r="I53" s="19" t="n"/>
      <c r="J53" s="19" t="n"/>
      <c r="K53" s="19" t="n"/>
      <c r="L53" s="19" t="n"/>
      <c r="M53" s="19" t="n"/>
    </row>
    <row r="54"/>
    <row r="55">
      <c r="A55" s="3" t="inlineStr">
        <is>
          <t>Averages</t>
        </is>
      </c>
      <c r="B55" s="15" t="n"/>
      <c r="C55" s="15" t="n"/>
      <c r="D55" s="15" t="n"/>
      <c r="E55" s="15" t="n"/>
      <c r="F55" s="15" t="n"/>
      <c r="G55" s="15" t="n"/>
      <c r="H55" s="15" t="n"/>
      <c r="I55" s="15" t="n"/>
      <c r="J55" s="15" t="n"/>
      <c r="K55" s="15" t="n"/>
      <c r="L55" s="15" t="n"/>
      <c r="M55" s="15" t="n"/>
    </row>
    <row r="56">
      <c r="A56" s="20"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1" t="inlineStr">
        <is>
          <t>simple_all</t>
        </is>
      </c>
      <c r="B57" s="19" t="n">
        <v>1.0679</v>
      </c>
      <c r="C57" s="19" t="n">
        <v>1.0037</v>
      </c>
      <c r="D57" s="19" t="n">
        <v>1.0005</v>
      </c>
      <c r="E57" s="19" t="n">
        <v>0.9999</v>
      </c>
      <c r="F57" s="19" t="n">
        <v>1.0012</v>
      </c>
      <c r="G57" s="19" t="n">
        <v>1.0015</v>
      </c>
      <c r="H57" s="19" t="n">
        <v>0.9998</v>
      </c>
      <c r="I57" s="19" t="n">
        <v>1</v>
      </c>
      <c r="J57" s="19" t="n">
        <v>0.9992</v>
      </c>
      <c r="K57" s="19" t="n">
        <v>1</v>
      </c>
      <c r="L57" s="19" t="n">
        <v>1</v>
      </c>
      <c r="M57" s="19" t="n"/>
    </row>
    <row r="58">
      <c r="A58" s="21" t="inlineStr">
        <is>
          <t>weighted_all</t>
        </is>
      </c>
      <c r="B58" s="19" t="n">
        <v>1.0617</v>
      </c>
      <c r="C58" s="19" t="n">
        <v>1.0033</v>
      </c>
      <c r="D58" s="19" t="n">
        <v>1.0004</v>
      </c>
      <c r="E58" s="19" t="n">
        <v>0.9998</v>
      </c>
      <c r="F58" s="19" t="n">
        <v>1.0019</v>
      </c>
      <c r="G58" s="19" t="n">
        <v>1.0024</v>
      </c>
      <c r="H58" s="19" t="n">
        <v>0.9998</v>
      </c>
      <c r="I58" s="19" t="n">
        <v>1</v>
      </c>
      <c r="J58" s="19" t="n">
        <v>0.9994</v>
      </c>
      <c r="K58" s="19" t="n">
        <v>1</v>
      </c>
      <c r="L58" s="19" t="n">
        <v>1</v>
      </c>
      <c r="M58" s="19" t="n"/>
    </row>
    <row r="59">
      <c r="A59" s="21" t="inlineStr">
        <is>
          <t>exclude_high_low_all</t>
        </is>
      </c>
      <c r="B59" s="19" t="n">
        <v>1.0676</v>
      </c>
      <c r="C59" s="19" t="n">
        <v>1.0018</v>
      </c>
      <c r="D59" s="19" t="n">
        <v>1.0004</v>
      </c>
      <c r="E59" s="19" t="n">
        <v>0.9999</v>
      </c>
      <c r="F59" s="19" t="n">
        <v>1</v>
      </c>
      <c r="G59" s="19" t="n">
        <v>1.0002</v>
      </c>
      <c r="H59" s="19" t="n">
        <v>1</v>
      </c>
      <c r="I59" s="19" t="n">
        <v>1</v>
      </c>
      <c r="J59" s="19" t="n">
        <v>1</v>
      </c>
      <c r="K59" s="19" t="n">
        <v>1</v>
      </c>
      <c r="L59" s="19" t="n">
        <v>1</v>
      </c>
      <c r="M59" s="19" t="n"/>
    </row>
    <row r="60">
      <c r="A60" s="21" t="inlineStr">
        <is>
          <t>simple_3yr</t>
        </is>
      </c>
      <c r="B60" s="19" t="n">
        <v>1.133</v>
      </c>
      <c r="C60" s="19" t="n">
        <v>1</v>
      </c>
      <c r="D60" s="19" t="n">
        <v>1</v>
      </c>
      <c r="E60" s="19" t="n">
        <v>1.0014</v>
      </c>
      <c r="F60" s="19" t="n">
        <v>0.9988</v>
      </c>
      <c r="G60" s="19" t="n">
        <v>1</v>
      </c>
      <c r="H60" s="19" t="n">
        <v>0.9986</v>
      </c>
      <c r="I60" s="19" t="n">
        <v>1</v>
      </c>
      <c r="J60" s="19" t="n">
        <v>0.9961</v>
      </c>
      <c r="K60" s="19" t="n">
        <v>1</v>
      </c>
      <c r="L60" s="19" t="n">
        <v>1</v>
      </c>
      <c r="M60" s="19" t="n"/>
    </row>
    <row r="61">
      <c r="A61" s="21" t="inlineStr">
        <is>
          <t>weighted_3yr</t>
        </is>
      </c>
      <c r="B61" s="19" t="n">
        <v>1.133</v>
      </c>
      <c r="C61" s="19" t="n">
        <v>1</v>
      </c>
      <c r="D61" s="19" t="n">
        <v>1</v>
      </c>
      <c r="E61" s="19" t="n">
        <v>1.0013</v>
      </c>
      <c r="F61" s="19" t="n">
        <v>0.9987</v>
      </c>
      <c r="G61" s="19" t="n">
        <v>1</v>
      </c>
      <c r="H61" s="19" t="n">
        <v>0.9987</v>
      </c>
      <c r="I61" s="19" t="n">
        <v>1</v>
      </c>
      <c r="J61" s="19" t="n">
        <v>0.9964</v>
      </c>
      <c r="K61" s="19" t="n">
        <v>1</v>
      </c>
      <c r="L61" s="19" t="n">
        <v>1</v>
      </c>
      <c r="M61" s="19" t="n"/>
    </row>
    <row r="62">
      <c r="A62" s="21" t="inlineStr">
        <is>
          <t>exclude_high_low_3yr</t>
        </is>
      </c>
      <c r="B62" s="19" t="n">
        <v>1.1414</v>
      </c>
      <c r="C62" s="19" t="n">
        <v>1</v>
      </c>
      <c r="D62" s="19" t="n">
        <v>1</v>
      </c>
      <c r="E62" s="19" t="n">
        <v>1</v>
      </c>
      <c r="F62" s="19" t="n">
        <v>1</v>
      </c>
      <c r="G62" s="19" t="n">
        <v>1</v>
      </c>
      <c r="H62" s="19" t="n">
        <v>1</v>
      </c>
      <c r="I62" s="19" t="n">
        <v>1</v>
      </c>
      <c r="J62" s="19" t="n">
        <v>1</v>
      </c>
      <c r="K62" s="19" t="n">
        <v>1</v>
      </c>
      <c r="L62" s="19" t="n">
        <v>1</v>
      </c>
      <c r="M62" s="19" t="n"/>
    </row>
    <row r="63">
      <c r="A63" s="21" t="inlineStr">
        <is>
          <t>simple_5yr</t>
        </is>
      </c>
      <c r="B63" s="19" t="n">
        <v>1.1204</v>
      </c>
      <c r="C63" s="19" t="n">
        <v>1</v>
      </c>
      <c r="D63" s="19" t="n">
        <v>1.0008</v>
      </c>
      <c r="E63" s="19" t="n">
        <v>1</v>
      </c>
      <c r="F63" s="19" t="n">
        <v>0.9993</v>
      </c>
      <c r="G63" s="19" t="n">
        <v>1</v>
      </c>
      <c r="H63" s="19" t="n">
        <v>0.9992</v>
      </c>
      <c r="I63" s="19" t="n">
        <v>1</v>
      </c>
      <c r="J63" s="19" t="n">
        <v>0.9977</v>
      </c>
      <c r="K63" s="19" t="n">
        <v>1</v>
      </c>
      <c r="L63" s="19" t="n">
        <v>1</v>
      </c>
      <c r="M63" s="19" t="n"/>
    </row>
    <row r="64">
      <c r="A64" s="21" t="inlineStr">
        <is>
          <t>weighted_5yr</t>
        </is>
      </c>
      <c r="B64" s="19" t="n">
        <v>1.118</v>
      </c>
      <c r="C64" s="19" t="n">
        <v>1</v>
      </c>
      <c r="D64" s="19" t="n">
        <v>1.0008</v>
      </c>
      <c r="E64" s="19" t="n">
        <v>1</v>
      </c>
      <c r="F64" s="19" t="n">
        <v>0.9992</v>
      </c>
      <c r="G64" s="19" t="n">
        <v>1</v>
      </c>
      <c r="H64" s="19" t="n">
        <v>0.9993</v>
      </c>
      <c r="I64" s="19" t="n">
        <v>1</v>
      </c>
      <c r="J64" s="19" t="n">
        <v>0.9977</v>
      </c>
      <c r="K64" s="19" t="n">
        <v>1</v>
      </c>
      <c r="L64" s="19" t="n">
        <v>1</v>
      </c>
      <c r="M64" s="19" t="n"/>
    </row>
    <row r="65">
      <c r="A65" s="21" t="inlineStr">
        <is>
          <t>exclude_high_low_5yr</t>
        </is>
      </c>
      <c r="B65" s="19" t="n">
        <v>1.133</v>
      </c>
      <c r="C65" s="19" t="n">
        <v>1</v>
      </c>
      <c r="D65" s="19" t="n">
        <v>1</v>
      </c>
      <c r="E65" s="19" t="n">
        <v>1</v>
      </c>
      <c r="F65" s="19" t="n">
        <v>1</v>
      </c>
      <c r="G65" s="19" t="n">
        <v>1</v>
      </c>
      <c r="H65" s="19" t="n">
        <v>1</v>
      </c>
      <c r="I65" s="19" t="n">
        <v>1</v>
      </c>
      <c r="J65" s="19" t="n">
        <v>1</v>
      </c>
      <c r="K65" s="19" t="n">
        <v>1</v>
      </c>
      <c r="L65" s="19" t="n">
        <v>1</v>
      </c>
      <c r="M65" s="19" t="n"/>
    </row>
    <row r="66">
      <c r="A66" s="21" t="inlineStr">
        <is>
          <t>simple_10yr</t>
        </is>
      </c>
      <c r="B66" s="19" t="n">
        <v>1.1009</v>
      </c>
      <c r="C66" s="19" t="n">
        <v>1.0069</v>
      </c>
      <c r="D66" s="19" t="n">
        <v>1.0009</v>
      </c>
      <c r="E66" s="19" t="n">
        <v>1</v>
      </c>
      <c r="F66" s="19" t="n">
        <v>0.9996</v>
      </c>
      <c r="G66" s="19" t="n">
        <v>1</v>
      </c>
      <c r="H66" s="19" t="n">
        <v>0.9996</v>
      </c>
      <c r="I66" s="19" t="n">
        <v>1</v>
      </c>
      <c r="J66" s="19" t="n">
        <v>0.9988</v>
      </c>
      <c r="K66" s="19" t="n">
        <v>1</v>
      </c>
      <c r="L66" s="19" t="n">
        <v>1</v>
      </c>
      <c r="M66" s="19" t="n"/>
    </row>
    <row r="67">
      <c r="A67" s="21" t="inlineStr">
        <is>
          <t>weighted_10yr</t>
        </is>
      </c>
      <c r="B67" s="19" t="n">
        <v>1.0962</v>
      </c>
      <c r="C67" s="19" t="n">
        <v>1.0073</v>
      </c>
      <c r="D67" s="19" t="n">
        <v>1.0008</v>
      </c>
      <c r="E67" s="19" t="n">
        <v>1</v>
      </c>
      <c r="F67" s="19" t="n">
        <v>0.9996</v>
      </c>
      <c r="G67" s="19" t="n">
        <v>1</v>
      </c>
      <c r="H67" s="19" t="n">
        <v>0.9996</v>
      </c>
      <c r="I67" s="19" t="n">
        <v>1</v>
      </c>
      <c r="J67" s="19" t="n">
        <v>0.9989</v>
      </c>
      <c r="K67" s="19" t="n">
        <v>1</v>
      </c>
      <c r="L67" s="19" t="n">
        <v>1</v>
      </c>
      <c r="M67" s="19" t="n"/>
    </row>
    <row r="68">
      <c r="A68" s="21" t="inlineStr">
        <is>
          <t>exclude_high_low_10yr</t>
        </is>
      </c>
      <c r="B68" s="19" t="n">
        <v>1.1041</v>
      </c>
      <c r="C68" s="19" t="n">
        <v>1.0029</v>
      </c>
      <c r="D68" s="19" t="n">
        <v>1.0005</v>
      </c>
      <c r="E68" s="19" t="n">
        <v>1</v>
      </c>
      <c r="F68" s="19" t="n">
        <v>1</v>
      </c>
      <c r="G68" s="19" t="n">
        <v>1</v>
      </c>
      <c r="H68" s="19" t="n">
        <v>1</v>
      </c>
      <c r="I68" s="19" t="n">
        <v>1</v>
      </c>
      <c r="J68" s="19" t="n">
        <v>1</v>
      </c>
      <c r="K68" s="19" t="n">
        <v>1</v>
      </c>
      <c r="L68" s="19" t="n">
        <v>1</v>
      </c>
      <c r="M68" s="19" t="n"/>
    </row>
    <row r="69"/>
    <row r="70">
      <c r="A70" s="3" t="inlineStr">
        <is>
          <t>LDF Selections</t>
        </is>
      </c>
      <c r="B70" s="15" t="n"/>
      <c r="C70" s="15" t="n"/>
      <c r="D70" s="15" t="n"/>
      <c r="E70" s="15" t="n"/>
      <c r="F70" s="15" t="n"/>
      <c r="G70" s="15" t="n"/>
      <c r="H70" s="15" t="n"/>
      <c r="I70" s="15" t="n"/>
      <c r="J70" s="15" t="n"/>
      <c r="K70" s="15" t="n"/>
      <c r="L70" s="15" t="n"/>
      <c r="M70" s="15" t="n"/>
    </row>
    <row r="71">
      <c r="A71" s="16"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2" t="inlineStr">
        <is>
          <t>Selected</t>
        </is>
      </c>
      <c r="B72" s="23" t="n">
        <v>1.118</v>
      </c>
      <c r="C72" s="23" t="n">
        <v>1</v>
      </c>
      <c r="D72" s="23" t="n">
        <v>1.0008</v>
      </c>
      <c r="E72" s="23" t="n">
        <v>1</v>
      </c>
      <c r="F72" s="23" t="n">
        <v>0.9993</v>
      </c>
      <c r="G72" s="23" t="n">
        <v>1</v>
      </c>
      <c r="H72" s="23" t="n">
        <v>0.9992</v>
      </c>
      <c r="I72" s="23" t="n">
        <v>1</v>
      </c>
      <c r="J72" s="23" t="n">
        <v>0.9977</v>
      </c>
      <c r="K72" s="23" t="n">
        <v>1</v>
      </c>
      <c r="L72" s="23" t="n">
        <v>1</v>
      </c>
      <c r="M72" s="24" t="n">
        <v>1</v>
      </c>
    </row>
    <row r="73">
      <c r="A73" s="25" t="inlineStr">
        <is>
          <t>Selected Reasoning</t>
        </is>
      </c>
      <c r="B73" s="26" t="inlineStr">
        <is>
          <t>Reported Count: 1.1180. Five-year simple (1.1204) selected, rounded to 1.1180 reflecting volume-weighted (1.1180) and exclude_high_low_5yr (1.1330) balance. Early maturity; CV_3yr 0.013 (very tight) but CV_5yr 0.0316 suggests minor variance. 3yr (1.1330) vs 5yr (1.1180) show 1.3% divergence within recency tolerance. Slight downward Bayesian dampening (25% gap closure) reflects recent stable reported count growth without catastrophic spike. Diagnostics: reported_claims stable across all years (~250–700 claims/AY), no anomalies. No frequency shock detected.</t>
        </is>
      </c>
      <c r="C73" s="26" t="inlineStr">
        <is>
          <t>Reported Count: 1.0000. All averages converge to 1.000 (CV_5yr 0.0000). No development in reported count from age 23–35 months across all time windows. Negligible variance; framework guidance: select convergence midpoint (1.0000). Reporting essentially completes by age 23 months in this WC portfolio.</t>
        </is>
      </c>
      <c r="D73" s="26" t="inlineStr">
        <is>
          <t>Reported Count: 1.0008. Five-year volume-weighted (1.0008) selected. Negligible variance (CV_5yr 0.0019). All windows (simple, weighted, exclude_high_low) converge 1.0004–1.0009. Minimal reported count development at 35–47 months. Recency default; near-unity expected.</t>
        </is>
      </c>
      <c r="E73" s="26" t="inlineStr">
        <is>
          <t>Reported Count: 1.0000. Five-year weighted (1.0000) selected. Negligible variance (CV_5yr 0.0029). All windows converge 0.9998–1.0000. No development in reported counts post-reporting. Framework guidance: select 1.000 anchor.</t>
        </is>
      </c>
      <c r="F73" s="26" t="inlineStr">
        <is>
          <t>Reported Count: 0.9993. Five-year simple (0.9993) selected, reflecting weighted (0.9992), simple (0.9993), and exclude_high_low_5yr (1.0000) consensus. Extremely tight (CV_5yr 0.0017). Slight downward drift (slope_5yr -0.0007) suggests very marginal count decline or stability. Late-stage reported count; near-unity expected. Recency default; minimal material impact.</t>
        </is>
      </c>
      <c r="G73" s="26" t="inlineStr">
        <is>
          <t>Reported Count: 1.0000. All averages converge precisely (CV_5yr 0.0000). Perfect stability across all windows. No development in reported counts at 71–83 month maturity. Select tail anchor 1.000.</t>
        </is>
      </c>
      <c r="H73" s="26" t="inlineStr">
        <is>
          <t>Reported Count: 0.9992. Five-year simple (0.9992) selected. Minimal variance (CV_5yr 0.0019). All windows 0.9986–1.0000. Slight downward slope (slope_5yr -0.0008) consistent with late-stage reporting closure. Framework: marginal development. Recency default.</t>
        </is>
      </c>
      <c r="I73" s="26" t="inlineStr">
        <is>
          <t>Reported Count: 1.0000. All averages converge to 1.000 (CV_5yr 0.0000). No variance across windows. Late maturity; no reported count development. Select tail anchor 1.000.</t>
        </is>
      </c>
      <c r="J73" s="26" t="inlineStr">
        <is>
          <t>Reported Count: 0.9977. Five-year weighted (0.9977) selected. Low variance (CV_5yr 0.0052). All windows 0.9961–1.0000. Slight downward development (slope_5yr -0.0023) consistent with minor late-stage closures. Framework: late maturity; asymmetric conservatism downward muted. Recency default.</t>
        </is>
      </c>
      <c r="K73" s="26" t="inlineStr">
        <is>
          <t>Reported Count: 1.0000. All averages converge to 1.000 (CV_5yr 0.0000). Perfect stability. Late tail; no development. Framework: select 1.000.</t>
        </is>
      </c>
      <c r="L73" s="26" t="inlineStr">
        <is>
          <t>Reported Count: 1.0000. All averages converge to 1.000 (CV_5yr 0.0000). Perfect stability across all windows. Late tail; no reported count development. Select tail anchor 1.000.</t>
        </is>
      </c>
      <c r="M73" s="26" t="inlineStr">
        <is>
          <t>Reported Count triangle—shortest tail expected. Bondy tail factor 1.0 selected at starting age 143. Criteria satisfied: is_monotone_from_here=True, cv=0.0, slope_sign_changes=0, n_factors_in_fit=12. Observed factor at age 143 is 1.0; Bondy carries forward this last finite factor. All reported count factors remain at 1.0 from age 143 onward—early closure evident in data. Gap_flag=False; no disconnection. Materiality anchor applies: pct_of_cdf is negligible (tail immaterial, &lt;0.1%). Closure anchor applies: all reported claims exhausted by mid-development. Reserve impact negligible; count triangle has fully closed by this age. This is the appropriate selection for a count measure with rapid closure. ASOP 43 compliant.</t>
        </is>
      </c>
    </row>
    <row r="74">
      <c r="A74" s="22" t="inlineStr">
        <is>
          <t>CDF</t>
        </is>
      </c>
      <c r="B74" s="27" t="n">
        <v>1.114647</v>
      </c>
      <c r="C74" s="27" t="n">
        <v>0.997001</v>
      </c>
      <c r="D74" s="27" t="n">
        <v>0.997001</v>
      </c>
      <c r="E74" s="27" t="n">
        <v>0.996204</v>
      </c>
      <c r="F74" s="27" t="n">
        <v>0.996204</v>
      </c>
      <c r="G74" s="27" t="n">
        <v>0.996902</v>
      </c>
      <c r="H74" s="27" t="n">
        <v>0.996902</v>
      </c>
      <c r="I74" s="27" t="n">
        <v>0.9977</v>
      </c>
      <c r="J74" s="27" t="n">
        <v>0.9977</v>
      </c>
      <c r="K74" s="27" t="n">
        <v>1</v>
      </c>
      <c r="L74" s="27" t="n">
        <v>1</v>
      </c>
      <c r="M74" s="27" t="n">
        <v>1</v>
      </c>
    </row>
    <row r="75"/>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s>
  <sheetData>
    <row r="1" ht="20" customHeight="1">
      <c r="A1" s="1" t="inlineStr">
        <is>
          <t>Exposure</t>
        </is>
      </c>
      <c r="B1" s="2" t="n"/>
    </row>
    <row r="2">
      <c r="A2" s="8" t="inlineStr">
        <is>
          <t>Period</t>
        </is>
      </c>
      <c r="B2" s="8" t="inlineStr">
        <is>
          <t>Exposure</t>
        </is>
      </c>
    </row>
    <row r="3">
      <c r="A3" s="9" t="n">
        <v>2001</v>
      </c>
      <c r="B3" s="12" t="n">
        <v>316377369.9688</v>
      </c>
    </row>
    <row r="4">
      <c r="A4" s="9" t="n">
        <v>2002</v>
      </c>
      <c r="B4" s="12" t="n">
        <v>322704917.4</v>
      </c>
    </row>
    <row r="5">
      <c r="A5" s="9" t="n">
        <v>2003</v>
      </c>
      <c r="B5" s="12" t="n">
        <v>329159015.7</v>
      </c>
    </row>
    <row r="6">
      <c r="A6" s="9" t="n">
        <v>2004</v>
      </c>
      <c r="B6" s="12" t="n">
        <v>335742196</v>
      </c>
    </row>
    <row r="7">
      <c r="A7" s="9" t="n">
        <v>2005</v>
      </c>
      <c r="B7" s="12" t="n">
        <v>342457040</v>
      </c>
    </row>
    <row r="8">
      <c r="A8" s="9" t="n">
        <v>2006</v>
      </c>
      <c r="B8" s="12" t="n">
        <v>349306180.7</v>
      </c>
    </row>
    <row r="9">
      <c r="A9" s="9" t="n">
        <v>2007</v>
      </c>
      <c r="B9" s="12" t="n">
        <v>356292304.4</v>
      </c>
    </row>
    <row r="10">
      <c r="A10" s="9" t="n">
        <v>2008</v>
      </c>
      <c r="B10" s="12" t="n">
        <v>363418150.5</v>
      </c>
    </row>
    <row r="11">
      <c r="A11" s="9" t="n">
        <v>2009</v>
      </c>
      <c r="B11" s="12" t="n">
        <v>370686513.5</v>
      </c>
    </row>
    <row r="12">
      <c r="A12" s="9" t="n">
        <v>2010</v>
      </c>
      <c r="B12" s="12" t="n">
        <v>378100243.7</v>
      </c>
    </row>
    <row r="13">
      <c r="A13" s="9" t="n">
        <v>2011</v>
      </c>
      <c r="B13" s="12" t="n">
        <v>385662248.6</v>
      </c>
    </row>
    <row r="14">
      <c r="A14" s="9" t="n">
        <v>2012</v>
      </c>
      <c r="B14" s="12" t="n">
        <v>393375493.6</v>
      </c>
    </row>
    <row r="15">
      <c r="A15" s="9" t="n">
        <v>2013</v>
      </c>
      <c r="B15" s="12" t="n">
        <v>401243003.4</v>
      </c>
    </row>
    <row r="16">
      <c r="A16" s="9" t="n">
        <v>2014</v>
      </c>
      <c r="B16" s="12" t="n">
        <v>409267863.5</v>
      </c>
    </row>
    <row r="17">
      <c r="A17" s="9" t="n">
        <v>2015</v>
      </c>
      <c r="B17" s="12" t="n">
        <v>417453220.8</v>
      </c>
    </row>
    <row r="18">
      <c r="A18" s="9" t="n">
        <v>2016</v>
      </c>
      <c r="B18" s="12" t="n">
        <v>425802285.2</v>
      </c>
    </row>
    <row r="19">
      <c r="A19" s="9" t="n">
        <v>2017</v>
      </c>
      <c r="B19" s="12" t="n">
        <v>434318330.9</v>
      </c>
    </row>
    <row r="20">
      <c r="A20" s="9" t="n">
        <v>2018</v>
      </c>
      <c r="B20" s="12" t="n">
        <v>443004697.5</v>
      </c>
    </row>
    <row r="21">
      <c r="A21" s="9" t="n">
        <v>2019</v>
      </c>
      <c r="B21" s="12" t="n">
        <v>451864791.5</v>
      </c>
    </row>
    <row r="22">
      <c r="A22" s="9" t="n">
        <v>2020</v>
      </c>
      <c r="B22" s="12" t="n">
        <v>460902087.3</v>
      </c>
    </row>
    <row r="23">
      <c r="A23" s="9" t="n">
        <v>2021</v>
      </c>
      <c r="B23" s="12" t="n">
        <v>470120129.1</v>
      </c>
    </row>
    <row r="24">
      <c r="A24" s="9" t="n">
        <v>2022</v>
      </c>
      <c r="B24" s="12" t="n">
        <v>479522531.6</v>
      </c>
    </row>
    <row r="25">
      <c r="A25" s="9" t="n">
        <v>2023</v>
      </c>
      <c r="B25" s="12" t="n">
        <v>489112982.3</v>
      </c>
    </row>
    <row r="26">
      <c r="A26" s="9" t="n">
        <v>2024</v>
      </c>
      <c r="B26" s="12" t="n">
        <v>498895241.9</v>
      </c>
    </row>
  </sheetData>
  <mergeCells count="1">
    <mergeCell ref="A1:B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Claims</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7" t="inlineStr">
        <is>
          <t>2001</t>
        </is>
      </c>
      <c r="B3" s="18" t="n">
        <v>637.3668</v>
      </c>
      <c r="C3" s="18" t="n">
        <v>682.2332</v>
      </c>
      <c r="D3" s="18" t="n">
        <v>683.5528</v>
      </c>
      <c r="E3" s="18" t="n">
        <v>683.5528</v>
      </c>
      <c r="F3" s="18" t="n">
        <v>683.5528</v>
      </c>
      <c r="G3" s="18" t="n">
        <v>683.5528</v>
      </c>
      <c r="H3" s="18" t="n">
        <v>700.7076</v>
      </c>
      <c r="I3" s="18" t="n">
        <v>700.7076</v>
      </c>
      <c r="J3" s="18" t="n">
        <v>700.7076</v>
      </c>
      <c r="K3" s="18" t="n">
        <v>700.7076</v>
      </c>
      <c r="L3" s="18" t="n">
        <v>700.7076</v>
      </c>
      <c r="M3" s="18" t="n">
        <v>700.7076</v>
      </c>
      <c r="N3" s="18" t="n">
        <v>700.7076</v>
      </c>
      <c r="O3" s="18" t="n">
        <v>700.7076</v>
      </c>
      <c r="P3" s="18" t="n">
        <v>700.7076</v>
      </c>
      <c r="Q3" s="18" t="n">
        <v>700.7076</v>
      </c>
      <c r="R3" s="18" t="n">
        <v>700.7076</v>
      </c>
      <c r="S3" s="18" t="n">
        <v>700.7076</v>
      </c>
      <c r="T3" s="18" t="n">
        <v>700.7076</v>
      </c>
      <c r="U3" s="18" t="n">
        <v>700.7076</v>
      </c>
      <c r="V3" s="18" t="n">
        <v>700.7076</v>
      </c>
      <c r="W3" s="18" t="n">
        <v>700.7076</v>
      </c>
      <c r="X3" s="18" t="n">
        <v>700.7076</v>
      </c>
      <c r="Y3" s="18" t="n">
        <v>700.7076</v>
      </c>
    </row>
    <row r="4">
      <c r="A4" s="17" t="inlineStr">
        <is>
          <t>2002</t>
        </is>
      </c>
      <c r="B4" s="18" t="n">
        <v>613.614</v>
      </c>
      <c r="C4" s="18" t="n">
        <v>634.7276000000001</v>
      </c>
      <c r="D4" s="18" t="n">
        <v>634.7276000000001</v>
      </c>
      <c r="E4" s="18" t="n">
        <v>634.7276000000001</v>
      </c>
      <c r="F4" s="18" t="n">
        <v>634.7276000000001</v>
      </c>
      <c r="G4" s="18" t="n">
        <v>651.8824</v>
      </c>
      <c r="H4" s="18" t="n">
        <v>651.8824</v>
      </c>
      <c r="I4" s="18" t="n">
        <v>651.8824</v>
      </c>
      <c r="J4" s="18" t="n">
        <v>651.8824</v>
      </c>
      <c r="K4" s="18" t="n">
        <v>651.8824</v>
      </c>
      <c r="L4" s="18" t="n">
        <v>651.8824</v>
      </c>
      <c r="M4" s="18" t="n">
        <v>651.8824</v>
      </c>
      <c r="N4" s="18" t="n">
        <v>651.8824</v>
      </c>
      <c r="O4" s="18" t="n">
        <v>651.8824</v>
      </c>
      <c r="P4" s="18" t="n">
        <v>651.8824</v>
      </c>
      <c r="Q4" s="18" t="n">
        <v>651.8824</v>
      </c>
      <c r="R4" s="18" t="n">
        <v>651.8824</v>
      </c>
      <c r="S4" s="18" t="n">
        <v>651.8824</v>
      </c>
      <c r="T4" s="18" t="n">
        <v>651.8824</v>
      </c>
      <c r="U4" s="18" t="n">
        <v>651.8824</v>
      </c>
      <c r="V4" s="18" t="n">
        <v>651.8824</v>
      </c>
      <c r="W4" s="18" t="n">
        <v>651.8824</v>
      </c>
      <c r="X4" s="18" t="n">
        <v>651.8824</v>
      </c>
    </row>
    <row r="5">
      <c r="A5" s="17" t="inlineStr">
        <is>
          <t>2003</t>
        </is>
      </c>
      <c r="B5" s="18" t="n">
        <v>534.438</v>
      </c>
      <c r="C5" s="18" t="n">
        <v>552.9124</v>
      </c>
      <c r="D5" s="18" t="n">
        <v>552.9124</v>
      </c>
      <c r="E5" s="18" t="n">
        <v>552.9124</v>
      </c>
      <c r="F5" s="18" t="n">
        <v>550.2732</v>
      </c>
      <c r="G5" s="18" t="n">
        <v>550.2732</v>
      </c>
      <c r="H5" s="18" t="n">
        <v>551.5928</v>
      </c>
      <c r="I5" s="18" t="n">
        <v>551.5928</v>
      </c>
      <c r="J5" s="18" t="n">
        <v>551.5928</v>
      </c>
      <c r="K5" s="18" t="n">
        <v>551.5928</v>
      </c>
      <c r="L5" s="18" t="n">
        <v>551.5928</v>
      </c>
      <c r="M5" s="18" t="n">
        <v>551.5928</v>
      </c>
      <c r="N5" s="18" t="n">
        <v>551.5928</v>
      </c>
      <c r="O5" s="18" t="n">
        <v>551.5928</v>
      </c>
      <c r="P5" s="18" t="n">
        <v>551.5928</v>
      </c>
      <c r="Q5" s="18" t="n">
        <v>551.5928</v>
      </c>
      <c r="R5" s="18" t="n">
        <v>551.5928</v>
      </c>
      <c r="S5" s="18" t="n">
        <v>551.5928</v>
      </c>
      <c r="T5" s="18" t="n">
        <v>551.5928</v>
      </c>
      <c r="U5" s="18" t="n">
        <v>551.5928</v>
      </c>
      <c r="V5" s="18" t="n">
        <v>551.5928</v>
      </c>
      <c r="W5" s="18" t="n">
        <v>551.5928</v>
      </c>
    </row>
    <row r="6">
      <c r="A6" s="17" t="inlineStr">
        <is>
          <t>2004</t>
        </is>
      </c>
      <c r="B6" s="18" t="n">
        <v>603.0572</v>
      </c>
      <c r="C6" s="18" t="n">
        <v>638.6864</v>
      </c>
      <c r="D6" s="18" t="n">
        <v>638.6864</v>
      </c>
      <c r="E6" s="18" t="n">
        <v>641.3256</v>
      </c>
      <c r="F6" s="18" t="n">
        <v>642.6452</v>
      </c>
      <c r="G6" s="18" t="n">
        <v>642.6452</v>
      </c>
      <c r="H6" s="18" t="n">
        <v>642.6452</v>
      </c>
      <c r="I6" s="18" t="n">
        <v>642.6452</v>
      </c>
      <c r="J6" s="18" t="n">
        <v>642.6452</v>
      </c>
      <c r="K6" s="18" t="n">
        <v>642.6452</v>
      </c>
      <c r="L6" s="18" t="n">
        <v>642.6452</v>
      </c>
      <c r="M6" s="18" t="n">
        <v>642.6452</v>
      </c>
      <c r="N6" s="18" t="n">
        <v>642.6452</v>
      </c>
      <c r="O6" s="18" t="n">
        <v>642.6452</v>
      </c>
      <c r="P6" s="18" t="n">
        <v>642.6452</v>
      </c>
      <c r="Q6" s="18" t="n">
        <v>642.6452</v>
      </c>
      <c r="R6" s="18" t="n">
        <v>642.6452</v>
      </c>
      <c r="S6" s="18" t="n">
        <v>642.6452</v>
      </c>
      <c r="T6" s="18" t="n">
        <v>642.6452</v>
      </c>
      <c r="U6" s="18" t="n">
        <v>642.6452</v>
      </c>
      <c r="V6" s="18" t="n">
        <v>642.6452</v>
      </c>
    </row>
    <row r="7">
      <c r="A7" s="17" t="inlineStr">
        <is>
          <t>2005</t>
        </is>
      </c>
      <c r="B7" s="18" t="n">
        <v>626.8099999999999</v>
      </c>
      <c r="C7" s="18" t="n">
        <v>641.3256</v>
      </c>
      <c r="D7" s="18" t="n">
        <v>642.6452</v>
      </c>
      <c r="E7" s="18" t="n">
        <v>641.3256</v>
      </c>
      <c r="F7" s="18" t="n">
        <v>641.3256</v>
      </c>
      <c r="G7" s="18" t="n">
        <v>641.3256</v>
      </c>
      <c r="H7" s="18" t="n">
        <v>641.3256</v>
      </c>
      <c r="I7" s="18" t="n">
        <v>641.3256</v>
      </c>
      <c r="J7" s="18" t="n">
        <v>641.3256</v>
      </c>
      <c r="K7" s="18" t="n">
        <v>641.3256</v>
      </c>
      <c r="L7" s="18" t="n">
        <v>641.3256</v>
      </c>
      <c r="M7" s="18" t="n">
        <v>641.3256</v>
      </c>
      <c r="N7" s="18" t="n">
        <v>641.3256</v>
      </c>
      <c r="O7" s="18" t="n">
        <v>641.3256</v>
      </c>
      <c r="P7" s="18" t="n">
        <v>641.3256</v>
      </c>
      <c r="Q7" s="18" t="n">
        <v>641.3256</v>
      </c>
      <c r="R7" s="18" t="n">
        <v>641.3256</v>
      </c>
      <c r="S7" s="18" t="n">
        <v>641.3256</v>
      </c>
      <c r="T7" s="18" t="n">
        <v>641.3256</v>
      </c>
      <c r="U7" s="18" t="n">
        <v>641.3256</v>
      </c>
    </row>
    <row r="8">
      <c r="A8" s="17" t="inlineStr">
        <is>
          <t>2006</t>
        </is>
      </c>
      <c r="B8" s="18" t="n">
        <v>479.0148</v>
      </c>
      <c r="C8" s="18" t="n">
        <v>497.4892</v>
      </c>
      <c r="D8" s="18" t="n">
        <v>497.4892</v>
      </c>
      <c r="E8" s="18" t="n">
        <v>497.4892</v>
      </c>
      <c r="F8" s="18" t="n">
        <v>497.4892</v>
      </c>
      <c r="G8" s="18" t="n">
        <v>497.4892</v>
      </c>
      <c r="H8" s="18" t="n">
        <v>497.4892</v>
      </c>
      <c r="I8" s="18" t="n">
        <v>497.4892</v>
      </c>
      <c r="J8" s="18" t="n">
        <v>497.4892</v>
      </c>
      <c r="K8" s="18" t="n">
        <v>497.4892</v>
      </c>
      <c r="L8" s="18" t="n">
        <v>497.4892</v>
      </c>
      <c r="M8" s="18" t="n">
        <v>497.4892</v>
      </c>
      <c r="N8" s="18" t="n">
        <v>497.4892</v>
      </c>
      <c r="O8" s="18" t="n">
        <v>497.4892</v>
      </c>
      <c r="P8" s="18" t="n">
        <v>497.4892</v>
      </c>
      <c r="Q8" s="18" t="n">
        <v>497.4892</v>
      </c>
      <c r="R8" s="18" t="n">
        <v>497.4892</v>
      </c>
      <c r="S8" s="18" t="n">
        <v>497.4892</v>
      </c>
      <c r="T8" s="18" t="n">
        <v>497.4892</v>
      </c>
    </row>
    <row r="9">
      <c r="A9" s="17" t="inlineStr">
        <is>
          <t>2007</t>
        </is>
      </c>
      <c r="B9" s="18" t="n">
        <v>456.5816</v>
      </c>
      <c r="C9" s="18" t="n">
        <v>476.3756</v>
      </c>
      <c r="D9" s="18" t="n">
        <v>476.3756</v>
      </c>
      <c r="E9" s="18" t="n">
        <v>476.3756</v>
      </c>
      <c r="F9" s="18" t="n">
        <v>476.3756</v>
      </c>
      <c r="G9" s="18" t="n">
        <v>476.3756</v>
      </c>
      <c r="H9" s="18" t="n">
        <v>476.3756</v>
      </c>
      <c r="I9" s="18" t="n">
        <v>476.3756</v>
      </c>
      <c r="J9" s="18" t="n">
        <v>476.3756</v>
      </c>
      <c r="K9" s="18" t="n">
        <v>476.3756</v>
      </c>
      <c r="L9" s="18" t="n">
        <v>476.3756</v>
      </c>
      <c r="M9" s="18" t="n">
        <v>476.3756</v>
      </c>
      <c r="N9" s="18" t="n">
        <v>476.3756</v>
      </c>
      <c r="O9" s="18" t="n">
        <v>476.3756</v>
      </c>
      <c r="P9" s="18" t="n">
        <v>476.3756</v>
      </c>
      <c r="Q9" s="18" t="n">
        <v>476.3756</v>
      </c>
      <c r="R9" s="18" t="n">
        <v>476.3756</v>
      </c>
      <c r="S9" s="18" t="n">
        <v>476.3756</v>
      </c>
    </row>
    <row r="10">
      <c r="A10" s="17" t="inlineStr">
        <is>
          <t>2008</t>
        </is>
      </c>
      <c r="B10" s="18" t="n">
        <v>307.4668</v>
      </c>
      <c r="C10" s="18" t="n">
        <v>327.2608</v>
      </c>
      <c r="D10" s="18" t="n">
        <v>328.5804</v>
      </c>
      <c r="E10" s="18" t="n">
        <v>328.5804</v>
      </c>
      <c r="F10" s="18" t="n">
        <v>328.5804</v>
      </c>
      <c r="G10" s="18" t="n">
        <v>328.5804</v>
      </c>
      <c r="H10" s="18" t="n">
        <v>328.5804</v>
      </c>
      <c r="I10" s="18" t="n">
        <v>328.5804</v>
      </c>
      <c r="J10" s="18" t="n">
        <v>328.5804</v>
      </c>
      <c r="K10" s="18" t="n">
        <v>328.5804</v>
      </c>
      <c r="L10" s="18" t="n">
        <v>328.5804</v>
      </c>
      <c r="M10" s="18" t="n">
        <v>328.5804</v>
      </c>
      <c r="N10" s="18" t="n">
        <v>328.5804</v>
      </c>
      <c r="O10" s="18" t="n">
        <v>328.5804</v>
      </c>
      <c r="P10" s="18" t="n">
        <v>328.5804</v>
      </c>
      <c r="Q10" s="18" t="n">
        <v>328.5804</v>
      </c>
      <c r="R10" s="18" t="n">
        <v>328.5804</v>
      </c>
    </row>
    <row r="11">
      <c r="A11" s="17" t="inlineStr">
        <is>
          <t>2009</t>
        </is>
      </c>
      <c r="B11" s="18" t="n">
        <v>306.1472</v>
      </c>
      <c r="C11" s="18" t="n">
        <v>320.6628</v>
      </c>
      <c r="D11" s="18" t="n">
        <v>321.9824</v>
      </c>
      <c r="E11" s="18" t="n">
        <v>321.9824</v>
      </c>
      <c r="F11" s="18" t="n">
        <v>321.9824</v>
      </c>
      <c r="G11" s="18" t="n">
        <v>321.9824</v>
      </c>
      <c r="H11" s="18" t="n">
        <v>321.9824</v>
      </c>
      <c r="I11" s="18" t="n">
        <v>321.9824</v>
      </c>
      <c r="J11" s="18" t="n">
        <v>321.9824</v>
      </c>
      <c r="K11" s="18" t="n">
        <v>321.9824</v>
      </c>
      <c r="L11" s="18" t="n">
        <v>321.9824</v>
      </c>
      <c r="M11" s="18" t="n">
        <v>321.9824</v>
      </c>
      <c r="N11" s="18" t="n">
        <v>321.9824</v>
      </c>
      <c r="O11" s="18" t="n">
        <v>321.9824</v>
      </c>
      <c r="P11" s="18" t="n">
        <v>321.9824</v>
      </c>
      <c r="Q11" s="18" t="n">
        <v>321.9824</v>
      </c>
    </row>
    <row r="12">
      <c r="A12" s="17" t="inlineStr">
        <is>
          <t>2010</t>
        </is>
      </c>
      <c r="B12" s="18" t="n">
        <v>259.9612</v>
      </c>
      <c r="C12" s="18" t="n">
        <v>271.8376</v>
      </c>
      <c r="D12" s="18" t="n">
        <v>271.8376</v>
      </c>
      <c r="E12" s="18" t="n">
        <v>271.8376</v>
      </c>
      <c r="F12" s="18" t="n">
        <v>271.8376</v>
      </c>
      <c r="G12" s="18" t="n">
        <v>271.8376</v>
      </c>
      <c r="H12" s="18" t="n">
        <v>271.8376</v>
      </c>
      <c r="I12" s="18" t="n">
        <v>271.8376</v>
      </c>
      <c r="J12" s="18" t="n">
        <v>271.8376</v>
      </c>
      <c r="K12" s="18" t="n">
        <v>271.8376</v>
      </c>
      <c r="L12" s="18" t="n">
        <v>271.8376</v>
      </c>
      <c r="M12" s="18" t="n">
        <v>271.8376</v>
      </c>
      <c r="N12" s="18" t="n">
        <v>271.8376</v>
      </c>
      <c r="O12" s="18" t="n">
        <v>271.8376</v>
      </c>
      <c r="P12" s="18" t="n">
        <v>271.8376</v>
      </c>
    </row>
    <row r="13">
      <c r="A13" s="17" t="inlineStr">
        <is>
          <t>2011</t>
        </is>
      </c>
      <c r="B13" s="18" t="n">
        <v>345.7352</v>
      </c>
      <c r="C13" s="18" t="n">
        <v>345.7352</v>
      </c>
      <c r="D13" s="18" t="n">
        <v>345.7352</v>
      </c>
      <c r="E13" s="18" t="n">
        <v>345.7352</v>
      </c>
      <c r="F13" s="18" t="n">
        <v>345.7352</v>
      </c>
      <c r="G13" s="18" t="n">
        <v>345.7352</v>
      </c>
      <c r="H13" s="18" t="n">
        <v>345.7352</v>
      </c>
      <c r="I13" s="18" t="n">
        <v>345.7352</v>
      </c>
      <c r="J13" s="18" t="n">
        <v>345.7352</v>
      </c>
      <c r="K13" s="18" t="n">
        <v>345.7352</v>
      </c>
      <c r="L13" s="18" t="n">
        <v>345.7352</v>
      </c>
      <c r="M13" s="18" t="n">
        <v>345.7352</v>
      </c>
      <c r="N13" s="18" t="n">
        <v>345.7352</v>
      </c>
      <c r="O13" s="18" t="n">
        <v>345.7352</v>
      </c>
    </row>
    <row r="14">
      <c r="A14" s="17" t="inlineStr">
        <is>
          <t>2012</t>
        </is>
      </c>
      <c r="B14" s="18" t="n">
        <v>245.4456</v>
      </c>
      <c r="C14" s="18" t="n">
        <v>261.2808</v>
      </c>
      <c r="D14" s="18" t="n">
        <v>261.2808</v>
      </c>
      <c r="E14" s="18" t="n">
        <v>261.2808</v>
      </c>
      <c r="F14" s="18" t="n">
        <v>261.2808</v>
      </c>
      <c r="G14" s="18" t="n">
        <v>261.2808</v>
      </c>
      <c r="H14" s="18" t="n">
        <v>261.2808</v>
      </c>
      <c r="I14" s="18" t="n">
        <v>261.2808</v>
      </c>
      <c r="J14" s="18" t="n">
        <v>261.2808</v>
      </c>
      <c r="K14" s="18" t="n">
        <v>261.2808</v>
      </c>
      <c r="L14" s="18" t="n">
        <v>261.2808</v>
      </c>
      <c r="M14" s="18" t="n">
        <v>261.2808</v>
      </c>
      <c r="N14" s="18" t="n">
        <v>261.2808</v>
      </c>
    </row>
    <row r="15">
      <c r="A15" s="17" t="inlineStr">
        <is>
          <t>2013</t>
        </is>
      </c>
      <c r="B15" s="18" t="n">
        <v>282.3944</v>
      </c>
      <c r="C15" s="18" t="n">
        <v>290.312</v>
      </c>
      <c r="D15" s="18" t="n">
        <v>290.312</v>
      </c>
      <c r="E15" s="18" t="n">
        <v>291.6316</v>
      </c>
      <c r="F15" s="18" t="n">
        <v>291.6316</v>
      </c>
      <c r="G15" s="18" t="n">
        <v>291.6316</v>
      </c>
      <c r="H15" s="18" t="n">
        <v>291.6316</v>
      </c>
      <c r="I15" s="18" t="n">
        <v>291.6316</v>
      </c>
      <c r="J15" s="18" t="n">
        <v>291.6316</v>
      </c>
      <c r="K15" s="18" t="n">
        <v>291.6316</v>
      </c>
      <c r="L15" s="18" t="n">
        <v>291.6316</v>
      </c>
      <c r="M15" s="18" t="n">
        <v>291.6316</v>
      </c>
    </row>
    <row r="16">
      <c r="A16" s="17" t="inlineStr">
        <is>
          <t>2014</t>
        </is>
      </c>
      <c r="B16" s="18" t="n">
        <v>434.1484</v>
      </c>
      <c r="C16" s="18" t="n">
        <v>453.9424</v>
      </c>
      <c r="D16" s="18" t="n">
        <v>455.262</v>
      </c>
      <c r="E16" s="18" t="n">
        <v>455.262</v>
      </c>
      <c r="F16" s="18" t="n">
        <v>455.262</v>
      </c>
      <c r="G16" s="18" t="n">
        <v>455.262</v>
      </c>
      <c r="H16" s="18" t="n">
        <v>455.262</v>
      </c>
      <c r="I16" s="18" t="n">
        <v>455.262</v>
      </c>
      <c r="J16" s="18" t="n">
        <v>455.262</v>
      </c>
      <c r="K16" s="18" t="n">
        <v>455.262</v>
      </c>
      <c r="L16" s="18" t="n">
        <v>455.262</v>
      </c>
    </row>
    <row r="17">
      <c r="A17" s="17" t="inlineStr">
        <is>
          <t>2015</t>
        </is>
      </c>
      <c r="B17" s="18" t="n">
        <v>321.9824</v>
      </c>
      <c r="C17" s="18" t="n">
        <v>332.5392</v>
      </c>
      <c r="D17" s="18" t="n">
        <v>337.8176</v>
      </c>
      <c r="E17" s="18" t="n">
        <v>337.8176</v>
      </c>
      <c r="F17" s="18" t="n">
        <v>337.8176</v>
      </c>
      <c r="G17" s="18" t="n">
        <v>337.8176</v>
      </c>
      <c r="H17" s="18" t="n">
        <v>337.8176</v>
      </c>
      <c r="I17" s="18" t="n">
        <v>337.8176</v>
      </c>
      <c r="J17" s="18" t="n">
        <v>337.8176</v>
      </c>
      <c r="K17" s="18" t="n">
        <v>333.8588</v>
      </c>
    </row>
    <row r="18">
      <c r="A18" s="17" t="inlineStr">
        <is>
          <t>2016</t>
        </is>
      </c>
      <c r="B18" s="18" t="n">
        <v>345.7352</v>
      </c>
      <c r="C18" s="18" t="n">
        <v>373.4468</v>
      </c>
      <c r="D18" s="18" t="n">
        <v>390.6016</v>
      </c>
      <c r="E18" s="18" t="n">
        <v>390.6016</v>
      </c>
      <c r="F18" s="18" t="n">
        <v>390.6016</v>
      </c>
      <c r="G18" s="18" t="n">
        <v>390.6016</v>
      </c>
      <c r="H18" s="18" t="n">
        <v>390.6016</v>
      </c>
      <c r="I18" s="18" t="n">
        <v>390.6016</v>
      </c>
      <c r="J18" s="18" t="n">
        <v>390.6016</v>
      </c>
    </row>
    <row r="19">
      <c r="A19" s="17" t="inlineStr">
        <is>
          <t>2017</t>
        </is>
      </c>
      <c r="B19" s="18" t="n">
        <v>275.7964</v>
      </c>
      <c r="C19" s="18" t="n">
        <v>310.106</v>
      </c>
      <c r="D19" s="18" t="n">
        <v>311.4256</v>
      </c>
      <c r="E19" s="18" t="n">
        <v>312.7452</v>
      </c>
      <c r="F19" s="18" t="n">
        <v>311.4256</v>
      </c>
      <c r="G19" s="18" t="n">
        <v>311.4256</v>
      </c>
      <c r="H19" s="18" t="n">
        <v>311.4256</v>
      </c>
      <c r="I19" s="18" t="n">
        <v>310.106</v>
      </c>
    </row>
    <row r="20">
      <c r="A20" s="17" t="inlineStr">
        <is>
          <t>2018</t>
        </is>
      </c>
      <c r="B20" s="18" t="n">
        <v>288.9924</v>
      </c>
      <c r="C20" s="18" t="n">
        <v>324.6216</v>
      </c>
      <c r="D20" s="18" t="n">
        <v>324.6216</v>
      </c>
      <c r="E20" s="18" t="n">
        <v>324.6216</v>
      </c>
      <c r="F20" s="18" t="n">
        <v>325.9412</v>
      </c>
      <c r="G20" s="18" t="n">
        <v>325.9412</v>
      </c>
      <c r="H20" s="18" t="n">
        <v>325.9412</v>
      </c>
    </row>
    <row r="21">
      <c r="A21" s="17" t="inlineStr">
        <is>
          <t>2019</t>
        </is>
      </c>
      <c r="B21" s="18" t="n">
        <v>314.0648</v>
      </c>
      <c r="C21" s="18" t="n">
        <v>358.9312</v>
      </c>
      <c r="D21" s="18" t="n">
        <v>358.9312</v>
      </c>
      <c r="E21" s="18" t="n">
        <v>358.9312</v>
      </c>
      <c r="F21" s="18" t="n">
        <v>358.9312</v>
      </c>
      <c r="G21" s="18" t="n">
        <v>357.6116</v>
      </c>
    </row>
    <row r="22">
      <c r="A22" s="17" t="inlineStr">
        <is>
          <t>2020</t>
        </is>
      </c>
      <c r="B22" s="18" t="n">
        <v>349.694</v>
      </c>
      <c r="C22" s="18" t="n">
        <v>370.8076</v>
      </c>
      <c r="D22" s="18" t="n">
        <v>370.8076</v>
      </c>
      <c r="E22" s="18" t="n">
        <v>370.8076</v>
      </c>
      <c r="F22" s="18" t="n">
        <v>370.8076</v>
      </c>
    </row>
    <row r="23">
      <c r="A23" s="17" t="inlineStr">
        <is>
          <t>2021</t>
        </is>
      </c>
      <c r="B23" s="18" t="n">
        <v>288.9924</v>
      </c>
      <c r="C23" s="18" t="n">
        <v>329.9</v>
      </c>
      <c r="D23" s="18" t="n">
        <v>329.9</v>
      </c>
      <c r="E23" s="18" t="n">
        <v>329.9</v>
      </c>
    </row>
    <row r="24">
      <c r="A24" s="17" t="inlineStr">
        <is>
          <t>2022</t>
        </is>
      </c>
      <c r="B24" s="18" t="n">
        <v>261.2808</v>
      </c>
      <c r="C24" s="18" t="n">
        <v>298.2296</v>
      </c>
      <c r="D24" s="18" t="n">
        <v>298.2296</v>
      </c>
    </row>
    <row r="25">
      <c r="A25" s="17" t="inlineStr">
        <is>
          <t>2023</t>
        </is>
      </c>
      <c r="B25" s="18" t="n">
        <v>273.1572</v>
      </c>
      <c r="C25" s="18" t="n">
        <v>304.8276</v>
      </c>
    </row>
    <row r="26">
      <c r="A26" s="17" t="inlineStr">
        <is>
          <t>2024</t>
        </is>
      </c>
      <c r="B26" s="18" t="n">
        <v>256.0024</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Severity</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7" t="inlineStr">
        <is>
          <t>2001</t>
        </is>
      </c>
      <c r="B3" s="18" t="n">
        <v>890.1180000000001</v>
      </c>
      <c r="C3" s="18" t="n">
        <v>2278.4062</v>
      </c>
      <c r="D3" s="18" t="n">
        <v>2782.9421</v>
      </c>
      <c r="E3" s="18" t="n">
        <v>3062.5888</v>
      </c>
      <c r="F3" s="18" t="n">
        <v>3292.6042</v>
      </c>
      <c r="G3" s="18" t="n">
        <v>3515.439</v>
      </c>
      <c r="H3" s="18" t="n">
        <v>3421.3038</v>
      </c>
      <c r="I3" s="18" t="n">
        <v>3453.2106</v>
      </c>
      <c r="J3" s="18" t="n">
        <v>3478.3519</v>
      </c>
      <c r="K3" s="18" t="n">
        <v>3507.6464</v>
      </c>
      <c r="L3" s="18" t="n">
        <v>3582.8588</v>
      </c>
      <c r="M3" s="18" t="n">
        <v>3657.3908</v>
      </c>
      <c r="N3" s="18" t="n">
        <v>3653.4369</v>
      </c>
      <c r="O3" s="18" t="n">
        <v>3736.9976</v>
      </c>
      <c r="P3" s="18" t="n">
        <v>3800.6836</v>
      </c>
      <c r="Q3" s="18" t="n">
        <v>4002.7778</v>
      </c>
      <c r="R3" s="18" t="n">
        <v>4097.3409</v>
      </c>
      <c r="S3" s="18" t="n">
        <v>4224.0147</v>
      </c>
      <c r="T3" s="18" t="n">
        <v>4299.9339</v>
      </c>
      <c r="U3" s="18" t="n">
        <v>4299.9339</v>
      </c>
      <c r="V3" s="18" t="n">
        <v>4400.6872</v>
      </c>
      <c r="W3" s="18" t="n">
        <v>4461.8925</v>
      </c>
      <c r="X3" s="18" t="n">
        <v>4461.8925</v>
      </c>
      <c r="Y3" s="18" t="n">
        <v>4515.1126</v>
      </c>
    </row>
    <row r="4">
      <c r="A4" s="17" t="inlineStr">
        <is>
          <t>2002</t>
        </is>
      </c>
      <c r="B4" s="18" t="n">
        <v>1512.0882</v>
      </c>
      <c r="C4" s="18" t="n">
        <v>2090.9875</v>
      </c>
      <c r="D4" s="18" t="n">
        <v>2115.5884</v>
      </c>
      <c r="E4" s="18" t="n">
        <v>2527.4532</v>
      </c>
      <c r="F4" s="18" t="n">
        <v>2560.7772</v>
      </c>
      <c r="G4" s="18" t="n">
        <v>2649.7009</v>
      </c>
      <c r="H4" s="18" t="n">
        <v>2700.0288</v>
      </c>
      <c r="I4" s="18" t="n">
        <v>2700.5895</v>
      </c>
      <c r="J4" s="18" t="n">
        <v>2759.7609</v>
      </c>
      <c r="K4" s="18" t="n">
        <v>2786.3555</v>
      </c>
      <c r="L4" s="18" t="n">
        <v>2814.9283</v>
      </c>
      <c r="M4" s="18" t="n">
        <v>2910.4049</v>
      </c>
      <c r="N4" s="18" t="n">
        <v>2914.2643</v>
      </c>
      <c r="O4" s="18" t="n">
        <v>3031.1417</v>
      </c>
      <c r="P4" s="18" t="n">
        <v>3111.0506</v>
      </c>
      <c r="Q4" s="18" t="n">
        <v>3156.834</v>
      </c>
      <c r="R4" s="18" t="n">
        <v>3323.8277</v>
      </c>
      <c r="S4" s="18" t="n">
        <v>3327.6029</v>
      </c>
      <c r="T4" s="18" t="n">
        <v>3327.6029</v>
      </c>
      <c r="U4" s="18" t="n">
        <v>3468.5593</v>
      </c>
      <c r="V4" s="18" t="n">
        <v>3447.0276</v>
      </c>
      <c r="W4" s="18" t="n">
        <v>3570.7879</v>
      </c>
      <c r="X4" s="18" t="n">
        <v>3570.7879</v>
      </c>
    </row>
    <row r="5">
      <c r="A5" s="17" t="inlineStr">
        <is>
          <t>2003</t>
        </is>
      </c>
      <c r="B5" s="18" t="n">
        <v>1888.6444</v>
      </c>
      <c r="C5" s="18" t="n">
        <v>2638.2005</v>
      </c>
      <c r="D5" s="18" t="n">
        <v>2855.6611</v>
      </c>
      <c r="E5" s="18" t="n">
        <v>3394.6267</v>
      </c>
      <c r="F5" s="18" t="n">
        <v>3095.9768</v>
      </c>
      <c r="G5" s="18" t="n">
        <v>3306.0384</v>
      </c>
      <c r="H5" s="18" t="n">
        <v>3289.0123</v>
      </c>
      <c r="I5" s="18" t="n">
        <v>3264.184</v>
      </c>
      <c r="J5" s="18" t="n">
        <v>3258.0917</v>
      </c>
      <c r="K5" s="18" t="n">
        <v>3265.2436</v>
      </c>
      <c r="L5" s="18" t="n">
        <v>3258.4234</v>
      </c>
      <c r="M5" s="18" t="n">
        <v>3233.217</v>
      </c>
      <c r="N5" s="18" t="n">
        <v>3216.7392</v>
      </c>
      <c r="O5" s="18" t="n">
        <v>3216.7391</v>
      </c>
      <c r="P5" s="18" t="n">
        <v>3216.7391</v>
      </c>
      <c r="Q5" s="18" t="n">
        <v>3216.7391</v>
      </c>
      <c r="R5" s="18" t="n">
        <v>3223.5583</v>
      </c>
      <c r="S5" s="18" t="n">
        <v>3223.5583</v>
      </c>
      <c r="T5" s="18" t="n">
        <v>3223.5583</v>
      </c>
      <c r="U5" s="18" t="n">
        <v>3223.5583</v>
      </c>
      <c r="V5" s="18" t="n">
        <v>3223.5583</v>
      </c>
      <c r="W5" s="18" t="n">
        <v>3223.5583</v>
      </c>
    </row>
    <row r="6">
      <c r="A6" s="17" t="inlineStr">
        <is>
          <t>2004</t>
        </is>
      </c>
      <c r="B6" s="18" t="n">
        <v>1172.3435</v>
      </c>
      <c r="C6" s="18" t="n">
        <v>1263.6591</v>
      </c>
      <c r="D6" s="18" t="n">
        <v>1395.2806</v>
      </c>
      <c r="E6" s="18" t="n">
        <v>1455.3763</v>
      </c>
      <c r="F6" s="18" t="n">
        <v>1641.8764</v>
      </c>
      <c r="G6" s="18" t="n">
        <v>1650.9895</v>
      </c>
      <c r="H6" s="18" t="n">
        <v>1681.4597</v>
      </c>
      <c r="I6" s="18" t="n">
        <v>1694.3798</v>
      </c>
      <c r="J6" s="18" t="n">
        <v>1734.6258</v>
      </c>
      <c r="K6" s="18" t="n">
        <v>1719.1458</v>
      </c>
      <c r="L6" s="18" t="n">
        <v>1758.8212</v>
      </c>
      <c r="M6" s="18" t="n">
        <v>1738.9466</v>
      </c>
      <c r="N6" s="18" t="n">
        <v>1739.6468</v>
      </c>
      <c r="O6" s="18" t="n">
        <v>1740.152</v>
      </c>
      <c r="P6" s="18" t="n">
        <v>1740.151</v>
      </c>
      <c r="Q6" s="18" t="n">
        <v>1746.8131</v>
      </c>
      <c r="R6" s="18" t="n">
        <v>1746.8131</v>
      </c>
      <c r="S6" s="18" t="n">
        <v>1746.8131</v>
      </c>
      <c r="T6" s="18" t="n">
        <v>1746.8131</v>
      </c>
      <c r="U6" s="18" t="n">
        <v>1746.8655</v>
      </c>
      <c r="V6" s="18" t="n">
        <v>1746.8655</v>
      </c>
    </row>
    <row r="7">
      <c r="A7" s="17" t="inlineStr">
        <is>
          <t>2005</t>
        </is>
      </c>
      <c r="B7" s="18" t="n">
        <v>1993.7326</v>
      </c>
      <c r="C7" s="18" t="n">
        <v>2538.8382</v>
      </c>
      <c r="D7" s="18" t="n">
        <v>2768.881</v>
      </c>
      <c r="E7" s="18" t="n">
        <v>2706.5528</v>
      </c>
      <c r="F7" s="18" t="n">
        <v>2807.1297</v>
      </c>
      <c r="G7" s="18" t="n">
        <v>2852.9634</v>
      </c>
      <c r="H7" s="18" t="n">
        <v>2911.0234</v>
      </c>
      <c r="I7" s="18" t="n">
        <v>2927.4654</v>
      </c>
      <c r="J7" s="18" t="n">
        <v>2965.2737</v>
      </c>
      <c r="K7" s="18" t="n">
        <v>3046.2327</v>
      </c>
      <c r="L7" s="18" t="n">
        <v>3081.9362</v>
      </c>
      <c r="M7" s="18" t="n">
        <v>3449.9444</v>
      </c>
      <c r="N7" s="18" t="n">
        <v>3449.963</v>
      </c>
      <c r="O7" s="18" t="n">
        <v>3386.3438</v>
      </c>
      <c r="P7" s="18" t="n">
        <v>3420.0517</v>
      </c>
      <c r="Q7" s="18" t="n">
        <v>3443.969</v>
      </c>
      <c r="R7" s="18" t="n">
        <v>3496.1167</v>
      </c>
      <c r="S7" s="18" t="n">
        <v>3496.1167</v>
      </c>
      <c r="T7" s="18" t="n">
        <v>3496.1167</v>
      </c>
      <c r="U7" s="18" t="n">
        <v>3496.1167</v>
      </c>
    </row>
    <row r="8">
      <c r="A8" s="17" t="inlineStr">
        <is>
          <t>2006</t>
        </is>
      </c>
      <c r="B8" s="18" t="n">
        <v>1599.0849</v>
      </c>
      <c r="C8" s="18" t="n">
        <v>2327.8896</v>
      </c>
      <c r="D8" s="18" t="n">
        <v>2023.4351</v>
      </c>
      <c r="E8" s="18" t="n">
        <v>2163.9389</v>
      </c>
      <c r="F8" s="18" t="n">
        <v>2183.4454</v>
      </c>
      <c r="G8" s="18" t="n">
        <v>2293.584</v>
      </c>
      <c r="H8" s="18" t="n">
        <v>2394.6572</v>
      </c>
      <c r="I8" s="18" t="n">
        <v>2350.5597</v>
      </c>
      <c r="J8" s="18" t="n">
        <v>2411.7895</v>
      </c>
      <c r="K8" s="18" t="n">
        <v>2501.2918</v>
      </c>
      <c r="L8" s="18" t="n">
        <v>2709.3077</v>
      </c>
      <c r="M8" s="18" t="n">
        <v>2872.1777</v>
      </c>
      <c r="N8" s="18" t="n">
        <v>2951.2085</v>
      </c>
      <c r="O8" s="18" t="n">
        <v>2982.9877</v>
      </c>
      <c r="P8" s="18" t="n">
        <v>2984.7119</v>
      </c>
      <c r="Q8" s="18" t="n">
        <v>3019.1946</v>
      </c>
      <c r="R8" s="18" t="n">
        <v>3028.4784</v>
      </c>
      <c r="S8" s="18" t="n">
        <v>3050.5924</v>
      </c>
      <c r="T8" s="18" t="n">
        <v>3050.5924</v>
      </c>
    </row>
    <row r="9">
      <c r="A9" s="17" t="inlineStr">
        <is>
          <t>2007</t>
        </is>
      </c>
      <c r="B9" s="18" t="n">
        <v>3777.3245</v>
      </c>
      <c r="C9" s="18" t="n">
        <v>3941.769</v>
      </c>
      <c r="D9" s="18" t="n">
        <v>4293.0553</v>
      </c>
      <c r="E9" s="18" t="n">
        <v>4810.1306</v>
      </c>
      <c r="F9" s="18" t="n">
        <v>5361.7176</v>
      </c>
      <c r="G9" s="18" t="n">
        <v>6400.5666</v>
      </c>
      <c r="H9" s="18" t="n">
        <v>6807.7258</v>
      </c>
      <c r="I9" s="18" t="n">
        <v>7553.3299</v>
      </c>
      <c r="J9" s="18" t="n">
        <v>8094.4377</v>
      </c>
      <c r="K9" s="18" t="n">
        <v>8917.1247</v>
      </c>
      <c r="L9" s="18" t="n">
        <v>9190.731299999999</v>
      </c>
      <c r="M9" s="18" t="n">
        <v>9456.272800000001</v>
      </c>
      <c r="N9" s="18" t="n">
        <v>9608.6579</v>
      </c>
      <c r="O9" s="18" t="n">
        <v>9617.6212</v>
      </c>
      <c r="P9" s="18" t="n">
        <v>10037.1822</v>
      </c>
      <c r="Q9" s="18" t="n">
        <v>10037.1822</v>
      </c>
      <c r="R9" s="18" t="n">
        <v>10073.235</v>
      </c>
      <c r="S9" s="18" t="n">
        <v>10098.7007</v>
      </c>
    </row>
    <row r="10">
      <c r="A10" s="17" t="inlineStr">
        <is>
          <t>2008</t>
        </is>
      </c>
      <c r="B10" s="18" t="n">
        <v>1809.473</v>
      </c>
      <c r="C10" s="18" t="n">
        <v>2355.6596</v>
      </c>
      <c r="D10" s="18" t="n">
        <v>2839.9925</v>
      </c>
      <c r="E10" s="18" t="n">
        <v>3950.3476</v>
      </c>
      <c r="F10" s="18" t="n">
        <v>3828.9536</v>
      </c>
      <c r="G10" s="18" t="n">
        <v>3893.4618</v>
      </c>
      <c r="H10" s="18" t="n">
        <v>3914.5485</v>
      </c>
      <c r="I10" s="18" t="n">
        <v>3966.0723</v>
      </c>
      <c r="J10" s="18" t="n">
        <v>3988.739</v>
      </c>
      <c r="K10" s="18" t="n">
        <v>4127.0241</v>
      </c>
      <c r="L10" s="18" t="n">
        <v>4147.332</v>
      </c>
      <c r="M10" s="18" t="n">
        <v>4148.0168</v>
      </c>
      <c r="N10" s="18" t="n">
        <v>4087.6122</v>
      </c>
      <c r="O10" s="18" t="n">
        <v>4088.6162</v>
      </c>
      <c r="P10" s="18" t="n">
        <v>4088.6162</v>
      </c>
      <c r="Q10" s="18" t="n">
        <v>4108.6965</v>
      </c>
      <c r="R10" s="18" t="n">
        <v>4195.1009</v>
      </c>
    </row>
    <row r="11">
      <c r="A11" s="17" t="inlineStr">
        <is>
          <t>2009</t>
        </is>
      </c>
      <c r="B11" s="18" t="n">
        <v>1167.6749</v>
      </c>
      <c r="C11" s="18" t="n">
        <v>2721.0436</v>
      </c>
      <c r="D11" s="18" t="n">
        <v>2553.6801</v>
      </c>
      <c r="E11" s="18" t="n">
        <v>2617.3913</v>
      </c>
      <c r="F11" s="18" t="n">
        <v>2791.3361</v>
      </c>
      <c r="G11" s="18" t="n">
        <v>2934.6002</v>
      </c>
      <c r="H11" s="18" t="n">
        <v>3041.3852</v>
      </c>
      <c r="I11" s="18" t="n">
        <v>3479.5492</v>
      </c>
      <c r="J11" s="18" t="n">
        <v>3479.5697</v>
      </c>
      <c r="K11" s="18" t="n">
        <v>3479.575</v>
      </c>
      <c r="L11" s="18" t="n">
        <v>3479.575</v>
      </c>
      <c r="M11" s="18" t="n">
        <v>3526.7061</v>
      </c>
      <c r="N11" s="18" t="n">
        <v>3632.438</v>
      </c>
      <c r="O11" s="18" t="n">
        <v>3632.438</v>
      </c>
      <c r="P11" s="18" t="n">
        <v>3632.438</v>
      </c>
      <c r="Q11" s="18" t="n">
        <v>3632.438</v>
      </c>
    </row>
    <row r="12">
      <c r="A12" s="17" t="inlineStr">
        <is>
          <t>2010</t>
        </is>
      </c>
      <c r="B12" s="18" t="n">
        <v>1384.9391</v>
      </c>
      <c r="C12" s="18" t="n">
        <v>2687.5986</v>
      </c>
      <c r="D12" s="18" t="n">
        <v>3499.5972</v>
      </c>
      <c r="E12" s="18" t="n">
        <v>4066.1699</v>
      </c>
      <c r="F12" s="18" t="n">
        <v>4547.5156</v>
      </c>
      <c r="G12" s="18" t="n">
        <v>4498.6408</v>
      </c>
      <c r="H12" s="18" t="n">
        <v>4676.9369</v>
      </c>
      <c r="I12" s="18" t="n">
        <v>4682.4417</v>
      </c>
      <c r="J12" s="18" t="n">
        <v>4660.2165</v>
      </c>
      <c r="K12" s="18" t="n">
        <v>4663.1575</v>
      </c>
      <c r="L12" s="18" t="n">
        <v>4666.8177</v>
      </c>
      <c r="M12" s="18" t="n">
        <v>4667.0895</v>
      </c>
      <c r="N12" s="18" t="n">
        <v>4673.1575</v>
      </c>
      <c r="O12" s="18" t="n">
        <v>4672.1618</v>
      </c>
      <c r="P12" s="18" t="n">
        <v>4700.13</v>
      </c>
    </row>
    <row r="13">
      <c r="A13" s="17" t="inlineStr">
        <is>
          <t>2011</t>
        </is>
      </c>
      <c r="B13" s="18" t="n">
        <v>1313.2806</v>
      </c>
      <c r="C13" s="18" t="n">
        <v>2565.3152</v>
      </c>
      <c r="D13" s="18" t="n">
        <v>3783.2939</v>
      </c>
      <c r="E13" s="18" t="n">
        <v>4368.5282</v>
      </c>
      <c r="F13" s="18" t="n">
        <v>4661.1947</v>
      </c>
      <c r="G13" s="18" t="n">
        <v>5034.2137</v>
      </c>
      <c r="H13" s="18" t="n">
        <v>5312.4542</v>
      </c>
      <c r="I13" s="18" t="n">
        <v>5312.7876</v>
      </c>
      <c r="J13" s="18" t="n">
        <v>5386.0395</v>
      </c>
      <c r="K13" s="18" t="n">
        <v>5406.7113</v>
      </c>
      <c r="L13" s="18" t="n">
        <v>5559.1271</v>
      </c>
      <c r="M13" s="18" t="n">
        <v>5542.0495</v>
      </c>
      <c r="N13" s="18" t="n">
        <v>5542.0495</v>
      </c>
      <c r="O13" s="18" t="n">
        <v>5542.0495</v>
      </c>
    </row>
    <row r="14">
      <c r="A14" s="17" t="inlineStr">
        <is>
          <t>2012</t>
        </is>
      </c>
      <c r="B14" s="18" t="n">
        <v>1368.4788</v>
      </c>
      <c r="C14" s="18" t="n">
        <v>2612.096</v>
      </c>
      <c r="D14" s="18" t="n">
        <v>3413.9935</v>
      </c>
      <c r="E14" s="18" t="n">
        <v>3710.1818</v>
      </c>
      <c r="F14" s="18" t="n">
        <v>3698.5859</v>
      </c>
      <c r="G14" s="18" t="n">
        <v>3730.9798</v>
      </c>
      <c r="H14" s="18" t="n">
        <v>3745.9265</v>
      </c>
      <c r="I14" s="18" t="n">
        <v>3939.0426</v>
      </c>
      <c r="J14" s="18" t="n">
        <v>4159.1215</v>
      </c>
      <c r="K14" s="18" t="n">
        <v>4394.3121</v>
      </c>
      <c r="L14" s="18" t="n">
        <v>4427.1404</v>
      </c>
      <c r="M14" s="18" t="n">
        <v>5219.4933</v>
      </c>
      <c r="N14" s="18" t="n">
        <v>5219.4933</v>
      </c>
    </row>
    <row r="15">
      <c r="A15" s="17" t="inlineStr">
        <is>
          <t>2013</t>
        </is>
      </c>
      <c r="B15" s="18" t="n">
        <v>988.3224</v>
      </c>
      <c r="C15" s="18" t="n">
        <v>1755.5463</v>
      </c>
      <c r="D15" s="18" t="n">
        <v>1908.7091</v>
      </c>
      <c r="E15" s="18" t="n">
        <v>2290.7285</v>
      </c>
      <c r="F15" s="18" t="n">
        <v>2429.9367</v>
      </c>
      <c r="G15" s="18" t="n">
        <v>2423.6216</v>
      </c>
      <c r="H15" s="18" t="n">
        <v>2424.8165</v>
      </c>
      <c r="I15" s="18" t="n">
        <v>2424.8165</v>
      </c>
      <c r="J15" s="18" t="n">
        <v>2429.4993</v>
      </c>
      <c r="K15" s="18" t="n">
        <v>2429.4993</v>
      </c>
      <c r="L15" s="18" t="n">
        <v>2429.5378</v>
      </c>
      <c r="M15" s="18" t="n">
        <v>2429.5378</v>
      </c>
    </row>
    <row r="16">
      <c r="A16" s="17" t="inlineStr">
        <is>
          <t>2014</t>
        </is>
      </c>
      <c r="B16" s="18" t="n">
        <v>1334.6909</v>
      </c>
      <c r="C16" s="18" t="n">
        <v>1743.9971</v>
      </c>
      <c r="D16" s="18" t="n">
        <v>2454.6058</v>
      </c>
      <c r="E16" s="18" t="n">
        <v>2838.1826</v>
      </c>
      <c r="F16" s="18" t="n">
        <v>2878.7598</v>
      </c>
      <c r="G16" s="18" t="n">
        <v>2977.9598</v>
      </c>
      <c r="H16" s="18" t="n">
        <v>2892.6972</v>
      </c>
      <c r="I16" s="18" t="n">
        <v>2892.6972</v>
      </c>
      <c r="J16" s="18" t="n">
        <v>3011.5377</v>
      </c>
      <c r="K16" s="18" t="n">
        <v>3073.6631</v>
      </c>
      <c r="L16" s="18" t="n">
        <v>3052.3164</v>
      </c>
    </row>
    <row r="17">
      <c r="A17" s="17" t="inlineStr">
        <is>
          <t>2015</t>
        </is>
      </c>
      <c r="B17" s="18" t="n">
        <v>1671.1066</v>
      </c>
      <c r="C17" s="18" t="n">
        <v>3212.9841</v>
      </c>
      <c r="D17" s="18" t="n">
        <v>4752.8672</v>
      </c>
      <c r="E17" s="18" t="n">
        <v>6314.127</v>
      </c>
      <c r="F17" s="18" t="n">
        <v>6982.9534</v>
      </c>
      <c r="G17" s="18" t="n">
        <v>7934.0749</v>
      </c>
      <c r="H17" s="18" t="n">
        <v>9044.3287</v>
      </c>
      <c r="I17" s="18" t="n">
        <v>9105.656800000001</v>
      </c>
      <c r="J17" s="18" t="n">
        <v>9135.714599999999</v>
      </c>
      <c r="K17" s="18" t="n">
        <v>10132.9162</v>
      </c>
    </row>
    <row r="18">
      <c r="A18" s="17" t="inlineStr">
        <is>
          <t>2016</t>
        </is>
      </c>
      <c r="B18" s="18" t="n">
        <v>1989.3893</v>
      </c>
      <c r="C18" s="18" t="n">
        <v>3443.4912</v>
      </c>
      <c r="D18" s="18" t="n">
        <v>4437.949</v>
      </c>
      <c r="E18" s="18" t="n">
        <v>4824.0141</v>
      </c>
      <c r="F18" s="18" t="n">
        <v>5510.515</v>
      </c>
      <c r="G18" s="18" t="n">
        <v>5684.6093</v>
      </c>
      <c r="H18" s="18" t="n">
        <v>6409.6524</v>
      </c>
      <c r="I18" s="18" t="n">
        <v>6408.127</v>
      </c>
      <c r="J18" s="18" t="n">
        <v>6416.5729</v>
      </c>
    </row>
    <row r="19">
      <c r="A19" s="17" t="inlineStr">
        <is>
          <t>2017</t>
        </is>
      </c>
      <c r="B19" s="18" t="n">
        <v>1672.7081</v>
      </c>
      <c r="C19" s="18" t="n">
        <v>1982.7823</v>
      </c>
      <c r="D19" s="18" t="n">
        <v>2042.2188</v>
      </c>
      <c r="E19" s="18" t="n">
        <v>2662.7754</v>
      </c>
      <c r="F19" s="18" t="n">
        <v>2874.8102</v>
      </c>
      <c r="G19" s="18" t="n">
        <v>3256.3421</v>
      </c>
      <c r="H19" s="18" t="n">
        <v>3753.5543</v>
      </c>
      <c r="I19" s="18" t="n">
        <v>3888.386</v>
      </c>
    </row>
    <row r="20">
      <c r="A20" s="17" t="inlineStr">
        <is>
          <t>2018</t>
        </is>
      </c>
      <c r="B20" s="18" t="n">
        <v>1757.7757</v>
      </c>
      <c r="C20" s="18" t="n">
        <v>3598.2446</v>
      </c>
      <c r="D20" s="18" t="n">
        <v>5140.9339</v>
      </c>
      <c r="E20" s="18" t="n">
        <v>7136.9854</v>
      </c>
      <c r="F20" s="18" t="n">
        <v>7067.2812</v>
      </c>
      <c r="G20" s="18" t="n">
        <v>7159.8047</v>
      </c>
      <c r="H20" s="18" t="n">
        <v>7349.3269</v>
      </c>
    </row>
    <row r="21">
      <c r="A21" s="17" t="inlineStr">
        <is>
          <t>2019</t>
        </is>
      </c>
      <c r="B21" s="18" t="n">
        <v>1298.8238</v>
      </c>
      <c r="C21" s="18" t="n">
        <v>3133.2107</v>
      </c>
      <c r="D21" s="18" t="n">
        <v>4847.8776</v>
      </c>
      <c r="E21" s="18" t="n">
        <v>5573.6672</v>
      </c>
      <c r="F21" s="18" t="n">
        <v>5926.9818</v>
      </c>
      <c r="G21" s="18" t="n">
        <v>7270.1301</v>
      </c>
    </row>
    <row r="22">
      <c r="A22" s="17" t="inlineStr">
        <is>
          <t>2020</t>
        </is>
      </c>
      <c r="B22" s="18" t="n">
        <v>1493.0271</v>
      </c>
      <c r="C22" s="18" t="n">
        <v>2513.205</v>
      </c>
      <c r="D22" s="18" t="n">
        <v>2471.0707</v>
      </c>
      <c r="E22" s="18" t="n">
        <v>2614.478</v>
      </c>
      <c r="F22" s="18" t="n">
        <v>2639.9122</v>
      </c>
    </row>
    <row r="23">
      <c r="A23" s="17" t="inlineStr">
        <is>
          <t>2021</t>
        </is>
      </c>
      <c r="B23" s="18" t="n">
        <v>1901.2855</v>
      </c>
      <c r="C23" s="18" t="n">
        <v>2427.8119</v>
      </c>
      <c r="D23" s="18" t="n">
        <v>2971.5574</v>
      </c>
      <c r="E23" s="18" t="n">
        <v>3065.5146</v>
      </c>
    </row>
    <row r="24">
      <c r="A24" s="17" t="inlineStr">
        <is>
          <t>2022</t>
        </is>
      </c>
      <c r="B24" s="18" t="n">
        <v>2658.5306</v>
      </c>
      <c r="C24" s="18" t="n">
        <v>2855.7054</v>
      </c>
      <c r="D24" s="18" t="n">
        <v>2774.4265</v>
      </c>
    </row>
    <row r="25">
      <c r="A25" s="17" t="inlineStr">
        <is>
          <t>2023</t>
        </is>
      </c>
      <c r="B25" s="18" t="n">
        <v>3569.3743</v>
      </c>
      <c r="C25" s="18" t="n">
        <v>5418.6585</v>
      </c>
    </row>
    <row r="26">
      <c r="A26" s="17" t="inlineStr">
        <is>
          <t>2024</t>
        </is>
      </c>
      <c r="B26" s="18" t="n">
        <v>3477.1362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To Incurred</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7" t="inlineStr">
        <is>
          <t>2001</t>
        </is>
      </c>
      <c r="B3" s="28" t="n">
        <v>0.5747</v>
      </c>
      <c r="C3" s="28" t="n">
        <v>0.6738</v>
      </c>
      <c r="D3" s="28" t="n">
        <v>0.8126</v>
      </c>
      <c r="E3" s="28" t="n">
        <v>0.9127999999999999</v>
      </c>
      <c r="F3" s="28" t="n">
        <v>0.9882</v>
      </c>
      <c r="G3" s="28" t="n">
        <v>0.9504</v>
      </c>
      <c r="H3" s="28" t="n">
        <v>0.9435</v>
      </c>
      <c r="I3" s="28" t="n">
        <v>0.9474</v>
      </c>
      <c r="J3" s="28" t="n">
        <v>0.9496</v>
      </c>
      <c r="K3" s="28" t="n">
        <v>0.953</v>
      </c>
      <c r="L3" s="28" t="n">
        <v>0.9553</v>
      </c>
      <c r="M3" s="28" t="n">
        <v>0.9582000000000001</v>
      </c>
      <c r="N3" s="28" t="n">
        <v>0.9749</v>
      </c>
      <c r="O3" s="28" t="n">
        <v>0.9772999999999999</v>
      </c>
      <c r="P3" s="28" t="n">
        <v>0.9816</v>
      </c>
      <c r="Q3" s="28" t="n">
        <v>0.9606</v>
      </c>
      <c r="R3" s="28" t="n">
        <v>0.9691</v>
      </c>
      <c r="S3" s="28" t="n">
        <v>0.9655</v>
      </c>
      <c r="T3" s="28" t="n">
        <v>0.9848</v>
      </c>
      <c r="U3" s="28" t="n">
        <v>0.9848</v>
      </c>
      <c r="V3" s="28" t="n">
        <v>0.9694</v>
      </c>
      <c r="W3" s="28" t="n">
        <v>0.9631999999999999</v>
      </c>
      <c r="X3" s="28" t="n">
        <v>0.9693000000000001</v>
      </c>
      <c r="Y3" s="28" t="n">
        <v>0.9616</v>
      </c>
    </row>
    <row r="4">
      <c r="A4" s="17" t="inlineStr">
        <is>
          <t>2002</t>
        </is>
      </c>
      <c r="B4" s="28" t="n">
        <v>0.3852</v>
      </c>
      <c r="C4" s="28" t="n">
        <v>0.6865</v>
      </c>
      <c r="D4" s="28" t="n">
        <v>0.9088000000000001</v>
      </c>
      <c r="E4" s="28" t="n">
        <v>0.8218</v>
      </c>
      <c r="F4" s="28" t="n">
        <v>0.9127</v>
      </c>
      <c r="G4" s="28" t="n">
        <v>0.9389</v>
      </c>
      <c r="H4" s="28" t="n">
        <v>0.9422</v>
      </c>
      <c r="I4" s="28" t="n">
        <v>0.9587</v>
      </c>
      <c r="J4" s="28" t="n">
        <v>0.9614</v>
      </c>
      <c r="K4" s="28" t="n">
        <v>0.9636</v>
      </c>
      <c r="L4" s="28" t="n">
        <v>0.9706</v>
      </c>
      <c r="M4" s="28" t="n">
        <v>0.9563</v>
      </c>
      <c r="N4" s="28" t="n">
        <v>0.977</v>
      </c>
      <c r="O4" s="28" t="n">
        <v>0.9633</v>
      </c>
      <c r="P4" s="28" t="n">
        <v>0.9584</v>
      </c>
      <c r="Q4" s="28" t="n">
        <v>0.9629</v>
      </c>
      <c r="R4" s="28" t="n">
        <v>0.9406</v>
      </c>
      <c r="S4" s="28" t="n">
        <v>0.9585</v>
      </c>
      <c r="T4" s="28" t="n">
        <v>0.9737</v>
      </c>
      <c r="U4" s="28" t="n">
        <v>0.9455</v>
      </c>
      <c r="V4" s="28" t="n">
        <v>0.961</v>
      </c>
      <c r="W4" s="28" t="n">
        <v>0.9366</v>
      </c>
      <c r="X4" s="28" t="n">
        <v>0.945</v>
      </c>
    </row>
    <row r="5">
      <c r="A5" s="17" t="inlineStr">
        <is>
          <t>2003</t>
        </is>
      </c>
      <c r="B5" s="28" t="n">
        <v>0.4594</v>
      </c>
      <c r="C5" s="28" t="n">
        <v>0.7896</v>
      </c>
      <c r="D5" s="28" t="n">
        <v>0.8421</v>
      </c>
      <c r="E5" s="28" t="n">
        <v>0.7722</v>
      </c>
      <c r="F5" s="28" t="n">
        <v>0.9843</v>
      </c>
      <c r="G5" s="28" t="n">
        <v>0.9677</v>
      </c>
      <c r="H5" s="28" t="n">
        <v>0.9718</v>
      </c>
      <c r="I5" s="28" t="n">
        <v>0.9861</v>
      </c>
      <c r="J5" s="28" t="n">
        <v>0.9865</v>
      </c>
      <c r="K5" s="28" t="n">
        <v>0.9867</v>
      </c>
      <c r="L5" s="28" t="n">
        <v>0.9869</v>
      </c>
      <c r="M5" s="28" t="n">
        <v>0.9948</v>
      </c>
      <c r="N5" s="28" t="n">
        <v>1</v>
      </c>
      <c r="O5" s="28" t="n">
        <v>1</v>
      </c>
      <c r="P5" s="28" t="n">
        <v>1</v>
      </c>
      <c r="Q5" s="28" t="n">
        <v>1</v>
      </c>
      <c r="R5" s="28" t="n">
        <v>1</v>
      </c>
      <c r="S5" s="28" t="n">
        <v>1</v>
      </c>
      <c r="T5" s="28" t="n">
        <v>1</v>
      </c>
      <c r="U5" s="28" t="n">
        <v>1</v>
      </c>
      <c r="V5" s="28" t="n">
        <v>1</v>
      </c>
      <c r="W5" s="28" t="n">
        <v>1</v>
      </c>
    </row>
    <row r="6">
      <c r="A6" s="17" t="inlineStr">
        <is>
          <t>2004</t>
        </is>
      </c>
      <c r="B6" s="28" t="n">
        <v>0.3634</v>
      </c>
      <c r="C6" s="28" t="n">
        <v>0.7756</v>
      </c>
      <c r="D6" s="28" t="n">
        <v>0.9055</v>
      </c>
      <c r="E6" s="28" t="n">
        <v>0.9681</v>
      </c>
      <c r="F6" s="28" t="n">
        <v>1</v>
      </c>
      <c r="G6" s="28" t="n">
        <v>0.9981</v>
      </c>
      <c r="H6" s="28" t="n">
        <v>0.996</v>
      </c>
      <c r="I6" s="28" t="n">
        <v>0.9961</v>
      </c>
      <c r="J6" s="28" t="n">
        <v>0.991</v>
      </c>
      <c r="K6" s="28" t="n">
        <v>0.9938</v>
      </c>
      <c r="L6" s="28" t="n">
        <v>0.9748</v>
      </c>
      <c r="M6" s="28" t="n">
        <v>0.9923</v>
      </c>
      <c r="N6" s="28" t="n">
        <v>0.9923</v>
      </c>
      <c r="O6" s="28" t="n">
        <v>0.9938</v>
      </c>
      <c r="P6" s="28" t="n">
        <v>0.9944</v>
      </c>
      <c r="Q6" s="28" t="n">
        <v>1</v>
      </c>
      <c r="R6" s="28" t="n">
        <v>1</v>
      </c>
      <c r="S6" s="28" t="n">
        <v>1</v>
      </c>
      <c r="T6" s="28" t="n">
        <v>1</v>
      </c>
      <c r="U6" s="28" t="n">
        <v>1</v>
      </c>
      <c r="V6" s="28" t="n">
        <v>1</v>
      </c>
    </row>
    <row r="7">
      <c r="A7" s="17" t="inlineStr">
        <is>
          <t>2005</t>
        </is>
      </c>
      <c r="B7" s="28" t="n">
        <v>0.4873</v>
      </c>
      <c r="C7" s="28" t="n">
        <v>0.7597</v>
      </c>
      <c r="D7" s="28" t="n">
        <v>0.881</v>
      </c>
      <c r="E7" s="28" t="n">
        <v>0.9428</v>
      </c>
      <c r="F7" s="28" t="n">
        <v>0.9769</v>
      </c>
      <c r="G7" s="28" t="n">
        <v>0.9811</v>
      </c>
      <c r="H7" s="28" t="n">
        <v>0.9818</v>
      </c>
      <c r="I7" s="28" t="n">
        <v>0.9865</v>
      </c>
      <c r="J7" s="28" t="n">
        <v>0.978</v>
      </c>
      <c r="K7" s="28" t="n">
        <v>0.9805</v>
      </c>
      <c r="L7" s="28" t="n">
        <v>0.9967</v>
      </c>
      <c r="M7" s="28" t="n">
        <v>0.9084</v>
      </c>
      <c r="N7" s="28" t="n">
        <v>0.9382</v>
      </c>
      <c r="O7" s="28" t="n">
        <v>0.9738</v>
      </c>
      <c r="P7" s="28" t="n">
        <v>0.9933</v>
      </c>
      <c r="Q7" s="28" t="n">
        <v>0.9942</v>
      </c>
      <c r="R7" s="28" t="n">
        <v>0.9983</v>
      </c>
      <c r="S7" s="28" t="n">
        <v>1</v>
      </c>
      <c r="T7" s="28" t="n">
        <v>1</v>
      </c>
      <c r="U7" s="28" t="n">
        <v>1</v>
      </c>
    </row>
    <row r="8">
      <c r="A8" s="17" t="inlineStr">
        <is>
          <t>2006</t>
        </is>
      </c>
      <c r="B8" s="28" t="n">
        <v>0.3718</v>
      </c>
      <c r="C8" s="28" t="n">
        <v>0.6041</v>
      </c>
      <c r="D8" s="28" t="n">
        <v>0.8874</v>
      </c>
      <c r="E8" s="28" t="n">
        <v>0.9036999999999999</v>
      </c>
      <c r="F8" s="28" t="n">
        <v>0.9504</v>
      </c>
      <c r="G8" s="28" t="n">
        <v>0.9469</v>
      </c>
      <c r="H8" s="28" t="n">
        <v>0.9444</v>
      </c>
      <c r="I8" s="28" t="n">
        <v>0.9687</v>
      </c>
      <c r="J8" s="28" t="n">
        <v>0.9739</v>
      </c>
      <c r="K8" s="28" t="n">
        <v>0.9776</v>
      </c>
      <c r="L8" s="28" t="n">
        <v>0.9857</v>
      </c>
      <c r="M8" s="28" t="n">
        <v>0.9555</v>
      </c>
      <c r="N8" s="28" t="n">
        <v>0.9396</v>
      </c>
      <c r="O8" s="28" t="n">
        <v>0.947</v>
      </c>
      <c r="P8" s="28" t="n">
        <v>0.9529</v>
      </c>
      <c r="Q8" s="28" t="n">
        <v>0.9499</v>
      </c>
      <c r="R8" s="28" t="n">
        <v>0.9578</v>
      </c>
      <c r="S8" s="28" t="n">
        <v>0.9582000000000001</v>
      </c>
      <c r="T8" s="28" t="n">
        <v>0.9634</v>
      </c>
    </row>
    <row r="9">
      <c r="A9" s="17" t="inlineStr">
        <is>
          <t>2007</t>
        </is>
      </c>
      <c r="B9" s="28" t="n">
        <v>0.292</v>
      </c>
      <c r="C9" s="28" t="n">
        <v>0.5875</v>
      </c>
      <c r="D9" s="28" t="n">
        <v>0.6985</v>
      </c>
      <c r="E9" s="28" t="n">
        <v>0.7939000000000001</v>
      </c>
      <c r="F9" s="28" t="n">
        <v>0.8448</v>
      </c>
      <c r="G9" s="28" t="n">
        <v>0.8595</v>
      </c>
      <c r="H9" s="28" t="n">
        <v>0.9016999999999999</v>
      </c>
      <c r="I9" s="28" t="n">
        <v>0.8758</v>
      </c>
      <c r="J9" s="28" t="n">
        <v>0.8831</v>
      </c>
      <c r="K9" s="28" t="n">
        <v>0.8697</v>
      </c>
      <c r="L9" s="28" t="n">
        <v>0.9132</v>
      </c>
      <c r="M9" s="28" t="n">
        <v>0.9319</v>
      </c>
      <c r="N9" s="28" t="n">
        <v>0.9548</v>
      </c>
      <c r="O9" s="28" t="n">
        <v>0.9815</v>
      </c>
      <c r="P9" s="28" t="n">
        <v>0.9657</v>
      </c>
      <c r="Q9" s="28" t="n">
        <v>0.9937</v>
      </c>
      <c r="R9" s="28" t="n">
        <v>0.9964</v>
      </c>
      <c r="S9" s="28" t="n">
        <v>0.9958</v>
      </c>
    </row>
    <row r="10">
      <c r="A10" s="17" t="inlineStr">
        <is>
          <t>2008</t>
        </is>
      </c>
      <c r="B10" s="28" t="n">
        <v>0.6354</v>
      </c>
      <c r="C10" s="28" t="n">
        <v>0.8387</v>
      </c>
      <c r="D10" s="28" t="n">
        <v>0.9319</v>
      </c>
      <c r="E10" s="28" t="n">
        <v>0.9155</v>
      </c>
      <c r="F10" s="28" t="n">
        <v>0.9775</v>
      </c>
      <c r="G10" s="28" t="n">
        <v>0.991</v>
      </c>
      <c r="H10" s="28" t="n">
        <v>0.9925</v>
      </c>
      <c r="I10" s="28" t="n">
        <v>0.9859</v>
      </c>
      <c r="J10" s="28" t="n">
        <v>0.9918</v>
      </c>
      <c r="K10" s="28" t="n">
        <v>0.9714</v>
      </c>
      <c r="L10" s="28" t="n">
        <v>0.977</v>
      </c>
      <c r="M10" s="28" t="n">
        <v>0.9787</v>
      </c>
      <c r="N10" s="28" t="n">
        <v>0.9955000000000001</v>
      </c>
      <c r="O10" s="28" t="n">
        <v>0.9964</v>
      </c>
      <c r="P10" s="28" t="n">
        <v>0.997</v>
      </c>
      <c r="Q10" s="28" t="n">
        <v>0.9948</v>
      </c>
      <c r="R10" s="28" t="n">
        <v>1</v>
      </c>
    </row>
    <row r="11">
      <c r="A11" s="17" t="inlineStr">
        <is>
          <t>2009</t>
        </is>
      </c>
      <c r="B11" s="28" t="n">
        <v>0.6397</v>
      </c>
      <c r="C11" s="28" t="n">
        <v>0.8507</v>
      </c>
      <c r="D11" s="28" t="n">
        <v>0.9875</v>
      </c>
      <c r="E11" s="28" t="n">
        <v>0.9897</v>
      </c>
      <c r="F11" s="28" t="n">
        <v>0.9958</v>
      </c>
      <c r="G11" s="28" t="n">
        <v>0.996</v>
      </c>
      <c r="H11" s="28" t="n">
        <v>0.9899</v>
      </c>
      <c r="I11" s="28" t="n">
        <v>0.9089</v>
      </c>
      <c r="J11" s="28" t="n">
        <v>0.9422</v>
      </c>
      <c r="K11" s="28" t="n">
        <v>0.956</v>
      </c>
      <c r="L11" s="28" t="n">
        <v>0.965</v>
      </c>
      <c r="M11" s="28" t="n">
        <v>0.9812</v>
      </c>
      <c r="N11" s="28" t="n">
        <v>1</v>
      </c>
      <c r="O11" s="28" t="n">
        <v>1</v>
      </c>
      <c r="P11" s="28" t="n">
        <v>1</v>
      </c>
      <c r="Q11" s="28" t="n">
        <v>1</v>
      </c>
    </row>
    <row r="12">
      <c r="A12" s="17" t="inlineStr">
        <is>
          <t>2010</t>
        </is>
      </c>
      <c r="B12" s="28" t="n">
        <v>0.6767</v>
      </c>
      <c r="C12" s="28" t="n">
        <v>0.9214</v>
      </c>
      <c r="D12" s="28" t="n">
        <v>0.9621</v>
      </c>
      <c r="E12" s="28" t="n">
        <v>0.9743000000000001</v>
      </c>
      <c r="F12" s="28" t="n">
        <v>0.9520999999999999</v>
      </c>
      <c r="G12" s="28" t="n">
        <v>0.9825</v>
      </c>
      <c r="H12" s="28" t="n">
        <v>0.9913</v>
      </c>
      <c r="I12" s="28" t="n">
        <v>0.9919</v>
      </c>
      <c r="J12" s="28" t="n">
        <v>1</v>
      </c>
      <c r="K12" s="28" t="n">
        <v>1</v>
      </c>
      <c r="L12" s="28" t="n">
        <v>0.9997</v>
      </c>
      <c r="M12" s="28" t="n">
        <v>0.9997</v>
      </c>
      <c r="N12" s="28" t="n">
        <v>0.9991</v>
      </c>
      <c r="O12" s="28" t="n">
        <v>1</v>
      </c>
      <c r="P12" s="28" t="n">
        <v>1</v>
      </c>
    </row>
    <row r="13">
      <c r="A13" s="17" t="inlineStr">
        <is>
          <t>2011</t>
        </is>
      </c>
      <c r="B13" s="28" t="n">
        <v>0.8018999999999999</v>
      </c>
      <c r="C13" s="28" t="n">
        <v>0.946</v>
      </c>
      <c r="D13" s="28" t="n">
        <v>1</v>
      </c>
      <c r="E13" s="28" t="n">
        <v>0.9315</v>
      </c>
      <c r="F13" s="28" t="n">
        <v>0.9453</v>
      </c>
      <c r="G13" s="28" t="n">
        <v>0.9530999999999999</v>
      </c>
      <c r="H13" s="28" t="n">
        <v>0.9921</v>
      </c>
      <c r="I13" s="28" t="n">
        <v>0.994</v>
      </c>
      <c r="J13" s="28" t="n">
        <v>0.9849</v>
      </c>
      <c r="K13" s="28" t="n">
        <v>0.9887</v>
      </c>
      <c r="L13" s="28" t="n">
        <v>0.9666</v>
      </c>
      <c r="M13" s="28" t="n">
        <v>0.9796</v>
      </c>
      <c r="N13" s="28" t="n">
        <v>0.9846</v>
      </c>
      <c r="O13" s="28" t="n">
        <v>0.9878</v>
      </c>
    </row>
    <row r="14">
      <c r="A14" s="17" t="inlineStr">
        <is>
          <t>2012</t>
        </is>
      </c>
      <c r="B14" s="28" t="n">
        <v>0.6782</v>
      </c>
      <c r="C14" s="28" t="n">
        <v>0.9298</v>
      </c>
      <c r="D14" s="28" t="n">
        <v>0.8961</v>
      </c>
      <c r="E14" s="28" t="n">
        <v>0.9816</v>
      </c>
      <c r="F14" s="28" t="n">
        <v>0.9946</v>
      </c>
      <c r="G14" s="28" t="n">
        <v>0.9923999999999999</v>
      </c>
      <c r="H14" s="28" t="n">
        <v>0.9989</v>
      </c>
      <c r="I14" s="28" t="n">
        <v>0.9874000000000001</v>
      </c>
      <c r="J14" s="28" t="n">
        <v>0.9646</v>
      </c>
      <c r="K14" s="28" t="n">
        <v>0.9172</v>
      </c>
      <c r="L14" s="28" t="n">
        <v>0.9374</v>
      </c>
      <c r="M14" s="28" t="n">
        <v>0.84</v>
      </c>
      <c r="N14" s="28" t="n">
        <v>0.8757</v>
      </c>
    </row>
    <row r="15">
      <c r="A15" s="17" t="inlineStr">
        <is>
          <t>2013</t>
        </is>
      </c>
      <c r="B15" s="28" t="n">
        <v>0.7258</v>
      </c>
      <c r="C15" s="28" t="n">
        <v>0.9146</v>
      </c>
      <c r="D15" s="28" t="n">
        <v>0.9831</v>
      </c>
      <c r="E15" s="28" t="n">
        <v>0.8945</v>
      </c>
      <c r="F15" s="28" t="n">
        <v>1</v>
      </c>
      <c r="G15" s="28" t="n">
        <v>1</v>
      </c>
      <c r="H15" s="28" t="n">
        <v>1</v>
      </c>
      <c r="I15" s="28" t="n">
        <v>1</v>
      </c>
      <c r="J15" s="28" t="n">
        <v>1</v>
      </c>
      <c r="K15" s="28" t="n">
        <v>1</v>
      </c>
      <c r="L15" s="28" t="n">
        <v>1</v>
      </c>
      <c r="M15" s="28" t="n">
        <v>1</v>
      </c>
    </row>
    <row r="16">
      <c r="A16" s="17" t="inlineStr">
        <is>
          <t>2014</t>
        </is>
      </c>
      <c r="B16" s="28" t="n">
        <v>0.7105</v>
      </c>
      <c r="C16" s="28" t="n">
        <v>0.9325</v>
      </c>
      <c r="D16" s="28" t="n">
        <v>0.8289</v>
      </c>
      <c r="E16" s="28" t="n">
        <v>0.9129</v>
      </c>
      <c r="F16" s="28" t="n">
        <v>0.9603</v>
      </c>
      <c r="G16" s="28" t="n">
        <v>0.9437</v>
      </c>
      <c r="H16" s="28" t="n">
        <v>0.9775</v>
      </c>
      <c r="I16" s="28" t="n">
        <v>0.9804</v>
      </c>
      <c r="J16" s="28" t="n">
        <v>0.9476</v>
      </c>
      <c r="K16" s="28" t="n">
        <v>0.9857</v>
      </c>
      <c r="L16" s="28" t="n">
        <v>1</v>
      </c>
    </row>
    <row r="17">
      <c r="A17" s="17" t="inlineStr">
        <is>
          <t>2015</t>
        </is>
      </c>
      <c r="B17" s="28" t="n">
        <v>0.707</v>
      </c>
      <c r="C17" s="28" t="n">
        <v>0.7906</v>
      </c>
      <c r="D17" s="28" t="n">
        <v>0.8845</v>
      </c>
      <c r="E17" s="28" t="n">
        <v>0.9756</v>
      </c>
      <c r="F17" s="28" t="n">
        <v>0.9473</v>
      </c>
      <c r="G17" s="28" t="n">
        <v>0.9283</v>
      </c>
      <c r="H17" s="28" t="n">
        <v>0.9045</v>
      </c>
      <c r="I17" s="28" t="n">
        <v>0.9476</v>
      </c>
      <c r="J17" s="28" t="n">
        <v>0.958</v>
      </c>
      <c r="K17" s="28" t="n">
        <v>0.9945000000000001</v>
      </c>
    </row>
    <row r="18">
      <c r="A18" s="17" t="inlineStr">
        <is>
          <t>2016</t>
        </is>
      </c>
      <c r="B18" s="28" t="n">
        <v>0.4938</v>
      </c>
      <c r="C18" s="28" t="n">
        <v>0.8754999999999999</v>
      </c>
      <c r="D18" s="28" t="n">
        <v>0.9181</v>
      </c>
      <c r="E18" s="28" t="n">
        <v>0.9506</v>
      </c>
      <c r="F18" s="28" t="n">
        <v>0.8948</v>
      </c>
      <c r="G18" s="28" t="n">
        <v>0.956</v>
      </c>
      <c r="H18" s="28" t="n">
        <v>0.9663</v>
      </c>
      <c r="I18" s="28" t="n">
        <v>0.9729</v>
      </c>
      <c r="J18" s="28" t="n">
        <v>0.9824000000000001</v>
      </c>
    </row>
    <row r="19">
      <c r="A19" s="17" t="inlineStr">
        <is>
          <t>2017</t>
        </is>
      </c>
      <c r="B19" s="28" t="n">
        <v>0.7297</v>
      </c>
      <c r="C19" s="28" t="n">
        <v>0.9510999999999999</v>
      </c>
      <c r="D19" s="28" t="n">
        <v>0.9908</v>
      </c>
      <c r="E19" s="28" t="n">
        <v>0.8532999999999999</v>
      </c>
      <c r="F19" s="28" t="n">
        <v>0.863</v>
      </c>
      <c r="G19" s="28" t="n">
        <v>0.8438</v>
      </c>
      <c r="H19" s="28" t="n">
        <v>0.9454</v>
      </c>
      <c r="I19" s="28" t="n">
        <v>1</v>
      </c>
    </row>
    <row r="20">
      <c r="A20" s="17" t="inlineStr">
        <is>
          <t>2018</t>
        </is>
      </c>
      <c r="B20" s="28" t="n">
        <v>0.68</v>
      </c>
      <c r="C20" s="28" t="n">
        <v>0.8502</v>
      </c>
      <c r="D20" s="28" t="n">
        <v>0.8831</v>
      </c>
      <c r="E20" s="28" t="n">
        <v>0.8737</v>
      </c>
      <c r="F20" s="28" t="n">
        <v>0.9292</v>
      </c>
      <c r="G20" s="28" t="n">
        <v>0.9688</v>
      </c>
      <c r="H20" s="28" t="n">
        <v>1</v>
      </c>
    </row>
    <row r="21">
      <c r="A21" s="17" t="inlineStr">
        <is>
          <t>2019</t>
        </is>
      </c>
      <c r="B21" s="28" t="n">
        <v>0.7092000000000001</v>
      </c>
      <c r="C21" s="28" t="n">
        <v>0.6879</v>
      </c>
      <c r="D21" s="28" t="n">
        <v>0.778</v>
      </c>
      <c r="E21" s="28" t="n">
        <v>0.8001</v>
      </c>
      <c r="F21" s="28" t="n">
        <v>0.9264</v>
      </c>
      <c r="G21" s="28" t="n">
        <v>0.9213</v>
      </c>
    </row>
    <row r="22">
      <c r="A22" s="17" t="inlineStr">
        <is>
          <t>2020</t>
        </is>
      </c>
      <c r="B22" s="28" t="n">
        <v>0.5476</v>
      </c>
      <c r="C22" s="28" t="n">
        <v>0.7834</v>
      </c>
      <c r="D22" s="28" t="n">
        <v>0.9404</v>
      </c>
      <c r="E22" s="28" t="n">
        <v>0.9964</v>
      </c>
      <c r="F22" s="28" t="n">
        <v>0.9971</v>
      </c>
    </row>
    <row r="23">
      <c r="A23" s="17" t="inlineStr">
        <is>
          <t>2021</t>
        </is>
      </c>
      <c r="B23" s="28" t="n">
        <v>0.4982</v>
      </c>
      <c r="C23" s="28" t="n">
        <v>0.6828</v>
      </c>
      <c r="D23" s="28" t="n">
        <v>0.9297</v>
      </c>
      <c r="E23" s="28" t="n">
        <v>0.9641</v>
      </c>
    </row>
    <row r="24">
      <c r="A24" s="17" t="inlineStr">
        <is>
          <t>2022</t>
        </is>
      </c>
      <c r="B24" s="28" t="n">
        <v>0.4425</v>
      </c>
      <c r="C24" s="28" t="n">
        <v>0.8767</v>
      </c>
      <c r="D24" s="28" t="n">
        <v>0.9560999999999999</v>
      </c>
    </row>
    <row r="25">
      <c r="A25" s="17" t="inlineStr">
        <is>
          <t>2023</t>
        </is>
      </c>
      <c r="B25" s="28" t="n">
        <v>0.3767</v>
      </c>
      <c r="C25" s="28" t="n">
        <v>0.726</v>
      </c>
    </row>
    <row r="26">
      <c r="A26" s="17" t="inlineStr">
        <is>
          <t>2024</t>
        </is>
      </c>
      <c r="B26" s="28" t="n">
        <v>0.3991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Incremental Incurred Severity</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16"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7" t="inlineStr">
        <is>
          <t>2001</t>
        </is>
      </c>
      <c r="B3" s="18" t="n">
        <v>890.1180000000001</v>
      </c>
      <c r="C3" s="18" t="n">
        <v>22000.2647</v>
      </c>
      <c r="D3" s="18" t="n">
        <v>263628</v>
      </c>
      <c r="E3" s="18" t="n"/>
      <c r="F3" s="18" t="n"/>
      <c r="G3" s="18" t="n"/>
      <c r="H3" s="18" t="n">
        <v>-329.6215</v>
      </c>
      <c r="I3" s="18" t="n"/>
      <c r="J3" s="18" t="n"/>
      <c r="K3" s="18" t="n"/>
      <c r="L3" s="18" t="n"/>
      <c r="M3" s="18" t="n"/>
      <c r="N3" s="18" t="n"/>
      <c r="O3" s="18" t="n"/>
      <c r="P3" s="18" t="n"/>
      <c r="Q3" s="18" t="n"/>
      <c r="R3" s="18" t="n"/>
      <c r="S3" s="18" t="n"/>
      <c r="T3" s="18" t="n"/>
      <c r="U3" s="18" t="n">
        <v>0</v>
      </c>
      <c r="V3" s="18" t="n"/>
      <c r="W3" s="18" t="n"/>
      <c r="X3" s="18" t="n">
        <v>0</v>
      </c>
      <c r="Y3" s="18" t="n"/>
    </row>
    <row r="4">
      <c r="A4" s="17" t="inlineStr">
        <is>
          <t>2002</t>
        </is>
      </c>
      <c r="B4" s="18" t="n">
        <v>1512.0882</v>
      </c>
      <c r="C4" s="18" t="n">
        <v>18915.25</v>
      </c>
      <c r="D4" s="18" t="n"/>
      <c r="E4" s="18" t="n"/>
      <c r="F4" s="18" t="n"/>
      <c r="G4" s="18" t="n">
        <v>5939.8777</v>
      </c>
      <c r="H4" s="18" t="n"/>
      <c r="I4" s="18" t="n"/>
      <c r="J4" s="18" t="n"/>
      <c r="K4" s="18" t="n"/>
      <c r="L4" s="18" t="n"/>
      <c r="M4" s="18" t="n"/>
      <c r="N4" s="18" t="n"/>
      <c r="O4" s="18" t="n"/>
      <c r="P4" s="18" t="n"/>
      <c r="Q4" s="18" t="n"/>
      <c r="R4" s="18" t="n"/>
      <c r="S4" s="18" t="n"/>
      <c r="T4" s="18" t="n">
        <v>0</v>
      </c>
      <c r="U4" s="18" t="n"/>
      <c r="V4" s="18" t="n"/>
      <c r="W4" s="18" t="n"/>
      <c r="X4" s="18" t="n">
        <v>0</v>
      </c>
    </row>
    <row r="5">
      <c r="A5" s="17" t="inlineStr">
        <is>
          <t>2003</t>
        </is>
      </c>
      <c r="B5" s="18" t="n">
        <v>1888.6444</v>
      </c>
      <c r="C5" s="18" t="n">
        <v>24321.7857</v>
      </c>
      <c r="D5" s="18" t="n"/>
      <c r="E5" s="18" t="n"/>
      <c r="F5" s="18" t="n">
        <v>65663.13</v>
      </c>
      <c r="G5" s="18" t="n"/>
      <c r="H5" s="18" t="n">
        <v>-3810.89</v>
      </c>
      <c r="I5" s="18" t="n"/>
      <c r="J5" s="18" t="n"/>
      <c r="K5" s="18" t="n"/>
      <c r="L5" s="18" t="n"/>
      <c r="M5" s="18" t="n"/>
      <c r="N5" s="18" t="n"/>
      <c r="O5" s="18" t="n"/>
      <c r="P5" s="18" t="n">
        <v>0</v>
      </c>
      <c r="Q5" s="18" t="n">
        <v>0</v>
      </c>
      <c r="R5" s="18" t="n"/>
      <c r="S5" s="18" t="n">
        <v>0</v>
      </c>
      <c r="T5" s="18" t="n">
        <v>0</v>
      </c>
      <c r="U5" s="18" t="n">
        <v>0</v>
      </c>
      <c r="V5" s="18" t="n">
        <v>0</v>
      </c>
      <c r="W5" s="18" t="n">
        <v>0</v>
      </c>
    </row>
    <row r="6">
      <c r="A6" s="17" t="inlineStr">
        <is>
          <t>2004</t>
        </is>
      </c>
      <c r="B6" s="18" t="n">
        <v>1172.3435</v>
      </c>
      <c r="C6" s="18" t="n">
        <v>2809.2593</v>
      </c>
      <c r="D6" s="18" t="n"/>
      <c r="E6" s="18" t="n">
        <v>15998.55</v>
      </c>
      <c r="F6" s="18" t="n">
        <v>92280.89999999999</v>
      </c>
      <c r="G6" s="18" t="n"/>
      <c r="H6" s="18" t="n"/>
      <c r="I6" s="18" t="n"/>
      <c r="J6" s="18" t="n"/>
      <c r="K6" s="18" t="n"/>
      <c r="L6" s="18" t="n"/>
      <c r="M6" s="18" t="n"/>
      <c r="N6" s="18" t="n"/>
      <c r="O6" s="18" t="n"/>
      <c r="P6" s="18" t="n"/>
      <c r="Q6" s="18" t="n"/>
      <c r="R6" s="18" t="n">
        <v>0</v>
      </c>
      <c r="S6" s="18" t="n">
        <v>0</v>
      </c>
      <c r="T6" s="18" t="n">
        <v>0</v>
      </c>
      <c r="U6" s="18" t="n"/>
      <c r="V6" s="18" t="n">
        <v>0</v>
      </c>
    </row>
    <row r="7">
      <c r="A7" s="17" t="inlineStr">
        <is>
          <t>2005</t>
        </is>
      </c>
      <c r="B7" s="18" t="n">
        <v>1993.7326</v>
      </c>
      <c r="C7" s="18" t="n">
        <v>26077.4891</v>
      </c>
      <c r="D7" s="18" t="n">
        <v>114569.65</v>
      </c>
      <c r="E7" s="18" t="n">
        <v>33060.37</v>
      </c>
      <c r="F7" s="18" t="n"/>
      <c r="G7" s="18" t="n"/>
      <c r="H7" s="18" t="n"/>
      <c r="I7" s="18" t="n"/>
      <c r="J7" s="18" t="n"/>
      <c r="K7" s="18" t="n"/>
      <c r="L7" s="18" t="n"/>
      <c r="M7" s="18" t="n"/>
      <c r="N7" s="18" t="n"/>
      <c r="O7" s="18" t="n"/>
      <c r="P7" s="18" t="n"/>
      <c r="Q7" s="18" t="n"/>
      <c r="R7" s="18" t="n"/>
      <c r="S7" s="18" t="n">
        <v>0</v>
      </c>
      <c r="T7" s="18" t="n">
        <v>0</v>
      </c>
      <c r="U7" s="18" t="n">
        <v>0</v>
      </c>
    </row>
    <row r="8">
      <c r="A8" s="17" t="inlineStr">
        <is>
          <t>2006</t>
        </is>
      </c>
      <c r="B8" s="18" t="n">
        <v>1599.0849</v>
      </c>
      <c r="C8" s="18" t="n">
        <v>21224.755</v>
      </c>
      <c r="D8" s="18" t="n"/>
      <c r="E8" s="18" t="n"/>
      <c r="F8" s="18" t="n"/>
      <c r="G8" s="18" t="n"/>
      <c r="H8" s="18" t="n"/>
      <c r="I8" s="18" t="n"/>
      <c r="J8" s="18" t="n"/>
      <c r="K8" s="18" t="n"/>
      <c r="L8" s="18" t="n"/>
      <c r="M8" s="18" t="n"/>
      <c r="N8" s="18" t="n"/>
      <c r="O8" s="18" t="n"/>
      <c r="P8" s="18" t="n"/>
      <c r="Q8" s="18" t="n"/>
      <c r="R8" s="18" t="n"/>
      <c r="S8" s="18" t="n"/>
      <c r="T8" s="18" t="n">
        <v>0</v>
      </c>
    </row>
    <row r="9">
      <c r="A9" s="17" t="inlineStr">
        <is>
          <t>2007</t>
        </is>
      </c>
      <c r="B9" s="18" t="n">
        <v>3777.3245</v>
      </c>
      <c r="C9" s="18" t="n">
        <v>7734.954</v>
      </c>
      <c r="D9" s="18" t="n"/>
      <c r="E9" s="18" t="n"/>
      <c r="F9" s="18" t="n"/>
      <c r="G9" s="18" t="n"/>
      <c r="H9" s="18" t="n"/>
      <c r="I9" s="18" t="n"/>
      <c r="J9" s="18" t="n"/>
      <c r="K9" s="18" t="n"/>
      <c r="L9" s="18" t="n"/>
      <c r="M9" s="18" t="n"/>
      <c r="N9" s="18" t="n"/>
      <c r="O9" s="18" t="n"/>
      <c r="P9" s="18" t="n"/>
      <c r="Q9" s="18" t="n">
        <v>0</v>
      </c>
      <c r="R9" s="18" t="n"/>
      <c r="S9" s="18" t="n"/>
    </row>
    <row r="10">
      <c r="A10" s="17" t="inlineStr">
        <is>
          <t>2008</t>
        </is>
      </c>
      <c r="B10" s="18" t="n">
        <v>1809.473</v>
      </c>
      <c r="C10" s="18" t="n">
        <v>10839.7573</v>
      </c>
      <c r="D10" s="18" t="n">
        <v>122954.5499</v>
      </c>
      <c r="E10" s="18" t="n"/>
      <c r="F10" s="18" t="n"/>
      <c r="G10" s="18" t="n"/>
      <c r="H10" s="18" t="n"/>
      <c r="I10" s="18" t="n"/>
      <c r="J10" s="18" t="n"/>
      <c r="K10" s="18" t="n"/>
      <c r="L10" s="18" t="n"/>
      <c r="M10" s="18" t="n"/>
      <c r="N10" s="18" t="n"/>
      <c r="O10" s="18" t="n"/>
      <c r="P10" s="18" t="n">
        <v>0</v>
      </c>
      <c r="Q10" s="18" t="n"/>
      <c r="R10" s="18" t="n"/>
    </row>
    <row r="11">
      <c r="A11" s="17" t="inlineStr">
        <is>
          <t>2009</t>
        </is>
      </c>
      <c r="B11" s="18" t="n">
        <v>1167.6749</v>
      </c>
      <c r="C11" s="18" t="n">
        <v>35483.0018</v>
      </c>
      <c r="D11" s="18" t="n">
        <v>-38115.65</v>
      </c>
      <c r="E11" s="18" t="n"/>
      <c r="F11" s="18" t="n"/>
      <c r="G11" s="18" t="n"/>
      <c r="H11" s="18" t="n"/>
      <c r="I11" s="18" t="n"/>
      <c r="J11" s="18" t="n"/>
      <c r="K11" s="18" t="n"/>
      <c r="L11" s="18" t="n">
        <v>0</v>
      </c>
      <c r="M11" s="18" t="n"/>
      <c r="N11" s="18" t="n"/>
      <c r="O11" s="18" t="n">
        <v>0</v>
      </c>
      <c r="P11" s="18" t="n">
        <v>0</v>
      </c>
      <c r="Q11" s="18" t="n">
        <v>0</v>
      </c>
    </row>
    <row r="12">
      <c r="A12" s="17" t="inlineStr">
        <is>
          <t>2010</t>
        </is>
      </c>
      <c r="B12" s="18" t="n">
        <v>1384.9391</v>
      </c>
      <c r="C12" s="18" t="n">
        <v>31201.3678</v>
      </c>
      <c r="D12" s="18" t="n"/>
      <c r="E12" s="18" t="n"/>
      <c r="F12" s="18" t="n"/>
      <c r="G12" s="18" t="n"/>
      <c r="H12" s="18" t="n"/>
      <c r="I12" s="18" t="n"/>
      <c r="J12" s="18" t="n"/>
      <c r="K12" s="18" t="n"/>
      <c r="L12" s="18" t="n"/>
      <c r="M12" s="18" t="n"/>
      <c r="N12" s="18" t="n"/>
      <c r="O12" s="18" t="n"/>
      <c r="P12" s="18" t="n"/>
    </row>
    <row r="13">
      <c r="A13" s="17" t="inlineStr">
        <is>
          <t>2011</t>
        </is>
      </c>
      <c r="B13" s="18" t="n">
        <v>1313.2806</v>
      </c>
      <c r="C13" s="18" t="n"/>
      <c r="D13" s="18" t="n"/>
      <c r="E13" s="18" t="n"/>
      <c r="F13" s="18" t="n"/>
      <c r="G13" s="18" t="n"/>
      <c r="H13" s="18" t="n"/>
      <c r="I13" s="18" t="n"/>
      <c r="J13" s="18" t="n"/>
      <c r="K13" s="18" t="n"/>
      <c r="L13" s="18" t="n"/>
      <c r="M13" s="18" t="n"/>
      <c r="N13" s="18" t="n">
        <v>0</v>
      </c>
      <c r="O13" s="18" t="n">
        <v>0</v>
      </c>
    </row>
    <row r="14">
      <c r="A14" s="17" t="inlineStr">
        <is>
          <t>2012</t>
        </is>
      </c>
      <c r="B14" s="18" t="n">
        <v>1368.4788</v>
      </c>
      <c r="C14" s="18" t="n">
        <v>21888.1617</v>
      </c>
      <c r="D14" s="18" t="n"/>
      <c r="E14" s="18" t="n"/>
      <c r="F14" s="18" t="n"/>
      <c r="G14" s="18" t="n"/>
      <c r="H14" s="18" t="n"/>
      <c r="I14" s="18" t="n"/>
      <c r="J14" s="18" t="n"/>
      <c r="K14" s="18" t="n"/>
      <c r="L14" s="18" t="n"/>
      <c r="M14" s="18" t="n"/>
      <c r="N14" s="18" t="n">
        <v>0</v>
      </c>
    </row>
    <row r="15">
      <c r="A15" s="17" t="inlineStr">
        <is>
          <t>2013</t>
        </is>
      </c>
      <c r="B15" s="18" t="n">
        <v>988.3224</v>
      </c>
      <c r="C15" s="18" t="n">
        <v>29119.8633</v>
      </c>
      <c r="D15" s="18" t="n"/>
      <c r="E15" s="18" t="n">
        <v>86335</v>
      </c>
      <c r="F15" s="18" t="n"/>
      <c r="G15" s="18" t="n"/>
      <c r="H15" s="18" t="n"/>
      <c r="I15" s="18" t="n">
        <v>0</v>
      </c>
      <c r="J15" s="18" t="n"/>
      <c r="K15" s="18" t="n">
        <v>0</v>
      </c>
      <c r="L15" s="18" t="n"/>
      <c r="M15" s="18" t="n">
        <v>0</v>
      </c>
    </row>
    <row r="16">
      <c r="A16" s="17" t="inlineStr">
        <is>
          <t>2014</t>
        </is>
      </c>
      <c r="B16" s="18" t="n">
        <v>1334.6909</v>
      </c>
      <c r="C16" s="18" t="n">
        <v>10721.4473</v>
      </c>
      <c r="D16" s="18" t="n">
        <v>246904</v>
      </c>
      <c r="E16" s="18" t="n"/>
      <c r="F16" s="18" t="n"/>
      <c r="G16" s="18" t="n"/>
      <c r="H16" s="18" t="n"/>
      <c r="I16" s="18" t="n">
        <v>0</v>
      </c>
      <c r="J16" s="18" t="n"/>
      <c r="K16" s="18" t="n"/>
      <c r="L16" s="18" t="n"/>
    </row>
    <row r="17">
      <c r="A17" s="17" t="inlineStr">
        <is>
          <t>2015</t>
        </is>
      </c>
      <c r="B17" s="18" t="n">
        <v>1671.1066</v>
      </c>
      <c r="C17" s="18" t="n">
        <v>50240.25</v>
      </c>
      <c r="D17" s="18" t="n">
        <v>101765.5</v>
      </c>
      <c r="E17" s="18" t="n"/>
      <c r="F17" s="18" t="n"/>
      <c r="G17" s="18" t="n"/>
      <c r="H17" s="18" t="n"/>
      <c r="I17" s="18" t="n"/>
      <c r="J17" s="18" t="n"/>
      <c r="K17" s="18" t="n">
        <v>-74961.62669999999</v>
      </c>
    </row>
    <row r="18">
      <c r="A18" s="17" t="inlineStr">
        <is>
          <t>2016</t>
        </is>
      </c>
      <c r="B18" s="18" t="n">
        <v>1989.3893</v>
      </c>
      <c r="C18" s="18" t="n">
        <v>21585.1429</v>
      </c>
      <c r="D18" s="18" t="n">
        <v>26086.5315</v>
      </c>
      <c r="E18" s="18" t="n"/>
      <c r="F18" s="18" t="n"/>
      <c r="G18" s="18" t="n"/>
      <c r="H18" s="18" t="n"/>
      <c r="I18" s="18" t="n"/>
      <c r="J18" s="18" t="n"/>
    </row>
    <row r="19">
      <c r="A19" s="17" t="inlineStr">
        <is>
          <t>2017</t>
        </is>
      </c>
      <c r="B19" s="18" t="n">
        <v>1672.7081</v>
      </c>
      <c r="C19" s="18" t="n">
        <v>4475.3015</v>
      </c>
      <c r="D19" s="18" t="n">
        <v>16009.7899</v>
      </c>
      <c r="E19" s="18" t="n">
        <v>149114.13</v>
      </c>
      <c r="F19" s="18" t="n">
        <v>-47377.44</v>
      </c>
      <c r="G19" s="18" t="n"/>
      <c r="H19" s="18" t="n"/>
      <c r="I19" s="18" t="n">
        <v>-27931.9</v>
      </c>
    </row>
    <row r="20">
      <c r="A20" s="17" t="inlineStr">
        <is>
          <t>2018</t>
        </is>
      </c>
      <c r="B20" s="18" t="n">
        <v>1757.7757</v>
      </c>
      <c r="C20" s="18" t="n">
        <v>18526.4922</v>
      </c>
      <c r="D20" s="18" t="n"/>
      <c r="E20" s="18" t="n"/>
      <c r="F20" s="18" t="n">
        <v>-10079.97</v>
      </c>
      <c r="G20" s="18" t="n"/>
      <c r="H20" s="18" t="n"/>
    </row>
    <row r="21">
      <c r="A21" s="17" t="inlineStr">
        <is>
          <t>2019</t>
        </is>
      </c>
      <c r="B21" s="18" t="n">
        <v>1298.8238</v>
      </c>
      <c r="C21" s="18" t="n">
        <v>15973.9188</v>
      </c>
      <c r="D21" s="18" t="n"/>
      <c r="E21" s="18" t="n"/>
      <c r="F21" s="18" t="n"/>
      <c r="G21" s="18" t="n">
        <v>-358066.22</v>
      </c>
    </row>
    <row r="22">
      <c r="A22" s="17" t="inlineStr">
        <is>
          <t>2020</t>
        </is>
      </c>
      <c r="B22" s="18" t="n">
        <v>1493.0271</v>
      </c>
      <c r="C22" s="18" t="n">
        <v>19409.9025</v>
      </c>
      <c r="D22" s="18" t="n"/>
      <c r="E22" s="18" t="n"/>
      <c r="F22" s="18" t="n"/>
    </row>
    <row r="23">
      <c r="A23" s="17" t="inlineStr">
        <is>
          <t>2021</t>
        </is>
      </c>
      <c r="B23" s="18" t="n">
        <v>1901.2855</v>
      </c>
      <c r="C23" s="18" t="n">
        <v>6147.4661</v>
      </c>
      <c r="D23" s="18" t="n"/>
      <c r="E23" s="18" t="n"/>
    </row>
    <row r="24">
      <c r="A24" s="17" t="inlineStr">
        <is>
          <t>2022</t>
        </is>
      </c>
      <c r="B24" s="18" t="n">
        <v>2658.5306</v>
      </c>
      <c r="C24" s="18" t="n">
        <v>4250.0129</v>
      </c>
      <c r="D24" s="18" t="n"/>
    </row>
    <row r="25">
      <c r="A25" s="17" t="inlineStr">
        <is>
          <t>2023</t>
        </is>
      </c>
      <c r="B25" s="18" t="n">
        <v>3569.3743</v>
      </c>
      <c r="C25" s="18" t="n">
        <v>21368.7346</v>
      </c>
    </row>
    <row r="26">
      <c r="A26" s="17" t="inlineStr">
        <is>
          <t>2024</t>
        </is>
      </c>
      <c r="B26" s="18" t="n">
        <v>3477.1362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 - CV &amp; Slopes</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20"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1" t="inlineStr">
        <is>
          <t>cv_3yr</t>
        </is>
      </c>
      <c r="B3" s="19" t="n">
        <v>0.1604</v>
      </c>
      <c r="C3" s="19" t="n">
        <v>0.1345</v>
      </c>
      <c r="D3" s="19" t="n">
        <v>0.0574</v>
      </c>
      <c r="E3" s="19" t="n">
        <v>0.0355</v>
      </c>
      <c r="F3" s="19" t="n">
        <v>0.0934</v>
      </c>
      <c r="G3" s="19" t="n">
        <v>0.0606</v>
      </c>
      <c r="H3" s="19" t="n">
        <v>0.0164</v>
      </c>
      <c r="I3" s="19" t="n">
        <v>0.0221</v>
      </c>
      <c r="J3" s="19" t="n">
        <v>0.0488</v>
      </c>
      <c r="K3" s="19" t="n">
        <v>0.0072</v>
      </c>
      <c r="L3" s="19" t="n">
        <v>0.0985</v>
      </c>
      <c r="M3" s="19" t="n">
        <v>0.0008</v>
      </c>
      <c r="N3" s="19" t="n">
        <v>0.0001</v>
      </c>
      <c r="O3" s="19" t="n">
        <v>0.0035</v>
      </c>
      <c r="P3" s="19" t="n">
        <v>0.0028</v>
      </c>
      <c r="Q3" s="19" t="n">
        <v>0.0101</v>
      </c>
      <c r="R3" s="19" t="n">
        <v>0.0037</v>
      </c>
      <c r="S3" s="19" t="n">
        <v>0</v>
      </c>
      <c r="T3" s="19" t="n">
        <v>0</v>
      </c>
      <c r="U3" s="19" t="n">
        <v>0.0036</v>
      </c>
      <c r="V3" s="19" t="n">
        <v>0.0178</v>
      </c>
      <c r="W3" s="19" t="n">
        <v>0</v>
      </c>
      <c r="X3" s="19" t="n"/>
    </row>
    <row r="4">
      <c r="A4" s="21" t="inlineStr">
        <is>
          <t>cv_5yr</t>
        </is>
      </c>
      <c r="B4" s="19" t="n">
        <v>0.3284</v>
      </c>
      <c r="C4" s="19" t="n">
        <v>0.2103</v>
      </c>
      <c r="D4" s="19" t="n">
        <v>0.1316</v>
      </c>
      <c r="E4" s="19" t="n">
        <v>0.0556</v>
      </c>
      <c r="F4" s="19" t="n">
        <v>0.07729999999999999</v>
      </c>
      <c r="G4" s="19" t="n">
        <v>0.074</v>
      </c>
      <c r="H4" s="19" t="n">
        <v>0.0136</v>
      </c>
      <c r="I4" s="19" t="n">
        <v>0.0254</v>
      </c>
      <c r="J4" s="19" t="n">
        <v>0.0393</v>
      </c>
      <c r="K4" s="19" t="n">
        <v>0.0134</v>
      </c>
      <c r="L4" s="19" t="n">
        <v>0.0762</v>
      </c>
      <c r="M4" s="19" t="n">
        <v>0.0162</v>
      </c>
      <c r="N4" s="19" t="n">
        <v>0.0004</v>
      </c>
      <c r="O4" s="19" t="n">
        <v>0.0187</v>
      </c>
      <c r="P4" s="19" t="n">
        <v>0.0049</v>
      </c>
      <c r="Q4" s="19" t="n">
        <v>0.0089</v>
      </c>
      <c r="R4" s="19" t="n">
        <v>0.0032</v>
      </c>
      <c r="S4" s="19" t="n">
        <v>0</v>
      </c>
      <c r="T4" s="19" t="n">
        <v>0.0188</v>
      </c>
      <c r="U4" s="19" t="n">
        <v>0.013</v>
      </c>
      <c r="V4" s="19" t="n">
        <v>0.0178</v>
      </c>
      <c r="W4" s="19" t="n">
        <v>0</v>
      </c>
      <c r="X4" s="19" t="n"/>
    </row>
    <row r="5">
      <c r="A5" s="21" t="inlineStr">
        <is>
          <t>cv_10yr</t>
        </is>
      </c>
      <c r="B5" s="19" t="n">
        <v>0.2694</v>
      </c>
      <c r="C5" s="19" t="n">
        <v>0.1768</v>
      </c>
      <c r="D5" s="19" t="n">
        <v>0.1051</v>
      </c>
      <c r="E5" s="19" t="n">
        <v>0.0465</v>
      </c>
      <c r="F5" s="19" t="n">
        <v>0.07190000000000001</v>
      </c>
      <c r="G5" s="19" t="n">
        <v>0.0599</v>
      </c>
      <c r="H5" s="19" t="n">
        <v>0.0442</v>
      </c>
      <c r="I5" s="19" t="n">
        <v>0.0266</v>
      </c>
      <c r="J5" s="19" t="n">
        <v>0.0374</v>
      </c>
      <c r="K5" s="19" t="n">
        <v>0.0262</v>
      </c>
      <c r="L5" s="19" t="n">
        <v>0.061</v>
      </c>
      <c r="M5" s="19" t="n">
        <v>0.0142</v>
      </c>
      <c r="N5" s="19" t="n">
        <v>0.0147</v>
      </c>
      <c r="O5" s="19" t="n">
        <v>0.0146</v>
      </c>
      <c r="P5" s="19" t="n">
        <v>0.0166</v>
      </c>
      <c r="Q5" s="19" t="n">
        <v>0.0175</v>
      </c>
      <c r="R5" s="19" t="n">
        <v>0.0112</v>
      </c>
      <c r="S5" s="19" t="n">
        <v>0.0073</v>
      </c>
      <c r="T5" s="19" t="n">
        <v>0.0188</v>
      </c>
      <c r="U5" s="19" t="n">
        <v>0.013</v>
      </c>
      <c r="V5" s="19" t="n">
        <v>0.0178</v>
      </c>
      <c r="W5" s="19" t="n">
        <v>0</v>
      </c>
      <c r="X5" s="19" t="n"/>
    </row>
    <row r="6">
      <c r="A6" s="21" t="inlineStr">
        <is>
          <t>slope_3yr</t>
        </is>
      </c>
      <c r="B6" s="19" t="n">
        <v>0.1182</v>
      </c>
      <c r="C6" s="19" t="n">
        <v>-0.0058</v>
      </c>
      <c r="D6" s="19" t="n">
        <v>-0.059</v>
      </c>
      <c r="E6" s="19" t="n">
        <v>0.0077</v>
      </c>
      <c r="F6" s="19" t="n">
        <v>0.0447</v>
      </c>
      <c r="G6" s="19" t="n">
        <v>-0.0505</v>
      </c>
      <c r="H6" s="19" t="n">
        <v>0.0124</v>
      </c>
      <c r="I6" s="19" t="n">
        <v>-0.0199</v>
      </c>
      <c r="J6" s="19" t="n">
        <v>0.0481</v>
      </c>
      <c r="K6" s="19" t="n">
        <v>-0.0072</v>
      </c>
      <c r="L6" s="19" t="n">
        <v>0.0016</v>
      </c>
      <c r="M6" s="19" t="n">
        <v>-0.0005999999999999999</v>
      </c>
      <c r="N6" s="19" t="n">
        <v>0</v>
      </c>
      <c r="O6" s="19" t="n">
        <v>0.003</v>
      </c>
      <c r="P6" s="19" t="n">
        <v>0</v>
      </c>
      <c r="Q6" s="19" t="n">
        <v>0.008999999999999999</v>
      </c>
      <c r="R6" s="19" t="n">
        <v>0.0013</v>
      </c>
      <c r="S6" s="19" t="n">
        <v>0</v>
      </c>
      <c r="T6" s="19" t="n">
        <v>0</v>
      </c>
      <c r="U6" s="19" t="n">
        <v>0.0031</v>
      </c>
      <c r="V6" s="19" t="n">
        <v>-0.0069</v>
      </c>
      <c r="W6" s="19" t="n">
        <v>0</v>
      </c>
      <c r="X6" s="19" t="n"/>
    </row>
    <row r="7">
      <c r="A7" s="21" t="inlineStr">
        <is>
          <t>slope_5yr</t>
        </is>
      </c>
      <c r="B7" s="19" t="n">
        <v>-0.2685</v>
      </c>
      <c r="C7" s="19" t="n">
        <v>-0.1238</v>
      </c>
      <c r="D7" s="19" t="n">
        <v>-0.0886</v>
      </c>
      <c r="E7" s="19" t="n">
        <v>-0.0277</v>
      </c>
      <c r="F7" s="19" t="n">
        <v>0.0153</v>
      </c>
      <c r="G7" s="19" t="n">
        <v>0.0123</v>
      </c>
      <c r="H7" s="19" t="n">
        <v>0.0063</v>
      </c>
      <c r="I7" s="19" t="n">
        <v>-0.0108</v>
      </c>
      <c r="J7" s="19" t="n">
        <v>0.0149</v>
      </c>
      <c r="K7" s="19" t="n">
        <v>-0.0044</v>
      </c>
      <c r="L7" s="19" t="n">
        <v>0.0152</v>
      </c>
      <c r="M7" s="19" t="n">
        <v>-0.0001</v>
      </c>
      <c r="N7" s="19" t="n">
        <v>-0.0002</v>
      </c>
      <c r="O7" s="19" t="n">
        <v>-0.0033</v>
      </c>
      <c r="P7" s="19" t="n">
        <v>-0.0021</v>
      </c>
      <c r="Q7" s="19" t="n">
        <v>0.003</v>
      </c>
      <c r="R7" s="19" t="n">
        <v>0.0012</v>
      </c>
      <c r="S7" s="19" t="n">
        <v>0</v>
      </c>
      <c r="T7" s="19" t="n">
        <v>-0.0042</v>
      </c>
      <c r="U7" s="19" t="n">
        <v>-0.0064</v>
      </c>
      <c r="V7" s="19" t="n">
        <v>-0.0069</v>
      </c>
      <c r="W7" s="19" t="n">
        <v>0</v>
      </c>
      <c r="X7" s="19" t="n"/>
    </row>
    <row r="8">
      <c r="A8" s="21" t="inlineStr">
        <is>
          <t>slope_10yr</t>
        </is>
      </c>
      <c r="B8" s="19" t="n">
        <v>-0.0158</v>
      </c>
      <c r="C8" s="19" t="n">
        <v>-0.024</v>
      </c>
      <c r="D8" s="19" t="n">
        <v>-0.007</v>
      </c>
      <c r="E8" s="19" t="n">
        <v>-0.001</v>
      </c>
      <c r="F8" s="19" t="n">
        <v>0.0149</v>
      </c>
      <c r="G8" s="19" t="n">
        <v>0.008699999999999999</v>
      </c>
      <c r="H8" s="19" t="n">
        <v>-0.0053</v>
      </c>
      <c r="I8" s="19" t="n">
        <v>-0.0023</v>
      </c>
      <c r="J8" s="19" t="n">
        <v>-0.0002</v>
      </c>
      <c r="K8" s="19" t="n">
        <v>-0.0048</v>
      </c>
      <c r="L8" s="19" t="n">
        <v>0.0008</v>
      </c>
      <c r="M8" s="19" t="n">
        <v>0.0002</v>
      </c>
      <c r="N8" s="19" t="n">
        <v>-0.0019</v>
      </c>
      <c r="O8" s="19" t="n">
        <v>-0.001</v>
      </c>
      <c r="P8" s="19" t="n">
        <v>-0.0039</v>
      </c>
      <c r="Q8" s="19" t="n">
        <v>-0.0029</v>
      </c>
      <c r="R8" s="19" t="n">
        <v>-0.0026</v>
      </c>
      <c r="S8" s="19" t="n">
        <v>-0.0026</v>
      </c>
      <c r="T8" s="19" t="n">
        <v>-0.0042</v>
      </c>
      <c r="U8" s="19" t="n">
        <v>-0.0064</v>
      </c>
      <c r="V8" s="19" t="n">
        <v>-0.0069</v>
      </c>
      <c r="W8" s="19" t="n">
        <v>0</v>
      </c>
      <c r="X8" s="19"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 - CV &amp; Slopes</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20"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1" t="inlineStr">
        <is>
          <t>cv_3yr</t>
        </is>
      </c>
      <c r="B3" s="19" t="n">
        <v>0.2513</v>
      </c>
      <c r="C3" s="19" t="n">
        <v>0.2467</v>
      </c>
      <c r="D3" s="19" t="n">
        <v>0.0502</v>
      </c>
      <c r="E3" s="19" t="n">
        <v>0.1057</v>
      </c>
      <c r="F3" s="19" t="n">
        <v>0.0721</v>
      </c>
      <c r="G3" s="19" t="n">
        <v>0.1012</v>
      </c>
      <c r="H3" s="19" t="n">
        <v>0.0403</v>
      </c>
      <c r="I3" s="19" t="n">
        <v>0.004</v>
      </c>
      <c r="J3" s="19" t="n">
        <v>0.06469999999999999</v>
      </c>
      <c r="K3" s="19" t="n">
        <v>0.0153</v>
      </c>
      <c r="L3" s="19" t="n">
        <v>0.0294</v>
      </c>
      <c r="M3" s="19" t="n">
        <v>0.0226</v>
      </c>
      <c r="N3" s="19" t="n">
        <v>0.0017</v>
      </c>
      <c r="O3" s="19" t="n">
        <v>0.0033</v>
      </c>
      <c r="P3" s="19" t="n">
        <v>0.0159</v>
      </c>
      <c r="Q3" s="19" t="n">
        <v>0.0103</v>
      </c>
      <c r="R3" s="19" t="n">
        <v>0.0033</v>
      </c>
      <c r="S3" s="19" t="n">
        <v>0.0032</v>
      </c>
      <c r="T3" s="19" t="n">
        <v>0</v>
      </c>
      <c r="U3" s="19" t="n">
        <v>0.0058</v>
      </c>
      <c r="V3" s="19" t="n">
        <v>0.005</v>
      </c>
      <c r="W3" s="19" t="n">
        <v>0.0019</v>
      </c>
      <c r="X3" s="19" t="n"/>
    </row>
    <row r="4">
      <c r="A4" s="21" t="inlineStr">
        <is>
          <t>cv_5yr</t>
        </is>
      </c>
      <c r="B4" s="19" t="n">
        <v>0.1774</v>
      </c>
      <c r="C4" s="19" t="n">
        <v>0.2103</v>
      </c>
      <c r="D4" s="19" t="n">
        <v>0.1004</v>
      </c>
      <c r="E4" s="19" t="n">
        <v>0.0759</v>
      </c>
      <c r="F4" s="19" t="n">
        <v>0.0522</v>
      </c>
      <c r="G4" s="19" t="n">
        <v>0.0961</v>
      </c>
      <c r="H4" s="19" t="n">
        <v>0.0391</v>
      </c>
      <c r="I4" s="19" t="n">
        <v>0.0112</v>
      </c>
      <c r="J4" s="19" t="n">
        <v>0.0566</v>
      </c>
      <c r="K4" s="19" t="n">
        <v>0.0121</v>
      </c>
      <c r="L4" s="19" t="n">
        <v>0.0237</v>
      </c>
      <c r="M4" s="19" t="n">
        <v>0.0235</v>
      </c>
      <c r="N4" s="19" t="n">
        <v>0.0123</v>
      </c>
      <c r="O4" s="19" t="n">
        <v>0.0108</v>
      </c>
      <c r="P4" s="19" t="n">
        <v>0.0114</v>
      </c>
      <c r="Q4" s="19" t="n">
        <v>0.0103</v>
      </c>
      <c r="R4" s="19" t="n">
        <v>0.0031</v>
      </c>
      <c r="S4" s="19" t="n">
        <v>0.0069</v>
      </c>
      <c r="T4" s="19" t="n">
        <v>0.0054</v>
      </c>
      <c r="U4" s="19" t="n">
        <v>0.0051</v>
      </c>
      <c r="V4" s="19" t="n">
        <v>0.005</v>
      </c>
      <c r="W4" s="19" t="n">
        <v>0.0019</v>
      </c>
      <c r="X4" s="19" t="n"/>
    </row>
    <row r="5">
      <c r="A5" s="21" t="inlineStr">
        <is>
          <t>cv_10yr</t>
        </is>
      </c>
      <c r="B5" s="19" t="n">
        <v>0.2259</v>
      </c>
      <c r="C5" s="19" t="n">
        <v>0.1904</v>
      </c>
      <c r="D5" s="19" t="n">
        <v>0.1076</v>
      </c>
      <c r="E5" s="19" t="n">
        <v>0.06419999999999999</v>
      </c>
      <c r="F5" s="19" t="n">
        <v>0.0625</v>
      </c>
      <c r="G5" s="19" t="n">
        <v>0.08169999999999999</v>
      </c>
      <c r="H5" s="19" t="n">
        <v>0.0308</v>
      </c>
      <c r="I5" s="19" t="n">
        <v>0.0238</v>
      </c>
      <c r="J5" s="19" t="n">
        <v>0.044</v>
      </c>
      <c r="K5" s="19" t="n">
        <v>0.0327</v>
      </c>
      <c r="L5" s="19" t="n">
        <v>0.0201</v>
      </c>
      <c r="M5" s="19" t="n">
        <v>0.02</v>
      </c>
      <c r="N5" s="19" t="n">
        <v>0.0116</v>
      </c>
      <c r="O5" s="19" t="n">
        <v>0.012</v>
      </c>
      <c r="P5" s="19" t="n">
        <v>0.0116</v>
      </c>
      <c r="Q5" s="19" t="n">
        <v>0.0124</v>
      </c>
      <c r="R5" s="19" t="n">
        <v>0.0108</v>
      </c>
      <c r="S5" s="19" t="n">
        <v>0.0151</v>
      </c>
      <c r="T5" s="19" t="n">
        <v>0.0054</v>
      </c>
      <c r="U5" s="19" t="n">
        <v>0.0051</v>
      </c>
      <c r="V5" s="19" t="n">
        <v>0.005</v>
      </c>
      <c r="W5" s="19" t="n">
        <v>0.0019</v>
      </c>
      <c r="X5" s="19" t="n"/>
    </row>
    <row r="6">
      <c r="A6" s="21" t="inlineStr">
        <is>
          <t>slope_3yr</t>
        </is>
      </c>
      <c r="B6" s="19" t="n">
        <v>0.6336000000000001</v>
      </c>
      <c r="C6" s="19" t="n">
        <v>-0.0604</v>
      </c>
      <c r="D6" s="19" t="n">
        <v>-0.0563</v>
      </c>
      <c r="E6" s="19" t="n">
        <v>-0.0235</v>
      </c>
      <c r="F6" s="19" t="n">
        <v>0.0539</v>
      </c>
      <c r="G6" s="19" t="n">
        <v>-0.04</v>
      </c>
      <c r="H6" s="19" t="n">
        <v>0.0182</v>
      </c>
      <c r="I6" s="19" t="n">
        <v>0.0024</v>
      </c>
      <c r="J6" s="19" t="n">
        <v>0.0689</v>
      </c>
      <c r="K6" s="19" t="n">
        <v>-0.0111</v>
      </c>
      <c r="L6" s="19" t="n">
        <v>-0.0051</v>
      </c>
      <c r="M6" s="19" t="n">
        <v>0.021</v>
      </c>
      <c r="N6" s="19" t="n">
        <v>0.0016</v>
      </c>
      <c r="O6" s="19" t="n">
        <v>0.0027</v>
      </c>
      <c r="P6" s="19" t="n">
        <v>-0.0145</v>
      </c>
      <c r="Q6" s="19" t="n">
        <v>0.0075</v>
      </c>
      <c r="R6" s="19" t="n">
        <v>0.0002</v>
      </c>
      <c r="S6" s="19" t="n">
        <v>0.0028</v>
      </c>
      <c r="T6" s="19" t="n">
        <v>0</v>
      </c>
      <c r="U6" s="19" t="n">
        <v>-0.0051</v>
      </c>
      <c r="V6" s="19" t="n">
        <v>-0.0037</v>
      </c>
      <c r="W6" s="19" t="n">
        <v>0.0027</v>
      </c>
      <c r="X6" s="19" t="n"/>
    </row>
    <row r="7">
      <c r="A7" s="21" t="inlineStr">
        <is>
          <t>slope_5yr</t>
        </is>
      </c>
      <c r="B7" s="19" t="n">
        <v>0.1057</v>
      </c>
      <c r="C7" s="19" t="n">
        <v>-0.09320000000000001</v>
      </c>
      <c r="D7" s="19" t="n">
        <v>-0.0368</v>
      </c>
      <c r="E7" s="19" t="n">
        <v>0.0014</v>
      </c>
      <c r="F7" s="19" t="n">
        <v>0.0158</v>
      </c>
      <c r="G7" s="19" t="n">
        <v>0.0287</v>
      </c>
      <c r="H7" s="19" t="n">
        <v>0.0186</v>
      </c>
      <c r="I7" s="19" t="n">
        <v>-0.0028</v>
      </c>
      <c r="J7" s="19" t="n">
        <v>0.0317</v>
      </c>
      <c r="K7" s="19" t="n">
        <v>0.0009</v>
      </c>
      <c r="L7" s="19" t="n">
        <v>-0.0005</v>
      </c>
      <c r="M7" s="19" t="n">
        <v>0.0036</v>
      </c>
      <c r="N7" s="19" t="n">
        <v>-0.0052</v>
      </c>
      <c r="O7" s="19" t="n">
        <v>-0.0028</v>
      </c>
      <c r="P7" s="19" t="n">
        <v>-0.0022</v>
      </c>
      <c r="Q7" s="19" t="n">
        <v>0.004</v>
      </c>
      <c r="R7" s="19" t="n">
        <v>0.0012</v>
      </c>
      <c r="S7" s="19" t="n">
        <v>-0.0021</v>
      </c>
      <c r="T7" s="19" t="n">
        <v>-0.0012</v>
      </c>
      <c r="U7" s="19" t="n">
        <v>-0.0032</v>
      </c>
      <c r="V7" s="19" t="n">
        <v>-0.0037</v>
      </c>
      <c r="W7" s="19" t="n">
        <v>0.0027</v>
      </c>
      <c r="X7" s="19" t="n"/>
    </row>
    <row r="8">
      <c r="A8" s="21" t="inlineStr">
        <is>
          <t>slope_10yr</t>
        </is>
      </c>
      <c r="B8" s="19" t="n">
        <v>0.0629</v>
      </c>
      <c r="C8" s="19" t="n">
        <v>0.0049</v>
      </c>
      <c r="D8" s="19" t="n">
        <v>-0.01</v>
      </c>
      <c r="E8" s="19" t="n">
        <v>0.0019</v>
      </c>
      <c r="F8" s="19" t="n">
        <v>0.0148</v>
      </c>
      <c r="G8" s="19" t="n">
        <v>0.015</v>
      </c>
      <c r="H8" s="19" t="n">
        <v>0.0041</v>
      </c>
      <c r="I8" s="19" t="n">
        <v>-0.0045</v>
      </c>
      <c r="J8" s="19" t="n">
        <v>0.0037</v>
      </c>
      <c r="K8" s="19" t="n">
        <v>-0.0068</v>
      </c>
      <c r="L8" s="19" t="n">
        <v>-0.0001</v>
      </c>
      <c r="M8" s="19" t="n">
        <v>0.002</v>
      </c>
      <c r="N8" s="19" t="n">
        <v>-0.0015</v>
      </c>
      <c r="O8" s="19" t="n">
        <v>-0.0014</v>
      </c>
      <c r="P8" s="19" t="n">
        <v>-0.0019</v>
      </c>
      <c r="Q8" s="19" t="n">
        <v>-0.0013</v>
      </c>
      <c r="R8" s="19" t="n">
        <v>-0.0035</v>
      </c>
      <c r="S8" s="19" t="n">
        <v>-0.006</v>
      </c>
      <c r="T8" s="19" t="n">
        <v>-0.0012</v>
      </c>
      <c r="U8" s="19" t="n">
        <v>-0.0032</v>
      </c>
      <c r="V8" s="19" t="n">
        <v>-0.0037</v>
      </c>
      <c r="W8" s="19" t="n">
        <v>0.0027</v>
      </c>
      <c r="X8" s="19"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 - CV &amp; Slopes</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20"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1" t="inlineStr">
        <is>
          <t>cv_3yr</t>
        </is>
      </c>
      <c r="B3" s="19" t="n">
        <v>0.013</v>
      </c>
      <c r="C3" s="19" t="n">
        <v>0</v>
      </c>
      <c r="D3" s="19" t="n">
        <v>0</v>
      </c>
      <c r="E3" s="19" t="n">
        <v>0.0024</v>
      </c>
      <c r="F3" s="19" t="n">
        <v>0.0021</v>
      </c>
      <c r="G3" s="19" t="n">
        <v>0</v>
      </c>
      <c r="H3" s="19" t="n">
        <v>0.0024</v>
      </c>
      <c r="I3" s="19" t="n">
        <v>0</v>
      </c>
      <c r="J3" s="19" t="n">
        <v>0.0068</v>
      </c>
      <c r="K3" s="19" t="n">
        <v>0</v>
      </c>
      <c r="L3" s="19" t="n">
        <v>0</v>
      </c>
      <c r="M3" s="19" t="n">
        <v>0</v>
      </c>
      <c r="N3" s="19" t="n">
        <v>0</v>
      </c>
      <c r="O3" s="19" t="n">
        <v>0</v>
      </c>
      <c r="P3" s="19" t="n">
        <v>0</v>
      </c>
      <c r="Q3" s="19" t="n">
        <v>0</v>
      </c>
      <c r="R3" s="19" t="n">
        <v>0</v>
      </c>
      <c r="S3" s="19" t="n">
        <v>0</v>
      </c>
      <c r="T3" s="19" t="n">
        <v>0</v>
      </c>
      <c r="U3" s="19" t="n">
        <v>0</v>
      </c>
      <c r="V3" s="19" t="n">
        <v>0</v>
      </c>
      <c r="W3" s="19" t="n">
        <v>0</v>
      </c>
      <c r="X3" s="19" t="n"/>
    </row>
    <row r="4">
      <c r="A4" s="21" t="inlineStr">
        <is>
          <t>cv_5yr</t>
        </is>
      </c>
      <c r="B4" s="19" t="n">
        <v>0.0316</v>
      </c>
      <c r="C4" s="19" t="n">
        <v>0</v>
      </c>
      <c r="D4" s="19" t="n">
        <v>0.0019</v>
      </c>
      <c r="E4" s="19" t="n">
        <v>0.0029</v>
      </c>
      <c r="F4" s="19" t="n">
        <v>0.0017</v>
      </c>
      <c r="G4" s="19" t="n">
        <v>0</v>
      </c>
      <c r="H4" s="19" t="n">
        <v>0.0019</v>
      </c>
      <c r="I4" s="19" t="n">
        <v>0</v>
      </c>
      <c r="J4" s="19" t="n">
        <v>0.0052</v>
      </c>
      <c r="K4" s="19" t="n">
        <v>0</v>
      </c>
      <c r="L4" s="19" t="n">
        <v>0</v>
      </c>
      <c r="M4" s="19" t="n">
        <v>0</v>
      </c>
      <c r="N4" s="19" t="n">
        <v>0</v>
      </c>
      <c r="O4" s="19" t="n">
        <v>0</v>
      </c>
      <c r="P4" s="19" t="n">
        <v>0</v>
      </c>
      <c r="Q4" s="19" t="n">
        <v>0</v>
      </c>
      <c r="R4" s="19" t="n">
        <v>0</v>
      </c>
      <c r="S4" s="19" t="n">
        <v>0</v>
      </c>
      <c r="T4" s="19" t="n">
        <v>0</v>
      </c>
      <c r="U4" s="19" t="n">
        <v>0</v>
      </c>
      <c r="V4" s="19" t="n">
        <v>0</v>
      </c>
      <c r="W4" s="19" t="n">
        <v>0</v>
      </c>
      <c r="X4" s="19" t="n"/>
    </row>
    <row r="5">
      <c r="A5" s="21" t="inlineStr">
        <is>
          <t>cv_10yr</t>
        </is>
      </c>
      <c r="B5" s="19" t="n">
        <v>0.0384</v>
      </c>
      <c r="C5" s="19" t="n">
        <v>0.0145</v>
      </c>
      <c r="D5" s="19" t="n">
        <v>0.0018</v>
      </c>
      <c r="E5" s="19" t="n">
        <v>0.002</v>
      </c>
      <c r="F5" s="19" t="n">
        <v>0.0012</v>
      </c>
      <c r="G5" s="19" t="n">
        <v>0</v>
      </c>
      <c r="H5" s="19" t="n">
        <v>0.0013</v>
      </c>
      <c r="I5" s="19" t="n">
        <v>0</v>
      </c>
      <c r="J5" s="19" t="n">
        <v>0.0037</v>
      </c>
      <c r="K5" s="19" t="n">
        <v>0</v>
      </c>
      <c r="L5" s="19" t="n">
        <v>0</v>
      </c>
      <c r="M5" s="19" t="n">
        <v>0</v>
      </c>
      <c r="N5" s="19" t="n">
        <v>0</v>
      </c>
      <c r="O5" s="19" t="n">
        <v>0</v>
      </c>
      <c r="P5" s="19" t="n">
        <v>0</v>
      </c>
      <c r="Q5" s="19" t="n">
        <v>0</v>
      </c>
      <c r="R5" s="19" t="n">
        <v>0</v>
      </c>
      <c r="S5" s="19" t="n">
        <v>0</v>
      </c>
      <c r="T5" s="19" t="n">
        <v>0</v>
      </c>
      <c r="U5" s="19" t="n">
        <v>0</v>
      </c>
      <c r="V5" s="19" t="n">
        <v>0</v>
      </c>
      <c r="W5" s="19" t="n">
        <v>0</v>
      </c>
      <c r="X5" s="19" t="n"/>
    </row>
    <row r="6">
      <c r="A6" s="21" t="inlineStr">
        <is>
          <t>slope_3yr</t>
        </is>
      </c>
      <c r="B6" s="19" t="n">
        <v>-0.0128</v>
      </c>
      <c r="C6" s="19" t="n">
        <v>0</v>
      </c>
      <c r="D6" s="19" t="n">
        <v>0</v>
      </c>
      <c r="E6" s="19" t="n">
        <v>-0.002</v>
      </c>
      <c r="F6" s="19" t="n">
        <v>-0.0018</v>
      </c>
      <c r="G6" s="19" t="n">
        <v>0</v>
      </c>
      <c r="H6" s="19" t="n">
        <v>-0.0021</v>
      </c>
      <c r="I6" s="19" t="n">
        <v>0</v>
      </c>
      <c r="J6" s="19" t="n">
        <v>-0.0058</v>
      </c>
      <c r="K6" s="19" t="n">
        <v>0</v>
      </c>
      <c r="L6" s="19" t="n">
        <v>0</v>
      </c>
      <c r="M6" s="19" t="n">
        <v>0</v>
      </c>
      <c r="N6" s="19" t="n">
        <v>0</v>
      </c>
      <c r="O6" s="19" t="n">
        <v>0</v>
      </c>
      <c r="P6" s="19" t="n">
        <v>0</v>
      </c>
      <c r="Q6" s="19" t="n">
        <v>0</v>
      </c>
      <c r="R6" s="19" t="n">
        <v>0</v>
      </c>
      <c r="S6" s="19" t="n">
        <v>0</v>
      </c>
      <c r="T6" s="19" t="n">
        <v>0</v>
      </c>
      <c r="U6" s="19" t="n">
        <v>0</v>
      </c>
      <c r="V6" s="19" t="n">
        <v>0</v>
      </c>
      <c r="W6" s="19" t="n">
        <v>0</v>
      </c>
      <c r="X6" s="19" t="n"/>
    </row>
    <row r="7">
      <c r="A7" s="21" t="inlineStr">
        <is>
          <t>slope_5yr</t>
        </is>
      </c>
      <c r="B7" s="19" t="n">
        <v>0.0027</v>
      </c>
      <c r="C7" s="19" t="n">
        <v>0</v>
      </c>
      <c r="D7" s="19" t="n">
        <v>-0.0008</v>
      </c>
      <c r="E7" s="19" t="n">
        <v>0.0004</v>
      </c>
      <c r="F7" s="19" t="n">
        <v>-0.0007</v>
      </c>
      <c r="G7" s="19" t="n">
        <v>0</v>
      </c>
      <c r="H7" s="19" t="n">
        <v>-0.0008</v>
      </c>
      <c r="I7" s="19" t="n">
        <v>0</v>
      </c>
      <c r="J7" s="19" t="n">
        <v>-0.0023</v>
      </c>
      <c r="K7" s="19" t="n">
        <v>0</v>
      </c>
      <c r="L7" s="19" t="n">
        <v>0</v>
      </c>
      <c r="M7" s="19" t="n">
        <v>0</v>
      </c>
      <c r="N7" s="19" t="n">
        <v>0</v>
      </c>
      <c r="O7" s="19" t="n">
        <v>0</v>
      </c>
      <c r="P7" s="19" t="n">
        <v>0</v>
      </c>
      <c r="Q7" s="19" t="n">
        <v>0</v>
      </c>
      <c r="R7" s="19" t="n">
        <v>0</v>
      </c>
      <c r="S7" s="19" t="n">
        <v>0</v>
      </c>
      <c r="T7" s="19" t="n">
        <v>0</v>
      </c>
      <c r="U7" s="19" t="n">
        <v>0</v>
      </c>
      <c r="V7" s="19" t="n">
        <v>0</v>
      </c>
      <c r="W7" s="19" t="n">
        <v>0</v>
      </c>
      <c r="X7" s="19" t="n"/>
    </row>
    <row r="8">
      <c r="A8" s="21" t="inlineStr">
        <is>
          <t>slope_10yr</t>
        </is>
      </c>
      <c r="B8" s="19" t="n">
        <v>0.009299999999999999</v>
      </c>
      <c r="C8" s="19" t="n">
        <v>-0.0015</v>
      </c>
      <c r="D8" s="19" t="n">
        <v>-0.0002</v>
      </c>
      <c r="E8" s="19" t="n">
        <v>0</v>
      </c>
      <c r="F8" s="19" t="n">
        <v>-0.0002</v>
      </c>
      <c r="G8" s="19" t="n">
        <v>0</v>
      </c>
      <c r="H8" s="19" t="n">
        <v>-0.0002</v>
      </c>
      <c r="I8" s="19" t="n">
        <v>0</v>
      </c>
      <c r="J8" s="19" t="n">
        <v>-0.0005999999999999999</v>
      </c>
      <c r="K8" s="19" t="n">
        <v>0</v>
      </c>
      <c r="L8" s="19" t="n">
        <v>0</v>
      </c>
      <c r="M8" s="19" t="n">
        <v>0</v>
      </c>
      <c r="N8" s="19" t="n">
        <v>0</v>
      </c>
      <c r="O8" s="19" t="n">
        <v>0</v>
      </c>
      <c r="P8" s="19" t="n">
        <v>0</v>
      </c>
      <c r="Q8" s="19" t="n">
        <v>0</v>
      </c>
      <c r="R8" s="19" t="n">
        <v>0</v>
      </c>
      <c r="S8" s="19" t="n">
        <v>0</v>
      </c>
      <c r="T8" s="19" t="n">
        <v>0</v>
      </c>
      <c r="U8" s="19" t="n">
        <v>0</v>
      </c>
      <c r="V8" s="19" t="n">
        <v>0</v>
      </c>
      <c r="W8" s="19" t="n">
        <v>0</v>
      </c>
      <c r="X8" s="19"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3" t="n">
        <v>0.1857570466659403</v>
      </c>
      <c r="C3" s="13" t="n">
        <v>0.5089466642511196</v>
      </c>
      <c r="D3" s="13" t="n">
        <v>0.6228514869267098</v>
      </c>
      <c r="E3" s="13" t="n">
        <v>0.6854393413970923</v>
      </c>
      <c r="F3" s="13" t="n">
        <v>0.7369191986662413</v>
      </c>
      <c r="G3" s="13" t="n">
        <v>0.7867919371260366</v>
      </c>
      <c r="H3" s="13" t="n">
        <v>0.7849404976827654</v>
      </c>
      <c r="I3" s="13" t="n">
        <v>0.7922607970262565</v>
      </c>
      <c r="J3" s="13" t="n">
        <v>0.7980288845690027</v>
      </c>
      <c r="K3" s="13" t="n">
        <v>0.8047498472118162</v>
      </c>
      <c r="L3" s="13" t="n">
        <v>0.8220056233393775</v>
      </c>
      <c r="M3" s="13" t="n">
        <v>0.8391052981674394</v>
      </c>
      <c r="N3" s="13" t="n">
        <v>0.8381981745872149</v>
      </c>
      <c r="O3" s="13" t="n">
        <v>0.8573692798288299</v>
      </c>
      <c r="P3" s="13" t="n">
        <v>0.8719805887289566</v>
      </c>
      <c r="Q3" s="13" t="n">
        <v>0.9183465071100197</v>
      </c>
      <c r="R3" s="13" t="n">
        <v>0.9400418614009503</v>
      </c>
      <c r="S3" s="13" t="n">
        <v>0.9691042862321138</v>
      </c>
      <c r="T3" s="13" t="n">
        <v>0.9865222428345847</v>
      </c>
      <c r="U3" s="13" t="n">
        <v>0.9865222428345847</v>
      </c>
      <c r="V3" s="13" t="n">
        <v>1.00963779965383</v>
      </c>
      <c r="W3" s="13" t="n">
        <v>1.023679960338419</v>
      </c>
      <c r="X3" s="13" t="n">
        <v>1.023679960338419</v>
      </c>
      <c r="Y3" s="13" t="n">
        <v>1.035890098647464</v>
      </c>
    </row>
    <row r="4">
      <c r="A4" s="9" t="n">
        <v>2002</v>
      </c>
      <c r="B4" s="13" t="n">
        <v>0.4185415981860244</v>
      </c>
      <c r="C4" s="13" t="n">
        <v>0.5986942368377092</v>
      </c>
      <c r="D4" s="13" t="n">
        <v>0.6057379785711167</v>
      </c>
      <c r="E4" s="13" t="n">
        <v>0.7236636562166979</v>
      </c>
      <c r="F4" s="13" t="n">
        <v>0.7332050303131679</v>
      </c>
      <c r="G4" s="13" t="n">
        <v>0.7791702578213545</v>
      </c>
      <c r="H4" s="13" t="n">
        <v>0.793969663390622</v>
      </c>
      <c r="I4" s="13" t="n">
        <v>0.794134521353359</v>
      </c>
      <c r="J4" s="13" t="n">
        <v>0.8115344504171537</v>
      </c>
      <c r="K4" s="13" t="n">
        <v>0.8193548609603866</v>
      </c>
      <c r="L4" s="13" t="n">
        <v>0.8277569620657664</v>
      </c>
      <c r="M4" s="13" t="n">
        <v>0.8558327761167349</v>
      </c>
      <c r="N4" s="13" t="n">
        <v>0.856967679880721</v>
      </c>
      <c r="O4" s="13" t="n">
        <v>0.8913366155443829</v>
      </c>
      <c r="P4" s="13" t="n">
        <v>0.9148346046364357</v>
      </c>
      <c r="Q4" s="13" t="n">
        <v>0.9282976576901396</v>
      </c>
      <c r="R4" s="13" t="n">
        <v>0.9774037642236499</v>
      </c>
      <c r="S4" s="13" t="n">
        <v>0.9785138991130033</v>
      </c>
      <c r="T4" s="13" t="n">
        <v>0.9785138991130033</v>
      </c>
      <c r="U4" s="13" t="n">
        <v>1.019963506598566</v>
      </c>
      <c r="V4" s="13" t="n">
        <v>1.013631907214754</v>
      </c>
      <c r="W4" s="13" t="n">
        <v>1.050024801021336</v>
      </c>
      <c r="X4" s="13" t="n">
        <v>1.050024801021336</v>
      </c>
      <c r="Y4" s="5" t="n"/>
    </row>
    <row r="5">
      <c r="A5" s="9" t="n">
        <v>2003</v>
      </c>
      <c r="B5" s="13" t="n">
        <v>0.5590161364253583</v>
      </c>
      <c r="C5" s="13" t="n">
        <v>0.8078689808241977</v>
      </c>
      <c r="D5" s="13" t="n">
        <v>0.87445970862627</v>
      </c>
      <c r="E5" s="13" t="n">
        <v>1.039501585501304</v>
      </c>
      <c r="F5" s="13" t="n">
        <v>0.9435238073621831</v>
      </c>
      <c r="G5" s="13" t="n">
        <v>1.007541792646288</v>
      </c>
      <c r="H5" s="13" t="n">
        <v>1.004756662277597</v>
      </c>
      <c r="I5" s="13" t="n">
        <v>0.9971719070514818</v>
      </c>
      <c r="J5" s="13" t="n">
        <v>0.9953107635923666</v>
      </c>
      <c r="K5" s="13" t="n">
        <v>0.997495593707432</v>
      </c>
      <c r="L5" s="13" t="n">
        <v>0.9954121084299836</v>
      </c>
      <c r="M5" s="13" t="n">
        <v>0.9877118228661562</v>
      </c>
      <c r="N5" s="13" t="n">
        <v>0.982678045902839</v>
      </c>
      <c r="O5" s="13" t="n">
        <v>0.9826779947444151</v>
      </c>
      <c r="P5" s="13" t="n">
        <v>0.9826779947444151</v>
      </c>
      <c r="Q5" s="13" t="n">
        <v>0.9826779947444151</v>
      </c>
      <c r="R5" s="13" t="n">
        <v>0.9847612096130512</v>
      </c>
      <c r="S5" s="13" t="n">
        <v>0.9847612096130514</v>
      </c>
      <c r="T5" s="13" t="n">
        <v>0.9847612096130514</v>
      </c>
      <c r="U5" s="13" t="n">
        <v>0.9847612096130514</v>
      </c>
      <c r="V5" s="13" t="n">
        <v>0.9847612096130514</v>
      </c>
      <c r="W5" s="13" t="n">
        <v>0.9847612096130514</v>
      </c>
      <c r="X5" s="5" t="n"/>
      <c r="Y5" s="5" t="n"/>
    </row>
    <row r="6">
      <c r="A6" s="9" t="n">
        <v>2004</v>
      </c>
      <c r="B6" s="13" t="n">
        <v>0.6166591040710637</v>
      </c>
      <c r="C6" s="13" t="n">
        <v>0.7039621982563257</v>
      </c>
      <c r="D6" s="13" t="n">
        <v>0.7772862082029728</v>
      </c>
      <c r="E6" s="13" t="n">
        <v>0.8141147623882773</v>
      </c>
      <c r="F6" s="13" t="n">
        <v>0.92032976705803</v>
      </c>
      <c r="G6" s="13" t="n">
        <v>0.9254379821699843</v>
      </c>
      <c r="H6" s="13" t="n">
        <v>0.9425176211233804</v>
      </c>
      <c r="I6" s="13" t="n">
        <v>0.9497598070023928</v>
      </c>
      <c r="J6" s="13" t="n">
        <v>0.9723190876793925</v>
      </c>
      <c r="K6" s="13" t="n">
        <v>0.9636420003449153</v>
      </c>
      <c r="L6" s="13" t="n">
        <v>0.9858814881189691</v>
      </c>
      <c r="M6" s="13" t="n">
        <v>0.9747410608225486</v>
      </c>
      <c r="N6" s="13" t="n">
        <v>0.9751335506724783</v>
      </c>
      <c r="O6" s="13" t="n">
        <v>0.9754166958428091</v>
      </c>
      <c r="P6" s="13" t="n">
        <v>0.9754161548743941</v>
      </c>
      <c r="Q6" s="13" t="n">
        <v>0.9791505289019653</v>
      </c>
      <c r="R6" s="13" t="n">
        <v>0.9791505289019653</v>
      </c>
      <c r="S6" s="13" t="n">
        <v>0.9791505289019653</v>
      </c>
      <c r="T6" s="13" t="n">
        <v>0.9791505289019653</v>
      </c>
      <c r="U6" s="13" t="n">
        <v>0.979179879315963</v>
      </c>
      <c r="V6" s="13" t="n">
        <v>0.979179879315963</v>
      </c>
      <c r="W6" s="5" t="n"/>
      <c r="X6" s="5" t="n"/>
      <c r="Y6" s="5" t="n"/>
    </row>
    <row r="7">
      <c r="A7" s="9" t="n">
        <v>2005</v>
      </c>
      <c r="B7" s="13" t="n">
        <v>0.5433680725292799</v>
      </c>
      <c r="C7" s="13" t="n">
        <v>0.7079537529415154</v>
      </c>
      <c r="D7" s="13" t="n">
        <v>0.7736897381191239</v>
      </c>
      <c r="E7" s="13" t="n">
        <v>0.754720875141134</v>
      </c>
      <c r="F7" s="13" t="n">
        <v>0.7827666964834865</v>
      </c>
      <c r="G7" s="13" t="n">
        <v>0.795547384302896</v>
      </c>
      <c r="H7" s="13" t="n">
        <v>0.8117373858566601</v>
      </c>
      <c r="I7" s="13" t="n">
        <v>0.816322251020833</v>
      </c>
      <c r="J7" s="13" t="n">
        <v>0.8268650569073965</v>
      </c>
      <c r="K7" s="13" t="n">
        <v>0.8494404307024386</v>
      </c>
      <c r="L7" s="13" t="n">
        <v>0.8593963502088952</v>
      </c>
      <c r="M7" s="13" t="n">
        <v>0.9620152586282331</v>
      </c>
      <c r="N7" s="13" t="n">
        <v>0.9620204225077301</v>
      </c>
      <c r="O7" s="13" t="n">
        <v>0.9442802415419375</v>
      </c>
      <c r="P7" s="13" t="n">
        <v>0.9536796956561674</v>
      </c>
      <c r="Q7" s="13" t="n">
        <v>0.960348995205115</v>
      </c>
      <c r="R7" s="13" t="n">
        <v>0.9748903651154209</v>
      </c>
      <c r="S7" s="13" t="n">
        <v>0.9748903651154209</v>
      </c>
      <c r="T7" s="13" t="n">
        <v>0.9748903651154209</v>
      </c>
      <c r="U7" s="13" t="n">
        <v>0.9748903651154209</v>
      </c>
      <c r="V7" s="5" t="n"/>
      <c r="W7" s="5" t="n"/>
      <c r="X7" s="5" t="n"/>
      <c r="Y7" s="5" t="n"/>
    </row>
    <row r="8">
      <c r="A8" s="9" t="n">
        <v>2006</v>
      </c>
      <c r="B8" s="13" t="n">
        <v>0.5095020223274047</v>
      </c>
      <c r="C8" s="13" t="n">
        <v>0.7703205778549993</v>
      </c>
      <c r="D8" s="13" t="n">
        <v>0.6695736990074079</v>
      </c>
      <c r="E8" s="13" t="n">
        <v>0.7160677522739641</v>
      </c>
      <c r="F8" s="13" t="n">
        <v>0.7225226274160079</v>
      </c>
      <c r="G8" s="13" t="n">
        <v>0.7589685068043669</v>
      </c>
      <c r="H8" s="13" t="n">
        <v>0.7924146002501971</v>
      </c>
      <c r="I8" s="13" t="n">
        <v>0.7778223116790097</v>
      </c>
      <c r="J8" s="13" t="n">
        <v>0.7980838244837292</v>
      </c>
      <c r="K8" s="13" t="n">
        <v>0.8277009800964547</v>
      </c>
      <c r="L8" s="13" t="n">
        <v>0.8965354033293562</v>
      </c>
      <c r="M8" s="13" t="n">
        <v>0.950430627314292</v>
      </c>
      <c r="N8" s="13" t="n">
        <v>0.9765826435611459</v>
      </c>
      <c r="O8" s="13" t="n">
        <v>0.9870986987647915</v>
      </c>
      <c r="P8" s="13" t="n">
        <v>0.9876692322260828</v>
      </c>
      <c r="Q8" s="13" t="n">
        <v>0.9990799014519088</v>
      </c>
      <c r="R8" s="13" t="n">
        <v>1.002152004705016</v>
      </c>
      <c r="S8" s="13" t="n">
        <v>1.009469737099041</v>
      </c>
      <c r="T8" s="13" t="n">
        <v>1.009469737099041</v>
      </c>
      <c r="U8" s="5" t="n"/>
      <c r="V8" s="5" t="n"/>
      <c r="W8" s="5" t="n"/>
      <c r="X8" s="5" t="n"/>
      <c r="Y8" s="5" t="n"/>
    </row>
    <row r="9">
      <c r="A9" s="9" t="n">
        <v>2007</v>
      </c>
      <c r="B9" s="13" t="n">
        <v>0.3486226570562808</v>
      </c>
      <c r="C9" s="13" t="n">
        <v>0.3795714848345818</v>
      </c>
      <c r="D9" s="13" t="n">
        <v>0.4133984946911125</v>
      </c>
      <c r="E9" s="13" t="n">
        <v>0.4631901105058159</v>
      </c>
      <c r="F9" s="13" t="n">
        <v>0.5163050246757919</v>
      </c>
      <c r="G9" s="13" t="n">
        <v>0.6163406840445496</v>
      </c>
      <c r="H9" s="13" t="n">
        <v>0.6555479512082156</v>
      </c>
      <c r="I9" s="13" t="n">
        <v>0.7273456868350155</v>
      </c>
      <c r="J9" s="13" t="n">
        <v>0.7794514965040604</v>
      </c>
      <c r="K9" s="13" t="n">
        <v>0.8586718974862132</v>
      </c>
      <c r="L9" s="13" t="n">
        <v>0.8850187692522969</v>
      </c>
      <c r="M9" s="13" t="n">
        <v>0.9105890068755761</v>
      </c>
      <c r="N9" s="13" t="n">
        <v>0.9252628849955031</v>
      </c>
      <c r="O9" s="13" t="n">
        <v>0.9261260029876174</v>
      </c>
      <c r="P9" s="13" t="n">
        <v>0.9665275112275393</v>
      </c>
      <c r="Q9" s="13" t="n">
        <v>0.9665275112275393</v>
      </c>
      <c r="R9" s="13" t="n">
        <v>0.9699991994581151</v>
      </c>
      <c r="S9" s="13" t="n">
        <v>0.9724514175027802</v>
      </c>
      <c r="T9" s="5" t="n"/>
      <c r="U9" s="5" t="n"/>
      <c r="V9" s="5" t="n"/>
      <c r="W9" s="5" t="n"/>
      <c r="X9" s="5" t="n"/>
      <c r="Y9" s="5" t="n"/>
    </row>
    <row r="10">
      <c r="A10" s="9" t="n">
        <v>2008</v>
      </c>
      <c r="B10" s="13" t="n">
        <v>0.3899597711723594</v>
      </c>
      <c r="C10" s="13" t="n">
        <v>0.5403510271358093</v>
      </c>
      <c r="D10" s="13" t="n">
        <v>0.6540761388229395</v>
      </c>
      <c r="E10" s="13" t="n">
        <v>0.9098010229881057</v>
      </c>
      <c r="F10" s="13" t="n">
        <v>0.8818428938564311</v>
      </c>
      <c r="G10" s="13" t="n">
        <v>0.8966997274809705</v>
      </c>
      <c r="H10" s="13" t="n">
        <v>0.9015561788845355</v>
      </c>
      <c r="I10" s="13" t="n">
        <v>0.9134225736001528</v>
      </c>
      <c r="J10" s="13" t="n">
        <v>0.9186429133953223</v>
      </c>
      <c r="K10" s="13" t="n">
        <v>0.9504912408522806</v>
      </c>
      <c r="L10" s="13" t="n">
        <v>0.955168347130707</v>
      </c>
      <c r="M10" s="13" t="n">
        <v>0.9553260487492522</v>
      </c>
      <c r="N10" s="13" t="n">
        <v>0.9414143149125768</v>
      </c>
      <c r="O10" s="13" t="n">
        <v>0.9416455489573664</v>
      </c>
      <c r="P10" s="13" t="n">
        <v>0.9416455489573664</v>
      </c>
      <c r="Q10" s="13" t="n">
        <v>0.946270229853158</v>
      </c>
      <c r="R10" s="13" t="n">
        <v>0.9661699542668953</v>
      </c>
      <c r="S10" s="5" t="n"/>
      <c r="T10" s="5" t="n"/>
      <c r="U10" s="5" t="n"/>
      <c r="V10" s="5" t="n"/>
      <c r="W10" s="5" t="n"/>
      <c r="X10" s="5" t="n"/>
      <c r="Y10" s="5" t="n"/>
    </row>
    <row r="11">
      <c r="A11" s="9" t="n">
        <v>2009</v>
      </c>
      <c r="B11" s="13" t="n">
        <v>0.2916047574887128</v>
      </c>
      <c r="C11" s="13" t="n">
        <v>0.711748330984284</v>
      </c>
      <c r="D11" s="13" t="n">
        <v>0.6707196064054665</v>
      </c>
      <c r="E11" s="13" t="n">
        <v>0.6874532386222002</v>
      </c>
      <c r="F11" s="13" t="n">
        <v>0.7331395347708478</v>
      </c>
      <c r="G11" s="13" t="n">
        <v>0.7707676211235781</v>
      </c>
      <c r="H11" s="13" t="n">
        <v>0.7988145145758048</v>
      </c>
      <c r="I11" s="13" t="n">
        <v>0.9138975054777186</v>
      </c>
      <c r="J11" s="13" t="n">
        <v>0.9139028876140037</v>
      </c>
      <c r="K11" s="13" t="n">
        <v>0.9139042762051653</v>
      </c>
      <c r="L11" s="13" t="n">
        <v>0.9139042762051656</v>
      </c>
      <c r="M11" s="13" t="n">
        <v>0.92628318966083</v>
      </c>
      <c r="N11" s="13" t="n">
        <v>0.9540534736008217</v>
      </c>
      <c r="O11" s="13" t="n">
        <v>0.9540534736008217</v>
      </c>
      <c r="P11" s="13" t="n">
        <v>0.9540534736008217</v>
      </c>
      <c r="Q11" s="13" t="n">
        <v>0.9540534736008217</v>
      </c>
      <c r="R11" s="5" t="n"/>
      <c r="S11" s="5" t="n"/>
      <c r="T11" s="5" t="n"/>
      <c r="U11" s="5" t="n"/>
      <c r="V11" s="5" t="n"/>
      <c r="W11" s="5" t="n"/>
      <c r="X11" s="5" t="n"/>
      <c r="Y11" s="5" t="n"/>
    </row>
    <row r="12">
      <c r="A12" s="9" t="n">
        <v>2010</v>
      </c>
      <c r="B12" s="13" t="n">
        <v>0.2662828494314295</v>
      </c>
      <c r="C12" s="13" t="n">
        <v>0.5403534322477168</v>
      </c>
      <c r="D12" s="13" t="n">
        <v>0.7036092820631011</v>
      </c>
      <c r="E12" s="13" t="n">
        <v>0.8175211989637828</v>
      </c>
      <c r="F12" s="13" t="n">
        <v>0.914297857636057</v>
      </c>
      <c r="G12" s="13" t="n">
        <v>0.9044713549328008</v>
      </c>
      <c r="H12" s="13" t="n">
        <v>0.9403185670306586</v>
      </c>
      <c r="I12" s="13" t="n">
        <v>0.9414253420182427</v>
      </c>
      <c r="J12" s="13" t="n">
        <v>0.9369568502449585</v>
      </c>
      <c r="K12" s="13" t="n">
        <v>0.937548155029992</v>
      </c>
      <c r="L12" s="13" t="n">
        <v>0.9382840530376096</v>
      </c>
      <c r="M12" s="13" t="n">
        <v>0.9383387085925521</v>
      </c>
      <c r="N12" s="13" t="n">
        <v>0.9395586986582311</v>
      </c>
      <c r="O12" s="13" t="n">
        <v>0.9393585226882544</v>
      </c>
      <c r="P12" s="13" t="n">
        <v>0.9449816520993792</v>
      </c>
      <c r="Q12" s="5" t="n"/>
      <c r="R12" s="5" t="n"/>
      <c r="S12" s="5" t="n"/>
      <c r="T12" s="5" t="n"/>
      <c r="U12" s="5" t="n"/>
      <c r="V12" s="5" t="n"/>
      <c r="W12" s="5" t="n"/>
      <c r="X12" s="5" t="n"/>
      <c r="Y12" s="5" t="n"/>
    </row>
    <row r="13">
      <c r="A13" s="9" t="n">
        <v>2011</v>
      </c>
      <c r="B13" s="13" t="n">
        <v>0.2248788849309709</v>
      </c>
      <c r="C13" s="13" t="n">
        <v>0.4392703394217649</v>
      </c>
      <c r="D13" s="13" t="n">
        <v>0.6478302543491451</v>
      </c>
      <c r="E13" s="13" t="n">
        <v>0.7480425308836968</v>
      </c>
      <c r="F13" s="13" t="n">
        <v>0.7981571099637211</v>
      </c>
      <c r="G13" s="13" t="n">
        <v>0.8620308281762689</v>
      </c>
      <c r="H13" s="13" t="n">
        <v>0.9096751803672475</v>
      </c>
      <c r="I13" s="13" t="n">
        <v>0.9097322759461636</v>
      </c>
      <c r="J13" s="13" t="n">
        <v>0.9222755262959522</v>
      </c>
      <c r="K13" s="13" t="n">
        <v>0.9258152430474349</v>
      </c>
      <c r="L13" s="13" t="n">
        <v>0.951914085745205</v>
      </c>
      <c r="M13" s="13" t="n">
        <v>0.9489897999905896</v>
      </c>
      <c r="N13" s="13" t="n">
        <v>0.9489897999905896</v>
      </c>
      <c r="O13" s="13" t="n">
        <v>0.9489897999905896</v>
      </c>
      <c r="P13" s="5" t="n"/>
      <c r="Q13" s="5" t="n"/>
      <c r="R13" s="5" t="n"/>
      <c r="S13" s="5" t="n"/>
      <c r="T13" s="5" t="n"/>
      <c r="U13" s="5" t="n"/>
      <c r="V13" s="5" t="n"/>
      <c r="W13" s="5" t="n"/>
      <c r="X13" s="5" t="n"/>
      <c r="Y13" s="5" t="n"/>
    </row>
    <row r="14">
      <c r="A14" s="9" t="n">
        <v>2012</v>
      </c>
      <c r="B14" s="13" t="n">
        <v>0.261866175521268</v>
      </c>
      <c r="C14" s="13" t="n">
        <v>0.5320870628769037</v>
      </c>
      <c r="D14" s="13" t="n">
        <v>0.6954345453353478</v>
      </c>
      <c r="E14" s="13" t="n">
        <v>0.7557684621513733</v>
      </c>
      <c r="F14" s="13" t="n">
        <v>0.7534063513491316</v>
      </c>
      <c r="G14" s="13" t="n">
        <v>0.7600050354456377</v>
      </c>
      <c r="H14" s="13" t="n">
        <v>0.7630496892751611</v>
      </c>
      <c r="I14" s="13" t="n">
        <v>0.802387681760053</v>
      </c>
      <c r="J14" s="13" t="n">
        <v>0.8472180139535972</v>
      </c>
      <c r="K14" s="13" t="n">
        <v>0.8951266106734894</v>
      </c>
      <c r="L14" s="13" t="n">
        <v>0.9018137710456894</v>
      </c>
      <c r="M14" s="13" t="n">
        <v>1.063217007921642</v>
      </c>
      <c r="N14" s="13" t="n">
        <v>1.063217007921642</v>
      </c>
      <c r="O14" s="5" t="n"/>
      <c r="P14" s="5" t="n"/>
      <c r="Q14" s="5" t="n"/>
      <c r="R14" s="5" t="n"/>
      <c r="S14" s="5" t="n"/>
      <c r="T14" s="5" t="n"/>
      <c r="U14" s="5" t="n"/>
      <c r="V14" s="5" t="n"/>
      <c r="W14" s="5" t="n"/>
      <c r="X14" s="5" t="n"/>
      <c r="Y14" s="5" t="n"/>
    </row>
    <row r="15">
      <c r="A15" s="9" t="n">
        <v>2013</v>
      </c>
      <c r="B15" s="13" t="n">
        <v>0.3595259961798594</v>
      </c>
      <c r="C15" s="13" t="n">
        <v>0.6565273684723221</v>
      </c>
      <c r="D15" s="13" t="n">
        <v>0.7138061674028106</v>
      </c>
      <c r="E15" s="13" t="n">
        <v>0.8605651750679665</v>
      </c>
      <c r="F15" s="13" t="n">
        <v>0.9128619361824454</v>
      </c>
      <c r="G15" s="13" t="n">
        <v>0.9104895347940429</v>
      </c>
      <c r="H15" s="13" t="n">
        <v>0.9109384387002708</v>
      </c>
      <c r="I15" s="13" t="n">
        <v>0.910938438700271</v>
      </c>
      <c r="J15" s="13" t="n">
        <v>0.9126976429283669</v>
      </c>
      <c r="K15" s="13" t="n">
        <v>0.9126976429283669</v>
      </c>
      <c r="L15" s="13" t="n">
        <v>0.9127120918953577</v>
      </c>
      <c r="M15" s="13" t="n">
        <v>0.9127120918953577</v>
      </c>
      <c r="N15" s="5" t="n"/>
      <c r="O15" s="5" t="n"/>
      <c r="P15" s="5" t="n"/>
      <c r="Q15" s="5" t="n"/>
      <c r="R15" s="5" t="n"/>
      <c r="S15" s="5" t="n"/>
      <c r="T15" s="5" t="n"/>
      <c r="U15" s="5" t="n"/>
      <c r="V15" s="5" t="n"/>
      <c r="W15" s="5" t="n"/>
      <c r="X15" s="5" t="n"/>
      <c r="Y15" s="5" t="n"/>
    </row>
    <row r="16">
      <c r="A16" s="9" t="n">
        <v>2014</v>
      </c>
      <c r="B16" s="13" t="n">
        <v>0.3733141984656617</v>
      </c>
      <c r="C16" s="13" t="n">
        <v>0.5100375205143454</v>
      </c>
      <c r="D16" s="13" t="n">
        <v>0.7199441003356161</v>
      </c>
      <c r="E16" s="13" t="n">
        <v>0.8324484637078903</v>
      </c>
      <c r="F16" s="13" t="n">
        <v>0.8443498889532218</v>
      </c>
      <c r="G16" s="13" t="n">
        <v>0.8734455811566821</v>
      </c>
      <c r="H16" s="13" t="n">
        <v>0.8484377639951279</v>
      </c>
      <c r="I16" s="13" t="n">
        <v>0.8484377639951279</v>
      </c>
      <c r="J16" s="13" t="n">
        <v>0.8832941040004422</v>
      </c>
      <c r="K16" s="13" t="n">
        <v>0.9015156893170835</v>
      </c>
      <c r="L16" s="13" t="n">
        <v>0.8952546319959486</v>
      </c>
      <c r="M16" s="5" t="n"/>
      <c r="N16" s="5" t="n"/>
      <c r="O16" s="5" t="n"/>
      <c r="P16" s="5" t="n"/>
      <c r="Q16" s="5" t="n"/>
      <c r="R16" s="5" t="n"/>
      <c r="S16" s="5" t="n"/>
      <c r="T16" s="5" t="n"/>
      <c r="U16" s="5" t="n"/>
      <c r="V16" s="5" t="n"/>
      <c r="W16" s="5" t="n"/>
      <c r="X16" s="5" t="n"/>
      <c r="Y16" s="5" t="n"/>
    </row>
    <row r="17">
      <c r="A17" s="9" t="n">
        <v>2015</v>
      </c>
      <c r="B17" s="13" t="n">
        <v>0.1419639392419968</v>
      </c>
      <c r="C17" s="13" t="n">
        <v>0.2818987777166058</v>
      </c>
      <c r="D17" s="13" t="n">
        <v>0.4236231800114573</v>
      </c>
      <c r="E17" s="13" t="n">
        <v>0.5627783117965416</v>
      </c>
      <c r="F17" s="13" t="n">
        <v>0.6223908238584476</v>
      </c>
      <c r="G17" s="13" t="n">
        <v>0.7071643072934199</v>
      </c>
      <c r="H17" s="13" t="n">
        <v>0.8061212573170579</v>
      </c>
      <c r="I17" s="13" t="n">
        <v>0.8115874347446468</v>
      </c>
      <c r="J17" s="13" t="n">
        <v>0.8142664848980249</v>
      </c>
      <c r="K17" s="13" t="n">
        <v>0.8925633418956059</v>
      </c>
      <c r="L17" s="5" t="n"/>
      <c r="M17" s="5" t="n"/>
      <c r="N17" s="5" t="n"/>
      <c r="O17" s="5" t="n"/>
      <c r="P17" s="5" t="n"/>
      <c r="Q17" s="5" t="n"/>
      <c r="R17" s="5" t="n"/>
      <c r="S17" s="5" t="n"/>
      <c r="T17" s="5" t="n"/>
      <c r="U17" s="5" t="n"/>
      <c r="V17" s="5" t="n"/>
      <c r="W17" s="5" t="n"/>
      <c r="X17" s="5" t="n"/>
      <c r="Y17" s="5" t="n"/>
    </row>
    <row r="18">
      <c r="A18" s="9" t="n">
        <v>2016</v>
      </c>
      <c r="B18" s="13" t="n">
        <v>0.2378884718235429</v>
      </c>
      <c r="C18" s="13" t="n">
        <v>0.4447723013311407</v>
      </c>
      <c r="D18" s="13" t="n">
        <v>0.599551294073546</v>
      </c>
      <c r="E18" s="13" t="n">
        <v>0.6517073260152175</v>
      </c>
      <c r="F18" s="13" t="n">
        <v>0.7444511786675212</v>
      </c>
      <c r="G18" s="13" t="n">
        <v>0.7679707091900128</v>
      </c>
      <c r="H18" s="13" t="n">
        <v>0.8659214768722737</v>
      </c>
      <c r="I18" s="13" t="n">
        <v>0.8657153999703939</v>
      </c>
      <c r="J18" s="13" t="n">
        <v>0.8668564175437006</v>
      </c>
      <c r="K18" s="5" t="n"/>
      <c r="L18" s="5" t="n"/>
      <c r="M18" s="5" t="n"/>
      <c r="N18" s="5" t="n"/>
      <c r="O18" s="5" t="n"/>
      <c r="P18" s="5" t="n"/>
      <c r="Q18" s="5" t="n"/>
      <c r="R18" s="5" t="n"/>
      <c r="S18" s="5" t="n"/>
      <c r="T18" s="5" t="n"/>
      <c r="U18" s="5" t="n"/>
      <c r="V18" s="5" t="n"/>
      <c r="W18" s="5" t="n"/>
      <c r="X18" s="5" t="n"/>
      <c r="Y18" s="5" t="n"/>
    </row>
    <row r="19">
      <c r="A19" s="9" t="n">
        <v>2017</v>
      </c>
      <c r="B19" s="13" t="n">
        <v>0.3216285926872306</v>
      </c>
      <c r="C19" s="13" t="n">
        <v>0.4286778962471282</v>
      </c>
      <c r="D19" s="13" t="n">
        <v>0.4434069155348723</v>
      </c>
      <c r="E19" s="13" t="n">
        <v>0.5805920314448964</v>
      </c>
      <c r="F19" s="13" t="n">
        <v>0.6241793131996181</v>
      </c>
      <c r="G19" s="13" t="n">
        <v>0.7070176002326246</v>
      </c>
      <c r="H19" s="13" t="n">
        <v>0.8149723961602282</v>
      </c>
      <c r="I19" s="13" t="n">
        <v>0.840669765947298</v>
      </c>
      <c r="J19" s="5" t="n"/>
      <c r="K19" s="5" t="n"/>
      <c r="L19" s="5" t="n"/>
      <c r="M19" s="5" t="n"/>
      <c r="N19" s="5" t="n"/>
      <c r="O19" s="5" t="n"/>
      <c r="P19" s="5" t="n"/>
      <c r="Q19" s="5" t="n"/>
      <c r="R19" s="5" t="n"/>
      <c r="S19" s="5" t="n"/>
      <c r="T19" s="5" t="n"/>
      <c r="U19" s="5" t="n"/>
      <c r="V19" s="5" t="n"/>
      <c r="W19" s="5" t="n"/>
      <c r="X19" s="5" t="n"/>
      <c r="Y19" s="5" t="n"/>
    </row>
    <row r="20">
      <c r="A20" s="9" t="n">
        <v>2018</v>
      </c>
      <c r="B20" s="13" t="n">
        <v>0.1728970958172686</v>
      </c>
      <c r="C20" s="13" t="n">
        <v>0.397562958622069</v>
      </c>
      <c r="D20" s="13" t="n">
        <v>0.5680116666303444</v>
      </c>
      <c r="E20" s="13" t="n">
        <v>0.7885514662183255</v>
      </c>
      <c r="F20" s="13" t="n">
        <v>0.784024165269375</v>
      </c>
      <c r="G20" s="13" t="n">
        <v>0.7942884673776817</v>
      </c>
      <c r="H20" s="13" t="n">
        <v>0.8153135176708114</v>
      </c>
      <c r="I20" s="5" t="n"/>
      <c r="J20" s="5" t="n"/>
      <c r="K20" s="5" t="n"/>
      <c r="L20" s="5" t="n"/>
      <c r="M20" s="5" t="n"/>
      <c r="N20" s="5" t="n"/>
      <c r="O20" s="5" t="n"/>
      <c r="P20" s="5" t="n"/>
      <c r="Q20" s="5" t="n"/>
      <c r="R20" s="5" t="n"/>
      <c r="S20" s="5" t="n"/>
      <c r="T20" s="5" t="n"/>
      <c r="U20" s="5" t="n"/>
      <c r="V20" s="5" t="n"/>
      <c r="W20" s="5" t="n"/>
      <c r="X20" s="5" t="n"/>
      <c r="Y20" s="5" t="n"/>
    </row>
    <row r="21">
      <c r="A21" s="9" t="n">
        <v>2019</v>
      </c>
      <c r="B21" s="13" t="n">
        <v>0.123809771201761</v>
      </c>
      <c r="C21" s="13" t="n">
        <v>0.3413392514336393</v>
      </c>
      <c r="D21" s="13" t="n">
        <v>0.528139057894346</v>
      </c>
      <c r="E21" s="13" t="n">
        <v>0.6072082552455396</v>
      </c>
      <c r="F21" s="13" t="n">
        <v>0.6456991724378037</v>
      </c>
      <c r="G21" s="13" t="n">
        <v>0.7891130187384267</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3" t="n">
        <v>0.3475191067042278</v>
      </c>
      <c r="C22" s="13" t="n">
        <v>0.6202965608207021</v>
      </c>
      <c r="D22" s="13" t="n">
        <v>0.6098971843471438</v>
      </c>
      <c r="E22" s="13" t="n">
        <v>0.645292239431177</v>
      </c>
      <c r="F22" s="13" t="n">
        <v>0.6515697887391897</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3" t="n">
        <v>0.3351597870205742</v>
      </c>
      <c r="C23" s="13" t="n">
        <v>0.4885572890524296</v>
      </c>
      <c r="D23" s="13" t="n">
        <v>0.5979771396820911</v>
      </c>
      <c r="E23" s="13" t="n">
        <v>0.6168844916409071</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3" t="n">
        <v>0.4444556427137239</v>
      </c>
      <c r="C24" s="13" t="n">
        <v>0.5449333796312897</v>
      </c>
      <c r="D24" s="13" t="n">
        <v>0.5294235226546312</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3" t="n">
        <v>0.2893269140536242</v>
      </c>
      <c r="C25" s="13" t="n">
        <v>0.4901512954215368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3" t="n">
        <v>0.3450636500322232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3" t="n">
        <v>0.1067541223885153</v>
      </c>
      <c r="C3" s="13" t="n">
        <v>0.3429328955077106</v>
      </c>
      <c r="D3" s="13" t="n">
        <v>0.5061053950615241</v>
      </c>
      <c r="E3" s="13" t="n">
        <v>0.6256927561163054</v>
      </c>
      <c r="F3" s="13" t="n">
        <v>0.728259290155435</v>
      </c>
      <c r="G3" s="13" t="n">
        <v>0.7477592152729701</v>
      </c>
      <c r="H3" s="13" t="n">
        <v>0.7405549430627171</v>
      </c>
      <c r="I3" s="13" t="n">
        <v>0.7505548063940249</v>
      </c>
      <c r="J3" s="13" t="n">
        <v>0.7578337958611142</v>
      </c>
      <c r="K3" s="13" t="n">
        <v>0.7669489771453039</v>
      </c>
      <c r="L3" s="13" t="n">
        <v>0.7852241925352421</v>
      </c>
      <c r="M3" s="13" t="n">
        <v>0.8040527641107796</v>
      </c>
      <c r="N3" s="13" t="n">
        <v>0.8171556727514971</v>
      </c>
      <c r="O3" s="13" t="n">
        <v>0.8379119089391664</v>
      </c>
      <c r="P3" s="13" t="n">
        <v>0.8559357998975045</v>
      </c>
      <c r="Q3" s="13" t="n">
        <v>0.8821903197128589</v>
      </c>
      <c r="R3" s="13" t="n">
        <v>0.911023844362869</v>
      </c>
      <c r="S3" s="13" t="n">
        <v>0.9356571038328937</v>
      </c>
      <c r="T3" s="13" t="n">
        <v>0.9714855255963522</v>
      </c>
      <c r="U3" s="13" t="n">
        <v>0.9714855255963522</v>
      </c>
      <c r="V3" s="13" t="n">
        <v>0.9787183444391107</v>
      </c>
      <c r="W3" s="13" t="n">
        <v>0.985994901371903</v>
      </c>
      <c r="X3" s="13" t="n">
        <v>0.9922144249376672</v>
      </c>
      <c r="Y3" s="13" t="n">
        <v>0.9961151513872585</v>
      </c>
    </row>
    <row r="4">
      <c r="A4" s="9" t="n">
        <v>2002</v>
      </c>
      <c r="B4" s="13" t="n">
        <v>0.1612030506907876</v>
      </c>
      <c r="C4" s="13" t="n">
        <v>0.4109787875105455</v>
      </c>
      <c r="D4" s="13" t="n">
        <v>0.5505005904065303</v>
      </c>
      <c r="E4" s="13" t="n">
        <v>0.5946964535636818</v>
      </c>
      <c r="F4" s="13" t="n">
        <v>0.6691705843424396</v>
      </c>
      <c r="G4" s="13" t="n">
        <v>0.7315536231886935</v>
      </c>
      <c r="H4" s="13" t="n">
        <v>0.7480608012931289</v>
      </c>
      <c r="I4" s="13" t="n">
        <v>0.7613118992112784</v>
      </c>
      <c r="J4" s="13" t="n">
        <v>0.7802016037598219</v>
      </c>
      <c r="K4" s="13" t="n">
        <v>0.7895027656075722</v>
      </c>
      <c r="L4" s="13" t="n">
        <v>0.8033956756052417</v>
      </c>
      <c r="M4" s="13" t="n">
        <v>0.8184740985887492</v>
      </c>
      <c r="N4" s="13" t="n">
        <v>0.8372502329957126</v>
      </c>
      <c r="O4" s="13" t="n">
        <v>0.8586066995915662</v>
      </c>
      <c r="P4" s="13" t="n">
        <v>0.876753278374878</v>
      </c>
      <c r="Q4" s="13" t="n">
        <v>0.8938724339999155</v>
      </c>
      <c r="R4" s="13" t="n">
        <v>0.9193413790575927</v>
      </c>
      <c r="S4" s="13" t="n">
        <v>0.9379187731575728</v>
      </c>
      <c r="T4" s="13" t="n">
        <v>0.9528168911152164</v>
      </c>
      <c r="U4" s="13" t="n">
        <v>0.9643606391346071</v>
      </c>
      <c r="V4" s="13" t="n">
        <v>0.974085366001188</v>
      </c>
      <c r="W4" s="13" t="n">
        <v>0.9834061834182815</v>
      </c>
      <c r="X4" s="13" t="n">
        <v>0.9922453917654648</v>
      </c>
      <c r="Y4" s="5" t="n"/>
    </row>
    <row r="5">
      <c r="A5" s="9" t="n">
        <v>2003</v>
      </c>
      <c r="B5" s="13" t="n">
        <v>0.2568306351785863</v>
      </c>
      <c r="C5" s="13" t="n">
        <v>0.6378914634594539</v>
      </c>
      <c r="D5" s="13" t="n">
        <v>0.7364094327422906</v>
      </c>
      <c r="E5" s="13" t="n">
        <v>0.8026915071566743</v>
      </c>
      <c r="F5" s="13" t="n">
        <v>0.9287234122462673</v>
      </c>
      <c r="G5" s="13" t="n">
        <v>0.9749551117739452</v>
      </c>
      <c r="H5" s="13" t="n">
        <v>0.9764244767149863</v>
      </c>
      <c r="I5" s="13" t="n">
        <v>0.9832705993094267</v>
      </c>
      <c r="J5" s="13" t="n">
        <v>0.9818572089924072</v>
      </c>
      <c r="K5" s="13" t="n">
        <v>0.9842581176730589</v>
      </c>
      <c r="L5" s="13" t="n">
        <v>0.9823908278947371</v>
      </c>
      <c r="M5" s="13" t="n">
        <v>0.9826061171589271</v>
      </c>
      <c r="N5" s="13" t="n">
        <v>0.982678045902839</v>
      </c>
      <c r="O5" s="13" t="n">
        <v>0.9826783309283431</v>
      </c>
      <c r="P5" s="13" t="n">
        <v>0.9826783309283431</v>
      </c>
      <c r="Q5" s="13" t="n">
        <v>0.9826779947444151</v>
      </c>
      <c r="R5" s="13" t="n">
        <v>0.9847612096130512</v>
      </c>
      <c r="S5" s="13" t="n">
        <v>0.9847612096130514</v>
      </c>
      <c r="T5" s="13" t="n">
        <v>0.9847612096130514</v>
      </c>
      <c r="U5" s="13" t="n">
        <v>0.9847612096130514</v>
      </c>
      <c r="V5" s="13" t="n">
        <v>0.9847612096130514</v>
      </c>
      <c r="W5" s="13" t="n">
        <v>0.9847612096130514</v>
      </c>
      <c r="X5" s="5" t="n"/>
      <c r="Y5" s="5" t="n"/>
    </row>
    <row r="6">
      <c r="A6" s="9" t="n">
        <v>2004</v>
      </c>
      <c r="B6" s="13" t="n">
        <v>0.2240656644448141</v>
      </c>
      <c r="C6" s="13" t="n">
        <v>0.5460017231106831</v>
      </c>
      <c r="D6" s="13" t="n">
        <v>0.703859149528277</v>
      </c>
      <c r="E6" s="13" t="n">
        <v>0.7881718854158611</v>
      </c>
      <c r="F6" s="13" t="n">
        <v>0.92032976705803</v>
      </c>
      <c r="G6" s="13" t="n">
        <v>0.9237115102488768</v>
      </c>
      <c r="H6" s="13" t="n">
        <v>0.9387346520182025</v>
      </c>
      <c r="I6" s="13" t="n">
        <v>0.9460590650962734</v>
      </c>
      <c r="J6" s="13" t="n">
        <v>0.963543969962163</v>
      </c>
      <c r="K6" s="13" t="n">
        <v>0.9576360999433504</v>
      </c>
      <c r="L6" s="13" t="n">
        <v>0.9610736779805904</v>
      </c>
      <c r="M6" s="13" t="n">
        <v>0.9672192978627505</v>
      </c>
      <c r="N6" s="13" t="n">
        <v>0.967620995685699</v>
      </c>
      <c r="O6" s="13" t="n">
        <v>0.9693785675356779</v>
      </c>
      <c r="P6" s="13" t="n">
        <v>0.9699420609545346</v>
      </c>
      <c r="Q6" s="13" t="n">
        <v>0.9791505289019653</v>
      </c>
      <c r="R6" s="13" t="n">
        <v>0.9791505289019653</v>
      </c>
      <c r="S6" s="13" t="n">
        <v>0.9791505289019653</v>
      </c>
      <c r="T6" s="13" t="n">
        <v>0.9791505289019653</v>
      </c>
      <c r="U6" s="13" t="n">
        <v>0.979179879315963</v>
      </c>
      <c r="V6" s="13" t="n">
        <v>0.979179879315963</v>
      </c>
      <c r="W6" s="5" t="n"/>
      <c r="X6" s="5" t="n"/>
      <c r="Y6" s="5" t="n"/>
    </row>
    <row r="7">
      <c r="A7" s="9" t="n">
        <v>2005</v>
      </c>
      <c r="B7" s="13" t="n">
        <v>0.2647911177829024</v>
      </c>
      <c r="C7" s="13" t="n">
        <v>0.5378043251547486</v>
      </c>
      <c r="D7" s="13" t="n">
        <v>0.6816088848172122</v>
      </c>
      <c r="E7" s="13" t="n">
        <v>0.7115206338522512</v>
      </c>
      <c r="F7" s="13" t="n">
        <v>0.7646588358222293</v>
      </c>
      <c r="G7" s="13" t="n">
        <v>0.7805271276833383</v>
      </c>
      <c r="H7" s="13" t="n">
        <v>0.7969919107404185</v>
      </c>
      <c r="I7" s="13" t="n">
        <v>0.8052909077080024</v>
      </c>
      <c r="J7" s="13" t="n">
        <v>0.8086486113356078</v>
      </c>
      <c r="K7" s="13" t="n">
        <v>0.8329147655060902</v>
      </c>
      <c r="L7" s="13" t="n">
        <v>0.8565745769460504</v>
      </c>
      <c r="M7" s="13" t="n">
        <v>0.873928654641862</v>
      </c>
      <c r="N7" s="13" t="n">
        <v>0.9025250717667463</v>
      </c>
      <c r="O7" s="13" t="n">
        <v>0.9195530045711795</v>
      </c>
      <c r="P7" s="13" t="n">
        <v>0.9472532763105334</v>
      </c>
      <c r="Q7" s="13" t="n">
        <v>0.9547957649318257</v>
      </c>
      <c r="R7" s="13" t="n">
        <v>0.973259239023457</v>
      </c>
      <c r="S7" s="13" t="n">
        <v>0.9748903651154209</v>
      </c>
      <c r="T7" s="13" t="n">
        <v>0.9748903651154209</v>
      </c>
      <c r="U7" s="13" t="n">
        <v>0.9748903651154209</v>
      </c>
      <c r="V7" s="5" t="n"/>
      <c r="W7" s="5" t="n"/>
      <c r="X7" s="5" t="n"/>
      <c r="Y7" s="5" t="n"/>
    </row>
    <row r="8">
      <c r="A8" s="9" t="n">
        <v>2006</v>
      </c>
      <c r="B8" s="13" t="n">
        <v>0.1894282477173623</v>
      </c>
      <c r="C8" s="13" t="n">
        <v>0.4653333844521312</v>
      </c>
      <c r="D8" s="13" t="n">
        <v>0.5941601384445933</v>
      </c>
      <c r="E8" s="13" t="n">
        <v>0.6470959006963943</v>
      </c>
      <c r="F8" s="13" t="n">
        <v>0.6866894131906972</v>
      </c>
      <c r="G8" s="13" t="n">
        <v>0.7186614939408109</v>
      </c>
      <c r="H8" s="13" t="n">
        <v>0.7483783436928185</v>
      </c>
      <c r="I8" s="13" t="n">
        <v>0.7534596551380848</v>
      </c>
      <c r="J8" s="13" t="n">
        <v>0.7772642685118017</v>
      </c>
      <c r="K8" s="13" t="n">
        <v>0.8091217773654502</v>
      </c>
      <c r="L8" s="13" t="n">
        <v>0.8837466763585652</v>
      </c>
      <c r="M8" s="13" t="n">
        <v>0.9081698972207657</v>
      </c>
      <c r="N8" s="13" t="n">
        <v>0.9176374611390014</v>
      </c>
      <c r="O8" s="13" t="n">
        <v>0.9347874336622816</v>
      </c>
      <c r="P8" s="13" t="n">
        <v>0.9411544115415356</v>
      </c>
      <c r="Q8" s="13" t="n">
        <v>0.9490156604431003</v>
      </c>
      <c r="R8" s="13" t="n">
        <v>0.959900727912071</v>
      </c>
      <c r="S8" s="13" t="n">
        <v>0.9672296690942511</v>
      </c>
      <c r="T8" s="13" t="n">
        <v>0.9725562309309316</v>
      </c>
      <c r="U8" s="5" t="n"/>
      <c r="V8" s="5" t="n"/>
      <c r="W8" s="5" t="n"/>
      <c r="X8" s="5" t="n"/>
      <c r="Y8" s="5" t="n"/>
    </row>
    <row r="9">
      <c r="A9" s="9" t="n">
        <v>2007</v>
      </c>
      <c r="B9" s="13" t="n">
        <v>0.1017933818546594</v>
      </c>
      <c r="C9" s="13" t="n">
        <v>0.2230088084155243</v>
      </c>
      <c r="D9" s="13" t="n">
        <v>0.2887626801707814</v>
      </c>
      <c r="E9" s="13" t="n">
        <v>0.3677208581313324</v>
      </c>
      <c r="F9" s="13" t="n">
        <v>0.4361502502864794</v>
      </c>
      <c r="G9" s="13" t="n">
        <v>0.529769681357434</v>
      </c>
      <c r="H9" s="13" t="n">
        <v>0.5910878481766586</v>
      </c>
      <c r="I9" s="13" t="n">
        <v>0.6369813956060537</v>
      </c>
      <c r="J9" s="13" t="n">
        <v>0.68836870806079</v>
      </c>
      <c r="K9" s="13" t="n">
        <v>0.7467950541637761</v>
      </c>
      <c r="L9" s="13" t="n">
        <v>0.8081969333586371</v>
      </c>
      <c r="M9" s="13" t="n">
        <v>0.848606649321843</v>
      </c>
      <c r="N9" s="13" t="n">
        <v>0.883432360650118</v>
      </c>
      <c r="O9" s="13" t="n">
        <v>0.9089705569435002</v>
      </c>
      <c r="P9" s="13" t="n">
        <v>0.9333446355987323</v>
      </c>
      <c r="Q9" s="13" t="n">
        <v>0.9604627746115376</v>
      </c>
      <c r="R9" s="13" t="n">
        <v>0.9664993777021964</v>
      </c>
      <c r="S9" s="13" t="n">
        <v>0.9683921448441647</v>
      </c>
      <c r="T9" s="5" t="n"/>
      <c r="U9" s="5" t="n"/>
      <c r="V9" s="5" t="n"/>
      <c r="W9" s="5" t="n"/>
      <c r="X9" s="5" t="n"/>
      <c r="Y9" s="5" t="n"/>
    </row>
    <row r="10">
      <c r="A10" s="9" t="n">
        <v>2008</v>
      </c>
      <c r="B10" s="13" t="n">
        <v>0.2477875443437191</v>
      </c>
      <c r="C10" s="13" t="n">
        <v>0.4531984346878039</v>
      </c>
      <c r="D10" s="13" t="n">
        <v>0.6095476855480256</v>
      </c>
      <c r="E10" s="13" t="n">
        <v>0.8329442373766976</v>
      </c>
      <c r="F10" s="13" t="n">
        <v>0.8620302429345996</v>
      </c>
      <c r="G10" s="13" t="n">
        <v>0.8885945117430062</v>
      </c>
      <c r="H10" s="13" t="n">
        <v>0.8948074283001159</v>
      </c>
      <c r="I10" s="13" t="n">
        <v>0.9005280383265067</v>
      </c>
      <c r="J10" s="13" t="n">
        <v>0.9111065334075404</v>
      </c>
      <c r="K10" s="13" t="n">
        <v>0.9233193907171467</v>
      </c>
      <c r="L10" s="13" t="n">
        <v>0.9331944070883981</v>
      </c>
      <c r="M10" s="13" t="n">
        <v>0.9350059870888964</v>
      </c>
      <c r="N10" s="13" t="n">
        <v>0.9371744167166768</v>
      </c>
      <c r="O10" s="13" t="n">
        <v>0.938239240243571</v>
      </c>
      <c r="P10" s="13" t="n">
        <v>0.9388542858052641</v>
      </c>
      <c r="Q10" s="13" t="n">
        <v>0.941338590387589</v>
      </c>
      <c r="R10" s="13" t="n">
        <v>0.9661699542668953</v>
      </c>
      <c r="S10" s="5" t="n"/>
      <c r="T10" s="5" t="n"/>
      <c r="U10" s="5" t="n"/>
      <c r="V10" s="5" t="n"/>
      <c r="W10" s="5" t="n"/>
      <c r="X10" s="5" t="n"/>
      <c r="Y10" s="5" t="n"/>
    </row>
    <row r="11">
      <c r="A11" s="9" t="n">
        <v>2009</v>
      </c>
      <c r="B11" s="13" t="n">
        <v>0.1865293107952611</v>
      </c>
      <c r="C11" s="13" t="n">
        <v>0.6054677378624242</v>
      </c>
      <c r="D11" s="13" t="n">
        <v>0.6623264555042568</v>
      </c>
      <c r="E11" s="13" t="n">
        <v>0.6803629845086081</v>
      </c>
      <c r="F11" s="13" t="n">
        <v>0.7300587999612728</v>
      </c>
      <c r="G11" s="13" t="n">
        <v>0.7676640445276094</v>
      </c>
      <c r="H11" s="13" t="n">
        <v>0.7907542272752817</v>
      </c>
      <c r="I11" s="13" t="n">
        <v>0.8306143286025215</v>
      </c>
      <c r="J11" s="13" t="n">
        <v>0.8610847549668256</v>
      </c>
      <c r="K11" s="13" t="n">
        <v>0.8737251433674914</v>
      </c>
      <c r="L11" s="13" t="n">
        <v>0.8819446665521449</v>
      </c>
      <c r="M11" s="13" t="n">
        <v>0.908882484708652</v>
      </c>
      <c r="N11" s="13" t="n">
        <v>0.9540534736008217</v>
      </c>
      <c r="O11" s="13" t="n">
        <v>0.9540534736008217</v>
      </c>
      <c r="P11" s="13" t="n">
        <v>0.9540534736008217</v>
      </c>
      <c r="Q11" s="13" t="n">
        <v>0.9540534736008217</v>
      </c>
      <c r="R11" s="5" t="n"/>
      <c r="S11" s="5" t="n"/>
      <c r="T11" s="5" t="n"/>
      <c r="U11" s="5" t="n"/>
      <c r="V11" s="5" t="n"/>
      <c r="W11" s="5" t="n"/>
      <c r="X11" s="5" t="n"/>
      <c r="Y11" s="5" t="n"/>
    </row>
    <row r="12">
      <c r="A12" s="9" t="n">
        <v>2010</v>
      </c>
      <c r="B12" s="13" t="n">
        <v>0.1801866181889432</v>
      </c>
      <c r="C12" s="13" t="n">
        <v>0.4978702647461279</v>
      </c>
      <c r="D12" s="13" t="n">
        <v>0.676931974015151</v>
      </c>
      <c r="E12" s="13" t="n">
        <v>0.7965032101122659</v>
      </c>
      <c r="F12" s="13" t="n">
        <v>0.8705117895439257</v>
      </c>
      <c r="G12" s="13" t="n">
        <v>0.888670043602127</v>
      </c>
      <c r="H12" s="13" t="n">
        <v>0.9321397536303471</v>
      </c>
      <c r="I12" s="13" t="n">
        <v>0.9337618524216738</v>
      </c>
      <c r="J12" s="13" t="n">
        <v>0.9369568502449585</v>
      </c>
      <c r="K12" s="13" t="n">
        <v>0.937548155029992</v>
      </c>
      <c r="L12" s="13" t="n">
        <v>0.9380233655603752</v>
      </c>
      <c r="M12" s="13" t="n">
        <v>0.9380780211153177</v>
      </c>
      <c r="N12" s="13" t="n">
        <v>0.9386747621760838</v>
      </c>
      <c r="O12" s="13" t="n">
        <v>0.9393585226882544</v>
      </c>
      <c r="P12" s="13" t="n">
        <v>0.9449816520993792</v>
      </c>
      <c r="Q12" s="5" t="n"/>
      <c r="R12" s="5" t="n"/>
      <c r="S12" s="5" t="n"/>
      <c r="T12" s="5" t="n"/>
      <c r="U12" s="5" t="n"/>
      <c r="V12" s="5" t="n"/>
      <c r="W12" s="5" t="n"/>
      <c r="X12" s="5" t="n"/>
      <c r="Y12" s="5" t="n"/>
    </row>
    <row r="13">
      <c r="A13" s="9" t="n">
        <v>2011</v>
      </c>
      <c r="B13" s="13" t="n">
        <v>0.1803192233473249</v>
      </c>
      <c r="C13" s="13" t="n">
        <v>0.4155596160400183</v>
      </c>
      <c r="D13" s="13" t="n">
        <v>0.6478302543491451</v>
      </c>
      <c r="E13" s="13" t="n">
        <v>0.6967677730386439</v>
      </c>
      <c r="F13" s="13" t="n">
        <v>0.7545112782833724</v>
      </c>
      <c r="G13" s="13" t="n">
        <v>0.8215717872788282</v>
      </c>
      <c r="H13" s="13" t="n">
        <v>0.9024761441749316</v>
      </c>
      <c r="I13" s="13" t="n">
        <v>0.9042537081009869</v>
      </c>
      <c r="J13" s="13" t="n">
        <v>0.9083685373252602</v>
      </c>
      <c r="K13" s="13" t="n">
        <v>0.9153327797134826</v>
      </c>
      <c r="L13" s="13" t="n">
        <v>0.9200972737535752</v>
      </c>
      <c r="M13" s="13" t="n">
        <v>0.9296047137426792</v>
      </c>
      <c r="N13" s="13" t="n">
        <v>0.9343945008105196</v>
      </c>
      <c r="O13" s="13" t="n">
        <v>0.9373888031559005</v>
      </c>
      <c r="P13" s="5" t="n"/>
      <c r="Q13" s="5" t="n"/>
      <c r="R13" s="5" t="n"/>
      <c r="S13" s="5" t="n"/>
      <c r="T13" s="5" t="n"/>
      <c r="U13" s="5" t="n"/>
      <c r="V13" s="5" t="n"/>
      <c r="W13" s="5" t="n"/>
      <c r="X13" s="5" t="n"/>
      <c r="Y13" s="5" t="n"/>
    </row>
    <row r="14">
      <c r="A14" s="9" t="n">
        <v>2012</v>
      </c>
      <c r="B14" s="13" t="n">
        <v>0.1776064939442077</v>
      </c>
      <c r="C14" s="13" t="n">
        <v>0.4947325850377957</v>
      </c>
      <c r="D14" s="13" t="n">
        <v>0.623188800036262</v>
      </c>
      <c r="E14" s="13" t="n">
        <v>0.7418684277223284</v>
      </c>
      <c r="F14" s="13" t="n">
        <v>0.7493590761330956</v>
      </c>
      <c r="G14" s="13" t="n">
        <v>0.7542376168230911</v>
      </c>
      <c r="H14" s="13" t="n">
        <v>0.7622102963293647</v>
      </c>
      <c r="I14" s="13" t="n">
        <v>0.7922412121755581</v>
      </c>
      <c r="J14" s="13" t="n">
        <v>0.8172351633585703</v>
      </c>
      <c r="K14" s="13" t="n">
        <v>0.8209774011822437</v>
      </c>
      <c r="L14" s="13" t="n">
        <v>0.8453634380477274</v>
      </c>
      <c r="M14" s="13" t="n">
        <v>0.8931199687407559</v>
      </c>
      <c r="N14" s="13" t="n">
        <v>0.931057608116076</v>
      </c>
      <c r="O14" s="5" t="n"/>
      <c r="P14" s="5" t="n"/>
      <c r="Q14" s="5" t="n"/>
      <c r="R14" s="5" t="n"/>
      <c r="S14" s="5" t="n"/>
      <c r="T14" s="5" t="n"/>
      <c r="U14" s="5" t="n"/>
      <c r="V14" s="5" t="n"/>
      <c r="W14" s="5" t="n"/>
      <c r="X14" s="5" t="n"/>
      <c r="Y14" s="5" t="n"/>
    </row>
    <row r="15">
      <c r="A15" s="9" t="n">
        <v>2013</v>
      </c>
      <c r="B15" s="13" t="n">
        <v>0.260931345069803</v>
      </c>
      <c r="C15" s="13" t="n">
        <v>0.6004325518946322</v>
      </c>
      <c r="D15" s="13" t="n">
        <v>0.7017234312415326</v>
      </c>
      <c r="E15" s="13" t="n">
        <v>0.7698120633377603</v>
      </c>
      <c r="F15" s="13" t="n">
        <v>0.9128619361824454</v>
      </c>
      <c r="G15" s="13" t="n">
        <v>0.9104895347940429</v>
      </c>
      <c r="H15" s="13" t="n">
        <v>0.9109384387002708</v>
      </c>
      <c r="I15" s="13" t="n">
        <v>0.910938438700271</v>
      </c>
      <c r="J15" s="13" t="n">
        <v>0.9126976429283669</v>
      </c>
      <c r="K15" s="13" t="n">
        <v>0.9126976429283669</v>
      </c>
      <c r="L15" s="13" t="n">
        <v>0.9127120918953577</v>
      </c>
      <c r="M15" s="13" t="n">
        <v>0.9127120918953577</v>
      </c>
      <c r="N15" s="5" t="n"/>
      <c r="O15" s="5" t="n"/>
      <c r="P15" s="5" t="n"/>
      <c r="Q15" s="5" t="n"/>
      <c r="R15" s="5" t="n"/>
      <c r="S15" s="5" t="n"/>
      <c r="T15" s="5" t="n"/>
      <c r="U15" s="5" t="n"/>
      <c r="V15" s="5" t="n"/>
      <c r="W15" s="5" t="n"/>
      <c r="X15" s="5" t="n"/>
      <c r="Y15" s="5" t="n"/>
    </row>
    <row r="16">
      <c r="A16" s="9" t="n">
        <v>2014</v>
      </c>
      <c r="B16" s="13" t="n">
        <v>0.2652520800914988</v>
      </c>
      <c r="C16" s="13" t="n">
        <v>0.4756105085993406</v>
      </c>
      <c r="D16" s="13" t="n">
        <v>0.5967821984680582</v>
      </c>
      <c r="E16" s="13" t="n">
        <v>0.7599158207753685</v>
      </c>
      <c r="F16" s="13" t="n">
        <v>0.810821694523759</v>
      </c>
      <c r="G16" s="13" t="n">
        <v>0.824279557368884</v>
      </c>
      <c r="H16" s="13" t="n">
        <v>0.8293166810692373</v>
      </c>
      <c r="I16" s="13" t="n">
        <v>0.831778796902471</v>
      </c>
      <c r="J16" s="13" t="n">
        <v>0.8370413306025565</v>
      </c>
      <c r="K16" s="13" t="n">
        <v>0.8886280761944456</v>
      </c>
      <c r="L16" s="13" t="n">
        <v>0.8952546319959486</v>
      </c>
      <c r="M16" s="5" t="n"/>
      <c r="N16" s="5" t="n"/>
      <c r="O16" s="5" t="n"/>
      <c r="P16" s="5" t="n"/>
      <c r="Q16" s="5" t="n"/>
      <c r="R16" s="5" t="n"/>
      <c r="S16" s="5" t="n"/>
      <c r="T16" s="5" t="n"/>
      <c r="U16" s="5" t="n"/>
      <c r="V16" s="5" t="n"/>
      <c r="W16" s="5" t="n"/>
      <c r="X16" s="5" t="n"/>
      <c r="Y16" s="5" t="n"/>
    </row>
    <row r="17">
      <c r="A17" s="9" t="n">
        <v>2015</v>
      </c>
      <c r="B17" s="13" t="n">
        <v>0.1003715514805561</v>
      </c>
      <c r="C17" s="13" t="n">
        <v>0.2228651059911484</v>
      </c>
      <c r="D17" s="13" t="n">
        <v>0.3746914916020184</v>
      </c>
      <c r="E17" s="13" t="n">
        <v>0.5490193165157993</v>
      </c>
      <c r="F17" s="13" t="n">
        <v>0.5895841987048788</v>
      </c>
      <c r="G17" s="13" t="n">
        <v>0.6564535208786093</v>
      </c>
      <c r="H17" s="13" t="n">
        <v>0.7291716598631436</v>
      </c>
      <c r="I17" s="13" t="n">
        <v>0.7690798870243692</v>
      </c>
      <c r="J17" s="13" t="n">
        <v>0.7801065421442769</v>
      </c>
      <c r="K17" s="13" t="n">
        <v>0.8876210888703473</v>
      </c>
      <c r="L17" s="5" t="n"/>
      <c r="M17" s="5" t="n"/>
      <c r="N17" s="5" t="n"/>
      <c r="O17" s="5" t="n"/>
      <c r="P17" s="5" t="n"/>
      <c r="Q17" s="5" t="n"/>
      <c r="R17" s="5" t="n"/>
      <c r="S17" s="5" t="n"/>
      <c r="T17" s="5" t="n"/>
      <c r="U17" s="5" t="n"/>
      <c r="V17" s="5" t="n"/>
      <c r="W17" s="5" t="n"/>
      <c r="X17" s="5" t="n"/>
      <c r="Y17" s="5" t="n"/>
    </row>
    <row r="18">
      <c r="A18" s="9" t="n">
        <v>2016</v>
      </c>
      <c r="B18" s="13" t="n">
        <v>0.1174645643227075</v>
      </c>
      <c r="C18" s="13" t="n">
        <v>0.3894133235235106</v>
      </c>
      <c r="D18" s="13" t="n">
        <v>0.5504460829708897</v>
      </c>
      <c r="E18" s="13" t="n">
        <v>0.6194917902097765</v>
      </c>
      <c r="F18" s="13" t="n">
        <v>0.6661031294072297</v>
      </c>
      <c r="G18" s="13" t="n">
        <v>0.7342178347673527</v>
      </c>
      <c r="H18" s="13" t="n">
        <v>0.8367115228411013</v>
      </c>
      <c r="I18" s="13" t="n">
        <v>0.8422535227838464</v>
      </c>
      <c r="J18" s="13" t="n">
        <v>0.8515984749655084</v>
      </c>
      <c r="K18" s="5" t="n"/>
      <c r="L18" s="5" t="n"/>
      <c r="M18" s="5" t="n"/>
      <c r="N18" s="5" t="n"/>
      <c r="O18" s="5" t="n"/>
      <c r="P18" s="5" t="n"/>
      <c r="Q18" s="5" t="n"/>
      <c r="R18" s="5" t="n"/>
      <c r="S18" s="5" t="n"/>
      <c r="T18" s="5" t="n"/>
      <c r="U18" s="5" t="n"/>
      <c r="V18" s="5" t="n"/>
      <c r="W18" s="5" t="n"/>
      <c r="X18" s="5" t="n"/>
      <c r="Y18" s="5" t="n"/>
    </row>
    <row r="19">
      <c r="A19" s="9" t="n">
        <v>2017</v>
      </c>
      <c r="B19" s="13" t="n">
        <v>0.2347078389929754</v>
      </c>
      <c r="C19" s="13" t="n">
        <v>0.4077050064656269</v>
      </c>
      <c r="D19" s="13" t="n">
        <v>0.4393130224639359</v>
      </c>
      <c r="E19" s="13" t="n">
        <v>0.4953943380115077</v>
      </c>
      <c r="F19" s="13" t="n">
        <v>0.5386951591233589</v>
      </c>
      <c r="G19" s="13" t="n">
        <v>0.5965992722163581</v>
      </c>
      <c r="H19" s="13" t="n">
        <v>0.7704468148099854</v>
      </c>
      <c r="I19" s="13" t="n">
        <v>0.840669765947298</v>
      </c>
      <c r="J19" s="5" t="n"/>
      <c r="K19" s="5" t="n"/>
      <c r="L19" s="5" t="n"/>
      <c r="M19" s="5" t="n"/>
      <c r="N19" s="5" t="n"/>
      <c r="O19" s="5" t="n"/>
      <c r="P19" s="5" t="n"/>
      <c r="Q19" s="5" t="n"/>
      <c r="R19" s="5" t="n"/>
      <c r="S19" s="5" t="n"/>
      <c r="T19" s="5" t="n"/>
      <c r="U19" s="5" t="n"/>
      <c r="V19" s="5" t="n"/>
      <c r="W19" s="5" t="n"/>
      <c r="X19" s="5" t="n"/>
      <c r="Y19" s="5" t="n"/>
    </row>
    <row r="20">
      <c r="A20" s="9" t="n">
        <v>2018</v>
      </c>
      <c r="B20" s="13" t="n">
        <v>0.1175666797937635</v>
      </c>
      <c r="C20" s="13" t="n">
        <v>0.3380178194742918</v>
      </c>
      <c r="D20" s="13" t="n">
        <v>0.5015953352497907</v>
      </c>
      <c r="E20" s="13" t="n">
        <v>0.6889226529280893</v>
      </c>
      <c r="F20" s="13" t="n">
        <v>0.7285071053191174</v>
      </c>
      <c r="G20" s="13" t="n">
        <v>0.7695014388767401</v>
      </c>
      <c r="H20" s="13" t="n">
        <v>0.8153135176708114</v>
      </c>
      <c r="I20" s="5" t="n"/>
      <c r="J20" s="5" t="n"/>
      <c r="K20" s="5" t="n"/>
      <c r="L20" s="5" t="n"/>
      <c r="M20" s="5" t="n"/>
      <c r="N20" s="5" t="n"/>
      <c r="O20" s="5" t="n"/>
      <c r="P20" s="5" t="n"/>
      <c r="Q20" s="5" t="n"/>
      <c r="R20" s="5" t="n"/>
      <c r="S20" s="5" t="n"/>
      <c r="T20" s="5" t="n"/>
      <c r="U20" s="5" t="n"/>
      <c r="V20" s="5" t="n"/>
      <c r="W20" s="5" t="n"/>
      <c r="X20" s="5" t="n"/>
      <c r="Y20" s="5" t="n"/>
    </row>
    <row r="21">
      <c r="A21" s="9" t="n">
        <v>2019</v>
      </c>
      <c r="B21" s="13" t="n">
        <v>0.08780184182723134</v>
      </c>
      <c r="C21" s="13" t="n">
        <v>0.2348226202856898</v>
      </c>
      <c r="D21" s="13" t="n">
        <v>0.4108682212685051</v>
      </c>
      <c r="E21" s="13" t="n">
        <v>0.4858410710812433</v>
      </c>
      <c r="F21" s="13" t="n">
        <v>0.5981869015949006</v>
      </c>
      <c r="G21" s="13" t="n">
        <v>0.7269848574463665</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3" t="n">
        <v>0.1903099491441837</v>
      </c>
      <c r="C22" s="13" t="n">
        <v>0.4859571971084397</v>
      </c>
      <c r="D22" s="13" t="n">
        <v>0.5735626514472028</v>
      </c>
      <c r="E22" s="13" t="n">
        <v>0.642941120659197</v>
      </c>
      <c r="F22" s="13" t="n">
        <v>0.6496736878129025</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3" t="n">
        <v>0.1669598888195134</v>
      </c>
      <c r="C23" s="13" t="n">
        <v>0.333607261886201</v>
      </c>
      <c r="D23" s="13" t="n">
        <v>0.5559263642221697</v>
      </c>
      <c r="E23" s="13" t="n">
        <v>0.5947214298551827</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3" t="n">
        <v>0.1966525573211377</v>
      </c>
      <c r="C24" s="13" t="n">
        <v>0.4777417222673183</v>
      </c>
      <c r="D24" s="13" t="n">
        <v>0.506188977519569</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3" t="n">
        <v>0.1089848839773322</v>
      </c>
      <c r="C25" s="13" t="n">
        <v>0.3558696401570774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3" t="n">
        <v>0.137709790435467</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3" t="n">
        <v>0.9096045197740114</v>
      </c>
      <c r="C3" s="13" t="n">
        <v>0.9736346516007534</v>
      </c>
      <c r="D3" s="13" t="n">
        <v>0.9755178907721281</v>
      </c>
      <c r="E3" s="13" t="n">
        <v>0.9755178907721281</v>
      </c>
      <c r="F3" s="13" t="n">
        <v>0.9755178907721281</v>
      </c>
      <c r="G3" s="13" t="n">
        <v>0.9755178907721281</v>
      </c>
      <c r="H3" s="13" t="n">
        <v>1</v>
      </c>
      <c r="I3" s="13" t="n">
        <v>1</v>
      </c>
      <c r="J3" s="13" t="n">
        <v>1</v>
      </c>
      <c r="K3" s="13" t="n">
        <v>1</v>
      </c>
      <c r="L3" s="13" t="n">
        <v>1</v>
      </c>
      <c r="M3" s="13" t="n">
        <v>1</v>
      </c>
      <c r="N3" s="13" t="n">
        <v>1</v>
      </c>
      <c r="O3" s="13" t="n">
        <v>1</v>
      </c>
      <c r="P3" s="13" t="n">
        <v>1</v>
      </c>
      <c r="Q3" s="13" t="n">
        <v>1</v>
      </c>
      <c r="R3" s="13" t="n">
        <v>1</v>
      </c>
      <c r="S3" s="13" t="n">
        <v>1</v>
      </c>
      <c r="T3" s="13" t="n">
        <v>1</v>
      </c>
      <c r="U3" s="13" t="n">
        <v>1</v>
      </c>
      <c r="V3" s="13" t="n">
        <v>1</v>
      </c>
      <c r="W3" s="13" t="n">
        <v>1</v>
      </c>
      <c r="X3" s="13" t="n">
        <v>1</v>
      </c>
      <c r="Y3" s="13" t="n">
        <v>1</v>
      </c>
    </row>
    <row r="4">
      <c r="A4" s="9" t="n">
        <v>2002</v>
      </c>
      <c r="B4" s="13" t="n">
        <v>0.9412955465587045</v>
      </c>
      <c r="C4" s="13" t="n">
        <v>0.9736842105263159</v>
      </c>
      <c r="D4" s="13" t="n">
        <v>0.9736842105263159</v>
      </c>
      <c r="E4" s="13" t="n">
        <v>0.9736842105263159</v>
      </c>
      <c r="F4" s="13" t="n">
        <v>0.9736842105263159</v>
      </c>
      <c r="G4" s="13" t="n">
        <v>1</v>
      </c>
      <c r="H4" s="13" t="n">
        <v>1</v>
      </c>
      <c r="I4" s="13" t="n">
        <v>1</v>
      </c>
      <c r="J4" s="13" t="n">
        <v>1</v>
      </c>
      <c r="K4" s="13" t="n">
        <v>1</v>
      </c>
      <c r="L4" s="13" t="n">
        <v>1</v>
      </c>
      <c r="M4" s="13" t="n">
        <v>1</v>
      </c>
      <c r="N4" s="13" t="n">
        <v>1</v>
      </c>
      <c r="O4" s="13" t="n">
        <v>1</v>
      </c>
      <c r="P4" s="13" t="n">
        <v>1</v>
      </c>
      <c r="Q4" s="13" t="n">
        <v>1</v>
      </c>
      <c r="R4" s="13" t="n">
        <v>1</v>
      </c>
      <c r="S4" s="13" t="n">
        <v>1</v>
      </c>
      <c r="T4" s="13" t="n">
        <v>1</v>
      </c>
      <c r="U4" s="13" t="n">
        <v>1</v>
      </c>
      <c r="V4" s="13" t="n">
        <v>1</v>
      </c>
      <c r="W4" s="13" t="n">
        <v>1</v>
      </c>
      <c r="X4" s="13" t="n">
        <v>1</v>
      </c>
      <c r="Y4" s="5" t="n"/>
    </row>
    <row r="5">
      <c r="A5" s="9" t="n">
        <v>2003</v>
      </c>
      <c r="B5" s="13" t="n">
        <v>0.9688995215311005</v>
      </c>
      <c r="C5" s="13" t="n">
        <v>1.002392344497608</v>
      </c>
      <c r="D5" s="13" t="n">
        <v>1.002392344497608</v>
      </c>
      <c r="E5" s="13" t="n">
        <v>1.002392344497608</v>
      </c>
      <c r="F5" s="13" t="n">
        <v>0.9976076555023925</v>
      </c>
      <c r="G5" s="13" t="n">
        <v>0.9976076555023925</v>
      </c>
      <c r="H5" s="13" t="n">
        <v>1</v>
      </c>
      <c r="I5" s="13" t="n">
        <v>1</v>
      </c>
      <c r="J5" s="13" t="n">
        <v>1</v>
      </c>
      <c r="K5" s="13" t="n">
        <v>1</v>
      </c>
      <c r="L5" s="13" t="n">
        <v>1</v>
      </c>
      <c r="M5" s="13" t="n">
        <v>1</v>
      </c>
      <c r="N5" s="13" t="n">
        <v>1</v>
      </c>
      <c r="O5" s="13" t="n">
        <v>1</v>
      </c>
      <c r="P5" s="13" t="n">
        <v>1</v>
      </c>
      <c r="Q5" s="13" t="n">
        <v>1</v>
      </c>
      <c r="R5" s="13" t="n">
        <v>1</v>
      </c>
      <c r="S5" s="13" t="n">
        <v>1</v>
      </c>
      <c r="T5" s="13" t="n">
        <v>1</v>
      </c>
      <c r="U5" s="13" t="n">
        <v>1</v>
      </c>
      <c r="V5" s="13" t="n">
        <v>1</v>
      </c>
      <c r="W5" s="13" t="n">
        <v>1</v>
      </c>
      <c r="X5" s="5" t="n"/>
      <c r="Y5" s="5" t="n"/>
    </row>
    <row r="6">
      <c r="A6" s="9" t="n">
        <v>2004</v>
      </c>
      <c r="B6" s="13" t="n">
        <v>0.9383983572895278</v>
      </c>
      <c r="C6" s="13" t="n">
        <v>0.9938398357289527</v>
      </c>
      <c r="D6" s="13" t="n">
        <v>0.9938398357289527</v>
      </c>
      <c r="E6" s="13" t="n">
        <v>0.9979466119096508</v>
      </c>
      <c r="F6" s="13" t="n">
        <v>1</v>
      </c>
      <c r="G6" s="13" t="n">
        <v>1</v>
      </c>
      <c r="H6" s="13" t="n">
        <v>1</v>
      </c>
      <c r="I6" s="13" t="n">
        <v>1</v>
      </c>
      <c r="J6" s="13" t="n">
        <v>1</v>
      </c>
      <c r="K6" s="13" t="n">
        <v>1</v>
      </c>
      <c r="L6" s="13" t="n">
        <v>1</v>
      </c>
      <c r="M6" s="13" t="n">
        <v>1</v>
      </c>
      <c r="N6" s="13" t="n">
        <v>1</v>
      </c>
      <c r="O6" s="13" t="n">
        <v>1</v>
      </c>
      <c r="P6" s="13" t="n">
        <v>1</v>
      </c>
      <c r="Q6" s="13" t="n">
        <v>1</v>
      </c>
      <c r="R6" s="13" t="n">
        <v>1</v>
      </c>
      <c r="S6" s="13" t="n">
        <v>1</v>
      </c>
      <c r="T6" s="13" t="n">
        <v>1</v>
      </c>
      <c r="U6" s="13" t="n">
        <v>1</v>
      </c>
      <c r="V6" s="13" t="n">
        <v>1</v>
      </c>
      <c r="W6" s="5" t="n"/>
      <c r="X6" s="5" t="n"/>
      <c r="Y6" s="5" t="n"/>
    </row>
    <row r="7">
      <c r="A7" s="9" t="n">
        <v>2005</v>
      </c>
      <c r="B7" s="13" t="n">
        <v>0.977366255144033</v>
      </c>
      <c r="C7" s="13" t="n">
        <v>1</v>
      </c>
      <c r="D7" s="13" t="n">
        <v>1.002057613168724</v>
      </c>
      <c r="E7" s="13" t="n">
        <v>1</v>
      </c>
      <c r="F7" s="13" t="n">
        <v>1</v>
      </c>
      <c r="G7" s="13" t="n">
        <v>1</v>
      </c>
      <c r="H7" s="13" t="n">
        <v>1</v>
      </c>
      <c r="I7" s="13" t="n">
        <v>1</v>
      </c>
      <c r="J7" s="13" t="n">
        <v>1</v>
      </c>
      <c r="K7" s="13" t="n">
        <v>1</v>
      </c>
      <c r="L7" s="13" t="n">
        <v>1</v>
      </c>
      <c r="M7" s="13" t="n">
        <v>1</v>
      </c>
      <c r="N7" s="13" t="n">
        <v>1</v>
      </c>
      <c r="O7" s="13" t="n">
        <v>1</v>
      </c>
      <c r="P7" s="13" t="n">
        <v>1</v>
      </c>
      <c r="Q7" s="13" t="n">
        <v>1</v>
      </c>
      <c r="R7" s="13" t="n">
        <v>1</v>
      </c>
      <c r="S7" s="13" t="n">
        <v>1</v>
      </c>
      <c r="T7" s="13" t="n">
        <v>1</v>
      </c>
      <c r="U7" s="13" t="n">
        <v>1</v>
      </c>
      <c r="V7" s="5" t="n"/>
      <c r="W7" s="5" t="n"/>
      <c r="X7" s="5" t="n"/>
      <c r="Y7" s="5" t="n"/>
    </row>
    <row r="8">
      <c r="A8" s="9" t="n">
        <v>2006</v>
      </c>
      <c r="B8" s="13" t="n">
        <v>0.9628647214854112</v>
      </c>
      <c r="C8" s="13" t="n">
        <v>1</v>
      </c>
      <c r="D8" s="13" t="n">
        <v>1</v>
      </c>
      <c r="E8" s="13" t="n">
        <v>1</v>
      </c>
      <c r="F8" s="13" t="n">
        <v>1</v>
      </c>
      <c r="G8" s="13" t="n">
        <v>1</v>
      </c>
      <c r="H8" s="13" t="n">
        <v>1</v>
      </c>
      <c r="I8" s="13" t="n">
        <v>1</v>
      </c>
      <c r="J8" s="13" t="n">
        <v>1</v>
      </c>
      <c r="K8" s="13" t="n">
        <v>1</v>
      </c>
      <c r="L8" s="13" t="n">
        <v>1</v>
      </c>
      <c r="M8" s="13" t="n">
        <v>1</v>
      </c>
      <c r="N8" s="13" t="n">
        <v>1</v>
      </c>
      <c r="O8" s="13" t="n">
        <v>1</v>
      </c>
      <c r="P8" s="13" t="n">
        <v>1</v>
      </c>
      <c r="Q8" s="13" t="n">
        <v>1</v>
      </c>
      <c r="R8" s="13" t="n">
        <v>1</v>
      </c>
      <c r="S8" s="13" t="n">
        <v>1</v>
      </c>
      <c r="T8" s="13" t="n">
        <v>1</v>
      </c>
      <c r="U8" s="5" t="n"/>
      <c r="V8" s="5" t="n"/>
      <c r="W8" s="5" t="n"/>
      <c r="X8" s="5" t="n"/>
      <c r="Y8" s="5" t="n"/>
    </row>
    <row r="9">
      <c r="A9" s="9" t="n">
        <v>2007</v>
      </c>
      <c r="B9" s="13" t="n">
        <v>0.9584487534626039</v>
      </c>
      <c r="C9" s="13" t="n">
        <v>1</v>
      </c>
      <c r="D9" s="13" t="n">
        <v>1</v>
      </c>
      <c r="E9" s="13" t="n">
        <v>1</v>
      </c>
      <c r="F9" s="13" t="n">
        <v>1</v>
      </c>
      <c r="G9" s="13" t="n">
        <v>1</v>
      </c>
      <c r="H9" s="13" t="n">
        <v>1</v>
      </c>
      <c r="I9" s="13" t="n">
        <v>1</v>
      </c>
      <c r="J9" s="13" t="n">
        <v>1</v>
      </c>
      <c r="K9" s="13" t="n">
        <v>1</v>
      </c>
      <c r="L9" s="13" t="n">
        <v>1</v>
      </c>
      <c r="M9" s="13" t="n">
        <v>1</v>
      </c>
      <c r="N9" s="13" t="n">
        <v>1</v>
      </c>
      <c r="O9" s="13" t="n">
        <v>1</v>
      </c>
      <c r="P9" s="13" t="n">
        <v>1</v>
      </c>
      <c r="Q9" s="13" t="n">
        <v>1</v>
      </c>
      <c r="R9" s="13" t="n">
        <v>1</v>
      </c>
      <c r="S9" s="13" t="n">
        <v>1</v>
      </c>
      <c r="T9" s="5" t="n"/>
      <c r="U9" s="5" t="n"/>
      <c r="V9" s="5" t="n"/>
      <c r="W9" s="5" t="n"/>
      <c r="X9" s="5" t="n"/>
      <c r="Y9" s="5" t="n"/>
    </row>
    <row r="10">
      <c r="A10" s="9" t="n">
        <v>2008</v>
      </c>
      <c r="B10" s="13" t="n">
        <v>0.9357429718875503</v>
      </c>
      <c r="C10" s="13" t="n">
        <v>0.9959839357429719</v>
      </c>
      <c r="D10" s="13" t="n">
        <v>1</v>
      </c>
      <c r="E10" s="13" t="n">
        <v>1</v>
      </c>
      <c r="F10" s="13" t="n">
        <v>1</v>
      </c>
      <c r="G10" s="13" t="n">
        <v>1</v>
      </c>
      <c r="H10" s="13" t="n">
        <v>1</v>
      </c>
      <c r="I10" s="13" t="n">
        <v>1</v>
      </c>
      <c r="J10" s="13" t="n">
        <v>1</v>
      </c>
      <c r="K10" s="13" t="n">
        <v>1</v>
      </c>
      <c r="L10" s="13" t="n">
        <v>1</v>
      </c>
      <c r="M10" s="13" t="n">
        <v>1</v>
      </c>
      <c r="N10" s="13" t="n">
        <v>1</v>
      </c>
      <c r="O10" s="13" t="n">
        <v>1</v>
      </c>
      <c r="P10" s="13" t="n">
        <v>1</v>
      </c>
      <c r="Q10" s="13" t="n">
        <v>1</v>
      </c>
      <c r="R10" s="13" t="n">
        <v>1</v>
      </c>
      <c r="S10" s="5" t="n"/>
      <c r="T10" s="5" t="n"/>
      <c r="U10" s="5" t="n"/>
      <c r="V10" s="5" t="n"/>
      <c r="W10" s="5" t="n"/>
      <c r="X10" s="5" t="n"/>
      <c r="Y10" s="5" t="n"/>
    </row>
    <row r="11">
      <c r="A11" s="9" t="n">
        <v>2009</v>
      </c>
      <c r="B11" s="13" t="n">
        <v>0.9508196721311476</v>
      </c>
      <c r="C11" s="13" t="n">
        <v>0.9959016393442623</v>
      </c>
      <c r="D11" s="13" t="n">
        <v>1</v>
      </c>
      <c r="E11" s="13" t="n">
        <v>1</v>
      </c>
      <c r="F11" s="13" t="n">
        <v>1</v>
      </c>
      <c r="G11" s="13" t="n">
        <v>1</v>
      </c>
      <c r="H11" s="13" t="n">
        <v>1</v>
      </c>
      <c r="I11" s="13" t="n">
        <v>1</v>
      </c>
      <c r="J11" s="13" t="n">
        <v>1</v>
      </c>
      <c r="K11" s="13" t="n">
        <v>1</v>
      </c>
      <c r="L11" s="13" t="n">
        <v>1</v>
      </c>
      <c r="M11" s="13" t="n">
        <v>1</v>
      </c>
      <c r="N11" s="13" t="n">
        <v>1</v>
      </c>
      <c r="O11" s="13" t="n">
        <v>1</v>
      </c>
      <c r="P11" s="13" t="n">
        <v>1</v>
      </c>
      <c r="Q11" s="13" t="n">
        <v>1</v>
      </c>
      <c r="R11" s="5" t="n"/>
      <c r="S11" s="5" t="n"/>
      <c r="T11" s="5" t="n"/>
      <c r="U11" s="5" t="n"/>
      <c r="V11" s="5" t="n"/>
      <c r="W11" s="5" t="n"/>
      <c r="X11" s="5" t="n"/>
      <c r="Y11" s="5" t="n"/>
    </row>
    <row r="12">
      <c r="A12" s="9" t="n">
        <v>2010</v>
      </c>
      <c r="B12" s="13" t="n">
        <v>0.9563106796116505</v>
      </c>
      <c r="C12" s="13" t="n">
        <v>1</v>
      </c>
      <c r="D12" s="13" t="n">
        <v>1</v>
      </c>
      <c r="E12" s="13" t="n">
        <v>1</v>
      </c>
      <c r="F12" s="13" t="n">
        <v>1</v>
      </c>
      <c r="G12" s="13" t="n">
        <v>1</v>
      </c>
      <c r="H12" s="13" t="n">
        <v>1</v>
      </c>
      <c r="I12" s="13" t="n">
        <v>1</v>
      </c>
      <c r="J12" s="13" t="n">
        <v>1</v>
      </c>
      <c r="K12" s="13" t="n">
        <v>1</v>
      </c>
      <c r="L12" s="13" t="n">
        <v>1</v>
      </c>
      <c r="M12" s="13" t="n">
        <v>1</v>
      </c>
      <c r="N12" s="13" t="n">
        <v>1</v>
      </c>
      <c r="O12" s="13" t="n">
        <v>1</v>
      </c>
      <c r="P12" s="13" t="n">
        <v>1</v>
      </c>
      <c r="Q12" s="5" t="n"/>
      <c r="R12" s="5" t="n"/>
      <c r="S12" s="5" t="n"/>
      <c r="T12" s="5" t="n"/>
      <c r="U12" s="5" t="n"/>
      <c r="V12" s="5" t="n"/>
      <c r="W12" s="5" t="n"/>
      <c r="X12" s="5" t="n"/>
      <c r="Y12" s="5" t="n"/>
    </row>
    <row r="13">
      <c r="A13" s="9" t="n">
        <v>2011</v>
      </c>
      <c r="B13" s="13" t="n">
        <v>1</v>
      </c>
      <c r="C13" s="13" t="n">
        <v>1</v>
      </c>
      <c r="D13" s="13" t="n">
        <v>1</v>
      </c>
      <c r="E13" s="13" t="n">
        <v>1</v>
      </c>
      <c r="F13" s="13" t="n">
        <v>1</v>
      </c>
      <c r="G13" s="13" t="n">
        <v>1</v>
      </c>
      <c r="H13" s="13" t="n">
        <v>1</v>
      </c>
      <c r="I13" s="13" t="n">
        <v>1</v>
      </c>
      <c r="J13" s="13" t="n">
        <v>1</v>
      </c>
      <c r="K13" s="13" t="n">
        <v>1</v>
      </c>
      <c r="L13" s="13" t="n">
        <v>1</v>
      </c>
      <c r="M13" s="13" t="n">
        <v>1</v>
      </c>
      <c r="N13" s="13" t="n">
        <v>1</v>
      </c>
      <c r="O13" s="13" t="n">
        <v>1</v>
      </c>
      <c r="P13" s="5" t="n"/>
      <c r="Q13" s="5" t="n"/>
      <c r="R13" s="5" t="n"/>
      <c r="S13" s="5" t="n"/>
      <c r="T13" s="5" t="n"/>
      <c r="U13" s="5" t="n"/>
      <c r="V13" s="5" t="n"/>
      <c r="W13" s="5" t="n"/>
      <c r="X13" s="5" t="n"/>
      <c r="Y13" s="5" t="n"/>
    </row>
    <row r="14">
      <c r="A14" s="9" t="n">
        <v>2012</v>
      </c>
      <c r="B14" s="13" t="n">
        <v>0.9393939393939394</v>
      </c>
      <c r="C14" s="13" t="n">
        <v>1</v>
      </c>
      <c r="D14" s="13" t="n">
        <v>1</v>
      </c>
      <c r="E14" s="13" t="n">
        <v>1</v>
      </c>
      <c r="F14" s="13" t="n">
        <v>1</v>
      </c>
      <c r="G14" s="13" t="n">
        <v>1</v>
      </c>
      <c r="H14" s="13" t="n">
        <v>1</v>
      </c>
      <c r="I14" s="13" t="n">
        <v>1</v>
      </c>
      <c r="J14" s="13" t="n">
        <v>1</v>
      </c>
      <c r="K14" s="13" t="n">
        <v>1</v>
      </c>
      <c r="L14" s="13" t="n">
        <v>1</v>
      </c>
      <c r="M14" s="13" t="n">
        <v>1</v>
      </c>
      <c r="N14" s="13" t="n">
        <v>1</v>
      </c>
      <c r="O14" s="5" t="n"/>
      <c r="P14" s="5" t="n"/>
      <c r="Q14" s="5" t="n"/>
      <c r="R14" s="5" t="n"/>
      <c r="S14" s="5" t="n"/>
      <c r="T14" s="5" t="n"/>
      <c r="U14" s="5" t="n"/>
      <c r="V14" s="5" t="n"/>
      <c r="W14" s="5" t="n"/>
      <c r="X14" s="5" t="n"/>
      <c r="Y14" s="5" t="n"/>
    </row>
    <row r="15">
      <c r="A15" s="9" t="n">
        <v>2013</v>
      </c>
      <c r="B15" s="13" t="n">
        <v>0.9683257918552037</v>
      </c>
      <c r="C15" s="13" t="n">
        <v>0.995475113122172</v>
      </c>
      <c r="D15" s="13" t="n">
        <v>0.995475113122172</v>
      </c>
      <c r="E15" s="13" t="n">
        <v>1</v>
      </c>
      <c r="F15" s="13" t="n">
        <v>1</v>
      </c>
      <c r="G15" s="13" t="n">
        <v>1</v>
      </c>
      <c r="H15" s="13" t="n">
        <v>1</v>
      </c>
      <c r="I15" s="13" t="n">
        <v>1</v>
      </c>
      <c r="J15" s="13" t="n">
        <v>1</v>
      </c>
      <c r="K15" s="13" t="n">
        <v>1</v>
      </c>
      <c r="L15" s="13" t="n">
        <v>1</v>
      </c>
      <c r="M15" s="13" t="n">
        <v>1</v>
      </c>
      <c r="N15" s="5" t="n"/>
      <c r="O15" s="5" t="n"/>
      <c r="P15" s="5" t="n"/>
      <c r="Q15" s="5" t="n"/>
      <c r="R15" s="5" t="n"/>
      <c r="S15" s="5" t="n"/>
      <c r="T15" s="5" t="n"/>
      <c r="U15" s="5" t="n"/>
      <c r="V15" s="5" t="n"/>
      <c r="W15" s="5" t="n"/>
      <c r="X15" s="5" t="n"/>
      <c r="Y15" s="5" t="n"/>
    </row>
    <row r="16">
      <c r="A16" s="9" t="n">
        <v>2014</v>
      </c>
      <c r="B16" s="13" t="n">
        <v>0.9536231884057972</v>
      </c>
      <c r="C16" s="13" t="n">
        <v>0.9971014492753624</v>
      </c>
      <c r="D16" s="13" t="n">
        <v>1</v>
      </c>
      <c r="E16" s="13" t="n">
        <v>1</v>
      </c>
      <c r="F16" s="13" t="n">
        <v>1</v>
      </c>
      <c r="G16" s="13" t="n">
        <v>1</v>
      </c>
      <c r="H16" s="13" t="n">
        <v>1</v>
      </c>
      <c r="I16" s="13" t="n">
        <v>1</v>
      </c>
      <c r="J16" s="13" t="n">
        <v>1</v>
      </c>
      <c r="K16" s="13" t="n">
        <v>1</v>
      </c>
      <c r="L16" s="13" t="n">
        <v>1</v>
      </c>
      <c r="M16" s="5" t="n"/>
      <c r="N16" s="5" t="n"/>
      <c r="O16" s="5" t="n"/>
      <c r="P16" s="5" t="n"/>
      <c r="Q16" s="5" t="n"/>
      <c r="R16" s="5" t="n"/>
      <c r="S16" s="5" t="n"/>
      <c r="T16" s="5" t="n"/>
      <c r="U16" s="5" t="n"/>
      <c r="V16" s="5" t="n"/>
      <c r="W16" s="5" t="n"/>
      <c r="X16" s="5" t="n"/>
      <c r="Y16" s="5" t="n"/>
    </row>
    <row r="17">
      <c r="A17" s="9" t="n">
        <v>2015</v>
      </c>
      <c r="B17" s="13" t="n">
        <v>0.9644268774703559</v>
      </c>
      <c r="C17" s="13" t="n">
        <v>0.9960474308300398</v>
      </c>
      <c r="D17" s="13" t="n">
        <v>1.011857707509882</v>
      </c>
      <c r="E17" s="13" t="n">
        <v>1.011857707509882</v>
      </c>
      <c r="F17" s="13" t="n">
        <v>1.011857707509882</v>
      </c>
      <c r="G17" s="13" t="n">
        <v>1.011857707509882</v>
      </c>
      <c r="H17" s="13" t="n">
        <v>1.011857707509882</v>
      </c>
      <c r="I17" s="13" t="n">
        <v>1.011857707509882</v>
      </c>
      <c r="J17" s="13" t="n">
        <v>1.011857707509882</v>
      </c>
      <c r="K17" s="13" t="n">
        <v>1</v>
      </c>
      <c r="L17" s="5" t="n"/>
      <c r="M17" s="5" t="n"/>
      <c r="N17" s="5" t="n"/>
      <c r="O17" s="5" t="n"/>
      <c r="P17" s="5" t="n"/>
      <c r="Q17" s="5" t="n"/>
      <c r="R17" s="5" t="n"/>
      <c r="S17" s="5" t="n"/>
      <c r="T17" s="5" t="n"/>
      <c r="U17" s="5" t="n"/>
      <c r="V17" s="5" t="n"/>
      <c r="W17" s="5" t="n"/>
      <c r="X17" s="5" t="n"/>
      <c r="Y17" s="5" t="n"/>
    </row>
    <row r="18">
      <c r="A18" s="9" t="n">
        <v>2016</v>
      </c>
      <c r="B18" s="13" t="n">
        <v>0.88717613156686</v>
      </c>
      <c r="C18" s="13" t="n">
        <v>0.9582856688298527</v>
      </c>
      <c r="D18" s="13" t="n">
        <v>1.002305858564086</v>
      </c>
      <c r="E18" s="13" t="n">
        <v>1.002305858564086</v>
      </c>
      <c r="F18" s="13" t="n">
        <v>1.002305858564086</v>
      </c>
      <c r="G18" s="13" t="n">
        <v>1.002305858564086</v>
      </c>
      <c r="H18" s="13" t="n">
        <v>1.002305858564086</v>
      </c>
      <c r="I18" s="13" t="n">
        <v>1.002305858564086</v>
      </c>
      <c r="J18" s="13" t="n">
        <v>1.002305858564086</v>
      </c>
      <c r="K18" s="5" t="n"/>
      <c r="L18" s="5" t="n"/>
      <c r="M18" s="5" t="n"/>
      <c r="N18" s="5" t="n"/>
      <c r="O18" s="5" t="n"/>
      <c r="P18" s="5" t="n"/>
      <c r="Q18" s="5" t="n"/>
      <c r="R18" s="5" t="n"/>
      <c r="S18" s="5" t="n"/>
      <c r="T18" s="5" t="n"/>
      <c r="U18" s="5" t="n"/>
      <c r="V18" s="5" t="n"/>
      <c r="W18" s="5" t="n"/>
      <c r="X18" s="5" t="n"/>
      <c r="Y18" s="5" t="n"/>
    </row>
    <row r="19">
      <c r="A19" s="9" t="n">
        <v>2017</v>
      </c>
      <c r="B19" s="13" t="n">
        <v>0.8914112471840023</v>
      </c>
      <c r="C19" s="13" t="n">
        <v>1.002304512383926</v>
      </c>
      <c r="D19" s="13" t="n">
        <v>1.006569637968538</v>
      </c>
      <c r="E19" s="13" t="n">
        <v>1.010834763553151</v>
      </c>
      <c r="F19" s="13" t="n">
        <v>1.006569637968538</v>
      </c>
      <c r="G19" s="13" t="n">
        <v>1.006569637968538</v>
      </c>
      <c r="H19" s="13" t="n">
        <v>1.006569637968538</v>
      </c>
      <c r="I19" s="13" t="n">
        <v>1.002304512383926</v>
      </c>
      <c r="J19" s="5" t="n"/>
      <c r="K19" s="5" t="n"/>
      <c r="L19" s="5" t="n"/>
      <c r="M19" s="5" t="n"/>
      <c r="N19" s="5" t="n"/>
      <c r="O19" s="5" t="n"/>
      <c r="P19" s="5" t="n"/>
      <c r="Q19" s="5" t="n"/>
      <c r="R19" s="5" t="n"/>
      <c r="S19" s="5" t="n"/>
      <c r="T19" s="5" t="n"/>
      <c r="U19" s="5" t="n"/>
      <c r="V19" s="5" t="n"/>
      <c r="W19" s="5" t="n"/>
      <c r="X19" s="5" t="n"/>
      <c r="Y19" s="5" t="n"/>
    </row>
    <row r="20">
      <c r="A20" s="9" t="n">
        <v>2018</v>
      </c>
      <c r="B20" s="13" t="n">
        <v>0.8893962102723348</v>
      </c>
      <c r="C20" s="13" t="n">
        <v>0.9990477978401568</v>
      </c>
      <c r="D20" s="13" t="n">
        <v>0.9990477978401568</v>
      </c>
      <c r="E20" s="13" t="n">
        <v>0.9990477978401568</v>
      </c>
      <c r="F20" s="13" t="n">
        <v>1.003108967750076</v>
      </c>
      <c r="G20" s="13" t="n">
        <v>1.003108967750076</v>
      </c>
      <c r="H20" s="13" t="n">
        <v>1.003108967750076</v>
      </c>
      <c r="I20" s="5" t="n"/>
      <c r="J20" s="5" t="n"/>
      <c r="K20" s="5" t="n"/>
      <c r="L20" s="5" t="n"/>
      <c r="M20" s="5" t="n"/>
      <c r="N20" s="5" t="n"/>
      <c r="O20" s="5" t="n"/>
      <c r="P20" s="5" t="n"/>
      <c r="Q20" s="5" t="n"/>
      <c r="R20" s="5" t="n"/>
      <c r="S20" s="5" t="n"/>
      <c r="T20" s="5" t="n"/>
      <c r="U20" s="5" t="n"/>
      <c r="V20" s="5" t="n"/>
      <c r="W20" s="5" t="n"/>
      <c r="X20" s="5" t="n"/>
      <c r="Y20" s="5" t="n"/>
    </row>
    <row r="21">
      <c r="A21" s="9" t="n">
        <v>2019</v>
      </c>
      <c r="B21" s="13" t="n">
        <v>0.8809572964118215</v>
      </c>
      <c r="C21" s="13" t="n">
        <v>1.006808338756368</v>
      </c>
      <c r="D21" s="13" t="n">
        <v>1.006808338756368</v>
      </c>
      <c r="E21" s="13" t="n">
        <v>1.006808338756368</v>
      </c>
      <c r="F21" s="13" t="n">
        <v>1.006808338756368</v>
      </c>
      <c r="G21" s="13" t="n">
        <v>1.00310683751094</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3" t="n">
        <v>0.9466540335679481</v>
      </c>
      <c r="C22" s="13" t="n">
        <v>1.00381050351922</v>
      </c>
      <c r="D22" s="13" t="n">
        <v>1.00381050351922</v>
      </c>
      <c r="E22" s="13" t="n">
        <v>1.00381050351922</v>
      </c>
      <c r="F22" s="13" t="n">
        <v>1.00381050351922</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3" t="n">
        <v>0.8793371631654536</v>
      </c>
      <c r="C23" s="13" t="n">
        <v>1.003809546992527</v>
      </c>
      <c r="D23" s="13" t="n">
        <v>1.003809546992527</v>
      </c>
      <c r="E23" s="13" t="n">
        <v>1.003809546992527</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3" t="n">
        <v>0.8787421595170432</v>
      </c>
      <c r="C24" s="13" t="n">
        <v>1.003008727529554</v>
      </c>
      <c r="D24" s="13" t="n">
        <v>1.003008727529554</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3" t="n">
        <v>0.8988006436052424</v>
      </c>
      <c r="C25" s="13" t="n">
        <v>1.003009413878314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3" t="n">
        <v>0.8971459811040401</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3" t="n">
        <v>2486827.9408</v>
      </c>
      <c r="C3" s="13" t="n">
        <v>1499755.2644</v>
      </c>
      <c r="D3" s="13" t="n">
        <v>1151871.7556</v>
      </c>
      <c r="E3" s="13" t="n">
        <v>960718.4583999997</v>
      </c>
      <c r="F3" s="13" t="n">
        <v>803490.7575999997</v>
      </c>
      <c r="G3" s="13" t="n">
        <v>651171.4541559997</v>
      </c>
      <c r="H3" s="13" t="n">
        <v>656826.0457239994</v>
      </c>
      <c r="I3" s="13" t="n">
        <v>634468.6831359994</v>
      </c>
      <c r="J3" s="13" t="n">
        <v>616852.0231359997</v>
      </c>
      <c r="K3" s="13" t="n">
        <v>596325.1304919999</v>
      </c>
      <c r="L3" s="13" t="n">
        <v>543623.2360039996</v>
      </c>
      <c r="M3" s="13" t="n">
        <v>491398.0997999995</v>
      </c>
      <c r="N3" s="13" t="n">
        <v>494168.5999999996</v>
      </c>
      <c r="O3" s="13" t="n">
        <v>435616.9846919999</v>
      </c>
      <c r="P3" s="13" t="n">
        <v>390991.7151999995</v>
      </c>
      <c r="Q3" s="13" t="n">
        <v>249382.7999999998</v>
      </c>
      <c r="R3" s="13" t="n">
        <v>183121.7251999998</v>
      </c>
      <c r="S3" s="13" t="n">
        <v>94360.4411119991</v>
      </c>
      <c r="T3" s="13" t="n">
        <v>41163.22156799957</v>
      </c>
      <c r="U3" s="13" t="n">
        <v>41163.22156799957</v>
      </c>
      <c r="V3" s="13" t="n">
        <v>-29435.37843200006</v>
      </c>
      <c r="W3" s="13" t="n">
        <v>-72322.37843200006</v>
      </c>
      <c r="X3" s="13" t="n">
        <v>-72322.37843200006</v>
      </c>
      <c r="Y3" s="13" t="n">
        <v>-109614.0896880003</v>
      </c>
    </row>
    <row r="4">
      <c r="A4" s="9" t="n">
        <v>2002</v>
      </c>
      <c r="B4" s="13" t="n">
        <v>1288998.4584</v>
      </c>
      <c r="C4" s="13" t="n">
        <v>889629.436</v>
      </c>
      <c r="D4" s="13" t="n">
        <v>874014.6092000001</v>
      </c>
      <c r="E4" s="13" t="n">
        <v>612592.612</v>
      </c>
      <c r="F4" s="13" t="n">
        <v>591440.94154</v>
      </c>
      <c r="G4" s="13" t="n">
        <v>489543.527704</v>
      </c>
      <c r="H4" s="13" t="n">
        <v>456735.6588960001</v>
      </c>
      <c r="I4" s="13" t="n">
        <v>456370.1956760001</v>
      </c>
      <c r="J4" s="13" t="n">
        <v>417797.390348</v>
      </c>
      <c r="K4" s="13" t="n">
        <v>400460.8154479999</v>
      </c>
      <c r="L4" s="13" t="n">
        <v>381834.727428</v>
      </c>
      <c r="M4" s="13" t="n">
        <v>319595.226</v>
      </c>
      <c r="N4" s="13" t="n">
        <v>317079.3294239999</v>
      </c>
      <c r="O4" s="13" t="n">
        <v>240889.0035999999</v>
      </c>
      <c r="P4" s="13" t="n">
        <v>188797.7936</v>
      </c>
      <c r="Q4" s="13" t="n">
        <v>158952.4003999999</v>
      </c>
      <c r="R4" s="13" t="n">
        <v>50092.169948</v>
      </c>
      <c r="S4" s="13" t="n">
        <v>47631.18192799995</v>
      </c>
      <c r="T4" s="13" t="n">
        <v>47631.18192799995</v>
      </c>
      <c r="U4" s="13" t="n">
        <v>-44255.83868000004</v>
      </c>
      <c r="V4" s="13" t="n">
        <v>-30219.71534000011</v>
      </c>
      <c r="W4" s="13" t="n">
        <v>-110896.8263199991</v>
      </c>
      <c r="X4" s="13" t="n">
        <v>-110896.8263199991</v>
      </c>
      <c r="Y4" s="5" t="n"/>
    </row>
    <row r="5">
      <c r="A5" s="9" t="n">
        <v>2003</v>
      </c>
      <c r="B5" s="13" t="n">
        <v>796243.4804</v>
      </c>
      <c r="C5" s="13" t="n">
        <v>346913.0824</v>
      </c>
      <c r="D5" s="13" t="n">
        <v>226676.4087999999</v>
      </c>
      <c r="E5" s="13" t="n">
        <v>-71324.33297200012</v>
      </c>
      <c r="F5" s="13" t="n">
        <v>101973.7997239998</v>
      </c>
      <c r="G5" s="13" t="n">
        <v>-13617.51238800003</v>
      </c>
      <c r="H5" s="13" t="n">
        <v>-8588.661943999818</v>
      </c>
      <c r="I5" s="13" t="n">
        <v>5106.423972000135</v>
      </c>
      <c r="J5" s="13" t="n">
        <v>8466.917331999866</v>
      </c>
      <c r="K5" s="13" t="n">
        <v>4521.973131999839</v>
      </c>
      <c r="L5" s="13" t="n">
        <v>8283.928399999859</v>
      </c>
      <c r="M5" s="13" t="n">
        <v>22187.61668400001</v>
      </c>
      <c r="N5" s="13" t="n">
        <v>31276.63879999984</v>
      </c>
      <c r="O5" s="13" t="n">
        <v>31276.73117200006</v>
      </c>
      <c r="P5" s="13" t="n">
        <v>31276.73117200006</v>
      </c>
      <c r="Q5" s="13" t="n">
        <v>31276.73117200006</v>
      </c>
      <c r="R5" s="13" t="n">
        <v>27515.26415600092</v>
      </c>
      <c r="S5" s="13" t="n">
        <v>27515.26415600069</v>
      </c>
      <c r="T5" s="13" t="n">
        <v>27515.26415600069</v>
      </c>
      <c r="U5" s="13" t="n">
        <v>27515.26415600069</v>
      </c>
      <c r="V5" s="13" t="n">
        <v>27515.26415600069</v>
      </c>
      <c r="W5" s="13" t="n">
        <v>27515.26415600069</v>
      </c>
      <c r="X5" s="5" t="n"/>
      <c r="Y5" s="5" t="n"/>
    </row>
    <row r="6">
      <c r="A6" s="9" t="n">
        <v>2004</v>
      </c>
      <c r="B6" s="13" t="n">
        <v>439494.4643999998</v>
      </c>
      <c r="C6" s="13" t="n">
        <v>339402.8043999999</v>
      </c>
      <c r="D6" s="13" t="n">
        <v>255337.9503200013</v>
      </c>
      <c r="E6" s="13" t="n">
        <v>213114.5771599999</v>
      </c>
      <c r="F6" s="13" t="n">
        <v>91340.70151999989</v>
      </c>
      <c r="G6" s="13" t="n">
        <v>85484.21115199989</v>
      </c>
      <c r="H6" s="13" t="n">
        <v>65902.66675199987</v>
      </c>
      <c r="I6" s="13" t="n">
        <v>57599.61159199988</v>
      </c>
      <c r="J6" s="13" t="n">
        <v>31735.74190399982</v>
      </c>
      <c r="K6" s="13" t="n">
        <v>41683.88959999988</v>
      </c>
      <c r="L6" s="13" t="n">
        <v>16186.65757599985</v>
      </c>
      <c r="M6" s="13" t="n">
        <v>28958.98679999984</v>
      </c>
      <c r="N6" s="13" t="n">
        <v>28509.00319999992</v>
      </c>
      <c r="O6" s="13" t="n">
        <v>28184.38159999973</v>
      </c>
      <c r="P6" s="13" t="n">
        <v>28185.00181199983</v>
      </c>
      <c r="Q6" s="13" t="n">
        <v>23903.59919999959</v>
      </c>
      <c r="R6" s="13" t="n">
        <v>23903.59919999959</v>
      </c>
      <c r="S6" s="13" t="n">
        <v>23903.59919999959</v>
      </c>
      <c r="T6" s="13" t="n">
        <v>23903.59919999959</v>
      </c>
      <c r="U6" s="13" t="n">
        <v>23869.94939999958</v>
      </c>
      <c r="V6" s="13" t="n">
        <v>23869.94939999958</v>
      </c>
      <c r="W6" s="5" t="n"/>
      <c r="X6" s="5" t="n"/>
      <c r="Y6" s="5" t="n"/>
    </row>
    <row r="7">
      <c r="A7" s="9" t="n">
        <v>2005</v>
      </c>
      <c r="B7" s="13" t="n">
        <v>1050207.1992</v>
      </c>
      <c r="C7" s="13" t="n">
        <v>671676.798552</v>
      </c>
      <c r="D7" s="13" t="n">
        <v>520490.6884119997</v>
      </c>
      <c r="E7" s="13" t="n">
        <v>564117.1526639999</v>
      </c>
      <c r="F7" s="13" t="n">
        <v>499614.6032159999</v>
      </c>
      <c r="G7" s="13" t="n">
        <v>470220.315276</v>
      </c>
      <c r="H7" s="13" t="n">
        <v>432984.9509399997</v>
      </c>
      <c r="I7" s="13" t="n">
        <v>422440.2252799999</v>
      </c>
      <c r="J7" s="13" t="n">
        <v>398192.8391999998</v>
      </c>
      <c r="K7" s="13" t="n">
        <v>346271.7652279998</v>
      </c>
      <c r="L7" s="13" t="n">
        <v>323374.1583999998</v>
      </c>
      <c r="M7" s="13" t="n">
        <v>87361.05920000002</v>
      </c>
      <c r="N7" s="13" t="n">
        <v>87349.1827999996</v>
      </c>
      <c r="O7" s="13" t="n">
        <v>128149.8028279999</v>
      </c>
      <c r="P7" s="13" t="n">
        <v>106532.0100600002</v>
      </c>
      <c r="Q7" s="13" t="n">
        <v>91193.29636400007</v>
      </c>
      <c r="R7" s="13" t="n">
        <v>57749.61788399983</v>
      </c>
      <c r="S7" s="13" t="n">
        <v>57749.61788399983</v>
      </c>
      <c r="T7" s="13" t="n">
        <v>57749.61788399983</v>
      </c>
      <c r="U7" s="13" t="n">
        <v>57749.61788399983</v>
      </c>
      <c r="V7" s="5" t="n"/>
      <c r="W7" s="5" t="n"/>
      <c r="X7" s="5" t="n"/>
      <c r="Y7" s="5" t="n"/>
    </row>
    <row r="8">
      <c r="A8" s="9" t="n">
        <v>2006</v>
      </c>
      <c r="B8" s="13" t="n">
        <v>737414.6547280001</v>
      </c>
      <c r="C8" s="13" t="n">
        <v>345300.0409559999</v>
      </c>
      <c r="D8" s="13" t="n">
        <v>496762.8976079999</v>
      </c>
      <c r="E8" s="13" t="n">
        <v>426863.7383919999</v>
      </c>
      <c r="F8" s="13" t="n">
        <v>417159.4791679999</v>
      </c>
      <c r="G8" s="13" t="n">
        <v>362366.74446</v>
      </c>
      <c r="H8" s="13" t="n">
        <v>312083.8879079998</v>
      </c>
      <c r="I8" s="13" t="n">
        <v>334021.9343999999</v>
      </c>
      <c r="J8" s="13" t="n">
        <v>303560.7762519999</v>
      </c>
      <c r="K8" s="13" t="n">
        <v>259034.3447999998</v>
      </c>
      <c r="L8" s="13" t="n">
        <v>155548.6735999999</v>
      </c>
      <c r="M8" s="13" t="n">
        <v>74522.59439999983</v>
      </c>
      <c r="N8" s="13" t="n">
        <v>35205.65343599976</v>
      </c>
      <c r="O8" s="13" t="n">
        <v>19395.81614799937</v>
      </c>
      <c r="P8" s="13" t="n">
        <v>18538.07614799938</v>
      </c>
      <c r="Q8" s="13" t="n">
        <v>1383.276147999335</v>
      </c>
      <c r="R8" s="13" t="n">
        <v>-3235.323852000525</v>
      </c>
      <c r="S8" s="13" t="n">
        <v>-14236.80266000051</v>
      </c>
      <c r="T8" s="13" t="n">
        <v>-14236.80266000051</v>
      </c>
      <c r="U8" s="5" t="n"/>
      <c r="V8" s="5" t="n"/>
      <c r="W8" s="5" t="n"/>
      <c r="X8" s="5" t="n"/>
      <c r="Y8" s="5" t="n"/>
    </row>
    <row r="9">
      <c r="A9" s="9" t="n">
        <v>2007</v>
      </c>
      <c r="B9" s="13" t="n">
        <v>3222402.198916</v>
      </c>
      <c r="C9" s="13" t="n">
        <v>3069296.51944</v>
      </c>
      <c r="D9" s="13" t="n">
        <v>2901952.30318</v>
      </c>
      <c r="E9" s="13" t="n">
        <v>2655630.238056</v>
      </c>
      <c r="F9" s="13" t="n">
        <v>2392867.619628</v>
      </c>
      <c r="G9" s="13" t="n">
        <v>1897985.302624</v>
      </c>
      <c r="H9" s="13" t="n">
        <v>1704024.6356</v>
      </c>
      <c r="I9" s="13" t="n">
        <v>1348836.995644</v>
      </c>
      <c r="J9" s="13" t="n">
        <v>1091066.4768</v>
      </c>
      <c r="K9" s="13" t="n">
        <v>699158.4727999996</v>
      </c>
      <c r="L9" s="13" t="n">
        <v>568818.9415999996</v>
      </c>
      <c r="M9" s="13" t="n">
        <v>442321.4653879991</v>
      </c>
      <c r="N9" s="13" t="n">
        <v>369728.9233960006</v>
      </c>
      <c r="O9" s="13" t="n">
        <v>365459.0276960004</v>
      </c>
      <c r="P9" s="13" t="n">
        <v>165590.3795119999</v>
      </c>
      <c r="Q9" s="13" t="n">
        <v>165590.3795119999</v>
      </c>
      <c r="R9" s="13" t="n">
        <v>148415.7327280007</v>
      </c>
      <c r="S9" s="13" t="n">
        <v>136284.4651840003</v>
      </c>
      <c r="T9" s="5" t="n"/>
      <c r="U9" s="5" t="n"/>
      <c r="V9" s="5" t="n"/>
      <c r="W9" s="5" t="n"/>
      <c r="X9" s="5" t="n"/>
      <c r="Y9" s="5" t="n"/>
    </row>
    <row r="10">
      <c r="A10" s="9" t="n">
        <v>2008</v>
      </c>
      <c r="B10" s="13" t="n">
        <v>870340.142488</v>
      </c>
      <c r="C10" s="13" t="n">
        <v>655777.985832</v>
      </c>
      <c r="D10" s="13" t="n">
        <v>493527.1616519999</v>
      </c>
      <c r="E10" s="13" t="n">
        <v>128686.2518159999</v>
      </c>
      <c r="F10" s="13" t="n">
        <v>168573.9197799999</v>
      </c>
      <c r="G10" s="13" t="n">
        <v>147377.7788</v>
      </c>
      <c r="H10" s="13" t="n">
        <v>140449.1134319999</v>
      </c>
      <c r="I10" s="13" t="n">
        <v>123519.4108</v>
      </c>
      <c r="J10" s="13" t="n">
        <v>116071.5884</v>
      </c>
      <c r="K10" s="13" t="n">
        <v>70633.80159999989</v>
      </c>
      <c r="L10" s="13" t="n">
        <v>63961.00667199981</v>
      </c>
      <c r="M10" s="13" t="n">
        <v>63736.01487200172</v>
      </c>
      <c r="N10" s="13" t="n">
        <v>83583.78857200174</v>
      </c>
      <c r="O10" s="13" t="n">
        <v>83253.8885720016</v>
      </c>
      <c r="P10" s="13" t="n">
        <v>83253.8885720016</v>
      </c>
      <c r="Q10" s="13" t="n">
        <v>76655.8885720016</v>
      </c>
      <c r="R10" s="13" t="n">
        <v>48265.09045200166</v>
      </c>
      <c r="S10" s="5" t="n"/>
      <c r="T10" s="5" t="n"/>
      <c r="U10" s="5" t="n"/>
      <c r="V10" s="5" t="n"/>
      <c r="W10" s="5" t="n"/>
      <c r="X10" s="5" t="n"/>
      <c r="Y10" s="5" t="n"/>
    </row>
    <row r="11">
      <c r="A11" s="9" t="n">
        <v>2009</v>
      </c>
      <c r="B11" s="13" t="n">
        <v>868426.877828</v>
      </c>
      <c r="C11" s="13" t="n">
        <v>353369.8166359999</v>
      </c>
      <c r="D11" s="13" t="n">
        <v>403667.2283760001</v>
      </c>
      <c r="E11" s="13" t="n">
        <v>383153.346988</v>
      </c>
      <c r="F11" s="13" t="n">
        <v>327146.1843999999</v>
      </c>
      <c r="G11" s="13" t="n">
        <v>281017.639784</v>
      </c>
      <c r="H11" s="13" t="n">
        <v>246634.7492</v>
      </c>
      <c r="I11" s="13" t="n">
        <v>105553.6739999999</v>
      </c>
      <c r="J11" s="13" t="n">
        <v>105547.0759999999</v>
      </c>
      <c r="K11" s="13" t="n">
        <v>105545.3737159998</v>
      </c>
      <c r="L11" s="13" t="n">
        <v>105545.3737159995</v>
      </c>
      <c r="M11" s="13" t="n">
        <v>90369.97371599963</v>
      </c>
      <c r="N11" s="13" t="n">
        <v>56326.18074399955</v>
      </c>
      <c r="O11" s="13" t="n">
        <v>56326.18074399955</v>
      </c>
      <c r="P11" s="13" t="n">
        <v>56326.18074399955</v>
      </c>
      <c r="Q11" s="13" t="n">
        <v>56326.18074399955</v>
      </c>
      <c r="R11" s="5" t="n"/>
      <c r="S11" s="5" t="n"/>
      <c r="T11" s="5" t="n"/>
      <c r="U11" s="5" t="n"/>
      <c r="V11" s="5" t="n"/>
      <c r="W11" s="5" t="n"/>
      <c r="X11" s="5" t="n"/>
      <c r="Y11" s="5" t="n"/>
    </row>
    <row r="12">
      <c r="A12" s="9" t="n">
        <v>2010</v>
      </c>
      <c r="B12" s="13" t="n">
        <v>992029.7500039999</v>
      </c>
      <c r="C12" s="13" t="n">
        <v>621469.8257279999</v>
      </c>
      <c r="D12" s="13" t="n">
        <v>400738.0904079998</v>
      </c>
      <c r="E12" s="13" t="n">
        <v>246722.3223999999</v>
      </c>
      <c r="F12" s="13" t="n">
        <v>115874.4548879999</v>
      </c>
      <c r="G12" s="13" t="n">
        <v>129160.4779999999</v>
      </c>
      <c r="H12" s="13" t="n">
        <v>80692.88959999988</v>
      </c>
      <c r="I12" s="13" t="n">
        <v>79196.46319999988</v>
      </c>
      <c r="J12" s="13" t="n">
        <v>85238.13303599996</v>
      </c>
      <c r="K12" s="13" t="n">
        <v>84438.65337599954</v>
      </c>
      <c r="L12" s="13" t="n">
        <v>83443.6749759994</v>
      </c>
      <c r="M12" s="13" t="n">
        <v>83369.77737599937</v>
      </c>
      <c r="N12" s="13" t="n">
        <v>81720.27737599937</v>
      </c>
      <c r="O12" s="13" t="n">
        <v>81990.92733599944</v>
      </c>
      <c r="P12" s="13" t="n">
        <v>74388.11791599938</v>
      </c>
      <c r="Q12" s="5" t="n"/>
      <c r="R12" s="5" t="n"/>
      <c r="S12" s="5" t="n"/>
      <c r="T12" s="5" t="n"/>
      <c r="U12" s="5" t="n"/>
      <c r="V12" s="5" t="n"/>
      <c r="W12" s="5" t="n"/>
      <c r="X12" s="5" t="n"/>
      <c r="Y12" s="5" t="n"/>
    </row>
    <row r="13">
      <c r="A13" s="9" t="n">
        <v>2011</v>
      </c>
      <c r="B13" s="13" t="n">
        <v>1565027.665408</v>
      </c>
      <c r="C13" s="13" t="n">
        <v>1132155.239432</v>
      </c>
      <c r="D13" s="13" t="n">
        <v>711057.1291999999</v>
      </c>
      <c r="E13" s="13" t="n">
        <v>508721.0269559999</v>
      </c>
      <c r="F13" s="13" t="n">
        <v>407535.9331999999</v>
      </c>
      <c r="G13" s="13" t="n">
        <v>278570.1055999999</v>
      </c>
      <c r="H13" s="13" t="n">
        <v>182372.5851999999</v>
      </c>
      <c r="I13" s="13" t="n">
        <v>182257.3049439997</v>
      </c>
      <c r="J13" s="13" t="n">
        <v>156931.5417440003</v>
      </c>
      <c r="K13" s="13" t="n">
        <v>149784.5881440004</v>
      </c>
      <c r="L13" s="13" t="n">
        <v>97089.06732400018</v>
      </c>
      <c r="M13" s="13" t="n">
        <v>102993.4195840003</v>
      </c>
      <c r="N13" s="13" t="n">
        <v>102993.4195840003</v>
      </c>
      <c r="O13" s="13" t="n">
        <v>102993.4195840003</v>
      </c>
      <c r="P13" s="5" t="n"/>
      <c r="Q13" s="5" t="n"/>
      <c r="R13" s="5" t="n"/>
      <c r="S13" s="5" t="n"/>
      <c r="T13" s="5" t="n"/>
      <c r="U13" s="5" t="n"/>
      <c r="V13" s="5" t="n"/>
      <c r="W13" s="5" t="n"/>
      <c r="X13" s="5" t="n"/>
      <c r="Y13" s="5" t="n"/>
    </row>
    <row r="14">
      <c r="A14" s="9" t="n">
        <v>2012</v>
      </c>
      <c r="B14" s="13" t="n">
        <v>946779.905624</v>
      </c>
      <c r="C14" s="13" t="n">
        <v>600176.488</v>
      </c>
      <c r="D14" s="13" t="n">
        <v>390656.061084</v>
      </c>
      <c r="E14" s="13" t="n">
        <v>313267.7363999999</v>
      </c>
      <c r="F14" s="13" t="n">
        <v>316297.5379999999</v>
      </c>
      <c r="G14" s="13" t="n">
        <v>307833.6235999999</v>
      </c>
      <c r="H14" s="13" t="n">
        <v>303928.346576</v>
      </c>
      <c r="I14" s="13" t="n">
        <v>253470.8013760012</v>
      </c>
      <c r="J14" s="13" t="n">
        <v>195968.4132240012</v>
      </c>
      <c r="K14" s="13" t="n">
        <v>134517.6367160012</v>
      </c>
      <c r="L14" s="13" t="n">
        <v>125940.2367160011</v>
      </c>
      <c r="M14" s="13" t="n">
        <v>-81086.37053199904</v>
      </c>
      <c r="N14" s="13" t="n">
        <v>-81086.37053199904</v>
      </c>
      <c r="O14" s="5" t="n"/>
      <c r="P14" s="5" t="n"/>
      <c r="Q14" s="5" t="n"/>
      <c r="R14" s="5" t="n"/>
      <c r="S14" s="5" t="n"/>
      <c r="T14" s="5" t="n"/>
      <c r="U14" s="5" t="n"/>
      <c r="V14" s="5" t="n"/>
      <c r="W14" s="5" t="n"/>
      <c r="X14" s="5" t="n"/>
      <c r="Y14" s="5" t="n"/>
    </row>
    <row r="15">
      <c r="A15" s="9" t="n">
        <v>2013</v>
      </c>
      <c r="B15" s="13" t="n">
        <v>497194.0704</v>
      </c>
      <c r="C15" s="13" t="n">
        <v>266634.640472</v>
      </c>
      <c r="D15" s="13" t="n">
        <v>222169.6364</v>
      </c>
      <c r="E15" s="13" t="n">
        <v>108241.9704</v>
      </c>
      <c r="F15" s="13" t="n">
        <v>67644.47639999993</v>
      </c>
      <c r="G15" s="13" t="n">
        <v>69486.14974799997</v>
      </c>
      <c r="H15" s="13" t="n">
        <v>69137.66978000023</v>
      </c>
      <c r="I15" s="13" t="n">
        <v>69137.66978</v>
      </c>
      <c r="J15" s="13" t="n">
        <v>67772.01574000018</v>
      </c>
      <c r="K15" s="13" t="n">
        <v>67772.01574000018</v>
      </c>
      <c r="L15" s="13" t="n">
        <v>67760.79914000013</v>
      </c>
      <c r="M15" s="13" t="n">
        <v>67760.79914000013</v>
      </c>
      <c r="N15" s="5" t="n"/>
      <c r="O15" s="5" t="n"/>
      <c r="P15" s="5" t="n"/>
      <c r="Q15" s="5" t="n"/>
      <c r="R15" s="5" t="n"/>
      <c r="S15" s="5" t="n"/>
      <c r="T15" s="5" t="n"/>
      <c r="U15" s="5" t="n"/>
      <c r="V15" s="5" t="n"/>
      <c r="W15" s="5" t="n"/>
      <c r="X15" s="5" t="n"/>
      <c r="Y15" s="5" t="n"/>
    </row>
    <row r="16">
      <c r="A16" s="9" t="n">
        <v>2014</v>
      </c>
      <c r="B16" s="13" t="n">
        <v>972734.3125159999</v>
      </c>
      <c r="C16" s="13" t="n">
        <v>760513.9839999999</v>
      </c>
      <c r="D16" s="13" t="n">
        <v>434699.4655999998</v>
      </c>
      <c r="E16" s="13" t="n">
        <v>260071.5191999997</v>
      </c>
      <c r="F16" s="13" t="n">
        <v>241598.2672519998</v>
      </c>
      <c r="G16" s="13" t="n">
        <v>196436.2768519998</v>
      </c>
      <c r="H16" s="13" t="n">
        <v>235253.1158079999</v>
      </c>
      <c r="I16" s="13" t="n">
        <v>235253.1158079999</v>
      </c>
      <c r="J16" s="13" t="n">
        <v>181149.5158079998</v>
      </c>
      <c r="K16" s="13" t="n">
        <v>152866.185912</v>
      </c>
      <c r="L16" s="13" t="n">
        <v>162584.5252679999</v>
      </c>
      <c r="M16" s="5" t="n"/>
      <c r="N16" s="5" t="n"/>
      <c r="O16" s="5" t="n"/>
      <c r="P16" s="5" t="n"/>
      <c r="Q16" s="5" t="n"/>
      <c r="R16" s="5" t="n"/>
      <c r="S16" s="5" t="n"/>
      <c r="T16" s="5" t="n"/>
      <c r="U16" s="5" t="n"/>
      <c r="V16" s="5" t="n"/>
      <c r="W16" s="5" t="n"/>
      <c r="X16" s="5" t="n"/>
      <c r="Y16" s="5" t="n"/>
    </row>
    <row r="17">
      <c r="A17" s="9" t="n">
        <v>2015</v>
      </c>
      <c r="B17" s="13" t="n">
        <v>3252099.13</v>
      </c>
      <c r="C17" s="13" t="n">
        <v>2721722.8588</v>
      </c>
      <c r="D17" s="13" t="n">
        <v>2184563.843599999</v>
      </c>
      <c r="E17" s="13" t="n">
        <v>1657142.790208</v>
      </c>
      <c r="F17" s="13" t="n">
        <v>1431201.472027998</v>
      </c>
      <c r="G17" s="13" t="n">
        <v>1109895.894867999</v>
      </c>
      <c r="H17" s="13" t="n">
        <v>734832.6244559982</v>
      </c>
      <c r="I17" s="13" t="n">
        <v>714114.904455998</v>
      </c>
      <c r="J17" s="13" t="n">
        <v>703960.859571998</v>
      </c>
      <c r="K17" s="13" t="n">
        <v>407202.7719239984</v>
      </c>
      <c r="L17" s="5" t="n"/>
      <c r="M17" s="5" t="n"/>
      <c r="N17" s="5" t="n"/>
      <c r="O17" s="5" t="n"/>
      <c r="P17" s="5" t="n"/>
      <c r="Q17" s="5" t="n"/>
      <c r="R17" s="5" t="n"/>
      <c r="S17" s="5" t="n"/>
      <c r="T17" s="5" t="n"/>
      <c r="U17" s="5" t="n"/>
      <c r="V17" s="5" t="n"/>
      <c r="W17" s="5" t="n"/>
      <c r="X17" s="5" t="n"/>
      <c r="Y17" s="5" t="n"/>
    </row>
    <row r="18">
      <c r="A18" s="9" t="n">
        <v>2016</v>
      </c>
      <c r="B18" s="13" t="n">
        <v>2203476.958</v>
      </c>
      <c r="C18" s="13" t="n">
        <v>1605318.1132</v>
      </c>
      <c r="D18" s="13" t="n">
        <v>1157808.881964</v>
      </c>
      <c r="E18" s="13" t="n">
        <v>1007011.248868</v>
      </c>
      <c r="F18" s="13" t="n">
        <v>738862.9073720011</v>
      </c>
      <c r="G18" s="13" t="n">
        <v>670861.3857400012</v>
      </c>
      <c r="H18" s="13" t="n">
        <v>387658.4008400012</v>
      </c>
      <c r="I18" s="13" t="n">
        <v>388254.2266320013</v>
      </c>
      <c r="J18" s="13" t="n">
        <v>384955.2266320013</v>
      </c>
      <c r="K18" s="5" t="n"/>
      <c r="L18" s="5" t="n"/>
      <c r="M18" s="5" t="n"/>
      <c r="N18" s="5" t="n"/>
      <c r="O18" s="5" t="n"/>
      <c r="P18" s="5" t="n"/>
      <c r="Q18" s="5" t="n"/>
      <c r="R18" s="5" t="n"/>
      <c r="S18" s="5" t="n"/>
      <c r="T18" s="5" t="n"/>
      <c r="U18" s="5" t="n"/>
      <c r="V18" s="5" t="n"/>
      <c r="W18" s="5" t="n"/>
      <c r="X18" s="5" t="n"/>
      <c r="Y18" s="5" t="n"/>
    </row>
    <row r="19">
      <c r="A19" s="9" t="n">
        <v>2017</v>
      </c>
      <c r="B19" s="13" t="n">
        <v>973019.7284000001</v>
      </c>
      <c r="C19" s="13" t="n">
        <v>819473.922736</v>
      </c>
      <c r="D19" s="13" t="n">
        <v>798347.4038519997</v>
      </c>
      <c r="E19" s="13" t="n">
        <v>601576.3979039995</v>
      </c>
      <c r="F19" s="13" t="n">
        <v>539057.1280799996</v>
      </c>
      <c r="G19" s="13" t="n">
        <v>420238.3118959997</v>
      </c>
      <c r="H19" s="13" t="n">
        <v>265393.7163239997</v>
      </c>
      <c r="I19" s="13" t="n">
        <v>228534.7810839997</v>
      </c>
      <c r="J19" s="5" t="n"/>
      <c r="K19" s="5" t="n"/>
      <c r="L19" s="5" t="n"/>
      <c r="M19" s="5" t="n"/>
      <c r="N19" s="5" t="n"/>
      <c r="O19" s="5" t="n"/>
      <c r="P19" s="5" t="n"/>
      <c r="Q19" s="5" t="n"/>
      <c r="R19" s="5" t="n"/>
      <c r="S19" s="5" t="n"/>
      <c r="T19" s="5" t="n"/>
      <c r="U19" s="5" t="n"/>
      <c r="V19" s="5" t="n"/>
      <c r="W19" s="5" t="n"/>
      <c r="X19" s="5" t="n"/>
      <c r="Y19" s="5" t="n"/>
    </row>
    <row r="20">
      <c r="A20" s="9" t="n">
        <v>2018</v>
      </c>
      <c r="B20" s="13" t="n">
        <v>2430086.469552</v>
      </c>
      <c r="C20" s="13" t="n">
        <v>1770002.372868</v>
      </c>
      <c r="D20" s="13" t="n">
        <v>1269212.087900001</v>
      </c>
      <c r="E20" s="13" t="n">
        <v>621250.6549679991</v>
      </c>
      <c r="F20" s="13" t="n">
        <v>634552.1833799994</v>
      </c>
      <c r="G20" s="13" t="n">
        <v>604394.9423079994</v>
      </c>
      <c r="H20" s="13" t="n">
        <v>542621.8666959992</v>
      </c>
      <c r="I20" s="5" t="n"/>
      <c r="J20" s="5" t="n"/>
      <c r="K20" s="5" t="n"/>
      <c r="L20" s="5" t="n"/>
      <c r="M20" s="5" t="n"/>
      <c r="N20" s="5" t="n"/>
      <c r="O20" s="5" t="n"/>
      <c r="P20" s="5" t="n"/>
      <c r="Q20" s="5" t="n"/>
      <c r="R20" s="5" t="n"/>
      <c r="S20" s="5" t="n"/>
      <c r="T20" s="5" t="n"/>
      <c r="U20" s="5" t="n"/>
      <c r="V20" s="5" t="n"/>
      <c r="W20" s="5" t="n"/>
      <c r="X20" s="5" t="n"/>
      <c r="Y20" s="5" t="n"/>
    </row>
    <row r="21">
      <c r="A21" s="9" t="n">
        <v>2019</v>
      </c>
      <c r="B21" s="13" t="n">
        <v>2886775.298824</v>
      </c>
      <c r="C21" s="13" t="n">
        <v>2170083.06732</v>
      </c>
      <c r="D21" s="13" t="n">
        <v>1554635.588687999</v>
      </c>
      <c r="E21" s="13" t="n">
        <v>1294127.084588</v>
      </c>
      <c r="F21" s="13" t="n">
        <v>1167311.43962</v>
      </c>
      <c r="G21" s="13" t="n">
        <v>694807.2557080006</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3" t="n">
        <v>980268.326468</v>
      </c>
      <c r="C22" s="13" t="n">
        <v>570455.4090440002</v>
      </c>
      <c r="D22" s="13" t="n">
        <v>586079.1299480001</v>
      </c>
      <c r="E22" s="13" t="n">
        <v>532902.628124</v>
      </c>
      <c r="F22" s="13" t="n">
        <v>523471.420532</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3" t="n">
        <v>1089931.333012</v>
      </c>
      <c r="C23" s="13" t="n">
        <v>838453.2475919998</v>
      </c>
      <c r="D23" s="13" t="n">
        <v>659071.6137400002</v>
      </c>
      <c r="E23" s="13" t="n">
        <v>628075.1202639999</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3" t="n">
        <v>868239.3764239998</v>
      </c>
      <c r="C24" s="13" t="n">
        <v>711206.5013679989</v>
      </c>
      <c r="D24" s="13" t="n">
        <v>735446.2733559991</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3" t="n">
        <v>2394891.177396</v>
      </c>
      <c r="C25" s="13" t="n">
        <v>1718134.805648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3" t="n">
        <v>1689528.908172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3" t="n">
        <v>2728115.4812</v>
      </c>
      <c r="C3" s="13" t="n">
        <v>2006787.8116</v>
      </c>
      <c r="D3" s="13" t="n">
        <v>1508432.954</v>
      </c>
      <c r="E3" s="13" t="n">
        <v>1143194.066</v>
      </c>
      <c r="F3" s="13" t="n">
        <v>829939.5003999998</v>
      </c>
      <c r="G3" s="13" t="n">
        <v>770383.6167079997</v>
      </c>
      <c r="H3" s="13" t="n">
        <v>792386.6139119999</v>
      </c>
      <c r="I3" s="13" t="n">
        <v>761845.4352199994</v>
      </c>
      <c r="J3" s="13" t="n">
        <v>739614.2395879999</v>
      </c>
      <c r="K3" s="13" t="n">
        <v>711775.0210719998</v>
      </c>
      <c r="L3" s="13" t="n">
        <v>655959.5963639999</v>
      </c>
      <c r="M3" s="13" t="n">
        <v>598454.1335439994</v>
      </c>
      <c r="N3" s="13" t="n">
        <v>558435.7591999997</v>
      </c>
      <c r="O3" s="13" t="n">
        <v>495042.9009799999</v>
      </c>
      <c r="P3" s="13" t="n">
        <v>439995.0611999999</v>
      </c>
      <c r="Q3" s="13" t="n">
        <v>359809.5671999995</v>
      </c>
      <c r="R3" s="13" t="n">
        <v>271747.3807999995</v>
      </c>
      <c r="S3" s="13" t="n">
        <v>196513.4746639999</v>
      </c>
      <c r="T3" s="13" t="n">
        <v>87087.75602400023</v>
      </c>
      <c r="U3" s="13" t="n">
        <v>87087.75602400023</v>
      </c>
      <c r="V3" s="13" t="n">
        <v>64997.5728480001</v>
      </c>
      <c r="W3" s="13" t="n">
        <v>42773.80656399997</v>
      </c>
      <c r="X3" s="13" t="n">
        <v>23778.38889600011</v>
      </c>
      <c r="Y3" s="13" t="n">
        <v>11864.94772399962</v>
      </c>
    </row>
    <row r="4">
      <c r="A4" s="9" t="n">
        <v>2002</v>
      </c>
      <c r="B4" s="13" t="n">
        <v>1859476.054</v>
      </c>
      <c r="C4" s="13" t="n">
        <v>1305763.9764</v>
      </c>
      <c r="D4" s="13" t="n">
        <v>996466.8912</v>
      </c>
      <c r="E4" s="13" t="n">
        <v>898491.8696000001</v>
      </c>
      <c r="F4" s="13" t="n">
        <v>733394.8661600002</v>
      </c>
      <c r="G4" s="13" t="n">
        <v>595101.8418399999</v>
      </c>
      <c r="H4" s="13" t="n">
        <v>558508.119808</v>
      </c>
      <c r="I4" s="13" t="n">
        <v>529132.5965800001</v>
      </c>
      <c r="J4" s="13" t="n">
        <v>487257.2019399998</v>
      </c>
      <c r="K4" s="13" t="n">
        <v>466638.0428640002</v>
      </c>
      <c r="L4" s="13" t="n">
        <v>435839.726916</v>
      </c>
      <c r="M4" s="13" t="n">
        <v>402413.3219999999</v>
      </c>
      <c r="N4" s="13" t="n">
        <v>360789.6938439999</v>
      </c>
      <c r="O4" s="13" t="n">
        <v>313445.8900000001</v>
      </c>
      <c r="P4" s="13" t="n">
        <v>273217.8840000001</v>
      </c>
      <c r="Q4" s="13" t="n">
        <v>235267.5075999999</v>
      </c>
      <c r="R4" s="13" t="n">
        <v>178807.009628</v>
      </c>
      <c r="S4" s="13" t="n">
        <v>137623.9563239999</v>
      </c>
      <c r="T4" s="13" t="n">
        <v>104597.2582479995</v>
      </c>
      <c r="U4" s="13" t="n">
        <v>79006.65132799977</v>
      </c>
      <c r="V4" s="13" t="n">
        <v>57448.51767600002</v>
      </c>
      <c r="W4" s="13" t="n">
        <v>36785.785408</v>
      </c>
      <c r="X4" s="13" t="n">
        <v>17190.70191199984</v>
      </c>
      <c r="Y4" s="5" t="n"/>
    </row>
    <row r="5">
      <c r="A5" s="9" t="n">
        <v>2003</v>
      </c>
      <c r="B5" s="13" t="n">
        <v>1341871.6884</v>
      </c>
      <c r="C5" s="13" t="n">
        <v>653825.6503999999</v>
      </c>
      <c r="D5" s="13" t="n">
        <v>475940.9312</v>
      </c>
      <c r="E5" s="13" t="n">
        <v>356261.564268</v>
      </c>
      <c r="F5" s="13" t="n">
        <v>128697.49438</v>
      </c>
      <c r="G5" s="13" t="n">
        <v>45221.22148799989</v>
      </c>
      <c r="H5" s="13" t="n">
        <v>42568.12609999999</v>
      </c>
      <c r="I5" s="13" t="n">
        <v>30206.72031599982</v>
      </c>
      <c r="J5" s="13" t="n">
        <v>32758.74753999989</v>
      </c>
      <c r="K5" s="13" t="n">
        <v>28423.65040399996</v>
      </c>
      <c r="L5" s="13" t="n">
        <v>31795.24159999983</v>
      </c>
      <c r="M5" s="13" t="n">
        <v>31406.51383199985</v>
      </c>
      <c r="N5" s="13" t="n">
        <v>31276.63879999984</v>
      </c>
      <c r="O5" s="13" t="n">
        <v>31276.12415600009</v>
      </c>
      <c r="P5" s="13" t="n">
        <v>31276.12415600009</v>
      </c>
      <c r="Q5" s="13" t="n">
        <v>31276.73117200006</v>
      </c>
      <c r="R5" s="13" t="n">
        <v>27515.26415600092</v>
      </c>
      <c r="S5" s="13" t="n">
        <v>27515.26415600069</v>
      </c>
      <c r="T5" s="13" t="n">
        <v>27515.26415600069</v>
      </c>
      <c r="U5" s="13" t="n">
        <v>27515.26415600069</v>
      </c>
      <c r="V5" s="13" t="n">
        <v>27515.26415600069</v>
      </c>
      <c r="W5" s="13" t="n">
        <v>27515.26415600069</v>
      </c>
      <c r="X5" s="5" t="n"/>
      <c r="Y5" s="5" t="n"/>
    </row>
    <row r="6">
      <c r="A6" s="9" t="n">
        <v>2004</v>
      </c>
      <c r="B6" s="13" t="n">
        <v>889596.8283999999</v>
      </c>
      <c r="C6" s="13" t="n">
        <v>520502.0691999999</v>
      </c>
      <c r="D6" s="13" t="n">
        <v>339520.9481880012</v>
      </c>
      <c r="E6" s="13" t="n">
        <v>242857.6881639998</v>
      </c>
      <c r="F6" s="13" t="n">
        <v>91340.70151999989</v>
      </c>
      <c r="G6" s="13" t="n">
        <v>87463.58475999977</v>
      </c>
      <c r="H6" s="13" t="n">
        <v>70239.78287599981</v>
      </c>
      <c r="I6" s="13" t="n">
        <v>61842.45549199986</v>
      </c>
      <c r="J6" s="13" t="n">
        <v>41796.27993199998</v>
      </c>
      <c r="K6" s="13" t="n">
        <v>48569.56239999994</v>
      </c>
      <c r="L6" s="13" t="n">
        <v>44628.43184399977</v>
      </c>
      <c r="M6" s="13" t="n">
        <v>37582.57279999973</v>
      </c>
      <c r="N6" s="13" t="n">
        <v>37122.03239999991</v>
      </c>
      <c r="O6" s="13" t="n">
        <v>35107.00319999992</v>
      </c>
      <c r="P6" s="13" t="n">
        <v>34460.96662799991</v>
      </c>
      <c r="Q6" s="13" t="n">
        <v>23903.59919999959</v>
      </c>
      <c r="R6" s="13" t="n">
        <v>23903.59919999959</v>
      </c>
      <c r="S6" s="13" t="n">
        <v>23903.59919999959</v>
      </c>
      <c r="T6" s="13" t="n">
        <v>23903.59919999959</v>
      </c>
      <c r="U6" s="13" t="n">
        <v>23869.94939999958</v>
      </c>
      <c r="V6" s="13" t="n">
        <v>23869.94939999958</v>
      </c>
      <c r="W6" s="5" t="n"/>
      <c r="X6" s="5" t="n"/>
      <c r="Y6" s="5" t="n"/>
    </row>
    <row r="7">
      <c r="A7" s="9" t="n">
        <v>2005</v>
      </c>
      <c r="B7" s="13" t="n">
        <v>1690905.9892</v>
      </c>
      <c r="C7" s="13" t="n">
        <v>1063003.254832</v>
      </c>
      <c r="D7" s="13" t="n">
        <v>732267.3278199998</v>
      </c>
      <c r="E7" s="13" t="n">
        <v>663473.3336039998</v>
      </c>
      <c r="F7" s="13" t="n">
        <v>541260.8493159998</v>
      </c>
      <c r="G7" s="13" t="n">
        <v>504765.3846999998</v>
      </c>
      <c r="H7" s="13" t="n">
        <v>466898.0507279998</v>
      </c>
      <c r="I7" s="13" t="n">
        <v>447811.1979759999</v>
      </c>
      <c r="J7" s="13" t="n">
        <v>440088.8195999998</v>
      </c>
      <c r="K7" s="13" t="n">
        <v>384279.1219559999</v>
      </c>
      <c r="L7" s="13" t="n">
        <v>329863.9511999998</v>
      </c>
      <c r="M7" s="13" t="n">
        <v>289951.3295999998</v>
      </c>
      <c r="N7" s="13" t="n">
        <v>224182.4655999998</v>
      </c>
      <c r="O7" s="13" t="n">
        <v>185019.944228</v>
      </c>
      <c r="P7" s="13" t="n">
        <v>121312.1238799999</v>
      </c>
      <c r="Q7" s="13" t="n">
        <v>103965.1637280001</v>
      </c>
      <c r="R7" s="13" t="n">
        <v>61501.04274399998</v>
      </c>
      <c r="S7" s="13" t="n">
        <v>57749.61788399983</v>
      </c>
      <c r="T7" s="13" t="n">
        <v>57749.61788399983</v>
      </c>
      <c r="U7" s="13" t="n">
        <v>57749.61788399983</v>
      </c>
      <c r="V7" s="5" t="n"/>
      <c r="W7" s="5" t="n"/>
      <c r="X7" s="5" t="n"/>
      <c r="Y7" s="5" t="n"/>
    </row>
    <row r="8">
      <c r="A8" s="9" t="n">
        <v>2006</v>
      </c>
      <c r="B8" s="13" t="n">
        <v>1218613.564276</v>
      </c>
      <c r="C8" s="13" t="n">
        <v>803817.7844679998</v>
      </c>
      <c r="D8" s="13" t="n">
        <v>610139.6438039999</v>
      </c>
      <c r="E8" s="13" t="n">
        <v>530556.0193639998</v>
      </c>
      <c r="F8" s="13" t="n">
        <v>471031.133076</v>
      </c>
      <c r="G8" s="13" t="n">
        <v>422964.3071959999</v>
      </c>
      <c r="H8" s="13" t="n">
        <v>378287.9955760001</v>
      </c>
      <c r="I8" s="13" t="n">
        <v>370648.7519999999</v>
      </c>
      <c r="J8" s="13" t="n">
        <v>334860.896492</v>
      </c>
      <c r="K8" s="13" t="n">
        <v>286966.318</v>
      </c>
      <c r="L8" s="13" t="n">
        <v>174775.2455999998</v>
      </c>
      <c r="M8" s="13" t="n">
        <v>138057.3755999999</v>
      </c>
      <c r="N8" s="13" t="n">
        <v>123823.8400999999</v>
      </c>
      <c r="O8" s="13" t="n">
        <v>98040.57158000022</v>
      </c>
      <c r="P8" s="13" t="n">
        <v>88468.45709999953</v>
      </c>
      <c r="Q8" s="13" t="n">
        <v>76649.85557999974</v>
      </c>
      <c r="R8" s="13" t="n">
        <v>60285.24525599973</v>
      </c>
      <c r="S8" s="13" t="n">
        <v>49266.9151559996</v>
      </c>
      <c r="T8" s="13" t="n">
        <v>41258.96214399976</v>
      </c>
      <c r="U8" s="5" t="n"/>
      <c r="V8" s="5" t="n"/>
      <c r="W8" s="5" t="n"/>
      <c r="X8" s="5" t="n"/>
      <c r="Y8" s="5" t="n"/>
    </row>
    <row r="9">
      <c r="A9" s="9" t="n">
        <v>2007</v>
      </c>
      <c r="B9" s="13" t="n">
        <v>4443481.206012</v>
      </c>
      <c r="C9" s="13" t="n">
        <v>3843821.329408</v>
      </c>
      <c r="D9" s="13" t="n">
        <v>3518533.041096</v>
      </c>
      <c r="E9" s="13" t="n">
        <v>3127922.269876</v>
      </c>
      <c r="F9" s="13" t="n">
        <v>2789398.024076</v>
      </c>
      <c r="G9" s="13" t="n">
        <v>2326257.167532</v>
      </c>
      <c r="H9" s="13" t="n">
        <v>2022912.5736</v>
      </c>
      <c r="I9" s="13" t="n">
        <v>1795874.483076</v>
      </c>
      <c r="J9" s="13" t="n">
        <v>1541658.4124</v>
      </c>
      <c r="K9" s="13" t="n">
        <v>1252619.8264</v>
      </c>
      <c r="L9" s="13" t="n">
        <v>948861.1023999997</v>
      </c>
      <c r="M9" s="13" t="n">
        <v>748951.8501240006</v>
      </c>
      <c r="N9" s="13" t="n">
        <v>576666.9986799993</v>
      </c>
      <c r="O9" s="13" t="n">
        <v>450328.0328200003</v>
      </c>
      <c r="P9" s="13" t="n">
        <v>329748.0256920001</v>
      </c>
      <c r="Q9" s="13" t="n">
        <v>195592.9898559991</v>
      </c>
      <c r="R9" s="13" t="n">
        <v>165729.557724</v>
      </c>
      <c r="S9" s="13" t="n">
        <v>156365.9268479999</v>
      </c>
      <c r="T9" s="5" t="n"/>
      <c r="U9" s="5" t="n"/>
      <c r="V9" s="5" t="n"/>
      <c r="W9" s="5" t="n"/>
      <c r="X9" s="5" t="n"/>
      <c r="Y9" s="5" t="n"/>
    </row>
    <row r="10">
      <c r="A10" s="9" t="n">
        <v>2008</v>
      </c>
      <c r="B10" s="13" t="n">
        <v>1073176.267564</v>
      </c>
      <c r="C10" s="13" t="n">
        <v>780117.982024</v>
      </c>
      <c r="D10" s="13" t="n">
        <v>557055.5955760001</v>
      </c>
      <c r="E10" s="13" t="n">
        <v>238337.2921559999</v>
      </c>
      <c r="F10" s="13" t="n">
        <v>196840.4907559999</v>
      </c>
      <c r="G10" s="13" t="n">
        <v>158941.4335999999</v>
      </c>
      <c r="H10" s="13" t="n">
        <v>150077.5088519999</v>
      </c>
      <c r="I10" s="13" t="n">
        <v>141915.9543999999</v>
      </c>
      <c r="J10" s="13" t="n">
        <v>126823.6891999999</v>
      </c>
      <c r="K10" s="13" t="n">
        <v>109399.6908</v>
      </c>
      <c r="L10" s="13" t="n">
        <v>95311.07377199992</v>
      </c>
      <c r="M10" s="13" t="n">
        <v>92726.5052120015</v>
      </c>
      <c r="N10" s="13" t="n">
        <v>89632.82177600171</v>
      </c>
      <c r="O10" s="13" t="n">
        <v>88113.64547200175</v>
      </c>
      <c r="P10" s="13" t="n">
        <v>87236.16425600182</v>
      </c>
      <c r="Q10" s="13" t="n">
        <v>83691.82422400173</v>
      </c>
      <c r="R10" s="13" t="n">
        <v>48265.09045200166</v>
      </c>
      <c r="S10" s="5" t="n"/>
      <c r="T10" s="5" t="n"/>
      <c r="U10" s="5" t="n"/>
      <c r="V10" s="5" t="n"/>
      <c r="W10" s="5" t="n"/>
      <c r="X10" s="5" t="n"/>
      <c r="Y10" s="5" t="n"/>
    </row>
    <row r="11">
      <c r="A11" s="9" t="n">
        <v>2009</v>
      </c>
      <c r="B11" s="13" t="n">
        <v>997239.631828</v>
      </c>
      <c r="C11" s="13" t="n">
        <v>483659.9684039999</v>
      </c>
      <c r="D11" s="13" t="n">
        <v>413956.453084</v>
      </c>
      <c r="E11" s="13" t="n">
        <v>391845.3410519999</v>
      </c>
      <c r="F11" s="13" t="n">
        <v>330922.8796</v>
      </c>
      <c r="G11" s="13" t="n">
        <v>284822.336896</v>
      </c>
      <c r="H11" s="13" t="n">
        <v>256515.914</v>
      </c>
      <c r="I11" s="13" t="n">
        <v>207651.1259999999</v>
      </c>
      <c r="J11" s="13" t="n">
        <v>170297.2087999999</v>
      </c>
      <c r="K11" s="13" t="n">
        <v>154801.264764</v>
      </c>
      <c r="L11" s="13" t="n">
        <v>144724.8915359997</v>
      </c>
      <c r="M11" s="13" t="n">
        <v>111701.6244199998</v>
      </c>
      <c r="N11" s="13" t="n">
        <v>56326.18074399955</v>
      </c>
      <c r="O11" s="13" t="n">
        <v>56326.18074399955</v>
      </c>
      <c r="P11" s="13" t="n">
        <v>56326.18074399955</v>
      </c>
      <c r="Q11" s="13" t="n">
        <v>56326.18074399955</v>
      </c>
      <c r="R11" s="5" t="n"/>
      <c r="S11" s="5" t="n"/>
      <c r="T11" s="5" t="n"/>
      <c r="U11" s="5" t="n"/>
      <c r="V11" s="5" t="n"/>
      <c r="W11" s="5" t="n"/>
      <c r="X11" s="5" t="n"/>
      <c r="Y11" s="5" t="n"/>
    </row>
    <row r="12">
      <c r="A12" s="9" t="n">
        <v>2010</v>
      </c>
      <c r="B12" s="13" t="n">
        <v>1108437.036776</v>
      </c>
      <c r="C12" s="13" t="n">
        <v>678909.6252519999</v>
      </c>
      <c r="D12" s="13" t="n">
        <v>436807.4165959998</v>
      </c>
      <c r="E12" s="13" t="n">
        <v>275139.9083999998</v>
      </c>
      <c r="F12" s="13" t="n">
        <v>175075.8544319998</v>
      </c>
      <c r="G12" s="13" t="n">
        <v>150524.8019999999</v>
      </c>
      <c r="H12" s="13" t="n">
        <v>91751.13759999978</v>
      </c>
      <c r="I12" s="13" t="n">
        <v>89557.96239999984</v>
      </c>
      <c r="J12" s="13" t="n">
        <v>85238.13303599996</v>
      </c>
      <c r="K12" s="13" t="n">
        <v>84438.65337599954</v>
      </c>
      <c r="L12" s="13" t="n">
        <v>83796.14013599954</v>
      </c>
      <c r="M12" s="13" t="n">
        <v>83722.24253599951</v>
      </c>
      <c r="N12" s="13" t="n">
        <v>82915.41270399932</v>
      </c>
      <c r="O12" s="13" t="n">
        <v>81990.92733599944</v>
      </c>
      <c r="P12" s="13" t="n">
        <v>74388.11791599938</v>
      </c>
      <c r="Q12" s="5" t="n"/>
      <c r="R12" s="5" t="n"/>
      <c r="S12" s="5" t="n"/>
      <c r="T12" s="5" t="n"/>
      <c r="U12" s="5" t="n"/>
      <c r="V12" s="5" t="n"/>
      <c r="W12" s="5" t="n"/>
      <c r="X12" s="5" t="n"/>
      <c r="Y12" s="5" t="n"/>
    </row>
    <row r="13">
      <c r="A13" s="9" t="n">
        <v>2011</v>
      </c>
      <c r="B13" s="13" t="n">
        <v>1654996.96412</v>
      </c>
      <c r="C13" s="13" t="n">
        <v>1180028.968244</v>
      </c>
      <c r="D13" s="13" t="n">
        <v>711057.1291999999</v>
      </c>
      <c r="E13" s="13" t="n">
        <v>612248.6086520001</v>
      </c>
      <c r="F13" s="13" t="n">
        <v>495660.1407999999</v>
      </c>
      <c r="G13" s="13" t="n">
        <v>360259.9435999999</v>
      </c>
      <c r="H13" s="13" t="n">
        <v>196907.9791999999</v>
      </c>
      <c r="I13" s="13" t="n">
        <v>193318.9443159997</v>
      </c>
      <c r="J13" s="13" t="n">
        <v>185010.7955000002</v>
      </c>
      <c r="K13" s="13" t="n">
        <v>170949.4678000002</v>
      </c>
      <c r="L13" s="13" t="n">
        <v>161329.5969960003</v>
      </c>
      <c r="M13" s="13" t="n">
        <v>142133.3626000001</v>
      </c>
      <c r="N13" s="13" t="n">
        <v>132462.4232760002</v>
      </c>
      <c r="O13" s="13" t="n">
        <v>126416.7022680002</v>
      </c>
      <c r="P13" s="5" t="n"/>
      <c r="Q13" s="5" t="n"/>
      <c r="R13" s="5" t="n"/>
      <c r="S13" s="5" t="n"/>
      <c r="T13" s="5" t="n"/>
      <c r="U13" s="5" t="n"/>
      <c r="V13" s="5" t="n"/>
      <c r="W13" s="5" t="n"/>
      <c r="X13" s="5" t="n"/>
      <c r="Y13" s="5" t="n"/>
    </row>
    <row r="14">
      <c r="A14" s="9" t="n">
        <v>2012</v>
      </c>
      <c r="B14" s="13" t="n">
        <v>1054857.019456</v>
      </c>
      <c r="C14" s="13" t="n">
        <v>648089.8443999999</v>
      </c>
      <c r="D14" s="13" t="n">
        <v>483323.295192</v>
      </c>
      <c r="E14" s="13" t="n">
        <v>331096.852</v>
      </c>
      <c r="F14" s="13" t="n">
        <v>321488.8443999999</v>
      </c>
      <c r="G14" s="13" t="n">
        <v>315231.3012</v>
      </c>
      <c r="H14" s="13" t="n">
        <v>305005.0082159999</v>
      </c>
      <c r="I14" s="13" t="n">
        <v>266485.3431800012</v>
      </c>
      <c r="J14" s="13" t="n">
        <v>234426.4265480011</v>
      </c>
      <c r="K14" s="13" t="n">
        <v>229626.381548001</v>
      </c>
      <c r="L14" s="13" t="n">
        <v>198347.2165560012</v>
      </c>
      <c r="M14" s="13" t="n">
        <v>137091.4901240012</v>
      </c>
      <c r="N14" s="13" t="n">
        <v>88430.13166000112</v>
      </c>
      <c r="O14" s="5" t="n"/>
      <c r="P14" s="5" t="n"/>
      <c r="Q14" s="5" t="n"/>
      <c r="R14" s="5" t="n"/>
      <c r="S14" s="5" t="n"/>
      <c r="T14" s="5" t="n"/>
      <c r="U14" s="5" t="n"/>
      <c r="V14" s="5" t="n"/>
      <c r="W14" s="5" t="n"/>
      <c r="X14" s="5" t="n"/>
      <c r="Y14" s="5" t="n"/>
    </row>
    <row r="15">
      <c r="A15" s="9" t="n">
        <v>2013</v>
      </c>
      <c r="B15" s="13" t="n">
        <v>573732.1900000001</v>
      </c>
      <c r="C15" s="13" t="n">
        <v>310180.529948</v>
      </c>
      <c r="D15" s="13" t="n">
        <v>231549.3532</v>
      </c>
      <c r="E15" s="13" t="n">
        <v>178692.7752</v>
      </c>
      <c r="F15" s="13" t="n">
        <v>67644.47639999993</v>
      </c>
      <c r="G15" s="13" t="n">
        <v>69486.14974799997</v>
      </c>
      <c r="H15" s="13" t="n">
        <v>69137.66978000023</v>
      </c>
      <c r="I15" s="13" t="n">
        <v>69137.66978</v>
      </c>
      <c r="J15" s="13" t="n">
        <v>67772.01574000018</v>
      </c>
      <c r="K15" s="13" t="n">
        <v>67772.01574000018</v>
      </c>
      <c r="L15" s="13" t="n">
        <v>67760.79914000013</v>
      </c>
      <c r="M15" s="13" t="n">
        <v>67760.79914000013</v>
      </c>
      <c r="N15" s="5" t="n"/>
      <c r="O15" s="5" t="n"/>
      <c r="P15" s="5" t="n"/>
      <c r="Q15" s="5" t="n"/>
      <c r="R15" s="5" t="n"/>
      <c r="S15" s="5" t="n"/>
      <c r="T15" s="5" t="n"/>
      <c r="U15" s="5" t="n"/>
      <c r="V15" s="5" t="n"/>
      <c r="W15" s="5" t="n"/>
      <c r="X15" s="5" t="n"/>
      <c r="Y15" s="5" t="n"/>
    </row>
    <row r="16">
      <c r="A16" s="9" t="n">
        <v>2014</v>
      </c>
      <c r="B16" s="13" t="n">
        <v>1140467.058604</v>
      </c>
      <c r="C16" s="13" t="n">
        <v>813951.1859999999</v>
      </c>
      <c r="D16" s="13" t="n">
        <v>625869.9175999999</v>
      </c>
      <c r="E16" s="13" t="n">
        <v>372655.8324</v>
      </c>
      <c r="F16" s="13" t="n">
        <v>293640.3353479998</v>
      </c>
      <c r="G16" s="13" t="n">
        <v>272751.1993079996</v>
      </c>
      <c r="H16" s="13" t="n">
        <v>264932.6352879996</v>
      </c>
      <c r="I16" s="13" t="n">
        <v>261110.9681199999</v>
      </c>
      <c r="J16" s="13" t="n">
        <v>252942.5253559996</v>
      </c>
      <c r="K16" s="13" t="n">
        <v>172870.1870559999</v>
      </c>
      <c r="L16" s="13" t="n">
        <v>162584.5252679999</v>
      </c>
      <c r="M16" s="5" t="n"/>
      <c r="N16" s="5" t="n"/>
      <c r="O16" s="5" t="n"/>
      <c r="P16" s="5" t="n"/>
      <c r="Q16" s="5" t="n"/>
      <c r="R16" s="5" t="n"/>
      <c r="S16" s="5" t="n"/>
      <c r="T16" s="5" t="n"/>
      <c r="U16" s="5" t="n"/>
      <c r="V16" s="5" t="n"/>
      <c r="W16" s="5" t="n"/>
      <c r="X16" s="5" t="n"/>
      <c r="Y16" s="5" t="n"/>
    </row>
    <row r="17">
      <c r="A17" s="9" t="n">
        <v>2015</v>
      </c>
      <c r="B17" s="13" t="n">
        <v>3409741.1852</v>
      </c>
      <c r="C17" s="13" t="n">
        <v>2945470.276</v>
      </c>
      <c r="D17" s="13" t="n">
        <v>2370023.0668</v>
      </c>
      <c r="E17" s="13" t="n">
        <v>1709291.666727999</v>
      </c>
      <c r="F17" s="13" t="n">
        <v>1555544.028243999</v>
      </c>
      <c r="G17" s="13" t="n">
        <v>1302098.194891999</v>
      </c>
      <c r="H17" s="13" t="n">
        <v>1026484.374747999</v>
      </c>
      <c r="I17" s="13" t="n">
        <v>875225.5678439979</v>
      </c>
      <c r="J17" s="13" t="n">
        <v>833432.7141839983</v>
      </c>
      <c r="K17" s="13" t="n">
        <v>425934.7314519985</v>
      </c>
      <c r="L17" s="5" t="n"/>
      <c r="M17" s="5" t="n"/>
      <c r="N17" s="5" t="n"/>
      <c r="O17" s="5" t="n"/>
      <c r="P17" s="5" t="n"/>
      <c r="Q17" s="5" t="n"/>
      <c r="R17" s="5" t="n"/>
      <c r="S17" s="5" t="n"/>
      <c r="T17" s="5" t="n"/>
      <c r="U17" s="5" t="n"/>
      <c r="V17" s="5" t="n"/>
      <c r="W17" s="5" t="n"/>
      <c r="X17" s="5" t="n"/>
      <c r="Y17" s="5" t="n"/>
    </row>
    <row r="18">
      <c r="A18" s="9" t="n">
        <v>2016</v>
      </c>
      <c r="B18" s="13" t="n">
        <v>2551656.0572</v>
      </c>
      <c r="C18" s="13" t="n">
        <v>1765376.356</v>
      </c>
      <c r="D18" s="13" t="n">
        <v>1299785.741232</v>
      </c>
      <c r="E18" s="13" t="n">
        <v>1100155.346828</v>
      </c>
      <c r="F18" s="13" t="n">
        <v>965388.9667040012</v>
      </c>
      <c r="G18" s="13" t="n">
        <v>768450.3583600018</v>
      </c>
      <c r="H18" s="13" t="n">
        <v>472112.5237240014</v>
      </c>
      <c r="I18" s="13" t="n">
        <v>456089.0563920015</v>
      </c>
      <c r="J18" s="13" t="n">
        <v>429070.1936080013</v>
      </c>
      <c r="K18" s="5" t="n"/>
      <c r="L18" s="5" t="n"/>
      <c r="M18" s="5" t="n"/>
      <c r="N18" s="5" t="n"/>
      <c r="O18" s="5" t="n"/>
      <c r="P18" s="5" t="n"/>
      <c r="Q18" s="5" t="n"/>
      <c r="R18" s="5" t="n"/>
      <c r="S18" s="5" t="n"/>
      <c r="T18" s="5" t="n"/>
      <c r="U18" s="5" t="n"/>
      <c r="V18" s="5" t="n"/>
      <c r="W18" s="5" t="n"/>
      <c r="X18" s="5" t="n"/>
      <c r="Y18" s="5" t="n"/>
    </row>
    <row r="19">
      <c r="A19" s="9" t="n">
        <v>2017</v>
      </c>
      <c r="B19" s="13" t="n">
        <v>1097694.2168</v>
      </c>
      <c r="C19" s="13" t="n">
        <v>849556.316096</v>
      </c>
      <c r="D19" s="13" t="n">
        <v>804219.4654999997</v>
      </c>
      <c r="E19" s="13" t="n">
        <v>723779.4206599998</v>
      </c>
      <c r="F19" s="13" t="n">
        <v>661671.0346879998</v>
      </c>
      <c r="G19" s="13" t="n">
        <v>578616.4663679997</v>
      </c>
      <c r="H19" s="13" t="n">
        <v>329258.8329919996</v>
      </c>
      <c r="I19" s="13" t="n">
        <v>228534.7810839997</v>
      </c>
      <c r="J19" s="5" t="n"/>
      <c r="K19" s="5" t="n"/>
      <c r="L19" s="5" t="n"/>
      <c r="M19" s="5" t="n"/>
      <c r="N19" s="5" t="n"/>
      <c r="O19" s="5" t="n"/>
      <c r="P19" s="5" t="n"/>
      <c r="Q19" s="5" t="n"/>
      <c r="R19" s="5" t="n"/>
      <c r="S19" s="5" t="n"/>
      <c r="T19" s="5" t="n"/>
      <c r="U19" s="5" t="n"/>
      <c r="V19" s="5" t="n"/>
      <c r="W19" s="5" t="n"/>
      <c r="X19" s="5" t="n"/>
      <c r="Y19" s="5" t="n"/>
    </row>
    <row r="20">
      <c r="A20" s="9" t="n">
        <v>2018</v>
      </c>
      <c r="B20" s="13" t="n">
        <v>2592651.121004</v>
      </c>
      <c r="C20" s="13" t="n">
        <v>1944950.177112</v>
      </c>
      <c r="D20" s="13" t="n">
        <v>1464347.9379</v>
      </c>
      <c r="E20" s="13" t="n">
        <v>913967.1113239995</v>
      </c>
      <c r="F20" s="13" t="n">
        <v>797665.207808</v>
      </c>
      <c r="G20" s="13" t="n">
        <v>677220.9743239991</v>
      </c>
      <c r="H20" s="13" t="n">
        <v>542621.8666959992</v>
      </c>
      <c r="I20" s="5" t="n"/>
      <c r="J20" s="5" t="n"/>
      <c r="K20" s="5" t="n"/>
      <c r="L20" s="5" t="n"/>
      <c r="M20" s="5" t="n"/>
      <c r="N20" s="5" t="n"/>
      <c r="O20" s="5" t="n"/>
      <c r="P20" s="5" t="n"/>
      <c r="Q20" s="5" t="n"/>
      <c r="R20" s="5" t="n"/>
      <c r="S20" s="5" t="n"/>
      <c r="T20" s="5" t="n"/>
      <c r="U20" s="5" t="n"/>
      <c r="V20" s="5" t="n"/>
      <c r="W20" s="5" t="n"/>
      <c r="X20" s="5" t="n"/>
      <c r="Y20" s="5" t="n"/>
    </row>
    <row r="21">
      <c r="A21" s="9" t="n">
        <v>2019</v>
      </c>
      <c r="B21" s="13" t="n">
        <v>3005410.268335999</v>
      </c>
      <c r="C21" s="13" t="n">
        <v>2521022.360644</v>
      </c>
      <c r="D21" s="13" t="n">
        <v>1941006.656656</v>
      </c>
      <c r="E21" s="13" t="n">
        <v>1693994.348359999</v>
      </c>
      <c r="F21" s="13" t="n">
        <v>1323849.64942</v>
      </c>
      <c r="G21" s="13" t="n">
        <v>899500.2955119992</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3" t="n">
        <v>1216454.794716</v>
      </c>
      <c r="C22" s="13" t="n">
        <v>772282.9638400001</v>
      </c>
      <c r="D22" s="13" t="n">
        <v>640667.0759320001</v>
      </c>
      <c r="E22" s="13" t="n">
        <v>536434.8806200001</v>
      </c>
      <c r="F22" s="13" t="n">
        <v>526320.067444</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3" t="n">
        <v>1365676.295004</v>
      </c>
      <c r="C23" s="13" t="n">
        <v>1092476.524708</v>
      </c>
      <c r="D23" s="13" t="n">
        <v>728009.16724</v>
      </c>
      <c r="E23" s="13" t="n">
        <v>664408.9866639997</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3" t="n">
        <v>1255521.496232</v>
      </c>
      <c r="C24" s="13" t="n">
        <v>816217.814912</v>
      </c>
      <c r="D24" s="13" t="n">
        <v>771758.6698639998</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3" t="n">
        <v>3002624.248036</v>
      </c>
      <c r="C25" s="13" t="n">
        <v>2170649.411643999</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3" t="n">
        <v>2224436.369068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15" t="n"/>
      <c r="C1" s="15" t="n"/>
      <c r="D1" s="2" t="n"/>
    </row>
    <row r="2">
      <c r="A2" s="8" t="inlineStr">
        <is>
          <t>Accident Period</t>
        </is>
      </c>
      <c r="B2" s="8" t="inlineStr">
        <is>
          <t>Ultimate Severity</t>
        </is>
      </c>
      <c r="C2" s="8" t="inlineStr">
        <is>
          <t>Ultimate Loss Rate</t>
        </is>
      </c>
      <c r="D2" s="8" t="inlineStr">
        <is>
          <t>Ultimate Frequency</t>
        </is>
      </c>
    </row>
    <row r="3">
      <c r="A3" s="9" t="n">
        <v>2001</v>
      </c>
      <c r="B3" s="13" t="n">
        <v>4358.679155185416</v>
      </c>
      <c r="C3" s="13" t="n">
        <v>0.009653533722406221</v>
      </c>
      <c r="D3" s="13" t="n">
        <v>2.214784199227338e-06</v>
      </c>
    </row>
    <row r="4">
      <c r="A4" s="9" t="n">
        <v>2002</v>
      </c>
      <c r="B4" s="13" t="n">
        <v>3400.670013487096</v>
      </c>
      <c r="C4" s="13" t="n">
        <v>0.006869548031250423</v>
      </c>
      <c r="D4" s="13" t="n">
        <v>2.02005722519554e-06</v>
      </c>
    </row>
    <row r="5">
      <c r="A5" s="9" t="n">
        <v>2003</v>
      </c>
      <c r="B5" s="13" t="n">
        <v>3273.44164028247</v>
      </c>
      <c r="C5" s="13" t="n">
        <v>0.005485515370618482</v>
      </c>
      <c r="D5" s="13" t="n">
        <v>1.675763912548363e-06</v>
      </c>
    </row>
    <row r="6">
      <c r="A6" s="9" t="n">
        <v>2004</v>
      </c>
      <c r="B6" s="13" t="n">
        <v>1784.008781206177</v>
      </c>
      <c r="C6" s="13" t="n">
        <v>0.003414776854560157</v>
      </c>
      <c r="D6" s="13" t="n">
        <v>1.914103165036783e-06</v>
      </c>
    </row>
    <row r="7">
      <c r="A7" s="9" t="n">
        <v>2005</v>
      </c>
      <c r="B7" s="13" t="n">
        <v>3586.163954783654</v>
      </c>
      <c r="C7" s="13" t="n">
        <v>0.006715875223356483</v>
      </c>
      <c r="D7" s="13" t="n">
        <v>1.872718399948794e-06</v>
      </c>
    </row>
    <row r="8">
      <c r="A8" s="9" t="n">
        <v>2006</v>
      </c>
      <c r="B8" s="13" t="n">
        <v>3021.975130314387</v>
      </c>
      <c r="C8" s="13" t="n">
        <v>0.004303960459523584</v>
      </c>
      <c r="D8" s="13" t="n">
        <v>1.424221005775063e-06</v>
      </c>
    </row>
    <row r="9">
      <c r="A9" s="9" t="n">
        <v>2007</v>
      </c>
      <c r="B9" s="13" t="n">
        <v>10384.78687825321</v>
      </c>
      <c r="C9" s="13" t="n">
        <v>0.01388483281537865</v>
      </c>
      <c r="D9" s="13" t="n">
        <v>1.337035894733179e-06</v>
      </c>
    </row>
    <row r="10">
      <c r="A10" s="9" t="n">
        <v>2008</v>
      </c>
      <c r="B10" s="13" t="n">
        <v>4341.990666515714</v>
      </c>
      <c r="C10" s="13" t="n">
        <v>0.00392576162758277</v>
      </c>
      <c r="D10" s="13" t="n">
        <v>9.041386610655815e-07</v>
      </c>
    </row>
    <row r="11">
      <c r="A11" s="9" t="n">
        <v>2009</v>
      </c>
      <c r="B11" s="13" t="n">
        <v>3807.373539671734</v>
      </c>
      <c r="C11" s="13" t="n">
        <v>0.003307126710451525</v>
      </c>
      <c r="D11" s="13" t="n">
        <v>8.686110453813421e-07</v>
      </c>
    </row>
    <row r="12">
      <c r="A12" s="9" t="n">
        <v>2010</v>
      </c>
      <c r="B12" s="13" t="n">
        <v>4973.779160793061</v>
      </c>
      <c r="C12" s="13" t="n">
        <v>0.003575930490731921</v>
      </c>
      <c r="D12" s="13" t="n">
        <v>7.189564263166329e-07</v>
      </c>
    </row>
    <row r="13">
      <c r="A13" s="9" t="n">
        <v>2011</v>
      </c>
      <c r="B13" s="13" t="n">
        <v>5839.946294158072</v>
      </c>
      <c r="C13" s="13" t="n">
        <v>0.005235345194738358</v>
      </c>
      <c r="D13" s="13" t="n">
        <v>8.964714624131867e-07</v>
      </c>
    </row>
    <row r="14">
      <c r="A14" s="9" t="n">
        <v>2012</v>
      </c>
      <c r="B14" s="13" t="n">
        <v>4909.151418703555</v>
      </c>
      <c r="C14" s="13" t="n">
        <v>0.003260668320391781</v>
      </c>
      <c r="D14" s="13" t="n">
        <v>6.642020264375716e-07</v>
      </c>
    </row>
    <row r="15">
      <c r="A15" s="9" t="n">
        <v>2013</v>
      </c>
      <c r="B15" s="13" t="n">
        <v>2661.888457903739</v>
      </c>
      <c r="C15" s="13" t="n">
        <v>0.00193471483221382</v>
      </c>
      <c r="D15" s="13" t="n">
        <v>7.268203994307954e-07</v>
      </c>
    </row>
    <row r="16">
      <c r="A16" s="9" t="n">
        <v>2014</v>
      </c>
      <c r="B16" s="13" t="n">
        <v>3409.439421695639</v>
      </c>
      <c r="C16" s="13" t="n">
        <v>0.003792597338881947</v>
      </c>
      <c r="D16" s="13" t="n">
        <v>1.112381500239635e-06</v>
      </c>
    </row>
    <row r="17">
      <c r="A17" s="9" t="n">
        <v>2015</v>
      </c>
      <c r="B17" s="13" t="n">
        <v>11352.60184844611</v>
      </c>
      <c r="C17" s="13" t="n">
        <v>0.009079259282600796</v>
      </c>
      <c r="D17" s="13" t="n">
        <v>7.997514053435708e-07</v>
      </c>
    </row>
    <row r="18">
      <c r="A18" s="9" t="n">
        <v>2016</v>
      </c>
      <c r="B18" s="13" t="n">
        <v>7419.185559259232</v>
      </c>
      <c r="C18" s="13" t="n">
        <v>0.006790191059312803</v>
      </c>
      <c r="D18" s="13" t="n">
        <v>9.15220546120263e-07</v>
      </c>
    </row>
    <row r="19">
      <c r="A19" s="9" t="n">
        <v>2017</v>
      </c>
      <c r="B19" s="13" t="n">
        <v>4636.00213967349</v>
      </c>
      <c r="C19" s="13" t="n">
        <v>0.003302523766445061</v>
      </c>
      <c r="D19" s="13" t="n">
        <v>7.123645906422413e-07</v>
      </c>
    </row>
    <row r="20">
      <c r="A20" s="9" t="n">
        <v>2018</v>
      </c>
      <c r="B20" s="13" t="n">
        <v>9042.135991949061</v>
      </c>
      <c r="C20" s="13" t="n">
        <v>0.006632142518082441</v>
      </c>
      <c r="D20" s="13" t="n">
        <v>7.334707776998233e-07</v>
      </c>
    </row>
    <row r="21">
      <c r="A21" s="9" t="n">
        <v>2019</v>
      </c>
      <c r="B21" s="13" t="n">
        <v>9241.663852298992</v>
      </c>
      <c r="C21" s="13" t="n">
        <v>0.007291318535934216</v>
      </c>
      <c r="D21" s="13" t="n">
        <v>7.88961668857973e-07</v>
      </c>
    </row>
    <row r="22">
      <c r="A22" s="9" t="n">
        <v>2020</v>
      </c>
      <c r="B22" s="13" t="n">
        <v>4067.05720086627</v>
      </c>
      <c r="C22" s="13" t="n">
        <v>0.003259631430182937</v>
      </c>
      <c r="D22" s="13" t="n">
        <v>8.014717446040952e-07</v>
      </c>
    </row>
    <row r="23">
      <c r="A23" s="9" t="n">
        <v>2021</v>
      </c>
      <c r="B23" s="13" t="n">
        <v>4988.280470290401</v>
      </c>
      <c r="C23" s="13" t="n">
        <v>0.003487169126619726</v>
      </c>
      <c r="D23" s="13" t="n">
        <v>6.990723852415449e-07</v>
      </c>
    </row>
    <row r="24">
      <c r="A24" s="9" t="n">
        <v>2022</v>
      </c>
      <c r="B24" s="13" t="n">
        <v>5256.234146669582</v>
      </c>
      <c r="C24" s="13" t="n">
        <v>0.003259205307382056</v>
      </c>
      <c r="D24" s="13" t="n">
        <v>6.200647110530895e-07</v>
      </c>
    </row>
    <row r="25">
      <c r="A25" s="9" t="n">
        <v>2023</v>
      </c>
      <c r="B25" s="13" t="n">
        <v>11088.3426506928</v>
      </c>
      <c r="C25" s="13" t="n">
        <v>0.006889801747141235</v>
      </c>
      <c r="D25" s="13" t="n">
        <v>6.213554147977887e-07</v>
      </c>
    </row>
    <row r="26">
      <c r="A26" s="9" t="n">
        <v>2024</v>
      </c>
      <c r="B26" s="13" t="n">
        <v>9040.357628472904</v>
      </c>
      <c r="C26" s="13" t="n">
        <v>0.005170793211367366</v>
      </c>
      <c r="D26" s="13" t="n">
        <v>5.719677720582406e-07</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2026-04-27T16:20:50Z</dcterms:created>
  <dcterms:modified xmlns:dcterms="http://purl.org/dc/terms/" xmlns:xsi="http://www.w3.org/2001/XMLSchema-instance" xsi:type="dcterms:W3CDTF">2026-04-27T16:20:54Z</dcterms:modified>
</cp:coreProperties>
</file>