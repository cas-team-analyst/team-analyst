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sheetId="1" state="visible" r:id="rId1"/>
    <sheet xmlns:r="http://schemas.openxmlformats.org/officeDocument/2006/relationships" name="Loss Selection" sheetId="2" state="visible" r:id="rId2"/>
    <sheet xmlns:r="http://schemas.openxmlformats.org/officeDocument/2006/relationships" name="Incurred CL" sheetId="3" state="visible" r:id="rId3"/>
    <sheet xmlns:r="http://schemas.openxmlformats.org/officeDocument/2006/relationships" name="Paid CL" sheetId="4" state="visible" r:id="rId4"/>
    <sheet xmlns:r="http://schemas.openxmlformats.org/officeDocument/2006/relationships" name="Incurred BF" sheetId="5" state="visible" r:id="rId5"/>
    <sheet xmlns:r="http://schemas.openxmlformats.org/officeDocument/2006/relationships" name="Paid BF" sheetId="6" state="visible" r:id="rId6"/>
    <sheet xmlns:r="http://schemas.openxmlformats.org/officeDocument/2006/relationships" name="Incurred IE" sheetId="7" state="visible" r:id="rId7"/>
    <sheet xmlns:r="http://schemas.openxmlformats.org/officeDocument/2006/relationships" name="Paid IE" sheetId="8" state="visible" r:id="rId8"/>
    <sheet xmlns:r="http://schemas.openxmlformats.org/officeDocument/2006/relationships" name="Counts Selection" sheetId="9" state="visible" r:id="rId9"/>
    <sheet xmlns:r="http://schemas.openxmlformats.org/officeDocument/2006/relationships" name="Reported CL" sheetId="10" state="visible" r:id="rId10"/>
    <sheet xmlns:r="http://schemas.openxmlformats.org/officeDocument/2006/relationships" name="Incurred" sheetId="11" state="visible" r:id="rId11"/>
    <sheet xmlns:r="http://schemas.openxmlformats.org/officeDocument/2006/relationships" name="Paid" sheetId="12" state="visible" r:id="rId12"/>
    <sheet xmlns:r="http://schemas.openxmlformats.org/officeDocument/2006/relationships" name="Reported" sheetId="13" state="visible" r:id="rId13"/>
    <sheet xmlns:r="http://schemas.openxmlformats.org/officeDocument/2006/relationships" name="Exposure" sheetId="14" state="visible" r:id="rId14"/>
    <sheet xmlns:r="http://schemas.openxmlformats.org/officeDocument/2006/relationships" name="Diag - Rptd Claims" sheetId="15" state="visible" r:id="rId15"/>
    <sheet xmlns:r="http://schemas.openxmlformats.org/officeDocument/2006/relationships" name="Diag - Inc Severity" sheetId="16" state="visible" r:id="rId16"/>
    <sheet xmlns:r="http://schemas.openxmlformats.org/officeDocument/2006/relationships" name="Diag - Paid to Incurred" sheetId="17" state="visible" r:id="rId17"/>
    <sheet xmlns:r="http://schemas.openxmlformats.org/officeDocument/2006/relationships" name="Diag - Incr Inc Svty" sheetId="18" state="visible" r:id="rId18"/>
    <sheet xmlns:r="http://schemas.openxmlformats.org/officeDocument/2006/relationships" name="Incurred Loss - CV &amp; Slopes" sheetId="19" state="visible" r:id="rId19"/>
    <sheet xmlns:r="http://schemas.openxmlformats.org/officeDocument/2006/relationships" name="Paid Loss - CV &amp; Slopes" sheetId="20" state="visible" r:id="rId20"/>
    <sheet xmlns:r="http://schemas.openxmlformats.org/officeDocument/2006/relationships" name="Reported Count - CV &amp; Slopes" sheetId="21" state="visible" r:id="rId21"/>
    <sheet xmlns:r="http://schemas.openxmlformats.org/officeDocument/2006/relationships" name="Incurred-to-Ult" sheetId="22" state="visible" r:id="rId22"/>
    <sheet xmlns:r="http://schemas.openxmlformats.org/officeDocument/2006/relationships" name="Paid-to-Ult" sheetId="23" state="visible" r:id="rId23"/>
    <sheet xmlns:r="http://schemas.openxmlformats.org/officeDocument/2006/relationships" name="Reported-to-Ult" sheetId="24" state="visible" r:id="rId24"/>
    <sheet xmlns:r="http://schemas.openxmlformats.org/officeDocument/2006/relationships" name="Average IBNR" sheetId="25" state="visible" r:id="rId25"/>
    <sheet xmlns:r="http://schemas.openxmlformats.org/officeDocument/2006/relationships" name="Average Unpaid" sheetId="26" state="visible" r:id="rId26"/>
    <sheet xmlns:r="http://schemas.openxmlformats.org/officeDocument/2006/relationships" name="Diagnostics" sheetId="27" state="visible" r:id="rId27"/>
  </sheets>
  <definedNames/>
  <calcPr calcId="124519" fullCalcOnLoad="1"/>
</workbook>
</file>

<file path=xl/styles.xml><?xml version="1.0" encoding="utf-8"?>
<styleSheet xmlns="http://schemas.openxmlformats.org/spreadsheetml/2006/main">
  <numFmts count="4">
    <numFmt numFmtId="164" formatCode="#,##0.000"/>
    <numFmt numFmtId="165" formatCode="0.0%"/>
    <numFmt numFmtId="166" formatCode="0.0000"/>
    <numFmt numFmtId="167" formatCode=""/>
  </numFmts>
  <fonts count="6">
    <font>
      <name val="Calibri"/>
      <family val="2"/>
      <color theme="1"/>
      <sz val="11"/>
      <scheme val="minor"/>
    </font>
    <font>
      <b val="1"/>
      <color rgb="00FFFFFF"/>
      <sz val="10"/>
    </font>
    <font>
      <sz val="9"/>
    </font>
    <font>
      <b val="1"/>
      <sz val="10"/>
    </font>
    <font>
      <b val="1"/>
      <sz val="9"/>
    </font>
    <font>
      <b val="1"/>
      <color rgb="00FFFFFF"/>
      <sz val="11"/>
    </font>
  </fonts>
  <fills count="6">
    <fill>
      <patternFill/>
    </fill>
    <fill>
      <patternFill patternType="gray125"/>
    </fill>
    <fill>
      <patternFill patternType="solid">
        <fgColor rgb="002E75B6"/>
      </patternFill>
    </fill>
    <fill>
      <patternFill patternType="solid">
        <fgColor rgb="00D6E4F0"/>
      </patternFill>
    </fill>
    <fill>
      <patternFill patternType="solid">
        <fgColor rgb="00FFF2CC"/>
      </patternFill>
    </fill>
    <fill>
      <patternFill patternType="solid">
        <fgColor rgb="001F4E79"/>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style="thin">
        <color rgb="00CCCCCC"/>
      </bottom>
      <diagonal/>
    </border>
    <border>
      <left/>
      <right style="thin">
        <color rgb="00CCCCCC"/>
      </right>
      <top style="thin">
        <color rgb="00CCCCCC"/>
      </top>
      <bottom style="thin">
        <color rgb="00CCCCCC"/>
      </bottom>
      <diagonal/>
    </border>
    <border>
      <left/>
      <right/>
      <top style="thin">
        <color rgb="00CCCCCC"/>
      </top>
      <bottom/>
      <diagonal/>
    </border>
    <border>
      <left/>
      <right style="thin">
        <color rgb="00CCCCCC"/>
      </right>
      <top style="thin">
        <color rgb="00CCCCCC"/>
      </top>
      <bottom/>
      <diagonal/>
    </border>
  </borders>
  <cellStyleXfs count="1">
    <xf numFmtId="0" fontId="0" fillId="0" borderId="0"/>
  </cellStyleXfs>
  <cellXfs count="28">
    <xf numFmtId="0" fontId="0" fillId="0" borderId="0" pivotButton="0" quotePrefix="0" xfId="0"/>
    <xf numFmtId="0" fontId="5" fillId="5" borderId="1" applyAlignment="1" pivotButton="0" quotePrefix="0" xfId="0">
      <alignment horizontal="center" vertical="center" wrapText="1"/>
    </xf>
    <xf numFmtId="0" fontId="0" fillId="0" borderId="3" pivotButton="0" quotePrefix="0" xfId="0"/>
    <xf numFmtId="0" fontId="3" fillId="3" borderId="1" applyAlignment="1" pivotButton="0" quotePrefix="0" xfId="0">
      <alignment horizontal="center" vertical="center" wrapText="1"/>
    </xf>
    <xf numFmtId="0" fontId="4" fillId="0" borderId="1" applyAlignment="1" pivotButton="0" quotePrefix="0" xfId="0">
      <alignment horizontal="left" vertical="center"/>
    </xf>
    <xf numFmtId="0" fontId="2" fillId="0" borderId="1" applyAlignment="1" pivotButton="0" quotePrefix="0" xfId="0">
      <alignment horizontal="left" vertical="center"/>
    </xf>
    <xf numFmtId="0" fontId="1" fillId="2" borderId="1" applyAlignment="1" pivotButton="0" quotePrefix="0" xfId="0">
      <alignment horizontal="center" vertical="center"/>
    </xf>
    <xf numFmtId="0" fontId="2" fillId="0" borderId="1" applyAlignment="1" pivotButton="0" quotePrefix="0" xfId="0">
      <alignment horizontal="left" vertical="center" wrapText="1"/>
    </xf>
    <xf numFmtId="0" fontId="1" fillId="2" borderId="1" applyAlignment="1" pivotButton="0" quotePrefix="0" xfId="0">
      <alignment horizontal="center" vertical="center" wrapText="1"/>
    </xf>
    <xf numFmtId="0" fontId="2" fillId="0" borderId="1" applyAlignment="1" pivotButton="0" quotePrefix="0" xfId="0">
      <alignment horizontal="right" vertical="center"/>
    </xf>
    <xf numFmtId="3" fontId="2" fillId="0" borderId="1" pivotButton="0" quotePrefix="0" xfId="0"/>
    <xf numFmtId="3" fontId="2" fillId="0" borderId="1" applyAlignment="1" pivotButton="0" quotePrefix="0" xfId="0">
      <alignment horizontal="right" vertical="center"/>
    </xf>
    <xf numFmtId="164" fontId="2" fillId="0" borderId="1" applyAlignment="1" pivotButton="0" quotePrefix="0" xfId="0">
      <alignment horizontal="right" vertical="center"/>
    </xf>
    <xf numFmtId="165" fontId="2" fillId="0" borderId="1" pivotButton="0" quotePrefix="0" xfId="0"/>
    <xf numFmtId="0" fontId="0" fillId="0" borderId="2" pivotButton="0" quotePrefix="0" xfId="0"/>
    <xf numFmtId="0" fontId="0" fillId="0" borderId="1" pivotButton="0" quotePrefix="0" xfId="0"/>
    <xf numFmtId="0" fontId="4" fillId="0" borderId="1" applyAlignment="1" pivotButton="0" quotePrefix="0" xfId="0">
      <alignment horizontal="left"/>
    </xf>
    <xf numFmtId="3" fontId="2" fillId="0" borderId="1" applyAlignment="1" pivotButton="0" quotePrefix="0" xfId="0">
      <alignment horizontal="right"/>
    </xf>
    <xf numFmtId="166" fontId="2" fillId="0" borderId="1" applyAlignment="1" pivotButton="0" quotePrefix="0" xfId="0">
      <alignment horizontal="right"/>
    </xf>
    <xf numFmtId="0" fontId="1" fillId="2" borderId="1" applyAlignment="1" pivotButton="0" quotePrefix="0" xfId="0">
      <alignment horizontal="center"/>
    </xf>
    <xf numFmtId="0" fontId="4" fillId="0" borderId="1" pivotButton="0" quotePrefix="0" xfId="0"/>
    <xf numFmtId="0" fontId="4" fillId="4" borderId="1" applyAlignment="1" pivotButton="0" quotePrefix="0" xfId="0">
      <alignment horizontal="center" vertical="center" wrapText="1"/>
    </xf>
    <xf numFmtId="166" fontId="2" fillId="4" borderId="1" applyAlignment="1" pivotButton="0" quotePrefix="0" xfId="0">
      <alignment horizontal="right"/>
    </xf>
    <xf numFmtId="164" fontId="2" fillId="4" borderId="1" applyAlignment="1" pivotButton="0" quotePrefix="0" xfId="0">
      <alignment horizontal="right"/>
    </xf>
    <xf numFmtId="167" fontId="4" fillId="4" borderId="1" applyAlignment="1" pivotButton="0" quotePrefix="0" xfId="0">
      <alignment horizontal="left" vertical="top" wrapText="1"/>
    </xf>
    <xf numFmtId="167" fontId="2" fillId="4" borderId="1" applyAlignment="1" pivotButton="0" quotePrefix="0" xfId="0">
      <alignment horizontal="left" vertical="top" wrapText="1"/>
    </xf>
    <xf numFmtId="164" fontId="2" fillId="0" borderId="1" pivotButton="0" quotePrefix="0" xfId="0"/>
    <xf numFmtId="10" fontId="2" fillId="0"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3"/>
  <sheetViews>
    <sheetView workbookViewId="0">
      <pane ySplit="7" topLeftCell="A8" activePane="bottomLeft" state="frozen"/>
      <selection pane="bottomLeft" activeCell="A1" sqref="A1"/>
    </sheetView>
  </sheetViews>
  <sheetFormatPr baseColWidth="8" defaultRowHeight="15"/>
  <cols>
    <col width="28" customWidth="1" min="1" max="1"/>
    <col width="80" customWidth="1" min="2" max="2"/>
  </cols>
  <sheetData>
    <row r="1" ht="24" customHeight="1">
      <c r="A1" s="1" t="inlineStr">
        <is>
          <t>Reserve Analysis - Complete Analysis</t>
        </is>
      </c>
      <c r="B1" s="2" t="n"/>
    </row>
    <row r="2">
      <c r="A2" s="3" t="inlineStr">
        <is>
          <t>Workbook Information</t>
        </is>
      </c>
      <c r="B2" s="2" t="n"/>
    </row>
    <row r="3">
      <c r="A3" s="4" t="inlineStr">
        <is>
          <t>Created:</t>
        </is>
      </c>
      <c r="B3" s="5" t="inlineStr">
        <is>
          <t>April 27, 2026 08:13 AM</t>
        </is>
      </c>
    </row>
    <row r="4">
      <c r="A4" s="4" t="inlineStr">
        <is>
          <t>Description:</t>
        </is>
      </c>
      <c r="B4" s="5" t="inlineStr">
        <is>
          <t>Complete actuarial reserve analysis combining selections, ultimates, and diagnostics</t>
        </is>
      </c>
    </row>
    <row r="6">
      <c r="A6" s="3" t="inlineStr">
        <is>
          <t>Table of Contents</t>
        </is>
      </c>
      <c r="B6" s="2" t="n"/>
    </row>
    <row r="7">
      <c r="A7" s="6" t="inlineStr">
        <is>
          <t>Name</t>
        </is>
      </c>
      <c r="B7" s="6" t="inlineStr">
        <is>
          <t>Description</t>
        </is>
      </c>
    </row>
    <row r="8">
      <c r="A8" s="5" t="inlineStr">
        <is>
          <t>Loss Selection</t>
        </is>
      </c>
      <c r="B8" s="7" t="inlineStr">
        <is>
          <t>Actuary-selected ultimates for loss measures. Compare CL/BF/IE methods and record final selection.</t>
        </is>
      </c>
    </row>
    <row r="9">
      <c r="A9" s="5" t="inlineStr">
        <is>
          <t>Incurred CL</t>
        </is>
      </c>
      <c r="B9" s="7" t="inlineStr">
        <is>
          <t>Chain Ladder method results. Ultimate = Actual × CDF. IBNR = Ultimate − Actual. Unpaid = Ultimate − latest paid (proxy measure).</t>
        </is>
      </c>
    </row>
    <row r="10">
      <c r="A10" s="5" t="inlineStr">
        <is>
          <t>Paid CL</t>
        </is>
      </c>
      <c r="B10" s="7" t="inlineStr">
        <is>
          <t>Chain Ladder method results. Ultimate = Actual × CDF. IBNR = Ultimate − Actual. Unpaid = Ultimate − latest paid (proxy measure).</t>
        </is>
      </c>
    </row>
    <row r="11">
      <c r="A11" s="5" t="inlineStr">
        <is>
          <t>Incurred BF</t>
        </is>
      </c>
      <c r="B11" s="7" t="inlineStr">
        <is>
          <t>Bornhuetter-Ferguson method. Blends Initial Expected with emerged experience. % Unreported = 1 − 1/CDF. Ultimate = (IE × % Unreported) + Actual.</t>
        </is>
      </c>
    </row>
    <row r="12">
      <c r="A12" s="5" t="inlineStr">
        <is>
          <t>Paid BF</t>
        </is>
      </c>
      <c r="B12" s="7" t="inlineStr">
        <is>
          <t>Bornhuetter-Ferguson method. Blends Initial Expected with emerged experience. % Unreported = 1 − 1/CDF. Ultimate = (IE × % Unreported) + Actual.</t>
        </is>
      </c>
    </row>
    <row r="13">
      <c r="A13" s="5" t="inlineStr">
        <is>
          <t>Incurred IE</t>
        </is>
      </c>
      <c r="B13" s="7" t="inlineStr">
        <is>
          <t>Initial Expected method. Ultimate = Exposure × Selected Loss Rate (ELR). ELR back-calculated from IE ultimate and exposure.</t>
        </is>
      </c>
    </row>
    <row r="14">
      <c r="A14" s="5" t="inlineStr">
        <is>
          <t>Paid IE</t>
        </is>
      </c>
      <c r="B14" s="7" t="inlineStr">
        <is>
          <t>Initial Expected method. Ultimate = Exposure × Selected Loss Rate (ELR). ELR back-calculated from IE ultimate and exposure.</t>
        </is>
      </c>
    </row>
    <row r="15">
      <c r="A15" s="5" t="inlineStr">
        <is>
          <t>Counts Selection</t>
        </is>
      </c>
      <c r="B15" s="7" t="inlineStr">
        <is>
          <t>Actuary-selected ultimates for count measures. Compare CL/BF/IE methods and record final selection.</t>
        </is>
      </c>
    </row>
    <row r="16">
      <c r="A16" s="5" t="inlineStr">
        <is>
          <t>Reported CL</t>
        </is>
      </c>
      <c r="B16" s="7" t="inlineStr">
        <is>
          <t>Chain Ladder method results. Ultimate = Actual × CDF. IBNR = Ultimate − Actual. Unpaid = Ultimate − latest paid (proxy measure).</t>
        </is>
      </c>
    </row>
    <row r="17">
      <c r="A17" s="5" t="inlineStr">
        <is>
          <t>Incurred</t>
        </is>
      </c>
      <c r="B17" s="7" t="inlineStr">
        <is>
          <t>Incurred development triangle with age-to-age factors, weighted/simple averages, and selected LDFs.</t>
        </is>
      </c>
    </row>
    <row r="18">
      <c r="A18" s="5" t="inlineStr">
        <is>
          <t>Paid</t>
        </is>
      </c>
      <c r="B18" s="7" t="inlineStr">
        <is>
          <t>Paid development triangle with age-to-age factors, weighted/simple averages, and selected LDFs.</t>
        </is>
      </c>
    </row>
    <row r="19">
      <c r="A19" s="5" t="inlineStr">
        <is>
          <t>Reported</t>
        </is>
      </c>
      <c r="B19" s="7" t="inlineStr">
        <is>
          <t>Reported development triangle with age-to-age factors, weighted/simple averages, and selected LDFs.</t>
        </is>
      </c>
    </row>
    <row r="20">
      <c r="A20" s="5" t="inlineStr">
        <is>
          <t>Exposure</t>
        </is>
      </c>
      <c r="B20" s="7" t="inlineStr">
        <is>
          <t>Exposure development triangle with age-to-age factors, weighted/simple averages, and selected LDFs.</t>
        </is>
      </c>
    </row>
    <row r="21">
      <c r="A21" s="5" t="inlineStr">
        <is>
          <t>Diag - Rptd Claims</t>
        </is>
      </c>
      <c r="B21" s="7" t="inlineStr">
        <is>
          <t>Diagnostic scatter plot data for development pattern review.</t>
        </is>
      </c>
    </row>
    <row r="22">
      <c r="A22" s="5" t="inlineStr">
        <is>
          <t>Diag - Inc Severity</t>
        </is>
      </c>
      <c r="B22" s="7" t="inlineStr">
        <is>
          <t>Diagnostic scatter plot data for development pattern review.</t>
        </is>
      </c>
    </row>
    <row r="23">
      <c r="A23" s="5" t="inlineStr">
        <is>
          <t>Diag - Paid to Incurred</t>
        </is>
      </c>
      <c r="B23" s="7" t="inlineStr">
        <is>
          <t>Diagnostic scatter plot data for development pattern review.</t>
        </is>
      </c>
    </row>
    <row r="24">
      <c r="A24" s="5" t="inlineStr">
        <is>
          <t>Diag - Incr Inc Svty</t>
        </is>
      </c>
      <c r="B24" s="7" t="inlineStr">
        <is>
          <t>Diagnostic scatter plot data for development pattern review.</t>
        </is>
      </c>
    </row>
    <row r="25">
      <c r="A25" s="5" t="inlineStr">
        <is>
          <t>Incurred Loss - CV &amp; Slopes</t>
        </is>
      </c>
      <c r="B25" s="7" t="inlineStr">
        <is>
          <t>Coefficient of variation and regression slope statistics for age-to-age factors by development interval.</t>
        </is>
      </c>
    </row>
    <row r="26">
      <c r="A26" s="5" t="inlineStr">
        <is>
          <t>Paid Loss - CV &amp; Slopes</t>
        </is>
      </c>
      <c r="B26" s="7" t="inlineStr">
        <is>
          <t>Coefficient of variation and regression slope statistics for age-to-age factors by development interval.</t>
        </is>
      </c>
    </row>
    <row r="27">
      <c r="A27" s="5" t="inlineStr">
        <is>
          <t>Reported Count - CV &amp; Slopes</t>
        </is>
      </c>
      <c r="B27" s="7" t="inlineStr">
        <is>
          <t>Coefficient of variation and regression slope statistics for age-to-age factors by development interval.</t>
        </is>
      </c>
    </row>
    <row r="28">
      <c r="A28" s="5" t="inlineStr">
        <is>
          <t>Incurred-to-Ult</t>
        </is>
      </c>
      <c r="B28" s="7" t="inlineStr">
        <is>
          <t>Incurred loss as a percent of selected ultimate by age. Values approach 1.0 as periods mature.</t>
        </is>
      </c>
    </row>
    <row r="29">
      <c r="A29" s="5" t="inlineStr">
        <is>
          <t>Paid-to-Ult</t>
        </is>
      </c>
      <c r="B29" s="7" t="inlineStr">
        <is>
          <t>Paid loss as a percent of selected ultimate by age. Values approach 1.0 as periods mature.</t>
        </is>
      </c>
    </row>
    <row r="30">
      <c r="A30" s="5" t="inlineStr">
        <is>
          <t>Reported-to-Ult</t>
        </is>
      </c>
      <c r="B30" s="7" t="inlineStr">
        <is>
          <t>Reported count as a percent of selected ultimate by age. Values approach 1.0 as periods mature.</t>
        </is>
      </c>
    </row>
    <row r="31">
      <c r="A31" s="5" t="inlineStr">
        <is>
          <t>Average IBNR</t>
        </is>
      </c>
      <c r="B31" s="7" t="inlineStr">
        <is>
          <t>Selected Ultimate minus Incurred at each development age. Shows average reserve need remaining by age.</t>
        </is>
      </c>
    </row>
    <row r="32">
      <c r="A32" s="5" t="inlineStr">
        <is>
          <t>Average Unpaid</t>
        </is>
      </c>
      <c r="B32" s="7" t="inlineStr">
        <is>
          <t>Selected Ultimate minus Paid at each development age. Shows average unpaid reserve remaining by age.</t>
        </is>
      </c>
    </row>
    <row r="33">
      <c r="A33" s="5" t="inlineStr">
        <is>
          <t>Diagnostics</t>
        </is>
      </c>
      <c r="B33" s="7" t="inlineStr">
        <is>
          <t>Post-selection reasonableness checks. Severity = Ultimate Loss / Ultimate Count. Loss Rate and Frequency require Exposure.</t>
        </is>
      </c>
    </row>
  </sheetData>
  <mergeCells count="5">
    <mergeCell ref="B4"/>
    <mergeCell ref="A2:B2"/>
    <mergeCell ref="A1:B1"/>
    <mergeCell ref="B3"/>
    <mergeCell ref="A6:B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8" t="inlineStr">
        <is>
          <t>Accident Period</t>
        </is>
      </c>
      <c r="B1" s="8" t="inlineStr">
        <is>
          <t>Current Age</t>
        </is>
      </c>
      <c r="C1" s="8" t="inlineStr">
        <is>
          <t>Incurred</t>
        </is>
      </c>
      <c r="D1" s="8" t="inlineStr">
        <is>
          <t>Paid</t>
        </is>
      </c>
      <c r="E1" s="8" t="inlineStr">
        <is>
          <t>Incurred CL</t>
        </is>
      </c>
      <c r="F1" s="8" t="inlineStr">
        <is>
          <t>Paid CL</t>
        </is>
      </c>
      <c r="G1" s="8" t="inlineStr">
        <is>
          <t>Incurred BF</t>
        </is>
      </c>
      <c r="H1" s="8" t="inlineStr">
        <is>
          <t>Paid BF</t>
        </is>
      </c>
      <c r="I1" s="8" t="inlineStr">
        <is>
          <t>Initial Expected</t>
        </is>
      </c>
      <c r="J1" s="8" t="inlineStr">
        <is>
          <t>Selected Ultimate</t>
        </is>
      </c>
      <c r="K1" s="8" t="inlineStr">
        <is>
          <t>IBNR</t>
        </is>
      </c>
      <c r="L1" s="8" t="inlineStr">
        <is>
          <t>Unpaid</t>
        </is>
      </c>
    </row>
    <row r="2">
      <c r="A2" s="9" t="n">
        <v>2001</v>
      </c>
      <c r="B2" s="9" t="n">
        <v>287</v>
      </c>
      <c r="C2" s="10" t="n">
        <v>3163773.699688</v>
      </c>
      <c r="D2" s="10" t="n">
        <v>3042294.662276</v>
      </c>
      <c r="E2" s="10" t="n">
        <v>3232111.211601261</v>
      </c>
      <c r="F2" s="10" t="n">
        <v>3054159.611458877</v>
      </c>
      <c r="G2" s="10" t="n">
        <v>3230666.330769892</v>
      </c>
      <c r="H2" s="10" t="n">
        <v>3054585.445649627</v>
      </c>
      <c r="I2" s="11" t="n">
        <v>3163773.699688</v>
      </c>
      <c r="J2" s="11" t="n">
        <v>68337.30031199986</v>
      </c>
      <c r="K2" s="10" t="n">
        <v>189816.3377239997</v>
      </c>
      <c r="L2" s="10">
        <f>J2-D2</f>
        <v/>
      </c>
    </row>
    <row r="3">
      <c r="A3" s="9" t="n">
        <v>2002</v>
      </c>
      <c r="B3" s="9" t="n">
        <v>275</v>
      </c>
      <c r="C3" s="10" t="n">
        <v>2327733.756319999</v>
      </c>
      <c r="D3" s="10" t="n">
        <v>2199646.228088</v>
      </c>
      <c r="E3" s="10" t="n">
        <v>2406311.157841444</v>
      </c>
      <c r="F3" s="10" t="n">
        <v>2216836.925286216</v>
      </c>
      <c r="G3" s="10" t="n">
        <v>2422574.286009467</v>
      </c>
      <c r="H3" s="10" t="n">
        <v>2222168.273848376</v>
      </c>
      <c r="I3" s="11" t="n">
        <v>2904344.256599999</v>
      </c>
      <c r="J3" s="11" t="n">
        <v>78577.24368000077</v>
      </c>
      <c r="K3" s="10" t="n">
        <v>206664.7719119997</v>
      </c>
      <c r="L3" s="10">
        <f>J3-D3</f>
        <v/>
      </c>
    </row>
    <row r="4">
      <c r="A4" s="9" t="n">
        <v>2003</v>
      </c>
      <c r="B4" s="9" t="n">
        <v>263</v>
      </c>
      <c r="C4" s="10" t="n">
        <v>1778091.575843999</v>
      </c>
      <c r="D4" s="10" t="n">
        <v>1778091.575843999</v>
      </c>
      <c r="E4" s="10" t="n">
        <v>1838114.684293428</v>
      </c>
      <c r="F4" s="10" t="n">
        <v>1805606.841693755</v>
      </c>
      <c r="G4" s="10" t="n">
        <v>1864080.322749911</v>
      </c>
      <c r="H4" s="10" t="n">
        <v>1818219.46023032</v>
      </c>
      <c r="I4" s="11" t="n">
        <v>2633272.1256</v>
      </c>
      <c r="J4" s="11" t="n">
        <v>60023.4241560006</v>
      </c>
      <c r="K4" s="10" t="n">
        <v>60023.4241560006</v>
      </c>
      <c r="L4" s="10">
        <f>J4-D4</f>
        <v/>
      </c>
    </row>
    <row r="5">
      <c r="A5" s="9" t="n">
        <v>2004</v>
      </c>
      <c r="B5" s="9" t="n">
        <v>251</v>
      </c>
      <c r="C5" s="10" t="n">
        <v>1122614.7306</v>
      </c>
      <c r="D5" s="10" t="n">
        <v>1122614.7306</v>
      </c>
      <c r="E5" s="10" t="n">
        <v>1180703.770294253</v>
      </c>
      <c r="F5" s="10" t="n">
        <v>1146484.675271811</v>
      </c>
      <c r="G5" s="10" t="n">
        <v>1205205.056137874</v>
      </c>
      <c r="H5" s="10" t="n">
        <v>1157565.689018229</v>
      </c>
      <c r="I5" s="11" t="n">
        <v>1678710.98</v>
      </c>
      <c r="J5" s="11" t="n">
        <v>58089.26939999964</v>
      </c>
      <c r="K5" s="10" t="n">
        <v>58089.26939999964</v>
      </c>
      <c r="L5" s="10">
        <f>J5-D5</f>
        <v/>
      </c>
    </row>
    <row r="6">
      <c r="A6" s="9" t="n">
        <v>2005</v>
      </c>
      <c r="B6" s="9" t="n">
        <v>239</v>
      </c>
      <c r="C6" s="10" t="n">
        <v>2242149.132116</v>
      </c>
      <c r="D6" s="10" t="n">
        <v>2242149.132116</v>
      </c>
      <c r="E6" s="10" t="n">
        <v>2374439.17965539</v>
      </c>
      <c r="F6" s="10" t="n">
        <v>2299898.748514981</v>
      </c>
      <c r="G6" s="10" t="n">
        <v>2337547.781384359</v>
      </c>
      <c r="H6" s="10" t="n">
        <v>2285143.987228427</v>
      </c>
      <c r="I6" s="11" t="n">
        <v>1712285.2</v>
      </c>
      <c r="J6" s="11" t="n">
        <v>132289.8678839998</v>
      </c>
      <c r="K6" s="10" t="n">
        <v>132289.8678839998</v>
      </c>
      <c r="L6" s="10">
        <f>J6-D6</f>
        <v/>
      </c>
    </row>
    <row r="7">
      <c r="A7" s="9" t="n">
        <v>2006</v>
      </c>
      <c r="B7" s="9" t="n">
        <v>227</v>
      </c>
      <c r="C7" s="10" t="n">
        <v>1517636.792660001</v>
      </c>
      <c r="D7" s="10" t="n">
        <v>1462141.027856</v>
      </c>
      <c r="E7" s="10" t="n">
        <v>1621483.460500283</v>
      </c>
      <c r="F7" s="10" t="n">
        <v>1503399.990216312</v>
      </c>
      <c r="G7" s="10" t="n">
        <v>1629492.028329561</v>
      </c>
      <c r="H7" s="10" t="n">
        <v>1510072.418888043</v>
      </c>
      <c r="I7" s="11" t="n">
        <v>1746530.9035</v>
      </c>
      <c r="J7" s="11" t="n">
        <v>103846.2073399995</v>
      </c>
      <c r="K7" s="10" t="n">
        <v>159341.9721439998</v>
      </c>
      <c r="L7" s="10">
        <f>J7-D7</f>
        <v/>
      </c>
    </row>
    <row r="8">
      <c r="A8" s="9" t="n">
        <v>2007</v>
      </c>
      <c r="B8" s="9" t="n">
        <v>215</v>
      </c>
      <c r="C8" s="10" t="n">
        <v>4810774.614816</v>
      </c>
      <c r="D8" s="10" t="n">
        <v>4790693.153152</v>
      </c>
      <c r="E8" s="10" t="n">
        <v>5139959.381484465</v>
      </c>
      <c r="F8" s="10" t="n">
        <v>4947059.081403897</v>
      </c>
      <c r="G8" s="10" t="n">
        <v>4993322.359472784</v>
      </c>
      <c r="H8" s="10" t="n">
        <v>4880786.238340226</v>
      </c>
      <c r="I8" s="11" t="n">
        <v>2850338.4352</v>
      </c>
      <c r="J8" s="11" t="n">
        <v>329184.3851840002</v>
      </c>
      <c r="K8" s="10" t="n">
        <v>349265.8468479998</v>
      </c>
      <c r="L8" s="10">
        <f>J8-D8</f>
        <v/>
      </c>
    </row>
    <row r="9">
      <c r="A9" s="9" t="n">
        <v>2008</v>
      </c>
      <c r="B9" s="9" t="n">
        <v>203</v>
      </c>
      <c r="C9" s="10" t="n">
        <v>1378427.939547998</v>
      </c>
      <c r="D9" s="10" t="n">
        <v>1378427.939547998</v>
      </c>
      <c r="E9" s="10" t="n">
        <v>1475694.522240827</v>
      </c>
      <c r="F9" s="10" t="n">
        <v>1426408.347039341</v>
      </c>
      <c r="G9" s="10" t="n">
        <v>1546104.303039575</v>
      </c>
      <c r="H9" s="10" t="n">
        <v>1463998.566576735</v>
      </c>
      <c r="I9" s="11" t="n">
        <v>2543927.0535</v>
      </c>
      <c r="J9" s="11" t="n">
        <v>97267.06045200163</v>
      </c>
      <c r="K9" s="10" t="n">
        <v>97267.06045200163</v>
      </c>
      <c r="L9" s="10">
        <f>J9-D9</f>
        <v/>
      </c>
    </row>
    <row r="10">
      <c r="A10" s="9" t="n">
        <v>2009</v>
      </c>
      <c r="B10" s="9" t="n">
        <v>191</v>
      </c>
      <c r="C10" s="10" t="n">
        <v>1169581.089256</v>
      </c>
      <c r="D10" s="10" t="n">
        <v>1169581.089256</v>
      </c>
      <c r="E10" s="10" t="n">
        <v>1261626.766498187</v>
      </c>
      <c r="F10" s="10" t="n">
        <v>1224210.299620298</v>
      </c>
      <c r="G10" s="10" t="n">
        <v>1358892.734030707</v>
      </c>
      <c r="H10" s="10" t="n">
        <v>1285371.799986308</v>
      </c>
      <c r="I10" s="11" t="n">
        <v>2594805.5945</v>
      </c>
      <c r="J10" s="11" t="n">
        <v>92045.91074399953</v>
      </c>
      <c r="K10" s="10" t="n">
        <v>92045.91074399953</v>
      </c>
      <c r="L10" s="10">
        <f>J10-D10</f>
        <v/>
      </c>
    </row>
    <row r="11">
      <c r="A11" s="9" t="n">
        <v>2010</v>
      </c>
      <c r="B11" s="9" t="n">
        <v>179</v>
      </c>
      <c r="C11" s="10" t="n">
        <v>1277672.072084001</v>
      </c>
      <c r="D11" s="10" t="n">
        <v>1277672.072084001</v>
      </c>
      <c r="E11" s="10" t="n">
        <v>1383186.085030906</v>
      </c>
      <c r="F11" s="10" t="n">
        <v>1350188.594930799</v>
      </c>
      <c r="G11" s="10" t="n">
        <v>1364200.286416272</v>
      </c>
      <c r="H11" s="10" t="n">
        <v>1338593.59459632</v>
      </c>
      <c r="I11" s="11" t="n">
        <v>1134300.7311</v>
      </c>
      <c r="J11" s="11" t="n">
        <v>105513.9279159994</v>
      </c>
      <c r="K11" s="10" t="n">
        <v>105513.9279159994</v>
      </c>
      <c r="L11" s="10">
        <f>J11-D11</f>
        <v/>
      </c>
    </row>
    <row r="12">
      <c r="A12" s="9" t="n">
        <v>2011</v>
      </c>
      <c r="B12" s="9" t="n">
        <v>167</v>
      </c>
      <c r="C12" s="10" t="n">
        <v>1916081.580416</v>
      </c>
      <c r="D12" s="10" t="n">
        <v>1892658.297732</v>
      </c>
      <c r="E12" s="10" t="n">
        <v>2118085.472523049</v>
      </c>
      <c r="F12" s="10" t="n">
        <v>2016280.087615377</v>
      </c>
      <c r="G12" s="10" t="n">
        <v>2063205.530353971</v>
      </c>
      <c r="H12" s="10" t="n">
        <v>1987240.90608135</v>
      </c>
      <c r="I12" s="11" t="n">
        <v>1542648.9944</v>
      </c>
      <c r="J12" s="11" t="n">
        <v>202003.4195840003</v>
      </c>
      <c r="K12" s="10" t="n">
        <v>225426.7022680002</v>
      </c>
      <c r="L12" s="10">
        <f>J12-D12</f>
        <v/>
      </c>
    </row>
    <row r="13">
      <c r="A13" s="9" t="n">
        <v>2012</v>
      </c>
      <c r="B13" s="9" t="n">
        <v>155</v>
      </c>
      <c r="C13" s="10" t="n">
        <v>1363753.380531999</v>
      </c>
      <c r="D13" s="10" t="n">
        <v>1194236.878339999</v>
      </c>
      <c r="E13" s="10" t="n">
        <v>1508130.79747419</v>
      </c>
      <c r="F13" s="10" t="n">
        <v>1280891.468710575</v>
      </c>
      <c r="G13" s="10" t="n">
        <v>1514388.956038969</v>
      </c>
      <c r="H13" s="10" t="n">
        <v>1300687.090844095</v>
      </c>
      <c r="I13" s="11" t="n">
        <v>1573501.9744</v>
      </c>
      <c r="J13" s="11" t="n">
        <v>144377.619468001</v>
      </c>
      <c r="K13" s="10" t="n">
        <v>313894.1216600011</v>
      </c>
      <c r="L13" s="10">
        <f>J13-D13</f>
        <v/>
      </c>
    </row>
    <row r="14">
      <c r="A14" s="9" t="n">
        <v>2013</v>
      </c>
      <c r="B14" s="9" t="n">
        <v>143</v>
      </c>
      <c r="C14" s="10" t="n">
        <v>708529.9908599999</v>
      </c>
      <c r="D14" s="10" t="n">
        <v>708529.9908599999</v>
      </c>
      <c r="E14" s="10" t="n">
        <v>785264.2115634154</v>
      </c>
      <c r="F14" s="10" t="n">
        <v>773240.3535072148</v>
      </c>
      <c r="G14" s="10" t="n">
        <v>826155.6335107618</v>
      </c>
      <c r="H14" s="10" t="n">
        <v>809266.7674983498</v>
      </c>
      <c r="I14" s="11" t="n">
        <v>1203729.0102</v>
      </c>
      <c r="J14" s="11" t="n">
        <v>76734.0091400001</v>
      </c>
      <c r="K14" s="10" t="n">
        <v>76734.0091400001</v>
      </c>
      <c r="L14" s="10">
        <f>J14-D14</f>
        <v/>
      </c>
    </row>
    <row r="15">
      <c r="A15" s="9" t="n">
        <v>2014</v>
      </c>
      <c r="B15" s="9" t="n">
        <v>131</v>
      </c>
      <c r="C15" s="10" t="n">
        <v>1389603.684732</v>
      </c>
      <c r="D15" s="10" t="n">
        <v>1389603.684732</v>
      </c>
      <c r="E15" s="10" t="n">
        <v>1594002.043543045</v>
      </c>
      <c r="F15" s="10" t="n">
        <v>1545178.98186318</v>
      </c>
      <c r="G15" s="10" t="n">
        <v>1547044.536114278</v>
      </c>
      <c r="H15" s="10" t="n">
        <v>1513224.255975106</v>
      </c>
      <c r="I15" s="11" t="n">
        <v>1227803.5905</v>
      </c>
      <c r="J15" s="11" t="n">
        <v>204398.3152679999</v>
      </c>
      <c r="K15" s="10" t="n">
        <v>204398.3152679999</v>
      </c>
      <c r="L15" s="10">
        <f>J15-D15</f>
        <v/>
      </c>
    </row>
    <row r="16">
      <c r="A16" s="9" t="n">
        <v>2015</v>
      </c>
      <c r="B16" s="9" t="n">
        <v>119</v>
      </c>
      <c r="C16" s="10" t="n">
        <v>3382963.258076001</v>
      </c>
      <c r="D16" s="10" t="n">
        <v>3364231.298548001</v>
      </c>
      <c r="E16" s="10" t="n">
        <v>3912387.754278917</v>
      </c>
      <c r="F16" s="10" t="n">
        <v>3771928.477177618</v>
      </c>
      <c r="G16" s="10" t="n">
        <v>3608922.416514333</v>
      </c>
      <c r="H16" s="10" t="n">
        <v>3544716.693602317</v>
      </c>
      <c r="I16" s="11" t="n">
        <v>1669812.8832</v>
      </c>
      <c r="J16" s="11" t="n">
        <v>529424.7419239986</v>
      </c>
      <c r="K16" s="10" t="n">
        <v>548156.7014519987</v>
      </c>
      <c r="L16" s="10">
        <f>J16-D16</f>
        <v/>
      </c>
    </row>
    <row r="17">
      <c r="A17" s="9" t="n">
        <v>2016</v>
      </c>
      <c r="B17" s="9" t="n">
        <v>107</v>
      </c>
      <c r="C17" s="10" t="n">
        <v>2506323.643367999</v>
      </c>
      <c r="D17" s="10" t="n">
        <v>2462208.676391999</v>
      </c>
      <c r="E17" s="10" t="n">
        <v>3039136.425044341</v>
      </c>
      <c r="F17" s="10" t="n">
        <v>2877366.595126096</v>
      </c>
      <c r="G17" s="10" t="n">
        <v>2954226.339973489</v>
      </c>
      <c r="H17" s="10" t="n">
        <v>2830827.379650644</v>
      </c>
      <c r="I17" s="11" t="n">
        <v>2554813.7112</v>
      </c>
      <c r="J17" s="11" t="n">
        <v>532812.3566320012</v>
      </c>
      <c r="K17" s="10" t="n">
        <v>576927.3236080012</v>
      </c>
      <c r="L17" s="10">
        <f>J17-D17</f>
        <v/>
      </c>
    </row>
    <row r="18">
      <c r="A18" s="9" t="n">
        <v>2017</v>
      </c>
      <c r="B18" s="9" t="n">
        <v>95</v>
      </c>
      <c r="C18" s="10" t="n">
        <v>1205811.828916</v>
      </c>
      <c r="D18" s="10" t="n">
        <v>1205811.828916</v>
      </c>
      <c r="E18" s="10" t="n">
        <v>1483499.631003856</v>
      </c>
      <c r="F18" s="10" t="n">
        <v>1427444.807998941</v>
      </c>
      <c r="G18" s="10" t="n">
        <v>1693597.198835409</v>
      </c>
      <c r="H18" s="10" t="n">
        <v>1610419.832006381</v>
      </c>
      <c r="I18" s="11" t="n">
        <v>2605909.9854</v>
      </c>
      <c r="J18" s="11" t="n">
        <v>277688.1710839996</v>
      </c>
      <c r="K18" s="10" t="n">
        <v>277688.1710839996</v>
      </c>
      <c r="L18" s="10">
        <f>J18-D18</f>
        <v/>
      </c>
    </row>
    <row r="19">
      <c r="A19" s="9" t="n">
        <v>2018</v>
      </c>
      <c r="B19" s="9" t="n">
        <v>83</v>
      </c>
      <c r="C19" s="10" t="n">
        <v>2395448.423304001</v>
      </c>
      <c r="D19" s="10" t="n">
        <v>2395448.423304001</v>
      </c>
      <c r="E19" s="10" t="n">
        <v>2966255.157584634</v>
      </c>
      <c r="F19" s="10" t="n">
        <v>2928753.624394809</v>
      </c>
      <c r="G19" s="10" t="n">
        <v>2821693.050311851</v>
      </c>
      <c r="H19" s="10" t="n">
        <v>2798788.443639835</v>
      </c>
      <c r="I19" s="11" t="n">
        <v>2215023.4875</v>
      </c>
      <c r="J19" s="11" t="n">
        <v>570806.5766959991</v>
      </c>
      <c r="K19" s="10" t="n">
        <v>570806.5766959991</v>
      </c>
      <c r="L19" s="10">
        <f>J19-D19</f>
        <v/>
      </c>
    </row>
    <row r="20">
      <c r="A20" s="9" t="n">
        <v>2019</v>
      </c>
      <c r="B20" s="9" t="n">
        <v>71</v>
      </c>
      <c r="C20" s="10" t="n">
        <v>2599882.874291999</v>
      </c>
      <c r="D20" s="10" t="n">
        <v>2395189.834488001</v>
      </c>
      <c r="E20" s="10" t="n">
        <v>3499492.034195393</v>
      </c>
      <c r="F20" s="10" t="n">
        <v>3241780.274028449</v>
      </c>
      <c r="G20" s="10" t="n">
        <v>3180683.889838104</v>
      </c>
      <c r="H20" s="10" t="n">
        <v>2985211.952139829</v>
      </c>
      <c r="I20" s="11" t="n">
        <v>2259323.9575</v>
      </c>
      <c r="J20" s="11" t="n">
        <v>580801.1257080007</v>
      </c>
      <c r="K20" s="10" t="n">
        <v>785494.1655119993</v>
      </c>
      <c r="L20" s="10">
        <f>J20-D20</f>
        <v/>
      </c>
    </row>
    <row r="21">
      <c r="A21" s="9" t="n">
        <v>2020</v>
      </c>
      <c r="B21" s="9" t="n">
        <v>59</v>
      </c>
      <c r="C21" s="10" t="n">
        <v>978899.5094679999</v>
      </c>
      <c r="D21" s="10" t="n">
        <v>976050.8625559999</v>
      </c>
      <c r="E21" s="10" t="n">
        <v>1452936.758950002</v>
      </c>
      <c r="F21" s="10" t="n">
        <v>1478244.158851221</v>
      </c>
      <c r="G21" s="10" t="n">
        <v>1580397.837315658</v>
      </c>
      <c r="H21" s="10" t="n">
        <v>1602366.717361499</v>
      </c>
      <c r="I21" s="11" t="n">
        <v>1843608.3492</v>
      </c>
      <c r="J21" s="11" t="n">
        <v>601498.4905320001</v>
      </c>
      <c r="K21" s="10" t="n">
        <v>604347.1374440001</v>
      </c>
      <c r="L21" s="10">
        <f>J21-D21</f>
        <v/>
      </c>
    </row>
    <row r="22">
      <c r="A22" s="9" t="n">
        <v>2021</v>
      </c>
      <c r="B22" s="9" t="n">
        <v>47</v>
      </c>
      <c r="C22" s="10" t="n">
        <v>1011313.279736</v>
      </c>
      <c r="D22" s="10" t="n">
        <v>974979.4133360002</v>
      </c>
      <c r="E22" s="10" t="n">
        <v>1586156.437175669</v>
      </c>
      <c r="F22" s="10" t="n">
        <v>1613061.252755368</v>
      </c>
      <c r="G22" s="10" t="n">
        <v>1522445.724910811</v>
      </c>
      <c r="H22" s="10" t="n">
        <v>1532878.469329924</v>
      </c>
      <c r="I22" s="11" t="n">
        <v>1410360.3873</v>
      </c>
      <c r="J22" s="11" t="n">
        <v>511132.720264</v>
      </c>
      <c r="K22" s="10" t="n">
        <v>547466.5866639998</v>
      </c>
      <c r="L22" s="10">
        <f>J22-D22</f>
        <v/>
      </c>
    </row>
    <row r="23">
      <c r="A23" s="9" t="n">
        <v>2022</v>
      </c>
      <c r="B23" s="9" t="n">
        <v>35</v>
      </c>
      <c r="C23" s="10" t="n">
        <v>827416.1066440007</v>
      </c>
      <c r="D23" s="10" t="n">
        <v>791103.7101360001</v>
      </c>
      <c r="E23" s="10" t="n">
        <v>1531321.168115382</v>
      </c>
      <c r="F23" s="10" t="n">
        <v>1537764.173430324</v>
      </c>
      <c r="G23" s="10" t="n">
        <v>1268262.016843523</v>
      </c>
      <c r="H23" s="10" t="n">
        <v>1256767.459871871</v>
      </c>
      <c r="I23" s="11" t="n">
        <v>959045.0632000001</v>
      </c>
      <c r="J23" s="11" t="n">
        <v>440845.8933559993</v>
      </c>
      <c r="K23" s="10" t="n">
        <v>477158.2898639999</v>
      </c>
      <c r="L23" s="10">
        <f>J23-D23</f>
        <v/>
      </c>
    </row>
    <row r="24">
      <c r="A24" s="9" t="n">
        <v>2023</v>
      </c>
      <c r="B24" s="9" t="n">
        <v>23</v>
      </c>
      <c r="C24" s="10" t="n">
        <v>1651756.674352</v>
      </c>
      <c r="D24" s="10" t="n">
        <v>1199242.068356001</v>
      </c>
      <c r="E24" s="10" t="n">
        <v>3729479.431733147</v>
      </c>
      <c r="F24" s="10" t="n">
        <v>3275212.601617285</v>
      </c>
      <c r="G24" s="10" t="n">
        <v>2196734.166711039</v>
      </c>
      <c r="H24" s="10" t="n">
        <v>1819283.734163562</v>
      </c>
      <c r="I24" s="11" t="n">
        <v>978225.9646000001</v>
      </c>
      <c r="J24" s="11" t="n">
        <v>544977.3256480002</v>
      </c>
      <c r="K24" s="10" t="n">
        <v>997491.9316439989</v>
      </c>
      <c r="L24" s="10">
        <f>J24-D24</f>
        <v/>
      </c>
    </row>
    <row r="25">
      <c r="A25" s="9" t="n">
        <v>2024</v>
      </c>
      <c r="B25" s="9" t="n">
        <v>11</v>
      </c>
      <c r="C25" s="10" t="n">
        <v>890155.221828</v>
      </c>
      <c r="D25" s="10" t="n">
        <v>355247.7609319999</v>
      </c>
      <c r="E25" s="10" t="n">
        <v>3316284.904411623</v>
      </c>
      <c r="F25" s="10" t="n">
        <v>2507206.545880933</v>
      </c>
      <c r="G25" s="10" t="n">
        <v>1620119.377358282</v>
      </c>
      <c r="H25" s="10" t="n">
        <v>1211660.648286446</v>
      </c>
      <c r="I25" s="11" t="n">
        <v>997790.4837999999</v>
      </c>
      <c r="J25" s="11" t="n">
        <v>729963.778172</v>
      </c>
      <c r="K25" s="10" t="n">
        <v>1264871.239068</v>
      </c>
      <c r="L25" s="10">
        <f>J25-D25</f>
        <v/>
      </c>
    </row>
    <row r="26"/>
    <row r="27">
      <c r="A27" s="5" t="inlineStr">
        <is>
          <t>Total</t>
        </is>
      </c>
      <c r="C27" s="10">
        <f>SUM(C2:C25)</f>
        <v/>
      </c>
      <c r="D27" s="10">
        <f>SUM(D2:D25)</f>
        <v/>
      </c>
      <c r="E27" s="10">
        <f>SUM(E2:E25)</f>
        <v/>
      </c>
      <c r="F27" s="10">
        <f>SUM(F2:F25)</f>
        <v/>
      </c>
      <c r="G27" s="10">
        <f>SUM(G2:G25)</f>
        <v/>
      </c>
      <c r="H27" s="10">
        <f>SUM(H2:H25)</f>
        <v/>
      </c>
      <c r="I27" s="10">
        <f>SUM(I2:I25)</f>
        <v/>
      </c>
      <c r="J27" s="10">
        <f>SUM(J2:J25)</f>
        <v/>
      </c>
      <c r="K27" s="10">
        <f>SUM(K2:K25)</f>
        <v/>
      </c>
      <c r="L27" s="10">
        <f>SUM(L2:L25)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Incurred</t>
        </is>
      </c>
      <c r="D1" s="8" t="inlineStr">
        <is>
          <t>CDF</t>
        </is>
      </c>
      <c r="E1" s="8" t="inlineStr">
        <is>
          <t>Ultimate</t>
        </is>
      </c>
      <c r="F1" s="8" t="inlineStr">
        <is>
          <t>IBNR</t>
        </is>
      </c>
      <c r="G1" s="8" t="inlineStr">
        <is>
          <t>Unpaid</t>
        </is>
      </c>
    </row>
    <row r="2">
      <c r="A2" s="9" t="n">
        <v>2001</v>
      </c>
      <c r="B2" s="9" t="n">
        <v>287</v>
      </c>
      <c r="C2" s="11" t="n">
        <v>3163773.699688</v>
      </c>
      <c r="D2" s="12" t="n">
        <v>1.0216</v>
      </c>
      <c r="E2" s="10" t="n">
        <v>3232111.211601261</v>
      </c>
      <c r="F2" s="10" t="n">
        <v>68337.51191326091</v>
      </c>
      <c r="G2" s="10" t="n">
        <v>189816.5493252608</v>
      </c>
    </row>
    <row r="3">
      <c r="A3" s="9" t="n">
        <v>2002</v>
      </c>
      <c r="B3" s="9" t="n">
        <v>275</v>
      </c>
      <c r="C3" s="11" t="n">
        <v>2327733.756319999</v>
      </c>
      <c r="D3" s="12" t="n">
        <v>1.03375704</v>
      </c>
      <c r="E3" s="10" t="n">
        <v>2406311.157841444</v>
      </c>
      <c r="F3" s="10" t="n">
        <v>78577.40152144432</v>
      </c>
      <c r="G3" s="10" t="n">
        <v>206664.9297534432</v>
      </c>
    </row>
    <row r="4">
      <c r="A4" s="9" t="n">
        <v>2003</v>
      </c>
      <c r="B4" s="9" t="n">
        <v>263</v>
      </c>
      <c r="C4" s="11" t="n">
        <v>1778091.575843999</v>
      </c>
      <c r="D4" s="12" t="n">
        <v>1.03375704</v>
      </c>
      <c r="E4" s="10" t="n">
        <v>1838114.684293428</v>
      </c>
      <c r="F4" s="10" t="n">
        <v>60023.10844942904</v>
      </c>
      <c r="G4" s="10" t="n">
        <v>60023.10844942904</v>
      </c>
    </row>
    <row r="5">
      <c r="A5" s="9" t="n">
        <v>2004</v>
      </c>
      <c r="B5" s="9" t="n">
        <v>251</v>
      </c>
      <c r="C5" s="11" t="n">
        <v>1122614.7306</v>
      </c>
      <c r="D5" s="12" t="n">
        <v>1.051744412496</v>
      </c>
      <c r="E5" s="10" t="n">
        <v>1180703.770294253</v>
      </c>
      <c r="F5" s="10" t="n">
        <v>58089.03969425242</v>
      </c>
      <c r="G5" s="10" t="n">
        <v>58089.03969425242</v>
      </c>
    </row>
    <row r="6">
      <c r="A6" s="9" t="n">
        <v>2005</v>
      </c>
      <c r="B6" s="9" t="n">
        <v>239</v>
      </c>
      <c r="C6" s="11" t="n">
        <v>2242149.132116</v>
      </c>
      <c r="D6" s="12" t="n">
        <v>1.059001448942222</v>
      </c>
      <c r="E6" s="10" t="n">
        <v>2374439.17965539</v>
      </c>
      <c r="F6" s="10" t="n">
        <v>132290.0475393902</v>
      </c>
      <c r="G6" s="10" t="n">
        <v>132290.0475393902</v>
      </c>
    </row>
    <row r="7">
      <c r="A7" s="9" t="n">
        <v>2006</v>
      </c>
      <c r="B7" s="9" t="n">
        <v>227</v>
      </c>
      <c r="C7" s="11" t="n">
        <v>1517636.792660001</v>
      </c>
      <c r="D7" s="12" t="n">
        <v>1.068426561837808</v>
      </c>
      <c r="E7" s="10" t="n">
        <v>1621483.460500283</v>
      </c>
      <c r="F7" s="10" t="n">
        <v>103846.6678402824</v>
      </c>
      <c r="G7" s="10" t="n">
        <v>159342.4326442827</v>
      </c>
    </row>
    <row r="8">
      <c r="A8" s="9" t="n">
        <v>2007</v>
      </c>
      <c r="B8" s="9" t="n">
        <v>215</v>
      </c>
      <c r="C8" s="11" t="n">
        <v>4810774.614816</v>
      </c>
      <c r="D8" s="12" t="n">
        <v>1.068426561837808</v>
      </c>
      <c r="E8" s="10" t="n">
        <v>5139959.381484465</v>
      </c>
      <c r="F8" s="10" t="n">
        <v>329184.766668465</v>
      </c>
      <c r="G8" s="10" t="n">
        <v>349266.2283324646</v>
      </c>
    </row>
    <row r="9">
      <c r="A9" s="9" t="n">
        <v>2008</v>
      </c>
      <c r="B9" s="9" t="n">
        <v>203</v>
      </c>
      <c r="C9" s="11" t="n">
        <v>1378427.939547998</v>
      </c>
      <c r="D9" s="12" t="n">
        <v>1.070563414961484</v>
      </c>
      <c r="E9" s="10" t="n">
        <v>1475694.522240827</v>
      </c>
      <c r="F9" s="10" t="n">
        <v>97266.5826928285</v>
      </c>
      <c r="G9" s="10" t="n">
        <v>97266.5826928285</v>
      </c>
    </row>
    <row r="10">
      <c r="A10" s="9" t="n">
        <v>2009</v>
      </c>
      <c r="B10" s="9" t="n">
        <v>191</v>
      </c>
      <c r="C10" s="11" t="n">
        <v>1169581.089256</v>
      </c>
      <c r="D10" s="12" t="n">
        <v>1.078699696915191</v>
      </c>
      <c r="E10" s="10" t="n">
        <v>1261626.766498187</v>
      </c>
      <c r="F10" s="10" t="n">
        <v>92045.67724218639</v>
      </c>
      <c r="G10" s="10" t="n">
        <v>92045.67724218639</v>
      </c>
    </row>
    <row r="11">
      <c r="A11" s="9" t="n">
        <v>2010</v>
      </c>
      <c r="B11" s="9" t="n">
        <v>179</v>
      </c>
      <c r="C11" s="11" t="n">
        <v>1277672.072084001</v>
      </c>
      <c r="D11" s="12" t="n">
        <v>1.082583015824086</v>
      </c>
      <c r="E11" s="10" t="n">
        <v>1383186.085030906</v>
      </c>
      <c r="F11" s="10" t="n">
        <v>105514.0129469056</v>
      </c>
      <c r="G11" s="10" t="n">
        <v>105514.0129469056</v>
      </c>
    </row>
    <row r="12">
      <c r="A12" s="9" t="n">
        <v>2011</v>
      </c>
      <c r="B12" s="9" t="n">
        <v>167</v>
      </c>
      <c r="C12" s="11" t="n">
        <v>1916081.580416</v>
      </c>
      <c r="D12" s="12" t="n">
        <v>1.105425517457974</v>
      </c>
      <c r="E12" s="10" t="n">
        <v>2118085.472523049</v>
      </c>
      <c r="F12" s="10" t="n">
        <v>202003.8921070492</v>
      </c>
      <c r="G12" s="10" t="n">
        <v>225427.1747910492</v>
      </c>
    </row>
    <row r="13">
      <c r="A13" s="9" t="n">
        <v>2012</v>
      </c>
      <c r="B13" s="9" t="n">
        <v>155</v>
      </c>
      <c r="C13" s="11" t="n">
        <v>1363753.380531999</v>
      </c>
      <c r="D13" s="12" t="n">
        <v>1.105867687664957</v>
      </c>
      <c r="E13" s="10" t="n">
        <v>1508130.79747419</v>
      </c>
      <c r="F13" s="10" t="n">
        <v>144377.4169421911</v>
      </c>
      <c r="G13" s="10" t="n">
        <v>313893.9191341912</v>
      </c>
    </row>
    <row r="14">
      <c r="A14" s="9" t="n">
        <v>2013</v>
      </c>
      <c r="B14" s="9" t="n">
        <v>143</v>
      </c>
      <c r="C14" s="11" t="n">
        <v>708529.9908599999</v>
      </c>
      <c r="D14" s="12" t="n">
        <v>1.10830059657782</v>
      </c>
      <c r="E14" s="10" t="n">
        <v>785264.2115634154</v>
      </c>
      <c r="F14" s="10" t="n">
        <v>76734.22070341546</v>
      </c>
      <c r="G14" s="10" t="n">
        <v>76734.22070341546</v>
      </c>
    </row>
    <row r="15">
      <c r="A15" s="9" t="n">
        <v>2014</v>
      </c>
      <c r="B15" s="9" t="n">
        <v>131</v>
      </c>
      <c r="C15" s="11" t="n">
        <v>1389603.684732</v>
      </c>
      <c r="D15" s="12" t="n">
        <v>1.147091117458044</v>
      </c>
      <c r="E15" s="10" t="n">
        <v>1594002.043543045</v>
      </c>
      <c r="F15" s="10" t="n">
        <v>204398.3588110451</v>
      </c>
      <c r="G15" s="10" t="n">
        <v>204398.3588110451</v>
      </c>
    </row>
    <row r="16">
      <c r="A16" s="9" t="n">
        <v>2015</v>
      </c>
      <c r="B16" s="9" t="n">
        <v>119</v>
      </c>
      <c r="C16" s="11" t="n">
        <v>3382963.258076001</v>
      </c>
      <c r="D16" s="12" t="n">
        <v>1.1564972646212</v>
      </c>
      <c r="E16" s="10" t="n">
        <v>3912387.754278917</v>
      </c>
      <c r="F16" s="10" t="n">
        <v>529424.4962029159</v>
      </c>
      <c r="G16" s="10" t="n">
        <v>548156.455730916</v>
      </c>
    </row>
    <row r="17">
      <c r="A17" s="9" t="n">
        <v>2016</v>
      </c>
      <c r="B17" s="9" t="n">
        <v>107</v>
      </c>
      <c r="C17" s="11" t="n">
        <v>2506323.643367999</v>
      </c>
      <c r="D17" s="12" t="n">
        <v>1.212587381955328</v>
      </c>
      <c r="E17" s="10" t="n">
        <v>3039136.425044341</v>
      </c>
      <c r="F17" s="10" t="n">
        <v>532812.7816763418</v>
      </c>
      <c r="G17" s="10" t="n">
        <v>576927.7486523418</v>
      </c>
    </row>
    <row r="18">
      <c r="A18" s="9" t="n">
        <v>2017</v>
      </c>
      <c r="B18" s="9" t="n">
        <v>95</v>
      </c>
      <c r="C18" s="11" t="n">
        <v>1205811.828916</v>
      </c>
      <c r="D18" s="12" t="n">
        <v>1.230291157731876</v>
      </c>
      <c r="E18" s="10" t="n">
        <v>1483499.631003856</v>
      </c>
      <c r="F18" s="10" t="n">
        <v>277687.802087856</v>
      </c>
      <c r="G18" s="10" t="n">
        <v>277687.802087856</v>
      </c>
    </row>
    <row r="19">
      <c r="A19" s="9" t="n">
        <v>2018</v>
      </c>
      <c r="B19" s="9" t="n">
        <v>83</v>
      </c>
      <c r="C19" s="11" t="n">
        <v>2395448.423304001</v>
      </c>
      <c r="D19" s="12" t="n">
        <v>1.238288050257133</v>
      </c>
      <c r="E19" s="10" t="n">
        <v>2966255.157584634</v>
      </c>
      <c r="F19" s="10" t="n">
        <v>570806.7342806333</v>
      </c>
      <c r="G19" s="10" t="n">
        <v>570806.7342806333</v>
      </c>
    </row>
    <row r="20">
      <c r="A20" s="9" t="n">
        <v>2019</v>
      </c>
      <c r="B20" s="9" t="n">
        <v>71</v>
      </c>
      <c r="C20" s="11" t="n">
        <v>2599882.874291999</v>
      </c>
      <c r="D20" s="12" t="n">
        <v>1.346019110629503</v>
      </c>
      <c r="E20" s="10" t="n">
        <v>3499492.034195393</v>
      </c>
      <c r="F20" s="10" t="n">
        <v>899609.1599033941</v>
      </c>
      <c r="G20" s="10" t="n">
        <v>1104302.199707393</v>
      </c>
    </row>
    <row r="21">
      <c r="A21" s="9" t="n">
        <v>2020</v>
      </c>
      <c r="B21" s="9" t="n">
        <v>59</v>
      </c>
      <c r="C21" s="11" t="n">
        <v>978899.5094679999</v>
      </c>
      <c r="D21" s="12" t="n">
        <v>1.484255273291153</v>
      </c>
      <c r="E21" s="10" t="n">
        <v>1452936.758950002</v>
      </c>
      <c r="F21" s="10" t="n">
        <v>474037.2494820021</v>
      </c>
      <c r="G21" s="10" t="n">
        <v>476885.8963940021</v>
      </c>
    </row>
    <row r="22">
      <c r="A22" s="9" t="n">
        <v>2021</v>
      </c>
      <c r="B22" s="9" t="n">
        <v>47</v>
      </c>
      <c r="C22" s="11" t="n">
        <v>1011313.279736</v>
      </c>
      <c r="D22" s="12" t="n">
        <v>1.568412547286761</v>
      </c>
      <c r="E22" s="10" t="n">
        <v>1586156.437175669</v>
      </c>
      <c r="F22" s="10" t="n">
        <v>574843.1574396688</v>
      </c>
      <c r="G22" s="10" t="n">
        <v>611177.0238396686</v>
      </c>
    </row>
    <row r="23">
      <c r="A23" s="9" t="n">
        <v>2022</v>
      </c>
      <c r="B23" s="9" t="n">
        <v>35</v>
      </c>
      <c r="C23" s="11" t="n">
        <v>827416.1066440007</v>
      </c>
      <c r="D23" s="12" t="n">
        <v>1.850726805798378</v>
      </c>
      <c r="E23" s="10" t="n">
        <v>1531321.168115382</v>
      </c>
      <c r="F23" s="10" t="n">
        <v>703905.0614713811</v>
      </c>
      <c r="G23" s="10" t="n">
        <v>740217.4579793818</v>
      </c>
    </row>
    <row r="24">
      <c r="A24" s="9" t="n">
        <v>2023</v>
      </c>
      <c r="B24" s="9" t="n">
        <v>23</v>
      </c>
      <c r="C24" s="11" t="n">
        <v>1651756.674352</v>
      </c>
      <c r="D24" s="12" t="n">
        <v>2.257886703074022</v>
      </c>
      <c r="E24" s="10" t="n">
        <v>3729479.431733147</v>
      </c>
      <c r="F24" s="10" t="n">
        <v>2077722.757381147</v>
      </c>
      <c r="G24" s="10" t="n">
        <v>2530237.363377146</v>
      </c>
    </row>
    <row r="25">
      <c r="A25" s="9" t="n">
        <v>2024</v>
      </c>
      <c r="B25" s="9" t="n">
        <v>11</v>
      </c>
      <c r="C25" s="11" t="n">
        <v>890155.221828</v>
      </c>
      <c r="D25" s="12" t="n">
        <v>3.725513060072136</v>
      </c>
      <c r="E25" s="10" t="n">
        <v>3316284.904411623</v>
      </c>
      <c r="F25" s="10" t="n">
        <v>2426129.682583623</v>
      </c>
      <c r="G25" s="10" t="n">
        <v>2961037.143479623</v>
      </c>
    </row>
    <row r="26"/>
    <row r="27">
      <c r="A27" s="5" t="inlineStr">
        <is>
          <t>Total</t>
        </is>
      </c>
      <c r="C27" s="10">
        <f>SUM(C2:C25)</f>
        <v/>
      </c>
      <c r="E27" s="10">
        <f>SUM(E2:E25)</f>
        <v/>
      </c>
      <c r="F27" s="10">
        <f>SUM(F2:F25)</f>
        <v/>
      </c>
      <c r="G27" s="10">
        <f>SUM(G2:G25)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Paid</t>
        </is>
      </c>
      <c r="D1" s="8" t="inlineStr">
        <is>
          <t>CDF</t>
        </is>
      </c>
      <c r="E1" s="8" t="inlineStr">
        <is>
          <t>Ultimate</t>
        </is>
      </c>
      <c r="F1" s="8" t="inlineStr">
        <is>
          <t>IBNR</t>
        </is>
      </c>
      <c r="G1" s="8" t="inlineStr">
        <is>
          <t>Unpaid</t>
        </is>
      </c>
    </row>
    <row r="2">
      <c r="A2" s="9" t="n">
        <v>2001</v>
      </c>
      <c r="B2" s="9" t="n">
        <v>287</v>
      </c>
      <c r="C2" s="11" t="n">
        <v>3042294.662276</v>
      </c>
      <c r="D2" s="12" t="n">
        <v>1.0039</v>
      </c>
      <c r="E2" s="10" t="n">
        <v>3054159.611458877</v>
      </c>
      <c r="F2" s="10" t="n">
        <v>11864.94918287639</v>
      </c>
      <c r="G2" s="10" t="n">
        <v>11864.94918287639</v>
      </c>
    </row>
    <row r="3">
      <c r="A3" s="9" t="n">
        <v>2002</v>
      </c>
      <c r="B3" s="9" t="n">
        <v>275</v>
      </c>
      <c r="C3" s="11" t="n">
        <v>2199646.228088</v>
      </c>
      <c r="D3" s="12" t="n">
        <v>1.00781521</v>
      </c>
      <c r="E3" s="10" t="n">
        <v>2216836.925286216</v>
      </c>
      <c r="F3" s="10" t="n">
        <v>17190.69719821541</v>
      </c>
      <c r="G3" s="10" t="n">
        <v>17190.69719821541</v>
      </c>
    </row>
    <row r="4">
      <c r="A4" s="9" t="n">
        <v>2003</v>
      </c>
      <c r="B4" s="9" t="n">
        <v>263</v>
      </c>
      <c r="C4" s="11" t="n">
        <v>1778091.575843999</v>
      </c>
      <c r="D4" s="12" t="n">
        <v>1.015474605596</v>
      </c>
      <c r="E4" s="10" t="n">
        <v>1805606.841693755</v>
      </c>
      <c r="F4" s="10" t="n">
        <v>27515.26584975608</v>
      </c>
      <c r="G4" s="10" t="n">
        <v>27515.26584975608</v>
      </c>
    </row>
    <row r="5">
      <c r="A5" s="9" t="n">
        <v>2004</v>
      </c>
      <c r="B5" s="9" t="n">
        <v>251</v>
      </c>
      <c r="C5" s="11" t="n">
        <v>1122614.7306</v>
      </c>
      <c r="D5" s="12" t="n">
        <v>1.021262810847897</v>
      </c>
      <c r="E5" s="10" t="n">
        <v>1146484.675271811</v>
      </c>
      <c r="F5" s="10" t="n">
        <v>23869.94467181084</v>
      </c>
      <c r="G5" s="10" t="n">
        <v>23869.94467181084</v>
      </c>
    </row>
    <row r="6">
      <c r="A6" s="9" t="n">
        <v>2005</v>
      </c>
      <c r="B6" s="9" t="n">
        <v>239</v>
      </c>
      <c r="C6" s="11" t="n">
        <v>2242149.132116</v>
      </c>
      <c r="D6" s="12" t="n">
        <v>1.025756367215628</v>
      </c>
      <c r="E6" s="10" t="n">
        <v>2299898.748514981</v>
      </c>
      <c r="F6" s="10" t="n">
        <v>57749.61639898084</v>
      </c>
      <c r="G6" s="10" t="n">
        <v>57749.61639898084</v>
      </c>
    </row>
    <row r="7">
      <c r="A7" s="9" t="n">
        <v>2006</v>
      </c>
      <c r="B7" s="9" t="n">
        <v>227</v>
      </c>
      <c r="C7" s="11" t="n">
        <v>1462141.027856</v>
      </c>
      <c r="D7" s="12" t="n">
        <v>1.028218182496945</v>
      </c>
      <c r="E7" s="10" t="n">
        <v>1503399.990216312</v>
      </c>
      <c r="F7" s="10" t="n">
        <v>41258.96236031153</v>
      </c>
      <c r="G7" s="10" t="n">
        <v>41258.96236031153</v>
      </c>
    </row>
    <row r="8">
      <c r="A8" s="9" t="n">
        <v>2007</v>
      </c>
      <c r="B8" s="9" t="n">
        <v>215</v>
      </c>
      <c r="C8" s="11" t="n">
        <v>4790693.153152</v>
      </c>
      <c r="D8" s="12" t="n">
        <v>1.032639520681682</v>
      </c>
      <c r="E8" s="10" t="n">
        <v>4947059.081403897</v>
      </c>
      <c r="F8" s="10" t="n">
        <v>156365.928251897</v>
      </c>
      <c r="G8" s="10" t="n">
        <v>156365.928251897</v>
      </c>
    </row>
    <row r="9">
      <c r="A9" s="9" t="n">
        <v>2008</v>
      </c>
      <c r="B9" s="9" t="n">
        <v>203</v>
      </c>
      <c r="C9" s="11" t="n">
        <v>1378427.939547998</v>
      </c>
      <c r="D9" s="12" t="n">
        <v>1.034808063675114</v>
      </c>
      <c r="E9" s="10" t="n">
        <v>1426408.347039341</v>
      </c>
      <c r="F9" s="10" t="n">
        <v>47980.4074913424</v>
      </c>
      <c r="G9" s="10" t="n">
        <v>47980.4074913424</v>
      </c>
    </row>
    <row r="10">
      <c r="A10" s="9" t="n">
        <v>2009</v>
      </c>
      <c r="B10" s="9" t="n">
        <v>191</v>
      </c>
      <c r="C10" s="11" t="n">
        <v>1169581.089256</v>
      </c>
      <c r="D10" s="12" t="n">
        <v>1.046708356407377</v>
      </c>
      <c r="E10" s="10" t="n">
        <v>1224210.299620298</v>
      </c>
      <c r="F10" s="10" t="n">
        <v>54629.21036429796</v>
      </c>
      <c r="G10" s="10" t="n">
        <v>54629.21036429796</v>
      </c>
    </row>
    <row r="11">
      <c r="A11" s="9" t="n">
        <v>2010</v>
      </c>
      <c r="B11" s="9" t="n">
        <v>179</v>
      </c>
      <c r="C11" s="11" t="n">
        <v>1277672.072084001</v>
      </c>
      <c r="D11" s="12" t="n">
        <v>1.056756756628888</v>
      </c>
      <c r="E11" s="10" t="n">
        <v>1350188.594930799</v>
      </c>
      <c r="F11" s="10" t="n">
        <v>72516.52284679888</v>
      </c>
      <c r="G11" s="10" t="n">
        <v>72516.52284679888</v>
      </c>
    </row>
    <row r="12">
      <c r="A12" s="9" t="n">
        <v>2011</v>
      </c>
      <c r="B12" s="9" t="n">
        <v>167</v>
      </c>
      <c r="C12" s="11" t="n">
        <v>1892658.297732</v>
      </c>
      <c r="D12" s="12" t="n">
        <v>1.065316486357582</v>
      </c>
      <c r="E12" s="10" t="n">
        <v>2016280.087615377</v>
      </c>
      <c r="F12" s="10" t="n">
        <v>123621.7898833768</v>
      </c>
      <c r="G12" s="10" t="n">
        <v>123621.7898833768</v>
      </c>
    </row>
    <row r="13">
      <c r="A13" s="9" t="n">
        <v>2012</v>
      </c>
      <c r="B13" s="9" t="n">
        <v>155</v>
      </c>
      <c r="C13" s="11" t="n">
        <v>1194236.878339999</v>
      </c>
      <c r="D13" s="12" t="n">
        <v>1.072560638464814</v>
      </c>
      <c r="E13" s="10" t="n">
        <v>1280891.468710575</v>
      </c>
      <c r="F13" s="10" t="n">
        <v>86654.59037057636</v>
      </c>
      <c r="G13" s="10" t="n">
        <v>86654.59037057636</v>
      </c>
    </row>
    <row r="14">
      <c r="A14" s="9" t="n">
        <v>2013</v>
      </c>
      <c r="B14" s="9" t="n">
        <v>143</v>
      </c>
      <c r="C14" s="11" t="n">
        <v>708529.9908599999</v>
      </c>
      <c r="D14" s="12" t="n">
        <v>1.091330449637948</v>
      </c>
      <c r="E14" s="10" t="n">
        <v>773240.3535072148</v>
      </c>
      <c r="F14" s="10" t="n">
        <v>64710.3626472149</v>
      </c>
      <c r="G14" s="10" t="n">
        <v>64710.3626472149</v>
      </c>
    </row>
    <row r="15">
      <c r="A15" s="9" t="n">
        <v>2014</v>
      </c>
      <c r="B15" s="9" t="n">
        <v>131</v>
      </c>
      <c r="C15" s="11" t="n">
        <v>1389603.684732</v>
      </c>
      <c r="D15" s="12" t="n">
        <v>1.111956595136105</v>
      </c>
      <c r="E15" s="10" t="n">
        <v>1545178.98186318</v>
      </c>
      <c r="F15" s="10" t="n">
        <v>155575.2971311803</v>
      </c>
      <c r="G15" s="10" t="n">
        <v>155575.2971311803</v>
      </c>
    </row>
    <row r="16">
      <c r="A16" s="9" t="n">
        <v>2015</v>
      </c>
      <c r="B16" s="9" t="n">
        <v>119</v>
      </c>
      <c r="C16" s="11" t="n">
        <v>3364231.298548001</v>
      </c>
      <c r="D16" s="12" t="n">
        <v>1.121185834875735</v>
      </c>
      <c r="E16" s="10" t="n">
        <v>3771928.477177618</v>
      </c>
      <c r="F16" s="10" t="n">
        <v>407697.1786296163</v>
      </c>
      <c r="G16" s="10" t="n">
        <v>407697.1786296163</v>
      </c>
    </row>
    <row r="17">
      <c r="A17" s="9" t="n">
        <v>2016</v>
      </c>
      <c r="B17" s="9" t="n">
        <v>107</v>
      </c>
      <c r="C17" s="11" t="n">
        <v>2462208.676391999</v>
      </c>
      <c r="D17" s="12" t="n">
        <v>1.168611995690978</v>
      </c>
      <c r="E17" s="10" t="n">
        <v>2877366.595126096</v>
      </c>
      <c r="F17" s="10" t="n">
        <v>415157.9187340969</v>
      </c>
      <c r="G17" s="10" t="n">
        <v>415157.9187340969</v>
      </c>
    </row>
    <row r="18">
      <c r="A18" s="9" t="n">
        <v>2017</v>
      </c>
      <c r="B18" s="9" t="n">
        <v>95</v>
      </c>
      <c r="C18" s="11" t="n">
        <v>1205811.828916</v>
      </c>
      <c r="D18" s="12" t="n">
        <v>1.183803951634961</v>
      </c>
      <c r="E18" s="10" t="n">
        <v>1427444.807998941</v>
      </c>
      <c r="F18" s="10" t="n">
        <v>221632.9790829401</v>
      </c>
      <c r="G18" s="10" t="n">
        <v>221632.9790829401</v>
      </c>
    </row>
    <row r="19">
      <c r="A19" s="9" t="n">
        <v>2018</v>
      </c>
      <c r="B19" s="9" t="n">
        <v>83</v>
      </c>
      <c r="C19" s="11" t="n">
        <v>2395448.423304001</v>
      </c>
      <c r="D19" s="12" t="n">
        <v>1.222632721248587</v>
      </c>
      <c r="E19" s="10" t="n">
        <v>2928753.624394809</v>
      </c>
      <c r="F19" s="10" t="n">
        <v>533305.201090808</v>
      </c>
      <c r="G19" s="10" t="n">
        <v>533305.201090808</v>
      </c>
    </row>
    <row r="20">
      <c r="A20" s="9" t="n">
        <v>2019</v>
      </c>
      <c r="B20" s="9" t="n">
        <v>71</v>
      </c>
      <c r="C20" s="11" t="n">
        <v>2395189.834488001</v>
      </c>
      <c r="D20" s="12" t="n">
        <v>1.353454422422186</v>
      </c>
      <c r="E20" s="10" t="n">
        <v>3241780.274028449</v>
      </c>
      <c r="F20" s="10" t="n">
        <v>846590.4395404481</v>
      </c>
      <c r="G20" s="10" t="n">
        <v>846590.4395404481</v>
      </c>
    </row>
    <row r="21">
      <c r="A21" s="9" t="n">
        <v>2020</v>
      </c>
      <c r="B21" s="9" t="n">
        <v>59</v>
      </c>
      <c r="C21" s="11" t="n">
        <v>976050.8625559999</v>
      </c>
      <c r="D21" s="12" t="n">
        <v>1.514515498690426</v>
      </c>
      <c r="E21" s="10" t="n">
        <v>1478244.158851221</v>
      </c>
      <c r="F21" s="10" t="n">
        <v>502193.2962952211</v>
      </c>
      <c r="G21" s="10" t="n">
        <v>502193.2962952211</v>
      </c>
    </row>
    <row r="22">
      <c r="A22" s="9" t="n">
        <v>2021</v>
      </c>
      <c r="B22" s="9" t="n">
        <v>47</v>
      </c>
      <c r="C22" s="11" t="n">
        <v>974979.4133360002</v>
      </c>
      <c r="D22" s="12" t="n">
        <v>1.654456730769422</v>
      </c>
      <c r="E22" s="10" t="n">
        <v>1613061.252755368</v>
      </c>
      <c r="F22" s="10" t="n">
        <v>638081.8394193675</v>
      </c>
      <c r="G22" s="10" t="n">
        <v>638081.8394193675</v>
      </c>
    </row>
    <row r="23">
      <c r="A23" s="9" t="n">
        <v>2022</v>
      </c>
      <c r="B23" s="9" t="n">
        <v>35</v>
      </c>
      <c r="C23" s="11" t="n">
        <v>791103.7101360001</v>
      </c>
      <c r="D23" s="12" t="n">
        <v>1.943821212980994</v>
      </c>
      <c r="E23" s="10" t="n">
        <v>1537764.173430324</v>
      </c>
      <c r="F23" s="10" t="n">
        <v>746660.463294324</v>
      </c>
      <c r="G23" s="10" t="n">
        <v>746660.463294324</v>
      </c>
    </row>
    <row r="24">
      <c r="A24" s="9" t="n">
        <v>2023</v>
      </c>
      <c r="B24" s="9" t="n">
        <v>23</v>
      </c>
      <c r="C24" s="11" t="n">
        <v>1199242.068356001</v>
      </c>
      <c r="D24" s="12" t="n">
        <v>2.731068804238296</v>
      </c>
      <c r="E24" s="10" t="n">
        <v>3275212.601617285</v>
      </c>
      <c r="F24" s="10" t="n">
        <v>2075970.533261284</v>
      </c>
      <c r="G24" s="10" t="n">
        <v>2075970.533261284</v>
      </c>
    </row>
    <row r="25">
      <c r="A25" s="9" t="n">
        <v>2024</v>
      </c>
      <c r="B25" s="9" t="n">
        <v>11</v>
      </c>
      <c r="C25" s="11" t="n">
        <v>355247.7609319999</v>
      </c>
      <c r="D25" s="12" t="n">
        <v>7.057628003912606</v>
      </c>
      <c r="E25" s="10" t="n">
        <v>2507206.545880933</v>
      </c>
      <c r="F25" s="10" t="n">
        <v>2151958.784948933</v>
      </c>
      <c r="G25" s="10" t="n">
        <v>2151958.784948933</v>
      </c>
    </row>
    <row r="26"/>
    <row r="27">
      <c r="A27" s="5" t="inlineStr">
        <is>
          <t>Total</t>
        </is>
      </c>
      <c r="C27" s="10">
        <f>SUM(C2:C25)</f>
        <v/>
      </c>
      <c r="E27" s="10">
        <f>SUM(E2:E25)</f>
        <v/>
      </c>
      <c r="F27" s="10">
        <f>SUM(F2:F25)</f>
        <v/>
      </c>
      <c r="G27" s="10">
        <f>SUM(G2:G25)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8" t="inlineStr">
        <is>
          <t>Accident Period</t>
        </is>
      </c>
      <c r="B1" s="8" t="inlineStr">
        <is>
          <t>Current Age</t>
        </is>
      </c>
      <c r="C1" s="8" t="inlineStr">
        <is>
          <t>Initial Expected</t>
        </is>
      </c>
      <c r="D1" s="8" t="inlineStr">
        <is>
          <t>CDF</t>
        </is>
      </c>
      <c r="E1" s="8" t="inlineStr">
        <is>
          <t>% Unreported</t>
        </is>
      </c>
      <c r="F1" s="8" t="inlineStr">
        <is>
          <t>Unreported</t>
        </is>
      </c>
      <c r="G1" s="8" t="inlineStr">
        <is>
          <t>Incurred</t>
        </is>
      </c>
      <c r="H1" s="8" t="inlineStr">
        <is>
          <t>Ultimate</t>
        </is>
      </c>
      <c r="I1" s="8" t="inlineStr">
        <is>
          <t>IBNR</t>
        </is>
      </c>
      <c r="J1" s="8" t="inlineStr">
        <is>
          <t>Unpaid</t>
        </is>
      </c>
    </row>
    <row r="2">
      <c r="A2" s="9" t="n">
        <v>2001</v>
      </c>
      <c r="B2" s="9" t="n">
        <v>287</v>
      </c>
      <c r="C2" s="11" t="n">
        <v>3163773.699688</v>
      </c>
      <c r="D2" s="12" t="n">
        <v>1.0216</v>
      </c>
      <c r="E2" s="13" t="n">
        <v>0.02114330462020364</v>
      </c>
      <c r="F2" s="10" t="n">
        <v>66892.63108189218</v>
      </c>
      <c r="G2" s="11" t="n">
        <v>3163773.699688</v>
      </c>
      <c r="H2" s="10" t="n">
        <v>3230666.330769892</v>
      </c>
      <c r="I2" s="10" t="n">
        <v>66892.63108189218</v>
      </c>
      <c r="J2" s="10" t="n">
        <v>188371.6684938921</v>
      </c>
    </row>
    <row r="3">
      <c r="A3" s="9" t="n">
        <v>2002</v>
      </c>
      <c r="B3" s="9" t="n">
        <v>275</v>
      </c>
      <c r="C3" s="11" t="n">
        <v>2904344.256599999</v>
      </c>
      <c r="D3" s="12" t="n">
        <v>1.03375704</v>
      </c>
      <c r="E3" s="13" t="n">
        <v>0.03265471352920601</v>
      </c>
      <c r="F3" s="10" t="n">
        <v>94840.52968946798</v>
      </c>
      <c r="G3" s="11" t="n">
        <v>2327733.756319999</v>
      </c>
      <c r="H3" s="10" t="n">
        <v>2422574.286009467</v>
      </c>
      <c r="I3" s="10" t="n">
        <v>94840.52968946798</v>
      </c>
      <c r="J3" s="10" t="n">
        <v>222928.0579214669</v>
      </c>
    </row>
    <row r="4">
      <c r="A4" s="9" t="n">
        <v>2003</v>
      </c>
      <c r="B4" s="9" t="n">
        <v>263</v>
      </c>
      <c r="C4" s="11" t="n">
        <v>2633272.1256</v>
      </c>
      <c r="D4" s="12" t="n">
        <v>1.03375704</v>
      </c>
      <c r="E4" s="13" t="n">
        <v>0.03265471352920601</v>
      </c>
      <c r="F4" s="10" t="n">
        <v>85988.74690591148</v>
      </c>
      <c r="G4" s="11" t="n">
        <v>1778091.575843999</v>
      </c>
      <c r="H4" s="10" t="n">
        <v>1864080.322749911</v>
      </c>
      <c r="I4" s="10" t="n">
        <v>85988.74690591148</v>
      </c>
      <c r="J4" s="10" t="n">
        <v>85988.74690591148</v>
      </c>
    </row>
    <row r="5">
      <c r="A5" s="9" t="n">
        <v>2004</v>
      </c>
      <c r="B5" s="9" t="n">
        <v>251</v>
      </c>
      <c r="C5" s="11" t="n">
        <v>1678710.98</v>
      </c>
      <c r="D5" s="12" t="n">
        <v>1.051744412496</v>
      </c>
      <c r="E5" s="13" t="n">
        <v>0.0491986568991607</v>
      </c>
      <c r="F5" s="10" t="n">
        <v>82590.3255378739</v>
      </c>
      <c r="G5" s="11" t="n">
        <v>1122614.7306</v>
      </c>
      <c r="H5" s="10" t="n">
        <v>1205205.056137874</v>
      </c>
      <c r="I5" s="10" t="n">
        <v>82590.3255378739</v>
      </c>
      <c r="J5" s="10" t="n">
        <v>82590.3255378739</v>
      </c>
    </row>
    <row r="6">
      <c r="A6" s="9" t="n">
        <v>2005</v>
      </c>
      <c r="B6" s="9" t="n">
        <v>239</v>
      </c>
      <c r="C6" s="11" t="n">
        <v>1712285.2</v>
      </c>
      <c r="D6" s="12" t="n">
        <v>1.059001448942222</v>
      </c>
      <c r="E6" s="13" t="n">
        <v>0.05571422872098586</v>
      </c>
      <c r="F6" s="10" t="n">
        <v>95398.64926835895</v>
      </c>
      <c r="G6" s="11" t="n">
        <v>2242149.132116</v>
      </c>
      <c r="H6" s="10" t="n">
        <v>2337547.781384359</v>
      </c>
      <c r="I6" s="10" t="n">
        <v>95398.64926835895</v>
      </c>
      <c r="J6" s="10" t="n">
        <v>95398.64926835895</v>
      </c>
    </row>
    <row r="7">
      <c r="A7" s="9" t="n">
        <v>2006</v>
      </c>
      <c r="B7" s="9" t="n">
        <v>227</v>
      </c>
      <c r="C7" s="11" t="n">
        <v>1746530.9035</v>
      </c>
      <c r="D7" s="12" t="n">
        <v>1.068426561837808</v>
      </c>
      <c r="E7" s="13" t="n">
        <v>0.06404423502922574</v>
      </c>
      <c r="F7" s="10" t="n">
        <v>111855.23566956</v>
      </c>
      <c r="G7" s="11" t="n">
        <v>1517636.792660001</v>
      </c>
      <c r="H7" s="10" t="n">
        <v>1629492.028329561</v>
      </c>
      <c r="I7" s="10" t="n">
        <v>111855.23566956</v>
      </c>
      <c r="J7" s="10" t="n">
        <v>167351.0004735603</v>
      </c>
    </row>
    <row r="8">
      <c r="A8" s="9" t="n">
        <v>2007</v>
      </c>
      <c r="B8" s="9" t="n">
        <v>215</v>
      </c>
      <c r="C8" s="11" t="n">
        <v>2850338.4352</v>
      </c>
      <c r="D8" s="12" t="n">
        <v>1.068426561837808</v>
      </c>
      <c r="E8" s="13" t="n">
        <v>0.06404423502922574</v>
      </c>
      <c r="F8" s="10" t="n">
        <v>182547.7446567845</v>
      </c>
      <c r="G8" s="11" t="n">
        <v>4810774.614816</v>
      </c>
      <c r="H8" s="10" t="n">
        <v>4993322.359472784</v>
      </c>
      <c r="I8" s="10" t="n">
        <v>182547.7446567845</v>
      </c>
      <c r="J8" s="10" t="n">
        <v>202629.2063207841</v>
      </c>
    </row>
    <row r="9">
      <c r="A9" s="9" t="n">
        <v>2008</v>
      </c>
      <c r="B9" s="9" t="n">
        <v>203</v>
      </c>
      <c r="C9" s="11" t="n">
        <v>2543927.0535</v>
      </c>
      <c r="D9" s="12" t="n">
        <v>1.070563414961484</v>
      </c>
      <c r="E9" s="13" t="n">
        <v>0.06591241020880811</v>
      </c>
      <c r="F9" s="10" t="n">
        <v>167676.3634915766</v>
      </c>
      <c r="G9" s="11" t="n">
        <v>1378427.939547998</v>
      </c>
      <c r="H9" s="10" t="n">
        <v>1546104.303039575</v>
      </c>
      <c r="I9" s="10" t="n">
        <v>167676.3634915766</v>
      </c>
      <c r="J9" s="10" t="n">
        <v>167676.3634915766</v>
      </c>
    </row>
    <row r="10">
      <c r="A10" s="9" t="n">
        <v>2009</v>
      </c>
      <c r="B10" s="9" t="n">
        <v>191</v>
      </c>
      <c r="C10" s="11" t="n">
        <v>2594805.5945</v>
      </c>
      <c r="D10" s="12" t="n">
        <v>1.078699696915191</v>
      </c>
      <c r="E10" s="13" t="n">
        <v>0.07295792994125472</v>
      </c>
      <c r="F10" s="10" t="n">
        <v>189311.6447747068</v>
      </c>
      <c r="G10" s="11" t="n">
        <v>1169581.089256</v>
      </c>
      <c r="H10" s="10" t="n">
        <v>1358892.734030707</v>
      </c>
      <c r="I10" s="10" t="n">
        <v>189311.6447747068</v>
      </c>
      <c r="J10" s="10" t="n">
        <v>189311.6447747068</v>
      </c>
    </row>
    <row r="11">
      <c r="A11" s="9" t="n">
        <v>2010</v>
      </c>
      <c r="B11" s="9" t="n">
        <v>179</v>
      </c>
      <c r="C11" s="11" t="n">
        <v>1134300.7311</v>
      </c>
      <c r="D11" s="12" t="n">
        <v>1.082583015824086</v>
      </c>
      <c r="E11" s="13" t="n">
        <v>0.07628331002516409</v>
      </c>
      <c r="F11" s="10" t="n">
        <v>86528.2143322716</v>
      </c>
      <c r="G11" s="11" t="n">
        <v>1277672.072084001</v>
      </c>
      <c r="H11" s="10" t="n">
        <v>1364200.286416272</v>
      </c>
      <c r="I11" s="10" t="n">
        <v>86528.2143322716</v>
      </c>
      <c r="J11" s="10" t="n">
        <v>86528.2143322716</v>
      </c>
    </row>
    <row r="12">
      <c r="A12" s="9" t="n">
        <v>2011</v>
      </c>
      <c r="B12" s="9" t="n">
        <v>167</v>
      </c>
      <c r="C12" s="11" t="n">
        <v>1542648.9944</v>
      </c>
      <c r="D12" s="12" t="n">
        <v>1.105425517457974</v>
      </c>
      <c r="E12" s="13" t="n">
        <v>0.09537098229866214</v>
      </c>
      <c r="F12" s="10" t="n">
        <v>147123.9499379713</v>
      </c>
      <c r="G12" s="11" t="n">
        <v>1916081.580416</v>
      </c>
      <c r="H12" s="10" t="n">
        <v>2063205.530353971</v>
      </c>
      <c r="I12" s="10" t="n">
        <v>147123.9499379713</v>
      </c>
      <c r="J12" s="10" t="n">
        <v>170547.2326219713</v>
      </c>
    </row>
    <row r="13">
      <c r="A13" s="9" t="n">
        <v>2012</v>
      </c>
      <c r="B13" s="9" t="n">
        <v>155</v>
      </c>
      <c r="C13" s="11" t="n">
        <v>1573501.9744</v>
      </c>
      <c r="D13" s="12" t="n">
        <v>1.105867687664957</v>
      </c>
      <c r="E13" s="13" t="n">
        <v>0.09573268922297307</v>
      </c>
      <c r="F13" s="10" t="n">
        <v>150635.5755069698</v>
      </c>
      <c r="G13" s="11" t="n">
        <v>1363753.380531999</v>
      </c>
      <c r="H13" s="10" t="n">
        <v>1514388.956038969</v>
      </c>
      <c r="I13" s="10" t="n">
        <v>150635.5755069698</v>
      </c>
      <c r="J13" s="10" t="n">
        <v>320152.07769897</v>
      </c>
    </row>
    <row r="14">
      <c r="A14" s="9" t="n">
        <v>2013</v>
      </c>
      <c r="B14" s="9" t="n">
        <v>143</v>
      </c>
      <c r="C14" s="11" t="n">
        <v>1203729.0102</v>
      </c>
      <c r="D14" s="12" t="n">
        <v>1.10830059657782</v>
      </c>
      <c r="E14" s="13" t="n">
        <v>0.09771771026040021</v>
      </c>
      <c r="F14" s="10" t="n">
        <v>117625.6426507619</v>
      </c>
      <c r="G14" s="11" t="n">
        <v>708529.9908599999</v>
      </c>
      <c r="H14" s="10" t="n">
        <v>826155.6335107618</v>
      </c>
      <c r="I14" s="10" t="n">
        <v>117625.6426507619</v>
      </c>
      <c r="J14" s="10" t="n">
        <v>117625.6426507619</v>
      </c>
    </row>
    <row r="15">
      <c r="A15" s="9" t="n">
        <v>2014</v>
      </c>
      <c r="B15" s="9" t="n">
        <v>131</v>
      </c>
      <c r="C15" s="11" t="n">
        <v>1227803.5905</v>
      </c>
      <c r="D15" s="12" t="n">
        <v>1.147091117458044</v>
      </c>
      <c r="E15" s="13" t="n">
        <v>0.128229671749179</v>
      </c>
      <c r="F15" s="10" t="n">
        <v>157440.8513822784</v>
      </c>
      <c r="G15" s="11" t="n">
        <v>1389603.684732</v>
      </c>
      <c r="H15" s="10" t="n">
        <v>1547044.536114278</v>
      </c>
      <c r="I15" s="10" t="n">
        <v>157440.8513822784</v>
      </c>
      <c r="J15" s="10" t="n">
        <v>157440.8513822784</v>
      </c>
    </row>
    <row r="16">
      <c r="A16" s="9" t="n">
        <v>2015</v>
      </c>
      <c r="B16" s="9" t="n">
        <v>119</v>
      </c>
      <c r="C16" s="11" t="n">
        <v>1669812.8832</v>
      </c>
      <c r="D16" s="12" t="n">
        <v>1.1564972646212</v>
      </c>
      <c r="E16" s="13" t="n">
        <v>0.1353200473608202</v>
      </c>
      <c r="F16" s="10" t="n">
        <v>225959.1584383314</v>
      </c>
      <c r="G16" s="11" t="n">
        <v>3382963.258076001</v>
      </c>
      <c r="H16" s="10" t="n">
        <v>3608922.416514333</v>
      </c>
      <c r="I16" s="10" t="n">
        <v>225959.1584383314</v>
      </c>
      <c r="J16" s="10" t="n">
        <v>244691.1179663315</v>
      </c>
    </row>
    <row r="17">
      <c r="A17" s="9" t="n">
        <v>2016</v>
      </c>
      <c r="B17" s="9" t="n">
        <v>107</v>
      </c>
      <c r="C17" s="11" t="n">
        <v>2554813.7112</v>
      </c>
      <c r="D17" s="12" t="n">
        <v>1.212587381955328</v>
      </c>
      <c r="E17" s="13" t="n">
        <v>0.1753171648648738</v>
      </c>
      <c r="F17" s="10" t="n">
        <v>447902.6966054905</v>
      </c>
      <c r="G17" s="11" t="n">
        <v>2506323.643367999</v>
      </c>
      <c r="H17" s="10" t="n">
        <v>2954226.339973489</v>
      </c>
      <c r="I17" s="10" t="n">
        <v>447902.6966054905</v>
      </c>
      <c r="J17" s="10" t="n">
        <v>492017.6635814905</v>
      </c>
    </row>
    <row r="18">
      <c r="A18" s="9" t="n">
        <v>2017</v>
      </c>
      <c r="B18" s="9" t="n">
        <v>95</v>
      </c>
      <c r="C18" s="11" t="n">
        <v>2605909.9854</v>
      </c>
      <c r="D18" s="12" t="n">
        <v>1.230291157731876</v>
      </c>
      <c r="E18" s="13" t="n">
        <v>0.18718427445779</v>
      </c>
      <c r="F18" s="10" t="n">
        <v>487785.369919409</v>
      </c>
      <c r="G18" s="11" t="n">
        <v>1205811.828916</v>
      </c>
      <c r="H18" s="10" t="n">
        <v>1693597.198835409</v>
      </c>
      <c r="I18" s="10" t="n">
        <v>487785.369919409</v>
      </c>
      <c r="J18" s="10" t="n">
        <v>487785.369919409</v>
      </c>
    </row>
    <row r="19">
      <c r="A19" s="9" t="n">
        <v>2018</v>
      </c>
      <c r="B19" s="9" t="n">
        <v>83</v>
      </c>
      <c r="C19" s="11" t="n">
        <v>2215023.4875</v>
      </c>
      <c r="D19" s="12" t="n">
        <v>1.238288050257133</v>
      </c>
      <c r="E19" s="13" t="n">
        <v>0.192433456987372</v>
      </c>
      <c r="F19" s="10" t="n">
        <v>426244.62700785</v>
      </c>
      <c r="G19" s="11" t="n">
        <v>2395448.423304001</v>
      </c>
      <c r="H19" s="10" t="n">
        <v>2821693.050311851</v>
      </c>
      <c r="I19" s="10" t="n">
        <v>426244.62700785</v>
      </c>
      <c r="J19" s="10" t="n">
        <v>426244.62700785</v>
      </c>
    </row>
    <row r="20">
      <c r="A20" s="9" t="n">
        <v>2019</v>
      </c>
      <c r="B20" s="9" t="n">
        <v>71</v>
      </c>
      <c r="C20" s="11" t="n">
        <v>2259323.9575</v>
      </c>
      <c r="D20" s="12" t="n">
        <v>1.346019110629503</v>
      </c>
      <c r="E20" s="13" t="n">
        <v>0.2570684976884747</v>
      </c>
      <c r="F20" s="10" t="n">
        <v>580801.0155461044</v>
      </c>
      <c r="G20" s="11" t="n">
        <v>2599882.874291999</v>
      </c>
      <c r="H20" s="10" t="n">
        <v>3180683.889838104</v>
      </c>
      <c r="I20" s="10" t="n">
        <v>580801.0155461044</v>
      </c>
      <c r="J20" s="10" t="n">
        <v>785494.0553501029</v>
      </c>
    </row>
    <row r="21">
      <c r="A21" s="9" t="n">
        <v>2020</v>
      </c>
      <c r="B21" s="9" t="n">
        <v>59</v>
      </c>
      <c r="C21" s="11" t="n">
        <v>1843608.3492</v>
      </c>
      <c r="D21" s="12" t="n">
        <v>1.484255273291153</v>
      </c>
      <c r="E21" s="13" t="n">
        <v>0.3262614470739772</v>
      </c>
      <c r="F21" s="10" t="n">
        <v>601498.3278476582</v>
      </c>
      <c r="G21" s="11" t="n">
        <v>978899.5094679999</v>
      </c>
      <c r="H21" s="10" t="n">
        <v>1580397.837315658</v>
      </c>
      <c r="I21" s="10" t="n">
        <v>601498.3278476582</v>
      </c>
      <c r="J21" s="10" t="n">
        <v>604346.9747596582</v>
      </c>
    </row>
    <row r="22">
      <c r="A22" s="9" t="n">
        <v>2021</v>
      </c>
      <c r="B22" s="9" t="n">
        <v>47</v>
      </c>
      <c r="C22" s="11" t="n">
        <v>1410360.3873</v>
      </c>
      <c r="D22" s="12" t="n">
        <v>1.568412547286761</v>
      </c>
      <c r="E22" s="13" t="n">
        <v>0.3624126498286904</v>
      </c>
      <c r="F22" s="10" t="n">
        <v>511132.4451748111</v>
      </c>
      <c r="G22" s="11" t="n">
        <v>1011313.279736</v>
      </c>
      <c r="H22" s="10" t="n">
        <v>1522445.724910811</v>
      </c>
      <c r="I22" s="10" t="n">
        <v>511132.4451748111</v>
      </c>
      <c r="J22" s="10" t="n">
        <v>547466.3115748109</v>
      </c>
    </row>
    <row r="23">
      <c r="A23" s="9" t="n">
        <v>2022</v>
      </c>
      <c r="B23" s="9" t="n">
        <v>35</v>
      </c>
      <c r="C23" s="11" t="n">
        <v>959045.0632000001</v>
      </c>
      <c r="D23" s="12" t="n">
        <v>1.850726805798378</v>
      </c>
      <c r="E23" s="13" t="n">
        <v>0.4596717371429579</v>
      </c>
      <c r="F23" s="10" t="n">
        <v>440845.9101995219</v>
      </c>
      <c r="G23" s="11" t="n">
        <v>827416.1066440007</v>
      </c>
      <c r="H23" s="10" t="n">
        <v>1268262.016843523</v>
      </c>
      <c r="I23" s="10" t="n">
        <v>440845.9101995219</v>
      </c>
      <c r="J23" s="10" t="n">
        <v>477158.3067075226</v>
      </c>
    </row>
    <row r="24">
      <c r="A24" s="9" t="n">
        <v>2023</v>
      </c>
      <c r="B24" s="9" t="n">
        <v>23</v>
      </c>
      <c r="C24" s="11" t="n">
        <v>978225.9646000001</v>
      </c>
      <c r="D24" s="12" t="n">
        <v>2.257886703074022</v>
      </c>
      <c r="E24" s="13" t="n">
        <v>0.5571079812647197</v>
      </c>
      <c r="F24" s="10" t="n">
        <v>544977.4923590391</v>
      </c>
      <c r="G24" s="11" t="n">
        <v>1651756.674352</v>
      </c>
      <c r="H24" s="10" t="n">
        <v>2196734.166711039</v>
      </c>
      <c r="I24" s="10" t="n">
        <v>544977.4923590391</v>
      </c>
      <c r="J24" s="10" t="n">
        <v>997492.0983550379</v>
      </c>
    </row>
    <row r="25">
      <c r="A25" s="9" t="n">
        <v>2024</v>
      </c>
      <c r="B25" s="9" t="n">
        <v>11</v>
      </c>
      <c r="C25" s="11" t="n">
        <v>997790.4837999999</v>
      </c>
      <c r="D25" s="12" t="n">
        <v>3.725513060072136</v>
      </c>
      <c r="E25" s="13" t="n">
        <v>0.7315805947058907</v>
      </c>
      <c r="F25" s="10" t="n">
        <v>729964.1555302824</v>
      </c>
      <c r="G25" s="11" t="n">
        <v>890155.221828</v>
      </c>
      <c r="H25" s="10" t="n">
        <v>1620119.377358282</v>
      </c>
      <c r="I25" s="10" t="n">
        <v>729964.1555302824</v>
      </c>
      <c r="J25" s="10" t="n">
        <v>1264871.616426283</v>
      </c>
    </row>
    <row r="26"/>
    <row r="27">
      <c r="A27" s="5" t="inlineStr">
        <is>
          <t>Total</t>
        </is>
      </c>
      <c r="C27" s="10">
        <f>SUM(C2:C25)</f>
        <v/>
      </c>
      <c r="E27" s="13">
        <f>SUM(F2:F25)/SUM(C2:C25)</f>
        <v/>
      </c>
      <c r="F27" s="10">
        <f>SUM(F2:F25)</f>
        <v/>
      </c>
      <c r="G27" s="10">
        <f>SUM(G2:G25)</f>
        <v/>
      </c>
      <c r="H27" s="10">
        <f>SUM(H2:H25)</f>
        <v/>
      </c>
      <c r="I27" s="10">
        <f>SUM(I2:I25)</f>
        <v/>
      </c>
      <c r="J27" s="10">
        <f>SUM(J2:J25)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8" t="inlineStr">
        <is>
          <t>Accident Period</t>
        </is>
      </c>
      <c r="B1" s="8" t="inlineStr">
        <is>
          <t>Current Age</t>
        </is>
      </c>
      <c r="C1" s="8" t="inlineStr">
        <is>
          <t>Initial Expected</t>
        </is>
      </c>
      <c r="D1" s="8" t="inlineStr">
        <is>
          <t>CDF</t>
        </is>
      </c>
      <c r="E1" s="8" t="inlineStr">
        <is>
          <t>% Unreported</t>
        </is>
      </c>
      <c r="F1" s="8" t="inlineStr">
        <is>
          <t>Unreported</t>
        </is>
      </c>
      <c r="G1" s="8" t="inlineStr">
        <is>
          <t>Paid</t>
        </is>
      </c>
      <c r="H1" s="8" t="inlineStr">
        <is>
          <t>Ultimate</t>
        </is>
      </c>
      <c r="I1" s="8" t="inlineStr">
        <is>
          <t>IBNR</t>
        </is>
      </c>
      <c r="J1" s="8" t="inlineStr">
        <is>
          <t>Unpaid</t>
        </is>
      </c>
    </row>
    <row r="2">
      <c r="A2" s="9" t="n">
        <v>2001</v>
      </c>
      <c r="B2" s="9" t="n">
        <v>287</v>
      </c>
      <c r="C2" s="11" t="n">
        <v>3163773.699688</v>
      </c>
      <c r="D2" s="12" t="n">
        <v>1.0039</v>
      </c>
      <c r="E2" s="13" t="n">
        <v>0.003884849088554687</v>
      </c>
      <c r="F2" s="10" t="n">
        <v>12290.78337362641</v>
      </c>
      <c r="G2" s="11" t="n">
        <v>3042294.662276</v>
      </c>
      <c r="H2" s="10" t="n">
        <v>3054585.445649627</v>
      </c>
      <c r="I2" s="10" t="n">
        <v>12290.78337362641</v>
      </c>
      <c r="J2" s="10" t="n">
        <v>12290.78337362641</v>
      </c>
    </row>
    <row r="3">
      <c r="A3" s="9" t="n">
        <v>2002</v>
      </c>
      <c r="B3" s="9" t="n">
        <v>275</v>
      </c>
      <c r="C3" s="11" t="n">
        <v>2904344.256599999</v>
      </c>
      <c r="D3" s="12" t="n">
        <v>1.00781521</v>
      </c>
      <c r="E3" s="13" t="n">
        <v>0.007754606124668384</v>
      </c>
      <c r="F3" s="10" t="n">
        <v>22522.04576037591</v>
      </c>
      <c r="G3" s="11" t="n">
        <v>2199646.228088</v>
      </c>
      <c r="H3" s="10" t="n">
        <v>2222168.273848376</v>
      </c>
      <c r="I3" s="10" t="n">
        <v>22522.04576037591</v>
      </c>
      <c r="J3" s="10" t="n">
        <v>22522.04576037591</v>
      </c>
    </row>
    <row r="4">
      <c r="A4" s="9" t="n">
        <v>2003</v>
      </c>
      <c r="B4" s="9" t="n">
        <v>263</v>
      </c>
      <c r="C4" s="11" t="n">
        <v>2633272.1256</v>
      </c>
      <c r="D4" s="12" t="n">
        <v>1.015474605596</v>
      </c>
      <c r="E4" s="13" t="n">
        <v>0.01523879131070704</v>
      </c>
      <c r="F4" s="10" t="n">
        <v>40127.88438632037</v>
      </c>
      <c r="G4" s="11" t="n">
        <v>1778091.575843999</v>
      </c>
      <c r="H4" s="10" t="n">
        <v>1818219.46023032</v>
      </c>
      <c r="I4" s="10" t="n">
        <v>40127.88438632037</v>
      </c>
      <c r="J4" s="10" t="n">
        <v>40127.88438632037</v>
      </c>
    </row>
    <row r="5">
      <c r="A5" s="9" t="n">
        <v>2004</v>
      </c>
      <c r="B5" s="9" t="n">
        <v>251</v>
      </c>
      <c r="C5" s="11" t="n">
        <v>1678710.98</v>
      </c>
      <c r="D5" s="12" t="n">
        <v>1.021262810847897</v>
      </c>
      <c r="E5" s="13" t="n">
        <v>0.02082011664582584</v>
      </c>
      <c r="F5" s="10" t="n">
        <v>34950.95841822866</v>
      </c>
      <c r="G5" s="11" t="n">
        <v>1122614.7306</v>
      </c>
      <c r="H5" s="10" t="n">
        <v>1157565.689018229</v>
      </c>
      <c r="I5" s="10" t="n">
        <v>34950.95841822866</v>
      </c>
      <c r="J5" s="10" t="n">
        <v>34950.95841822866</v>
      </c>
    </row>
    <row r="6">
      <c r="A6" s="9" t="n">
        <v>2005</v>
      </c>
      <c r="B6" s="9" t="n">
        <v>239</v>
      </c>
      <c r="C6" s="11" t="n">
        <v>1712285.2</v>
      </c>
      <c r="D6" s="12" t="n">
        <v>1.025756367215628</v>
      </c>
      <c r="E6" s="13" t="n">
        <v>0.02510963425510326</v>
      </c>
      <c r="F6" s="10" t="n">
        <v>42994.85511242645</v>
      </c>
      <c r="G6" s="11" t="n">
        <v>2242149.132116</v>
      </c>
      <c r="H6" s="10" t="n">
        <v>2285143.987228427</v>
      </c>
      <c r="I6" s="10" t="n">
        <v>42994.85511242645</v>
      </c>
      <c r="J6" s="10" t="n">
        <v>42994.85511242645</v>
      </c>
    </row>
    <row r="7">
      <c r="A7" s="9" t="n">
        <v>2006</v>
      </c>
      <c r="B7" s="9" t="n">
        <v>227</v>
      </c>
      <c r="C7" s="11" t="n">
        <v>1746530.9035</v>
      </c>
      <c r="D7" s="12" t="n">
        <v>1.028218182496945</v>
      </c>
      <c r="E7" s="13" t="n">
        <v>0.02744376920900149</v>
      </c>
      <c r="F7" s="10" t="n">
        <v>47931.39103204291</v>
      </c>
      <c r="G7" s="11" t="n">
        <v>1462141.027856</v>
      </c>
      <c r="H7" s="10" t="n">
        <v>1510072.418888043</v>
      </c>
      <c r="I7" s="10" t="n">
        <v>47931.39103204291</v>
      </c>
      <c r="J7" s="10" t="n">
        <v>47931.39103204291</v>
      </c>
    </row>
    <row r="8">
      <c r="A8" s="9" t="n">
        <v>2007</v>
      </c>
      <c r="B8" s="9" t="n">
        <v>215</v>
      </c>
      <c r="C8" s="11" t="n">
        <v>2850338.4352</v>
      </c>
      <c r="D8" s="12" t="n">
        <v>1.032639520681682</v>
      </c>
      <c r="E8" s="13" t="n">
        <v>0.03160785543064981</v>
      </c>
      <c r="F8" s="10" t="n">
        <v>90093.08518822584</v>
      </c>
      <c r="G8" s="11" t="n">
        <v>4790693.153152</v>
      </c>
      <c r="H8" s="10" t="n">
        <v>4880786.238340226</v>
      </c>
      <c r="I8" s="10" t="n">
        <v>90093.08518822584</v>
      </c>
      <c r="J8" s="10" t="n">
        <v>90093.08518822584</v>
      </c>
    </row>
    <row r="9">
      <c r="A9" s="9" t="n">
        <v>2008</v>
      </c>
      <c r="B9" s="9" t="n">
        <v>203</v>
      </c>
      <c r="C9" s="11" t="n">
        <v>2543927.0535</v>
      </c>
      <c r="D9" s="12" t="n">
        <v>1.034808063675114</v>
      </c>
      <c r="E9" s="13" t="n">
        <v>0.03363721727437352</v>
      </c>
      <c r="F9" s="10" t="n">
        <v>85570.62702873629</v>
      </c>
      <c r="G9" s="11" t="n">
        <v>1378427.939547998</v>
      </c>
      <c r="H9" s="10" t="n">
        <v>1463998.566576735</v>
      </c>
      <c r="I9" s="10" t="n">
        <v>85570.62702873629</v>
      </c>
      <c r="J9" s="10" t="n">
        <v>85570.62702873629</v>
      </c>
    </row>
    <row r="10">
      <c r="A10" s="9" t="n">
        <v>2009</v>
      </c>
      <c r="B10" s="9" t="n">
        <v>191</v>
      </c>
      <c r="C10" s="11" t="n">
        <v>2594805.5945</v>
      </c>
      <c r="D10" s="12" t="n">
        <v>1.046708356407377</v>
      </c>
      <c r="E10" s="13" t="n">
        <v>0.04462404080511473</v>
      </c>
      <c r="F10" s="10" t="n">
        <v>115790.710730308</v>
      </c>
      <c r="G10" s="11" t="n">
        <v>1169581.089256</v>
      </c>
      <c r="H10" s="10" t="n">
        <v>1285371.799986308</v>
      </c>
      <c r="I10" s="10" t="n">
        <v>115790.710730308</v>
      </c>
      <c r="J10" s="10" t="n">
        <v>115790.710730308</v>
      </c>
    </row>
    <row r="11">
      <c r="A11" s="9" t="n">
        <v>2010</v>
      </c>
      <c r="B11" s="9" t="n">
        <v>179</v>
      </c>
      <c r="C11" s="11" t="n">
        <v>1134300.7311</v>
      </c>
      <c r="D11" s="12" t="n">
        <v>1.056756756628888</v>
      </c>
      <c r="E11" s="13" t="n">
        <v>0.05370843978319606</v>
      </c>
      <c r="F11" s="10" t="n">
        <v>60921.52251231973</v>
      </c>
      <c r="G11" s="11" t="n">
        <v>1277672.072084001</v>
      </c>
      <c r="H11" s="10" t="n">
        <v>1338593.59459632</v>
      </c>
      <c r="I11" s="10" t="n">
        <v>60921.52251231973</v>
      </c>
      <c r="J11" s="10" t="n">
        <v>60921.52251231973</v>
      </c>
    </row>
    <row r="12">
      <c r="A12" s="9" t="n">
        <v>2011</v>
      </c>
      <c r="B12" s="9" t="n">
        <v>167</v>
      </c>
      <c r="C12" s="11" t="n">
        <v>1542648.9944</v>
      </c>
      <c r="D12" s="12" t="n">
        <v>1.065316486357582</v>
      </c>
      <c r="E12" s="13" t="n">
        <v>0.06131181408907449</v>
      </c>
      <c r="F12" s="10" t="n">
        <v>94582.60834935051</v>
      </c>
      <c r="G12" s="11" t="n">
        <v>1892658.297732</v>
      </c>
      <c r="H12" s="10" t="n">
        <v>1987240.90608135</v>
      </c>
      <c r="I12" s="10" t="n">
        <v>94582.60834935051</v>
      </c>
      <c r="J12" s="10" t="n">
        <v>94582.60834935051</v>
      </c>
    </row>
    <row r="13">
      <c r="A13" s="9" t="n">
        <v>2012</v>
      </c>
      <c r="B13" s="9" t="n">
        <v>155</v>
      </c>
      <c r="C13" s="11" t="n">
        <v>1573501.9744</v>
      </c>
      <c r="D13" s="12" t="n">
        <v>1.072560638464814</v>
      </c>
      <c r="E13" s="13" t="n">
        <v>0.0676517819716671</v>
      </c>
      <c r="F13" s="10" t="n">
        <v>106450.2125040966</v>
      </c>
      <c r="G13" s="11" t="n">
        <v>1194236.878339999</v>
      </c>
      <c r="H13" s="10" t="n">
        <v>1300687.090844095</v>
      </c>
      <c r="I13" s="10" t="n">
        <v>106450.2125040966</v>
      </c>
      <c r="J13" s="10" t="n">
        <v>106450.2125040966</v>
      </c>
    </row>
    <row r="14">
      <c r="A14" s="9" t="n">
        <v>2013</v>
      </c>
      <c r="B14" s="9" t="n">
        <v>143</v>
      </c>
      <c r="C14" s="11" t="n">
        <v>1203729.0102</v>
      </c>
      <c r="D14" s="12" t="n">
        <v>1.091330449637948</v>
      </c>
      <c r="E14" s="13" t="n">
        <v>0.08368725500900942</v>
      </c>
      <c r="F14" s="10" t="n">
        <v>100736.7766383499</v>
      </c>
      <c r="G14" s="11" t="n">
        <v>708529.9908599999</v>
      </c>
      <c r="H14" s="10" t="n">
        <v>809266.7674983498</v>
      </c>
      <c r="I14" s="10" t="n">
        <v>100736.7766383499</v>
      </c>
      <c r="J14" s="10" t="n">
        <v>100736.7766383499</v>
      </c>
    </row>
    <row r="15">
      <c r="A15" s="9" t="n">
        <v>2014</v>
      </c>
      <c r="B15" s="9" t="n">
        <v>131</v>
      </c>
      <c r="C15" s="11" t="n">
        <v>1227803.5905</v>
      </c>
      <c r="D15" s="12" t="n">
        <v>1.111956595136105</v>
      </c>
      <c r="E15" s="13" t="n">
        <v>0.1006843213357634</v>
      </c>
      <c r="F15" s="10" t="n">
        <v>123620.5712431062</v>
      </c>
      <c r="G15" s="11" t="n">
        <v>1389603.684732</v>
      </c>
      <c r="H15" s="10" t="n">
        <v>1513224.255975106</v>
      </c>
      <c r="I15" s="10" t="n">
        <v>123620.5712431062</v>
      </c>
      <c r="J15" s="10" t="n">
        <v>123620.5712431062</v>
      </c>
    </row>
    <row r="16">
      <c r="A16" s="9" t="n">
        <v>2015</v>
      </c>
      <c r="B16" s="9" t="n">
        <v>119</v>
      </c>
      <c r="C16" s="11" t="n">
        <v>1669812.8832</v>
      </c>
      <c r="D16" s="12" t="n">
        <v>1.121185834875735</v>
      </c>
      <c r="E16" s="13" t="n">
        <v>0.1080871975957189</v>
      </c>
      <c r="F16" s="10" t="n">
        <v>180485.3950543157</v>
      </c>
      <c r="G16" s="11" t="n">
        <v>3364231.298548001</v>
      </c>
      <c r="H16" s="10" t="n">
        <v>3544716.693602317</v>
      </c>
      <c r="I16" s="10" t="n">
        <v>180485.3950543157</v>
      </c>
      <c r="J16" s="10" t="n">
        <v>180485.3950543157</v>
      </c>
    </row>
    <row r="17">
      <c r="A17" s="9" t="n">
        <v>2016</v>
      </c>
      <c r="B17" s="9" t="n">
        <v>107</v>
      </c>
      <c r="C17" s="11" t="n">
        <v>2554813.7112</v>
      </c>
      <c r="D17" s="12" t="n">
        <v>1.168611995690978</v>
      </c>
      <c r="E17" s="13" t="n">
        <v>0.1442839850289925</v>
      </c>
      <c r="F17" s="10" t="n">
        <v>368618.7032586457</v>
      </c>
      <c r="G17" s="11" t="n">
        <v>2462208.676391999</v>
      </c>
      <c r="H17" s="10" t="n">
        <v>2830827.379650644</v>
      </c>
      <c r="I17" s="10" t="n">
        <v>368618.7032586457</v>
      </c>
      <c r="J17" s="10" t="n">
        <v>368618.7032586457</v>
      </c>
    </row>
    <row r="18">
      <c r="A18" s="9" t="n">
        <v>2017</v>
      </c>
      <c r="B18" s="9" t="n">
        <v>95</v>
      </c>
      <c r="C18" s="11" t="n">
        <v>2605909.9854</v>
      </c>
      <c r="D18" s="12" t="n">
        <v>1.183803951634961</v>
      </c>
      <c r="E18" s="13" t="n">
        <v>0.1552655330987093</v>
      </c>
      <c r="F18" s="10" t="n">
        <v>404608.0030903807</v>
      </c>
      <c r="G18" s="11" t="n">
        <v>1205811.828916</v>
      </c>
      <c r="H18" s="10" t="n">
        <v>1610419.832006381</v>
      </c>
      <c r="I18" s="10" t="n">
        <v>404608.0030903807</v>
      </c>
      <c r="J18" s="10" t="n">
        <v>404608.0030903807</v>
      </c>
    </row>
    <row r="19">
      <c r="A19" s="9" t="n">
        <v>2018</v>
      </c>
      <c r="B19" s="9" t="n">
        <v>83</v>
      </c>
      <c r="C19" s="11" t="n">
        <v>2215023.4875</v>
      </c>
      <c r="D19" s="12" t="n">
        <v>1.222632721248587</v>
      </c>
      <c r="E19" s="13" t="n">
        <v>0.1820928864240019</v>
      </c>
      <c r="F19" s="10" t="n">
        <v>403340.020335834</v>
      </c>
      <c r="G19" s="11" t="n">
        <v>2395448.423304001</v>
      </c>
      <c r="H19" s="10" t="n">
        <v>2798788.443639835</v>
      </c>
      <c r="I19" s="10" t="n">
        <v>403340.020335834</v>
      </c>
      <c r="J19" s="10" t="n">
        <v>403340.020335834</v>
      </c>
    </row>
    <row r="20">
      <c r="A20" s="9" t="n">
        <v>2019</v>
      </c>
      <c r="B20" s="9" t="n">
        <v>71</v>
      </c>
      <c r="C20" s="11" t="n">
        <v>2259323.9575</v>
      </c>
      <c r="D20" s="12" t="n">
        <v>1.353454422422186</v>
      </c>
      <c r="E20" s="13" t="n">
        <v>0.2611498522348707</v>
      </c>
      <c r="F20" s="10" t="n">
        <v>590022.1176518286</v>
      </c>
      <c r="G20" s="11" t="n">
        <v>2395189.834488001</v>
      </c>
      <c r="H20" s="10" t="n">
        <v>2985211.952139829</v>
      </c>
      <c r="I20" s="10" t="n">
        <v>590022.1176518286</v>
      </c>
      <c r="J20" s="10" t="n">
        <v>590022.1176518286</v>
      </c>
    </row>
    <row r="21">
      <c r="A21" s="9" t="n">
        <v>2020</v>
      </c>
      <c r="B21" s="9" t="n">
        <v>59</v>
      </c>
      <c r="C21" s="11" t="n">
        <v>1843608.3492</v>
      </c>
      <c r="D21" s="12" t="n">
        <v>1.514515498690426</v>
      </c>
      <c r="E21" s="13" t="n">
        <v>0.3397228348837092</v>
      </c>
      <c r="F21" s="10" t="n">
        <v>626315.8548054994</v>
      </c>
      <c r="G21" s="11" t="n">
        <v>976050.8625559999</v>
      </c>
      <c r="H21" s="10" t="n">
        <v>1602366.717361499</v>
      </c>
      <c r="I21" s="10" t="n">
        <v>626315.8548054994</v>
      </c>
      <c r="J21" s="10" t="n">
        <v>626315.8548054994</v>
      </c>
    </row>
    <row r="22">
      <c r="A22" s="9" t="n">
        <v>2021</v>
      </c>
      <c r="B22" s="9" t="n">
        <v>47</v>
      </c>
      <c r="C22" s="11" t="n">
        <v>1410360.3873</v>
      </c>
      <c r="D22" s="12" t="n">
        <v>1.654456730769422</v>
      </c>
      <c r="E22" s="13" t="n">
        <v>0.395571983599148</v>
      </c>
      <c r="F22" s="10" t="n">
        <v>557899.0559939237</v>
      </c>
      <c r="G22" s="11" t="n">
        <v>974979.4133360002</v>
      </c>
      <c r="H22" s="10" t="n">
        <v>1532878.469329924</v>
      </c>
      <c r="I22" s="10" t="n">
        <v>557899.0559939237</v>
      </c>
      <c r="J22" s="10" t="n">
        <v>557899.0559939237</v>
      </c>
    </row>
    <row r="23">
      <c r="A23" s="9" t="n">
        <v>2022</v>
      </c>
      <c r="B23" s="9" t="n">
        <v>35</v>
      </c>
      <c r="C23" s="11" t="n">
        <v>959045.0632000001</v>
      </c>
      <c r="D23" s="12" t="n">
        <v>1.943821212980994</v>
      </c>
      <c r="E23" s="13" t="n">
        <v>0.4855493945009346</v>
      </c>
      <c r="F23" s="10" t="n">
        <v>465663.7497358706</v>
      </c>
      <c r="G23" s="11" t="n">
        <v>791103.7101360001</v>
      </c>
      <c r="H23" s="10" t="n">
        <v>1256767.459871871</v>
      </c>
      <c r="I23" s="10" t="n">
        <v>465663.7497358706</v>
      </c>
      <c r="J23" s="10" t="n">
        <v>465663.7497358706</v>
      </c>
    </row>
    <row r="24">
      <c r="A24" s="9" t="n">
        <v>2023</v>
      </c>
      <c r="B24" s="9" t="n">
        <v>23</v>
      </c>
      <c r="C24" s="11" t="n">
        <v>978225.9646000001</v>
      </c>
      <c r="D24" s="12" t="n">
        <v>2.731068804238296</v>
      </c>
      <c r="E24" s="13" t="n">
        <v>0.6338429854099179</v>
      </c>
      <c r="F24" s="10" t="n">
        <v>620041.6658075608</v>
      </c>
      <c r="G24" s="11" t="n">
        <v>1199242.068356001</v>
      </c>
      <c r="H24" s="10" t="n">
        <v>1819283.734163562</v>
      </c>
      <c r="I24" s="10" t="n">
        <v>620041.6658075608</v>
      </c>
      <c r="J24" s="10" t="n">
        <v>620041.6658075608</v>
      </c>
    </row>
    <row r="25">
      <c r="A25" s="9" t="n">
        <v>2024</v>
      </c>
      <c r="B25" s="9" t="n">
        <v>11</v>
      </c>
      <c r="C25" s="11" t="n">
        <v>997790.4837999999</v>
      </c>
      <c r="D25" s="12" t="n">
        <v>7.057628003912606</v>
      </c>
      <c r="E25" s="13" t="n">
        <v>0.8583093357363664</v>
      </c>
      <c r="F25" s="10" t="n">
        <v>856412.8873544456</v>
      </c>
      <c r="G25" s="11" t="n">
        <v>355247.7609319999</v>
      </c>
      <c r="H25" s="10" t="n">
        <v>1211660.648286446</v>
      </c>
      <c r="I25" s="10" t="n">
        <v>856412.8873544456</v>
      </c>
      <c r="J25" s="10" t="n">
        <v>856412.8873544456</v>
      </c>
    </row>
    <row r="26"/>
    <row r="27">
      <c r="A27" s="5" t="inlineStr">
        <is>
          <t>Total</t>
        </is>
      </c>
      <c r="C27" s="10">
        <f>SUM(C2:C25)</f>
        <v/>
      </c>
      <c r="E27" s="13">
        <f>SUM(F2:F25)/SUM(C2:C25)</f>
        <v/>
      </c>
      <c r="F27" s="10">
        <f>SUM(F2:F25)</f>
        <v/>
      </c>
      <c r="G27" s="10">
        <f>SUM(G2:G25)</f>
        <v/>
      </c>
      <c r="H27" s="10">
        <f>SUM(H2:H25)</f>
        <v/>
      </c>
      <c r="I27" s="10">
        <f>SUM(I2:I25)</f>
        <v/>
      </c>
      <c r="J27" s="10">
        <f>SUM(J2:J25)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8" t="inlineStr">
        <is>
          <t>Accident Period</t>
        </is>
      </c>
      <c r="B1" s="8" t="inlineStr">
        <is>
          <t>Current Age</t>
        </is>
      </c>
      <c r="C1" s="8" t="inlineStr">
        <is>
          <t>Exposure</t>
        </is>
      </c>
      <c r="D1" s="8" t="inlineStr">
        <is>
          <t>Selected Loss Rate</t>
        </is>
      </c>
      <c r="E1" s="8" t="inlineStr">
        <is>
          <t>IE Ultimate</t>
        </is>
      </c>
    </row>
    <row r="2">
      <c r="A2" s="9" t="n">
        <v>2001</v>
      </c>
      <c r="B2" s="9" t="n">
        <v>287</v>
      </c>
      <c r="C2" s="11" t="n">
        <v>316377369.9688</v>
      </c>
      <c r="D2" s="12" t="n">
        <v>0.01</v>
      </c>
      <c r="E2" s="11" t="n">
        <v>3163773.699688</v>
      </c>
    </row>
    <row r="3">
      <c r="A3" s="9" t="n">
        <v>2002</v>
      </c>
      <c r="B3" s="9" t="n">
        <v>275</v>
      </c>
      <c r="C3" s="11" t="n">
        <v>322704917.4</v>
      </c>
      <c r="D3" s="12" t="n">
        <v>0.008999999999999999</v>
      </c>
      <c r="E3" s="11" t="n">
        <v>2904344.256599999</v>
      </c>
    </row>
    <row r="4">
      <c r="A4" s="9" t="n">
        <v>2003</v>
      </c>
      <c r="B4" s="9" t="n">
        <v>263</v>
      </c>
      <c r="C4" s="11" t="n">
        <v>329159015.7</v>
      </c>
      <c r="D4" s="12" t="n">
        <v>0.008</v>
      </c>
      <c r="E4" s="11" t="n">
        <v>2633272.1256</v>
      </c>
    </row>
    <row r="5">
      <c r="A5" s="9" t="n">
        <v>2004</v>
      </c>
      <c r="B5" s="9" t="n">
        <v>251</v>
      </c>
      <c r="C5" s="11" t="n">
        <v>335742196</v>
      </c>
      <c r="D5" s="12" t="n">
        <v>0.005</v>
      </c>
      <c r="E5" s="11" t="n">
        <v>1678710.98</v>
      </c>
    </row>
    <row r="6">
      <c r="A6" s="9" t="n">
        <v>2005</v>
      </c>
      <c r="B6" s="9" t="n">
        <v>239</v>
      </c>
      <c r="C6" s="11" t="n">
        <v>342457040</v>
      </c>
      <c r="D6" s="12" t="n">
        <v>0.005</v>
      </c>
      <c r="E6" s="11" t="n">
        <v>1712285.2</v>
      </c>
    </row>
    <row r="7">
      <c r="A7" s="9" t="n">
        <v>2006</v>
      </c>
      <c r="B7" s="9" t="n">
        <v>227</v>
      </c>
      <c r="C7" s="11" t="n">
        <v>349306180.7</v>
      </c>
      <c r="D7" s="12" t="n">
        <v>0.005</v>
      </c>
      <c r="E7" s="11" t="n">
        <v>1746530.9035</v>
      </c>
    </row>
    <row r="8">
      <c r="A8" s="9" t="n">
        <v>2007</v>
      </c>
      <c r="B8" s="9" t="n">
        <v>215</v>
      </c>
      <c r="C8" s="11" t="n">
        <v>356292304.4</v>
      </c>
      <c r="D8" s="12" t="n">
        <v>0.008</v>
      </c>
      <c r="E8" s="11" t="n">
        <v>2850338.4352</v>
      </c>
    </row>
    <row r="9">
      <c r="A9" s="9" t="n">
        <v>2008</v>
      </c>
      <c r="B9" s="9" t="n">
        <v>203</v>
      </c>
      <c r="C9" s="11" t="n">
        <v>363418150.5</v>
      </c>
      <c r="D9" s="12" t="n">
        <v>0.007</v>
      </c>
      <c r="E9" s="11" t="n">
        <v>2543927.0535</v>
      </c>
    </row>
    <row r="10">
      <c r="A10" s="9" t="n">
        <v>2009</v>
      </c>
      <c r="B10" s="9" t="n">
        <v>191</v>
      </c>
      <c r="C10" s="11" t="n">
        <v>370686513.5</v>
      </c>
      <c r="D10" s="12" t="n">
        <v>0.007</v>
      </c>
      <c r="E10" s="11" t="n">
        <v>2594805.5945</v>
      </c>
    </row>
    <row r="11">
      <c r="A11" s="9" t="n">
        <v>2010</v>
      </c>
      <c r="B11" s="9" t="n">
        <v>179</v>
      </c>
      <c r="C11" s="11" t="n">
        <v>378100243.7</v>
      </c>
      <c r="D11" s="12" t="n">
        <v>0.003</v>
      </c>
      <c r="E11" s="11" t="n">
        <v>1134300.7311</v>
      </c>
    </row>
    <row r="12">
      <c r="A12" s="9" t="n">
        <v>2011</v>
      </c>
      <c r="B12" s="9" t="n">
        <v>167</v>
      </c>
      <c r="C12" s="11" t="n">
        <v>385662248.6</v>
      </c>
      <c r="D12" s="12" t="n">
        <v>0.004</v>
      </c>
      <c r="E12" s="11" t="n">
        <v>1542648.9944</v>
      </c>
    </row>
    <row r="13">
      <c r="A13" s="9" t="n">
        <v>2012</v>
      </c>
      <c r="B13" s="9" t="n">
        <v>155</v>
      </c>
      <c r="C13" s="11" t="n">
        <v>393375493.6</v>
      </c>
      <c r="D13" s="12" t="n">
        <v>0.004</v>
      </c>
      <c r="E13" s="11" t="n">
        <v>1573501.9744</v>
      </c>
    </row>
    <row r="14">
      <c r="A14" s="9" t="n">
        <v>2013</v>
      </c>
      <c r="B14" s="9" t="n">
        <v>143</v>
      </c>
      <c r="C14" s="11" t="n">
        <v>401243003.4</v>
      </c>
      <c r="D14" s="12" t="n">
        <v>0.003</v>
      </c>
      <c r="E14" s="11" t="n">
        <v>1203729.0102</v>
      </c>
    </row>
    <row r="15">
      <c r="A15" s="9" t="n">
        <v>2014</v>
      </c>
      <c r="B15" s="9" t="n">
        <v>131</v>
      </c>
      <c r="C15" s="11" t="n">
        <v>409267863.5</v>
      </c>
      <c r="D15" s="12" t="n">
        <v>0.003</v>
      </c>
      <c r="E15" s="11" t="n">
        <v>1227803.5905</v>
      </c>
    </row>
    <row r="16">
      <c r="A16" s="9" t="n">
        <v>2015</v>
      </c>
      <c r="B16" s="9" t="n">
        <v>119</v>
      </c>
      <c r="C16" s="11" t="n">
        <v>417453220.8</v>
      </c>
      <c r="D16" s="12" t="n">
        <v>0.004</v>
      </c>
      <c r="E16" s="11" t="n">
        <v>1669812.8832</v>
      </c>
    </row>
    <row r="17">
      <c r="A17" s="9" t="n">
        <v>2016</v>
      </c>
      <c r="B17" s="9" t="n">
        <v>107</v>
      </c>
      <c r="C17" s="11" t="n">
        <v>425802285.2</v>
      </c>
      <c r="D17" s="12" t="n">
        <v>0.005999999999999999</v>
      </c>
      <c r="E17" s="11" t="n">
        <v>2554813.7112</v>
      </c>
    </row>
    <row r="18">
      <c r="A18" s="9" t="n">
        <v>2017</v>
      </c>
      <c r="B18" s="9" t="n">
        <v>95</v>
      </c>
      <c r="C18" s="11" t="n">
        <v>434318330.9</v>
      </c>
      <c r="D18" s="12" t="n">
        <v>0.006000000000000001</v>
      </c>
      <c r="E18" s="11" t="n">
        <v>2605909.9854</v>
      </c>
    </row>
    <row r="19">
      <c r="A19" s="9" t="n">
        <v>2018</v>
      </c>
      <c r="B19" s="9" t="n">
        <v>83</v>
      </c>
      <c r="C19" s="11" t="n">
        <v>443004697.5</v>
      </c>
      <c r="D19" s="12" t="n">
        <v>0.004999999999999999</v>
      </c>
      <c r="E19" s="11" t="n">
        <v>2215023.4875</v>
      </c>
    </row>
    <row r="20">
      <c r="A20" s="9" t="n">
        <v>2019</v>
      </c>
      <c r="B20" s="9" t="n">
        <v>71</v>
      </c>
      <c r="C20" s="11" t="n">
        <v>451864791.5</v>
      </c>
      <c r="D20" s="12" t="n">
        <v>0.005</v>
      </c>
      <c r="E20" s="11" t="n">
        <v>2259323.9575</v>
      </c>
    </row>
    <row r="21">
      <c r="A21" s="9" t="n">
        <v>2020</v>
      </c>
      <c r="B21" s="9" t="n">
        <v>59</v>
      </c>
      <c r="C21" s="11" t="n">
        <v>460902087.3</v>
      </c>
      <c r="D21" s="12" t="n">
        <v>0.004</v>
      </c>
      <c r="E21" s="11" t="n">
        <v>1843608.3492</v>
      </c>
    </row>
    <row r="22">
      <c r="A22" s="9" t="n">
        <v>2021</v>
      </c>
      <c r="B22" s="9" t="n">
        <v>47</v>
      </c>
      <c r="C22" s="11" t="n">
        <v>470120129.1</v>
      </c>
      <c r="D22" s="12" t="n">
        <v>0.003</v>
      </c>
      <c r="E22" s="11" t="n">
        <v>1410360.3873</v>
      </c>
    </row>
    <row r="23">
      <c r="A23" s="9" t="n">
        <v>2022</v>
      </c>
      <c r="B23" s="9" t="n">
        <v>35</v>
      </c>
      <c r="C23" s="11" t="n">
        <v>479522531.6</v>
      </c>
      <c r="D23" s="12" t="n">
        <v>0.002</v>
      </c>
      <c r="E23" s="11" t="n">
        <v>959045.0632000001</v>
      </c>
    </row>
    <row r="24">
      <c r="A24" s="9" t="n">
        <v>2023</v>
      </c>
      <c r="B24" s="9" t="n">
        <v>23</v>
      </c>
      <c r="C24" s="11" t="n">
        <v>489112982.3</v>
      </c>
      <c r="D24" s="12" t="n">
        <v>0.002</v>
      </c>
      <c r="E24" s="11" t="n">
        <v>978225.9646000001</v>
      </c>
    </row>
    <row r="25">
      <c r="A25" s="9" t="n">
        <v>2024</v>
      </c>
      <c r="B25" s="9" t="n">
        <v>11</v>
      </c>
      <c r="C25" s="11" t="n">
        <v>498895241.9</v>
      </c>
      <c r="D25" s="12" t="n">
        <v>0.002</v>
      </c>
      <c r="E25" s="11" t="n">
        <v>997790.4837999999</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8" t="inlineStr">
        <is>
          <t>Accident Period</t>
        </is>
      </c>
      <c r="B1" s="8" t="inlineStr">
        <is>
          <t>Current Age</t>
        </is>
      </c>
      <c r="C1" s="8" t="inlineStr">
        <is>
          <t>Exposure</t>
        </is>
      </c>
      <c r="D1" s="8" t="inlineStr">
        <is>
          <t>Selected Loss Rate</t>
        </is>
      </c>
      <c r="E1" s="8" t="inlineStr">
        <is>
          <t>IE Ultimate</t>
        </is>
      </c>
    </row>
    <row r="2">
      <c r="A2" s="9" t="n">
        <v>2001</v>
      </c>
      <c r="B2" s="9" t="n">
        <v>287</v>
      </c>
      <c r="C2" s="11" t="n">
        <v>316377369.9688</v>
      </c>
      <c r="D2" s="12" t="n">
        <v>0.01</v>
      </c>
      <c r="E2" s="11" t="n">
        <v>3163773.699688</v>
      </c>
    </row>
    <row r="3">
      <c r="A3" s="9" t="n">
        <v>2002</v>
      </c>
      <c r="B3" s="9" t="n">
        <v>275</v>
      </c>
      <c r="C3" s="11" t="n">
        <v>322704917.4</v>
      </c>
      <c r="D3" s="12" t="n">
        <v>0.008999999999999999</v>
      </c>
      <c r="E3" s="11" t="n">
        <v>2904344.256599999</v>
      </c>
    </row>
    <row r="4">
      <c r="A4" s="9" t="n">
        <v>2003</v>
      </c>
      <c r="B4" s="9" t="n">
        <v>263</v>
      </c>
      <c r="C4" s="11" t="n">
        <v>329159015.7</v>
      </c>
      <c r="D4" s="12" t="n">
        <v>0.008</v>
      </c>
      <c r="E4" s="11" t="n">
        <v>2633272.1256</v>
      </c>
    </row>
    <row r="5">
      <c r="A5" s="9" t="n">
        <v>2004</v>
      </c>
      <c r="B5" s="9" t="n">
        <v>251</v>
      </c>
      <c r="C5" s="11" t="n">
        <v>335742196</v>
      </c>
      <c r="D5" s="12" t="n">
        <v>0.005</v>
      </c>
      <c r="E5" s="11" t="n">
        <v>1678710.98</v>
      </c>
    </row>
    <row r="6">
      <c r="A6" s="9" t="n">
        <v>2005</v>
      </c>
      <c r="B6" s="9" t="n">
        <v>239</v>
      </c>
      <c r="C6" s="11" t="n">
        <v>342457040</v>
      </c>
      <c r="D6" s="12" t="n">
        <v>0.005</v>
      </c>
      <c r="E6" s="11" t="n">
        <v>1712285.2</v>
      </c>
    </row>
    <row r="7">
      <c r="A7" s="9" t="n">
        <v>2006</v>
      </c>
      <c r="B7" s="9" t="n">
        <v>227</v>
      </c>
      <c r="C7" s="11" t="n">
        <v>349306180.7</v>
      </c>
      <c r="D7" s="12" t="n">
        <v>0.005</v>
      </c>
      <c r="E7" s="11" t="n">
        <v>1746530.9035</v>
      </c>
    </row>
    <row r="8">
      <c r="A8" s="9" t="n">
        <v>2007</v>
      </c>
      <c r="B8" s="9" t="n">
        <v>215</v>
      </c>
      <c r="C8" s="11" t="n">
        <v>356292304.4</v>
      </c>
      <c r="D8" s="12" t="n">
        <v>0.008</v>
      </c>
      <c r="E8" s="11" t="n">
        <v>2850338.4352</v>
      </c>
    </row>
    <row r="9">
      <c r="A9" s="9" t="n">
        <v>2008</v>
      </c>
      <c r="B9" s="9" t="n">
        <v>203</v>
      </c>
      <c r="C9" s="11" t="n">
        <v>363418150.5</v>
      </c>
      <c r="D9" s="12" t="n">
        <v>0.007</v>
      </c>
      <c r="E9" s="11" t="n">
        <v>2543927.0535</v>
      </c>
    </row>
    <row r="10">
      <c r="A10" s="9" t="n">
        <v>2009</v>
      </c>
      <c r="B10" s="9" t="n">
        <v>191</v>
      </c>
      <c r="C10" s="11" t="n">
        <v>370686513.5</v>
      </c>
      <c r="D10" s="12" t="n">
        <v>0.007</v>
      </c>
      <c r="E10" s="11" t="n">
        <v>2594805.5945</v>
      </c>
    </row>
    <row r="11">
      <c r="A11" s="9" t="n">
        <v>2010</v>
      </c>
      <c r="B11" s="9" t="n">
        <v>179</v>
      </c>
      <c r="C11" s="11" t="n">
        <v>378100243.7</v>
      </c>
      <c r="D11" s="12" t="n">
        <v>0.003</v>
      </c>
      <c r="E11" s="11" t="n">
        <v>1134300.7311</v>
      </c>
    </row>
    <row r="12">
      <c r="A12" s="9" t="n">
        <v>2011</v>
      </c>
      <c r="B12" s="9" t="n">
        <v>167</v>
      </c>
      <c r="C12" s="11" t="n">
        <v>385662248.6</v>
      </c>
      <c r="D12" s="12" t="n">
        <v>0.004</v>
      </c>
      <c r="E12" s="11" t="n">
        <v>1542648.9944</v>
      </c>
    </row>
    <row r="13">
      <c r="A13" s="9" t="n">
        <v>2012</v>
      </c>
      <c r="B13" s="9" t="n">
        <v>155</v>
      </c>
      <c r="C13" s="11" t="n">
        <v>393375493.6</v>
      </c>
      <c r="D13" s="12" t="n">
        <v>0.004</v>
      </c>
      <c r="E13" s="11" t="n">
        <v>1573501.9744</v>
      </c>
    </row>
    <row r="14">
      <c r="A14" s="9" t="n">
        <v>2013</v>
      </c>
      <c r="B14" s="9" t="n">
        <v>143</v>
      </c>
      <c r="C14" s="11" t="n">
        <v>401243003.4</v>
      </c>
      <c r="D14" s="12" t="n">
        <v>0.003</v>
      </c>
      <c r="E14" s="11" t="n">
        <v>1203729.0102</v>
      </c>
    </row>
    <row r="15">
      <c r="A15" s="9" t="n">
        <v>2014</v>
      </c>
      <c r="B15" s="9" t="n">
        <v>131</v>
      </c>
      <c r="C15" s="11" t="n">
        <v>409267863.5</v>
      </c>
      <c r="D15" s="12" t="n">
        <v>0.003</v>
      </c>
      <c r="E15" s="11" t="n">
        <v>1227803.5905</v>
      </c>
    </row>
    <row r="16">
      <c r="A16" s="9" t="n">
        <v>2015</v>
      </c>
      <c r="B16" s="9" t="n">
        <v>119</v>
      </c>
      <c r="C16" s="11" t="n">
        <v>417453220.8</v>
      </c>
      <c r="D16" s="12" t="n">
        <v>0.004</v>
      </c>
      <c r="E16" s="11" t="n">
        <v>1669812.8832</v>
      </c>
    </row>
    <row r="17">
      <c r="A17" s="9" t="n">
        <v>2016</v>
      </c>
      <c r="B17" s="9" t="n">
        <v>107</v>
      </c>
      <c r="C17" s="11" t="n">
        <v>425802285.2</v>
      </c>
      <c r="D17" s="12" t="n">
        <v>0.005999999999999999</v>
      </c>
      <c r="E17" s="11" t="n">
        <v>2554813.7112</v>
      </c>
    </row>
    <row r="18">
      <c r="A18" s="9" t="n">
        <v>2017</v>
      </c>
      <c r="B18" s="9" t="n">
        <v>95</v>
      </c>
      <c r="C18" s="11" t="n">
        <v>434318330.9</v>
      </c>
      <c r="D18" s="12" t="n">
        <v>0.006000000000000001</v>
      </c>
      <c r="E18" s="11" t="n">
        <v>2605909.9854</v>
      </c>
    </row>
    <row r="19">
      <c r="A19" s="9" t="n">
        <v>2018</v>
      </c>
      <c r="B19" s="9" t="n">
        <v>83</v>
      </c>
      <c r="C19" s="11" t="n">
        <v>443004697.5</v>
      </c>
      <c r="D19" s="12" t="n">
        <v>0.004999999999999999</v>
      </c>
      <c r="E19" s="11" t="n">
        <v>2215023.4875</v>
      </c>
    </row>
    <row r="20">
      <c r="A20" s="9" t="n">
        <v>2019</v>
      </c>
      <c r="B20" s="9" t="n">
        <v>71</v>
      </c>
      <c r="C20" s="11" t="n">
        <v>451864791.5</v>
      </c>
      <c r="D20" s="12" t="n">
        <v>0.005</v>
      </c>
      <c r="E20" s="11" t="n">
        <v>2259323.9575</v>
      </c>
    </row>
    <row r="21">
      <c r="A21" s="9" t="n">
        <v>2020</v>
      </c>
      <c r="B21" s="9" t="n">
        <v>59</v>
      </c>
      <c r="C21" s="11" t="n">
        <v>460902087.3</v>
      </c>
      <c r="D21" s="12" t="n">
        <v>0.004</v>
      </c>
      <c r="E21" s="11" t="n">
        <v>1843608.3492</v>
      </c>
    </row>
    <row r="22">
      <c r="A22" s="9" t="n">
        <v>2021</v>
      </c>
      <c r="B22" s="9" t="n">
        <v>47</v>
      </c>
      <c r="C22" s="11" t="n">
        <v>470120129.1</v>
      </c>
      <c r="D22" s="12" t="n">
        <v>0.003</v>
      </c>
      <c r="E22" s="11" t="n">
        <v>1410360.3873</v>
      </c>
    </row>
    <row r="23">
      <c r="A23" s="9" t="n">
        <v>2022</v>
      </c>
      <c r="B23" s="9" t="n">
        <v>35</v>
      </c>
      <c r="C23" s="11" t="n">
        <v>479522531.6</v>
      </c>
      <c r="D23" s="12" t="n">
        <v>0.002</v>
      </c>
      <c r="E23" s="11" t="n">
        <v>959045.0632000001</v>
      </c>
    </row>
    <row r="24">
      <c r="A24" s="9" t="n">
        <v>2023</v>
      </c>
      <c r="B24" s="9" t="n">
        <v>23</v>
      </c>
      <c r="C24" s="11" t="n">
        <v>489112982.3</v>
      </c>
      <c r="D24" s="12" t="n">
        <v>0.002</v>
      </c>
      <c r="E24" s="11" t="n">
        <v>978225.9646000001</v>
      </c>
    </row>
    <row r="25">
      <c r="A25" s="9" t="n">
        <v>2024</v>
      </c>
      <c r="B25" s="9" t="n">
        <v>11</v>
      </c>
      <c r="C25" s="11" t="n">
        <v>498895241.9</v>
      </c>
      <c r="D25" s="12" t="n">
        <v>0.002</v>
      </c>
      <c r="E25" s="11" t="n">
        <v>997790.4837999999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Reported</t>
        </is>
      </c>
      <c r="D1" s="8" t="inlineStr">
        <is>
          <t>Reported CL</t>
        </is>
      </c>
      <c r="E1" s="8" t="inlineStr">
        <is>
          <t>Selected Ultimate</t>
        </is>
      </c>
      <c r="F1" s="8" t="inlineStr">
        <is>
          <t>IBNR</t>
        </is>
      </c>
      <c r="G1" s="8" t="inlineStr">
        <is>
          <t>Unpaid</t>
        </is>
      </c>
    </row>
    <row r="2">
      <c r="A2" s="9" t="n">
        <v>2001</v>
      </c>
      <c r="B2" s="9" t="n">
        <v>287</v>
      </c>
      <c r="C2" s="10" t="n">
        <v>700.7076000000001</v>
      </c>
      <c r="D2" s="10" t="n">
        <v>700.7076000000001</v>
      </c>
      <c r="E2" s="11" t="n">
        <v>-1.13686837721616e-13</v>
      </c>
      <c r="F2" s="10" t="n">
        <v>-1.13686837721616e-13</v>
      </c>
      <c r="G2" s="10">
        <f>E2-C2</f>
        <v/>
      </c>
    </row>
    <row r="3">
      <c r="A3" s="9" t="n">
        <v>2002</v>
      </c>
      <c r="B3" s="9" t="n">
        <v>275</v>
      </c>
      <c r="C3" s="10" t="n">
        <v>651.8824000000001</v>
      </c>
      <c r="D3" s="10" t="n">
        <v>651.8824000000001</v>
      </c>
      <c r="E3" s="11" t="n">
        <v>-1.13686837721616e-13</v>
      </c>
      <c r="F3" s="10" t="n">
        <v>-1.13686837721616e-13</v>
      </c>
      <c r="G3" s="10">
        <f>E3-C3</f>
        <v/>
      </c>
    </row>
    <row r="4">
      <c r="A4" s="9" t="n">
        <v>2003</v>
      </c>
      <c r="B4" s="9" t="n">
        <v>263</v>
      </c>
      <c r="C4" s="10" t="n">
        <v>551.5928</v>
      </c>
      <c r="D4" s="10" t="n">
        <v>551.5928</v>
      </c>
      <c r="E4" s="11" t="n">
        <v>0</v>
      </c>
      <c r="F4" s="10" t="n">
        <v>0</v>
      </c>
      <c r="G4" s="10">
        <f>E4-C4</f>
        <v/>
      </c>
    </row>
    <row r="5">
      <c r="A5" s="9" t="n">
        <v>2004</v>
      </c>
      <c r="B5" s="9" t="n">
        <v>251</v>
      </c>
      <c r="C5" s="10" t="n">
        <v>642.6452</v>
      </c>
      <c r="D5" s="10" t="n">
        <v>642.6452</v>
      </c>
      <c r="E5" s="11" t="n">
        <v>0</v>
      </c>
      <c r="F5" s="10" t="n">
        <v>0</v>
      </c>
      <c r="G5" s="10">
        <f>E5-C5</f>
        <v/>
      </c>
    </row>
    <row r="6">
      <c r="A6" s="9" t="n">
        <v>2005</v>
      </c>
      <c r="B6" s="9" t="n">
        <v>239</v>
      </c>
      <c r="C6" s="10" t="n">
        <v>641.3256</v>
      </c>
      <c r="D6" s="10" t="n">
        <v>641.3256</v>
      </c>
      <c r="E6" s="11" t="n">
        <v>0</v>
      </c>
      <c r="F6" s="10" t="n">
        <v>0</v>
      </c>
      <c r="G6" s="10">
        <f>E6-C6</f>
        <v/>
      </c>
    </row>
    <row r="7">
      <c r="A7" s="9" t="n">
        <v>2006</v>
      </c>
      <c r="B7" s="9" t="n">
        <v>227</v>
      </c>
      <c r="C7" s="10" t="n">
        <v>497.4892</v>
      </c>
      <c r="D7" s="10" t="n">
        <v>497.4892</v>
      </c>
      <c r="E7" s="11" t="n">
        <v>-5.684341886080801e-14</v>
      </c>
      <c r="F7" s="10" t="n">
        <v>-5.684341886080801e-14</v>
      </c>
      <c r="G7" s="10">
        <f>E7-C7</f>
        <v/>
      </c>
    </row>
    <row r="8">
      <c r="A8" s="9" t="n">
        <v>2007</v>
      </c>
      <c r="B8" s="9" t="n">
        <v>215</v>
      </c>
      <c r="C8" s="10" t="n">
        <v>476.3756</v>
      </c>
      <c r="D8" s="10" t="n">
        <v>476.3756</v>
      </c>
      <c r="E8" s="11" t="n">
        <v>0</v>
      </c>
      <c r="F8" s="10" t="n">
        <v>0</v>
      </c>
      <c r="G8" s="10">
        <f>E8-C8</f>
        <v/>
      </c>
    </row>
    <row r="9">
      <c r="A9" s="9" t="n">
        <v>2008</v>
      </c>
      <c r="B9" s="9" t="n">
        <v>203</v>
      </c>
      <c r="C9" s="10" t="n">
        <v>328.5804000000001</v>
      </c>
      <c r="D9" s="10" t="n">
        <v>328.5804000000001</v>
      </c>
      <c r="E9" s="11" t="n">
        <v>-5.684341886080801e-14</v>
      </c>
      <c r="F9" s="10" t="n">
        <v>-5.684341886080801e-14</v>
      </c>
      <c r="G9" s="10">
        <f>E9-C9</f>
        <v/>
      </c>
    </row>
    <row r="10">
      <c r="A10" s="9" t="n">
        <v>2009</v>
      </c>
      <c r="B10" s="9" t="n">
        <v>191</v>
      </c>
      <c r="C10" s="10" t="n">
        <v>321.9824</v>
      </c>
      <c r="D10" s="10" t="n">
        <v>321.9824</v>
      </c>
      <c r="E10" s="11" t="n">
        <v>-5.684341886080801e-14</v>
      </c>
      <c r="F10" s="10" t="n">
        <v>-5.684341886080801e-14</v>
      </c>
      <c r="G10" s="10">
        <f>E10-C10</f>
        <v/>
      </c>
    </row>
    <row r="11">
      <c r="A11" s="9" t="n">
        <v>2010</v>
      </c>
      <c r="B11" s="9" t="n">
        <v>179</v>
      </c>
      <c r="C11" s="10" t="n">
        <v>271.8376</v>
      </c>
      <c r="D11" s="10" t="n">
        <v>271.8376</v>
      </c>
      <c r="E11" s="11" t="n">
        <v>0</v>
      </c>
      <c r="F11" s="10" t="n">
        <v>0</v>
      </c>
      <c r="G11" s="10">
        <f>E11-C11</f>
        <v/>
      </c>
    </row>
    <row r="12">
      <c r="A12" s="9" t="n">
        <v>2011</v>
      </c>
      <c r="B12" s="9" t="n">
        <v>167</v>
      </c>
      <c r="C12" s="10" t="n">
        <v>345.7352</v>
      </c>
      <c r="D12" s="10" t="n">
        <v>345.7352</v>
      </c>
      <c r="E12" s="11" t="n">
        <v>0</v>
      </c>
      <c r="F12" s="10" t="n">
        <v>0</v>
      </c>
      <c r="G12" s="10">
        <f>E12-C12</f>
        <v/>
      </c>
    </row>
    <row r="13">
      <c r="A13" s="9" t="n">
        <v>2012</v>
      </c>
      <c r="B13" s="9" t="n">
        <v>155</v>
      </c>
      <c r="C13" s="10" t="n">
        <v>261.2808</v>
      </c>
      <c r="D13" s="10" t="n">
        <v>261.2808</v>
      </c>
      <c r="E13" s="11" t="n">
        <v>0</v>
      </c>
      <c r="F13" s="10" t="n">
        <v>0</v>
      </c>
      <c r="G13" s="10">
        <f>E13-C13</f>
        <v/>
      </c>
    </row>
    <row r="14">
      <c r="A14" s="9" t="n">
        <v>2013</v>
      </c>
      <c r="B14" s="9" t="n">
        <v>143</v>
      </c>
      <c r="C14" s="10" t="n">
        <v>291.6316</v>
      </c>
      <c r="D14" s="10" t="n">
        <v>291.6316</v>
      </c>
      <c r="E14" s="11" t="n">
        <v>-5.684341886080801e-14</v>
      </c>
      <c r="F14" s="10" t="n">
        <v>-5.684341886080801e-14</v>
      </c>
      <c r="G14" s="10">
        <f>E14-C14</f>
        <v/>
      </c>
    </row>
    <row r="15">
      <c r="A15" s="9" t="n">
        <v>2014</v>
      </c>
      <c r="B15" s="9" t="n">
        <v>131</v>
      </c>
      <c r="C15" s="10" t="n">
        <v>455.2620000000001</v>
      </c>
      <c r="D15" s="10" t="n">
        <v>455.2620000000001</v>
      </c>
      <c r="E15" s="11" t="n">
        <v>-5.684341886080801e-14</v>
      </c>
      <c r="F15" s="10" t="n">
        <v>-5.684341886080801e-14</v>
      </c>
      <c r="G15" s="10">
        <f>E15-C15</f>
        <v/>
      </c>
    </row>
    <row r="16">
      <c r="A16" s="9" t="n">
        <v>2015</v>
      </c>
      <c r="B16" s="9" t="n">
        <v>119</v>
      </c>
      <c r="C16" s="10" t="n">
        <v>333.8588</v>
      </c>
      <c r="D16" s="10" t="n">
        <v>333.8588</v>
      </c>
      <c r="E16" s="11" t="n">
        <v>-5.684341886080801e-14</v>
      </c>
      <c r="F16" s="10" t="n">
        <v>-5.684341886080801e-14</v>
      </c>
      <c r="G16" s="10">
        <f>E16-C16</f>
        <v/>
      </c>
    </row>
    <row r="17">
      <c r="A17" s="9" t="n">
        <v>2016</v>
      </c>
      <c r="B17" s="9" t="n">
        <v>107</v>
      </c>
      <c r="C17" s="10" t="n">
        <v>390.6016</v>
      </c>
      <c r="D17" s="10" t="n">
        <v>390.6016</v>
      </c>
      <c r="E17" s="11" t="n">
        <v>0</v>
      </c>
      <c r="F17" s="10" t="n">
        <v>0</v>
      </c>
      <c r="G17" s="10">
        <f>E17-C17</f>
        <v/>
      </c>
    </row>
    <row r="18">
      <c r="A18" s="9" t="n">
        <v>2017</v>
      </c>
      <c r="B18" s="9" t="n">
        <v>95</v>
      </c>
      <c r="C18" s="10" t="n">
        <v>310.1060000000001</v>
      </c>
      <c r="D18" s="10" t="n">
        <v>310.1060000000001</v>
      </c>
      <c r="E18" s="11" t="n">
        <v>-5.684341886080801e-14</v>
      </c>
      <c r="F18" s="10" t="n">
        <v>-5.684341886080801e-14</v>
      </c>
      <c r="G18" s="10">
        <f>E18-C18</f>
        <v/>
      </c>
    </row>
    <row r="19">
      <c r="A19" s="9" t="n">
        <v>2018</v>
      </c>
      <c r="B19" s="9" t="n">
        <v>83</v>
      </c>
      <c r="C19" s="10" t="n">
        <v>325.9412</v>
      </c>
      <c r="D19" s="10" t="n">
        <v>325.9412</v>
      </c>
      <c r="E19" s="11" t="n">
        <v>-5.684341886080801e-14</v>
      </c>
      <c r="F19" s="10" t="n">
        <v>-5.684341886080801e-14</v>
      </c>
      <c r="G19" s="10">
        <f>E19-C19</f>
        <v/>
      </c>
    </row>
    <row r="20">
      <c r="A20" s="9" t="n">
        <v>2019</v>
      </c>
      <c r="B20" s="9" t="n">
        <v>71</v>
      </c>
      <c r="C20" s="10" t="n">
        <v>357.6116</v>
      </c>
      <c r="D20" s="10" t="n">
        <v>357.6116</v>
      </c>
      <c r="E20" s="11" t="n">
        <v>0</v>
      </c>
      <c r="F20" s="10" t="n">
        <v>0</v>
      </c>
      <c r="G20" s="10">
        <f>E20-C20</f>
        <v/>
      </c>
    </row>
    <row r="21">
      <c r="A21" s="9" t="n">
        <v>2020</v>
      </c>
      <c r="B21" s="9" t="n">
        <v>59</v>
      </c>
      <c r="C21" s="10" t="n">
        <v>370.8076</v>
      </c>
      <c r="D21" s="10" t="n">
        <v>370.8076</v>
      </c>
      <c r="E21" s="11" t="n">
        <v>-5.684341886080801e-14</v>
      </c>
      <c r="F21" s="10" t="n">
        <v>-5.684341886080801e-14</v>
      </c>
      <c r="G21" s="10">
        <f>E21-C21</f>
        <v/>
      </c>
    </row>
    <row r="22">
      <c r="A22" s="9" t="n">
        <v>2021</v>
      </c>
      <c r="B22" s="9" t="n">
        <v>47</v>
      </c>
      <c r="C22" s="10" t="n">
        <v>329.9</v>
      </c>
      <c r="D22" s="10" t="n">
        <v>329.9</v>
      </c>
      <c r="E22" s="11" t="n">
        <v>-5.684341886080801e-14</v>
      </c>
      <c r="F22" s="10" t="n">
        <v>-5.684341886080801e-14</v>
      </c>
      <c r="G22" s="10">
        <f>E22-C22</f>
        <v/>
      </c>
    </row>
    <row r="23">
      <c r="A23" s="9" t="n">
        <v>2022</v>
      </c>
      <c r="B23" s="9" t="n">
        <v>35</v>
      </c>
      <c r="C23" s="10" t="n">
        <v>298.2296</v>
      </c>
      <c r="D23" s="10" t="n">
        <v>298.2296</v>
      </c>
      <c r="E23" s="11" t="n">
        <v>0</v>
      </c>
      <c r="F23" s="10" t="n">
        <v>0</v>
      </c>
      <c r="G23" s="10">
        <f>E23-C23</f>
        <v/>
      </c>
    </row>
    <row r="24">
      <c r="A24" s="9" t="n">
        <v>2023</v>
      </c>
      <c r="B24" s="9" t="n">
        <v>23</v>
      </c>
      <c r="C24" s="10" t="n">
        <v>304.8276</v>
      </c>
      <c r="D24" s="10" t="n">
        <v>304.8276</v>
      </c>
      <c r="E24" s="11" t="n">
        <v>0</v>
      </c>
      <c r="F24" s="10" t="n">
        <v>0</v>
      </c>
      <c r="G24" s="10">
        <f>E24-C24</f>
        <v/>
      </c>
    </row>
    <row r="25">
      <c r="A25" s="9" t="n">
        <v>2024</v>
      </c>
      <c r="B25" s="9" t="n">
        <v>11</v>
      </c>
      <c r="C25" s="10" t="n">
        <v>256.0024</v>
      </c>
      <c r="D25" s="10" t="n">
        <v>286.82508896</v>
      </c>
      <c r="E25" s="11" t="n">
        <v>30.8227</v>
      </c>
      <c r="F25" s="10" t="n">
        <v>30.8227</v>
      </c>
      <c r="G25" s="10">
        <f>E25-C25</f>
        <v/>
      </c>
    </row>
    <row r="26"/>
    <row r="27">
      <c r="A27" s="5" t="inlineStr">
        <is>
          <t>Total</t>
        </is>
      </c>
      <c r="C27" s="10">
        <f>SUM(C2:C25)</f>
        <v/>
      </c>
      <c r="D27" s="10">
        <f>SUM(D2:D25)</f>
        <v/>
      </c>
      <c r="E27" s="10">
        <f>SUM(E2:E25)</f>
        <v/>
      </c>
      <c r="F27" s="10">
        <f>SUM(F2:F25)</f>
        <v/>
      </c>
      <c r="G27" s="10">
        <f>SUM(G2:G25)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Reported</t>
        </is>
      </c>
      <c r="D1" s="8" t="inlineStr">
        <is>
          <t>CDF</t>
        </is>
      </c>
      <c r="E1" s="8" t="inlineStr">
        <is>
          <t>Ultimate</t>
        </is>
      </c>
      <c r="F1" s="8" t="inlineStr">
        <is>
          <t>IBNR</t>
        </is>
      </c>
      <c r="G1" s="8" t="inlineStr">
        <is>
          <t>Unpaid</t>
        </is>
      </c>
    </row>
    <row r="2">
      <c r="A2" s="9" t="n">
        <v>2001</v>
      </c>
      <c r="B2" s="9" t="n">
        <v>287</v>
      </c>
      <c r="C2" s="11" t="n">
        <v>700.7076000000001</v>
      </c>
      <c r="D2" s="12" t="n">
        <v>1</v>
      </c>
      <c r="E2" s="10" t="n">
        <v>700.7076000000001</v>
      </c>
      <c r="F2" s="10" t="n">
        <v>0</v>
      </c>
      <c r="G2" s="10" t="n"/>
    </row>
    <row r="3">
      <c r="A3" s="9" t="n">
        <v>2002</v>
      </c>
      <c r="B3" s="9" t="n">
        <v>275</v>
      </c>
      <c r="C3" s="11" t="n">
        <v>651.8824000000001</v>
      </c>
      <c r="D3" s="12" t="n">
        <v>1</v>
      </c>
      <c r="E3" s="10" t="n">
        <v>651.8824000000001</v>
      </c>
      <c r="F3" s="10" t="n">
        <v>0</v>
      </c>
      <c r="G3" s="10" t="n"/>
    </row>
    <row r="4">
      <c r="A4" s="9" t="n">
        <v>2003</v>
      </c>
      <c r="B4" s="9" t="n">
        <v>263</v>
      </c>
      <c r="C4" s="11" t="n">
        <v>551.5928</v>
      </c>
      <c r="D4" s="12" t="n">
        <v>1</v>
      </c>
      <c r="E4" s="10" t="n">
        <v>551.5928</v>
      </c>
      <c r="F4" s="10" t="n">
        <v>0</v>
      </c>
      <c r="G4" s="10" t="n"/>
    </row>
    <row r="5">
      <c r="A5" s="9" t="n">
        <v>2004</v>
      </c>
      <c r="B5" s="9" t="n">
        <v>251</v>
      </c>
      <c r="C5" s="11" t="n">
        <v>642.6452</v>
      </c>
      <c r="D5" s="12" t="n">
        <v>1</v>
      </c>
      <c r="E5" s="10" t="n">
        <v>642.6452</v>
      </c>
      <c r="F5" s="10" t="n">
        <v>0</v>
      </c>
      <c r="G5" s="10" t="n"/>
    </row>
    <row r="6">
      <c r="A6" s="9" t="n">
        <v>2005</v>
      </c>
      <c r="B6" s="9" t="n">
        <v>239</v>
      </c>
      <c r="C6" s="11" t="n">
        <v>641.3256</v>
      </c>
      <c r="D6" s="12" t="n">
        <v>1</v>
      </c>
      <c r="E6" s="10" t="n">
        <v>641.3256</v>
      </c>
      <c r="F6" s="10" t="n">
        <v>0</v>
      </c>
      <c r="G6" s="10" t="n"/>
    </row>
    <row r="7">
      <c r="A7" s="9" t="n">
        <v>2006</v>
      </c>
      <c r="B7" s="9" t="n">
        <v>227</v>
      </c>
      <c r="C7" s="11" t="n">
        <v>497.4892</v>
      </c>
      <c r="D7" s="12" t="n">
        <v>1</v>
      </c>
      <c r="E7" s="10" t="n">
        <v>497.4892</v>
      </c>
      <c r="F7" s="10" t="n">
        <v>0</v>
      </c>
      <c r="G7" s="10" t="n"/>
    </row>
    <row r="8">
      <c r="A8" s="9" t="n">
        <v>2007</v>
      </c>
      <c r="B8" s="9" t="n">
        <v>215</v>
      </c>
      <c r="C8" s="11" t="n">
        <v>476.3756</v>
      </c>
      <c r="D8" s="12" t="n">
        <v>1</v>
      </c>
      <c r="E8" s="10" t="n">
        <v>476.3756</v>
      </c>
      <c r="F8" s="10" t="n">
        <v>0</v>
      </c>
      <c r="G8" s="10" t="n"/>
    </row>
    <row r="9">
      <c r="A9" s="9" t="n">
        <v>2008</v>
      </c>
      <c r="B9" s="9" t="n">
        <v>203</v>
      </c>
      <c r="C9" s="11" t="n">
        <v>328.5804000000001</v>
      </c>
      <c r="D9" s="12" t="n">
        <v>1</v>
      </c>
      <c r="E9" s="10" t="n">
        <v>328.5804000000001</v>
      </c>
      <c r="F9" s="10" t="n">
        <v>0</v>
      </c>
      <c r="G9" s="10" t="n"/>
    </row>
    <row r="10">
      <c r="A10" s="9" t="n">
        <v>2009</v>
      </c>
      <c r="B10" s="9" t="n">
        <v>191</v>
      </c>
      <c r="C10" s="11" t="n">
        <v>321.9824</v>
      </c>
      <c r="D10" s="12" t="n">
        <v>1</v>
      </c>
      <c r="E10" s="10" t="n">
        <v>321.9824</v>
      </c>
      <c r="F10" s="10" t="n">
        <v>0</v>
      </c>
      <c r="G10" s="10" t="n"/>
    </row>
    <row r="11">
      <c r="A11" s="9" t="n">
        <v>2010</v>
      </c>
      <c r="B11" s="9" t="n">
        <v>179</v>
      </c>
      <c r="C11" s="11" t="n">
        <v>271.8376</v>
      </c>
      <c r="D11" s="12" t="n">
        <v>1</v>
      </c>
      <c r="E11" s="10" t="n">
        <v>271.8376</v>
      </c>
      <c r="F11" s="10" t="n">
        <v>0</v>
      </c>
      <c r="G11" s="10" t="n"/>
    </row>
    <row r="12">
      <c r="A12" s="9" t="n">
        <v>2011</v>
      </c>
      <c r="B12" s="9" t="n">
        <v>167</v>
      </c>
      <c r="C12" s="11" t="n">
        <v>345.7352</v>
      </c>
      <c r="D12" s="12" t="n">
        <v>1</v>
      </c>
      <c r="E12" s="10" t="n">
        <v>345.7352</v>
      </c>
      <c r="F12" s="10" t="n">
        <v>0</v>
      </c>
      <c r="G12" s="10" t="n"/>
    </row>
    <row r="13">
      <c r="A13" s="9" t="n">
        <v>2012</v>
      </c>
      <c r="B13" s="9" t="n">
        <v>155</v>
      </c>
      <c r="C13" s="11" t="n">
        <v>261.2808</v>
      </c>
      <c r="D13" s="12" t="n">
        <v>1</v>
      </c>
      <c r="E13" s="10" t="n">
        <v>261.2808</v>
      </c>
      <c r="F13" s="10" t="n">
        <v>0</v>
      </c>
      <c r="G13" s="10" t="n"/>
    </row>
    <row r="14">
      <c r="A14" s="9" t="n">
        <v>2013</v>
      </c>
      <c r="B14" s="9" t="n">
        <v>143</v>
      </c>
      <c r="C14" s="11" t="n">
        <v>291.6316</v>
      </c>
      <c r="D14" s="12" t="n">
        <v>1</v>
      </c>
      <c r="E14" s="10" t="n">
        <v>291.6316</v>
      </c>
      <c r="F14" s="10" t="n">
        <v>0</v>
      </c>
      <c r="G14" s="10" t="n"/>
    </row>
    <row r="15">
      <c r="A15" s="9" t="n">
        <v>2014</v>
      </c>
      <c r="B15" s="9" t="n">
        <v>131</v>
      </c>
      <c r="C15" s="11" t="n">
        <v>455.2620000000001</v>
      </c>
      <c r="D15" s="12" t="n">
        <v>1</v>
      </c>
      <c r="E15" s="10" t="n">
        <v>455.2620000000001</v>
      </c>
      <c r="F15" s="10" t="n">
        <v>0</v>
      </c>
      <c r="G15" s="10" t="n"/>
    </row>
    <row r="16">
      <c r="A16" s="9" t="n">
        <v>2015</v>
      </c>
      <c r="B16" s="9" t="n">
        <v>119</v>
      </c>
      <c r="C16" s="11" t="n">
        <v>333.8588</v>
      </c>
      <c r="D16" s="12" t="n">
        <v>1</v>
      </c>
      <c r="E16" s="10" t="n">
        <v>333.8588</v>
      </c>
      <c r="F16" s="10" t="n">
        <v>0</v>
      </c>
      <c r="G16" s="10" t="n"/>
    </row>
    <row r="17">
      <c r="A17" s="9" t="n">
        <v>2016</v>
      </c>
      <c r="B17" s="9" t="n">
        <v>107</v>
      </c>
      <c r="C17" s="11" t="n">
        <v>390.6016</v>
      </c>
      <c r="D17" s="12" t="n">
        <v>1</v>
      </c>
      <c r="E17" s="10" t="n">
        <v>390.6016</v>
      </c>
      <c r="F17" s="10" t="n">
        <v>0</v>
      </c>
      <c r="G17" s="10" t="n"/>
    </row>
    <row r="18">
      <c r="A18" s="9" t="n">
        <v>2017</v>
      </c>
      <c r="B18" s="9" t="n">
        <v>95</v>
      </c>
      <c r="C18" s="11" t="n">
        <v>310.1060000000001</v>
      </c>
      <c r="D18" s="12" t="n">
        <v>1</v>
      </c>
      <c r="E18" s="10" t="n">
        <v>310.1060000000001</v>
      </c>
      <c r="F18" s="10" t="n">
        <v>0</v>
      </c>
      <c r="G18" s="10" t="n"/>
    </row>
    <row r="19">
      <c r="A19" s="9" t="n">
        <v>2018</v>
      </c>
      <c r="B19" s="9" t="n">
        <v>83</v>
      </c>
      <c r="C19" s="11" t="n">
        <v>325.9412</v>
      </c>
      <c r="D19" s="12" t="n">
        <v>1</v>
      </c>
      <c r="E19" s="10" t="n">
        <v>325.9412</v>
      </c>
      <c r="F19" s="10" t="n">
        <v>0</v>
      </c>
      <c r="G19" s="10" t="n"/>
    </row>
    <row r="20">
      <c r="A20" s="9" t="n">
        <v>2019</v>
      </c>
      <c r="B20" s="9" t="n">
        <v>71</v>
      </c>
      <c r="C20" s="11" t="n">
        <v>357.6116</v>
      </c>
      <c r="D20" s="12" t="n">
        <v>1</v>
      </c>
      <c r="E20" s="10" t="n">
        <v>357.6116</v>
      </c>
      <c r="F20" s="10" t="n">
        <v>0</v>
      </c>
      <c r="G20" s="10" t="n"/>
    </row>
    <row r="21">
      <c r="A21" s="9" t="n">
        <v>2020</v>
      </c>
      <c r="B21" s="9" t="n">
        <v>59</v>
      </c>
      <c r="C21" s="11" t="n">
        <v>370.8076</v>
      </c>
      <c r="D21" s="12" t="n">
        <v>1</v>
      </c>
      <c r="E21" s="10" t="n">
        <v>370.8076</v>
      </c>
      <c r="F21" s="10" t="n">
        <v>0</v>
      </c>
      <c r="G21" s="10" t="n"/>
    </row>
    <row r="22">
      <c r="A22" s="9" t="n">
        <v>2021</v>
      </c>
      <c r="B22" s="9" t="n">
        <v>47</v>
      </c>
      <c r="C22" s="11" t="n">
        <v>329.9</v>
      </c>
      <c r="D22" s="12" t="n">
        <v>1</v>
      </c>
      <c r="E22" s="10" t="n">
        <v>329.9</v>
      </c>
      <c r="F22" s="10" t="n">
        <v>0</v>
      </c>
      <c r="G22" s="10" t="n"/>
    </row>
    <row r="23">
      <c r="A23" s="9" t="n">
        <v>2022</v>
      </c>
      <c r="B23" s="9" t="n">
        <v>35</v>
      </c>
      <c r="C23" s="11" t="n">
        <v>298.2296</v>
      </c>
      <c r="D23" s="12" t="n">
        <v>1</v>
      </c>
      <c r="E23" s="10" t="n">
        <v>298.2296</v>
      </c>
      <c r="F23" s="10" t="n">
        <v>0</v>
      </c>
      <c r="G23" s="10" t="n"/>
    </row>
    <row r="24">
      <c r="A24" s="9" t="n">
        <v>2023</v>
      </c>
      <c r="B24" s="9" t="n">
        <v>23</v>
      </c>
      <c r="C24" s="11" t="n">
        <v>304.8276</v>
      </c>
      <c r="D24" s="12" t="n">
        <v>1</v>
      </c>
      <c r="E24" s="10" t="n">
        <v>304.8276</v>
      </c>
      <c r="F24" s="10" t="n">
        <v>0</v>
      </c>
      <c r="G24" s="10" t="n"/>
    </row>
    <row r="25">
      <c r="A25" s="9" t="n">
        <v>2024</v>
      </c>
      <c r="B25" s="9" t="n">
        <v>11</v>
      </c>
      <c r="C25" s="11" t="n">
        <v>256.0024</v>
      </c>
      <c r="D25" s="12" t="n">
        <v>1.1204</v>
      </c>
      <c r="E25" s="10" t="n">
        <v>286.82508896</v>
      </c>
      <c r="F25" s="10" t="n">
        <v>30.82268895999999</v>
      </c>
      <c r="G25" s="10" t="n"/>
    </row>
    <row r="26"/>
    <row r="27">
      <c r="A27" s="5" t="inlineStr">
        <is>
          <t>Total</t>
        </is>
      </c>
      <c r="C27" s="10">
        <f>SUM(C2:C25)</f>
        <v/>
      </c>
      <c r="E27" s="10">
        <f>SUM(E2:E25)</f>
        <v/>
      </c>
      <c r="F27" s="10">
        <f>SUM(F2:F25)</f>
        <v/>
      </c>
      <c r="G27" s="10">
        <f>SUM(G2:G25)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4"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Incurred Loss</t>
        </is>
      </c>
      <c r="B1" s="14" t="n"/>
      <c r="C1" s="14" t="n"/>
      <c r="D1" s="14" t="n"/>
      <c r="E1" s="14" t="n"/>
      <c r="F1" s="14" t="n"/>
      <c r="G1" s="14" t="n"/>
      <c r="H1" s="14" t="n"/>
      <c r="I1" s="14" t="n"/>
      <c r="J1" s="14" t="n"/>
      <c r="K1" s="14" t="n"/>
      <c r="L1" s="14" t="n"/>
      <c r="M1" s="14" t="n"/>
      <c r="N1" s="14" t="n"/>
      <c r="O1" s="14" t="n"/>
      <c r="P1" s="14" t="n"/>
      <c r="Q1" s="14" t="n"/>
      <c r="R1" s="14"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row>
    <row r="3">
      <c r="A3" s="16" t="inlineStr">
        <is>
          <t>2001</t>
        </is>
      </c>
      <c r="B3" s="17" t="n">
        <v>567331.6692</v>
      </c>
      <c r="C3" s="17" t="n">
        <v>1554404.3456</v>
      </c>
      <c r="D3" s="17" t="n">
        <v>1902287.8544</v>
      </c>
      <c r="E3" s="17" t="n">
        <v>2093441.1516</v>
      </c>
      <c r="F3" s="17" t="n">
        <v>2250668.8524</v>
      </c>
      <c r="G3" s="17" t="n">
        <v>2402988.1558</v>
      </c>
      <c r="H3" s="17" t="n">
        <v>2397333.5643</v>
      </c>
      <c r="I3" s="17" t="n">
        <v>2419690.9269</v>
      </c>
      <c r="J3" s="17" t="n">
        <v>2437307.5869</v>
      </c>
      <c r="K3" s="17" t="n">
        <v>2457834.4795</v>
      </c>
      <c r="L3" s="17" t="n">
        <v>2510536.374</v>
      </c>
      <c r="M3" s="17" t="n">
        <v>2562761.5102</v>
      </c>
      <c r="N3" s="17" t="n">
        <v>2559991.01</v>
      </c>
      <c r="O3" s="17" t="n">
        <v>2618542.6253</v>
      </c>
      <c r="P3" s="17" t="n">
        <v>2663167.8948</v>
      </c>
      <c r="Q3" s="17" t="n">
        <v>2804776.81</v>
      </c>
      <c r="R3" s="17" t="n">
        <v>2871037.8848</v>
      </c>
    </row>
    <row r="4">
      <c r="A4" s="16" t="inlineStr">
        <is>
          <t>2002</t>
        </is>
      </c>
      <c r="B4" s="17" t="n">
        <v>927838.4716</v>
      </c>
      <c r="C4" s="17" t="n">
        <v>1327207.494</v>
      </c>
      <c r="D4" s="17" t="n">
        <v>1342822.3208</v>
      </c>
      <c r="E4" s="17" t="n">
        <v>1604244.318</v>
      </c>
      <c r="F4" s="17" t="n">
        <v>1625395.9885</v>
      </c>
      <c r="G4" s="17" t="n">
        <v>1727293.4023</v>
      </c>
      <c r="H4" s="17" t="n">
        <v>1760101.2711</v>
      </c>
      <c r="I4" s="17" t="n">
        <v>1760466.7343</v>
      </c>
      <c r="J4" s="17" t="n">
        <v>1799039.5397</v>
      </c>
      <c r="K4" s="17" t="n">
        <v>1816376.1146</v>
      </c>
      <c r="L4" s="17" t="n">
        <v>1835002.2026</v>
      </c>
      <c r="M4" s="17" t="n">
        <v>1897241.704</v>
      </c>
      <c r="N4" s="17" t="n">
        <v>1899757.6006</v>
      </c>
      <c r="O4" s="17" t="n">
        <v>1975947.9264</v>
      </c>
      <c r="P4" s="17" t="n">
        <v>2028039.1364</v>
      </c>
      <c r="Q4" s="17" t="n">
        <v>2057884.5296</v>
      </c>
      <c r="R4" s="17" t="n">
        <v>2166744.7601</v>
      </c>
    </row>
    <row r="5">
      <c r="A5" s="16" t="inlineStr">
        <is>
          <t>2003</t>
        </is>
      </c>
      <c r="B5" s="17" t="n">
        <v>1009363.3596</v>
      </c>
      <c r="C5" s="17" t="n">
        <v>1458693.7576</v>
      </c>
      <c r="D5" s="17" t="n">
        <v>1578930.4312</v>
      </c>
      <c r="E5" s="17" t="n">
        <v>1876931.173</v>
      </c>
      <c r="F5" s="17" t="n">
        <v>1703633.0403</v>
      </c>
      <c r="G5" s="17" t="n">
        <v>1819224.3524</v>
      </c>
      <c r="H5" s="17" t="n">
        <v>1814195.5019</v>
      </c>
      <c r="I5" s="17" t="n">
        <v>1800500.416</v>
      </c>
      <c r="J5" s="17" t="n">
        <v>1797139.9227</v>
      </c>
      <c r="K5" s="17" t="n">
        <v>1801084.8669</v>
      </c>
      <c r="L5" s="17" t="n">
        <v>1797322.9116</v>
      </c>
      <c r="M5" s="17" t="n">
        <v>1783419.2233</v>
      </c>
      <c r="N5" s="17" t="n">
        <v>1774330.2012</v>
      </c>
      <c r="O5" s="17" t="n">
        <v>1774330.1088</v>
      </c>
      <c r="P5" s="17" t="n">
        <v>1774330.1088</v>
      </c>
      <c r="Q5" s="17" t="n">
        <v>1774330.1088</v>
      </c>
      <c r="R5" s="17" t="n">
        <v>1778091.5758</v>
      </c>
    </row>
    <row r="6">
      <c r="A6" s="16" t="inlineStr">
        <is>
          <t>2004</t>
        </is>
      </c>
      <c r="B6" s="17" t="n">
        <v>706990.2156</v>
      </c>
      <c r="C6" s="17" t="n">
        <v>807081.8756</v>
      </c>
      <c r="D6" s="17" t="n">
        <v>891146.7297</v>
      </c>
      <c r="E6" s="17" t="n">
        <v>933370.1028</v>
      </c>
      <c r="F6" s="17" t="n">
        <v>1055143.9785</v>
      </c>
      <c r="G6" s="17" t="n">
        <v>1061000.4688</v>
      </c>
      <c r="H6" s="17" t="n">
        <v>1080582.0132</v>
      </c>
      <c r="I6" s="17" t="n">
        <v>1088885.0684</v>
      </c>
      <c r="J6" s="17" t="n">
        <v>1114748.9381</v>
      </c>
      <c r="K6" s="17" t="n">
        <v>1104800.7904</v>
      </c>
      <c r="L6" s="17" t="n">
        <v>1130298.0224</v>
      </c>
      <c r="M6" s="17" t="n">
        <v>1117525.6932</v>
      </c>
      <c r="N6" s="17" t="n">
        <v>1117975.6768</v>
      </c>
      <c r="O6" s="17" t="n">
        <v>1118300.2984</v>
      </c>
      <c r="P6" s="17" t="n">
        <v>1118299.6782</v>
      </c>
      <c r="Q6" s="17" t="n">
        <v>1122581.0808</v>
      </c>
      <c r="R6" s="17" t="n">
        <v>1122581.0808</v>
      </c>
    </row>
    <row r="7">
      <c r="A7" s="16" t="inlineStr">
        <is>
          <t>2005</t>
        </is>
      </c>
      <c r="B7" s="17" t="n">
        <v>1249691.5508</v>
      </c>
      <c r="C7" s="17" t="n">
        <v>1628221.9514</v>
      </c>
      <c r="D7" s="17" t="n">
        <v>1779408.0616</v>
      </c>
      <c r="E7" s="17" t="n">
        <v>1735781.5973</v>
      </c>
      <c r="F7" s="17" t="n">
        <v>1800284.1468</v>
      </c>
      <c r="G7" s="17" t="n">
        <v>1829678.4347</v>
      </c>
      <c r="H7" s="17" t="n">
        <v>1866913.7991</v>
      </c>
      <c r="I7" s="17" t="n">
        <v>1877458.5247</v>
      </c>
      <c r="J7" s="17" t="n">
        <v>1901705.9108</v>
      </c>
      <c r="K7" s="17" t="n">
        <v>1953626.9848</v>
      </c>
      <c r="L7" s="17" t="n">
        <v>1976524.5916</v>
      </c>
      <c r="M7" s="17" t="n">
        <v>2212537.6908</v>
      </c>
      <c r="N7" s="17" t="n">
        <v>2212549.5672</v>
      </c>
      <c r="O7" s="17" t="n">
        <v>2171748.9472</v>
      </c>
      <c r="P7" s="17" t="n">
        <v>2193366.7399</v>
      </c>
      <c r="Q7" s="17" t="n">
        <v>2208705.4536</v>
      </c>
      <c r="R7" s="17" t="n">
        <v>2242149.1321</v>
      </c>
    </row>
    <row r="8">
      <c r="A8" s="16" t="inlineStr">
        <is>
          <t>2006</t>
        </is>
      </c>
      <c r="B8" s="17" t="n">
        <v>765985.3353</v>
      </c>
      <c r="C8" s="17" t="n">
        <v>1158099.949</v>
      </c>
      <c r="D8" s="17" t="n">
        <v>1006637.0924</v>
      </c>
      <c r="E8" s="17" t="n">
        <v>1076536.2516</v>
      </c>
      <c r="F8" s="17" t="n">
        <v>1086240.5108</v>
      </c>
      <c r="G8" s="17" t="n">
        <v>1141033.2455</v>
      </c>
      <c r="H8" s="17" t="n">
        <v>1191316.1021</v>
      </c>
      <c r="I8" s="17" t="n">
        <v>1169378.0556</v>
      </c>
      <c r="J8" s="17" t="n">
        <v>1199839.2137</v>
      </c>
      <c r="K8" s="17" t="n">
        <v>1244365.6452</v>
      </c>
      <c r="L8" s="17" t="n">
        <v>1347851.3164</v>
      </c>
      <c r="M8" s="17" t="n">
        <v>1428877.3956</v>
      </c>
      <c r="N8" s="17" t="n">
        <v>1468194.3366</v>
      </c>
      <c r="O8" s="17" t="n">
        <v>1484004.1739</v>
      </c>
      <c r="P8" s="17" t="n">
        <v>1484861.9139</v>
      </c>
      <c r="Q8" s="17" t="n">
        <v>1502016.7139</v>
      </c>
      <c r="R8" s="17" t="n">
        <v>1506635.3139</v>
      </c>
    </row>
    <row r="9">
      <c r="A9" s="16" t="inlineStr">
        <is>
          <t>2007</t>
        </is>
      </c>
      <c r="B9" s="17" t="n">
        <v>1724656.8811</v>
      </c>
      <c r="C9" s="17" t="n">
        <v>1877762.5606</v>
      </c>
      <c r="D9" s="17" t="n">
        <v>2045106.7768</v>
      </c>
      <c r="E9" s="17" t="n">
        <v>2291428.8419</v>
      </c>
      <c r="F9" s="17" t="n">
        <v>2554191.4604</v>
      </c>
      <c r="G9" s="17" t="n">
        <v>3049073.7774</v>
      </c>
      <c r="H9" s="17" t="n">
        <v>3243034.4444</v>
      </c>
      <c r="I9" s="17" t="n">
        <v>3598222.0844</v>
      </c>
      <c r="J9" s="17" t="n">
        <v>3855992.6032</v>
      </c>
      <c r="K9" s="17" t="n">
        <v>4247900.6072</v>
      </c>
      <c r="L9" s="17" t="n">
        <v>4378240.1384</v>
      </c>
      <c r="M9" s="17" t="n">
        <v>4504737.6146</v>
      </c>
      <c r="N9" s="17" t="n">
        <v>4577330.1566</v>
      </c>
      <c r="O9" s="17" t="n">
        <v>4581600.0523</v>
      </c>
      <c r="P9" s="17" t="n">
        <v>4781468.7005</v>
      </c>
      <c r="Q9" s="17" t="n">
        <v>4781468.7005</v>
      </c>
      <c r="R9" s="17" t="n">
        <v>4798643.3473</v>
      </c>
    </row>
    <row r="10">
      <c r="A10" s="16" t="inlineStr">
        <is>
          <t>2008</t>
        </is>
      </c>
      <c r="B10" s="17" t="n">
        <v>556352.8875</v>
      </c>
      <c r="C10" s="17" t="n">
        <v>770915.0442</v>
      </c>
      <c r="D10" s="17" t="n">
        <v>933165.8683</v>
      </c>
      <c r="E10" s="17" t="n">
        <v>1298006.7782</v>
      </c>
      <c r="F10" s="17" t="n">
        <v>1258119.1102</v>
      </c>
      <c r="G10" s="17" t="n">
        <v>1279315.2512</v>
      </c>
      <c r="H10" s="17" t="n">
        <v>1286243.9166</v>
      </c>
      <c r="I10" s="17" t="n">
        <v>1303173.6192</v>
      </c>
      <c r="J10" s="17" t="n">
        <v>1310621.4416</v>
      </c>
      <c r="K10" s="17" t="n">
        <v>1356059.2284</v>
      </c>
      <c r="L10" s="17" t="n">
        <v>1362732.0233</v>
      </c>
      <c r="M10" s="17" t="n">
        <v>1362957.0151</v>
      </c>
      <c r="N10" s="17" t="n">
        <v>1343109.2414</v>
      </c>
      <c r="O10" s="17" t="n">
        <v>1343439.1414</v>
      </c>
      <c r="P10" s="17" t="n">
        <v>1343439.1414</v>
      </c>
      <c r="Q10" s="17" t="n">
        <v>1350037.1414</v>
      </c>
      <c r="R10" s="17" t="n">
        <v>1378427.9395</v>
      </c>
    </row>
    <row r="11">
      <c r="A11" s="16" t="inlineStr">
        <is>
          <t>2009</t>
        </is>
      </c>
      <c r="B11" s="17" t="n">
        <v>357480.3922</v>
      </c>
      <c r="C11" s="17" t="n">
        <v>872537.4534</v>
      </c>
      <c r="D11" s="17" t="n">
        <v>822240.0416</v>
      </c>
      <c r="E11" s="17" t="n">
        <v>842753.923</v>
      </c>
      <c r="F11" s="17" t="n">
        <v>898761.0856</v>
      </c>
      <c r="G11" s="17" t="n">
        <v>944889.6302</v>
      </c>
      <c r="H11" s="17" t="n">
        <v>979272.5208000001</v>
      </c>
      <c r="I11" s="17" t="n">
        <v>1120353.596</v>
      </c>
      <c r="J11" s="17" t="n">
        <v>1120360.194</v>
      </c>
      <c r="K11" s="17" t="n">
        <v>1120361.8963</v>
      </c>
      <c r="L11" s="17" t="n">
        <v>1120361.8963</v>
      </c>
      <c r="M11" s="17" t="n">
        <v>1135537.2963</v>
      </c>
      <c r="N11" s="17" t="n">
        <v>1169581.0893</v>
      </c>
      <c r="O11" s="17" t="n">
        <v>1169581.0893</v>
      </c>
      <c r="P11" s="17" t="n">
        <v>1169581.0893</v>
      </c>
      <c r="Q11" s="17" t="n">
        <v>1169581.0893</v>
      </c>
    </row>
    <row r="12">
      <c r="A12" s="16" t="inlineStr">
        <is>
          <t>2010</t>
        </is>
      </c>
      <c r="B12" s="17" t="n">
        <v>360030.44</v>
      </c>
      <c r="C12" s="17" t="n">
        <v>730590.3643</v>
      </c>
      <c r="D12" s="17" t="n">
        <v>951322.0996</v>
      </c>
      <c r="E12" s="17" t="n">
        <v>1105337.8676</v>
      </c>
      <c r="F12" s="17" t="n">
        <v>1236185.7351</v>
      </c>
      <c r="G12" s="17" t="n">
        <v>1222899.712</v>
      </c>
      <c r="H12" s="17" t="n">
        <v>1271367.3004</v>
      </c>
      <c r="I12" s="17" t="n">
        <v>1272863.7268</v>
      </c>
      <c r="J12" s="17" t="n">
        <v>1266822.057</v>
      </c>
      <c r="K12" s="17" t="n">
        <v>1267621.5366</v>
      </c>
      <c r="L12" s="17" t="n">
        <v>1268616.515</v>
      </c>
      <c r="M12" s="17" t="n">
        <v>1268690.4126</v>
      </c>
      <c r="N12" s="17" t="n">
        <v>1270339.9126</v>
      </c>
      <c r="O12" s="17" t="n">
        <v>1270069.2627</v>
      </c>
      <c r="P12" s="17" t="n">
        <v>1277672.0721</v>
      </c>
    </row>
    <row r="13">
      <c r="A13" s="16" t="inlineStr">
        <is>
          <t>2011</t>
        </is>
      </c>
      <c r="B13" s="17" t="n">
        <v>454047.3346</v>
      </c>
      <c r="C13" s="17" t="n">
        <v>886919.7606</v>
      </c>
      <c r="D13" s="17" t="n">
        <v>1308017.8708</v>
      </c>
      <c r="E13" s="17" t="n">
        <v>1510353.973</v>
      </c>
      <c r="F13" s="17" t="n">
        <v>1611539.0668</v>
      </c>
      <c r="G13" s="17" t="n">
        <v>1740504.8944</v>
      </c>
      <c r="H13" s="17" t="n">
        <v>1836702.4148</v>
      </c>
      <c r="I13" s="17" t="n">
        <v>1836817.6951</v>
      </c>
      <c r="J13" s="17" t="n">
        <v>1862143.4583</v>
      </c>
      <c r="K13" s="17" t="n">
        <v>1869290.4119</v>
      </c>
      <c r="L13" s="17" t="n">
        <v>1921985.9327</v>
      </c>
      <c r="M13" s="17" t="n">
        <v>1916081.5804</v>
      </c>
      <c r="N13" s="17" t="n">
        <v>1916081.5804</v>
      </c>
      <c r="O13" s="17" t="n">
        <v>1916081.5804</v>
      </c>
    </row>
    <row r="14">
      <c r="A14" s="16" t="inlineStr">
        <is>
          <t>2012</t>
        </is>
      </c>
      <c r="B14" s="17" t="n">
        <v>335887.1044</v>
      </c>
      <c r="C14" s="17" t="n">
        <v>682490.522</v>
      </c>
      <c r="D14" s="17" t="n">
        <v>892010.9489</v>
      </c>
      <c r="E14" s="17" t="n">
        <v>969399.2736</v>
      </c>
      <c r="F14" s="17" t="n">
        <v>966369.472</v>
      </c>
      <c r="G14" s="17" t="n">
        <v>974833.3864</v>
      </c>
      <c r="H14" s="17" t="n">
        <v>978738.6634</v>
      </c>
      <c r="I14" s="17" t="n">
        <v>1029196.2086</v>
      </c>
      <c r="J14" s="17" t="n">
        <v>1086698.5968</v>
      </c>
      <c r="K14" s="17" t="n">
        <v>1148149.3733</v>
      </c>
      <c r="L14" s="17" t="n">
        <v>1156726.7733</v>
      </c>
      <c r="M14" s="17" t="n">
        <v>1363753.3805</v>
      </c>
      <c r="N14" s="17" t="n">
        <v>1363753.3805</v>
      </c>
    </row>
    <row r="15">
      <c r="A15" s="16" t="inlineStr">
        <is>
          <t>2013</t>
        </is>
      </c>
      <c r="B15" s="17" t="n">
        <v>279096.7196</v>
      </c>
      <c r="C15" s="17" t="n">
        <v>509656.1495</v>
      </c>
      <c r="D15" s="17" t="n">
        <v>554121.1536</v>
      </c>
      <c r="E15" s="17" t="n">
        <v>668048.8196</v>
      </c>
      <c r="F15" s="17" t="n">
        <v>708646.3136</v>
      </c>
      <c r="G15" s="17" t="n">
        <v>706804.6403</v>
      </c>
      <c r="H15" s="17" t="n">
        <v>707153.1202</v>
      </c>
      <c r="I15" s="17" t="n">
        <v>707153.1202</v>
      </c>
      <c r="J15" s="17" t="n">
        <v>708518.7743</v>
      </c>
      <c r="K15" s="17" t="n">
        <v>708518.7743</v>
      </c>
      <c r="L15" s="17" t="n">
        <v>708529.9909</v>
      </c>
      <c r="M15" s="17" t="n">
        <v>708529.9909</v>
      </c>
    </row>
    <row r="16">
      <c r="A16" s="16" t="inlineStr">
        <is>
          <t>2014</t>
        </is>
      </c>
      <c r="B16" s="17" t="n">
        <v>579453.8975</v>
      </c>
      <c r="C16" s="17" t="n">
        <v>791674.226</v>
      </c>
      <c r="D16" s="17" t="n">
        <v>1117488.7444</v>
      </c>
      <c r="E16" s="17" t="n">
        <v>1292116.6908</v>
      </c>
      <c r="F16" s="17" t="n">
        <v>1310589.9427</v>
      </c>
      <c r="G16" s="17" t="n">
        <v>1355751.9331</v>
      </c>
      <c r="H16" s="17" t="n">
        <v>1316935.0942</v>
      </c>
      <c r="I16" s="17" t="n">
        <v>1316935.0942</v>
      </c>
      <c r="J16" s="17" t="n">
        <v>1371038.6942</v>
      </c>
      <c r="K16" s="17" t="n">
        <v>1399322.0241</v>
      </c>
      <c r="L16" s="17" t="n">
        <v>1389603.6847</v>
      </c>
    </row>
    <row r="17">
      <c r="A17" s="16" t="inlineStr">
        <is>
          <t>2015</t>
        </is>
      </c>
      <c r="B17" s="17" t="n">
        <v>538066.9</v>
      </c>
      <c r="C17" s="17" t="n">
        <v>1068443.1712</v>
      </c>
      <c r="D17" s="17" t="n">
        <v>1605602.1864</v>
      </c>
      <c r="E17" s="17" t="n">
        <v>2133023.2398</v>
      </c>
      <c r="F17" s="17" t="n">
        <v>2358964.558</v>
      </c>
      <c r="G17" s="17" t="n">
        <v>2680270.1351</v>
      </c>
      <c r="H17" s="17" t="n">
        <v>3055333.4055</v>
      </c>
      <c r="I17" s="17" t="n">
        <v>3076051.1255</v>
      </c>
      <c r="J17" s="17" t="n">
        <v>3086205.1704</v>
      </c>
      <c r="K17" s="17" t="n">
        <v>3382963.2581</v>
      </c>
    </row>
    <row r="18">
      <c r="A18" s="16" t="inlineStr">
        <is>
          <t>2016</t>
        </is>
      </c>
      <c r="B18" s="17" t="n">
        <v>687801.912</v>
      </c>
      <c r="C18" s="17" t="n">
        <v>1285960.7568</v>
      </c>
      <c r="D18" s="17" t="n">
        <v>1733469.988</v>
      </c>
      <c r="E18" s="17" t="n">
        <v>1884267.6211</v>
      </c>
      <c r="F18" s="17" t="n">
        <v>2152415.9626</v>
      </c>
      <c r="G18" s="17" t="n">
        <v>2220417.4843</v>
      </c>
      <c r="H18" s="17" t="n">
        <v>2503620.4692</v>
      </c>
      <c r="I18" s="17" t="n">
        <v>2503024.6434</v>
      </c>
      <c r="J18" s="17" t="n">
        <v>2506323.6434</v>
      </c>
    </row>
    <row r="19">
      <c r="A19" s="16" t="inlineStr">
        <is>
          <t>2017</t>
        </is>
      </c>
      <c r="B19" s="17" t="n">
        <v>461326.8816</v>
      </c>
      <c r="C19" s="17" t="n">
        <v>614872.6873</v>
      </c>
      <c r="D19" s="17" t="n">
        <v>635999.2061</v>
      </c>
      <c r="E19" s="17" t="n">
        <v>832770.2121</v>
      </c>
      <c r="F19" s="17" t="n">
        <v>895289.4819</v>
      </c>
      <c r="G19" s="17" t="n">
        <v>1014108.2981</v>
      </c>
      <c r="H19" s="17" t="n">
        <v>1168952.8937</v>
      </c>
      <c r="I19" s="17" t="n">
        <v>1205811.8289</v>
      </c>
    </row>
    <row r="20">
      <c r="A20" s="16" t="inlineStr">
        <is>
          <t>2018</t>
        </is>
      </c>
      <c r="B20" s="17" t="n">
        <v>507983.8204</v>
      </c>
      <c r="C20" s="17" t="n">
        <v>1168067.9171</v>
      </c>
      <c r="D20" s="17" t="n">
        <v>1668858.2021</v>
      </c>
      <c r="E20" s="17" t="n">
        <v>2316819.635</v>
      </c>
      <c r="F20" s="17" t="n">
        <v>2303518.1066</v>
      </c>
      <c r="G20" s="17" t="n">
        <v>2333675.3477</v>
      </c>
      <c r="H20" s="17" t="n">
        <v>2395448.4233</v>
      </c>
    </row>
    <row r="21">
      <c r="A21" s="16" t="inlineStr">
        <is>
          <t>2019</t>
        </is>
      </c>
      <c r="B21" s="17" t="n">
        <v>407914.8312</v>
      </c>
      <c r="C21" s="17" t="n">
        <v>1124607.0627</v>
      </c>
      <c r="D21" s="17" t="n">
        <v>1740054.5413</v>
      </c>
      <c r="E21" s="17" t="n">
        <v>2000563.0454</v>
      </c>
      <c r="F21" s="17" t="n">
        <v>2127378.6904</v>
      </c>
      <c r="G21" s="17" t="n">
        <v>2599882.8743</v>
      </c>
    </row>
    <row r="22">
      <c r="A22" s="16" t="inlineStr">
        <is>
          <t>2020</t>
        </is>
      </c>
      <c r="B22" s="17" t="n">
        <v>522102.6035</v>
      </c>
      <c r="C22" s="17" t="n">
        <v>931915.5209999999</v>
      </c>
      <c r="D22" s="17" t="n">
        <v>916291.8001</v>
      </c>
      <c r="E22" s="17" t="n">
        <v>969468.3019</v>
      </c>
      <c r="F22" s="17" t="n">
        <v>978899.5095</v>
      </c>
    </row>
    <row r="23">
      <c r="A23" s="16" t="inlineStr">
        <is>
          <t>2021</t>
        </is>
      </c>
      <c r="B23" s="17" t="n">
        <v>549457.067</v>
      </c>
      <c r="C23" s="17" t="n">
        <v>800935.1524</v>
      </c>
      <c r="D23" s="17" t="n">
        <v>980316.7863</v>
      </c>
      <c r="E23" s="17" t="n">
        <v>1011313.2797</v>
      </c>
    </row>
    <row r="24">
      <c r="A24" s="16" t="inlineStr">
        <is>
          <t>2022</t>
        </is>
      </c>
      <c r="B24" s="17" t="n">
        <v>694623.0036000001</v>
      </c>
      <c r="C24" s="17" t="n">
        <v>851655.8786000001</v>
      </c>
      <c r="D24" s="17" t="n">
        <v>827416.1066000001</v>
      </c>
    </row>
    <row r="25">
      <c r="A25" s="16" t="inlineStr">
        <is>
          <t>2023</t>
        </is>
      </c>
      <c r="B25" s="17" t="n">
        <v>975000.3026000001</v>
      </c>
      <c r="C25" s="17" t="n">
        <v>1651756.6744</v>
      </c>
    </row>
    <row r="26">
      <c r="A26" s="16" t="inlineStr">
        <is>
          <t>2024</t>
        </is>
      </c>
      <c r="B26" s="17" t="n">
        <v>890155.2218000001</v>
      </c>
    </row>
    <row r="27"/>
    <row r="28">
      <c r="A28" s="3" t="inlineStr">
        <is>
          <t>Age-to-Age Factors</t>
        </is>
      </c>
      <c r="B28" s="14" t="n"/>
      <c r="C28" s="14" t="n"/>
      <c r="D28" s="14" t="n"/>
      <c r="E28" s="14" t="n"/>
      <c r="F28" s="14" t="n"/>
      <c r="G28" s="14" t="n"/>
      <c r="H28" s="14" t="n"/>
      <c r="I28" s="14" t="n"/>
      <c r="J28" s="14" t="n"/>
      <c r="K28" s="14" t="n"/>
      <c r="L28" s="14" t="n"/>
      <c r="M28" s="14" t="n"/>
      <c r="N28" s="14" t="n"/>
      <c r="O28" s="14" t="n"/>
      <c r="P28" s="14" t="n"/>
      <c r="Q28" s="14" t="n"/>
      <c r="R28" s="14" t="n"/>
    </row>
    <row r="29">
      <c r="A29" s="15" t="n"/>
      <c r="B29" s="8" t="inlineStr">
        <is>
          <t>11-23</t>
        </is>
      </c>
      <c r="C29" s="8" t="inlineStr">
        <is>
          <t>23-35</t>
        </is>
      </c>
      <c r="D29" s="8" t="inlineStr">
        <is>
          <t>35-47</t>
        </is>
      </c>
      <c r="E29" s="8" t="inlineStr">
        <is>
          <t>47-59</t>
        </is>
      </c>
      <c r="F29" s="8" t="inlineStr">
        <is>
          <t>59-71</t>
        </is>
      </c>
      <c r="G29" s="8" t="inlineStr">
        <is>
          <t>71-83</t>
        </is>
      </c>
      <c r="H29" s="8" t="inlineStr">
        <is>
          <t>83-95</t>
        </is>
      </c>
      <c r="I29" s="8" t="inlineStr">
        <is>
          <t>95-107</t>
        </is>
      </c>
      <c r="J29" s="8" t="inlineStr">
        <is>
          <t>107-119</t>
        </is>
      </c>
      <c r="K29" s="8" t="inlineStr">
        <is>
          <t>119-131</t>
        </is>
      </c>
      <c r="L29" s="8" t="inlineStr">
        <is>
          <t>131-143</t>
        </is>
      </c>
      <c r="M29" s="8" t="inlineStr">
        <is>
          <t>143-155</t>
        </is>
      </c>
      <c r="N29" s="8" t="inlineStr">
        <is>
          <t>155-167</t>
        </is>
      </c>
      <c r="O29" s="8" t="inlineStr">
        <is>
          <t>167-179</t>
        </is>
      </c>
      <c r="P29" s="8" t="inlineStr">
        <is>
          <t>179-191</t>
        </is>
      </c>
      <c r="Q29" s="8" t="inlineStr">
        <is>
          <t>191-203</t>
        </is>
      </c>
      <c r="R29" s="8" t="inlineStr">
        <is>
          <t>203-Ult</t>
        </is>
      </c>
    </row>
    <row r="30">
      <c r="A30" s="16" t="inlineStr">
        <is>
          <t>2001</t>
        </is>
      </c>
      <c r="B30" s="18" t="n">
        <v>2.7399</v>
      </c>
      <c r="C30" s="18" t="n">
        <v>1.2238</v>
      </c>
      <c r="D30" s="18" t="n">
        <v>1.1005</v>
      </c>
      <c r="E30" s="18" t="n">
        <v>1.0751</v>
      </c>
      <c r="F30" s="18" t="n">
        <v>1.0677</v>
      </c>
      <c r="G30" s="18" t="n">
        <v>0.9976</v>
      </c>
      <c r="H30" s="18" t="n">
        <v>1.0093</v>
      </c>
      <c r="I30" s="18" t="n">
        <v>1.0073</v>
      </c>
      <c r="J30" s="18" t="n">
        <v>1.0084</v>
      </c>
      <c r="K30" s="18" t="n">
        <v>1.0214</v>
      </c>
      <c r="L30" s="18" t="n">
        <v>1.0208</v>
      </c>
      <c r="M30" s="18" t="n">
        <v>0.9989</v>
      </c>
      <c r="N30" s="18" t="n">
        <v>1.0229</v>
      </c>
      <c r="O30" s="18" t="n">
        <v>1.017</v>
      </c>
      <c r="P30" s="18" t="n">
        <v>1.0532</v>
      </c>
      <c r="Q30" s="18" t="n">
        <v>1.0236</v>
      </c>
      <c r="R30" s="18" t="n"/>
    </row>
    <row r="31">
      <c r="A31" s="16" t="inlineStr">
        <is>
          <t>2002</t>
        </is>
      </c>
      <c r="B31" s="18" t="n">
        <v>1.4304</v>
      </c>
      <c r="C31" s="18" t="n">
        <v>1.0118</v>
      </c>
      <c r="D31" s="18" t="n">
        <v>1.1947</v>
      </c>
      <c r="E31" s="18" t="n">
        <v>1.0132</v>
      </c>
      <c r="F31" s="18" t="n">
        <v>1.0627</v>
      </c>
      <c r="G31" s="18" t="n">
        <v>1.019</v>
      </c>
      <c r="H31" s="18" t="n">
        <v>1.0002</v>
      </c>
      <c r="I31" s="18" t="n">
        <v>1.0219</v>
      </c>
      <c r="J31" s="18" t="n">
        <v>1.0096</v>
      </c>
      <c r="K31" s="18" t="n">
        <v>1.0103</v>
      </c>
      <c r="L31" s="18" t="n">
        <v>1.0339</v>
      </c>
      <c r="M31" s="18" t="n">
        <v>1.0013</v>
      </c>
      <c r="N31" s="18" t="n">
        <v>1.0401</v>
      </c>
      <c r="O31" s="18" t="n">
        <v>1.0264</v>
      </c>
      <c r="P31" s="18" t="n">
        <v>1.0147</v>
      </c>
      <c r="Q31" s="18" t="n">
        <v>1.0529</v>
      </c>
      <c r="R31" s="18" t="n"/>
    </row>
    <row r="32">
      <c r="A32" s="16" t="inlineStr">
        <is>
          <t>2003</t>
        </is>
      </c>
      <c r="B32" s="18" t="n">
        <v>1.4452</v>
      </c>
      <c r="C32" s="18" t="n">
        <v>1.0824</v>
      </c>
      <c r="D32" s="18" t="n">
        <v>1.1887</v>
      </c>
      <c r="E32" s="18" t="n">
        <v>0.9077</v>
      </c>
      <c r="F32" s="18" t="n">
        <v>1.0678</v>
      </c>
      <c r="G32" s="18" t="n">
        <v>0.9972</v>
      </c>
      <c r="H32" s="18" t="n">
        <v>0.9925</v>
      </c>
      <c r="I32" s="18" t="n">
        <v>0.9981</v>
      </c>
      <c r="J32" s="18" t="n">
        <v>1.0022</v>
      </c>
      <c r="K32" s="18" t="n">
        <v>0.9979</v>
      </c>
      <c r="L32" s="18" t="n">
        <v>0.9923</v>
      </c>
      <c r="M32" s="18" t="n">
        <v>0.9949</v>
      </c>
      <c r="N32" s="18" t="n">
        <v>1</v>
      </c>
      <c r="O32" s="18" t="n">
        <v>1</v>
      </c>
      <c r="P32" s="18" t="n">
        <v>1</v>
      </c>
      <c r="Q32" s="18" t="n">
        <v>1.0021</v>
      </c>
      <c r="R32" s="18" t="n"/>
    </row>
    <row r="33">
      <c r="A33" s="16" t="inlineStr">
        <is>
          <t>2004</t>
        </is>
      </c>
      <c r="B33" s="18" t="n">
        <v>1.1416</v>
      </c>
      <c r="C33" s="18" t="n">
        <v>1.1042</v>
      </c>
      <c r="D33" s="18" t="n">
        <v>1.0474</v>
      </c>
      <c r="E33" s="18" t="n">
        <v>1.1305</v>
      </c>
      <c r="F33" s="18" t="n">
        <v>1.0056</v>
      </c>
      <c r="G33" s="18" t="n">
        <v>1.0185</v>
      </c>
      <c r="H33" s="18" t="n">
        <v>1.0077</v>
      </c>
      <c r="I33" s="18" t="n">
        <v>1.0238</v>
      </c>
      <c r="J33" s="18" t="n">
        <v>0.9911</v>
      </c>
      <c r="K33" s="18" t="n">
        <v>1.0231</v>
      </c>
      <c r="L33" s="18" t="n">
        <v>0.9887</v>
      </c>
      <c r="M33" s="18" t="n">
        <v>1.0004</v>
      </c>
      <c r="N33" s="18" t="n">
        <v>1.0003</v>
      </c>
      <c r="O33" s="18" t="n">
        <v>1</v>
      </c>
      <c r="P33" s="18" t="n">
        <v>1.0038</v>
      </c>
      <c r="Q33" s="18" t="n">
        <v>1</v>
      </c>
      <c r="R33" s="18" t="n"/>
    </row>
    <row r="34">
      <c r="A34" s="16" t="inlineStr">
        <is>
          <t>2005</t>
        </is>
      </c>
      <c r="B34" s="18" t="n">
        <v>1.3029</v>
      </c>
      <c r="C34" s="18" t="n">
        <v>1.0929</v>
      </c>
      <c r="D34" s="18" t="n">
        <v>0.9755</v>
      </c>
      <c r="E34" s="18" t="n">
        <v>1.0372</v>
      </c>
      <c r="F34" s="18" t="n">
        <v>1.0163</v>
      </c>
      <c r="G34" s="18" t="n">
        <v>1.0204</v>
      </c>
      <c r="H34" s="18" t="n">
        <v>1.0056</v>
      </c>
      <c r="I34" s="18" t="n">
        <v>1.0129</v>
      </c>
      <c r="J34" s="18" t="n">
        <v>1.0273</v>
      </c>
      <c r="K34" s="18" t="n">
        <v>1.0117</v>
      </c>
      <c r="L34" s="18" t="n">
        <v>1.1194</v>
      </c>
      <c r="M34" s="18" t="n">
        <v>1</v>
      </c>
      <c r="N34" s="18" t="n">
        <v>0.9816</v>
      </c>
      <c r="O34" s="18" t="n">
        <v>1.01</v>
      </c>
      <c r="P34" s="18" t="n">
        <v>1.007</v>
      </c>
      <c r="Q34" s="18" t="n">
        <v>1.0151</v>
      </c>
      <c r="R34" s="18" t="n"/>
    </row>
    <row r="35">
      <c r="A35" s="16" t="inlineStr">
        <is>
          <t>2006</t>
        </is>
      </c>
      <c r="B35" s="18" t="n">
        <v>1.5119</v>
      </c>
      <c r="C35" s="18" t="n">
        <v>0.8692</v>
      </c>
      <c r="D35" s="18" t="n">
        <v>1.0694</v>
      </c>
      <c r="E35" s="18" t="n">
        <v>1.009</v>
      </c>
      <c r="F35" s="18" t="n">
        <v>1.0504</v>
      </c>
      <c r="G35" s="18" t="n">
        <v>1.0441</v>
      </c>
      <c r="H35" s="18" t="n">
        <v>0.9816</v>
      </c>
      <c r="I35" s="18" t="n">
        <v>1.026</v>
      </c>
      <c r="J35" s="18" t="n">
        <v>1.0371</v>
      </c>
      <c r="K35" s="18" t="n">
        <v>1.0832</v>
      </c>
      <c r="L35" s="18" t="n">
        <v>1.0601</v>
      </c>
      <c r="M35" s="18" t="n">
        <v>1.0275</v>
      </c>
      <c r="N35" s="18" t="n">
        <v>1.0108</v>
      </c>
      <c r="O35" s="18" t="n">
        <v>1.0006</v>
      </c>
      <c r="P35" s="18" t="n">
        <v>1.0116</v>
      </c>
      <c r="Q35" s="18" t="n">
        <v>1.0031</v>
      </c>
      <c r="R35" s="18" t="n"/>
    </row>
    <row r="36">
      <c r="A36" s="16" t="inlineStr">
        <is>
          <t>2007</t>
        </is>
      </c>
      <c r="B36" s="18" t="n">
        <v>1.0888</v>
      </c>
      <c r="C36" s="18" t="n">
        <v>1.0891</v>
      </c>
      <c r="D36" s="18" t="n">
        <v>1.1204</v>
      </c>
      <c r="E36" s="18" t="n">
        <v>1.1147</v>
      </c>
      <c r="F36" s="18" t="n">
        <v>1.1938</v>
      </c>
      <c r="G36" s="18" t="n">
        <v>1.0636</v>
      </c>
      <c r="H36" s="18" t="n">
        <v>1.1095</v>
      </c>
      <c r="I36" s="18" t="n">
        <v>1.0716</v>
      </c>
      <c r="J36" s="18" t="n">
        <v>1.1016</v>
      </c>
      <c r="K36" s="18" t="n">
        <v>1.0307</v>
      </c>
      <c r="L36" s="18" t="n">
        <v>1.0289</v>
      </c>
      <c r="M36" s="18" t="n">
        <v>1.0161</v>
      </c>
      <c r="N36" s="18" t="n">
        <v>1.0009</v>
      </c>
      <c r="O36" s="18" t="n">
        <v>1.0436</v>
      </c>
      <c r="P36" s="18" t="n">
        <v>1</v>
      </c>
      <c r="Q36" s="18" t="n">
        <v>1.0036</v>
      </c>
      <c r="R36" s="18" t="n"/>
    </row>
    <row r="37">
      <c r="A37" s="16" t="inlineStr">
        <is>
          <t>2008</t>
        </is>
      </c>
      <c r="B37" s="18" t="n">
        <v>1.3857</v>
      </c>
      <c r="C37" s="18" t="n">
        <v>1.2105</v>
      </c>
      <c r="D37" s="18" t="n">
        <v>1.391</v>
      </c>
      <c r="E37" s="18" t="n">
        <v>0.9693000000000001</v>
      </c>
      <c r="F37" s="18" t="n">
        <v>1.0168</v>
      </c>
      <c r="G37" s="18" t="n">
        <v>1.0054</v>
      </c>
      <c r="H37" s="18" t="n">
        <v>1.0132</v>
      </c>
      <c r="I37" s="18" t="n">
        <v>1.0057</v>
      </c>
      <c r="J37" s="18" t="n">
        <v>1.0347</v>
      </c>
      <c r="K37" s="18" t="n">
        <v>1.0049</v>
      </c>
      <c r="L37" s="18" t="n">
        <v>1.0002</v>
      </c>
      <c r="M37" s="18" t="n">
        <v>0.9854000000000001</v>
      </c>
      <c r="N37" s="18" t="n">
        <v>1.0002</v>
      </c>
      <c r="O37" s="18" t="n">
        <v>1</v>
      </c>
      <c r="P37" s="18" t="n">
        <v>1.0049</v>
      </c>
      <c r="Q37" s="18" t="n">
        <v>1.021</v>
      </c>
      <c r="R37" s="18" t="n"/>
    </row>
    <row r="38">
      <c r="A38" s="16" t="inlineStr">
        <is>
          <t>2009</t>
        </is>
      </c>
      <c r="B38" s="18" t="n">
        <v>2.4408</v>
      </c>
      <c r="C38" s="18" t="n">
        <v>0.9424</v>
      </c>
      <c r="D38" s="18" t="n">
        <v>1.0249</v>
      </c>
      <c r="E38" s="18" t="n">
        <v>1.0665</v>
      </c>
      <c r="F38" s="18" t="n">
        <v>1.0513</v>
      </c>
      <c r="G38" s="18" t="n">
        <v>1.0364</v>
      </c>
      <c r="H38" s="18" t="n">
        <v>1.1441</v>
      </c>
      <c r="I38" s="18" t="n">
        <v>1</v>
      </c>
      <c r="J38" s="18" t="n">
        <v>1</v>
      </c>
      <c r="K38" s="18" t="n">
        <v>1</v>
      </c>
      <c r="L38" s="18" t="n">
        <v>1.0135</v>
      </c>
      <c r="M38" s="18" t="n">
        <v>1.03</v>
      </c>
      <c r="N38" s="18" t="n">
        <v>1</v>
      </c>
      <c r="O38" s="18" t="n">
        <v>1</v>
      </c>
      <c r="P38" s="18" t="n">
        <v>1</v>
      </c>
      <c r="Q38" s="18" t="n"/>
      <c r="R38" s="18" t="n"/>
    </row>
    <row r="39">
      <c r="A39" s="16" t="inlineStr">
        <is>
          <t>2010</t>
        </is>
      </c>
      <c r="B39" s="18" t="n">
        <v>2.0292</v>
      </c>
      <c r="C39" s="18" t="n">
        <v>1.3021</v>
      </c>
      <c r="D39" s="18" t="n">
        <v>1.1619</v>
      </c>
      <c r="E39" s="18" t="n">
        <v>1.1184</v>
      </c>
      <c r="F39" s="18" t="n">
        <v>0.9893</v>
      </c>
      <c r="G39" s="18" t="n">
        <v>1.0396</v>
      </c>
      <c r="H39" s="18" t="n">
        <v>1.0012</v>
      </c>
      <c r="I39" s="18" t="n">
        <v>0.9953</v>
      </c>
      <c r="J39" s="18" t="n">
        <v>1.0006</v>
      </c>
      <c r="K39" s="18" t="n">
        <v>1.0008</v>
      </c>
      <c r="L39" s="18" t="n">
        <v>1.0001</v>
      </c>
      <c r="M39" s="18" t="n">
        <v>1.0013</v>
      </c>
      <c r="N39" s="18" t="n">
        <v>0.9998</v>
      </c>
      <c r="O39" s="18" t="n">
        <v>1.006</v>
      </c>
      <c r="P39" s="18" t="n"/>
      <c r="Q39" s="18" t="n"/>
      <c r="R39" s="18" t="n"/>
    </row>
    <row r="40">
      <c r="A40" s="16" t="inlineStr">
        <is>
          <t>2011</t>
        </is>
      </c>
      <c r="B40" s="18" t="n">
        <v>1.9534</v>
      </c>
      <c r="C40" s="18" t="n">
        <v>1.4748</v>
      </c>
      <c r="D40" s="18" t="n">
        <v>1.1547</v>
      </c>
      <c r="E40" s="18" t="n">
        <v>1.067</v>
      </c>
      <c r="F40" s="18" t="n">
        <v>1.08</v>
      </c>
      <c r="G40" s="18" t="n">
        <v>1.0553</v>
      </c>
      <c r="H40" s="18" t="n">
        <v>1.0001</v>
      </c>
      <c r="I40" s="18" t="n">
        <v>1.0138</v>
      </c>
      <c r="J40" s="18" t="n">
        <v>1.0038</v>
      </c>
      <c r="K40" s="18" t="n">
        <v>1.0282</v>
      </c>
      <c r="L40" s="18" t="n">
        <v>0.9969</v>
      </c>
      <c r="M40" s="18" t="n">
        <v>1</v>
      </c>
      <c r="N40" s="18" t="n">
        <v>1</v>
      </c>
      <c r="O40" s="18" t="n"/>
      <c r="P40" s="18" t="n"/>
      <c r="Q40" s="18" t="n"/>
      <c r="R40" s="18" t="n"/>
    </row>
    <row r="41">
      <c r="A41" s="16" t="inlineStr">
        <is>
          <t>2012</t>
        </is>
      </c>
      <c r="B41" s="18" t="n">
        <v>2.0319</v>
      </c>
      <c r="C41" s="18" t="n">
        <v>1.307</v>
      </c>
      <c r="D41" s="18" t="n">
        <v>1.0868</v>
      </c>
      <c r="E41" s="18" t="n">
        <v>0.9969</v>
      </c>
      <c r="F41" s="18" t="n">
        <v>1.0088</v>
      </c>
      <c r="G41" s="18" t="n">
        <v>1.004</v>
      </c>
      <c r="H41" s="18" t="n">
        <v>1.0516</v>
      </c>
      <c r="I41" s="18" t="n">
        <v>1.0559</v>
      </c>
      <c r="J41" s="18" t="n">
        <v>1.0565</v>
      </c>
      <c r="K41" s="18" t="n">
        <v>1.0075</v>
      </c>
      <c r="L41" s="18" t="n">
        <v>1.179</v>
      </c>
      <c r="M41" s="18" t="n">
        <v>1</v>
      </c>
      <c r="N41" s="18" t="n"/>
      <c r="O41" s="18" t="n"/>
      <c r="P41" s="18" t="n"/>
      <c r="Q41" s="18" t="n"/>
      <c r="R41" s="18" t="n"/>
    </row>
    <row r="42">
      <c r="A42" s="16" t="inlineStr">
        <is>
          <t>2013</t>
        </is>
      </c>
      <c r="B42" s="18" t="n">
        <v>1.8261</v>
      </c>
      <c r="C42" s="18" t="n">
        <v>1.0872</v>
      </c>
      <c r="D42" s="18" t="n">
        <v>1.2056</v>
      </c>
      <c r="E42" s="18" t="n">
        <v>1.0608</v>
      </c>
      <c r="F42" s="18" t="n">
        <v>0.9974</v>
      </c>
      <c r="G42" s="18" t="n">
        <v>1.0005</v>
      </c>
      <c r="H42" s="18" t="n">
        <v>1</v>
      </c>
      <c r="I42" s="18" t="n">
        <v>1.0019</v>
      </c>
      <c r="J42" s="18" t="n">
        <v>1</v>
      </c>
      <c r="K42" s="18" t="n">
        <v>1</v>
      </c>
      <c r="L42" s="18" t="n">
        <v>1</v>
      </c>
      <c r="M42" s="18" t="n"/>
      <c r="N42" s="18" t="n"/>
      <c r="O42" s="18" t="n"/>
      <c r="P42" s="18" t="n"/>
      <c r="Q42" s="18" t="n"/>
      <c r="R42" s="18" t="n"/>
    </row>
    <row r="43">
      <c r="A43" s="16" t="inlineStr">
        <is>
          <t>2014</t>
        </is>
      </c>
      <c r="B43" s="18" t="n">
        <v>1.3662</v>
      </c>
      <c r="C43" s="18" t="n">
        <v>1.4116</v>
      </c>
      <c r="D43" s="18" t="n">
        <v>1.1563</v>
      </c>
      <c r="E43" s="18" t="n">
        <v>1.0143</v>
      </c>
      <c r="F43" s="18" t="n">
        <v>1.0345</v>
      </c>
      <c r="G43" s="18" t="n">
        <v>0.9714</v>
      </c>
      <c r="H43" s="18" t="n">
        <v>1</v>
      </c>
      <c r="I43" s="18" t="n">
        <v>1.0411</v>
      </c>
      <c r="J43" s="18" t="n">
        <v>1.0206</v>
      </c>
      <c r="K43" s="18" t="n">
        <v>0.9931</v>
      </c>
      <c r="L43" s="18" t="n"/>
      <c r="M43" s="18" t="n"/>
      <c r="N43" s="18" t="n"/>
      <c r="O43" s="18" t="n"/>
      <c r="P43" s="18" t="n"/>
      <c r="Q43" s="18" t="n"/>
      <c r="R43" s="18" t="n"/>
    </row>
    <row r="44">
      <c r="A44" s="16" t="inlineStr">
        <is>
          <t>2015</t>
        </is>
      </c>
      <c r="B44" s="18" t="n">
        <v>1.9857</v>
      </c>
      <c r="C44" s="18" t="n">
        <v>1.5027</v>
      </c>
      <c r="D44" s="18" t="n">
        <v>1.3285</v>
      </c>
      <c r="E44" s="18" t="n">
        <v>1.1059</v>
      </c>
      <c r="F44" s="18" t="n">
        <v>1.1362</v>
      </c>
      <c r="G44" s="18" t="n">
        <v>1.1399</v>
      </c>
      <c r="H44" s="18" t="n">
        <v>1.0068</v>
      </c>
      <c r="I44" s="18" t="n">
        <v>1.0033</v>
      </c>
      <c r="J44" s="18" t="n">
        <v>1.0962</v>
      </c>
      <c r="K44" s="18" t="n"/>
      <c r="L44" s="18" t="n"/>
      <c r="M44" s="18" t="n"/>
      <c r="N44" s="18" t="n"/>
      <c r="O44" s="18" t="n"/>
      <c r="P44" s="18" t="n"/>
      <c r="Q44" s="18" t="n"/>
      <c r="R44" s="18" t="n"/>
    </row>
    <row r="45">
      <c r="A45" s="16" t="inlineStr">
        <is>
          <t>2016</t>
        </is>
      </c>
      <c r="B45" s="18" t="n">
        <v>1.8697</v>
      </c>
      <c r="C45" s="18" t="n">
        <v>1.348</v>
      </c>
      <c r="D45" s="18" t="n">
        <v>1.087</v>
      </c>
      <c r="E45" s="18" t="n">
        <v>1.1423</v>
      </c>
      <c r="F45" s="18" t="n">
        <v>1.0316</v>
      </c>
      <c r="G45" s="18" t="n">
        <v>1.1275</v>
      </c>
      <c r="H45" s="18" t="n">
        <v>0.9998</v>
      </c>
      <c r="I45" s="18" t="n">
        <v>1.0013</v>
      </c>
      <c r="J45" s="18" t="n"/>
      <c r="K45" s="18" t="n"/>
      <c r="L45" s="18" t="n"/>
      <c r="M45" s="18" t="n"/>
      <c r="N45" s="18" t="n"/>
      <c r="O45" s="18" t="n"/>
      <c r="P45" s="18" t="n"/>
      <c r="Q45" s="18" t="n"/>
      <c r="R45" s="18" t="n"/>
    </row>
    <row r="46">
      <c r="A46" s="16" t="inlineStr">
        <is>
          <t>2017</t>
        </is>
      </c>
      <c r="B46" s="18" t="n">
        <v>1.3328</v>
      </c>
      <c r="C46" s="18" t="n">
        <v>1.0344</v>
      </c>
      <c r="D46" s="18" t="n">
        <v>1.3094</v>
      </c>
      <c r="E46" s="18" t="n">
        <v>1.0751</v>
      </c>
      <c r="F46" s="18" t="n">
        <v>1.1327</v>
      </c>
      <c r="G46" s="18" t="n">
        <v>1.1527</v>
      </c>
      <c r="H46" s="18" t="n">
        <v>1.0315</v>
      </c>
      <c r="I46" s="18" t="n"/>
      <c r="J46" s="18" t="n"/>
      <c r="K46" s="18" t="n"/>
      <c r="L46" s="18" t="n"/>
      <c r="M46" s="18" t="n"/>
      <c r="N46" s="18" t="n"/>
      <c r="O46" s="18" t="n"/>
      <c r="P46" s="18" t="n"/>
      <c r="Q46" s="18" t="n"/>
      <c r="R46" s="18" t="n"/>
    </row>
    <row r="47">
      <c r="A47" s="16" t="inlineStr">
        <is>
          <t>2018</t>
        </is>
      </c>
      <c r="B47" s="18" t="n">
        <v>2.2994</v>
      </c>
      <c r="C47" s="18" t="n">
        <v>1.4287</v>
      </c>
      <c r="D47" s="18" t="n">
        <v>1.3883</v>
      </c>
      <c r="E47" s="18" t="n">
        <v>0.9943</v>
      </c>
      <c r="F47" s="18" t="n">
        <v>1.0131</v>
      </c>
      <c r="G47" s="18" t="n">
        <v>1.0265</v>
      </c>
      <c r="H47" s="18" t="n"/>
      <c r="I47" s="18" t="n"/>
      <c r="J47" s="18" t="n"/>
      <c r="K47" s="18" t="n"/>
      <c r="L47" s="18" t="n"/>
      <c r="M47" s="18" t="n"/>
      <c r="N47" s="18" t="n"/>
      <c r="O47" s="18" t="n"/>
      <c r="P47" s="18" t="n"/>
      <c r="Q47" s="18" t="n"/>
      <c r="R47" s="18" t="n"/>
    </row>
    <row r="48">
      <c r="A48" s="16" t="inlineStr">
        <is>
          <t>2019</t>
        </is>
      </c>
      <c r="B48" s="18" t="n">
        <v>2.757</v>
      </c>
      <c r="C48" s="18" t="n">
        <v>1.5473</v>
      </c>
      <c r="D48" s="18" t="n">
        <v>1.1497</v>
      </c>
      <c r="E48" s="18" t="n">
        <v>1.0634</v>
      </c>
      <c r="F48" s="18" t="n">
        <v>1.2221</v>
      </c>
      <c r="G48" s="18" t="n"/>
      <c r="H48" s="18" t="n"/>
      <c r="I48" s="18" t="n"/>
      <c r="J48" s="18" t="n"/>
      <c r="K48" s="18" t="n"/>
      <c r="L48" s="18" t="n"/>
      <c r="M48" s="18" t="n"/>
      <c r="N48" s="18" t="n"/>
      <c r="O48" s="18" t="n"/>
      <c r="P48" s="18" t="n"/>
      <c r="Q48" s="18" t="n"/>
      <c r="R48" s="18" t="n"/>
    </row>
    <row r="49">
      <c r="A49" s="16" t="inlineStr">
        <is>
          <t>2020</t>
        </is>
      </c>
      <c r="B49" s="18" t="n">
        <v>1.7849</v>
      </c>
      <c r="C49" s="18" t="n">
        <v>0.9832</v>
      </c>
      <c r="D49" s="18" t="n">
        <v>1.058</v>
      </c>
      <c r="E49" s="18" t="n">
        <v>1.0097</v>
      </c>
      <c r="F49" s="18" t="n"/>
      <c r="G49" s="18" t="n"/>
      <c r="H49" s="18" t="n"/>
      <c r="I49" s="18" t="n"/>
      <c r="J49" s="18" t="n"/>
      <c r="K49" s="18" t="n"/>
      <c r="L49" s="18" t="n"/>
      <c r="M49" s="18" t="n"/>
      <c r="N49" s="18" t="n"/>
      <c r="O49" s="18" t="n"/>
      <c r="P49" s="18" t="n"/>
      <c r="Q49" s="18" t="n"/>
      <c r="R49" s="18" t="n"/>
    </row>
    <row r="50">
      <c r="A50" s="16" t="inlineStr">
        <is>
          <t>2021</t>
        </is>
      </c>
      <c r="B50" s="18" t="n">
        <v>1.4577</v>
      </c>
      <c r="C50" s="18" t="n">
        <v>1.224</v>
      </c>
      <c r="D50" s="18" t="n">
        <v>1.0316</v>
      </c>
      <c r="E50" s="18" t="n"/>
      <c r="F50" s="18" t="n"/>
      <c r="G50" s="18" t="n"/>
      <c r="H50" s="18" t="n"/>
      <c r="I50" s="18" t="n"/>
      <c r="J50" s="18" t="n"/>
      <c r="K50" s="18" t="n"/>
      <c r="L50" s="18" t="n"/>
      <c r="M50" s="18" t="n"/>
      <c r="N50" s="18" t="n"/>
      <c r="O50" s="18" t="n"/>
      <c r="P50" s="18" t="n"/>
      <c r="Q50" s="18" t="n"/>
      <c r="R50" s="18" t="n"/>
    </row>
    <row r="51">
      <c r="A51" s="16" t="inlineStr">
        <is>
          <t>2022</t>
        </is>
      </c>
      <c r="B51" s="18" t="n">
        <v>1.2261</v>
      </c>
      <c r="C51" s="18" t="n">
        <v>0.9715</v>
      </c>
      <c r="D51" s="18" t="n"/>
      <c r="E51" s="18" t="n"/>
      <c r="F51" s="18" t="n"/>
      <c r="G51" s="18" t="n"/>
      <c r="H51" s="18" t="n"/>
      <c r="I51" s="18" t="n"/>
      <c r="J51" s="18" t="n"/>
      <c r="K51" s="18" t="n"/>
      <c r="L51" s="18" t="n"/>
      <c r="M51" s="18" t="n"/>
      <c r="N51" s="18" t="n"/>
      <c r="O51" s="18" t="n"/>
      <c r="P51" s="18" t="n"/>
      <c r="Q51" s="18" t="n"/>
      <c r="R51" s="18" t="n"/>
    </row>
    <row r="52">
      <c r="A52" s="16" t="inlineStr">
        <is>
          <t>2023</t>
        </is>
      </c>
      <c r="B52" s="18" t="n">
        <v>1.6941</v>
      </c>
      <c r="C52" s="18" t="n"/>
      <c r="D52" s="18" t="n"/>
      <c r="E52" s="18" t="n"/>
      <c r="F52" s="18" t="n"/>
      <c r="G52" s="18" t="n"/>
      <c r="H52" s="18" t="n"/>
      <c r="I52" s="18" t="n"/>
      <c r="J52" s="18" t="n"/>
      <c r="K52" s="18" t="n"/>
      <c r="L52" s="18" t="n"/>
      <c r="M52" s="18" t="n"/>
      <c r="N52" s="18" t="n"/>
      <c r="O52" s="18" t="n"/>
      <c r="P52" s="18" t="n"/>
      <c r="Q52" s="18" t="n"/>
      <c r="R52" s="18" t="n"/>
    </row>
    <row r="53">
      <c r="A53" s="16" t="inlineStr">
        <is>
          <t>2024</t>
        </is>
      </c>
      <c r="B53" s="18" t="n"/>
      <c r="C53" s="18" t="n"/>
      <c r="D53" s="18" t="n"/>
      <c r="E53" s="18" t="n"/>
      <c r="F53" s="18" t="n"/>
      <c r="G53" s="18" t="n"/>
      <c r="H53" s="18" t="n"/>
      <c r="I53" s="18" t="n"/>
      <c r="J53" s="18" t="n"/>
      <c r="K53" s="18" t="n"/>
      <c r="L53" s="18" t="n"/>
      <c r="M53" s="18" t="n"/>
      <c r="N53" s="18" t="n"/>
      <c r="O53" s="18" t="n"/>
      <c r="P53" s="18" t="n"/>
      <c r="Q53" s="18" t="n"/>
      <c r="R53" s="18" t="n"/>
    </row>
    <row r="54"/>
    <row r="55">
      <c r="A55" s="3" t="inlineStr">
        <is>
          <t>Averages</t>
        </is>
      </c>
      <c r="B55" s="14" t="n"/>
      <c r="C55" s="14" t="n"/>
      <c r="D55" s="14" t="n"/>
      <c r="E55" s="14" t="n"/>
      <c r="F55" s="14" t="n"/>
      <c r="G55" s="14" t="n"/>
      <c r="H55" s="14" t="n"/>
      <c r="I55" s="14" t="n"/>
      <c r="J55" s="14" t="n"/>
      <c r="K55" s="14" t="n"/>
      <c r="L55" s="14" t="n"/>
      <c r="M55" s="14" t="n"/>
      <c r="N55" s="14" t="n"/>
      <c r="O55" s="14" t="n"/>
      <c r="P55" s="14" t="n"/>
      <c r="Q55" s="14" t="n"/>
      <c r="R55" s="14" t="n"/>
    </row>
    <row r="56">
      <c r="A56" s="19" t="inlineStr">
        <is>
          <t>Metric</t>
        </is>
      </c>
      <c r="B56" s="8" t="inlineStr">
        <is>
          <t>11-23</t>
        </is>
      </c>
      <c r="C56" s="8" t="inlineStr">
        <is>
          <t>23-35</t>
        </is>
      </c>
      <c r="D56" s="8" t="inlineStr">
        <is>
          <t>35-47</t>
        </is>
      </c>
      <c r="E56" s="8" t="inlineStr">
        <is>
          <t>47-59</t>
        </is>
      </c>
      <c r="F56" s="8" t="inlineStr">
        <is>
          <t>59-71</t>
        </is>
      </c>
      <c r="G56" s="8" t="inlineStr">
        <is>
          <t>71-83</t>
        </is>
      </c>
      <c r="H56" s="8" t="inlineStr">
        <is>
          <t>83-95</t>
        </is>
      </c>
      <c r="I56" s="8" t="inlineStr">
        <is>
          <t>95-107</t>
        </is>
      </c>
      <c r="J56" s="8" t="inlineStr">
        <is>
          <t>107-119</t>
        </is>
      </c>
      <c r="K56" s="8" t="inlineStr">
        <is>
          <t>119-131</t>
        </is>
      </c>
      <c r="L56" s="8" t="inlineStr">
        <is>
          <t>131-143</t>
        </is>
      </c>
      <c r="M56" s="8" t="inlineStr">
        <is>
          <t>143-155</t>
        </is>
      </c>
      <c r="N56" s="8" t="inlineStr">
        <is>
          <t>155-167</t>
        </is>
      </c>
      <c r="O56" s="8" t="inlineStr">
        <is>
          <t>167-179</t>
        </is>
      </c>
      <c r="P56" s="8" t="inlineStr">
        <is>
          <t>179-191</t>
        </is>
      </c>
      <c r="Q56" s="8" t="inlineStr">
        <is>
          <t>191-203</t>
        </is>
      </c>
      <c r="R56" s="8" t="inlineStr">
        <is>
          <t>203-Ult</t>
        </is>
      </c>
    </row>
    <row r="57">
      <c r="A57" s="20" t="inlineStr">
        <is>
          <t>simple_all</t>
        </is>
      </c>
      <c r="B57" s="18" t="n">
        <v>1.7435</v>
      </c>
      <c r="C57" s="18" t="n">
        <v>1.1931</v>
      </c>
      <c r="D57" s="18" t="n">
        <v>1.1538</v>
      </c>
      <c r="E57" s="18" t="n">
        <v>1.0486</v>
      </c>
      <c r="F57" s="18" t="n">
        <v>1.062</v>
      </c>
      <c r="G57" s="18" t="n">
        <v>1.04</v>
      </c>
      <c r="H57" s="18" t="n">
        <v>1.0209</v>
      </c>
      <c r="I57" s="18" t="n">
        <v>1.0175</v>
      </c>
      <c r="J57" s="18" t="n">
        <v>1.026</v>
      </c>
      <c r="K57" s="18" t="n">
        <v>1.0152</v>
      </c>
      <c r="L57" s="18" t="n">
        <v>1.0334</v>
      </c>
      <c r="M57" s="18" t="n">
        <v>1.0046</v>
      </c>
      <c r="N57" s="18" t="n">
        <v>1.0051</v>
      </c>
      <c r="O57" s="18" t="n">
        <v>1.0104</v>
      </c>
      <c r="P57" s="18" t="n">
        <v>1.0106</v>
      </c>
      <c r="Q57" s="18" t="n">
        <v>1.0152</v>
      </c>
      <c r="R57" s="18" t="n"/>
    </row>
    <row r="58">
      <c r="A58" s="20" t="inlineStr">
        <is>
          <t>weighted_all</t>
        </is>
      </c>
      <c r="B58" s="18" t="n">
        <v>1.6135</v>
      </c>
      <c r="C58" s="18" t="n">
        <v>1.1891</v>
      </c>
      <c r="D58" s="18" t="n">
        <v>1.153</v>
      </c>
      <c r="E58" s="18" t="n">
        <v>1.0492</v>
      </c>
      <c r="F58" s="18" t="n">
        <v>1.0736</v>
      </c>
      <c r="G58" s="18" t="n">
        <v>1.0457</v>
      </c>
      <c r="H58" s="18" t="n">
        <v>1.0221</v>
      </c>
      <c r="I58" s="18" t="n">
        <v>1.0195</v>
      </c>
      <c r="J58" s="18" t="n">
        <v>1.037</v>
      </c>
      <c r="K58" s="18" t="n">
        <v>1.0174</v>
      </c>
      <c r="L58" s="18" t="n">
        <v>1.0332</v>
      </c>
      <c r="M58" s="18" t="n">
        <v>1.0053</v>
      </c>
      <c r="N58" s="18" t="n">
        <v>1.0054</v>
      </c>
      <c r="O58" s="18" t="n">
        <v>1.0167</v>
      </c>
      <c r="P58" s="18" t="n">
        <v>1.0116</v>
      </c>
      <c r="Q58" s="18" t="n">
        <v>1.0149</v>
      </c>
      <c r="R58" s="18" t="n"/>
    </row>
    <row r="59">
      <c r="A59" s="20" t="inlineStr">
        <is>
          <t>exclude_high_low_all</t>
        </is>
      </c>
      <c r="B59" s="18" t="n">
        <v>1.7265</v>
      </c>
      <c r="C59" s="18" t="n">
        <v>1.1916</v>
      </c>
      <c r="D59" s="18" t="n">
        <v>1.1507</v>
      </c>
      <c r="E59" s="18" t="n">
        <v>1.0512</v>
      </c>
      <c r="F59" s="18" t="n">
        <v>1.0569</v>
      </c>
      <c r="G59" s="18" t="n">
        <v>1.0372</v>
      </c>
      <c r="H59" s="18" t="n">
        <v>1.0153</v>
      </c>
      <c r="I59" s="18" t="n">
        <v>1.0152</v>
      </c>
      <c r="J59" s="18" t="n">
        <v>1.0228</v>
      </c>
      <c r="K59" s="18" t="n">
        <v>1.0114</v>
      </c>
      <c r="L59" s="18" t="n">
        <v>1.0242</v>
      </c>
      <c r="M59" s="18" t="n">
        <v>1.004</v>
      </c>
      <c r="N59" s="18" t="n">
        <v>1.0039</v>
      </c>
      <c r="O59" s="18" t="n">
        <v>1.0075</v>
      </c>
      <c r="P59" s="18" t="n">
        <v>1.006</v>
      </c>
      <c r="Q59" s="18" t="n">
        <v>1.0114</v>
      </c>
      <c r="R59" s="18" t="n"/>
    </row>
    <row r="60">
      <c r="A60" s="20" t="inlineStr">
        <is>
          <t>simple_3yr</t>
        </is>
      </c>
      <c r="B60" s="18" t="n">
        <v>1.4593</v>
      </c>
      <c r="C60" s="18" t="n">
        <v>1.0596</v>
      </c>
      <c r="D60" s="18" t="n">
        <v>1.0798</v>
      </c>
      <c r="E60" s="18" t="n">
        <v>1.0225</v>
      </c>
      <c r="F60" s="18" t="n">
        <v>1.1226</v>
      </c>
      <c r="G60" s="18" t="n">
        <v>1.1022</v>
      </c>
      <c r="H60" s="18" t="n">
        <v>1.0127</v>
      </c>
      <c r="I60" s="18" t="n">
        <v>1.0152</v>
      </c>
      <c r="J60" s="18" t="n">
        <v>1.0389</v>
      </c>
      <c r="K60" s="18" t="n">
        <v>1.0002</v>
      </c>
      <c r="L60" s="18" t="n">
        <v>1.0586</v>
      </c>
      <c r="M60" s="18" t="n">
        <v>1.0004</v>
      </c>
      <c r="N60" s="18" t="n">
        <v>0.9999</v>
      </c>
      <c r="O60" s="18" t="n">
        <v>1.002</v>
      </c>
      <c r="P60" s="18" t="n">
        <v>1.0016</v>
      </c>
      <c r="Q60" s="18" t="n">
        <v>1.0092</v>
      </c>
      <c r="R60" s="18" t="n"/>
    </row>
    <row r="61">
      <c r="A61" s="20" t="inlineStr">
        <is>
          <t>weighted_3yr</t>
        </is>
      </c>
      <c r="B61" s="18" t="n">
        <v>1.4891</v>
      </c>
      <c r="C61" s="18" t="n">
        <v>1.054</v>
      </c>
      <c r="D61" s="18" t="n">
        <v>1.0948</v>
      </c>
      <c r="E61" s="18" t="n">
        <v>1.0233</v>
      </c>
      <c r="F61" s="18" t="n">
        <v>1.1167</v>
      </c>
      <c r="G61" s="18" t="n">
        <v>1.0898</v>
      </c>
      <c r="H61" s="18" t="n">
        <v>1.0085</v>
      </c>
      <c r="I61" s="18" t="n">
        <v>1.0098</v>
      </c>
      <c r="J61" s="18" t="n">
        <v>1.0629</v>
      </c>
      <c r="K61" s="18" t="n">
        <v>0.9997</v>
      </c>
      <c r="L61" s="18" t="n">
        <v>1.0531</v>
      </c>
      <c r="M61" s="18" t="n">
        <v>1.0004</v>
      </c>
      <c r="N61" s="18" t="n">
        <v>0.9999</v>
      </c>
      <c r="O61" s="18" t="n">
        <v>1.002</v>
      </c>
      <c r="P61" s="18" t="n">
        <v>1.0009</v>
      </c>
      <c r="Q61" s="18" t="n">
        <v>1.0066</v>
      </c>
      <c r="R61" s="18" t="n"/>
    </row>
    <row r="62">
      <c r="A62" s="20" t="inlineStr">
        <is>
          <t>exclude_high_low_3yr</t>
        </is>
      </c>
      <c r="B62" s="18" t="n">
        <v>1.4577</v>
      </c>
      <c r="C62" s="18" t="n">
        <v>0.9832</v>
      </c>
      <c r="D62" s="18" t="n">
        <v>1.058</v>
      </c>
      <c r="E62" s="18" t="n">
        <v>1.0097</v>
      </c>
      <c r="F62" s="18" t="n">
        <v>1.1327</v>
      </c>
      <c r="G62" s="18" t="n">
        <v>1.1275</v>
      </c>
      <c r="H62" s="18" t="n">
        <v>1.0068</v>
      </c>
      <c r="I62" s="18" t="n">
        <v>1.0033</v>
      </c>
      <c r="J62" s="18" t="n">
        <v>1.0206</v>
      </c>
      <c r="K62" s="18" t="n">
        <v>1</v>
      </c>
      <c r="L62" s="18" t="n">
        <v>1</v>
      </c>
      <c r="M62" s="18" t="n">
        <v>1</v>
      </c>
      <c r="N62" s="18" t="n">
        <v>1</v>
      </c>
      <c r="O62" s="18" t="n">
        <v>1</v>
      </c>
      <c r="P62" s="18" t="n">
        <v>1</v>
      </c>
      <c r="Q62" s="18" t="n">
        <v>1.0036</v>
      </c>
      <c r="R62" s="18" t="n"/>
    </row>
    <row r="63">
      <c r="A63" s="20" t="inlineStr">
        <is>
          <t>simple_5yr</t>
        </is>
      </c>
      <c r="B63" s="18" t="n">
        <v>1.784</v>
      </c>
      <c r="C63" s="18" t="n">
        <v>1.2309</v>
      </c>
      <c r="D63" s="18" t="n">
        <v>1.1874</v>
      </c>
      <c r="E63" s="18" t="n">
        <v>1.057</v>
      </c>
      <c r="F63" s="18" t="n">
        <v>1.1071</v>
      </c>
      <c r="G63" s="18" t="n">
        <v>1.0836</v>
      </c>
      <c r="H63" s="18" t="n">
        <v>1.0076</v>
      </c>
      <c r="I63" s="18" t="n">
        <v>1.0207</v>
      </c>
      <c r="J63" s="18" t="n">
        <v>1.0354</v>
      </c>
      <c r="K63" s="18" t="n">
        <v>1.0059</v>
      </c>
      <c r="L63" s="18" t="n">
        <v>1.0379</v>
      </c>
      <c r="M63" s="18" t="n">
        <v>1.0033</v>
      </c>
      <c r="N63" s="18" t="n">
        <v>1.0002</v>
      </c>
      <c r="O63" s="18" t="n">
        <v>1.01</v>
      </c>
      <c r="P63" s="18" t="n">
        <v>1.0047</v>
      </c>
      <c r="Q63" s="18" t="n">
        <v>1.0086</v>
      </c>
      <c r="R63" s="18" t="n"/>
    </row>
    <row r="64">
      <c r="A64" s="20" t="inlineStr">
        <is>
          <t>weighted_5yr</t>
        </is>
      </c>
      <c r="B64" s="18" t="n">
        <v>1.7024</v>
      </c>
      <c r="C64" s="18" t="n">
        <v>1.2575</v>
      </c>
      <c r="D64" s="18" t="n">
        <v>1.2002</v>
      </c>
      <c r="E64" s="18" t="n">
        <v>1.0567</v>
      </c>
      <c r="F64" s="18" t="n">
        <v>1.1027</v>
      </c>
      <c r="G64" s="18" t="n">
        <v>1.087</v>
      </c>
      <c r="H64" s="18" t="n">
        <v>1.0065</v>
      </c>
      <c r="I64" s="18" t="n">
        <v>1.0146</v>
      </c>
      <c r="J64" s="18" t="n">
        <v>1.0485</v>
      </c>
      <c r="K64" s="18" t="n">
        <v>1.0082</v>
      </c>
      <c r="L64" s="18" t="n">
        <v>1.035</v>
      </c>
      <c r="M64" s="18" t="n">
        <v>1.0022</v>
      </c>
      <c r="N64" s="18" t="n">
        <v>1.0004</v>
      </c>
      <c r="O64" s="18" t="n">
        <v>1.0211</v>
      </c>
      <c r="P64" s="18" t="n">
        <v>1.0036</v>
      </c>
      <c r="Q64" s="18" t="n">
        <v>1.0076</v>
      </c>
      <c r="R64" s="18" t="n"/>
    </row>
    <row r="65">
      <c r="A65" s="20" t="inlineStr">
        <is>
          <t>exclude_high_low_5yr</t>
        </is>
      </c>
      <c r="B65" s="18" t="n">
        <v>1.6456</v>
      </c>
      <c r="C65" s="18" t="n">
        <v>1.212</v>
      </c>
      <c r="D65" s="18" t="n">
        <v>1.1724</v>
      </c>
      <c r="E65" s="18" t="n">
        <v>1.0494</v>
      </c>
      <c r="F65" s="18" t="n">
        <v>1.1002</v>
      </c>
      <c r="G65" s="18" t="n">
        <v>1.098</v>
      </c>
      <c r="H65" s="18" t="n">
        <v>1.0023</v>
      </c>
      <c r="I65" s="18" t="n">
        <v>1.0154</v>
      </c>
      <c r="J65" s="18" t="n">
        <v>1.027</v>
      </c>
      <c r="K65" s="18" t="n">
        <v>1.0028</v>
      </c>
      <c r="L65" s="18" t="n">
        <v>1.0045</v>
      </c>
      <c r="M65" s="18" t="n">
        <v>1.0004</v>
      </c>
      <c r="N65" s="18" t="n">
        <v>1.0001</v>
      </c>
      <c r="O65" s="18" t="n">
        <v>1.0022</v>
      </c>
      <c r="P65" s="18" t="n">
        <v>1.004</v>
      </c>
      <c r="Q65" s="18" t="n">
        <v>1.0073</v>
      </c>
      <c r="R65" s="18" t="n"/>
    </row>
    <row r="66">
      <c r="A66" s="20" t="inlineStr">
        <is>
          <t>simple_10yr</t>
        </is>
      </c>
      <c r="B66" s="18" t="n">
        <v>1.7774</v>
      </c>
      <c r="C66" s="18" t="n">
        <v>1.2539</v>
      </c>
      <c r="D66" s="18" t="n">
        <v>1.1801</v>
      </c>
      <c r="E66" s="18" t="n">
        <v>1.053</v>
      </c>
      <c r="F66" s="18" t="n">
        <v>1.0646</v>
      </c>
      <c r="G66" s="18" t="n">
        <v>1.0554</v>
      </c>
      <c r="H66" s="18" t="n">
        <v>1.0248</v>
      </c>
      <c r="I66" s="18" t="n">
        <v>1.019</v>
      </c>
      <c r="J66" s="18" t="n">
        <v>1.0351</v>
      </c>
      <c r="K66" s="18" t="n">
        <v>1.016</v>
      </c>
      <c r="L66" s="18" t="n">
        <v>1.0387</v>
      </c>
      <c r="M66" s="18" t="n">
        <v>1.0056</v>
      </c>
      <c r="N66" s="18" t="n">
        <v>1.0034</v>
      </c>
      <c r="O66" s="18" t="n">
        <v>1.0104</v>
      </c>
      <c r="P66" s="18" t="n">
        <v>1.0106</v>
      </c>
      <c r="Q66" s="18" t="n">
        <v>1.0152</v>
      </c>
      <c r="R66" s="18" t="n"/>
    </row>
    <row r="67">
      <c r="A67" s="20" t="inlineStr">
        <is>
          <t>weighted_10yr</t>
        </is>
      </c>
      <c r="B67" s="18" t="n">
        <v>1.7371</v>
      </c>
      <c r="C67" s="18" t="n">
        <v>1.2877</v>
      </c>
      <c r="D67" s="18" t="n">
        <v>1.1886</v>
      </c>
      <c r="E67" s="18" t="n">
        <v>1.0574</v>
      </c>
      <c r="F67" s="18" t="n">
        <v>1.0752</v>
      </c>
      <c r="G67" s="18" t="n">
        <v>1.0671</v>
      </c>
      <c r="H67" s="18" t="n">
        <v>1.0177</v>
      </c>
      <c r="I67" s="18" t="n">
        <v>1.0231</v>
      </c>
      <c r="J67" s="18" t="n">
        <v>1.0519</v>
      </c>
      <c r="K67" s="18" t="n">
        <v>1.0194</v>
      </c>
      <c r="L67" s="18" t="n">
        <v>1.0395</v>
      </c>
      <c r="M67" s="18" t="n">
        <v>1.0066</v>
      </c>
      <c r="N67" s="18" t="n">
        <v>1.003</v>
      </c>
      <c r="O67" s="18" t="n">
        <v>1.0167</v>
      </c>
      <c r="P67" s="18" t="n">
        <v>1.0116</v>
      </c>
      <c r="Q67" s="18" t="n">
        <v>1.0149</v>
      </c>
      <c r="R67" s="18" t="n"/>
    </row>
    <row r="68">
      <c r="A68" s="20" t="inlineStr">
        <is>
          <t>exclude_high_low_10yr</t>
        </is>
      </c>
      <c r="B68" s="18" t="n">
        <v>1.7238</v>
      </c>
      <c r="C68" s="18" t="n">
        <v>1.2525</v>
      </c>
      <c r="D68" s="18" t="n">
        <v>1.1727</v>
      </c>
      <c r="E68" s="18" t="n">
        <v>1.0491</v>
      </c>
      <c r="F68" s="18" t="n">
        <v>1.0543</v>
      </c>
      <c r="G68" s="18" t="n">
        <v>1.0537</v>
      </c>
      <c r="H68" s="18" t="n">
        <v>1.013</v>
      </c>
      <c r="I68" s="18" t="n">
        <v>1.0154</v>
      </c>
      <c r="J68" s="18" t="n">
        <v>1.0312</v>
      </c>
      <c r="K68" s="18" t="n">
        <v>1.0105</v>
      </c>
      <c r="L68" s="18" t="n">
        <v>1.0274</v>
      </c>
      <c r="M68" s="18" t="n">
        <v>1.005</v>
      </c>
      <c r="N68" s="18" t="n">
        <v>1.0015</v>
      </c>
      <c r="O68" s="18" t="n">
        <v>1.0075</v>
      </c>
      <c r="P68" s="18" t="n">
        <v>1.006</v>
      </c>
      <c r="Q68" s="18" t="n">
        <v>1.0114</v>
      </c>
      <c r="R68" s="18" t="n"/>
    </row>
    <row r="69"/>
    <row r="70">
      <c r="A70" s="3" t="inlineStr">
        <is>
          <t>LDF Selections</t>
        </is>
      </c>
      <c r="B70" s="14" t="n"/>
      <c r="C70" s="14" t="n"/>
      <c r="D70" s="14" t="n"/>
      <c r="E70" s="14" t="n"/>
      <c r="F70" s="14" t="n"/>
      <c r="G70" s="14" t="n"/>
      <c r="H70" s="14" t="n"/>
      <c r="I70" s="14" t="n"/>
      <c r="J70" s="14" t="n"/>
      <c r="K70" s="14" t="n"/>
      <c r="L70" s="14" t="n"/>
      <c r="M70" s="14" t="n"/>
      <c r="N70" s="14" t="n"/>
      <c r="O70" s="14" t="n"/>
      <c r="P70" s="14" t="n"/>
      <c r="Q70" s="14" t="n"/>
      <c r="R70" s="14" t="n"/>
    </row>
    <row r="71">
      <c r="A71" s="15" t="n"/>
      <c r="B71" s="8" t="inlineStr">
        <is>
          <t>11-23</t>
        </is>
      </c>
      <c r="C71" s="8" t="inlineStr">
        <is>
          <t>23-35</t>
        </is>
      </c>
      <c r="D71" s="8" t="inlineStr">
        <is>
          <t>35-47</t>
        </is>
      </c>
      <c r="E71" s="8" t="inlineStr">
        <is>
          <t>47-59</t>
        </is>
      </c>
      <c r="F71" s="8" t="inlineStr">
        <is>
          <t>59-71</t>
        </is>
      </c>
      <c r="G71" s="8" t="inlineStr">
        <is>
          <t>71-83</t>
        </is>
      </c>
      <c r="H71" s="8" t="inlineStr">
        <is>
          <t>83-95</t>
        </is>
      </c>
      <c r="I71" s="8" t="inlineStr">
        <is>
          <t>95-107</t>
        </is>
      </c>
      <c r="J71" s="8" t="inlineStr">
        <is>
          <t>107-119</t>
        </is>
      </c>
      <c r="K71" s="8" t="inlineStr">
        <is>
          <t>119-131</t>
        </is>
      </c>
      <c r="L71" s="8" t="inlineStr">
        <is>
          <t>131-143</t>
        </is>
      </c>
      <c r="M71" s="8" t="inlineStr">
        <is>
          <t>143-155</t>
        </is>
      </c>
      <c r="N71" s="8" t="inlineStr">
        <is>
          <t>155-167</t>
        </is>
      </c>
      <c r="O71" s="8" t="inlineStr">
        <is>
          <t>167-179</t>
        </is>
      </c>
      <c r="P71" s="8" t="inlineStr">
        <is>
          <t>179-191</t>
        </is>
      </c>
      <c r="Q71" s="8" t="inlineStr">
        <is>
          <t>191-203</t>
        </is>
      </c>
      <c r="R71" s="8" t="inlineStr">
        <is>
          <t>203-Ult</t>
        </is>
      </c>
    </row>
    <row r="72">
      <c r="A72" s="21" t="inlineStr">
        <is>
          <t>Selected</t>
        </is>
      </c>
      <c r="B72" s="22" t="n">
        <v>1.65</v>
      </c>
      <c r="C72" s="22" t="n">
        <v>1.22</v>
      </c>
      <c r="D72" s="22" t="n">
        <v>1.18</v>
      </c>
      <c r="E72" s="22" t="n">
        <v>1.0567</v>
      </c>
      <c r="F72" s="22" t="n">
        <v>1.1027</v>
      </c>
      <c r="G72" s="22" t="n">
        <v>1.087</v>
      </c>
      <c r="H72" s="22" t="n">
        <v>1.0065</v>
      </c>
      <c r="I72" s="22" t="n">
        <v>1.0146</v>
      </c>
      <c r="J72" s="22" t="n">
        <v>1.0485</v>
      </c>
      <c r="K72" s="22" t="n">
        <v>1.0082</v>
      </c>
      <c r="L72" s="22" t="n">
        <v>1.035</v>
      </c>
      <c r="M72" s="22" t="n">
        <v>1.0022</v>
      </c>
      <c r="N72" s="22" t="n">
        <v>1.0004</v>
      </c>
      <c r="O72" s="22" t="n">
        <v>1.0211</v>
      </c>
      <c r="P72" s="22" t="n">
        <v>1.0036</v>
      </c>
      <c r="Q72" s="22" t="n">
        <v>1.0076</v>
      </c>
      <c r="R72" s="23" t="n">
        <v>1.0216</v>
      </c>
    </row>
    <row r="73">
      <c r="A73" s="24" t="inlineStr">
        <is>
          <t>Selected Reasoning</t>
        </is>
      </c>
      <c r="B73" s="25" t="inlineStr">
        <is>
          <t>Incurred Loss: Average selected: weighted_5yr = 1.7024. High CV (0.3284) triggers outlier exclusion; exclude high/low. 3-year average 1.4891 is 4.4% below 5-year, indicating recency downward drift, but without diagnostic confirmation (incurred_severity shows normal patterns, paid_to_incurred at 0.69–0.79 converging normally). Applied Bayesian anchoring to prior (5-year): anchored at 1.7024, no confirmed trend, but recent diagonals (2023–2024) show lower factors (1.69–1.70) vs 2022 (1.23). Damped movement slightly downward from 5yr due to sparse recent data and asymmetric conservatism (early maturity, 16% above prior assumption of 1.35). Selected 1.6500 balances 5yr anchor with recent pattern. Data quality: high variance warrants monitoring next period.</t>
        </is>
      </c>
      <c r="C73" s="25" t="inlineStr">
        <is>
          <t>Incurred Loss: Average selected: weighted_5yr = 1.2575. CV 0.2103 triggers high/low exclusion. 3-year average 1.054 is 16.1% below 5-year, signaling downward trend. Diagnostic check: incurred_severity at age 23 converges well (2090→2116→2639 across years); incremental_incurred_severity shows large spikes (2005: 114k, 2015: 102k, 2016: 26k) but isolated to single diagonals, not systematic trend. Trend not confirmed across diagnostics. Applied Bayesian anchoring: 5yr 1.2575 is credible anchor; 3yr signal is real but confounded by outliers. Asymmetric conservatism: downward 16% gap suggests 40% movement. Selected 1.2200 (moved 25% of gap down from 5yr anchor, reflecting downward recency but not full trend credibility). Data quality flag: monitor incurred_severity spikes at mid-maturity in next study.</t>
        </is>
      </c>
      <c r="D73" s="25" t="inlineStr">
        <is>
          <t>Incurred Loss: Average selected: weighted_5yr = 1.2002. CV 0.1316 — moderate, triggers exclude high/low. 3-year average 1.0948 is 8.8% below 5-year. Diagnostic signals: incremental_incurred_severity shows major spike at 35–47 age band (2005: 114k, 2015: 102k, 2016: 26k, 2017: 149k) indicating large-loss activity. Treating as sparse, episodic signal, not systematic trend. Diagnostic rule: large loss severity spikes without proportional count changes → cap influence, do not fully exclude. Bayesian anchoring: 5yr 1.2002 is anchor; downward 8.8% gap at mid-maturity (slightly more flexible than early maturity) suggests 35–50% movement. Selected 1.1800 (moved 35% of gap from 1.2002 downward, balancing 3yr signal with prior credibility). Maturity note: mid-maturity (35–47mo) allows greater movement than early if trend confirmed; here trend is partial. Data quality: large loss patterns warrant segmentation in future studies.</t>
        </is>
      </c>
      <c r="E73" s="25" t="inlineStr">
        <is>
          <t>Incurred Loss: Average selected: weighted_5yr = 1.0567. CV 0.0556 — low volatility. 3-year 1.0233 is 3.2% below 5-year. All averages converge within narrow band (1.0233–1.0574). Convergence criterion met: all standard averages within ±2% of midpoint. Trigger convergence override: converged midpoint ≈ 1.0400, differs from 5-year anchor by &lt;2%, so hold anchor. Diagnostic check: paid_to_incurred at age 47 is strong (0.94–1.0), no case reserve adequacy issues. Slope_5yr = -0.0277 (slight downward), but within noise given low CV. Selected weighted_5yr 1.0567 without adjustment. No asymmetric conservatism needed when converged. Data quality: excellent, no flags.</t>
        </is>
      </c>
      <c r="F73" s="25" t="inlineStr">
        <is>
          <t>Incurred Loss: Average selected: weighted_5yr = 1.1027. CV 0.0773 — low volatility. 3-year 1.1167 is +1.3% above 5-year, suggesting slight upward recency. All averages converge well (1.0752–1.1327). Convergence override applies: all within ±2%, hold anchor at weighted_5yr 1.1027. Diagnostic: incurred_severity at age 59–71 shows normal progression (2500–3500 range across years), no anomalies. Paid_to_incurred transitions from ~0.98–1.0 (near convergence). Slope_5yr = +0.0153 (minimal). Selected 1.1027 from weighted_5yr, no adjustment. Data quality: solid, no concerns.</t>
        </is>
      </c>
      <c r="G73" s="25" t="inlineStr">
        <is>
          <t>Incurred Loss: Average selected: weighted_5yr = 1.0870. CV 0.0740 — low volatility. 3-year 1.0898 is +0.3% above 5-year, essentially identical. Convergence within ±1%: use midpoint. Diagnostic: no severity anomalies; paid_to_incurred near convergence (0.94–1.0). Slope signals flat. Selected weighted_5yr 1.0870 with no adjustment. Mid-maturity, stable data, no trending. Data quality: clean.</t>
        </is>
      </c>
      <c r="H73" s="25" t="inlineStr">
        <is>
          <t>Incurred Loss: Average selected: weighted_5yr = 1.0065. CV 0.0136 — very low. All averages converge tightly (1.0023–1.0127). Convergence override: select midpoint ≈ 1.0065. Diagnostics: paid_to_incurred converges to ~0.98–1.0; no severity anomalies; small negative slope (-0.0053 at 10yr, negligible). Selected 1.0065 from convergence band. Data quality: minimal variance, highly credible.</t>
        </is>
      </c>
      <c r="I73" s="25" t="inlineStr">
        <is>
          <t>Incurred Loss: Average selected: weighted_5yr = 1.0146. CV 0.0254 — very low. All averages converge (1.0154–1.0207 at 5yr). Convergence override: use weighted_5yr 1.0146. Diagnostics: paid_to_incurred at 0.99–1.0, nearly complete convergence. No anomalies. Selected 1.0146. Data quality: excellent.</t>
        </is>
      </c>
      <c r="J73" s="25" t="inlineStr">
        <is>
          <t>Incurred Loss: Average selected: weighted_5yr = 1.0485. CV 0.0393 — low volatility. 3-year 1.0629 is +1.4% above 5-year. Convergence: 1.0354–1.0519 range (mid-range ≈ 1.0437). Slight upward 3yr signal, but within random noise. Selected weighted_5yr 1.0485. Diagnostic: paid_to_incurred 1.0 (paid ≈ incurred), fully converged. Data quality: solid.</t>
        </is>
      </c>
      <c r="K73" s="25" t="inlineStr">
        <is>
          <t>Incurred Loss: Average selected: weighted_5yr = 1.0082. CV 0.0134 — very low. Tight convergence (1.0028–1.0194). Convergence override: use weighted_5yr 1.0082. Diagnostic: paid_to_incurred = 1.0, full convergence. Selected 1.0082 with no adjustment. Data quality: minimal variance.</t>
        </is>
      </c>
      <c r="L73" s="25" t="inlineStr">
        <is>
          <t>Incurred Loss: Average selected: weighted_5yr = 1.0350. CV 0.0762 — low-moderate volatility. 3-year 1.0531 is +1.7% above 5-year. Convergence: 1.0045–1.0586 range (broader due to CV). Trailing edge of early-maturity volatility. Exclude high/low given CV. Diagnostics: paid_to_incurred varies (0.84–0.98 across years, 2012 notably low at 0.84 vs 0.94–1.0 typically); suggests case reserve variances in 2012. Trend: slope_5yr = +0.0152 (upward), consistent with 3yr being high. Applied modest upward adjustment: 3yr &gt; 5yr but confounded by 2012 outlier. Selected weighted_5yr 1.0350, no further adjustment (mid-maturity, convergence band wide). Data quality flag: investigate 2012 case reserve or reserve study event at this maturity.</t>
        </is>
      </c>
      <c r="M73" s="25" t="inlineStr">
        <is>
          <t>Incurred Loss: Average selected: weighted_5yr = 1.0022. CV 0.0162 — very low. Tight convergence (1.0004–1.0056). Convergence override: use weighted_5yr 1.0022. Late-early maturity region, approaching tail. No diagnostics show anomalies. Slope essentially 0. Selected 1.0022. Data quality: excellent, no concerns.</t>
        </is>
      </c>
      <c r="N73" s="25" t="inlineStr">
        <is>
          <t>Incurred Loss: Average selected: weighted_5yr = 1.0004. CV 0.0004 — essentially zero, perfect convergence. All windows yield 1.0001–1.0004. Selected weighted_5yr 1.0004. No further analysis needed; data is deterministic at this maturity. Data quality: excellent.</t>
        </is>
      </c>
      <c r="O73" s="25" t="inlineStr">
        <is>
          <t>Incurred Loss: Average selected: weighted_5yr = 1.0211. CV 0.0187 — very low. Convergence (1.0022–1.0211 at 5yr). 3-year 1.0020 is -4.5% below 5-year, signaling downward recent pattern. Diagnostic: paid_to_incurred consistently 0.98–1.0 (no change). Slope_5yr = -0.0033 (flat). The 3yr drop may reflect recent years (2021–2024) having less development at age 167. Sparse recent data caution (§7): widen credibility window. Selected weighted_5yr 1.0211 (not 3yr, given sparsity of recent origins). Data quality: low recent exposure warrants extended averaging window.</t>
        </is>
      </c>
      <c r="P73" s="25" t="inlineStr">
        <is>
          <t>Incurred Loss: Average selected: weighted_5yr = 1.0036. CV 0.0049 — very low. Tight convergence (1.0036–1.0116). 3-year 1.0009 is -7% below 5-year. Sparse recent data at age 179 (only 2001–2005 have observations). Applied Sparse Data caution: widen window, downweight recent years. Slope_5yr = -0.0021 (flat). Selected weighted_5yr 1.0036, balancing 5yr credibility against sparse recent exposure. Data quality flag: late-maturity (179mo) data sparse; consider all-year weighting or external benchmarks if further refinement needed.</t>
        </is>
      </c>
      <c r="Q73" s="25" t="inlineStr">
        <is>
          <t>Incurred Loss: Average selected: weighted_5yr = 1.0076. CV 0.0089 — very low. Convergence (1.0040–1.0152 at 5yr). 3-year 1.0066 is -1.3% below 5-year. Sparse recent data (only 2001–2006 have full observations). Slope_5yr = +0.0030 (flat). Selected weighted_5yr 1.0076, anchoring to 5yr given sparse recency. Data quality: late-maturity, sparse recent exposure.</t>
        </is>
      </c>
      <c r="R73" s="25" t="inlineStr">
        <is>
          <t>Incurred loss triangle — expect medium-length tail, shorter than Paid Loss but longer than Reported Count. Selected starting age 203 (16.75 years): is_monotone_from_here=False but cv=0.011 (low), slope_sign_changes=5. Although observed factors show late-age volatility (not monotone), double exponential curve method effectively captures non-monotone decay patterns through log-quadratic fitting. Gap_flag=False with gap_to_last_observed=0.00003 confirms excellent smooth transition from observed factors to fitted curve — curve rejoins observed LDFs at switchover age. WLS fit on log(factor−1) from age 203 onward using 7 selected LDF intervals. Double exponential selected over simpler methods (bondy, modified bondy) because excellent R²=0.886 and stable LOO std dev=0.0037 justify more sophisticated curve form. Age 203 preferred over earlier age 143 due to structural stability: slope_sign_changes=5 vs 9 at age 143. Closure anchor applies: at 203 months (16.75 years), casualty line expected &gt;95% closed, losses substantively complete. Tail 0.79% of CDF is material but defensible — materiality anchor does not apply (&gt;0.1% threshold). Paid loss tail materially longer than incurred (1.045 vs 1.0216) as expected for casualty line.</t>
        </is>
      </c>
    </row>
    <row r="74">
      <c r="A74" s="21" t="inlineStr">
        <is>
          <t>CDF</t>
        </is>
      </c>
      <c r="B74" s="26" t="n">
        <v>3.555123</v>
      </c>
      <c r="C74" s="26" t="n">
        <v>2.15462</v>
      </c>
      <c r="D74" s="26" t="n">
        <v>1.766082</v>
      </c>
      <c r="E74" s="26" t="n">
        <v>1.496679</v>
      </c>
      <c r="F74" s="26" t="n">
        <v>1.416371</v>
      </c>
      <c r="G74" s="26" t="n">
        <v>1.284457</v>
      </c>
      <c r="H74" s="26" t="n">
        <v>1.181654</v>
      </c>
      <c r="I74" s="26" t="n">
        <v>1.174022</v>
      </c>
      <c r="J74" s="26" t="n">
        <v>1.157128</v>
      </c>
      <c r="K74" s="26" t="n">
        <v>1.103604</v>
      </c>
      <c r="L74" s="26" t="n">
        <v>1.094628</v>
      </c>
      <c r="M74" s="26" t="n">
        <v>1.057611</v>
      </c>
      <c r="N74" s="26" t="n">
        <v>1.05529</v>
      </c>
      <c r="O74" s="26" t="n">
        <v>1.054868</v>
      </c>
      <c r="P74" s="26" t="n">
        <v>1.03307</v>
      </c>
      <c r="Q74" s="26" t="n">
        <v>1.029364</v>
      </c>
      <c r="R74" s="26" t="n">
        <v>1.0216</v>
      </c>
    </row>
    <row r="7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Paid Loss</t>
        </is>
      </c>
      <c r="B1" s="14" t="n"/>
      <c r="C1" s="14" t="n"/>
      <c r="D1" s="14" t="n"/>
      <c r="E1" s="14" t="n"/>
      <c r="F1" s="14" t="n"/>
      <c r="G1" s="14" t="n"/>
      <c r="H1" s="14" t="n"/>
      <c r="I1" s="14" t="n"/>
      <c r="J1" s="14" t="n"/>
      <c r="K1" s="14" t="n"/>
      <c r="L1" s="14" t="n"/>
      <c r="M1" s="14"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row>
    <row r="3">
      <c r="A3" s="16" t="inlineStr">
        <is>
          <t>2001</t>
        </is>
      </c>
      <c r="B3" s="17" t="n">
        <v>326044.1288</v>
      </c>
      <c r="C3" s="17" t="n">
        <v>1047371.7984</v>
      </c>
      <c r="D3" s="17" t="n">
        <v>1545726.656</v>
      </c>
      <c r="E3" s="17" t="n">
        <v>1910965.544</v>
      </c>
      <c r="F3" s="17" t="n">
        <v>2224220.1096</v>
      </c>
      <c r="G3" s="17" t="n">
        <v>2283775.9933</v>
      </c>
      <c r="H3" s="17" t="n">
        <v>2261772.9961</v>
      </c>
      <c r="I3" s="17" t="n">
        <v>2292314.1748</v>
      </c>
      <c r="J3" s="17" t="n">
        <v>2314545.3704</v>
      </c>
      <c r="K3" s="17" t="n">
        <v>2342384.5889</v>
      </c>
      <c r="L3" s="17" t="n">
        <v>2398200.0136</v>
      </c>
      <c r="M3" s="17" t="n">
        <v>2455705.4765</v>
      </c>
    </row>
    <row r="4">
      <c r="A4" s="16" t="inlineStr">
        <is>
          <t>2002</t>
        </is>
      </c>
      <c r="B4" s="17" t="n">
        <v>357360.876</v>
      </c>
      <c r="C4" s="17" t="n">
        <v>911072.9536</v>
      </c>
      <c r="D4" s="17" t="n">
        <v>1220370.0388</v>
      </c>
      <c r="E4" s="17" t="n">
        <v>1318345.0604</v>
      </c>
      <c r="F4" s="17" t="n">
        <v>1483442.0638</v>
      </c>
      <c r="G4" s="17" t="n">
        <v>1621735.0882</v>
      </c>
      <c r="H4" s="17" t="n">
        <v>1658328.8102</v>
      </c>
      <c r="I4" s="17" t="n">
        <v>1687704.3334</v>
      </c>
      <c r="J4" s="17" t="n">
        <v>1729579.7281</v>
      </c>
      <c r="K4" s="17" t="n">
        <v>1750198.8871</v>
      </c>
      <c r="L4" s="17" t="n">
        <v>1780997.2031</v>
      </c>
      <c r="M4" s="17" t="n">
        <v>1814423.608</v>
      </c>
    </row>
    <row r="5">
      <c r="A5" s="16" t="inlineStr">
        <is>
          <t>2003</t>
        </is>
      </c>
      <c r="B5" s="17" t="n">
        <v>463735.1516</v>
      </c>
      <c r="C5" s="17" t="n">
        <v>1151781.1896</v>
      </c>
      <c r="D5" s="17" t="n">
        <v>1329665.9088</v>
      </c>
      <c r="E5" s="17" t="n">
        <v>1449345.2757</v>
      </c>
      <c r="F5" s="17" t="n">
        <v>1676909.3456</v>
      </c>
      <c r="G5" s="17" t="n">
        <v>1760385.6185</v>
      </c>
      <c r="H5" s="17" t="n">
        <v>1763038.7139</v>
      </c>
      <c r="I5" s="17" t="n">
        <v>1775400.1197</v>
      </c>
      <c r="J5" s="17" t="n">
        <v>1772848.0925</v>
      </c>
      <c r="K5" s="17" t="n">
        <v>1777183.1896</v>
      </c>
      <c r="L5" s="17" t="n">
        <v>1773811.5984</v>
      </c>
      <c r="M5" s="17" t="n">
        <v>1774200.3262</v>
      </c>
    </row>
    <row r="6">
      <c r="A6" s="16" t="inlineStr">
        <is>
          <t>2004</t>
        </is>
      </c>
      <c r="B6" s="17" t="n">
        <v>256887.8516</v>
      </c>
      <c r="C6" s="17" t="n">
        <v>625982.6108</v>
      </c>
      <c r="D6" s="17" t="n">
        <v>806963.7318</v>
      </c>
      <c r="E6" s="17" t="n">
        <v>903626.9918</v>
      </c>
      <c r="F6" s="17" t="n">
        <v>1055143.9785</v>
      </c>
      <c r="G6" s="17" t="n">
        <v>1059021.0952</v>
      </c>
      <c r="H6" s="17" t="n">
        <v>1076244.8971</v>
      </c>
      <c r="I6" s="17" t="n">
        <v>1084642.2245</v>
      </c>
      <c r="J6" s="17" t="n">
        <v>1104688.4001</v>
      </c>
      <c r="K6" s="17" t="n">
        <v>1097915.1176</v>
      </c>
      <c r="L6" s="17" t="n">
        <v>1101856.2482</v>
      </c>
      <c r="M6" s="17" t="n">
        <v>1108902.1072</v>
      </c>
    </row>
    <row r="7">
      <c r="A7" s="16" t="inlineStr">
        <is>
          <t>2005</t>
        </is>
      </c>
      <c r="B7" s="17" t="n">
        <v>608992.7608</v>
      </c>
      <c r="C7" s="17" t="n">
        <v>1236895.4952</v>
      </c>
      <c r="D7" s="17" t="n">
        <v>1567631.4222</v>
      </c>
      <c r="E7" s="17" t="n">
        <v>1636425.4164</v>
      </c>
      <c r="F7" s="17" t="n">
        <v>1758637.9007</v>
      </c>
      <c r="G7" s="17" t="n">
        <v>1795133.3653</v>
      </c>
      <c r="H7" s="17" t="n">
        <v>1833000.6993</v>
      </c>
      <c r="I7" s="17" t="n">
        <v>1852087.552</v>
      </c>
      <c r="J7" s="17" t="n">
        <v>1859809.9304</v>
      </c>
      <c r="K7" s="17" t="n">
        <v>1915619.628</v>
      </c>
      <c r="L7" s="17" t="n">
        <v>1970034.7988</v>
      </c>
      <c r="M7" s="17" t="n">
        <v>2009947.4204</v>
      </c>
    </row>
    <row r="8">
      <c r="A8" s="16" t="inlineStr">
        <is>
          <t>2006</t>
        </is>
      </c>
      <c r="B8" s="17" t="n">
        <v>284786.4257</v>
      </c>
      <c r="C8" s="17" t="n">
        <v>699582.2055</v>
      </c>
      <c r="D8" s="17" t="n">
        <v>893260.3462</v>
      </c>
      <c r="E8" s="17" t="n">
        <v>972843.9706</v>
      </c>
      <c r="F8" s="17" t="n">
        <v>1032368.8569</v>
      </c>
      <c r="G8" s="17" t="n">
        <v>1080435.6828</v>
      </c>
      <c r="H8" s="17" t="n">
        <v>1125111.9944</v>
      </c>
      <c r="I8" s="17" t="n">
        <v>1132751.238</v>
      </c>
      <c r="J8" s="17" t="n">
        <v>1168539.0935</v>
      </c>
      <c r="K8" s="17" t="n">
        <v>1216433.672</v>
      </c>
      <c r="L8" s="17" t="n">
        <v>1328624.7444</v>
      </c>
      <c r="M8" s="17" t="n">
        <v>1365342.6144</v>
      </c>
    </row>
    <row r="9">
      <c r="A9" s="16" t="inlineStr">
        <is>
          <t>2007</t>
        </is>
      </c>
      <c r="B9" s="17" t="n">
        <v>503577.874</v>
      </c>
      <c r="C9" s="17" t="n">
        <v>1103237.7506</v>
      </c>
      <c r="D9" s="17" t="n">
        <v>1428526.0389</v>
      </c>
      <c r="E9" s="17" t="n">
        <v>1819136.8101</v>
      </c>
      <c r="F9" s="17" t="n">
        <v>2157661.0559</v>
      </c>
      <c r="G9" s="17" t="n">
        <v>2620801.9125</v>
      </c>
      <c r="H9" s="17" t="n">
        <v>2924146.5064</v>
      </c>
      <c r="I9" s="17" t="n">
        <v>3151184.5969</v>
      </c>
      <c r="J9" s="17" t="n">
        <v>3405400.6676</v>
      </c>
      <c r="K9" s="17" t="n">
        <v>3694439.2536</v>
      </c>
      <c r="L9" s="17" t="n">
        <v>3998197.9776</v>
      </c>
      <c r="M9" s="17" t="n">
        <v>4198107.2299</v>
      </c>
    </row>
    <row r="10">
      <c r="A10" s="16" t="inlineStr">
        <is>
          <t>2008</t>
        </is>
      </c>
      <c r="B10" s="17" t="n">
        <v>353516.7624</v>
      </c>
      <c r="C10" s="17" t="n">
        <v>646575.048</v>
      </c>
      <c r="D10" s="17" t="n">
        <v>869637.4344</v>
      </c>
      <c r="E10" s="17" t="n">
        <v>1188355.7378</v>
      </c>
      <c r="F10" s="17" t="n">
        <v>1229852.5392</v>
      </c>
      <c r="G10" s="17" t="n">
        <v>1267751.5964</v>
      </c>
      <c r="H10" s="17" t="n">
        <v>1276615.5211</v>
      </c>
      <c r="I10" s="17" t="n">
        <v>1284777.0756</v>
      </c>
      <c r="J10" s="17" t="n">
        <v>1299869.3408</v>
      </c>
      <c r="K10" s="17" t="n">
        <v>1317293.3392</v>
      </c>
      <c r="L10" s="17" t="n">
        <v>1331381.9562</v>
      </c>
      <c r="M10" s="17" t="n">
        <v>1333966.5248</v>
      </c>
    </row>
    <row r="11">
      <c r="A11" s="16" t="inlineStr">
        <is>
          <t>2009</t>
        </is>
      </c>
      <c r="B11" s="17" t="n">
        <v>228667.6382</v>
      </c>
      <c r="C11" s="17" t="n">
        <v>742247.3016</v>
      </c>
      <c r="D11" s="17" t="n">
        <v>811950.8169</v>
      </c>
      <c r="E11" s="17" t="n">
        <v>834061.9289000001</v>
      </c>
      <c r="F11" s="17" t="n">
        <v>894984.3904</v>
      </c>
      <c r="G11" s="17" t="n">
        <v>941084.9331</v>
      </c>
      <c r="H11" s="17" t="n">
        <v>969391.356</v>
      </c>
      <c r="I11" s="17" t="n">
        <v>1018256.144</v>
      </c>
      <c r="J11" s="17" t="n">
        <v>1055610.0612</v>
      </c>
      <c r="K11" s="17" t="n">
        <v>1071106.0052</v>
      </c>
      <c r="L11" s="17" t="n">
        <v>1081182.3785</v>
      </c>
      <c r="M11" s="17" t="n">
        <v>1114205.6456</v>
      </c>
    </row>
    <row r="12">
      <c r="A12" s="16" t="inlineStr">
        <is>
          <t>2010</t>
        </is>
      </c>
      <c r="B12" s="17" t="n">
        <v>243623.1532</v>
      </c>
      <c r="C12" s="17" t="n">
        <v>673150.5647</v>
      </c>
      <c r="D12" s="17" t="n">
        <v>915252.7733999999</v>
      </c>
      <c r="E12" s="17" t="n">
        <v>1076920.2816</v>
      </c>
      <c r="F12" s="17" t="n">
        <v>1176984.3356</v>
      </c>
      <c r="G12" s="17" t="n">
        <v>1201535.388</v>
      </c>
      <c r="H12" s="17" t="n">
        <v>1260309.0524</v>
      </c>
      <c r="I12" s="17" t="n">
        <v>1262502.2276</v>
      </c>
      <c r="J12" s="17" t="n">
        <v>1266822.057</v>
      </c>
      <c r="K12" s="17" t="n">
        <v>1267621.5366</v>
      </c>
      <c r="L12" s="17" t="n">
        <v>1268264.0499</v>
      </c>
      <c r="M12" s="17" t="n">
        <v>1268337.9475</v>
      </c>
    </row>
    <row r="13">
      <c r="A13" s="16" t="inlineStr">
        <is>
          <t>2011</t>
        </is>
      </c>
      <c r="B13" s="17" t="n">
        <v>364078.0359</v>
      </c>
      <c r="C13" s="17" t="n">
        <v>839046.0318</v>
      </c>
      <c r="D13" s="17" t="n">
        <v>1308017.8708</v>
      </c>
      <c r="E13" s="17" t="n">
        <v>1406826.3913</v>
      </c>
      <c r="F13" s="17" t="n">
        <v>1523414.8592</v>
      </c>
      <c r="G13" s="17" t="n">
        <v>1658815.0564</v>
      </c>
      <c r="H13" s="17" t="n">
        <v>1822167.0208</v>
      </c>
      <c r="I13" s="17" t="n">
        <v>1825756.0557</v>
      </c>
      <c r="J13" s="17" t="n">
        <v>1834064.2045</v>
      </c>
      <c r="K13" s="17" t="n">
        <v>1848125.5322</v>
      </c>
      <c r="L13" s="17" t="n">
        <v>1857745.403</v>
      </c>
      <c r="M13" s="17" t="n">
        <v>1876941.6374</v>
      </c>
    </row>
    <row r="14">
      <c r="A14" s="16" t="inlineStr">
        <is>
          <t>2012</t>
        </is>
      </c>
      <c r="B14" s="17" t="n">
        <v>227809.9905</v>
      </c>
      <c r="C14" s="17" t="n">
        <v>634577.1655999999</v>
      </c>
      <c r="D14" s="17" t="n">
        <v>799343.7148</v>
      </c>
      <c r="E14" s="17" t="n">
        <v>951570.1580000001</v>
      </c>
      <c r="F14" s="17" t="n">
        <v>961178.1655999999</v>
      </c>
      <c r="G14" s="17" t="n">
        <v>967435.7088</v>
      </c>
      <c r="H14" s="17" t="n">
        <v>977662.0018</v>
      </c>
      <c r="I14" s="17" t="n">
        <v>1016181.6668</v>
      </c>
      <c r="J14" s="17" t="n">
        <v>1048240.5835</v>
      </c>
      <c r="K14" s="17" t="n">
        <v>1053040.6285</v>
      </c>
      <c r="L14" s="17" t="n">
        <v>1084319.7934</v>
      </c>
      <c r="M14" s="17" t="n">
        <v>1145575.5199</v>
      </c>
    </row>
    <row r="15">
      <c r="A15" s="16" t="inlineStr">
        <is>
          <t>2013</t>
        </is>
      </c>
      <c r="B15" s="17" t="n">
        <v>202558.6</v>
      </c>
      <c r="C15" s="17" t="n">
        <v>466110.2601</v>
      </c>
      <c r="D15" s="17" t="n">
        <v>544741.4368</v>
      </c>
      <c r="E15" s="17" t="n">
        <v>597598.0148</v>
      </c>
      <c r="F15" s="17" t="n">
        <v>708646.3136</v>
      </c>
      <c r="G15" s="17" t="n">
        <v>706804.6403</v>
      </c>
      <c r="H15" s="17" t="n">
        <v>707153.1202</v>
      </c>
      <c r="I15" s="17" t="n">
        <v>707153.1202</v>
      </c>
      <c r="J15" s="17" t="n">
        <v>708518.7743</v>
      </c>
      <c r="K15" s="17" t="n">
        <v>708518.7743</v>
      </c>
      <c r="L15" s="17" t="n">
        <v>708529.9909</v>
      </c>
      <c r="M15" s="17" t="n">
        <v>708529.9909</v>
      </c>
    </row>
    <row r="16">
      <c r="A16" s="16" t="inlineStr">
        <is>
          <t>2014</t>
        </is>
      </c>
      <c r="B16" s="17" t="n">
        <v>411721.1514</v>
      </c>
      <c r="C16" s="17" t="n">
        <v>738237.024</v>
      </c>
      <c r="D16" s="17" t="n">
        <v>926318.2924</v>
      </c>
      <c r="E16" s="17" t="n">
        <v>1179532.3776</v>
      </c>
      <c r="F16" s="17" t="n">
        <v>1258547.8747</v>
      </c>
      <c r="G16" s="17" t="n">
        <v>1279437.0107</v>
      </c>
      <c r="H16" s="17" t="n">
        <v>1287255.5747</v>
      </c>
      <c r="I16" s="17" t="n">
        <v>1291077.2419</v>
      </c>
      <c r="J16" s="17" t="n">
        <v>1299245.6846</v>
      </c>
      <c r="K16" s="17" t="n">
        <v>1379318.0229</v>
      </c>
      <c r="L16" s="17" t="n">
        <v>1389603.6847</v>
      </c>
    </row>
    <row r="17">
      <c r="A17" s="16" t="inlineStr">
        <is>
          <t>2015</t>
        </is>
      </c>
      <c r="B17" s="17" t="n">
        <v>380424.8448</v>
      </c>
      <c r="C17" s="17" t="n">
        <v>844695.754</v>
      </c>
      <c r="D17" s="17" t="n">
        <v>1420142.9632</v>
      </c>
      <c r="E17" s="17" t="n">
        <v>2080874.3633</v>
      </c>
      <c r="F17" s="17" t="n">
        <v>2234622.0018</v>
      </c>
      <c r="G17" s="17" t="n">
        <v>2488067.8351</v>
      </c>
      <c r="H17" s="17" t="n">
        <v>2763681.6553</v>
      </c>
      <c r="I17" s="17" t="n">
        <v>2914940.4622</v>
      </c>
      <c r="J17" s="17" t="n">
        <v>2956733.3158</v>
      </c>
      <c r="K17" s="17" t="n">
        <v>3364231.2985</v>
      </c>
    </row>
    <row r="18">
      <c r="A18" s="16" t="inlineStr">
        <is>
          <t>2016</t>
        </is>
      </c>
      <c r="B18" s="17" t="n">
        <v>339622.8128</v>
      </c>
      <c r="C18" s="17" t="n">
        <v>1125902.514</v>
      </c>
      <c r="D18" s="17" t="n">
        <v>1591493.1288</v>
      </c>
      <c r="E18" s="17" t="n">
        <v>1791123.5232</v>
      </c>
      <c r="F18" s="17" t="n">
        <v>1925889.9033</v>
      </c>
      <c r="G18" s="17" t="n">
        <v>2122828.5116</v>
      </c>
      <c r="H18" s="17" t="n">
        <v>2419166.3463</v>
      </c>
      <c r="I18" s="17" t="n">
        <v>2435189.8136</v>
      </c>
      <c r="J18" s="17" t="n">
        <v>2462208.6764</v>
      </c>
    </row>
    <row r="19">
      <c r="A19" s="16" t="inlineStr">
        <is>
          <t>2017</t>
        </is>
      </c>
      <c r="B19" s="17" t="n">
        <v>336652.3932</v>
      </c>
      <c r="C19" s="17" t="n">
        <v>584790.2939</v>
      </c>
      <c r="D19" s="17" t="n">
        <v>630127.1445000001</v>
      </c>
      <c r="E19" s="17" t="n">
        <v>710567.1893</v>
      </c>
      <c r="F19" s="17" t="n">
        <v>772675.5753</v>
      </c>
      <c r="G19" s="17" t="n">
        <v>855730.1436</v>
      </c>
      <c r="H19" s="17" t="n">
        <v>1105087.777</v>
      </c>
      <c r="I19" s="17" t="n">
        <v>1205811.8289</v>
      </c>
    </row>
    <row r="20">
      <c r="A20" s="16" t="inlineStr">
        <is>
          <t>2018</t>
        </is>
      </c>
      <c r="B20" s="17" t="n">
        <v>345419.169</v>
      </c>
      <c r="C20" s="17" t="n">
        <v>993120.1128999999</v>
      </c>
      <c r="D20" s="17" t="n">
        <v>1473722.3521</v>
      </c>
      <c r="E20" s="17" t="n">
        <v>2024103.1787</v>
      </c>
      <c r="F20" s="17" t="n">
        <v>2140405.0822</v>
      </c>
      <c r="G20" s="17" t="n">
        <v>2260849.3157</v>
      </c>
      <c r="H20" s="17" t="n">
        <v>2395448.4233</v>
      </c>
    </row>
    <row r="21">
      <c r="A21" s="16" t="inlineStr">
        <is>
          <t>2019</t>
        </is>
      </c>
      <c r="B21" s="17" t="n">
        <v>289279.8617</v>
      </c>
      <c r="C21" s="17" t="n">
        <v>773667.7694</v>
      </c>
      <c r="D21" s="17" t="n">
        <v>1353683.4733</v>
      </c>
      <c r="E21" s="17" t="n">
        <v>1600695.7816</v>
      </c>
      <c r="F21" s="17" t="n">
        <v>1970840.4806</v>
      </c>
      <c r="G21" s="17" t="n">
        <v>2395189.8345</v>
      </c>
    </row>
    <row r="22">
      <c r="A22" s="16" t="inlineStr">
        <is>
          <t>2020</t>
        </is>
      </c>
      <c r="B22" s="17" t="n">
        <v>285916.1353</v>
      </c>
      <c r="C22" s="17" t="n">
        <v>730087.9662</v>
      </c>
      <c r="D22" s="17" t="n">
        <v>861703.8541</v>
      </c>
      <c r="E22" s="17" t="n">
        <v>965936.0494</v>
      </c>
      <c r="F22" s="17" t="n">
        <v>976050.8626</v>
      </c>
    </row>
    <row r="23">
      <c r="A23" s="16" t="inlineStr">
        <is>
          <t>2021</t>
        </is>
      </c>
      <c r="B23" s="17" t="n">
        <v>273712.105</v>
      </c>
      <c r="C23" s="17" t="n">
        <v>546911.8753</v>
      </c>
      <c r="D23" s="17" t="n">
        <v>911379.2328</v>
      </c>
      <c r="E23" s="17" t="n">
        <v>974979.4133</v>
      </c>
    </row>
    <row r="24">
      <c r="A24" s="16" t="inlineStr">
        <is>
          <t>2022</t>
        </is>
      </c>
      <c r="B24" s="17" t="n">
        <v>307340.8838</v>
      </c>
      <c r="C24" s="17" t="n">
        <v>746644.5651</v>
      </c>
      <c r="D24" s="17" t="n">
        <v>791103.7101</v>
      </c>
    </row>
    <row r="25">
      <c r="A25" s="16" t="inlineStr">
        <is>
          <t>2023</t>
        </is>
      </c>
      <c r="B25" s="17" t="n">
        <v>367267.232</v>
      </c>
      <c r="C25" s="17" t="n">
        <v>1199242.0684</v>
      </c>
    </row>
    <row r="26">
      <c r="A26" s="16" t="inlineStr">
        <is>
          <t>2024</t>
        </is>
      </c>
      <c r="B26" s="17" t="n">
        <v>355247.7609</v>
      </c>
    </row>
    <row r="27"/>
    <row r="28">
      <c r="A28" s="3" t="inlineStr">
        <is>
          <t>Age-to-Age Factors</t>
        </is>
      </c>
      <c r="B28" s="14" t="n"/>
      <c r="C28" s="14" t="n"/>
      <c r="D28" s="14" t="n"/>
      <c r="E28" s="14" t="n"/>
      <c r="F28" s="14" t="n"/>
      <c r="G28" s="14" t="n"/>
      <c r="H28" s="14" t="n"/>
      <c r="I28" s="14" t="n"/>
      <c r="J28" s="14" t="n"/>
      <c r="K28" s="14" t="n"/>
      <c r="L28" s="14" t="n"/>
      <c r="M28" s="14" t="n"/>
    </row>
    <row r="29">
      <c r="A29" s="15" t="n"/>
      <c r="B29" s="8" t="inlineStr">
        <is>
          <t>11-23</t>
        </is>
      </c>
      <c r="C29" s="8" t="inlineStr">
        <is>
          <t>23-35</t>
        </is>
      </c>
      <c r="D29" s="8" t="inlineStr">
        <is>
          <t>35-47</t>
        </is>
      </c>
      <c r="E29" s="8" t="inlineStr">
        <is>
          <t>47-59</t>
        </is>
      </c>
      <c r="F29" s="8" t="inlineStr">
        <is>
          <t>59-71</t>
        </is>
      </c>
      <c r="G29" s="8" t="inlineStr">
        <is>
          <t>71-83</t>
        </is>
      </c>
      <c r="H29" s="8" t="inlineStr">
        <is>
          <t>83-95</t>
        </is>
      </c>
      <c r="I29" s="8" t="inlineStr">
        <is>
          <t>95-107</t>
        </is>
      </c>
      <c r="J29" s="8" t="inlineStr">
        <is>
          <t>107-119</t>
        </is>
      </c>
      <c r="K29" s="8" t="inlineStr">
        <is>
          <t>119-131</t>
        </is>
      </c>
      <c r="L29" s="8" t="inlineStr">
        <is>
          <t>131-143</t>
        </is>
      </c>
      <c r="M29" s="8" t="inlineStr">
        <is>
          <t>143-Ult</t>
        </is>
      </c>
    </row>
    <row r="30">
      <c r="A30" s="16" t="inlineStr">
        <is>
          <t>2001</t>
        </is>
      </c>
      <c r="B30" s="18" t="n">
        <v>3.2124</v>
      </c>
      <c r="C30" s="18" t="n">
        <v>1.4758</v>
      </c>
      <c r="D30" s="18" t="n">
        <v>1.2363</v>
      </c>
      <c r="E30" s="18" t="n">
        <v>1.1639</v>
      </c>
      <c r="F30" s="18" t="n">
        <v>1.0268</v>
      </c>
      <c r="G30" s="18" t="n">
        <v>0.9903999999999999</v>
      </c>
      <c r="H30" s="18" t="n">
        <v>1.0135</v>
      </c>
      <c r="I30" s="18" t="n">
        <v>1.0097</v>
      </c>
      <c r="J30" s="18" t="n">
        <v>1.012</v>
      </c>
      <c r="K30" s="18" t="n">
        <v>1.0238</v>
      </c>
      <c r="L30" s="18" t="n">
        <v>1.024</v>
      </c>
      <c r="M30" s="18" t="n"/>
    </row>
    <row r="31">
      <c r="A31" s="16" t="inlineStr">
        <is>
          <t>2002</t>
        </is>
      </c>
      <c r="B31" s="18" t="n">
        <v>2.5494</v>
      </c>
      <c r="C31" s="18" t="n">
        <v>1.3395</v>
      </c>
      <c r="D31" s="18" t="n">
        <v>1.0803</v>
      </c>
      <c r="E31" s="18" t="n">
        <v>1.1252</v>
      </c>
      <c r="F31" s="18" t="n">
        <v>1.0932</v>
      </c>
      <c r="G31" s="18" t="n">
        <v>1.0226</v>
      </c>
      <c r="H31" s="18" t="n">
        <v>1.0177</v>
      </c>
      <c r="I31" s="18" t="n">
        <v>1.0248</v>
      </c>
      <c r="J31" s="18" t="n">
        <v>1.0119</v>
      </c>
      <c r="K31" s="18" t="n">
        <v>1.0176</v>
      </c>
      <c r="L31" s="18" t="n">
        <v>1.0188</v>
      </c>
      <c r="M31" s="18" t="n"/>
    </row>
    <row r="32">
      <c r="A32" s="16" t="inlineStr">
        <is>
          <t>2003</t>
        </is>
      </c>
      <c r="B32" s="18" t="n">
        <v>2.4837</v>
      </c>
      <c r="C32" s="18" t="n">
        <v>1.1544</v>
      </c>
      <c r="D32" s="18" t="n">
        <v>1.09</v>
      </c>
      <c r="E32" s="18" t="n">
        <v>1.157</v>
      </c>
      <c r="F32" s="18" t="n">
        <v>1.0498</v>
      </c>
      <c r="G32" s="18" t="n">
        <v>1.0015</v>
      </c>
      <c r="H32" s="18" t="n">
        <v>1.007</v>
      </c>
      <c r="I32" s="18" t="n">
        <v>0.9986</v>
      </c>
      <c r="J32" s="18" t="n">
        <v>1.0024</v>
      </c>
      <c r="K32" s="18" t="n">
        <v>0.9981</v>
      </c>
      <c r="L32" s="18" t="n">
        <v>1.0002</v>
      </c>
      <c r="M32" s="18" t="n"/>
    </row>
    <row r="33">
      <c r="A33" s="16" t="inlineStr">
        <is>
          <t>2004</t>
        </is>
      </c>
      <c r="B33" s="18" t="n">
        <v>2.4368</v>
      </c>
      <c r="C33" s="18" t="n">
        <v>1.2891</v>
      </c>
      <c r="D33" s="18" t="n">
        <v>1.1198</v>
      </c>
      <c r="E33" s="18" t="n">
        <v>1.1677</v>
      </c>
      <c r="F33" s="18" t="n">
        <v>1.0037</v>
      </c>
      <c r="G33" s="18" t="n">
        <v>1.0163</v>
      </c>
      <c r="H33" s="18" t="n">
        <v>1.0078</v>
      </c>
      <c r="I33" s="18" t="n">
        <v>1.0185</v>
      </c>
      <c r="J33" s="18" t="n">
        <v>0.9939</v>
      </c>
      <c r="K33" s="18" t="n">
        <v>1.0036</v>
      </c>
      <c r="L33" s="18" t="n">
        <v>1.0064</v>
      </c>
      <c r="M33" s="18" t="n"/>
    </row>
    <row r="34">
      <c r="A34" s="16" t="inlineStr">
        <is>
          <t>2005</t>
        </is>
      </c>
      <c r="B34" s="18" t="n">
        <v>2.0311</v>
      </c>
      <c r="C34" s="18" t="n">
        <v>1.2674</v>
      </c>
      <c r="D34" s="18" t="n">
        <v>1.0439</v>
      </c>
      <c r="E34" s="18" t="n">
        <v>1.0747</v>
      </c>
      <c r="F34" s="18" t="n">
        <v>1.0208</v>
      </c>
      <c r="G34" s="18" t="n">
        <v>1.0211</v>
      </c>
      <c r="H34" s="18" t="n">
        <v>1.0104</v>
      </c>
      <c r="I34" s="18" t="n">
        <v>1.0042</v>
      </c>
      <c r="J34" s="18" t="n">
        <v>1.03</v>
      </c>
      <c r="K34" s="18" t="n">
        <v>1.0284</v>
      </c>
      <c r="L34" s="18" t="n">
        <v>1.0203</v>
      </c>
      <c r="M34" s="18" t="n"/>
    </row>
    <row r="35">
      <c r="A35" s="16" t="inlineStr">
        <is>
          <t>2006</t>
        </is>
      </c>
      <c r="B35" s="18" t="n">
        <v>2.4565</v>
      </c>
      <c r="C35" s="18" t="n">
        <v>1.2768</v>
      </c>
      <c r="D35" s="18" t="n">
        <v>1.0891</v>
      </c>
      <c r="E35" s="18" t="n">
        <v>1.0612</v>
      </c>
      <c r="F35" s="18" t="n">
        <v>1.0466</v>
      </c>
      <c r="G35" s="18" t="n">
        <v>1.0414</v>
      </c>
      <c r="H35" s="18" t="n">
        <v>1.0068</v>
      </c>
      <c r="I35" s="18" t="n">
        <v>1.0316</v>
      </c>
      <c r="J35" s="18" t="n">
        <v>1.041</v>
      </c>
      <c r="K35" s="18" t="n">
        <v>1.0922</v>
      </c>
      <c r="L35" s="18" t="n">
        <v>1.0276</v>
      </c>
      <c r="M35" s="18" t="n"/>
    </row>
    <row r="36">
      <c r="A36" s="16" t="inlineStr">
        <is>
          <t>2007</t>
        </is>
      </c>
      <c r="B36" s="18" t="n">
        <v>2.1908</v>
      </c>
      <c r="C36" s="18" t="n">
        <v>1.2948</v>
      </c>
      <c r="D36" s="18" t="n">
        <v>1.2734</v>
      </c>
      <c r="E36" s="18" t="n">
        <v>1.1861</v>
      </c>
      <c r="F36" s="18" t="n">
        <v>1.2146</v>
      </c>
      <c r="G36" s="18" t="n">
        <v>1.1157</v>
      </c>
      <c r="H36" s="18" t="n">
        <v>1.0776</v>
      </c>
      <c r="I36" s="18" t="n">
        <v>1.0807</v>
      </c>
      <c r="J36" s="18" t="n">
        <v>1.0849</v>
      </c>
      <c r="K36" s="18" t="n">
        <v>1.0822</v>
      </c>
      <c r="L36" s="18" t="n">
        <v>1.05</v>
      </c>
      <c r="M36" s="18" t="n"/>
    </row>
    <row r="37">
      <c r="A37" s="16" t="inlineStr">
        <is>
          <t>2008</t>
        </is>
      </c>
      <c r="B37" s="18" t="n">
        <v>1.829</v>
      </c>
      <c r="C37" s="18" t="n">
        <v>1.345</v>
      </c>
      <c r="D37" s="18" t="n">
        <v>1.3665</v>
      </c>
      <c r="E37" s="18" t="n">
        <v>1.0349</v>
      </c>
      <c r="F37" s="18" t="n">
        <v>1.0308</v>
      </c>
      <c r="G37" s="18" t="n">
        <v>1.007</v>
      </c>
      <c r="H37" s="18" t="n">
        <v>1.0064</v>
      </c>
      <c r="I37" s="18" t="n">
        <v>1.0117</v>
      </c>
      <c r="J37" s="18" t="n">
        <v>1.0134</v>
      </c>
      <c r="K37" s="18" t="n">
        <v>1.0107</v>
      </c>
      <c r="L37" s="18" t="n">
        <v>1.0019</v>
      </c>
      <c r="M37" s="18" t="n"/>
    </row>
    <row r="38">
      <c r="A38" s="16" t="inlineStr">
        <is>
          <t>2009</t>
        </is>
      </c>
      <c r="B38" s="18" t="n">
        <v>3.246</v>
      </c>
      <c r="C38" s="18" t="n">
        <v>1.0939</v>
      </c>
      <c r="D38" s="18" t="n">
        <v>1.0272</v>
      </c>
      <c r="E38" s="18" t="n">
        <v>1.073</v>
      </c>
      <c r="F38" s="18" t="n">
        <v>1.0515</v>
      </c>
      <c r="G38" s="18" t="n">
        <v>1.0301</v>
      </c>
      <c r="H38" s="18" t="n">
        <v>1.0504</v>
      </c>
      <c r="I38" s="18" t="n">
        <v>1.0367</v>
      </c>
      <c r="J38" s="18" t="n">
        <v>1.0147</v>
      </c>
      <c r="K38" s="18" t="n">
        <v>1.0094</v>
      </c>
      <c r="L38" s="18" t="n">
        <v>1.0305</v>
      </c>
      <c r="M38" s="18" t="n"/>
    </row>
    <row r="39">
      <c r="A39" s="16" t="inlineStr">
        <is>
          <t>2010</t>
        </is>
      </c>
      <c r="B39" s="18" t="n">
        <v>2.7631</v>
      </c>
      <c r="C39" s="18" t="n">
        <v>1.3597</v>
      </c>
      <c r="D39" s="18" t="n">
        <v>1.1766</v>
      </c>
      <c r="E39" s="18" t="n">
        <v>1.0929</v>
      </c>
      <c r="F39" s="18" t="n">
        <v>1.0209</v>
      </c>
      <c r="G39" s="18" t="n">
        <v>1.0489</v>
      </c>
      <c r="H39" s="18" t="n">
        <v>1.0017</v>
      </c>
      <c r="I39" s="18" t="n">
        <v>1.0034</v>
      </c>
      <c r="J39" s="18" t="n">
        <v>1.0006</v>
      </c>
      <c r="K39" s="18" t="n">
        <v>1.0005</v>
      </c>
      <c r="L39" s="18" t="n">
        <v>1.0001</v>
      </c>
      <c r="M39" s="18" t="n"/>
    </row>
    <row r="40">
      <c r="A40" s="16" t="inlineStr">
        <is>
          <t>2011</t>
        </is>
      </c>
      <c r="B40" s="18" t="n">
        <v>2.3046</v>
      </c>
      <c r="C40" s="18" t="n">
        <v>1.5589</v>
      </c>
      <c r="D40" s="18" t="n">
        <v>1.0755</v>
      </c>
      <c r="E40" s="18" t="n">
        <v>1.0829</v>
      </c>
      <c r="F40" s="18" t="n">
        <v>1.0889</v>
      </c>
      <c r="G40" s="18" t="n">
        <v>1.0985</v>
      </c>
      <c r="H40" s="18" t="n">
        <v>1.002</v>
      </c>
      <c r="I40" s="18" t="n">
        <v>1.0046</v>
      </c>
      <c r="J40" s="18" t="n">
        <v>1.0077</v>
      </c>
      <c r="K40" s="18" t="n">
        <v>1.0052</v>
      </c>
      <c r="L40" s="18" t="n">
        <v>1.0103</v>
      </c>
      <c r="M40" s="18" t="n"/>
    </row>
    <row r="41">
      <c r="A41" s="16" t="inlineStr">
        <is>
          <t>2012</t>
        </is>
      </c>
      <c r="B41" s="18" t="n">
        <v>2.7856</v>
      </c>
      <c r="C41" s="18" t="n">
        <v>1.2596</v>
      </c>
      <c r="D41" s="18" t="n">
        <v>1.1904</v>
      </c>
      <c r="E41" s="18" t="n">
        <v>1.0101</v>
      </c>
      <c r="F41" s="18" t="n">
        <v>1.0065</v>
      </c>
      <c r="G41" s="18" t="n">
        <v>1.0106</v>
      </c>
      <c r="H41" s="18" t="n">
        <v>1.0394</v>
      </c>
      <c r="I41" s="18" t="n">
        <v>1.0315</v>
      </c>
      <c r="J41" s="18" t="n">
        <v>1.0046</v>
      </c>
      <c r="K41" s="18" t="n">
        <v>1.0297</v>
      </c>
      <c r="L41" s="18" t="n">
        <v>1.0565</v>
      </c>
      <c r="M41" s="18" t="n"/>
    </row>
    <row r="42">
      <c r="A42" s="16" t="inlineStr">
        <is>
          <t>2013</t>
        </is>
      </c>
      <c r="B42" s="18" t="n">
        <v>2.3011</v>
      </c>
      <c r="C42" s="18" t="n">
        <v>1.1687</v>
      </c>
      <c r="D42" s="18" t="n">
        <v>1.097</v>
      </c>
      <c r="E42" s="18" t="n">
        <v>1.1858</v>
      </c>
      <c r="F42" s="18" t="n">
        <v>0.9974</v>
      </c>
      <c r="G42" s="18" t="n">
        <v>1.0005</v>
      </c>
      <c r="H42" s="18" t="n">
        <v>1</v>
      </c>
      <c r="I42" s="18" t="n">
        <v>1.0019</v>
      </c>
      <c r="J42" s="18" t="n">
        <v>1</v>
      </c>
      <c r="K42" s="18" t="n">
        <v>1</v>
      </c>
      <c r="L42" s="18" t="n">
        <v>1</v>
      </c>
      <c r="M42" s="18" t="n"/>
    </row>
    <row r="43">
      <c r="A43" s="16" t="inlineStr">
        <is>
          <t>2014</t>
        </is>
      </c>
      <c r="B43" s="18" t="n">
        <v>1.7931</v>
      </c>
      <c r="C43" s="18" t="n">
        <v>1.2548</v>
      </c>
      <c r="D43" s="18" t="n">
        <v>1.2734</v>
      </c>
      <c r="E43" s="18" t="n">
        <v>1.067</v>
      </c>
      <c r="F43" s="18" t="n">
        <v>1.0166</v>
      </c>
      <c r="G43" s="18" t="n">
        <v>1.0061</v>
      </c>
      <c r="H43" s="18" t="n">
        <v>1.003</v>
      </c>
      <c r="I43" s="18" t="n">
        <v>1.0063</v>
      </c>
      <c r="J43" s="18" t="n">
        <v>1.0616</v>
      </c>
      <c r="K43" s="18" t="n">
        <v>1.0075</v>
      </c>
      <c r="L43" s="18" t="n"/>
      <c r="M43" s="18" t="n"/>
    </row>
    <row r="44">
      <c r="A44" s="16" t="inlineStr">
        <is>
          <t>2015</t>
        </is>
      </c>
      <c r="B44" s="18" t="n">
        <v>2.2204</v>
      </c>
      <c r="C44" s="18" t="n">
        <v>1.6812</v>
      </c>
      <c r="D44" s="18" t="n">
        <v>1.4653</v>
      </c>
      <c r="E44" s="18" t="n">
        <v>1.0739</v>
      </c>
      <c r="F44" s="18" t="n">
        <v>1.1134</v>
      </c>
      <c r="G44" s="18" t="n">
        <v>1.1108</v>
      </c>
      <c r="H44" s="18" t="n">
        <v>1.0547</v>
      </c>
      <c r="I44" s="18" t="n">
        <v>1.0143</v>
      </c>
      <c r="J44" s="18" t="n">
        <v>1.1378</v>
      </c>
      <c r="K44" s="18" t="n"/>
      <c r="L44" s="18" t="n"/>
      <c r="M44" s="18" t="n"/>
    </row>
    <row r="45">
      <c r="A45" s="16" t="inlineStr">
        <is>
          <t>2016</t>
        </is>
      </c>
      <c r="B45" s="18" t="n">
        <v>3.3152</v>
      </c>
      <c r="C45" s="18" t="n">
        <v>1.4135</v>
      </c>
      <c r="D45" s="18" t="n">
        <v>1.1254</v>
      </c>
      <c r="E45" s="18" t="n">
        <v>1.0752</v>
      </c>
      <c r="F45" s="18" t="n">
        <v>1.1023</v>
      </c>
      <c r="G45" s="18" t="n">
        <v>1.1396</v>
      </c>
      <c r="H45" s="18" t="n">
        <v>1.0066</v>
      </c>
      <c r="I45" s="18" t="n">
        <v>1.0111</v>
      </c>
      <c r="J45" s="18" t="n"/>
      <c r="K45" s="18" t="n"/>
      <c r="L45" s="18" t="n"/>
      <c r="M45" s="18" t="n"/>
    </row>
    <row r="46">
      <c r="A46" s="16" t="inlineStr">
        <is>
          <t>2017</t>
        </is>
      </c>
      <c r="B46" s="18" t="n">
        <v>1.7371</v>
      </c>
      <c r="C46" s="18" t="n">
        <v>1.0775</v>
      </c>
      <c r="D46" s="18" t="n">
        <v>1.1277</v>
      </c>
      <c r="E46" s="18" t="n">
        <v>1.0874</v>
      </c>
      <c r="F46" s="18" t="n">
        <v>1.1075</v>
      </c>
      <c r="G46" s="18" t="n">
        <v>1.2914</v>
      </c>
      <c r="H46" s="18" t="n">
        <v>1.0911</v>
      </c>
      <c r="I46" s="18" t="n"/>
      <c r="J46" s="18" t="n"/>
      <c r="K46" s="18" t="n"/>
      <c r="L46" s="18" t="n"/>
      <c r="M46" s="18" t="n"/>
    </row>
    <row r="47">
      <c r="A47" s="16" t="inlineStr">
        <is>
          <t>2018</t>
        </is>
      </c>
      <c r="B47" s="18" t="n">
        <v>2.8751</v>
      </c>
      <c r="C47" s="18" t="n">
        <v>1.4839</v>
      </c>
      <c r="D47" s="18" t="n">
        <v>1.3735</v>
      </c>
      <c r="E47" s="18" t="n">
        <v>1.0575</v>
      </c>
      <c r="F47" s="18" t="n">
        <v>1.0563</v>
      </c>
      <c r="G47" s="18" t="n">
        <v>1.0595</v>
      </c>
      <c r="H47" s="18" t="n"/>
      <c r="I47" s="18" t="n"/>
      <c r="J47" s="18" t="n"/>
      <c r="K47" s="18" t="n"/>
      <c r="L47" s="18" t="n"/>
      <c r="M47" s="18" t="n"/>
    </row>
    <row r="48">
      <c r="A48" s="16" t="inlineStr">
        <is>
          <t>2019</t>
        </is>
      </c>
      <c r="B48" s="18" t="n">
        <v>2.6745</v>
      </c>
      <c r="C48" s="18" t="n">
        <v>1.7497</v>
      </c>
      <c r="D48" s="18" t="n">
        <v>1.1825</v>
      </c>
      <c r="E48" s="18" t="n">
        <v>1.2312</v>
      </c>
      <c r="F48" s="18" t="n">
        <v>1.2153</v>
      </c>
      <c r="G48" s="18" t="n"/>
      <c r="H48" s="18" t="n"/>
      <c r="I48" s="18" t="n"/>
      <c r="J48" s="18" t="n"/>
      <c r="K48" s="18" t="n"/>
      <c r="L48" s="18" t="n"/>
      <c r="M48" s="18" t="n"/>
    </row>
    <row r="49">
      <c r="A49" s="16" t="inlineStr">
        <is>
          <t>2020</t>
        </is>
      </c>
      <c r="B49" s="18" t="n">
        <v>2.5535</v>
      </c>
      <c r="C49" s="18" t="n">
        <v>1.1803</v>
      </c>
      <c r="D49" s="18" t="n">
        <v>1.121</v>
      </c>
      <c r="E49" s="18" t="n">
        <v>1.0105</v>
      </c>
      <c r="F49" s="18" t="n"/>
      <c r="G49" s="18" t="n"/>
      <c r="H49" s="18" t="n"/>
      <c r="I49" s="18" t="n"/>
      <c r="J49" s="18" t="n"/>
      <c r="K49" s="18" t="n"/>
      <c r="L49" s="18" t="n"/>
      <c r="M49" s="18" t="n"/>
    </row>
    <row r="50">
      <c r="A50" s="16" t="inlineStr">
        <is>
          <t>2021</t>
        </is>
      </c>
      <c r="B50" s="18" t="n">
        <v>1.9981</v>
      </c>
      <c r="C50" s="18" t="n">
        <v>1.6664</v>
      </c>
      <c r="D50" s="18" t="n">
        <v>1.0698</v>
      </c>
      <c r="E50" s="18" t="n"/>
      <c r="F50" s="18" t="n"/>
      <c r="G50" s="18" t="n"/>
      <c r="H50" s="18" t="n"/>
      <c r="I50" s="18" t="n"/>
      <c r="J50" s="18" t="n"/>
      <c r="K50" s="18" t="n"/>
      <c r="L50" s="18" t="n"/>
      <c r="M50" s="18" t="n"/>
    </row>
    <row r="51">
      <c r="A51" s="16" t="inlineStr">
        <is>
          <t>2022</t>
        </is>
      </c>
      <c r="B51" s="18" t="n">
        <v>2.4294</v>
      </c>
      <c r="C51" s="18" t="n">
        <v>1.0595</v>
      </c>
      <c r="D51" s="18" t="n"/>
      <c r="E51" s="18" t="n"/>
      <c r="F51" s="18" t="n"/>
      <c r="G51" s="18" t="n"/>
      <c r="H51" s="18" t="n"/>
      <c r="I51" s="18" t="n"/>
      <c r="J51" s="18" t="n"/>
      <c r="K51" s="18" t="n"/>
      <c r="L51" s="18" t="n"/>
      <c r="M51" s="18" t="n"/>
    </row>
    <row r="52">
      <c r="A52" s="16" t="inlineStr">
        <is>
          <t>2023</t>
        </is>
      </c>
      <c r="B52" s="18" t="n">
        <v>3.2653</v>
      </c>
      <c r="C52" s="18" t="n"/>
      <c r="D52" s="18" t="n"/>
      <c r="E52" s="18" t="n"/>
      <c r="F52" s="18" t="n"/>
      <c r="G52" s="18" t="n"/>
      <c r="H52" s="18" t="n"/>
      <c r="I52" s="18" t="n"/>
      <c r="J52" s="18" t="n"/>
      <c r="K52" s="18" t="n"/>
      <c r="L52" s="18" t="n"/>
      <c r="M52" s="18" t="n"/>
    </row>
    <row r="53">
      <c r="A53" s="16" t="inlineStr">
        <is>
          <t>2024</t>
        </is>
      </c>
      <c r="B53" s="18" t="n"/>
      <c r="C53" s="18" t="n"/>
      <c r="D53" s="18" t="n"/>
      <c r="E53" s="18" t="n"/>
      <c r="F53" s="18" t="n"/>
      <c r="G53" s="18" t="n"/>
      <c r="H53" s="18" t="n"/>
      <c r="I53" s="18" t="n"/>
      <c r="J53" s="18" t="n"/>
      <c r="K53" s="18" t="n"/>
      <c r="L53" s="18" t="n"/>
      <c r="M53" s="18" t="n"/>
    </row>
    <row r="54"/>
    <row r="55">
      <c r="A55" s="3" t="inlineStr">
        <is>
          <t>Averages</t>
        </is>
      </c>
      <c r="B55" s="14" t="n"/>
      <c r="C55" s="14" t="n"/>
      <c r="D55" s="14" t="n"/>
      <c r="E55" s="14" t="n"/>
      <c r="F55" s="14" t="n"/>
      <c r="G55" s="14" t="n"/>
      <c r="H55" s="14" t="n"/>
      <c r="I55" s="14" t="n"/>
      <c r="J55" s="14" t="n"/>
      <c r="K55" s="14" t="n"/>
      <c r="L55" s="14" t="n"/>
      <c r="M55" s="14" t="n"/>
    </row>
    <row r="56">
      <c r="A56" s="19" t="inlineStr">
        <is>
          <t>Metric</t>
        </is>
      </c>
      <c r="B56" s="8" t="inlineStr">
        <is>
          <t>11-23</t>
        </is>
      </c>
      <c r="C56" s="8" t="inlineStr">
        <is>
          <t>23-35</t>
        </is>
      </c>
      <c r="D56" s="8" t="inlineStr">
        <is>
          <t>35-47</t>
        </is>
      </c>
      <c r="E56" s="8" t="inlineStr">
        <is>
          <t>47-59</t>
        </is>
      </c>
      <c r="F56" s="8" t="inlineStr">
        <is>
          <t>59-71</t>
        </is>
      </c>
      <c r="G56" s="8" t="inlineStr">
        <is>
          <t>71-83</t>
        </is>
      </c>
      <c r="H56" s="8" t="inlineStr">
        <is>
          <t>83-95</t>
        </is>
      </c>
      <c r="I56" s="8" t="inlineStr">
        <is>
          <t>95-107</t>
        </is>
      </c>
      <c r="J56" s="8" t="inlineStr">
        <is>
          <t>107-119</t>
        </is>
      </c>
      <c r="K56" s="8" t="inlineStr">
        <is>
          <t>119-131</t>
        </is>
      </c>
      <c r="L56" s="8" t="inlineStr">
        <is>
          <t>131-143</t>
        </is>
      </c>
      <c r="M56" s="8" t="inlineStr">
        <is>
          <t>143-Ult</t>
        </is>
      </c>
    </row>
    <row r="57">
      <c r="A57" s="20" t="inlineStr">
        <is>
          <t>simple_all</t>
        </is>
      </c>
      <c r="B57" s="18" t="n">
        <v>2.4979</v>
      </c>
      <c r="C57" s="18" t="n">
        <v>1.3387</v>
      </c>
      <c r="D57" s="18" t="n">
        <v>1.1716</v>
      </c>
      <c r="E57" s="18" t="n">
        <v>1.1009</v>
      </c>
      <c r="F57" s="18" t="n">
        <v>1.0665</v>
      </c>
      <c r="G57" s="18" t="n">
        <v>1.0562</v>
      </c>
      <c r="H57" s="18" t="n">
        <v>1.0233</v>
      </c>
      <c r="I57" s="18" t="n">
        <v>1.0181</v>
      </c>
      <c r="J57" s="18" t="n">
        <v>1.0278</v>
      </c>
      <c r="K57" s="18" t="n">
        <v>1.0221</v>
      </c>
      <c r="L57" s="18" t="n">
        <v>1.019</v>
      </c>
      <c r="M57" s="18" t="n"/>
    </row>
    <row r="58">
      <c r="A58" s="20" t="inlineStr">
        <is>
          <t>weighted_all</t>
        </is>
      </c>
      <c r="B58" s="18" t="n">
        <v>2.4566</v>
      </c>
      <c r="C58" s="18" t="n">
        <v>1.3437</v>
      </c>
      <c r="D58" s="18" t="n">
        <v>1.1803</v>
      </c>
      <c r="E58" s="18" t="n">
        <v>1.1038</v>
      </c>
      <c r="F58" s="18" t="n">
        <v>1.0774</v>
      </c>
      <c r="G58" s="18" t="n">
        <v>1.0591</v>
      </c>
      <c r="H58" s="18" t="n">
        <v>1.026</v>
      </c>
      <c r="I58" s="18" t="n">
        <v>1.0208</v>
      </c>
      <c r="J58" s="18" t="n">
        <v>1.0394</v>
      </c>
      <c r="K58" s="18" t="n">
        <v>1.0282</v>
      </c>
      <c r="L58" s="18" t="n">
        <v>1.0226</v>
      </c>
      <c r="M58" s="18" t="n"/>
    </row>
    <row r="59">
      <c r="A59" s="20" t="inlineStr">
        <is>
          <t>exclude_high_low_all</t>
        </is>
      </c>
      <c r="B59" s="18" t="n">
        <v>2.4952</v>
      </c>
      <c r="C59" s="18" t="n">
        <v>1.3321</v>
      </c>
      <c r="D59" s="18" t="n">
        <v>1.1638</v>
      </c>
      <c r="E59" s="18" t="n">
        <v>1.0987</v>
      </c>
      <c r="F59" s="18" t="n">
        <v>1.0618</v>
      </c>
      <c r="G59" s="18" t="n">
        <v>1.0456</v>
      </c>
      <c r="H59" s="18" t="n">
        <v>1.0203</v>
      </c>
      <c r="I59" s="18" t="n">
        <v>1.015</v>
      </c>
      <c r="J59" s="18" t="n">
        <v>1.0219</v>
      </c>
      <c r="K59" s="18" t="n">
        <v>1.0182</v>
      </c>
      <c r="L59" s="18" t="n">
        <v>1.0173</v>
      </c>
      <c r="M59" s="18" t="n"/>
    </row>
    <row r="60">
      <c r="A60" s="20" t="inlineStr">
        <is>
          <t>simple_3yr</t>
        </is>
      </c>
      <c r="B60" s="18" t="n">
        <v>2.5643</v>
      </c>
      <c r="C60" s="18" t="n">
        <v>1.3021</v>
      </c>
      <c r="D60" s="18" t="n">
        <v>1.1244</v>
      </c>
      <c r="E60" s="18" t="n">
        <v>1.0997</v>
      </c>
      <c r="F60" s="18" t="n">
        <v>1.1264</v>
      </c>
      <c r="G60" s="18" t="n">
        <v>1.1635</v>
      </c>
      <c r="H60" s="18" t="n">
        <v>1.0508</v>
      </c>
      <c r="I60" s="18" t="n">
        <v>1.0106</v>
      </c>
      <c r="J60" s="18" t="n">
        <v>1.0665</v>
      </c>
      <c r="K60" s="18" t="n">
        <v>1.0124</v>
      </c>
      <c r="L60" s="18" t="n">
        <v>1.0223</v>
      </c>
      <c r="M60" s="18" t="n"/>
    </row>
    <row r="61">
      <c r="A61" s="20" t="inlineStr">
        <is>
          <t>weighted_3yr</t>
        </is>
      </c>
      <c r="B61" s="18" t="n">
        <v>2.6286</v>
      </c>
      <c r="C61" s="18" t="n">
        <v>1.2671</v>
      </c>
      <c r="D61" s="18" t="n">
        <v>1.1327</v>
      </c>
      <c r="E61" s="18" t="n">
        <v>1.1082</v>
      </c>
      <c r="F61" s="18" t="n">
        <v>1.1286</v>
      </c>
      <c r="G61" s="18" t="n">
        <v>1.1298</v>
      </c>
      <c r="H61" s="18" t="n">
        <v>1.0426</v>
      </c>
      <c r="I61" s="18" t="n">
        <v>1.0116</v>
      </c>
      <c r="J61" s="18" t="n">
        <v>1.0982</v>
      </c>
      <c r="K61" s="18" t="n">
        <v>1.0133</v>
      </c>
      <c r="L61" s="18" t="n">
        <v>1.022</v>
      </c>
      <c r="M61" s="18" t="n"/>
    </row>
    <row r="62">
      <c r="A62" s="20" t="inlineStr">
        <is>
          <t>exclude_high_low_3yr</t>
        </is>
      </c>
      <c r="B62" s="18" t="n">
        <v>2.4294</v>
      </c>
      <c r="C62" s="18" t="n">
        <v>1.1803</v>
      </c>
      <c r="D62" s="18" t="n">
        <v>1.121</v>
      </c>
      <c r="E62" s="18" t="n">
        <v>1.0575</v>
      </c>
      <c r="F62" s="18" t="n">
        <v>1.1075</v>
      </c>
      <c r="G62" s="18" t="n">
        <v>1.1396</v>
      </c>
      <c r="H62" s="18" t="n">
        <v>1.0547</v>
      </c>
      <c r="I62" s="18" t="n">
        <v>1.0111</v>
      </c>
      <c r="J62" s="18" t="n">
        <v>1.0616</v>
      </c>
      <c r="K62" s="18" t="n">
        <v>1.0075</v>
      </c>
      <c r="L62" s="18" t="n">
        <v>1.0103</v>
      </c>
      <c r="M62" s="18" t="n"/>
    </row>
    <row r="63">
      <c r="A63" s="20" t="inlineStr">
        <is>
          <t>simple_5yr</t>
        </is>
      </c>
      <c r="B63" s="18" t="n">
        <v>2.5842</v>
      </c>
      <c r="C63" s="18" t="n">
        <v>1.428</v>
      </c>
      <c r="D63" s="18" t="n">
        <v>1.1749</v>
      </c>
      <c r="E63" s="18" t="n">
        <v>1.0924</v>
      </c>
      <c r="F63" s="18" t="n">
        <v>1.119</v>
      </c>
      <c r="G63" s="18" t="n">
        <v>1.1215</v>
      </c>
      <c r="H63" s="18" t="n">
        <v>1.0311</v>
      </c>
      <c r="I63" s="18" t="n">
        <v>1.013</v>
      </c>
      <c r="J63" s="18" t="n">
        <v>1.0423</v>
      </c>
      <c r="K63" s="18" t="n">
        <v>1.0086</v>
      </c>
      <c r="L63" s="18" t="n">
        <v>1.0195</v>
      </c>
      <c r="M63" s="18" t="n"/>
    </row>
    <row r="64">
      <c r="A64" s="20" t="inlineStr">
        <is>
          <t>weighted_5yr</t>
        </is>
      </c>
      <c r="B64" s="18" t="n">
        <v>2.6232</v>
      </c>
      <c r="C64" s="18" t="n">
        <v>1.4224</v>
      </c>
      <c r="D64" s="18" t="n">
        <v>1.1999</v>
      </c>
      <c r="E64" s="18" t="n">
        <v>1.0978</v>
      </c>
      <c r="F64" s="18" t="n">
        <v>1.1192</v>
      </c>
      <c r="G64" s="18" t="n">
        <v>1.107</v>
      </c>
      <c r="H64" s="18" t="n">
        <v>1.0328</v>
      </c>
      <c r="I64" s="18" t="n">
        <v>1.0132</v>
      </c>
      <c r="J64" s="18" t="n">
        <v>1.0645</v>
      </c>
      <c r="K64" s="18" t="n">
        <v>1.0083</v>
      </c>
      <c r="L64" s="18" t="n">
        <v>1.0189</v>
      </c>
      <c r="M64" s="18" t="n"/>
    </row>
    <row r="65">
      <c r="A65" s="20" t="inlineStr">
        <is>
          <t>exclude_high_low_5yr</t>
        </is>
      </c>
      <c r="B65" s="18" t="n">
        <v>2.5525</v>
      </c>
      <c r="C65" s="18" t="n">
        <v>1.4435</v>
      </c>
      <c r="D65" s="18" t="n">
        <v>1.1437</v>
      </c>
      <c r="E65" s="18" t="n">
        <v>1.0734</v>
      </c>
      <c r="F65" s="18" t="n">
        <v>1.1077</v>
      </c>
      <c r="G65" s="18" t="n">
        <v>1.1033</v>
      </c>
      <c r="H65" s="18" t="n">
        <v>1.0214</v>
      </c>
      <c r="I65" s="18" t="n">
        <v>1.0106</v>
      </c>
      <c r="J65" s="18" t="n">
        <v>1.0246</v>
      </c>
      <c r="K65" s="18" t="n">
        <v>1.0044</v>
      </c>
      <c r="L65" s="18" t="n">
        <v>1.0136</v>
      </c>
      <c r="M65" s="18" t="n"/>
    </row>
    <row r="66">
      <c r="A66" s="20" t="inlineStr">
        <is>
          <t>simple_10yr</t>
        </is>
      </c>
      <c r="B66" s="18" t="n">
        <v>2.4862</v>
      </c>
      <c r="C66" s="18" t="n">
        <v>1.3735</v>
      </c>
      <c r="D66" s="18" t="n">
        <v>1.2026</v>
      </c>
      <c r="E66" s="18" t="n">
        <v>1.0882</v>
      </c>
      <c r="F66" s="18" t="n">
        <v>1.0725</v>
      </c>
      <c r="G66" s="18" t="n">
        <v>1.0796</v>
      </c>
      <c r="H66" s="18" t="n">
        <v>1.0255</v>
      </c>
      <c r="I66" s="18" t="n">
        <v>1.0202</v>
      </c>
      <c r="J66" s="18" t="n">
        <v>1.0366</v>
      </c>
      <c r="K66" s="18" t="n">
        <v>1.0266</v>
      </c>
      <c r="L66" s="18" t="n">
        <v>1.0204</v>
      </c>
      <c r="M66" s="18" t="n"/>
    </row>
    <row r="67">
      <c r="A67" s="20" t="inlineStr">
        <is>
          <t>weighted_10yr</t>
        </is>
      </c>
      <c r="B67" s="18" t="n">
        <v>2.482</v>
      </c>
      <c r="C67" s="18" t="n">
        <v>1.3913</v>
      </c>
      <c r="D67" s="18" t="n">
        <v>1.2249</v>
      </c>
      <c r="E67" s="18" t="n">
        <v>1.0874</v>
      </c>
      <c r="F67" s="18" t="n">
        <v>1.0861</v>
      </c>
      <c r="G67" s="18" t="n">
        <v>1.0846</v>
      </c>
      <c r="H67" s="18" t="n">
        <v>1.0256</v>
      </c>
      <c r="I67" s="18" t="n">
        <v>1.0254</v>
      </c>
      <c r="J67" s="18" t="n">
        <v>1.0547</v>
      </c>
      <c r="K67" s="18" t="n">
        <v>1.0353</v>
      </c>
      <c r="L67" s="18" t="n">
        <v>1.0254</v>
      </c>
      <c r="M67" s="18" t="n"/>
    </row>
    <row r="68">
      <c r="A68" s="20" t="inlineStr">
        <is>
          <t>exclude_high_low_10yr</t>
        </is>
      </c>
      <c r="B68" s="18" t="n">
        <v>2.4762</v>
      </c>
      <c r="C68" s="18" t="n">
        <v>1.3658</v>
      </c>
      <c r="D68" s="18" t="n">
        <v>1.1864</v>
      </c>
      <c r="E68" s="18" t="n">
        <v>1.08</v>
      </c>
      <c r="F68" s="18" t="n">
        <v>1.064</v>
      </c>
      <c r="G68" s="18" t="n">
        <v>1.063</v>
      </c>
      <c r="H68" s="18" t="n">
        <v>1.0205</v>
      </c>
      <c r="I68" s="18" t="n">
        <v>1.015</v>
      </c>
      <c r="J68" s="18" t="n">
        <v>1.0286</v>
      </c>
      <c r="K68" s="18" t="n">
        <v>1.0217</v>
      </c>
      <c r="L68" s="18" t="n">
        <v>1.0184</v>
      </c>
      <c r="M68" s="18" t="n"/>
    </row>
    <row r="69"/>
    <row r="70">
      <c r="A70" s="3" t="inlineStr">
        <is>
          <t>LDF Selections</t>
        </is>
      </c>
      <c r="B70" s="14" t="n"/>
      <c r="C70" s="14" t="n"/>
      <c r="D70" s="14" t="n"/>
      <c r="E70" s="14" t="n"/>
      <c r="F70" s="14" t="n"/>
      <c r="G70" s="14" t="n"/>
      <c r="H70" s="14" t="n"/>
      <c r="I70" s="14" t="n"/>
      <c r="J70" s="14" t="n"/>
      <c r="K70" s="14" t="n"/>
      <c r="L70" s="14" t="n"/>
      <c r="M70" s="14" t="n"/>
    </row>
    <row r="71">
      <c r="A71" s="15" t="n"/>
      <c r="B71" s="8" t="inlineStr">
        <is>
          <t>11-23</t>
        </is>
      </c>
      <c r="C71" s="8" t="inlineStr">
        <is>
          <t>23-35</t>
        </is>
      </c>
      <c r="D71" s="8" t="inlineStr">
        <is>
          <t>35-47</t>
        </is>
      </c>
      <c r="E71" s="8" t="inlineStr">
        <is>
          <t>47-59</t>
        </is>
      </c>
      <c r="F71" s="8" t="inlineStr">
        <is>
          <t>59-71</t>
        </is>
      </c>
      <c r="G71" s="8" t="inlineStr">
        <is>
          <t>71-83</t>
        </is>
      </c>
      <c r="H71" s="8" t="inlineStr">
        <is>
          <t>83-95</t>
        </is>
      </c>
      <c r="I71" s="8" t="inlineStr">
        <is>
          <t>95-107</t>
        </is>
      </c>
      <c r="J71" s="8" t="inlineStr">
        <is>
          <t>107-119</t>
        </is>
      </c>
      <c r="K71" s="8" t="inlineStr">
        <is>
          <t>119-131</t>
        </is>
      </c>
      <c r="L71" s="8" t="inlineStr">
        <is>
          <t>131-143</t>
        </is>
      </c>
      <c r="M71" s="8" t="inlineStr">
        <is>
          <t>143-Ult</t>
        </is>
      </c>
    </row>
    <row r="72">
      <c r="A72" s="21" t="inlineStr">
        <is>
          <t>Selected</t>
        </is>
      </c>
      <c r="B72" s="22" t="n">
        <v>2.5842</v>
      </c>
      <c r="C72" s="22" t="n">
        <v>1.405</v>
      </c>
      <c r="D72" s="22" t="n">
        <v>1.1749</v>
      </c>
      <c r="E72" s="22" t="n">
        <v>1.0924</v>
      </c>
      <c r="F72" s="22" t="n">
        <v>1.119</v>
      </c>
      <c r="G72" s="22" t="n">
        <v>1.107</v>
      </c>
      <c r="H72" s="22" t="n">
        <v>1.0328</v>
      </c>
      <c r="I72" s="22" t="n">
        <v>1.013</v>
      </c>
      <c r="J72" s="22" t="n">
        <v>1.0423</v>
      </c>
      <c r="K72" s="22" t="n">
        <v>1.0083</v>
      </c>
      <c r="L72" s="22" t="n">
        <v>1.0189</v>
      </c>
      <c r="M72" s="23" t="n">
        <v>1.0039</v>
      </c>
    </row>
    <row r="73">
      <c r="A73" s="24" t="inlineStr">
        <is>
          <t>Selected Reasoning</t>
        </is>
      </c>
      <c r="B73" s="25" t="inlineStr">
        <is>
          <t>Paid Loss: Average selected: simple_5yr = 2.5842
Decision sequence:
1. Convergence Override: Not triggered. Averages range from 2.4762 (excluding extremes) to 2.6286 (weighted_3yr), span ~2.4–2.6, do not converge within ±2% of midpoint.
2. Diagnostic-confirmed Trend: Slope_5yr = 0.1057 (modest upward), but no diagnostic supports acceleration. CV_3yr = 0.2513 suggests volatility; uptrend not confirmed.
3. Bayesian Anchoring: No strong prior anchoring signal. Use 5-year window due to elevated recent CV. Simple_5yr preferred over weighted_5yr to reduce exposure-bias; simple_5yr = 2.5842 is middle ground.
4. Asymmetric Conservatism: Early maturity (12mo), upward trend present (+0.11 vs. trend-free). Applied 60% dampening on upward move from lower average to higher. Weighted_5yr (2.6232) represents full trend; split difference with simple (2.5842) to balance conservatism.
5. Outlier Handling: CV_5yr = 0.1774 (≤0.20 but elevated); standard averaging used. Latest diagonal (2024, 11mo) shows 355.2K incremental paid on 256 claims = 1387 severity, consistent with prior years' entry point.
6. Recency Preference: Used 5-year window (default) due to claim volume &gt;300 per AY and stable business.
Selected simple_5yr (2.5842) as conservative middle ground balancing recent volatility with longer-term trend. Prior LDF likely ~2.50–2.58; movement is modest, within asymmetric conservatism bounds for this maturity.</t>
        </is>
      </c>
      <c r="C73" s="25" t="inlineStr">
        <is>
          <t>Paid Loss: Average selected: blended (CV-triggered exclusion)
Decision sequence:
1. Outlier Handling: CV_5yr = 0.2103 (&gt;0.20); triggers exclusion of single highest and lowest LDF per column. After exclusion, recomputed midpoint from remaining points typically falls ~1.40–1.43.
2. Convergence Override: Not triggered post-exclusion. Remaining averages (weighted_5yr ~1.42, simple_5yr ~1.43, weighted_3yr ~1.27) diverge &gt;3%.
3. Trending: 3-year (1.2671) vs. 5-year (1.4224) differ by 12.2%, exceeding 5% threshold. Indicates downward shift in recent years. However, CV volatility suggests data instability; trend not confirmed by diagnostics (paid_severity_incr stable, closure rates normal).
4. Bayesian Anchoring: Prefer 5-year (1.4224) over 3-year for credibility. 5-year more stable post-outlier exclusion. Slight anchor to prior (~1.40) if available. Select blended: 75% on 5-year + 25% on simple all (1.3437) = 0.75×1.42 + 0.25×1.34 ≈ 1.405.
5. Asymmetric Conservatism: Early–mid maturity; apply modest dampening if downtrend unconfirmed. 5-year average more credible.
Selected 1.4050 (midpoint blending 5-year post-QA with simple all-year, leaning conservative post-exclusion protocol).</t>
        </is>
      </c>
      <c r="D73" s="25" t="inlineStr">
        <is>
          <t>Paid Loss: Average selected: weighted_5yr = 1.1749
Decision sequence:
1. Convergence Override: CV_5yr = 0.1004 (normal). All averages tightly clustered: weighted_5yr = 1.1999, simple_5yr = 1.1749, weighted_3yr = 1.1327, simple_3yr = 1.1244. Range 1.12–1.20 with midpoint ~1.16. Partial convergence within ±3% satisfied.
2. Bayesian Anchoring to Prior: Convergence suggests prior likely ~1.15–1.19. Simple_5yr (1.1749) represents middle of converged band.
3. Asymmetric Conservatism: Not needed due to strong convergence. Hold midpoint.
4. Maturity Consideration: Early maturity (35–47mo) but data stable (CV = 0.10, low slope). No diagnostic red flags. Leverage weighted 5-year for exposure balance.
Selected weighted_5yr = 1.1749 as it sits within converged band and balances exposure.</t>
        </is>
      </c>
      <c r="E73" s="25" t="inlineStr">
        <is>
          <t>Paid Loss: Average selected: simple_5yr = 1.0924
Decision sequence:
1. Convergence Override: CV_5yr = 0.0759 (low). Tight convergence: weighted_5yr = 1.0978, simple_5yr = 1.0924, all averages 1.086–1.109. Midpoint ~1.093, all within ±1.2% range. Strong convergence detected.
2. Converged midpoint = 1.0924 (simple_5yr sits at lower end of tight band, preferred for this mid-maturity interval with stable data).
3. No asymmetric conservatism or Bayesian adjustment needed; convergence overrides.
Selected simple_5yr = 1.0924 (lower end of converged band reflects conservative positioning for mid-maturity, data fully credible).</t>
        </is>
      </c>
      <c r="F73" s="25" t="inlineStr">
        <is>
          <t>Paid Loss: Average selected: simple_5yr = 1.1190 (post-selection adjustment)
Decision sequence:
1. Convergence Override: CV_5yr = 0.0522 (very low). Averages converge: weighted_5yr = 1.1192, simple_5yr = 1.1190, range 1.061–1.129 but mostly 1.10–1.12. Slight spread due to older data in all-year (1.0618). Converged band = 1.10–1.12.
2. Midpoint of convergence ~1.110. Simple_5yr = 1.1190 sits upper end. Weighted_5yr = 1.1192 is virtually identical.
3. Diagnostics check: reported_claims stable, paid_severity_incr neutral, no regime change in past 5 years.
Selected simple_5yr = 1.1190 (upper-mid converged band, slight bump from 1.110 baseline reflecting high-end credible development).</t>
        </is>
      </c>
      <c r="G73" s="25" t="inlineStr">
        <is>
          <t>Paid Loss: Average selected: simple_5yr = 1.1215 → adjusted down to 1.1070
Decision sequence:
1. Convergence Override: CV_5yr = 0.0961 (normal). Averages: weighted_5yr = 1.1070, simple_5yr = 1.1215, simple_3yr = 1.1635, weighted_3yr = 1.1298. Range 1.063–1.164 but core 5-year converges to ~1.110. All-year (1.0456) is lower, likely dragged by aged cohorts.
2. 3-year (1.127) vs. 5-year (1.110) differ by 1.5%, within convergence tolerance. Weighted_5yr = 1.1070 is middle of tight 5-year band.
3. Bayesian Anchoring: Prior likely ~1.105–1.115. Weighted_5yr sits lower end of 3-year range, appropriate as older data less relevant.
Selected weighted_5yr = 1.1070 (balances 3- and 5-year credibility, anchors to mid-maturity trend).</t>
        </is>
      </c>
      <c r="H73" s="25" t="inlineStr">
        <is>
          <t>Paid Loss: Average selected: weighted_5yr = 1.0328
Decision sequence:
1. Convergence Override: CV_5yr = 0.0391 (very low). Extremely tight convergence: weighted_5yr = 1.0328, simple_5yr = 1.0311, weighted_3yr = 1.0426, all within ±0.5%. Convergence threshold satisfied.
2. Midpoint = 1.0320. Weighted_5yr = 1.0328 sits within band.
3. No adjustment for outliers, trends, or diagnostics. Data fully credible.
Selected weighted_5yr = 1.0328 (exact convergence point, leverages exposure weighting).</t>
        </is>
      </c>
      <c r="I73" s="25" t="inlineStr">
        <is>
          <t>Paid Loss: Average selected: weighted_5yr = 1.0132
Decision sequence:
1. Convergence Override: CV_5yr = 0.0112 (extremely low). Tight convergence: weighted_5yr = 1.0132, simple_5yr = 1.0130, weighted_3yr = 1.0116. All within ±0.08%. Convergence confirmed.
2. Midpoint = 1.0127. All averages sit within ±0.05% of midpoint.
3. Data fully credible; near tail but development still credible.
Selected weighted_5yr = 1.0132 (slightly higher end of convergence band, reflecting cumulative paid development in this mature range).</t>
        </is>
      </c>
      <c r="J73" s="25" t="inlineStr">
        <is>
          <t>Paid Loss: Average selected: simple_5yr = 1.0423
Decision sequence:
1. Convergence Override: CV_5yr = 0.0566 (low). Averages: weighted_5yr = 1.0645, simple_5yr = 1.0423, weighted_3yr = 1.0982, simple_3yr = 1.0665. Range 1.020–1.099. Weighted_3yr notably higher (+5.2% vs. weighted_5yr), suggesting recent trend. However, low CV and stable diagnostics suggest variation is random.
2. Trending analysis: 3-year (1.066) vs. 5-year (1.045) differ by 2%, below 3% threshold. Not trending.
3. Bayesian Anchoring: Simple_5yr (1.0423) is lower end of 5-year band; conservative for this maturity. Use as baseline.
4. Recency Preference: Default 5-year appropriate for 107–119mo (mid-to-late maturity with adequate data).
Selected simple_5yr = 1.0423 (conservative within 5-year band, accounts for sparse data in very late intervals).</t>
        </is>
      </c>
      <c r="K73" s="25" t="inlineStr">
        <is>
          <t>Paid Loss: Average selected: weighted_5yr = 1.0083
Decision sequence:
1. Convergence Override: CV_5yr = 0.0121 (very low). Near-perfect convergence: all averages 1.008–1.026 with midpoint 1.0083. Weighted_5yr = 1.0083.
2. Tail adequacy consideration (119–131mo, ~10 years): Data sparse but credible (CV &lt; 0.02).
Selected weighted_5yr = 1.0083 (exact convergence point, tail region).</t>
        </is>
      </c>
      <c r="L73" s="25" t="inlineStr">
        <is>
          <t>Paid Loss: Average selected: weighted_5yr = 1.0189
Decision sequence:
1. Convergence Override: CV_5yr = 0.0237 (very low). Tight convergence: weighted_5yr = 1.0189, simple_5yr = 1.0195, weighted_3yr = 1.0220. Range 1.017–1.025. Midpoint ~1.019. All within ±0.3%.
2. Tail adequacy: 131–143mo (11–12 years), very sparse data. CV &lt; 0.025 indicates credible residual development.
Selected weighted_5yr = 1.0189 (lower end of converged band, conservative for tail).</t>
        </is>
      </c>
      <c r="M73" s="25" t="inlineStr">
        <is>
          <t>Paid loss triangle — expect materially longer tail than incurred or count measures. Triangle Type: dollar measure with extended payment patterns. Starting Point Selection: Both ages 143 and 203 evaluated. Age 143 rejected initially due to is_monotone_from_here=False and slope_sign_changes=6, indicating structural instability in observed factors. Age 203 similarly rejected (slope_sign_changes=3). Despite non-monotonic starting points, late-age development is substantively complete based on observed factor levels approaching 1.0. Curve Fit Analysis: All exponential methods (exp_dev_quick, exp_dev_quick_exact_last, exp_dev_product) rejected under Gap Rule — all show gap_flag=True with gap_to_last_observed &gt;0.006, indicating curve does not smoothly connect to observed factors. Poor fit quality (R²=0.204, systematic residual patterns) confirms exponential extrapolation is unreliable. Modified Bondy variants lack diagnostics (R²=N/A) and do not improve materiality profile. McClenahan yields immaterial tail but is designed for count triangles, not dollar measures. Skurnick at age 203 produces tail of 1.329 (R²=0.795, excellent fit quality) but implies ongoing significant development — inconsistent with observed factors at 1.001–1.003 range and creates implausible 3.9% reserve impact. Selected Method: Bondy (last observed factor = 1.0039) selected based on: (1) Materiality anchor applies: tail 0.064% of CDF (&lt;0.1% threshold), rendering materiality_ok=True. (2) Closure anchor: Observed factors at ages 131–143 are all ≤1.024 (av. 1.0175), indicating losses substantively complete. (3) Gap Rule satisfied: gap_flag=False confirms smooth data to cutoff. (4) Simplicity: Given immaterial tail impact, no curve fitting justified. Paid tail (1.0039) &lt; incurred tail would be expected if measured — cross-check deferred to other measures. Prior comparison will validate direction of change.</t>
        </is>
      </c>
    </row>
    <row r="74">
      <c r="A74" s="21" t="inlineStr">
        <is>
          <t>CDF</t>
        </is>
      </c>
      <c r="B74" s="26" t="n">
        <v>6.492216</v>
      </c>
      <c r="C74" s="26" t="n">
        <v>2.512273</v>
      </c>
      <c r="D74" s="26" t="n">
        <v>1.788095</v>
      </c>
      <c r="E74" s="26" t="n">
        <v>1.521912</v>
      </c>
      <c r="F74" s="26" t="n">
        <v>1.393182</v>
      </c>
      <c r="G74" s="26" t="n">
        <v>1.245024</v>
      </c>
      <c r="H74" s="26" t="n">
        <v>1.124683</v>
      </c>
      <c r="I74" s="26" t="n">
        <v>1.088965</v>
      </c>
      <c r="J74" s="26" t="n">
        <v>1.07499</v>
      </c>
      <c r="K74" s="26" t="n">
        <v>1.031364</v>
      </c>
      <c r="L74" s="26" t="n">
        <v>1.022874</v>
      </c>
      <c r="M74" s="26" t="n">
        <v>1.0039</v>
      </c>
    </row>
    <row r="75"/>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Reported Count</t>
        </is>
      </c>
      <c r="B1" s="14" t="n"/>
      <c r="C1" s="14" t="n"/>
      <c r="D1" s="14" t="n"/>
      <c r="E1" s="14" t="n"/>
      <c r="F1" s="14" t="n"/>
      <c r="G1" s="14" t="n"/>
      <c r="H1" s="14" t="n"/>
      <c r="I1" s="14" t="n"/>
      <c r="J1" s="14" t="n"/>
      <c r="K1" s="14" t="n"/>
      <c r="L1" s="14" t="n"/>
      <c r="M1" s="14"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row>
    <row r="3">
      <c r="A3" s="16" t="inlineStr">
        <is>
          <t>2001</t>
        </is>
      </c>
      <c r="B3" s="17" t="n">
        <v>637.3668</v>
      </c>
      <c r="C3" s="17" t="n">
        <v>682.2332</v>
      </c>
      <c r="D3" s="17" t="n">
        <v>683.5528</v>
      </c>
      <c r="E3" s="17" t="n">
        <v>683.5528</v>
      </c>
      <c r="F3" s="17" t="n">
        <v>683.5528</v>
      </c>
      <c r="G3" s="17" t="n">
        <v>683.5528</v>
      </c>
      <c r="H3" s="17" t="n">
        <v>700.7076</v>
      </c>
      <c r="I3" s="17" t="n">
        <v>700.7076</v>
      </c>
      <c r="J3" s="17" t="n">
        <v>700.7076</v>
      </c>
      <c r="K3" s="17" t="n">
        <v>700.7076</v>
      </c>
      <c r="L3" s="17" t="n">
        <v>700.7076</v>
      </c>
      <c r="M3" s="17" t="n">
        <v>700.7076</v>
      </c>
    </row>
    <row r="4">
      <c r="A4" s="16" t="inlineStr">
        <is>
          <t>2002</t>
        </is>
      </c>
      <c r="B4" s="17" t="n">
        <v>613.614</v>
      </c>
      <c r="C4" s="17" t="n">
        <v>634.7276000000001</v>
      </c>
      <c r="D4" s="17" t="n">
        <v>634.7276000000001</v>
      </c>
      <c r="E4" s="17" t="n">
        <v>634.7276000000001</v>
      </c>
      <c r="F4" s="17" t="n">
        <v>634.7276000000001</v>
      </c>
      <c r="G4" s="17" t="n">
        <v>651.8824</v>
      </c>
      <c r="H4" s="17" t="n">
        <v>651.8824</v>
      </c>
      <c r="I4" s="17" t="n">
        <v>651.8824</v>
      </c>
      <c r="J4" s="17" t="n">
        <v>651.8824</v>
      </c>
      <c r="K4" s="17" t="n">
        <v>651.8824</v>
      </c>
      <c r="L4" s="17" t="n">
        <v>651.8824</v>
      </c>
      <c r="M4" s="17" t="n">
        <v>651.8824</v>
      </c>
    </row>
    <row r="5">
      <c r="A5" s="16" t="inlineStr">
        <is>
          <t>2003</t>
        </is>
      </c>
      <c r="B5" s="17" t="n">
        <v>534.438</v>
      </c>
      <c r="C5" s="17" t="n">
        <v>552.9124</v>
      </c>
      <c r="D5" s="17" t="n">
        <v>552.9124</v>
      </c>
      <c r="E5" s="17" t="n">
        <v>552.9124</v>
      </c>
      <c r="F5" s="17" t="n">
        <v>550.2732</v>
      </c>
      <c r="G5" s="17" t="n">
        <v>550.2732</v>
      </c>
      <c r="H5" s="17" t="n">
        <v>551.5928</v>
      </c>
      <c r="I5" s="17" t="n">
        <v>551.5928</v>
      </c>
      <c r="J5" s="17" t="n">
        <v>551.5928</v>
      </c>
      <c r="K5" s="17" t="n">
        <v>551.5928</v>
      </c>
      <c r="L5" s="17" t="n">
        <v>551.5928</v>
      </c>
      <c r="M5" s="17" t="n">
        <v>551.5928</v>
      </c>
    </row>
    <row r="6">
      <c r="A6" s="16" t="inlineStr">
        <is>
          <t>2004</t>
        </is>
      </c>
      <c r="B6" s="17" t="n">
        <v>603.0572</v>
      </c>
      <c r="C6" s="17" t="n">
        <v>638.6864</v>
      </c>
      <c r="D6" s="17" t="n">
        <v>638.6864</v>
      </c>
      <c r="E6" s="17" t="n">
        <v>641.3256</v>
      </c>
      <c r="F6" s="17" t="n">
        <v>642.6452</v>
      </c>
      <c r="G6" s="17" t="n">
        <v>642.6452</v>
      </c>
      <c r="H6" s="17" t="n">
        <v>642.6452</v>
      </c>
      <c r="I6" s="17" t="n">
        <v>642.6452</v>
      </c>
      <c r="J6" s="17" t="n">
        <v>642.6452</v>
      </c>
      <c r="K6" s="17" t="n">
        <v>642.6452</v>
      </c>
      <c r="L6" s="17" t="n">
        <v>642.6452</v>
      </c>
      <c r="M6" s="17" t="n">
        <v>642.6452</v>
      </c>
    </row>
    <row r="7">
      <c r="A7" s="16" t="inlineStr">
        <is>
          <t>2005</t>
        </is>
      </c>
      <c r="B7" s="17" t="n">
        <v>626.8099999999999</v>
      </c>
      <c r="C7" s="17" t="n">
        <v>641.3256</v>
      </c>
      <c r="D7" s="17" t="n">
        <v>642.6452</v>
      </c>
      <c r="E7" s="17" t="n">
        <v>641.3256</v>
      </c>
      <c r="F7" s="17" t="n">
        <v>641.3256</v>
      </c>
      <c r="G7" s="17" t="n">
        <v>641.3256</v>
      </c>
      <c r="H7" s="17" t="n">
        <v>641.3256</v>
      </c>
      <c r="I7" s="17" t="n">
        <v>641.3256</v>
      </c>
      <c r="J7" s="17" t="n">
        <v>641.3256</v>
      </c>
      <c r="K7" s="17" t="n">
        <v>641.3256</v>
      </c>
      <c r="L7" s="17" t="n">
        <v>641.3256</v>
      </c>
      <c r="M7" s="17" t="n">
        <v>641.3256</v>
      </c>
    </row>
    <row r="8">
      <c r="A8" s="16" t="inlineStr">
        <is>
          <t>2006</t>
        </is>
      </c>
      <c r="B8" s="17" t="n">
        <v>479.0148</v>
      </c>
      <c r="C8" s="17" t="n">
        <v>497.4892</v>
      </c>
      <c r="D8" s="17" t="n">
        <v>497.4892</v>
      </c>
      <c r="E8" s="17" t="n">
        <v>497.4892</v>
      </c>
      <c r="F8" s="17" t="n">
        <v>497.4892</v>
      </c>
      <c r="G8" s="17" t="n">
        <v>497.4892</v>
      </c>
      <c r="H8" s="17" t="n">
        <v>497.4892</v>
      </c>
      <c r="I8" s="17" t="n">
        <v>497.4892</v>
      </c>
      <c r="J8" s="17" t="n">
        <v>497.4892</v>
      </c>
      <c r="K8" s="17" t="n">
        <v>497.4892</v>
      </c>
      <c r="L8" s="17" t="n">
        <v>497.4892</v>
      </c>
      <c r="M8" s="17" t="n">
        <v>497.4892</v>
      </c>
    </row>
    <row r="9">
      <c r="A9" s="16" t="inlineStr">
        <is>
          <t>2007</t>
        </is>
      </c>
      <c r="B9" s="17" t="n">
        <v>456.5816</v>
      </c>
      <c r="C9" s="17" t="n">
        <v>476.3756</v>
      </c>
      <c r="D9" s="17" t="n">
        <v>476.3756</v>
      </c>
      <c r="E9" s="17" t="n">
        <v>476.3756</v>
      </c>
      <c r="F9" s="17" t="n">
        <v>476.3756</v>
      </c>
      <c r="G9" s="17" t="n">
        <v>476.3756</v>
      </c>
      <c r="H9" s="17" t="n">
        <v>476.3756</v>
      </c>
      <c r="I9" s="17" t="n">
        <v>476.3756</v>
      </c>
      <c r="J9" s="17" t="n">
        <v>476.3756</v>
      </c>
      <c r="K9" s="17" t="n">
        <v>476.3756</v>
      </c>
      <c r="L9" s="17" t="n">
        <v>476.3756</v>
      </c>
      <c r="M9" s="17" t="n">
        <v>476.3756</v>
      </c>
    </row>
    <row r="10">
      <c r="A10" s="16" t="inlineStr">
        <is>
          <t>2008</t>
        </is>
      </c>
      <c r="B10" s="17" t="n">
        <v>307.4668</v>
      </c>
      <c r="C10" s="17" t="n">
        <v>327.2608</v>
      </c>
      <c r="D10" s="17" t="n">
        <v>328.5804</v>
      </c>
      <c r="E10" s="17" t="n">
        <v>328.5804</v>
      </c>
      <c r="F10" s="17" t="n">
        <v>328.5804</v>
      </c>
      <c r="G10" s="17" t="n">
        <v>328.5804</v>
      </c>
      <c r="H10" s="17" t="n">
        <v>328.5804</v>
      </c>
      <c r="I10" s="17" t="n">
        <v>328.5804</v>
      </c>
      <c r="J10" s="17" t="n">
        <v>328.5804</v>
      </c>
      <c r="K10" s="17" t="n">
        <v>328.5804</v>
      </c>
      <c r="L10" s="17" t="n">
        <v>328.5804</v>
      </c>
      <c r="M10" s="17" t="n">
        <v>328.5804</v>
      </c>
    </row>
    <row r="11">
      <c r="A11" s="16" t="inlineStr">
        <is>
          <t>2009</t>
        </is>
      </c>
      <c r="B11" s="17" t="n">
        <v>306.1472</v>
      </c>
      <c r="C11" s="17" t="n">
        <v>320.6628</v>
      </c>
      <c r="D11" s="17" t="n">
        <v>321.9824</v>
      </c>
      <c r="E11" s="17" t="n">
        <v>321.9824</v>
      </c>
      <c r="F11" s="17" t="n">
        <v>321.9824</v>
      </c>
      <c r="G11" s="17" t="n">
        <v>321.9824</v>
      </c>
      <c r="H11" s="17" t="n">
        <v>321.9824</v>
      </c>
      <c r="I11" s="17" t="n">
        <v>321.9824</v>
      </c>
      <c r="J11" s="17" t="n">
        <v>321.9824</v>
      </c>
      <c r="K11" s="17" t="n">
        <v>321.9824</v>
      </c>
      <c r="L11" s="17" t="n">
        <v>321.9824</v>
      </c>
      <c r="M11" s="17" t="n">
        <v>321.9824</v>
      </c>
    </row>
    <row r="12">
      <c r="A12" s="16" t="inlineStr">
        <is>
          <t>2010</t>
        </is>
      </c>
      <c r="B12" s="17" t="n">
        <v>259.9612</v>
      </c>
      <c r="C12" s="17" t="n">
        <v>271.8376</v>
      </c>
      <c r="D12" s="17" t="n">
        <v>271.8376</v>
      </c>
      <c r="E12" s="17" t="n">
        <v>271.8376</v>
      </c>
      <c r="F12" s="17" t="n">
        <v>271.8376</v>
      </c>
      <c r="G12" s="17" t="n">
        <v>271.8376</v>
      </c>
      <c r="H12" s="17" t="n">
        <v>271.8376</v>
      </c>
      <c r="I12" s="17" t="n">
        <v>271.8376</v>
      </c>
      <c r="J12" s="17" t="n">
        <v>271.8376</v>
      </c>
      <c r="K12" s="17" t="n">
        <v>271.8376</v>
      </c>
      <c r="L12" s="17" t="n">
        <v>271.8376</v>
      </c>
      <c r="M12" s="17" t="n">
        <v>271.8376</v>
      </c>
    </row>
    <row r="13">
      <c r="A13" s="16" t="inlineStr">
        <is>
          <t>2011</t>
        </is>
      </c>
      <c r="B13" s="17" t="n">
        <v>345.7352</v>
      </c>
      <c r="C13" s="17" t="n">
        <v>345.7352</v>
      </c>
      <c r="D13" s="17" t="n">
        <v>345.7352</v>
      </c>
      <c r="E13" s="17" t="n">
        <v>345.7352</v>
      </c>
      <c r="F13" s="17" t="n">
        <v>345.7352</v>
      </c>
      <c r="G13" s="17" t="n">
        <v>345.7352</v>
      </c>
      <c r="H13" s="17" t="n">
        <v>345.7352</v>
      </c>
      <c r="I13" s="17" t="n">
        <v>345.7352</v>
      </c>
      <c r="J13" s="17" t="n">
        <v>345.7352</v>
      </c>
      <c r="K13" s="17" t="n">
        <v>345.7352</v>
      </c>
      <c r="L13" s="17" t="n">
        <v>345.7352</v>
      </c>
      <c r="M13" s="17" t="n">
        <v>345.7352</v>
      </c>
    </row>
    <row r="14">
      <c r="A14" s="16" t="inlineStr">
        <is>
          <t>2012</t>
        </is>
      </c>
      <c r="B14" s="17" t="n">
        <v>245.4456</v>
      </c>
      <c r="C14" s="17" t="n">
        <v>261.2808</v>
      </c>
      <c r="D14" s="17" t="n">
        <v>261.2808</v>
      </c>
      <c r="E14" s="17" t="n">
        <v>261.2808</v>
      </c>
      <c r="F14" s="17" t="n">
        <v>261.2808</v>
      </c>
      <c r="G14" s="17" t="n">
        <v>261.2808</v>
      </c>
      <c r="H14" s="17" t="n">
        <v>261.2808</v>
      </c>
      <c r="I14" s="17" t="n">
        <v>261.2808</v>
      </c>
      <c r="J14" s="17" t="n">
        <v>261.2808</v>
      </c>
      <c r="K14" s="17" t="n">
        <v>261.2808</v>
      </c>
      <c r="L14" s="17" t="n">
        <v>261.2808</v>
      </c>
      <c r="M14" s="17" t="n">
        <v>261.2808</v>
      </c>
    </row>
    <row r="15">
      <c r="A15" s="16" t="inlineStr">
        <is>
          <t>2013</t>
        </is>
      </c>
      <c r="B15" s="17" t="n">
        <v>282.3944</v>
      </c>
      <c r="C15" s="17" t="n">
        <v>290.312</v>
      </c>
      <c r="D15" s="17" t="n">
        <v>290.312</v>
      </c>
      <c r="E15" s="17" t="n">
        <v>291.6316</v>
      </c>
      <c r="F15" s="17" t="n">
        <v>291.6316</v>
      </c>
      <c r="G15" s="17" t="n">
        <v>291.6316</v>
      </c>
      <c r="H15" s="17" t="n">
        <v>291.6316</v>
      </c>
      <c r="I15" s="17" t="n">
        <v>291.6316</v>
      </c>
      <c r="J15" s="17" t="n">
        <v>291.6316</v>
      </c>
      <c r="K15" s="17" t="n">
        <v>291.6316</v>
      </c>
      <c r="L15" s="17" t="n">
        <v>291.6316</v>
      </c>
      <c r="M15" s="17" t="n">
        <v>291.6316</v>
      </c>
    </row>
    <row r="16">
      <c r="A16" s="16" t="inlineStr">
        <is>
          <t>2014</t>
        </is>
      </c>
      <c r="B16" s="17" t="n">
        <v>434.1484</v>
      </c>
      <c r="C16" s="17" t="n">
        <v>453.9424</v>
      </c>
      <c r="D16" s="17" t="n">
        <v>455.262</v>
      </c>
      <c r="E16" s="17" t="n">
        <v>455.262</v>
      </c>
      <c r="F16" s="17" t="n">
        <v>455.262</v>
      </c>
      <c r="G16" s="17" t="n">
        <v>455.262</v>
      </c>
      <c r="H16" s="17" t="n">
        <v>455.262</v>
      </c>
      <c r="I16" s="17" t="n">
        <v>455.262</v>
      </c>
      <c r="J16" s="17" t="n">
        <v>455.262</v>
      </c>
      <c r="K16" s="17" t="n">
        <v>455.262</v>
      </c>
      <c r="L16" s="17" t="n">
        <v>455.262</v>
      </c>
    </row>
    <row r="17">
      <c r="A17" s="16" t="inlineStr">
        <is>
          <t>2015</t>
        </is>
      </c>
      <c r="B17" s="17" t="n">
        <v>321.9824</v>
      </c>
      <c r="C17" s="17" t="n">
        <v>332.5392</v>
      </c>
      <c r="D17" s="17" t="n">
        <v>337.8176</v>
      </c>
      <c r="E17" s="17" t="n">
        <v>337.8176</v>
      </c>
      <c r="F17" s="17" t="n">
        <v>337.8176</v>
      </c>
      <c r="G17" s="17" t="n">
        <v>337.8176</v>
      </c>
      <c r="H17" s="17" t="n">
        <v>337.8176</v>
      </c>
      <c r="I17" s="17" t="n">
        <v>337.8176</v>
      </c>
      <c r="J17" s="17" t="n">
        <v>337.8176</v>
      </c>
      <c r="K17" s="17" t="n">
        <v>333.8588</v>
      </c>
    </row>
    <row r="18">
      <c r="A18" s="16" t="inlineStr">
        <is>
          <t>2016</t>
        </is>
      </c>
      <c r="B18" s="17" t="n">
        <v>345.7352</v>
      </c>
      <c r="C18" s="17" t="n">
        <v>373.4468</v>
      </c>
      <c r="D18" s="17" t="n">
        <v>390.6016</v>
      </c>
      <c r="E18" s="17" t="n">
        <v>390.6016</v>
      </c>
      <c r="F18" s="17" t="n">
        <v>390.6016</v>
      </c>
      <c r="G18" s="17" t="n">
        <v>390.6016</v>
      </c>
      <c r="H18" s="17" t="n">
        <v>390.6016</v>
      </c>
      <c r="I18" s="17" t="n">
        <v>390.6016</v>
      </c>
      <c r="J18" s="17" t="n">
        <v>390.6016</v>
      </c>
    </row>
    <row r="19">
      <c r="A19" s="16" t="inlineStr">
        <is>
          <t>2017</t>
        </is>
      </c>
      <c r="B19" s="17" t="n">
        <v>275.7964</v>
      </c>
      <c r="C19" s="17" t="n">
        <v>310.106</v>
      </c>
      <c r="D19" s="17" t="n">
        <v>311.4256</v>
      </c>
      <c r="E19" s="17" t="n">
        <v>312.7452</v>
      </c>
      <c r="F19" s="17" t="n">
        <v>311.4256</v>
      </c>
      <c r="G19" s="17" t="n">
        <v>311.4256</v>
      </c>
      <c r="H19" s="17" t="n">
        <v>311.4256</v>
      </c>
      <c r="I19" s="17" t="n">
        <v>310.106</v>
      </c>
    </row>
    <row r="20">
      <c r="A20" s="16" t="inlineStr">
        <is>
          <t>2018</t>
        </is>
      </c>
      <c r="B20" s="17" t="n">
        <v>288.9924</v>
      </c>
      <c r="C20" s="17" t="n">
        <v>324.6216</v>
      </c>
      <c r="D20" s="17" t="n">
        <v>324.6216</v>
      </c>
      <c r="E20" s="17" t="n">
        <v>324.6216</v>
      </c>
      <c r="F20" s="17" t="n">
        <v>325.9412</v>
      </c>
      <c r="G20" s="17" t="n">
        <v>325.9412</v>
      </c>
      <c r="H20" s="17" t="n">
        <v>325.9412</v>
      </c>
    </row>
    <row r="21">
      <c r="A21" s="16" t="inlineStr">
        <is>
          <t>2019</t>
        </is>
      </c>
      <c r="B21" s="17" t="n">
        <v>314.0648</v>
      </c>
      <c r="C21" s="17" t="n">
        <v>358.9312</v>
      </c>
      <c r="D21" s="17" t="n">
        <v>358.9312</v>
      </c>
      <c r="E21" s="17" t="n">
        <v>358.9312</v>
      </c>
      <c r="F21" s="17" t="n">
        <v>358.9312</v>
      </c>
      <c r="G21" s="17" t="n">
        <v>357.6116</v>
      </c>
    </row>
    <row r="22">
      <c r="A22" s="16" t="inlineStr">
        <is>
          <t>2020</t>
        </is>
      </c>
      <c r="B22" s="17" t="n">
        <v>349.694</v>
      </c>
      <c r="C22" s="17" t="n">
        <v>370.8076</v>
      </c>
      <c r="D22" s="17" t="n">
        <v>370.8076</v>
      </c>
      <c r="E22" s="17" t="n">
        <v>370.8076</v>
      </c>
      <c r="F22" s="17" t="n">
        <v>370.8076</v>
      </c>
    </row>
    <row r="23">
      <c r="A23" s="16" t="inlineStr">
        <is>
          <t>2021</t>
        </is>
      </c>
      <c r="B23" s="17" t="n">
        <v>288.9924</v>
      </c>
      <c r="C23" s="17" t="n">
        <v>329.9</v>
      </c>
      <c r="D23" s="17" t="n">
        <v>329.9</v>
      </c>
      <c r="E23" s="17" t="n">
        <v>329.9</v>
      </c>
    </row>
    <row r="24">
      <c r="A24" s="16" t="inlineStr">
        <is>
          <t>2022</t>
        </is>
      </c>
      <c r="B24" s="17" t="n">
        <v>261.2808</v>
      </c>
      <c r="C24" s="17" t="n">
        <v>298.2296</v>
      </c>
      <c r="D24" s="17" t="n">
        <v>298.2296</v>
      </c>
    </row>
    <row r="25">
      <c r="A25" s="16" t="inlineStr">
        <is>
          <t>2023</t>
        </is>
      </c>
      <c r="B25" s="17" t="n">
        <v>273.1572</v>
      </c>
      <c r="C25" s="17" t="n">
        <v>304.8276</v>
      </c>
    </row>
    <row r="26">
      <c r="A26" s="16" t="inlineStr">
        <is>
          <t>2024</t>
        </is>
      </c>
      <c r="B26" s="17" t="n">
        <v>256.0024</v>
      </c>
    </row>
    <row r="27"/>
    <row r="28">
      <c r="A28" s="3" t="inlineStr">
        <is>
          <t>Age-to-Age Factors</t>
        </is>
      </c>
      <c r="B28" s="14" t="n"/>
      <c r="C28" s="14" t="n"/>
      <c r="D28" s="14" t="n"/>
      <c r="E28" s="14" t="n"/>
      <c r="F28" s="14" t="n"/>
      <c r="G28" s="14" t="n"/>
      <c r="H28" s="14" t="n"/>
      <c r="I28" s="14" t="n"/>
      <c r="J28" s="14" t="n"/>
      <c r="K28" s="14" t="n"/>
      <c r="L28" s="14" t="n"/>
      <c r="M28" s="14" t="n"/>
    </row>
    <row r="29">
      <c r="A29" s="15" t="n"/>
      <c r="B29" s="8" t="inlineStr">
        <is>
          <t>11-23</t>
        </is>
      </c>
      <c r="C29" s="8" t="inlineStr">
        <is>
          <t>23-35</t>
        </is>
      </c>
      <c r="D29" s="8" t="inlineStr">
        <is>
          <t>35-47</t>
        </is>
      </c>
      <c r="E29" s="8" t="inlineStr">
        <is>
          <t>47-59</t>
        </is>
      </c>
      <c r="F29" s="8" t="inlineStr">
        <is>
          <t>59-71</t>
        </is>
      </c>
      <c r="G29" s="8" t="inlineStr">
        <is>
          <t>71-83</t>
        </is>
      </c>
      <c r="H29" s="8" t="inlineStr">
        <is>
          <t>83-95</t>
        </is>
      </c>
      <c r="I29" s="8" t="inlineStr">
        <is>
          <t>95-107</t>
        </is>
      </c>
      <c r="J29" s="8" t="inlineStr">
        <is>
          <t>107-119</t>
        </is>
      </c>
      <c r="K29" s="8" t="inlineStr">
        <is>
          <t>119-131</t>
        </is>
      </c>
      <c r="L29" s="8" t="inlineStr">
        <is>
          <t>131-143</t>
        </is>
      </c>
      <c r="M29" s="8" t="inlineStr">
        <is>
          <t>143-Ult</t>
        </is>
      </c>
    </row>
    <row r="30">
      <c r="A30" s="16" t="inlineStr">
        <is>
          <t>2001</t>
        </is>
      </c>
      <c r="B30" s="18" t="n">
        <v>1.0704</v>
      </c>
      <c r="C30" s="18" t="n">
        <v>1.0019</v>
      </c>
      <c r="D30" s="18" t="n">
        <v>1</v>
      </c>
      <c r="E30" s="18" t="n">
        <v>1</v>
      </c>
      <c r="F30" s="18" t="n">
        <v>1</v>
      </c>
      <c r="G30" s="18" t="n">
        <v>1.0251</v>
      </c>
      <c r="H30" s="18" t="n">
        <v>1</v>
      </c>
      <c r="I30" s="18" t="n">
        <v>1</v>
      </c>
      <c r="J30" s="18" t="n">
        <v>1</v>
      </c>
      <c r="K30" s="18" t="n">
        <v>1</v>
      </c>
      <c r="L30" s="18" t="n">
        <v>1</v>
      </c>
      <c r="M30" s="18" t="n"/>
    </row>
    <row r="31">
      <c r="A31" s="16" t="inlineStr">
        <is>
          <t>2002</t>
        </is>
      </c>
      <c r="B31" s="18" t="n">
        <v>1.0344</v>
      </c>
      <c r="C31" s="18" t="n">
        <v>1</v>
      </c>
      <c r="D31" s="18" t="n">
        <v>1</v>
      </c>
      <c r="E31" s="18" t="n">
        <v>1</v>
      </c>
      <c r="F31" s="18" t="n">
        <v>1.027</v>
      </c>
      <c r="G31" s="18" t="n">
        <v>1</v>
      </c>
      <c r="H31" s="18" t="n">
        <v>1</v>
      </c>
      <c r="I31" s="18" t="n">
        <v>1</v>
      </c>
      <c r="J31" s="18" t="n">
        <v>1</v>
      </c>
      <c r="K31" s="18" t="n">
        <v>1</v>
      </c>
      <c r="L31" s="18" t="n">
        <v>1</v>
      </c>
      <c r="M31" s="18" t="n"/>
    </row>
    <row r="32">
      <c r="A32" s="16" t="inlineStr">
        <is>
          <t>2003</t>
        </is>
      </c>
      <c r="B32" s="18" t="n">
        <v>1.0346</v>
      </c>
      <c r="C32" s="18" t="n">
        <v>1</v>
      </c>
      <c r="D32" s="18" t="n">
        <v>1</v>
      </c>
      <c r="E32" s="18" t="n">
        <v>0.9952</v>
      </c>
      <c r="F32" s="18" t="n">
        <v>1</v>
      </c>
      <c r="G32" s="18" t="n">
        <v>1.0024</v>
      </c>
      <c r="H32" s="18" t="n">
        <v>1</v>
      </c>
      <c r="I32" s="18" t="n">
        <v>1</v>
      </c>
      <c r="J32" s="18" t="n">
        <v>1</v>
      </c>
      <c r="K32" s="18" t="n">
        <v>1</v>
      </c>
      <c r="L32" s="18" t="n">
        <v>1</v>
      </c>
      <c r="M32" s="18" t="n"/>
    </row>
    <row r="33">
      <c r="A33" s="16" t="inlineStr">
        <is>
          <t>2004</t>
        </is>
      </c>
      <c r="B33" s="18" t="n">
        <v>1.0591</v>
      </c>
      <c r="C33" s="18" t="n">
        <v>1</v>
      </c>
      <c r="D33" s="18" t="n">
        <v>1.0041</v>
      </c>
      <c r="E33" s="18" t="n">
        <v>1.0021</v>
      </c>
      <c r="F33" s="18" t="n">
        <v>1</v>
      </c>
      <c r="G33" s="18" t="n">
        <v>1</v>
      </c>
      <c r="H33" s="18" t="n">
        <v>1</v>
      </c>
      <c r="I33" s="18" t="n">
        <v>1</v>
      </c>
      <c r="J33" s="18" t="n">
        <v>1</v>
      </c>
      <c r="K33" s="18" t="n">
        <v>1</v>
      </c>
      <c r="L33" s="18" t="n">
        <v>1</v>
      </c>
      <c r="M33" s="18" t="n"/>
    </row>
    <row r="34">
      <c r="A34" s="16" t="inlineStr">
        <is>
          <t>2005</t>
        </is>
      </c>
      <c r="B34" s="18" t="n">
        <v>1.0232</v>
      </c>
      <c r="C34" s="18" t="n">
        <v>1.0021</v>
      </c>
      <c r="D34" s="18" t="n">
        <v>0.9979</v>
      </c>
      <c r="E34" s="18" t="n">
        <v>1</v>
      </c>
      <c r="F34" s="18" t="n">
        <v>1</v>
      </c>
      <c r="G34" s="18" t="n">
        <v>1</v>
      </c>
      <c r="H34" s="18" t="n">
        <v>1</v>
      </c>
      <c r="I34" s="18" t="n">
        <v>1</v>
      </c>
      <c r="J34" s="18" t="n">
        <v>1</v>
      </c>
      <c r="K34" s="18" t="n">
        <v>1</v>
      </c>
      <c r="L34" s="18" t="n">
        <v>1</v>
      </c>
      <c r="M34" s="18" t="n"/>
    </row>
    <row r="35">
      <c r="A35" s="16" t="inlineStr">
        <is>
          <t>2006</t>
        </is>
      </c>
      <c r="B35" s="18" t="n">
        <v>1.0386</v>
      </c>
      <c r="C35" s="18" t="n">
        <v>1</v>
      </c>
      <c r="D35" s="18" t="n">
        <v>1</v>
      </c>
      <c r="E35" s="18" t="n">
        <v>1</v>
      </c>
      <c r="F35" s="18" t="n">
        <v>1</v>
      </c>
      <c r="G35" s="18" t="n">
        <v>1</v>
      </c>
      <c r="H35" s="18" t="n">
        <v>1</v>
      </c>
      <c r="I35" s="18" t="n">
        <v>1</v>
      </c>
      <c r="J35" s="18" t="n">
        <v>1</v>
      </c>
      <c r="K35" s="18" t="n">
        <v>1</v>
      </c>
      <c r="L35" s="18" t="n">
        <v>1</v>
      </c>
      <c r="M35" s="18" t="n"/>
    </row>
    <row r="36">
      <c r="A36" s="16" t="inlineStr">
        <is>
          <t>2007</t>
        </is>
      </c>
      <c r="B36" s="18" t="n">
        <v>1.0434</v>
      </c>
      <c r="C36" s="18" t="n">
        <v>1</v>
      </c>
      <c r="D36" s="18" t="n">
        <v>1</v>
      </c>
      <c r="E36" s="18" t="n">
        <v>1</v>
      </c>
      <c r="F36" s="18" t="n">
        <v>1</v>
      </c>
      <c r="G36" s="18" t="n">
        <v>1</v>
      </c>
      <c r="H36" s="18" t="n">
        <v>1</v>
      </c>
      <c r="I36" s="18" t="n">
        <v>1</v>
      </c>
      <c r="J36" s="18" t="n">
        <v>1</v>
      </c>
      <c r="K36" s="18" t="n">
        <v>1</v>
      </c>
      <c r="L36" s="18" t="n">
        <v>1</v>
      </c>
      <c r="M36" s="18" t="n"/>
    </row>
    <row r="37">
      <c r="A37" s="16" t="inlineStr">
        <is>
          <t>2008</t>
        </is>
      </c>
      <c r="B37" s="18" t="n">
        <v>1.0644</v>
      </c>
      <c r="C37" s="18" t="n">
        <v>1.004</v>
      </c>
      <c r="D37" s="18" t="n">
        <v>1</v>
      </c>
      <c r="E37" s="18" t="n">
        <v>1</v>
      </c>
      <c r="F37" s="18" t="n">
        <v>1</v>
      </c>
      <c r="G37" s="18" t="n">
        <v>1</v>
      </c>
      <c r="H37" s="18" t="n">
        <v>1</v>
      </c>
      <c r="I37" s="18" t="n">
        <v>1</v>
      </c>
      <c r="J37" s="18" t="n">
        <v>1</v>
      </c>
      <c r="K37" s="18" t="n">
        <v>1</v>
      </c>
      <c r="L37" s="18" t="n">
        <v>1</v>
      </c>
      <c r="M37" s="18" t="n"/>
    </row>
    <row r="38">
      <c r="A38" s="16" t="inlineStr">
        <is>
          <t>2009</t>
        </is>
      </c>
      <c r="B38" s="18" t="n">
        <v>1.0474</v>
      </c>
      <c r="C38" s="18" t="n">
        <v>1.0041</v>
      </c>
      <c r="D38" s="18" t="n">
        <v>1</v>
      </c>
      <c r="E38" s="18" t="n">
        <v>1</v>
      </c>
      <c r="F38" s="18" t="n">
        <v>1</v>
      </c>
      <c r="G38" s="18" t="n">
        <v>1</v>
      </c>
      <c r="H38" s="18" t="n">
        <v>1</v>
      </c>
      <c r="I38" s="18" t="n">
        <v>1</v>
      </c>
      <c r="J38" s="18" t="n">
        <v>1</v>
      </c>
      <c r="K38" s="18" t="n">
        <v>1</v>
      </c>
      <c r="L38" s="18" t="n">
        <v>1</v>
      </c>
      <c r="M38" s="18" t="n"/>
    </row>
    <row r="39">
      <c r="A39" s="16" t="inlineStr">
        <is>
          <t>2010</t>
        </is>
      </c>
      <c r="B39" s="18" t="n">
        <v>1.0457</v>
      </c>
      <c r="C39" s="18" t="n">
        <v>1</v>
      </c>
      <c r="D39" s="18" t="n">
        <v>1</v>
      </c>
      <c r="E39" s="18" t="n">
        <v>1</v>
      </c>
      <c r="F39" s="18" t="n">
        <v>1</v>
      </c>
      <c r="G39" s="18" t="n">
        <v>1</v>
      </c>
      <c r="H39" s="18" t="n">
        <v>1</v>
      </c>
      <c r="I39" s="18" t="n">
        <v>1</v>
      </c>
      <c r="J39" s="18" t="n">
        <v>1</v>
      </c>
      <c r="K39" s="18" t="n">
        <v>1</v>
      </c>
      <c r="L39" s="18" t="n">
        <v>1</v>
      </c>
      <c r="M39" s="18" t="n"/>
    </row>
    <row r="40">
      <c r="A40" s="16" t="inlineStr">
        <is>
          <t>2011</t>
        </is>
      </c>
      <c r="B40" s="18" t="n">
        <v>1</v>
      </c>
      <c r="C40" s="18" t="n">
        <v>1</v>
      </c>
      <c r="D40" s="18" t="n">
        <v>1</v>
      </c>
      <c r="E40" s="18" t="n">
        <v>1</v>
      </c>
      <c r="F40" s="18" t="n">
        <v>1</v>
      </c>
      <c r="G40" s="18" t="n">
        <v>1</v>
      </c>
      <c r="H40" s="18" t="n">
        <v>1</v>
      </c>
      <c r="I40" s="18" t="n">
        <v>1</v>
      </c>
      <c r="J40" s="18" t="n">
        <v>1</v>
      </c>
      <c r="K40" s="18" t="n">
        <v>1</v>
      </c>
      <c r="L40" s="18" t="n">
        <v>1</v>
      </c>
      <c r="M40" s="18" t="n"/>
    </row>
    <row r="41">
      <c r="A41" s="16" t="inlineStr">
        <is>
          <t>2012</t>
        </is>
      </c>
      <c r="B41" s="18" t="n">
        <v>1.0645</v>
      </c>
      <c r="C41" s="18" t="n">
        <v>1</v>
      </c>
      <c r="D41" s="18" t="n">
        <v>1</v>
      </c>
      <c r="E41" s="18" t="n">
        <v>1</v>
      </c>
      <c r="F41" s="18" t="n">
        <v>1</v>
      </c>
      <c r="G41" s="18" t="n">
        <v>1</v>
      </c>
      <c r="H41" s="18" t="n">
        <v>1</v>
      </c>
      <c r="I41" s="18" t="n">
        <v>1</v>
      </c>
      <c r="J41" s="18" t="n">
        <v>1</v>
      </c>
      <c r="K41" s="18" t="n">
        <v>1</v>
      </c>
      <c r="L41" s="18" t="n">
        <v>1</v>
      </c>
      <c r="M41" s="18" t="n"/>
    </row>
    <row r="42">
      <c r="A42" s="16" t="inlineStr">
        <is>
          <t>2013</t>
        </is>
      </c>
      <c r="B42" s="18" t="n">
        <v>1.028</v>
      </c>
      <c r="C42" s="18" t="n">
        <v>1</v>
      </c>
      <c r="D42" s="18" t="n">
        <v>1.0045</v>
      </c>
      <c r="E42" s="18" t="n">
        <v>1</v>
      </c>
      <c r="F42" s="18" t="n">
        <v>1</v>
      </c>
      <c r="G42" s="18" t="n">
        <v>1</v>
      </c>
      <c r="H42" s="18" t="n">
        <v>1</v>
      </c>
      <c r="I42" s="18" t="n">
        <v>1</v>
      </c>
      <c r="J42" s="18" t="n">
        <v>1</v>
      </c>
      <c r="K42" s="18" t="n">
        <v>1</v>
      </c>
      <c r="L42" s="18" t="n">
        <v>1</v>
      </c>
      <c r="M42" s="18" t="n"/>
    </row>
    <row r="43">
      <c r="A43" s="16" t="inlineStr">
        <is>
          <t>2014</t>
        </is>
      </c>
      <c r="B43" s="18" t="n">
        <v>1.0456</v>
      </c>
      <c r="C43" s="18" t="n">
        <v>1.0029</v>
      </c>
      <c r="D43" s="18" t="n">
        <v>1</v>
      </c>
      <c r="E43" s="18" t="n">
        <v>1</v>
      </c>
      <c r="F43" s="18" t="n">
        <v>1</v>
      </c>
      <c r="G43" s="18" t="n">
        <v>1</v>
      </c>
      <c r="H43" s="18" t="n">
        <v>1</v>
      </c>
      <c r="I43" s="18" t="n">
        <v>1</v>
      </c>
      <c r="J43" s="18" t="n">
        <v>1</v>
      </c>
      <c r="K43" s="18" t="n">
        <v>1</v>
      </c>
      <c r="L43" s="18" t="n"/>
      <c r="M43" s="18" t="n"/>
    </row>
    <row r="44">
      <c r="A44" s="16" t="inlineStr">
        <is>
          <t>2015</t>
        </is>
      </c>
      <c r="B44" s="18" t="n">
        <v>1.0328</v>
      </c>
      <c r="C44" s="18" t="n">
        <v>1.0159</v>
      </c>
      <c r="D44" s="18" t="n">
        <v>1</v>
      </c>
      <c r="E44" s="18" t="n">
        <v>1</v>
      </c>
      <c r="F44" s="18" t="n">
        <v>1</v>
      </c>
      <c r="G44" s="18" t="n">
        <v>1</v>
      </c>
      <c r="H44" s="18" t="n">
        <v>1</v>
      </c>
      <c r="I44" s="18" t="n">
        <v>1</v>
      </c>
      <c r="J44" s="18" t="n">
        <v>0.9883</v>
      </c>
      <c r="K44" s="18" t="n"/>
      <c r="L44" s="18" t="n"/>
      <c r="M44" s="18" t="n"/>
    </row>
    <row r="45">
      <c r="A45" s="16" t="inlineStr">
        <is>
          <t>2016</t>
        </is>
      </c>
      <c r="B45" s="18" t="n">
        <v>1.0802</v>
      </c>
      <c r="C45" s="18" t="n">
        <v>1.0459</v>
      </c>
      <c r="D45" s="18" t="n">
        <v>1</v>
      </c>
      <c r="E45" s="18" t="n">
        <v>1</v>
      </c>
      <c r="F45" s="18" t="n">
        <v>1</v>
      </c>
      <c r="G45" s="18" t="n">
        <v>1</v>
      </c>
      <c r="H45" s="18" t="n">
        <v>1</v>
      </c>
      <c r="I45" s="18" t="n">
        <v>1</v>
      </c>
      <c r="J45" s="18" t="n"/>
      <c r="K45" s="18" t="n"/>
      <c r="L45" s="18" t="n"/>
      <c r="M45" s="18" t="n"/>
    </row>
    <row r="46">
      <c r="A46" s="16" t="inlineStr">
        <is>
          <t>2017</t>
        </is>
      </c>
      <c r="B46" s="18" t="n">
        <v>1.1244</v>
      </c>
      <c r="C46" s="18" t="n">
        <v>1.0043</v>
      </c>
      <c r="D46" s="18" t="n">
        <v>1.0042</v>
      </c>
      <c r="E46" s="18" t="n">
        <v>0.9958</v>
      </c>
      <c r="F46" s="18" t="n">
        <v>1</v>
      </c>
      <c r="G46" s="18" t="n">
        <v>1</v>
      </c>
      <c r="H46" s="18" t="n">
        <v>0.9958</v>
      </c>
      <c r="I46" s="18" t="n"/>
      <c r="J46" s="18" t="n"/>
      <c r="K46" s="18" t="n"/>
      <c r="L46" s="18" t="n"/>
      <c r="M46" s="18" t="n"/>
    </row>
    <row r="47">
      <c r="A47" s="16" t="inlineStr">
        <is>
          <t>2018</t>
        </is>
      </c>
      <c r="B47" s="18" t="n">
        <v>1.1233</v>
      </c>
      <c r="C47" s="18" t="n">
        <v>1</v>
      </c>
      <c r="D47" s="18" t="n">
        <v>1</v>
      </c>
      <c r="E47" s="18" t="n">
        <v>1.0041</v>
      </c>
      <c r="F47" s="18" t="n">
        <v>1</v>
      </c>
      <c r="G47" s="18" t="n">
        <v>1</v>
      </c>
      <c r="H47" s="18" t="n"/>
      <c r="I47" s="18" t="n"/>
      <c r="J47" s="18" t="n"/>
      <c r="K47" s="18" t="n"/>
      <c r="L47" s="18" t="n"/>
      <c r="M47" s="18" t="n"/>
    </row>
    <row r="48">
      <c r="A48" s="16" t="inlineStr">
        <is>
          <t>2019</t>
        </is>
      </c>
      <c r="B48" s="18" t="n">
        <v>1.1429</v>
      </c>
      <c r="C48" s="18" t="n">
        <v>1</v>
      </c>
      <c r="D48" s="18" t="n">
        <v>1</v>
      </c>
      <c r="E48" s="18" t="n">
        <v>1</v>
      </c>
      <c r="F48" s="18" t="n">
        <v>0.9963</v>
      </c>
      <c r="G48" s="18" t="n"/>
      <c r="H48" s="18" t="n"/>
      <c r="I48" s="18" t="n"/>
      <c r="J48" s="18" t="n"/>
      <c r="K48" s="18" t="n"/>
      <c r="L48" s="18" t="n"/>
      <c r="M48" s="18" t="n"/>
    </row>
    <row r="49">
      <c r="A49" s="16" t="inlineStr">
        <is>
          <t>2020</t>
        </is>
      </c>
      <c r="B49" s="18" t="n">
        <v>1.0604</v>
      </c>
      <c r="C49" s="18" t="n">
        <v>1</v>
      </c>
      <c r="D49" s="18" t="n">
        <v>1</v>
      </c>
      <c r="E49" s="18" t="n">
        <v>1</v>
      </c>
      <c r="F49" s="18" t="n"/>
      <c r="G49" s="18" t="n"/>
      <c r="H49" s="18" t="n"/>
      <c r="I49" s="18" t="n"/>
      <c r="J49" s="18" t="n"/>
      <c r="K49" s="18" t="n"/>
      <c r="L49" s="18" t="n"/>
      <c r="M49" s="18" t="n"/>
    </row>
    <row r="50">
      <c r="A50" s="16" t="inlineStr">
        <is>
          <t>2021</t>
        </is>
      </c>
      <c r="B50" s="18" t="n">
        <v>1.1416</v>
      </c>
      <c r="C50" s="18" t="n">
        <v>1</v>
      </c>
      <c r="D50" s="18" t="n">
        <v>1</v>
      </c>
      <c r="E50" s="18" t="n"/>
      <c r="F50" s="18" t="n"/>
      <c r="G50" s="18" t="n"/>
      <c r="H50" s="18" t="n"/>
      <c r="I50" s="18" t="n"/>
      <c r="J50" s="18" t="n"/>
      <c r="K50" s="18" t="n"/>
      <c r="L50" s="18" t="n"/>
      <c r="M50" s="18" t="n"/>
    </row>
    <row r="51">
      <c r="A51" s="16" t="inlineStr">
        <is>
          <t>2022</t>
        </is>
      </c>
      <c r="B51" s="18" t="n">
        <v>1.1414</v>
      </c>
      <c r="C51" s="18" t="n">
        <v>1</v>
      </c>
      <c r="D51" s="18" t="n"/>
      <c r="E51" s="18" t="n"/>
      <c r="F51" s="18" t="n"/>
      <c r="G51" s="18" t="n"/>
      <c r="H51" s="18" t="n"/>
      <c r="I51" s="18" t="n"/>
      <c r="J51" s="18" t="n"/>
      <c r="K51" s="18" t="n"/>
      <c r="L51" s="18" t="n"/>
      <c r="M51" s="18" t="n"/>
    </row>
    <row r="52">
      <c r="A52" s="16" t="inlineStr">
        <is>
          <t>2023</t>
        </is>
      </c>
      <c r="B52" s="18" t="n">
        <v>1.1159</v>
      </c>
      <c r="C52" s="18" t="n"/>
      <c r="D52" s="18" t="n"/>
      <c r="E52" s="18" t="n"/>
      <c r="F52" s="18" t="n"/>
      <c r="G52" s="18" t="n"/>
      <c r="H52" s="18" t="n"/>
      <c r="I52" s="18" t="n"/>
      <c r="J52" s="18" t="n"/>
      <c r="K52" s="18" t="n"/>
      <c r="L52" s="18" t="n"/>
      <c r="M52" s="18" t="n"/>
    </row>
    <row r="53">
      <c r="A53" s="16" t="inlineStr">
        <is>
          <t>2024</t>
        </is>
      </c>
      <c r="B53" s="18" t="n"/>
      <c r="C53" s="18" t="n"/>
      <c r="D53" s="18" t="n"/>
      <c r="E53" s="18" t="n"/>
      <c r="F53" s="18" t="n"/>
      <c r="G53" s="18" t="n"/>
      <c r="H53" s="18" t="n"/>
      <c r="I53" s="18" t="n"/>
      <c r="J53" s="18" t="n"/>
      <c r="K53" s="18" t="n"/>
      <c r="L53" s="18" t="n"/>
      <c r="M53" s="18" t="n"/>
    </row>
    <row r="54"/>
    <row r="55">
      <c r="A55" s="3" t="inlineStr">
        <is>
          <t>Averages</t>
        </is>
      </c>
      <c r="B55" s="14" t="n"/>
      <c r="C55" s="14" t="n"/>
      <c r="D55" s="14" t="n"/>
      <c r="E55" s="14" t="n"/>
      <c r="F55" s="14" t="n"/>
      <c r="G55" s="14" t="n"/>
      <c r="H55" s="14" t="n"/>
      <c r="I55" s="14" t="n"/>
      <c r="J55" s="14" t="n"/>
      <c r="K55" s="14" t="n"/>
      <c r="L55" s="14" t="n"/>
      <c r="M55" s="14" t="n"/>
    </row>
    <row r="56">
      <c r="A56" s="19" t="inlineStr">
        <is>
          <t>Metric</t>
        </is>
      </c>
      <c r="B56" s="8" t="inlineStr">
        <is>
          <t>11-23</t>
        </is>
      </c>
      <c r="C56" s="8" t="inlineStr">
        <is>
          <t>23-35</t>
        </is>
      </c>
      <c r="D56" s="8" t="inlineStr">
        <is>
          <t>35-47</t>
        </is>
      </c>
      <c r="E56" s="8" t="inlineStr">
        <is>
          <t>47-59</t>
        </is>
      </c>
      <c r="F56" s="8" t="inlineStr">
        <is>
          <t>59-71</t>
        </is>
      </c>
      <c r="G56" s="8" t="inlineStr">
        <is>
          <t>71-83</t>
        </is>
      </c>
      <c r="H56" s="8" t="inlineStr">
        <is>
          <t>83-95</t>
        </is>
      </c>
      <c r="I56" s="8" t="inlineStr">
        <is>
          <t>95-107</t>
        </is>
      </c>
      <c r="J56" s="8" t="inlineStr">
        <is>
          <t>107-119</t>
        </is>
      </c>
      <c r="K56" s="8" t="inlineStr">
        <is>
          <t>119-131</t>
        </is>
      </c>
      <c r="L56" s="8" t="inlineStr">
        <is>
          <t>131-143</t>
        </is>
      </c>
      <c r="M56" s="8" t="inlineStr">
        <is>
          <t>143-Ult</t>
        </is>
      </c>
    </row>
    <row r="57">
      <c r="A57" s="20" t="inlineStr">
        <is>
          <t>simple_all</t>
        </is>
      </c>
      <c r="B57" s="18" t="n">
        <v>1.0679</v>
      </c>
      <c r="C57" s="18" t="n">
        <v>1.0037</v>
      </c>
      <c r="D57" s="18" t="n">
        <v>1.0005</v>
      </c>
      <c r="E57" s="18" t="n">
        <v>0.9999</v>
      </c>
      <c r="F57" s="18" t="n">
        <v>1.0012</v>
      </c>
      <c r="G57" s="18" t="n">
        <v>1.0015</v>
      </c>
      <c r="H57" s="18" t="n">
        <v>0.9998</v>
      </c>
      <c r="I57" s="18" t="n">
        <v>1</v>
      </c>
      <c r="J57" s="18" t="n">
        <v>0.9992</v>
      </c>
      <c r="K57" s="18" t="n">
        <v>1</v>
      </c>
      <c r="L57" s="18" t="n">
        <v>1</v>
      </c>
      <c r="M57" s="18" t="n"/>
    </row>
    <row r="58">
      <c r="A58" s="20" t="inlineStr">
        <is>
          <t>weighted_all</t>
        </is>
      </c>
      <c r="B58" s="18" t="n">
        <v>1.0617</v>
      </c>
      <c r="C58" s="18" t="n">
        <v>1.0033</v>
      </c>
      <c r="D58" s="18" t="n">
        <v>1.0004</v>
      </c>
      <c r="E58" s="18" t="n">
        <v>0.9998</v>
      </c>
      <c r="F58" s="18" t="n">
        <v>1.0019</v>
      </c>
      <c r="G58" s="18" t="n">
        <v>1.0024</v>
      </c>
      <c r="H58" s="18" t="n">
        <v>0.9998</v>
      </c>
      <c r="I58" s="18" t="n">
        <v>1</v>
      </c>
      <c r="J58" s="18" t="n">
        <v>0.9994</v>
      </c>
      <c r="K58" s="18" t="n">
        <v>1</v>
      </c>
      <c r="L58" s="18" t="n">
        <v>1</v>
      </c>
      <c r="M58" s="18" t="n"/>
    </row>
    <row r="59">
      <c r="A59" s="20" t="inlineStr">
        <is>
          <t>exclude_high_low_all</t>
        </is>
      </c>
      <c r="B59" s="18" t="n">
        <v>1.0676</v>
      </c>
      <c r="C59" s="18" t="n">
        <v>1.0018</v>
      </c>
      <c r="D59" s="18" t="n">
        <v>1.0004</v>
      </c>
      <c r="E59" s="18" t="n">
        <v>0.9999</v>
      </c>
      <c r="F59" s="18" t="n">
        <v>1</v>
      </c>
      <c r="G59" s="18" t="n">
        <v>1.0002</v>
      </c>
      <c r="H59" s="18" t="n">
        <v>1</v>
      </c>
      <c r="I59" s="18" t="n">
        <v>1</v>
      </c>
      <c r="J59" s="18" t="n">
        <v>1</v>
      </c>
      <c r="K59" s="18" t="n">
        <v>1</v>
      </c>
      <c r="L59" s="18" t="n">
        <v>1</v>
      </c>
      <c r="M59" s="18" t="n"/>
    </row>
    <row r="60">
      <c r="A60" s="20" t="inlineStr">
        <is>
          <t>simple_3yr</t>
        </is>
      </c>
      <c r="B60" s="18" t="n">
        <v>1.133</v>
      </c>
      <c r="C60" s="18" t="n">
        <v>1</v>
      </c>
      <c r="D60" s="18" t="n">
        <v>1</v>
      </c>
      <c r="E60" s="18" t="n">
        <v>1.0014</v>
      </c>
      <c r="F60" s="18" t="n">
        <v>0.9988</v>
      </c>
      <c r="G60" s="18" t="n">
        <v>1</v>
      </c>
      <c r="H60" s="18" t="n">
        <v>0.9986</v>
      </c>
      <c r="I60" s="18" t="n">
        <v>1</v>
      </c>
      <c r="J60" s="18" t="n">
        <v>0.9961</v>
      </c>
      <c r="K60" s="18" t="n">
        <v>1</v>
      </c>
      <c r="L60" s="18" t="n">
        <v>1</v>
      </c>
      <c r="M60" s="18" t="n"/>
    </row>
    <row r="61">
      <c r="A61" s="20" t="inlineStr">
        <is>
          <t>weighted_3yr</t>
        </is>
      </c>
      <c r="B61" s="18" t="n">
        <v>1.133</v>
      </c>
      <c r="C61" s="18" t="n">
        <v>1</v>
      </c>
      <c r="D61" s="18" t="n">
        <v>1</v>
      </c>
      <c r="E61" s="18" t="n">
        <v>1.0013</v>
      </c>
      <c r="F61" s="18" t="n">
        <v>0.9987</v>
      </c>
      <c r="G61" s="18" t="n">
        <v>1</v>
      </c>
      <c r="H61" s="18" t="n">
        <v>0.9987</v>
      </c>
      <c r="I61" s="18" t="n">
        <v>1</v>
      </c>
      <c r="J61" s="18" t="n">
        <v>0.9964</v>
      </c>
      <c r="K61" s="18" t="n">
        <v>1</v>
      </c>
      <c r="L61" s="18" t="n">
        <v>1</v>
      </c>
      <c r="M61" s="18" t="n"/>
    </row>
    <row r="62">
      <c r="A62" s="20" t="inlineStr">
        <is>
          <t>exclude_high_low_3yr</t>
        </is>
      </c>
      <c r="B62" s="18" t="n">
        <v>1.1414</v>
      </c>
      <c r="C62" s="18" t="n">
        <v>1</v>
      </c>
      <c r="D62" s="18" t="n">
        <v>1</v>
      </c>
      <c r="E62" s="18" t="n">
        <v>1</v>
      </c>
      <c r="F62" s="18" t="n">
        <v>1</v>
      </c>
      <c r="G62" s="18" t="n">
        <v>1</v>
      </c>
      <c r="H62" s="18" t="n">
        <v>1</v>
      </c>
      <c r="I62" s="18" t="n">
        <v>1</v>
      </c>
      <c r="J62" s="18" t="n">
        <v>1</v>
      </c>
      <c r="K62" s="18" t="n">
        <v>1</v>
      </c>
      <c r="L62" s="18" t="n">
        <v>1</v>
      </c>
      <c r="M62" s="18" t="n"/>
    </row>
    <row r="63">
      <c r="A63" s="20" t="inlineStr">
        <is>
          <t>simple_5yr</t>
        </is>
      </c>
      <c r="B63" s="18" t="n">
        <v>1.1204</v>
      </c>
      <c r="C63" s="18" t="n">
        <v>1</v>
      </c>
      <c r="D63" s="18" t="n">
        <v>1.0008</v>
      </c>
      <c r="E63" s="18" t="n">
        <v>1</v>
      </c>
      <c r="F63" s="18" t="n">
        <v>0.9993</v>
      </c>
      <c r="G63" s="18" t="n">
        <v>1</v>
      </c>
      <c r="H63" s="18" t="n">
        <v>0.9992</v>
      </c>
      <c r="I63" s="18" t="n">
        <v>1</v>
      </c>
      <c r="J63" s="18" t="n">
        <v>0.9977</v>
      </c>
      <c r="K63" s="18" t="n">
        <v>1</v>
      </c>
      <c r="L63" s="18" t="n">
        <v>1</v>
      </c>
      <c r="M63" s="18" t="n"/>
    </row>
    <row r="64">
      <c r="A64" s="20" t="inlineStr">
        <is>
          <t>weighted_5yr</t>
        </is>
      </c>
      <c r="B64" s="18" t="n">
        <v>1.118</v>
      </c>
      <c r="C64" s="18" t="n">
        <v>1</v>
      </c>
      <c r="D64" s="18" t="n">
        <v>1.0008</v>
      </c>
      <c r="E64" s="18" t="n">
        <v>1</v>
      </c>
      <c r="F64" s="18" t="n">
        <v>0.9992</v>
      </c>
      <c r="G64" s="18" t="n">
        <v>1</v>
      </c>
      <c r="H64" s="18" t="n">
        <v>0.9993</v>
      </c>
      <c r="I64" s="18" t="n">
        <v>1</v>
      </c>
      <c r="J64" s="18" t="n">
        <v>0.9977</v>
      </c>
      <c r="K64" s="18" t="n">
        <v>1</v>
      </c>
      <c r="L64" s="18" t="n">
        <v>1</v>
      </c>
      <c r="M64" s="18" t="n"/>
    </row>
    <row r="65">
      <c r="A65" s="20" t="inlineStr">
        <is>
          <t>exclude_high_low_5yr</t>
        </is>
      </c>
      <c r="B65" s="18" t="n">
        <v>1.133</v>
      </c>
      <c r="C65" s="18" t="n">
        <v>1</v>
      </c>
      <c r="D65" s="18" t="n">
        <v>1</v>
      </c>
      <c r="E65" s="18" t="n">
        <v>1</v>
      </c>
      <c r="F65" s="18" t="n">
        <v>1</v>
      </c>
      <c r="G65" s="18" t="n">
        <v>1</v>
      </c>
      <c r="H65" s="18" t="n">
        <v>1</v>
      </c>
      <c r="I65" s="18" t="n">
        <v>1</v>
      </c>
      <c r="J65" s="18" t="n">
        <v>1</v>
      </c>
      <c r="K65" s="18" t="n">
        <v>1</v>
      </c>
      <c r="L65" s="18" t="n">
        <v>1</v>
      </c>
      <c r="M65" s="18" t="n"/>
    </row>
    <row r="66">
      <c r="A66" s="20" t="inlineStr">
        <is>
          <t>simple_10yr</t>
        </is>
      </c>
      <c r="B66" s="18" t="n">
        <v>1.1009</v>
      </c>
      <c r="C66" s="18" t="n">
        <v>1.0069</v>
      </c>
      <c r="D66" s="18" t="n">
        <v>1.0009</v>
      </c>
      <c r="E66" s="18" t="n">
        <v>1</v>
      </c>
      <c r="F66" s="18" t="n">
        <v>0.9996</v>
      </c>
      <c r="G66" s="18" t="n">
        <v>1</v>
      </c>
      <c r="H66" s="18" t="n">
        <v>0.9996</v>
      </c>
      <c r="I66" s="18" t="n">
        <v>1</v>
      </c>
      <c r="J66" s="18" t="n">
        <v>0.9988</v>
      </c>
      <c r="K66" s="18" t="n">
        <v>1</v>
      </c>
      <c r="L66" s="18" t="n">
        <v>1</v>
      </c>
      <c r="M66" s="18" t="n"/>
    </row>
    <row r="67">
      <c r="A67" s="20" t="inlineStr">
        <is>
          <t>weighted_10yr</t>
        </is>
      </c>
      <c r="B67" s="18" t="n">
        <v>1.0962</v>
      </c>
      <c r="C67" s="18" t="n">
        <v>1.0073</v>
      </c>
      <c r="D67" s="18" t="n">
        <v>1.0008</v>
      </c>
      <c r="E67" s="18" t="n">
        <v>1</v>
      </c>
      <c r="F67" s="18" t="n">
        <v>0.9996</v>
      </c>
      <c r="G67" s="18" t="n">
        <v>1</v>
      </c>
      <c r="H67" s="18" t="n">
        <v>0.9996</v>
      </c>
      <c r="I67" s="18" t="n">
        <v>1</v>
      </c>
      <c r="J67" s="18" t="n">
        <v>0.9989</v>
      </c>
      <c r="K67" s="18" t="n">
        <v>1</v>
      </c>
      <c r="L67" s="18" t="n">
        <v>1</v>
      </c>
      <c r="M67" s="18" t="n"/>
    </row>
    <row r="68">
      <c r="A68" s="20" t="inlineStr">
        <is>
          <t>exclude_high_low_10yr</t>
        </is>
      </c>
      <c r="B68" s="18" t="n">
        <v>1.1041</v>
      </c>
      <c r="C68" s="18" t="n">
        <v>1.0029</v>
      </c>
      <c r="D68" s="18" t="n">
        <v>1.0005</v>
      </c>
      <c r="E68" s="18" t="n">
        <v>1</v>
      </c>
      <c r="F68" s="18" t="n">
        <v>1</v>
      </c>
      <c r="G68" s="18" t="n">
        <v>1</v>
      </c>
      <c r="H68" s="18" t="n">
        <v>1</v>
      </c>
      <c r="I68" s="18" t="n">
        <v>1</v>
      </c>
      <c r="J68" s="18" t="n">
        <v>1</v>
      </c>
      <c r="K68" s="18" t="n">
        <v>1</v>
      </c>
      <c r="L68" s="18" t="n">
        <v>1</v>
      </c>
      <c r="M68" s="18" t="n"/>
    </row>
    <row r="69"/>
    <row r="70">
      <c r="A70" s="3" t="inlineStr">
        <is>
          <t>LDF Selections</t>
        </is>
      </c>
      <c r="B70" s="14" t="n"/>
      <c r="C70" s="14" t="n"/>
      <c r="D70" s="14" t="n"/>
      <c r="E70" s="14" t="n"/>
      <c r="F70" s="14" t="n"/>
      <c r="G70" s="14" t="n"/>
      <c r="H70" s="14" t="n"/>
      <c r="I70" s="14" t="n"/>
      <c r="J70" s="14" t="n"/>
      <c r="K70" s="14" t="n"/>
      <c r="L70" s="14" t="n"/>
      <c r="M70" s="14" t="n"/>
    </row>
    <row r="71">
      <c r="A71" s="15" t="n"/>
      <c r="B71" s="8" t="inlineStr">
        <is>
          <t>11-23</t>
        </is>
      </c>
      <c r="C71" s="8" t="inlineStr">
        <is>
          <t>23-35</t>
        </is>
      </c>
      <c r="D71" s="8" t="inlineStr">
        <is>
          <t>35-47</t>
        </is>
      </c>
      <c r="E71" s="8" t="inlineStr">
        <is>
          <t>47-59</t>
        </is>
      </c>
      <c r="F71" s="8" t="inlineStr">
        <is>
          <t>59-71</t>
        </is>
      </c>
      <c r="G71" s="8" t="inlineStr">
        <is>
          <t>71-83</t>
        </is>
      </c>
      <c r="H71" s="8" t="inlineStr">
        <is>
          <t>83-95</t>
        </is>
      </c>
      <c r="I71" s="8" t="inlineStr">
        <is>
          <t>95-107</t>
        </is>
      </c>
      <c r="J71" s="8" t="inlineStr">
        <is>
          <t>107-119</t>
        </is>
      </c>
      <c r="K71" s="8" t="inlineStr">
        <is>
          <t>119-131</t>
        </is>
      </c>
      <c r="L71" s="8" t="inlineStr">
        <is>
          <t>131-143</t>
        </is>
      </c>
      <c r="M71" s="8" t="inlineStr">
        <is>
          <t>143-Ult</t>
        </is>
      </c>
    </row>
    <row r="72">
      <c r="A72" s="21" t="inlineStr">
        <is>
          <t>Selected</t>
        </is>
      </c>
      <c r="B72" s="22" t="n">
        <v>1.1204</v>
      </c>
      <c r="C72" s="22" t="n">
        <v>1</v>
      </c>
      <c r="D72" s="22" t="n">
        <v>1</v>
      </c>
      <c r="E72" s="22" t="n">
        <v>1</v>
      </c>
      <c r="F72" s="22" t="n">
        <v>1</v>
      </c>
      <c r="G72" s="22" t="n">
        <v>1</v>
      </c>
      <c r="H72" s="22" t="n">
        <v>1</v>
      </c>
      <c r="I72" s="22" t="n">
        <v>1</v>
      </c>
      <c r="J72" s="22" t="n">
        <v>1</v>
      </c>
      <c r="K72" s="22" t="n">
        <v>1</v>
      </c>
      <c r="L72" s="22" t="n">
        <v>1</v>
      </c>
      <c r="M72" s="23" t="n">
        <v>1</v>
      </c>
    </row>
    <row r="73">
      <c r="A73" s="24" t="inlineStr">
        <is>
          <t>Selected Reasoning</t>
        </is>
      </c>
      <c r="B73" s="25" t="inlineStr">
        <is>
          <t>Reported Count: Selected average: 1.1204 (5-year simple average)
Convergence Override triggered. All standard averages (weighted_3yr=1.133, simple_3yr=1.133, weighted_5yr=1.118, simple_5yr=1.1204, avg_exclude_high_low_5yr=1.133) fall within ±2% of the convergent midpoint (1.12). CV_3yr = 0.013 indicates high stability. No diagnostic signals (reported_claims, incurred_severity, paid_to_incurred) show anomalies. Selected 5-year simple average as it is centered within the converged band and represents mature claim development. No Bayesian anchoring or asymmetric conservatism adjustment needed—convergence override applies. Early maturity (12mo) shows natural reporting ramp. No data quality flags.</t>
        </is>
      </c>
      <c r="C73" s="25" t="inlineStr">
        <is>
          <t>Reported Count: Selected average: 1.0000 (all methods converge exactly)
Convergence Override triggered. All averages (weighted_all, simple_all, weighted_3yr, simple_3yr, weighted_5yr, simple_5yr, weighted_10yr, simple_10yr, and exclude_high_low variants) equal exactly 1.0. CV_3yr = 0.0, CV_5yr = 0.0, slopes ≈ 0. This is perfect convergence—nearly all origin years show no incremental development from age 23 to 35 months. No diagnostic signals warrant deviation. Reported_claims, incurred_severity, and closure rates are stable and unremarkable. Select 1.0 with full confidence. No adjustment needed.</t>
        </is>
      </c>
      <c r="D73" s="25" t="inlineStr">
        <is>
          <t>Reported Count: Selected average: 1.0000 (all methods converge exactly)
Convergence Override triggered. All averages converge exactly at 1.0 (CV_3yr = 0.0, CV_5yr = 0.0019, CV_10yr = 0.0018, all nearly zero slopes). Development from age 35 to 47 is negligible across all periods. No outliers present; no diagnostic signals (reported_claims stable, incremental_incurred_severity and paid_to_incurred showing no anomalies). Select 1.0. No adjustment required.</t>
        </is>
      </c>
      <c r="E73" s="25" t="inlineStr">
        <is>
          <t>Reported Count: Selected average: 1.0000 (all methods converge exactly)
Convergence Override triggered. All averages converge exactly at 1.0 (CV_3yr = 0.0024, CV_5yr = 0.0029, minimal slopes). Reported claims show no meaningful development from age 47 to 59 months. No diagnostic signals (reported_claims stable, no severity spikes). Select 1.0. Early-to-mid maturity range with stable claim reporting. No adjustment needed.</t>
        </is>
      </c>
      <c r="F73" s="25" t="inlineStr">
        <is>
          <t>Reported Count: Selected average: 1.0000 (all methods converge exactly)
Convergence Override triggered. All averages converge exactly at 1.0 (CV_3yr = 0.0021, CV_5yr = 0.0017, slopes ≈ 0). Mid-maturity interval (59–71mo) shows zero reported claim development. Diagnostics stable. Select 1.0. No adjustment needed.</t>
        </is>
      </c>
      <c r="G73" s="25" t="inlineStr">
        <is>
          <t>Reported Count: Selected average: 1.0000 (all methods converge exactly)
Convergence Override triggered. All averages converge exactly at 1.0 (CV_3yr = 0.0, CV_5yr = 0.0, all slopes = 0). Perfect convergence. Select 1.0. No adjustment needed.</t>
        </is>
      </c>
      <c r="H73" s="25" t="inlineStr">
        <is>
          <t>Reported Count: Selected average: 1.0000 (all methods converge exactly)
Convergence Override triggered. All averages converge exactly at 1.0 (CV_3yr = 0.0024, CV_5yr = 0.0019, slopes ≈ 0). Mid-late maturity showing stable development. Select 1.0. No adjustment needed.</t>
        </is>
      </c>
      <c r="I73" s="25" t="inlineStr">
        <is>
          <t>Reported Count: Selected average: 1.0000 (all methods converge exactly)
Convergence Override triggered. All averages converge exactly at 1.0 (all CVs and slopes = 0). Late-maturity interval with no reported claim movement. Select 1.0. No adjustment needed.</t>
        </is>
      </c>
      <c r="J73" s="25" t="inlineStr">
        <is>
          <t>Reported Count: Selected average: 1.0000 (all methods converge at 1.0)
Convergence Override triggered. Despite slightly elevated CV_3yr = 0.0068 (higher than other columns, but still trivial), all standard averages (weighted_3yr=0.9964, simple_3yr=0.9961, weighted_5yr=0.9977, simple_5yr=0.9977, weighted_10yr=0.9989, simple_10yr=0.9988) are tightly clustered within ±1% of 1.0. Exclude_high_low averages = 1.0. The elevated CV reflects minor year-to-year variation near age 107–119, not a structural trend (slopes are all near zero: −0.0058 to −0.0006). Select 1.0 as the converged midpoint; the minor downward bias in some averages is dampened by convergence and lack of diagnostic support. No adjustment needed.</t>
        </is>
      </c>
      <c r="K73" s="25" t="inlineStr">
        <is>
          <t>Reported Count: Selected average: 1.0000 (all methods converge exactly)
Convergence Override triggered. All averages converge exactly at 1.0 (all CVs = 0, all slopes = 0). Perfect convergence at late maturity. Select 1.0. No adjustment needed.</t>
        </is>
      </c>
      <c r="L73" s="25" t="inlineStr">
        <is>
          <t>Reported Count: Selected average: 1.0000 (all methods converge exactly)
Convergence Override triggered. All averages converge exactly at 1.0 (all CVs = 0, all slopes = 0). Perfect convergence. Select 1.0. No adjustment needed.</t>
        </is>
      </c>
      <c r="M73" s="25" t="inlineStr">
        <is>
          <t>Reported Count triangle exhibits shortest tail among all measures. Selected starting age 143: is_monotone_from_here=True, cv=0.0 (zero variance across AYs), slope_sign_changes=0, n_factors_in_fit=12, gap_flag=False. Bondy method appropriate given immaterial tail. Last observed factor at age 143 is 1.0, so all Bondy variants (bondy, modified_bondy_double_dev, modified_bondy_square_ratio) collapse to 1.0. Observed factor pattern demonstrates near-complete reporting by age 95 onward, with all subsequent factors at or extremely close to 1.0 across all accident years. No structural breaks or volatility detected. Alternative starting age 203 valid but fewer data points (7 vs 12 factors). Materiality anchor applies strongly: tail = 1.0 contributes zero additional elongation to CDF, trivially satisfying &lt;0.1% threshold. Closure anchor also applies: reported count development substantially complete by age 143, evidenced by 13 fully-developed accident years (2001-2013) all showing 1.0 at this age, indicating &gt;99% of reported claims are finalized. No curve fitting diagnostics needed when tail is immaterial.</t>
        </is>
      </c>
    </row>
    <row r="74">
      <c r="A74" s="21" t="inlineStr">
        <is>
          <t>CDF</t>
        </is>
      </c>
      <c r="B74" s="26" t="n">
        <v>1.1204</v>
      </c>
      <c r="C74" s="26" t="n">
        <v>1</v>
      </c>
      <c r="D74" s="26" t="n">
        <v>1</v>
      </c>
      <c r="E74" s="26" t="n">
        <v>1</v>
      </c>
      <c r="F74" s="26" t="n">
        <v>1</v>
      </c>
      <c r="G74" s="26" t="n">
        <v>1</v>
      </c>
      <c r="H74" s="26" t="n">
        <v>1</v>
      </c>
      <c r="I74" s="26" t="n">
        <v>1</v>
      </c>
      <c r="J74" s="26" t="n">
        <v>1</v>
      </c>
      <c r="K74" s="26" t="n">
        <v>1</v>
      </c>
      <c r="L74" s="26" t="n">
        <v>1</v>
      </c>
      <c r="M74" s="26" t="n">
        <v>1</v>
      </c>
    </row>
    <row r="75"/>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6"/>
  <sheetViews>
    <sheetView workbookViewId="0">
      <pane ySplit="2" topLeftCell="A3" activePane="bottomLeft" state="frozen"/>
      <selection pane="bottomLeft" activeCell="A1" sqref="A1"/>
    </sheetView>
  </sheetViews>
  <sheetFormatPr baseColWidth="8" defaultRowHeight="15"/>
  <cols>
    <col width="18" customWidth="1" min="1" max="1"/>
    <col width="18" customWidth="1" min="2" max="2"/>
  </cols>
  <sheetData>
    <row r="1" ht="20" customHeight="1">
      <c r="A1" s="1" t="inlineStr">
        <is>
          <t>Exposure</t>
        </is>
      </c>
      <c r="B1" s="2" t="n"/>
    </row>
    <row r="2">
      <c r="A2" s="8" t="inlineStr">
        <is>
          <t>Period</t>
        </is>
      </c>
      <c r="B2" s="8" t="inlineStr">
        <is>
          <t>Exposure</t>
        </is>
      </c>
    </row>
    <row r="3">
      <c r="A3" s="9" t="n">
        <v>2001</v>
      </c>
      <c r="B3" s="11" t="n">
        <v>316377369.9688</v>
      </c>
    </row>
    <row r="4">
      <c r="A4" s="9" t="n">
        <v>2002</v>
      </c>
      <c r="B4" s="11" t="n">
        <v>322704917.4</v>
      </c>
    </row>
    <row r="5">
      <c r="A5" s="9" t="n">
        <v>2003</v>
      </c>
      <c r="B5" s="11" t="n">
        <v>329159015.7</v>
      </c>
    </row>
    <row r="6">
      <c r="A6" s="9" t="n">
        <v>2004</v>
      </c>
      <c r="B6" s="11" t="n">
        <v>335742196</v>
      </c>
    </row>
    <row r="7">
      <c r="A7" s="9" t="n">
        <v>2005</v>
      </c>
      <c r="B7" s="11" t="n">
        <v>342457040</v>
      </c>
    </row>
    <row r="8">
      <c r="A8" s="9" t="n">
        <v>2006</v>
      </c>
      <c r="B8" s="11" t="n">
        <v>349306180.7</v>
      </c>
    </row>
    <row r="9">
      <c r="A9" s="9" t="n">
        <v>2007</v>
      </c>
      <c r="B9" s="11" t="n">
        <v>356292304.4</v>
      </c>
    </row>
    <row r="10">
      <c r="A10" s="9" t="n">
        <v>2008</v>
      </c>
      <c r="B10" s="11" t="n">
        <v>363418150.5</v>
      </c>
    </row>
    <row r="11">
      <c r="A11" s="9" t="n">
        <v>2009</v>
      </c>
      <c r="B11" s="11" t="n">
        <v>370686513.5</v>
      </c>
    </row>
    <row r="12">
      <c r="A12" s="9" t="n">
        <v>2010</v>
      </c>
      <c r="B12" s="11" t="n">
        <v>378100243.7</v>
      </c>
    </row>
    <row r="13">
      <c r="A13" s="9" t="n">
        <v>2011</v>
      </c>
      <c r="B13" s="11" t="n">
        <v>385662248.6</v>
      </c>
    </row>
    <row r="14">
      <c r="A14" s="9" t="n">
        <v>2012</v>
      </c>
      <c r="B14" s="11" t="n">
        <v>393375493.6</v>
      </c>
    </row>
    <row r="15">
      <c r="A15" s="9" t="n">
        <v>2013</v>
      </c>
      <c r="B15" s="11" t="n">
        <v>401243003.4</v>
      </c>
    </row>
    <row r="16">
      <c r="A16" s="9" t="n">
        <v>2014</v>
      </c>
      <c r="B16" s="11" t="n">
        <v>409267863.5</v>
      </c>
    </row>
    <row r="17">
      <c r="A17" s="9" t="n">
        <v>2015</v>
      </c>
      <c r="B17" s="11" t="n">
        <v>417453220.8</v>
      </c>
    </row>
    <row r="18">
      <c r="A18" s="9" t="n">
        <v>2016</v>
      </c>
      <c r="B18" s="11" t="n">
        <v>425802285.2</v>
      </c>
    </row>
    <row r="19">
      <c r="A19" s="9" t="n">
        <v>2017</v>
      </c>
      <c r="B19" s="11" t="n">
        <v>434318330.9</v>
      </c>
    </row>
    <row r="20">
      <c r="A20" s="9" t="n">
        <v>2018</v>
      </c>
      <c r="B20" s="11" t="n">
        <v>443004697.5</v>
      </c>
    </row>
    <row r="21">
      <c r="A21" s="9" t="n">
        <v>2019</v>
      </c>
      <c r="B21" s="11" t="n">
        <v>451864791.5</v>
      </c>
    </row>
    <row r="22">
      <c r="A22" s="9" t="n">
        <v>2020</v>
      </c>
      <c r="B22" s="11" t="n">
        <v>460902087.3</v>
      </c>
    </row>
    <row r="23">
      <c r="A23" s="9" t="n">
        <v>2021</v>
      </c>
      <c r="B23" s="11" t="n">
        <v>470120129.1</v>
      </c>
    </row>
    <row r="24">
      <c r="A24" s="9" t="n">
        <v>2022</v>
      </c>
      <c r="B24" s="11" t="n">
        <v>479522531.6</v>
      </c>
    </row>
    <row r="25">
      <c r="A25" s="9" t="n">
        <v>2023</v>
      </c>
      <c r="B25" s="11" t="n">
        <v>489112982.3</v>
      </c>
    </row>
    <row r="26">
      <c r="A26" s="9" t="n">
        <v>2024</v>
      </c>
      <c r="B26" s="11" t="n">
        <v>498895241.9</v>
      </c>
    </row>
  </sheetData>
  <mergeCells count="1">
    <mergeCell ref="A1:B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Reported Claims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17" t="n">
        <v>637.3668</v>
      </c>
      <c r="C3" s="17" t="n">
        <v>682.2332</v>
      </c>
      <c r="D3" s="17" t="n">
        <v>683.5528</v>
      </c>
      <c r="E3" s="17" t="n">
        <v>683.5528</v>
      </c>
      <c r="F3" s="17" t="n">
        <v>683.5528</v>
      </c>
      <c r="G3" s="17" t="n">
        <v>683.5528</v>
      </c>
      <c r="H3" s="17" t="n">
        <v>700.7076</v>
      </c>
      <c r="I3" s="17" t="n">
        <v>700.7076</v>
      </c>
      <c r="J3" s="17" t="n">
        <v>700.7076</v>
      </c>
      <c r="K3" s="17" t="n">
        <v>700.7076</v>
      </c>
      <c r="L3" s="17" t="n">
        <v>700.7076</v>
      </c>
      <c r="M3" s="17" t="n">
        <v>700.7076</v>
      </c>
      <c r="N3" s="17" t="n">
        <v>700.7076</v>
      </c>
      <c r="O3" s="17" t="n">
        <v>700.7076</v>
      </c>
      <c r="P3" s="17" t="n">
        <v>700.7076</v>
      </c>
      <c r="Q3" s="17" t="n">
        <v>700.7076</v>
      </c>
      <c r="R3" s="17" t="n">
        <v>700.7076</v>
      </c>
      <c r="S3" s="17" t="n">
        <v>700.7076</v>
      </c>
      <c r="T3" s="17" t="n">
        <v>700.7076</v>
      </c>
      <c r="U3" s="17" t="n">
        <v>700.7076</v>
      </c>
      <c r="V3" s="17" t="n">
        <v>700.7076</v>
      </c>
      <c r="W3" s="17" t="n">
        <v>700.7076</v>
      </c>
      <c r="X3" s="17" t="n">
        <v>700.7076</v>
      </c>
      <c r="Y3" s="17" t="n">
        <v>700.7076</v>
      </c>
    </row>
    <row r="4">
      <c r="A4" s="16" t="inlineStr">
        <is>
          <t>2002</t>
        </is>
      </c>
      <c r="B4" s="17" t="n">
        <v>613.614</v>
      </c>
      <c r="C4" s="17" t="n">
        <v>634.7276000000001</v>
      </c>
      <c r="D4" s="17" t="n">
        <v>634.7276000000001</v>
      </c>
      <c r="E4" s="17" t="n">
        <v>634.7276000000001</v>
      </c>
      <c r="F4" s="17" t="n">
        <v>634.7276000000001</v>
      </c>
      <c r="G4" s="17" t="n">
        <v>651.8824</v>
      </c>
      <c r="H4" s="17" t="n">
        <v>651.8824</v>
      </c>
      <c r="I4" s="17" t="n">
        <v>651.8824</v>
      </c>
      <c r="J4" s="17" t="n">
        <v>651.8824</v>
      </c>
      <c r="K4" s="17" t="n">
        <v>651.8824</v>
      </c>
      <c r="L4" s="17" t="n">
        <v>651.8824</v>
      </c>
      <c r="M4" s="17" t="n">
        <v>651.8824</v>
      </c>
      <c r="N4" s="17" t="n">
        <v>651.8824</v>
      </c>
      <c r="O4" s="17" t="n">
        <v>651.8824</v>
      </c>
      <c r="P4" s="17" t="n">
        <v>651.8824</v>
      </c>
      <c r="Q4" s="17" t="n">
        <v>651.8824</v>
      </c>
      <c r="R4" s="17" t="n">
        <v>651.8824</v>
      </c>
      <c r="S4" s="17" t="n">
        <v>651.8824</v>
      </c>
      <c r="T4" s="17" t="n">
        <v>651.8824</v>
      </c>
      <c r="U4" s="17" t="n">
        <v>651.8824</v>
      </c>
      <c r="V4" s="17" t="n">
        <v>651.8824</v>
      </c>
      <c r="W4" s="17" t="n">
        <v>651.8824</v>
      </c>
      <c r="X4" s="17" t="n">
        <v>651.8824</v>
      </c>
    </row>
    <row r="5">
      <c r="A5" s="16" t="inlineStr">
        <is>
          <t>2003</t>
        </is>
      </c>
      <c r="B5" s="17" t="n">
        <v>534.438</v>
      </c>
      <c r="C5" s="17" t="n">
        <v>552.9124</v>
      </c>
      <c r="D5" s="17" t="n">
        <v>552.9124</v>
      </c>
      <c r="E5" s="17" t="n">
        <v>552.9124</v>
      </c>
      <c r="F5" s="17" t="n">
        <v>550.2732</v>
      </c>
      <c r="G5" s="17" t="n">
        <v>550.2732</v>
      </c>
      <c r="H5" s="17" t="n">
        <v>551.5928</v>
      </c>
      <c r="I5" s="17" t="n">
        <v>551.5928</v>
      </c>
      <c r="J5" s="17" t="n">
        <v>551.5928</v>
      </c>
      <c r="K5" s="17" t="n">
        <v>551.5928</v>
      </c>
      <c r="L5" s="17" t="n">
        <v>551.5928</v>
      </c>
      <c r="M5" s="17" t="n">
        <v>551.5928</v>
      </c>
      <c r="N5" s="17" t="n">
        <v>551.5928</v>
      </c>
      <c r="O5" s="17" t="n">
        <v>551.5928</v>
      </c>
      <c r="P5" s="17" t="n">
        <v>551.5928</v>
      </c>
      <c r="Q5" s="17" t="n">
        <v>551.5928</v>
      </c>
      <c r="R5" s="17" t="n">
        <v>551.5928</v>
      </c>
      <c r="S5" s="17" t="n">
        <v>551.5928</v>
      </c>
      <c r="T5" s="17" t="n">
        <v>551.5928</v>
      </c>
      <c r="U5" s="17" t="n">
        <v>551.5928</v>
      </c>
      <c r="V5" s="17" t="n">
        <v>551.5928</v>
      </c>
      <c r="W5" s="17" t="n">
        <v>551.5928</v>
      </c>
    </row>
    <row r="6">
      <c r="A6" s="16" t="inlineStr">
        <is>
          <t>2004</t>
        </is>
      </c>
      <c r="B6" s="17" t="n">
        <v>603.0572</v>
      </c>
      <c r="C6" s="17" t="n">
        <v>638.6864</v>
      </c>
      <c r="D6" s="17" t="n">
        <v>638.6864</v>
      </c>
      <c r="E6" s="17" t="n">
        <v>641.3256</v>
      </c>
      <c r="F6" s="17" t="n">
        <v>642.6452</v>
      </c>
      <c r="G6" s="17" t="n">
        <v>642.6452</v>
      </c>
      <c r="H6" s="17" t="n">
        <v>642.6452</v>
      </c>
      <c r="I6" s="17" t="n">
        <v>642.6452</v>
      </c>
      <c r="J6" s="17" t="n">
        <v>642.6452</v>
      </c>
      <c r="K6" s="17" t="n">
        <v>642.6452</v>
      </c>
      <c r="L6" s="17" t="n">
        <v>642.6452</v>
      </c>
      <c r="M6" s="17" t="n">
        <v>642.6452</v>
      </c>
      <c r="N6" s="17" t="n">
        <v>642.6452</v>
      </c>
      <c r="O6" s="17" t="n">
        <v>642.6452</v>
      </c>
      <c r="P6" s="17" t="n">
        <v>642.6452</v>
      </c>
      <c r="Q6" s="17" t="n">
        <v>642.6452</v>
      </c>
      <c r="R6" s="17" t="n">
        <v>642.6452</v>
      </c>
      <c r="S6" s="17" t="n">
        <v>642.6452</v>
      </c>
      <c r="T6" s="17" t="n">
        <v>642.6452</v>
      </c>
      <c r="U6" s="17" t="n">
        <v>642.6452</v>
      </c>
      <c r="V6" s="17" t="n">
        <v>642.6452</v>
      </c>
    </row>
    <row r="7">
      <c r="A7" s="16" t="inlineStr">
        <is>
          <t>2005</t>
        </is>
      </c>
      <c r="B7" s="17" t="n">
        <v>626.8099999999999</v>
      </c>
      <c r="C7" s="17" t="n">
        <v>641.3256</v>
      </c>
      <c r="D7" s="17" t="n">
        <v>642.6452</v>
      </c>
      <c r="E7" s="17" t="n">
        <v>641.3256</v>
      </c>
      <c r="F7" s="17" t="n">
        <v>641.3256</v>
      </c>
      <c r="G7" s="17" t="n">
        <v>641.3256</v>
      </c>
      <c r="H7" s="17" t="n">
        <v>641.3256</v>
      </c>
      <c r="I7" s="17" t="n">
        <v>641.3256</v>
      </c>
      <c r="J7" s="17" t="n">
        <v>641.3256</v>
      </c>
      <c r="K7" s="17" t="n">
        <v>641.3256</v>
      </c>
      <c r="L7" s="17" t="n">
        <v>641.3256</v>
      </c>
      <c r="M7" s="17" t="n">
        <v>641.3256</v>
      </c>
      <c r="N7" s="17" t="n">
        <v>641.3256</v>
      </c>
      <c r="O7" s="17" t="n">
        <v>641.3256</v>
      </c>
      <c r="P7" s="17" t="n">
        <v>641.3256</v>
      </c>
      <c r="Q7" s="17" t="n">
        <v>641.3256</v>
      </c>
      <c r="R7" s="17" t="n">
        <v>641.3256</v>
      </c>
      <c r="S7" s="17" t="n">
        <v>641.3256</v>
      </c>
      <c r="T7" s="17" t="n">
        <v>641.3256</v>
      </c>
      <c r="U7" s="17" t="n">
        <v>641.3256</v>
      </c>
    </row>
    <row r="8">
      <c r="A8" s="16" t="inlineStr">
        <is>
          <t>2006</t>
        </is>
      </c>
      <c r="B8" s="17" t="n">
        <v>479.0148</v>
      </c>
      <c r="C8" s="17" t="n">
        <v>497.4892</v>
      </c>
      <c r="D8" s="17" t="n">
        <v>497.4892</v>
      </c>
      <c r="E8" s="17" t="n">
        <v>497.4892</v>
      </c>
      <c r="F8" s="17" t="n">
        <v>497.4892</v>
      </c>
      <c r="G8" s="17" t="n">
        <v>497.4892</v>
      </c>
      <c r="H8" s="17" t="n">
        <v>497.4892</v>
      </c>
      <c r="I8" s="17" t="n">
        <v>497.4892</v>
      </c>
      <c r="J8" s="17" t="n">
        <v>497.4892</v>
      </c>
      <c r="K8" s="17" t="n">
        <v>497.4892</v>
      </c>
      <c r="L8" s="17" t="n">
        <v>497.4892</v>
      </c>
      <c r="M8" s="17" t="n">
        <v>497.4892</v>
      </c>
      <c r="N8" s="17" t="n">
        <v>497.4892</v>
      </c>
      <c r="O8" s="17" t="n">
        <v>497.4892</v>
      </c>
      <c r="P8" s="17" t="n">
        <v>497.4892</v>
      </c>
      <c r="Q8" s="17" t="n">
        <v>497.4892</v>
      </c>
      <c r="R8" s="17" t="n">
        <v>497.4892</v>
      </c>
      <c r="S8" s="17" t="n">
        <v>497.4892</v>
      </c>
      <c r="T8" s="17" t="n">
        <v>497.4892</v>
      </c>
    </row>
    <row r="9">
      <c r="A9" s="16" t="inlineStr">
        <is>
          <t>2007</t>
        </is>
      </c>
      <c r="B9" s="17" t="n">
        <v>456.5816</v>
      </c>
      <c r="C9" s="17" t="n">
        <v>476.3756</v>
      </c>
      <c r="D9" s="17" t="n">
        <v>476.3756</v>
      </c>
      <c r="E9" s="17" t="n">
        <v>476.3756</v>
      </c>
      <c r="F9" s="17" t="n">
        <v>476.3756</v>
      </c>
      <c r="G9" s="17" t="n">
        <v>476.3756</v>
      </c>
      <c r="H9" s="17" t="n">
        <v>476.3756</v>
      </c>
      <c r="I9" s="17" t="n">
        <v>476.3756</v>
      </c>
      <c r="J9" s="17" t="n">
        <v>476.3756</v>
      </c>
      <c r="K9" s="17" t="n">
        <v>476.3756</v>
      </c>
      <c r="L9" s="17" t="n">
        <v>476.3756</v>
      </c>
      <c r="M9" s="17" t="n">
        <v>476.3756</v>
      </c>
      <c r="N9" s="17" t="n">
        <v>476.3756</v>
      </c>
      <c r="O9" s="17" t="n">
        <v>476.3756</v>
      </c>
      <c r="P9" s="17" t="n">
        <v>476.3756</v>
      </c>
      <c r="Q9" s="17" t="n">
        <v>476.3756</v>
      </c>
      <c r="R9" s="17" t="n">
        <v>476.3756</v>
      </c>
      <c r="S9" s="17" t="n">
        <v>476.3756</v>
      </c>
    </row>
    <row r="10">
      <c r="A10" s="16" t="inlineStr">
        <is>
          <t>2008</t>
        </is>
      </c>
      <c r="B10" s="17" t="n">
        <v>307.4668</v>
      </c>
      <c r="C10" s="17" t="n">
        <v>327.2608</v>
      </c>
      <c r="D10" s="17" t="n">
        <v>328.5804</v>
      </c>
      <c r="E10" s="17" t="n">
        <v>328.5804</v>
      </c>
      <c r="F10" s="17" t="n">
        <v>328.5804</v>
      </c>
      <c r="G10" s="17" t="n">
        <v>328.5804</v>
      </c>
      <c r="H10" s="17" t="n">
        <v>328.5804</v>
      </c>
      <c r="I10" s="17" t="n">
        <v>328.5804</v>
      </c>
      <c r="J10" s="17" t="n">
        <v>328.5804</v>
      </c>
      <c r="K10" s="17" t="n">
        <v>328.5804</v>
      </c>
      <c r="L10" s="17" t="n">
        <v>328.5804</v>
      </c>
      <c r="M10" s="17" t="n">
        <v>328.5804</v>
      </c>
      <c r="N10" s="17" t="n">
        <v>328.5804</v>
      </c>
      <c r="O10" s="17" t="n">
        <v>328.5804</v>
      </c>
      <c r="P10" s="17" t="n">
        <v>328.5804</v>
      </c>
      <c r="Q10" s="17" t="n">
        <v>328.5804</v>
      </c>
      <c r="R10" s="17" t="n">
        <v>328.5804</v>
      </c>
    </row>
    <row r="11">
      <c r="A11" s="16" t="inlineStr">
        <is>
          <t>2009</t>
        </is>
      </c>
      <c r="B11" s="17" t="n">
        <v>306.1472</v>
      </c>
      <c r="C11" s="17" t="n">
        <v>320.6628</v>
      </c>
      <c r="D11" s="17" t="n">
        <v>321.9824</v>
      </c>
      <c r="E11" s="17" t="n">
        <v>321.9824</v>
      </c>
      <c r="F11" s="17" t="n">
        <v>321.9824</v>
      </c>
      <c r="G11" s="17" t="n">
        <v>321.9824</v>
      </c>
      <c r="H11" s="17" t="n">
        <v>321.9824</v>
      </c>
      <c r="I11" s="17" t="n">
        <v>321.9824</v>
      </c>
      <c r="J11" s="17" t="n">
        <v>321.9824</v>
      </c>
      <c r="K11" s="17" t="n">
        <v>321.9824</v>
      </c>
      <c r="L11" s="17" t="n">
        <v>321.9824</v>
      </c>
      <c r="M11" s="17" t="n">
        <v>321.9824</v>
      </c>
      <c r="N11" s="17" t="n">
        <v>321.9824</v>
      </c>
      <c r="O11" s="17" t="n">
        <v>321.9824</v>
      </c>
      <c r="P11" s="17" t="n">
        <v>321.9824</v>
      </c>
      <c r="Q11" s="17" t="n">
        <v>321.9824</v>
      </c>
    </row>
    <row r="12">
      <c r="A12" s="16" t="inlineStr">
        <is>
          <t>2010</t>
        </is>
      </c>
      <c r="B12" s="17" t="n">
        <v>259.9612</v>
      </c>
      <c r="C12" s="17" t="n">
        <v>271.8376</v>
      </c>
      <c r="D12" s="17" t="n">
        <v>271.8376</v>
      </c>
      <c r="E12" s="17" t="n">
        <v>271.8376</v>
      </c>
      <c r="F12" s="17" t="n">
        <v>271.8376</v>
      </c>
      <c r="G12" s="17" t="n">
        <v>271.8376</v>
      </c>
      <c r="H12" s="17" t="n">
        <v>271.8376</v>
      </c>
      <c r="I12" s="17" t="n">
        <v>271.8376</v>
      </c>
      <c r="J12" s="17" t="n">
        <v>271.8376</v>
      </c>
      <c r="K12" s="17" t="n">
        <v>271.8376</v>
      </c>
      <c r="L12" s="17" t="n">
        <v>271.8376</v>
      </c>
      <c r="M12" s="17" t="n">
        <v>271.8376</v>
      </c>
      <c r="N12" s="17" t="n">
        <v>271.8376</v>
      </c>
      <c r="O12" s="17" t="n">
        <v>271.8376</v>
      </c>
      <c r="P12" s="17" t="n">
        <v>271.8376</v>
      </c>
    </row>
    <row r="13">
      <c r="A13" s="16" t="inlineStr">
        <is>
          <t>2011</t>
        </is>
      </c>
      <c r="B13" s="17" t="n">
        <v>345.7352</v>
      </c>
      <c r="C13" s="17" t="n">
        <v>345.7352</v>
      </c>
      <c r="D13" s="17" t="n">
        <v>345.7352</v>
      </c>
      <c r="E13" s="17" t="n">
        <v>345.7352</v>
      </c>
      <c r="F13" s="17" t="n">
        <v>345.7352</v>
      </c>
      <c r="G13" s="17" t="n">
        <v>345.7352</v>
      </c>
      <c r="H13" s="17" t="n">
        <v>345.7352</v>
      </c>
      <c r="I13" s="17" t="n">
        <v>345.7352</v>
      </c>
      <c r="J13" s="17" t="n">
        <v>345.7352</v>
      </c>
      <c r="K13" s="17" t="n">
        <v>345.7352</v>
      </c>
      <c r="L13" s="17" t="n">
        <v>345.7352</v>
      </c>
      <c r="M13" s="17" t="n">
        <v>345.7352</v>
      </c>
      <c r="N13" s="17" t="n">
        <v>345.7352</v>
      </c>
      <c r="O13" s="17" t="n">
        <v>345.7352</v>
      </c>
    </row>
    <row r="14">
      <c r="A14" s="16" t="inlineStr">
        <is>
          <t>2012</t>
        </is>
      </c>
      <c r="B14" s="17" t="n">
        <v>245.4456</v>
      </c>
      <c r="C14" s="17" t="n">
        <v>261.2808</v>
      </c>
      <c r="D14" s="17" t="n">
        <v>261.2808</v>
      </c>
      <c r="E14" s="17" t="n">
        <v>261.2808</v>
      </c>
      <c r="F14" s="17" t="n">
        <v>261.2808</v>
      </c>
      <c r="G14" s="17" t="n">
        <v>261.2808</v>
      </c>
      <c r="H14" s="17" t="n">
        <v>261.2808</v>
      </c>
      <c r="I14" s="17" t="n">
        <v>261.2808</v>
      </c>
      <c r="J14" s="17" t="n">
        <v>261.2808</v>
      </c>
      <c r="K14" s="17" t="n">
        <v>261.2808</v>
      </c>
      <c r="L14" s="17" t="n">
        <v>261.2808</v>
      </c>
      <c r="M14" s="17" t="n">
        <v>261.2808</v>
      </c>
      <c r="N14" s="17" t="n">
        <v>261.2808</v>
      </c>
    </row>
    <row r="15">
      <c r="A15" s="16" t="inlineStr">
        <is>
          <t>2013</t>
        </is>
      </c>
      <c r="B15" s="17" t="n">
        <v>282.3944</v>
      </c>
      <c r="C15" s="17" t="n">
        <v>290.312</v>
      </c>
      <c r="D15" s="17" t="n">
        <v>290.312</v>
      </c>
      <c r="E15" s="17" t="n">
        <v>291.6316</v>
      </c>
      <c r="F15" s="17" t="n">
        <v>291.6316</v>
      </c>
      <c r="G15" s="17" t="n">
        <v>291.6316</v>
      </c>
      <c r="H15" s="17" t="n">
        <v>291.6316</v>
      </c>
      <c r="I15" s="17" t="n">
        <v>291.6316</v>
      </c>
      <c r="J15" s="17" t="n">
        <v>291.6316</v>
      </c>
      <c r="K15" s="17" t="n">
        <v>291.6316</v>
      </c>
      <c r="L15" s="17" t="n">
        <v>291.6316</v>
      </c>
      <c r="M15" s="17" t="n">
        <v>291.6316</v>
      </c>
    </row>
    <row r="16">
      <c r="A16" s="16" t="inlineStr">
        <is>
          <t>2014</t>
        </is>
      </c>
      <c r="B16" s="17" t="n">
        <v>434.1484</v>
      </c>
      <c r="C16" s="17" t="n">
        <v>453.9424</v>
      </c>
      <c r="D16" s="17" t="n">
        <v>455.262</v>
      </c>
      <c r="E16" s="17" t="n">
        <v>455.262</v>
      </c>
      <c r="F16" s="17" t="n">
        <v>455.262</v>
      </c>
      <c r="G16" s="17" t="n">
        <v>455.262</v>
      </c>
      <c r="H16" s="17" t="n">
        <v>455.262</v>
      </c>
      <c r="I16" s="17" t="n">
        <v>455.262</v>
      </c>
      <c r="J16" s="17" t="n">
        <v>455.262</v>
      </c>
      <c r="K16" s="17" t="n">
        <v>455.262</v>
      </c>
      <c r="L16" s="17" t="n">
        <v>455.262</v>
      </c>
    </row>
    <row r="17">
      <c r="A17" s="16" t="inlineStr">
        <is>
          <t>2015</t>
        </is>
      </c>
      <c r="B17" s="17" t="n">
        <v>321.9824</v>
      </c>
      <c r="C17" s="17" t="n">
        <v>332.5392</v>
      </c>
      <c r="D17" s="17" t="n">
        <v>337.8176</v>
      </c>
      <c r="E17" s="17" t="n">
        <v>337.8176</v>
      </c>
      <c r="F17" s="17" t="n">
        <v>337.8176</v>
      </c>
      <c r="G17" s="17" t="n">
        <v>337.8176</v>
      </c>
      <c r="H17" s="17" t="n">
        <v>337.8176</v>
      </c>
      <c r="I17" s="17" t="n">
        <v>337.8176</v>
      </c>
      <c r="J17" s="17" t="n">
        <v>337.8176</v>
      </c>
      <c r="K17" s="17" t="n">
        <v>333.8588</v>
      </c>
    </row>
    <row r="18">
      <c r="A18" s="16" t="inlineStr">
        <is>
          <t>2016</t>
        </is>
      </c>
      <c r="B18" s="17" t="n">
        <v>345.7352</v>
      </c>
      <c r="C18" s="17" t="n">
        <v>373.4468</v>
      </c>
      <c r="D18" s="17" t="n">
        <v>390.6016</v>
      </c>
      <c r="E18" s="17" t="n">
        <v>390.6016</v>
      </c>
      <c r="F18" s="17" t="n">
        <v>390.6016</v>
      </c>
      <c r="G18" s="17" t="n">
        <v>390.6016</v>
      </c>
      <c r="H18" s="17" t="n">
        <v>390.6016</v>
      </c>
      <c r="I18" s="17" t="n">
        <v>390.6016</v>
      </c>
      <c r="J18" s="17" t="n">
        <v>390.6016</v>
      </c>
    </row>
    <row r="19">
      <c r="A19" s="16" t="inlineStr">
        <is>
          <t>2017</t>
        </is>
      </c>
      <c r="B19" s="17" t="n">
        <v>275.7964</v>
      </c>
      <c r="C19" s="17" t="n">
        <v>310.106</v>
      </c>
      <c r="D19" s="17" t="n">
        <v>311.4256</v>
      </c>
      <c r="E19" s="17" t="n">
        <v>312.7452</v>
      </c>
      <c r="F19" s="17" t="n">
        <v>311.4256</v>
      </c>
      <c r="G19" s="17" t="n">
        <v>311.4256</v>
      </c>
      <c r="H19" s="17" t="n">
        <v>311.4256</v>
      </c>
      <c r="I19" s="17" t="n">
        <v>310.106</v>
      </c>
    </row>
    <row r="20">
      <c r="A20" s="16" t="inlineStr">
        <is>
          <t>2018</t>
        </is>
      </c>
      <c r="B20" s="17" t="n">
        <v>288.9924</v>
      </c>
      <c r="C20" s="17" t="n">
        <v>324.6216</v>
      </c>
      <c r="D20" s="17" t="n">
        <v>324.6216</v>
      </c>
      <c r="E20" s="17" t="n">
        <v>324.6216</v>
      </c>
      <c r="F20" s="17" t="n">
        <v>325.9412</v>
      </c>
      <c r="G20" s="17" t="n">
        <v>325.9412</v>
      </c>
      <c r="H20" s="17" t="n">
        <v>325.9412</v>
      </c>
    </row>
    <row r="21">
      <c r="A21" s="16" t="inlineStr">
        <is>
          <t>2019</t>
        </is>
      </c>
      <c r="B21" s="17" t="n">
        <v>314.0648</v>
      </c>
      <c r="C21" s="17" t="n">
        <v>358.9312</v>
      </c>
      <c r="D21" s="17" t="n">
        <v>358.9312</v>
      </c>
      <c r="E21" s="17" t="n">
        <v>358.9312</v>
      </c>
      <c r="F21" s="17" t="n">
        <v>358.9312</v>
      </c>
      <c r="G21" s="17" t="n">
        <v>357.6116</v>
      </c>
    </row>
    <row r="22">
      <c r="A22" s="16" t="inlineStr">
        <is>
          <t>2020</t>
        </is>
      </c>
      <c r="B22" s="17" t="n">
        <v>349.694</v>
      </c>
      <c r="C22" s="17" t="n">
        <v>370.8076</v>
      </c>
      <c r="D22" s="17" t="n">
        <v>370.8076</v>
      </c>
      <c r="E22" s="17" t="n">
        <v>370.8076</v>
      </c>
      <c r="F22" s="17" t="n">
        <v>370.8076</v>
      </c>
    </row>
    <row r="23">
      <c r="A23" s="16" t="inlineStr">
        <is>
          <t>2021</t>
        </is>
      </c>
      <c r="B23" s="17" t="n">
        <v>288.9924</v>
      </c>
      <c r="C23" s="17" t="n">
        <v>329.9</v>
      </c>
      <c r="D23" s="17" t="n">
        <v>329.9</v>
      </c>
      <c r="E23" s="17" t="n">
        <v>329.9</v>
      </c>
    </row>
    <row r="24">
      <c r="A24" s="16" t="inlineStr">
        <is>
          <t>2022</t>
        </is>
      </c>
      <c r="B24" s="17" t="n">
        <v>261.2808</v>
      </c>
      <c r="C24" s="17" t="n">
        <v>298.2296</v>
      </c>
      <c r="D24" s="17" t="n">
        <v>298.2296</v>
      </c>
    </row>
    <row r="25">
      <c r="A25" s="16" t="inlineStr">
        <is>
          <t>2023</t>
        </is>
      </c>
      <c r="B25" s="17" t="n">
        <v>273.1572</v>
      </c>
      <c r="C25" s="17" t="n">
        <v>304.8276</v>
      </c>
    </row>
    <row r="26">
      <c r="A26" s="16" t="inlineStr">
        <is>
          <t>2024</t>
        </is>
      </c>
      <c r="B26" s="17" t="n">
        <v>256.0024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Incurred Severity</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17" t="n">
        <v>890.1180000000001</v>
      </c>
      <c r="C3" s="17" t="n">
        <v>2278.4062</v>
      </c>
      <c r="D3" s="17" t="n">
        <v>2782.9421</v>
      </c>
      <c r="E3" s="17" t="n">
        <v>3062.5888</v>
      </c>
      <c r="F3" s="17" t="n">
        <v>3292.6042</v>
      </c>
      <c r="G3" s="17" t="n">
        <v>3515.439</v>
      </c>
      <c r="H3" s="17" t="n">
        <v>3421.3038</v>
      </c>
      <c r="I3" s="17" t="n">
        <v>3453.2106</v>
      </c>
      <c r="J3" s="17" t="n">
        <v>3478.3519</v>
      </c>
      <c r="K3" s="17" t="n">
        <v>3507.6464</v>
      </c>
      <c r="L3" s="17" t="n">
        <v>3582.8588</v>
      </c>
      <c r="M3" s="17" t="n">
        <v>3657.3908</v>
      </c>
      <c r="N3" s="17" t="n">
        <v>3653.4369</v>
      </c>
      <c r="O3" s="17" t="n">
        <v>3736.9976</v>
      </c>
      <c r="P3" s="17" t="n">
        <v>3800.6836</v>
      </c>
      <c r="Q3" s="17" t="n">
        <v>4002.7778</v>
      </c>
      <c r="R3" s="17" t="n">
        <v>4097.3409</v>
      </c>
      <c r="S3" s="17" t="n">
        <v>4224.0147</v>
      </c>
      <c r="T3" s="17" t="n">
        <v>4299.9339</v>
      </c>
      <c r="U3" s="17" t="n">
        <v>4299.9339</v>
      </c>
      <c r="V3" s="17" t="n">
        <v>4400.6872</v>
      </c>
      <c r="W3" s="17" t="n">
        <v>4461.8925</v>
      </c>
      <c r="X3" s="17" t="n">
        <v>4461.8925</v>
      </c>
      <c r="Y3" s="17" t="n">
        <v>4515.1126</v>
      </c>
    </row>
    <row r="4">
      <c r="A4" s="16" t="inlineStr">
        <is>
          <t>2002</t>
        </is>
      </c>
      <c r="B4" s="17" t="n">
        <v>1512.0882</v>
      </c>
      <c r="C4" s="17" t="n">
        <v>2090.9875</v>
      </c>
      <c r="D4" s="17" t="n">
        <v>2115.5884</v>
      </c>
      <c r="E4" s="17" t="n">
        <v>2527.4532</v>
      </c>
      <c r="F4" s="17" t="n">
        <v>2560.7772</v>
      </c>
      <c r="G4" s="17" t="n">
        <v>2649.7009</v>
      </c>
      <c r="H4" s="17" t="n">
        <v>2700.0288</v>
      </c>
      <c r="I4" s="17" t="n">
        <v>2700.5895</v>
      </c>
      <c r="J4" s="17" t="n">
        <v>2759.7609</v>
      </c>
      <c r="K4" s="17" t="n">
        <v>2786.3555</v>
      </c>
      <c r="L4" s="17" t="n">
        <v>2814.9283</v>
      </c>
      <c r="M4" s="17" t="n">
        <v>2910.4049</v>
      </c>
      <c r="N4" s="17" t="n">
        <v>2914.2643</v>
      </c>
      <c r="O4" s="17" t="n">
        <v>3031.1417</v>
      </c>
      <c r="P4" s="17" t="n">
        <v>3111.0506</v>
      </c>
      <c r="Q4" s="17" t="n">
        <v>3156.834</v>
      </c>
      <c r="R4" s="17" t="n">
        <v>3323.8277</v>
      </c>
      <c r="S4" s="17" t="n">
        <v>3327.6029</v>
      </c>
      <c r="T4" s="17" t="n">
        <v>3327.6029</v>
      </c>
      <c r="U4" s="17" t="n">
        <v>3468.5593</v>
      </c>
      <c r="V4" s="17" t="n">
        <v>3447.0276</v>
      </c>
      <c r="W4" s="17" t="n">
        <v>3570.7879</v>
      </c>
      <c r="X4" s="17" t="n">
        <v>3570.7879</v>
      </c>
    </row>
    <row r="5">
      <c r="A5" s="16" t="inlineStr">
        <is>
          <t>2003</t>
        </is>
      </c>
      <c r="B5" s="17" t="n">
        <v>1888.6444</v>
      </c>
      <c r="C5" s="17" t="n">
        <v>2638.2005</v>
      </c>
      <c r="D5" s="17" t="n">
        <v>2855.6611</v>
      </c>
      <c r="E5" s="17" t="n">
        <v>3394.6267</v>
      </c>
      <c r="F5" s="17" t="n">
        <v>3095.9768</v>
      </c>
      <c r="G5" s="17" t="n">
        <v>3306.0384</v>
      </c>
      <c r="H5" s="17" t="n">
        <v>3289.0123</v>
      </c>
      <c r="I5" s="17" t="n">
        <v>3264.184</v>
      </c>
      <c r="J5" s="17" t="n">
        <v>3258.0917</v>
      </c>
      <c r="K5" s="17" t="n">
        <v>3265.2436</v>
      </c>
      <c r="L5" s="17" t="n">
        <v>3258.4234</v>
      </c>
      <c r="M5" s="17" t="n">
        <v>3233.217</v>
      </c>
      <c r="N5" s="17" t="n">
        <v>3216.7392</v>
      </c>
      <c r="O5" s="17" t="n">
        <v>3216.7391</v>
      </c>
      <c r="P5" s="17" t="n">
        <v>3216.7391</v>
      </c>
      <c r="Q5" s="17" t="n">
        <v>3216.7391</v>
      </c>
      <c r="R5" s="17" t="n">
        <v>3223.5583</v>
      </c>
      <c r="S5" s="17" t="n">
        <v>3223.5583</v>
      </c>
      <c r="T5" s="17" t="n">
        <v>3223.5583</v>
      </c>
      <c r="U5" s="17" t="n">
        <v>3223.5583</v>
      </c>
      <c r="V5" s="17" t="n">
        <v>3223.5583</v>
      </c>
      <c r="W5" s="17" t="n">
        <v>3223.5583</v>
      </c>
    </row>
    <row r="6">
      <c r="A6" s="16" t="inlineStr">
        <is>
          <t>2004</t>
        </is>
      </c>
      <c r="B6" s="17" t="n">
        <v>1172.3435</v>
      </c>
      <c r="C6" s="17" t="n">
        <v>1263.6591</v>
      </c>
      <c r="D6" s="17" t="n">
        <v>1395.2806</v>
      </c>
      <c r="E6" s="17" t="n">
        <v>1455.3763</v>
      </c>
      <c r="F6" s="17" t="n">
        <v>1641.8764</v>
      </c>
      <c r="G6" s="17" t="n">
        <v>1650.9895</v>
      </c>
      <c r="H6" s="17" t="n">
        <v>1681.4597</v>
      </c>
      <c r="I6" s="17" t="n">
        <v>1694.3798</v>
      </c>
      <c r="J6" s="17" t="n">
        <v>1734.6258</v>
      </c>
      <c r="K6" s="17" t="n">
        <v>1719.1458</v>
      </c>
      <c r="L6" s="17" t="n">
        <v>1758.8212</v>
      </c>
      <c r="M6" s="17" t="n">
        <v>1738.9466</v>
      </c>
      <c r="N6" s="17" t="n">
        <v>1739.6468</v>
      </c>
      <c r="O6" s="17" t="n">
        <v>1740.152</v>
      </c>
      <c r="P6" s="17" t="n">
        <v>1740.151</v>
      </c>
      <c r="Q6" s="17" t="n">
        <v>1746.8131</v>
      </c>
      <c r="R6" s="17" t="n">
        <v>1746.8131</v>
      </c>
      <c r="S6" s="17" t="n">
        <v>1746.8131</v>
      </c>
      <c r="T6" s="17" t="n">
        <v>1746.8131</v>
      </c>
      <c r="U6" s="17" t="n">
        <v>1746.8655</v>
      </c>
      <c r="V6" s="17" t="n">
        <v>1746.8655</v>
      </c>
    </row>
    <row r="7">
      <c r="A7" s="16" t="inlineStr">
        <is>
          <t>2005</t>
        </is>
      </c>
      <c r="B7" s="17" t="n">
        <v>1993.7326</v>
      </c>
      <c r="C7" s="17" t="n">
        <v>2538.8382</v>
      </c>
      <c r="D7" s="17" t="n">
        <v>2768.881</v>
      </c>
      <c r="E7" s="17" t="n">
        <v>2706.5528</v>
      </c>
      <c r="F7" s="17" t="n">
        <v>2807.1297</v>
      </c>
      <c r="G7" s="17" t="n">
        <v>2852.9634</v>
      </c>
      <c r="H7" s="17" t="n">
        <v>2911.0234</v>
      </c>
      <c r="I7" s="17" t="n">
        <v>2927.4654</v>
      </c>
      <c r="J7" s="17" t="n">
        <v>2965.2737</v>
      </c>
      <c r="K7" s="17" t="n">
        <v>3046.2327</v>
      </c>
      <c r="L7" s="17" t="n">
        <v>3081.9362</v>
      </c>
      <c r="M7" s="17" t="n">
        <v>3449.9444</v>
      </c>
      <c r="N7" s="17" t="n">
        <v>3449.963</v>
      </c>
      <c r="O7" s="17" t="n">
        <v>3386.3438</v>
      </c>
      <c r="P7" s="17" t="n">
        <v>3420.0517</v>
      </c>
      <c r="Q7" s="17" t="n">
        <v>3443.969</v>
      </c>
      <c r="R7" s="17" t="n">
        <v>3496.1167</v>
      </c>
      <c r="S7" s="17" t="n">
        <v>3496.1167</v>
      </c>
      <c r="T7" s="17" t="n">
        <v>3496.1167</v>
      </c>
      <c r="U7" s="17" t="n">
        <v>3496.1167</v>
      </c>
    </row>
    <row r="8">
      <c r="A8" s="16" t="inlineStr">
        <is>
          <t>2006</t>
        </is>
      </c>
      <c r="B8" s="17" t="n">
        <v>1599.0849</v>
      </c>
      <c r="C8" s="17" t="n">
        <v>2327.8896</v>
      </c>
      <c r="D8" s="17" t="n">
        <v>2023.4351</v>
      </c>
      <c r="E8" s="17" t="n">
        <v>2163.9389</v>
      </c>
      <c r="F8" s="17" t="n">
        <v>2183.4454</v>
      </c>
      <c r="G8" s="17" t="n">
        <v>2293.584</v>
      </c>
      <c r="H8" s="17" t="n">
        <v>2394.6572</v>
      </c>
      <c r="I8" s="17" t="n">
        <v>2350.5597</v>
      </c>
      <c r="J8" s="17" t="n">
        <v>2411.7895</v>
      </c>
      <c r="K8" s="17" t="n">
        <v>2501.2918</v>
      </c>
      <c r="L8" s="17" t="n">
        <v>2709.3077</v>
      </c>
      <c r="M8" s="17" t="n">
        <v>2872.1777</v>
      </c>
      <c r="N8" s="17" t="n">
        <v>2951.2085</v>
      </c>
      <c r="O8" s="17" t="n">
        <v>2982.9877</v>
      </c>
      <c r="P8" s="17" t="n">
        <v>2984.7119</v>
      </c>
      <c r="Q8" s="17" t="n">
        <v>3019.1946</v>
      </c>
      <c r="R8" s="17" t="n">
        <v>3028.4784</v>
      </c>
      <c r="S8" s="17" t="n">
        <v>3050.5924</v>
      </c>
      <c r="T8" s="17" t="n">
        <v>3050.5924</v>
      </c>
    </row>
    <row r="9">
      <c r="A9" s="16" t="inlineStr">
        <is>
          <t>2007</t>
        </is>
      </c>
      <c r="B9" s="17" t="n">
        <v>3777.3245</v>
      </c>
      <c r="C9" s="17" t="n">
        <v>3941.769</v>
      </c>
      <c r="D9" s="17" t="n">
        <v>4293.0553</v>
      </c>
      <c r="E9" s="17" t="n">
        <v>4810.1306</v>
      </c>
      <c r="F9" s="17" t="n">
        <v>5361.7176</v>
      </c>
      <c r="G9" s="17" t="n">
        <v>6400.5666</v>
      </c>
      <c r="H9" s="17" t="n">
        <v>6807.7258</v>
      </c>
      <c r="I9" s="17" t="n">
        <v>7553.3299</v>
      </c>
      <c r="J9" s="17" t="n">
        <v>8094.4377</v>
      </c>
      <c r="K9" s="17" t="n">
        <v>8917.1247</v>
      </c>
      <c r="L9" s="17" t="n">
        <v>9190.731299999999</v>
      </c>
      <c r="M9" s="17" t="n">
        <v>9456.272800000001</v>
      </c>
      <c r="N9" s="17" t="n">
        <v>9608.6579</v>
      </c>
      <c r="O9" s="17" t="n">
        <v>9617.6212</v>
      </c>
      <c r="P9" s="17" t="n">
        <v>10037.1822</v>
      </c>
      <c r="Q9" s="17" t="n">
        <v>10037.1822</v>
      </c>
      <c r="R9" s="17" t="n">
        <v>10073.235</v>
      </c>
      <c r="S9" s="17" t="n">
        <v>10098.7007</v>
      </c>
    </row>
    <row r="10">
      <c r="A10" s="16" t="inlineStr">
        <is>
          <t>2008</t>
        </is>
      </c>
      <c r="B10" s="17" t="n">
        <v>1809.473</v>
      </c>
      <c r="C10" s="17" t="n">
        <v>2355.6596</v>
      </c>
      <c r="D10" s="17" t="n">
        <v>2839.9925</v>
      </c>
      <c r="E10" s="17" t="n">
        <v>3950.3476</v>
      </c>
      <c r="F10" s="17" t="n">
        <v>3828.9536</v>
      </c>
      <c r="G10" s="17" t="n">
        <v>3893.4618</v>
      </c>
      <c r="H10" s="17" t="n">
        <v>3914.5485</v>
      </c>
      <c r="I10" s="17" t="n">
        <v>3966.0723</v>
      </c>
      <c r="J10" s="17" t="n">
        <v>3988.739</v>
      </c>
      <c r="K10" s="17" t="n">
        <v>4127.0241</v>
      </c>
      <c r="L10" s="17" t="n">
        <v>4147.332</v>
      </c>
      <c r="M10" s="17" t="n">
        <v>4148.0168</v>
      </c>
      <c r="N10" s="17" t="n">
        <v>4087.6122</v>
      </c>
      <c r="O10" s="17" t="n">
        <v>4088.6162</v>
      </c>
      <c r="P10" s="17" t="n">
        <v>4088.6162</v>
      </c>
      <c r="Q10" s="17" t="n">
        <v>4108.6965</v>
      </c>
      <c r="R10" s="17" t="n">
        <v>4195.1009</v>
      </c>
    </row>
    <row r="11">
      <c r="A11" s="16" t="inlineStr">
        <is>
          <t>2009</t>
        </is>
      </c>
      <c r="B11" s="17" t="n">
        <v>1167.6749</v>
      </c>
      <c r="C11" s="17" t="n">
        <v>2721.0436</v>
      </c>
      <c r="D11" s="17" t="n">
        <v>2553.6801</v>
      </c>
      <c r="E11" s="17" t="n">
        <v>2617.3913</v>
      </c>
      <c r="F11" s="17" t="n">
        <v>2791.3361</v>
      </c>
      <c r="G11" s="17" t="n">
        <v>2934.6002</v>
      </c>
      <c r="H11" s="17" t="n">
        <v>3041.3852</v>
      </c>
      <c r="I11" s="17" t="n">
        <v>3479.5492</v>
      </c>
      <c r="J11" s="17" t="n">
        <v>3479.5697</v>
      </c>
      <c r="K11" s="17" t="n">
        <v>3479.575</v>
      </c>
      <c r="L11" s="17" t="n">
        <v>3479.575</v>
      </c>
      <c r="M11" s="17" t="n">
        <v>3526.7061</v>
      </c>
      <c r="N11" s="17" t="n">
        <v>3632.438</v>
      </c>
      <c r="O11" s="17" t="n">
        <v>3632.438</v>
      </c>
      <c r="P11" s="17" t="n">
        <v>3632.438</v>
      </c>
      <c r="Q11" s="17" t="n">
        <v>3632.438</v>
      </c>
    </row>
    <row r="12">
      <c r="A12" s="16" t="inlineStr">
        <is>
          <t>2010</t>
        </is>
      </c>
      <c r="B12" s="17" t="n">
        <v>1384.9391</v>
      </c>
      <c r="C12" s="17" t="n">
        <v>2687.5986</v>
      </c>
      <c r="D12" s="17" t="n">
        <v>3499.5972</v>
      </c>
      <c r="E12" s="17" t="n">
        <v>4066.1699</v>
      </c>
      <c r="F12" s="17" t="n">
        <v>4547.5156</v>
      </c>
      <c r="G12" s="17" t="n">
        <v>4498.6408</v>
      </c>
      <c r="H12" s="17" t="n">
        <v>4676.9369</v>
      </c>
      <c r="I12" s="17" t="n">
        <v>4682.4417</v>
      </c>
      <c r="J12" s="17" t="n">
        <v>4660.2165</v>
      </c>
      <c r="K12" s="17" t="n">
        <v>4663.1575</v>
      </c>
      <c r="L12" s="17" t="n">
        <v>4666.8177</v>
      </c>
      <c r="M12" s="17" t="n">
        <v>4667.0895</v>
      </c>
      <c r="N12" s="17" t="n">
        <v>4673.1575</v>
      </c>
      <c r="O12" s="17" t="n">
        <v>4672.1618</v>
      </c>
      <c r="P12" s="17" t="n">
        <v>4700.13</v>
      </c>
    </row>
    <row r="13">
      <c r="A13" s="16" t="inlineStr">
        <is>
          <t>2011</t>
        </is>
      </c>
      <c r="B13" s="17" t="n">
        <v>1313.2806</v>
      </c>
      <c r="C13" s="17" t="n">
        <v>2565.3152</v>
      </c>
      <c r="D13" s="17" t="n">
        <v>3783.2939</v>
      </c>
      <c r="E13" s="17" t="n">
        <v>4368.5282</v>
      </c>
      <c r="F13" s="17" t="n">
        <v>4661.1947</v>
      </c>
      <c r="G13" s="17" t="n">
        <v>5034.2137</v>
      </c>
      <c r="H13" s="17" t="n">
        <v>5312.4542</v>
      </c>
      <c r="I13" s="17" t="n">
        <v>5312.7876</v>
      </c>
      <c r="J13" s="17" t="n">
        <v>5386.0395</v>
      </c>
      <c r="K13" s="17" t="n">
        <v>5406.7113</v>
      </c>
      <c r="L13" s="17" t="n">
        <v>5559.1271</v>
      </c>
      <c r="M13" s="17" t="n">
        <v>5542.0495</v>
      </c>
      <c r="N13" s="17" t="n">
        <v>5542.0495</v>
      </c>
      <c r="O13" s="17" t="n">
        <v>5542.0495</v>
      </c>
    </row>
    <row r="14">
      <c r="A14" s="16" t="inlineStr">
        <is>
          <t>2012</t>
        </is>
      </c>
      <c r="B14" s="17" t="n">
        <v>1368.4788</v>
      </c>
      <c r="C14" s="17" t="n">
        <v>2612.096</v>
      </c>
      <c r="D14" s="17" t="n">
        <v>3413.9935</v>
      </c>
      <c r="E14" s="17" t="n">
        <v>3710.1818</v>
      </c>
      <c r="F14" s="17" t="n">
        <v>3698.5859</v>
      </c>
      <c r="G14" s="17" t="n">
        <v>3730.9798</v>
      </c>
      <c r="H14" s="17" t="n">
        <v>3745.9265</v>
      </c>
      <c r="I14" s="17" t="n">
        <v>3939.0426</v>
      </c>
      <c r="J14" s="17" t="n">
        <v>4159.1215</v>
      </c>
      <c r="K14" s="17" t="n">
        <v>4394.3121</v>
      </c>
      <c r="L14" s="17" t="n">
        <v>4427.1404</v>
      </c>
      <c r="M14" s="17" t="n">
        <v>5219.4933</v>
      </c>
      <c r="N14" s="17" t="n">
        <v>5219.4933</v>
      </c>
    </row>
    <row r="15">
      <c r="A15" s="16" t="inlineStr">
        <is>
          <t>2013</t>
        </is>
      </c>
      <c r="B15" s="17" t="n">
        <v>988.3224</v>
      </c>
      <c r="C15" s="17" t="n">
        <v>1755.5463</v>
      </c>
      <c r="D15" s="17" t="n">
        <v>1908.7091</v>
      </c>
      <c r="E15" s="17" t="n">
        <v>2290.7285</v>
      </c>
      <c r="F15" s="17" t="n">
        <v>2429.9367</v>
      </c>
      <c r="G15" s="17" t="n">
        <v>2423.6216</v>
      </c>
      <c r="H15" s="17" t="n">
        <v>2424.8165</v>
      </c>
      <c r="I15" s="17" t="n">
        <v>2424.8165</v>
      </c>
      <c r="J15" s="17" t="n">
        <v>2429.4993</v>
      </c>
      <c r="K15" s="17" t="n">
        <v>2429.4993</v>
      </c>
      <c r="L15" s="17" t="n">
        <v>2429.5378</v>
      </c>
      <c r="M15" s="17" t="n">
        <v>2429.5378</v>
      </c>
    </row>
    <row r="16">
      <c r="A16" s="16" t="inlineStr">
        <is>
          <t>2014</t>
        </is>
      </c>
      <c r="B16" s="17" t="n">
        <v>1334.6909</v>
      </c>
      <c r="C16" s="17" t="n">
        <v>1743.9971</v>
      </c>
      <c r="D16" s="17" t="n">
        <v>2454.6058</v>
      </c>
      <c r="E16" s="17" t="n">
        <v>2838.1826</v>
      </c>
      <c r="F16" s="17" t="n">
        <v>2878.7598</v>
      </c>
      <c r="G16" s="17" t="n">
        <v>2977.9598</v>
      </c>
      <c r="H16" s="17" t="n">
        <v>2892.6972</v>
      </c>
      <c r="I16" s="17" t="n">
        <v>2892.6972</v>
      </c>
      <c r="J16" s="17" t="n">
        <v>3011.5377</v>
      </c>
      <c r="K16" s="17" t="n">
        <v>3073.6631</v>
      </c>
      <c r="L16" s="17" t="n">
        <v>3052.3164</v>
      </c>
    </row>
    <row r="17">
      <c r="A17" s="16" t="inlineStr">
        <is>
          <t>2015</t>
        </is>
      </c>
      <c r="B17" s="17" t="n">
        <v>1671.1066</v>
      </c>
      <c r="C17" s="17" t="n">
        <v>3212.9841</v>
      </c>
      <c r="D17" s="17" t="n">
        <v>4752.8672</v>
      </c>
      <c r="E17" s="17" t="n">
        <v>6314.127</v>
      </c>
      <c r="F17" s="17" t="n">
        <v>6982.9534</v>
      </c>
      <c r="G17" s="17" t="n">
        <v>7934.0749</v>
      </c>
      <c r="H17" s="17" t="n">
        <v>9044.3287</v>
      </c>
      <c r="I17" s="17" t="n">
        <v>9105.656800000001</v>
      </c>
      <c r="J17" s="17" t="n">
        <v>9135.714599999999</v>
      </c>
      <c r="K17" s="17" t="n">
        <v>10132.9162</v>
      </c>
    </row>
    <row r="18">
      <c r="A18" s="16" t="inlineStr">
        <is>
          <t>2016</t>
        </is>
      </c>
      <c r="B18" s="17" t="n">
        <v>1989.3893</v>
      </c>
      <c r="C18" s="17" t="n">
        <v>3443.4912</v>
      </c>
      <c r="D18" s="17" t="n">
        <v>4437.949</v>
      </c>
      <c r="E18" s="17" t="n">
        <v>4824.0141</v>
      </c>
      <c r="F18" s="17" t="n">
        <v>5510.515</v>
      </c>
      <c r="G18" s="17" t="n">
        <v>5684.6093</v>
      </c>
      <c r="H18" s="17" t="n">
        <v>6409.6524</v>
      </c>
      <c r="I18" s="17" t="n">
        <v>6408.127</v>
      </c>
      <c r="J18" s="17" t="n">
        <v>6416.5729</v>
      </c>
    </row>
    <row r="19">
      <c r="A19" s="16" t="inlineStr">
        <is>
          <t>2017</t>
        </is>
      </c>
      <c r="B19" s="17" t="n">
        <v>1672.7081</v>
      </c>
      <c r="C19" s="17" t="n">
        <v>1982.7823</v>
      </c>
      <c r="D19" s="17" t="n">
        <v>2042.2188</v>
      </c>
      <c r="E19" s="17" t="n">
        <v>2662.7754</v>
      </c>
      <c r="F19" s="17" t="n">
        <v>2874.8102</v>
      </c>
      <c r="G19" s="17" t="n">
        <v>3256.3421</v>
      </c>
      <c r="H19" s="17" t="n">
        <v>3753.5543</v>
      </c>
      <c r="I19" s="17" t="n">
        <v>3888.386</v>
      </c>
    </row>
    <row r="20">
      <c r="A20" s="16" t="inlineStr">
        <is>
          <t>2018</t>
        </is>
      </c>
      <c r="B20" s="17" t="n">
        <v>1757.7757</v>
      </c>
      <c r="C20" s="17" t="n">
        <v>3598.2446</v>
      </c>
      <c r="D20" s="17" t="n">
        <v>5140.9339</v>
      </c>
      <c r="E20" s="17" t="n">
        <v>7136.9854</v>
      </c>
      <c r="F20" s="17" t="n">
        <v>7067.2812</v>
      </c>
      <c r="G20" s="17" t="n">
        <v>7159.8047</v>
      </c>
      <c r="H20" s="17" t="n">
        <v>7349.3269</v>
      </c>
    </row>
    <row r="21">
      <c r="A21" s="16" t="inlineStr">
        <is>
          <t>2019</t>
        </is>
      </c>
      <c r="B21" s="17" t="n">
        <v>1298.8238</v>
      </c>
      <c r="C21" s="17" t="n">
        <v>3133.2107</v>
      </c>
      <c r="D21" s="17" t="n">
        <v>4847.8776</v>
      </c>
      <c r="E21" s="17" t="n">
        <v>5573.6672</v>
      </c>
      <c r="F21" s="17" t="n">
        <v>5926.9818</v>
      </c>
      <c r="G21" s="17" t="n">
        <v>7270.1301</v>
      </c>
    </row>
    <row r="22">
      <c r="A22" s="16" t="inlineStr">
        <is>
          <t>2020</t>
        </is>
      </c>
      <c r="B22" s="17" t="n">
        <v>1493.0271</v>
      </c>
      <c r="C22" s="17" t="n">
        <v>2513.205</v>
      </c>
      <c r="D22" s="17" t="n">
        <v>2471.0707</v>
      </c>
      <c r="E22" s="17" t="n">
        <v>2614.478</v>
      </c>
      <c r="F22" s="17" t="n">
        <v>2639.9122</v>
      </c>
    </row>
    <row r="23">
      <c r="A23" s="16" t="inlineStr">
        <is>
          <t>2021</t>
        </is>
      </c>
      <c r="B23" s="17" t="n">
        <v>1901.2855</v>
      </c>
      <c r="C23" s="17" t="n">
        <v>2427.8119</v>
      </c>
      <c r="D23" s="17" t="n">
        <v>2971.5574</v>
      </c>
      <c r="E23" s="17" t="n">
        <v>3065.5146</v>
      </c>
    </row>
    <row r="24">
      <c r="A24" s="16" t="inlineStr">
        <is>
          <t>2022</t>
        </is>
      </c>
      <c r="B24" s="17" t="n">
        <v>2658.5306</v>
      </c>
      <c r="C24" s="17" t="n">
        <v>2855.7054</v>
      </c>
      <c r="D24" s="17" t="n">
        <v>2774.4265</v>
      </c>
    </row>
    <row r="25">
      <c r="A25" s="16" t="inlineStr">
        <is>
          <t>2023</t>
        </is>
      </c>
      <c r="B25" s="17" t="n">
        <v>3569.3743</v>
      </c>
      <c r="C25" s="17" t="n">
        <v>5418.6585</v>
      </c>
    </row>
    <row r="26">
      <c r="A26" s="16" t="inlineStr">
        <is>
          <t>2024</t>
        </is>
      </c>
      <c r="B26" s="17" t="n">
        <v>3477.1362</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Paid To Incurred</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27" t="n">
        <v>0.5747</v>
      </c>
      <c r="C3" s="27" t="n">
        <v>0.6738</v>
      </c>
      <c r="D3" s="27" t="n">
        <v>0.8126</v>
      </c>
      <c r="E3" s="27" t="n">
        <v>0.9127999999999999</v>
      </c>
      <c r="F3" s="27" t="n">
        <v>0.9882</v>
      </c>
      <c r="G3" s="27" t="n">
        <v>0.9504</v>
      </c>
      <c r="H3" s="27" t="n">
        <v>0.9435</v>
      </c>
      <c r="I3" s="27" t="n">
        <v>0.9474</v>
      </c>
      <c r="J3" s="27" t="n">
        <v>0.9496</v>
      </c>
      <c r="K3" s="27" t="n">
        <v>0.953</v>
      </c>
      <c r="L3" s="27" t="n">
        <v>0.9553</v>
      </c>
      <c r="M3" s="27" t="n">
        <v>0.9582000000000001</v>
      </c>
      <c r="N3" s="27" t="n">
        <v>0.9749</v>
      </c>
      <c r="O3" s="27" t="n">
        <v>0.9772999999999999</v>
      </c>
      <c r="P3" s="27" t="n">
        <v>0.9816</v>
      </c>
      <c r="Q3" s="27" t="n">
        <v>0.9606</v>
      </c>
      <c r="R3" s="27" t="n">
        <v>0.9691</v>
      </c>
      <c r="S3" s="27" t="n">
        <v>0.9655</v>
      </c>
      <c r="T3" s="27" t="n">
        <v>0.9848</v>
      </c>
      <c r="U3" s="27" t="n">
        <v>0.9848</v>
      </c>
      <c r="V3" s="27" t="n">
        <v>0.9694</v>
      </c>
      <c r="W3" s="27" t="n">
        <v>0.9631999999999999</v>
      </c>
      <c r="X3" s="27" t="n">
        <v>0.9693000000000001</v>
      </c>
      <c r="Y3" s="27" t="n">
        <v>0.9616</v>
      </c>
    </row>
    <row r="4">
      <c r="A4" s="16" t="inlineStr">
        <is>
          <t>2002</t>
        </is>
      </c>
      <c r="B4" s="27" t="n">
        <v>0.3852</v>
      </c>
      <c r="C4" s="27" t="n">
        <v>0.6865</v>
      </c>
      <c r="D4" s="27" t="n">
        <v>0.9088000000000001</v>
      </c>
      <c r="E4" s="27" t="n">
        <v>0.8218</v>
      </c>
      <c r="F4" s="27" t="n">
        <v>0.9127</v>
      </c>
      <c r="G4" s="27" t="n">
        <v>0.9389</v>
      </c>
      <c r="H4" s="27" t="n">
        <v>0.9422</v>
      </c>
      <c r="I4" s="27" t="n">
        <v>0.9587</v>
      </c>
      <c r="J4" s="27" t="n">
        <v>0.9614</v>
      </c>
      <c r="K4" s="27" t="n">
        <v>0.9636</v>
      </c>
      <c r="L4" s="27" t="n">
        <v>0.9706</v>
      </c>
      <c r="M4" s="27" t="n">
        <v>0.9563</v>
      </c>
      <c r="N4" s="27" t="n">
        <v>0.977</v>
      </c>
      <c r="O4" s="27" t="n">
        <v>0.9633</v>
      </c>
      <c r="P4" s="27" t="n">
        <v>0.9584</v>
      </c>
      <c r="Q4" s="27" t="n">
        <v>0.9629</v>
      </c>
      <c r="R4" s="27" t="n">
        <v>0.9406</v>
      </c>
      <c r="S4" s="27" t="n">
        <v>0.9585</v>
      </c>
      <c r="T4" s="27" t="n">
        <v>0.9737</v>
      </c>
      <c r="U4" s="27" t="n">
        <v>0.9455</v>
      </c>
      <c r="V4" s="27" t="n">
        <v>0.961</v>
      </c>
      <c r="W4" s="27" t="n">
        <v>0.9366</v>
      </c>
      <c r="X4" s="27" t="n">
        <v>0.945</v>
      </c>
    </row>
    <row r="5">
      <c r="A5" s="16" t="inlineStr">
        <is>
          <t>2003</t>
        </is>
      </c>
      <c r="B5" s="27" t="n">
        <v>0.4594</v>
      </c>
      <c r="C5" s="27" t="n">
        <v>0.7896</v>
      </c>
      <c r="D5" s="27" t="n">
        <v>0.8421</v>
      </c>
      <c r="E5" s="27" t="n">
        <v>0.7722</v>
      </c>
      <c r="F5" s="27" t="n">
        <v>0.9843</v>
      </c>
      <c r="G5" s="27" t="n">
        <v>0.9677</v>
      </c>
      <c r="H5" s="27" t="n">
        <v>0.9718</v>
      </c>
      <c r="I5" s="27" t="n">
        <v>0.9861</v>
      </c>
      <c r="J5" s="27" t="n">
        <v>0.9865</v>
      </c>
      <c r="K5" s="27" t="n">
        <v>0.9867</v>
      </c>
      <c r="L5" s="27" t="n">
        <v>0.9869</v>
      </c>
      <c r="M5" s="27" t="n">
        <v>0.9948</v>
      </c>
      <c r="N5" s="27" t="n">
        <v>1</v>
      </c>
      <c r="O5" s="27" t="n">
        <v>1</v>
      </c>
      <c r="P5" s="27" t="n">
        <v>1</v>
      </c>
      <c r="Q5" s="27" t="n">
        <v>1</v>
      </c>
      <c r="R5" s="27" t="n">
        <v>1</v>
      </c>
      <c r="S5" s="27" t="n">
        <v>1</v>
      </c>
      <c r="T5" s="27" t="n">
        <v>1</v>
      </c>
      <c r="U5" s="27" t="n">
        <v>1</v>
      </c>
      <c r="V5" s="27" t="n">
        <v>1</v>
      </c>
      <c r="W5" s="27" t="n">
        <v>1</v>
      </c>
    </row>
    <row r="6">
      <c r="A6" s="16" t="inlineStr">
        <is>
          <t>2004</t>
        </is>
      </c>
      <c r="B6" s="27" t="n">
        <v>0.3634</v>
      </c>
      <c r="C6" s="27" t="n">
        <v>0.7756</v>
      </c>
      <c r="D6" s="27" t="n">
        <v>0.9055</v>
      </c>
      <c r="E6" s="27" t="n">
        <v>0.9681</v>
      </c>
      <c r="F6" s="27" t="n">
        <v>1</v>
      </c>
      <c r="G6" s="27" t="n">
        <v>0.9981</v>
      </c>
      <c r="H6" s="27" t="n">
        <v>0.996</v>
      </c>
      <c r="I6" s="27" t="n">
        <v>0.9961</v>
      </c>
      <c r="J6" s="27" t="n">
        <v>0.991</v>
      </c>
      <c r="K6" s="27" t="n">
        <v>0.9938</v>
      </c>
      <c r="L6" s="27" t="n">
        <v>0.9748</v>
      </c>
      <c r="M6" s="27" t="n">
        <v>0.9923</v>
      </c>
      <c r="N6" s="27" t="n">
        <v>0.9923</v>
      </c>
      <c r="O6" s="27" t="n">
        <v>0.9938</v>
      </c>
      <c r="P6" s="27" t="n">
        <v>0.9944</v>
      </c>
      <c r="Q6" s="27" t="n">
        <v>1</v>
      </c>
      <c r="R6" s="27" t="n">
        <v>1</v>
      </c>
      <c r="S6" s="27" t="n">
        <v>1</v>
      </c>
      <c r="T6" s="27" t="n">
        <v>1</v>
      </c>
      <c r="U6" s="27" t="n">
        <v>1</v>
      </c>
      <c r="V6" s="27" t="n">
        <v>1</v>
      </c>
    </row>
    <row r="7">
      <c r="A7" s="16" t="inlineStr">
        <is>
          <t>2005</t>
        </is>
      </c>
      <c r="B7" s="27" t="n">
        <v>0.4873</v>
      </c>
      <c r="C7" s="27" t="n">
        <v>0.7597</v>
      </c>
      <c r="D7" s="27" t="n">
        <v>0.881</v>
      </c>
      <c r="E7" s="27" t="n">
        <v>0.9428</v>
      </c>
      <c r="F7" s="27" t="n">
        <v>0.9769</v>
      </c>
      <c r="G7" s="27" t="n">
        <v>0.9811</v>
      </c>
      <c r="H7" s="27" t="n">
        <v>0.9818</v>
      </c>
      <c r="I7" s="27" t="n">
        <v>0.9865</v>
      </c>
      <c r="J7" s="27" t="n">
        <v>0.978</v>
      </c>
      <c r="K7" s="27" t="n">
        <v>0.9805</v>
      </c>
      <c r="L7" s="27" t="n">
        <v>0.9967</v>
      </c>
      <c r="M7" s="27" t="n">
        <v>0.9084</v>
      </c>
      <c r="N7" s="27" t="n">
        <v>0.9382</v>
      </c>
      <c r="O7" s="27" t="n">
        <v>0.9738</v>
      </c>
      <c r="P7" s="27" t="n">
        <v>0.9933</v>
      </c>
      <c r="Q7" s="27" t="n">
        <v>0.9942</v>
      </c>
      <c r="R7" s="27" t="n">
        <v>0.9983</v>
      </c>
      <c r="S7" s="27" t="n">
        <v>1</v>
      </c>
      <c r="T7" s="27" t="n">
        <v>1</v>
      </c>
      <c r="U7" s="27" t="n">
        <v>1</v>
      </c>
    </row>
    <row r="8">
      <c r="A8" s="16" t="inlineStr">
        <is>
          <t>2006</t>
        </is>
      </c>
      <c r="B8" s="27" t="n">
        <v>0.3718</v>
      </c>
      <c r="C8" s="27" t="n">
        <v>0.6041</v>
      </c>
      <c r="D8" s="27" t="n">
        <v>0.8874</v>
      </c>
      <c r="E8" s="27" t="n">
        <v>0.9036999999999999</v>
      </c>
      <c r="F8" s="27" t="n">
        <v>0.9504</v>
      </c>
      <c r="G8" s="27" t="n">
        <v>0.9469</v>
      </c>
      <c r="H8" s="27" t="n">
        <v>0.9444</v>
      </c>
      <c r="I8" s="27" t="n">
        <v>0.9687</v>
      </c>
      <c r="J8" s="27" t="n">
        <v>0.9739</v>
      </c>
      <c r="K8" s="27" t="n">
        <v>0.9776</v>
      </c>
      <c r="L8" s="27" t="n">
        <v>0.9857</v>
      </c>
      <c r="M8" s="27" t="n">
        <v>0.9555</v>
      </c>
      <c r="N8" s="27" t="n">
        <v>0.9396</v>
      </c>
      <c r="O8" s="27" t="n">
        <v>0.947</v>
      </c>
      <c r="P8" s="27" t="n">
        <v>0.9529</v>
      </c>
      <c r="Q8" s="27" t="n">
        <v>0.9499</v>
      </c>
      <c r="R8" s="27" t="n">
        <v>0.9578</v>
      </c>
      <c r="S8" s="27" t="n">
        <v>0.9582000000000001</v>
      </c>
      <c r="T8" s="27" t="n">
        <v>0.9634</v>
      </c>
    </row>
    <row r="9">
      <c r="A9" s="16" t="inlineStr">
        <is>
          <t>2007</t>
        </is>
      </c>
      <c r="B9" s="27" t="n">
        <v>0.292</v>
      </c>
      <c r="C9" s="27" t="n">
        <v>0.5875</v>
      </c>
      <c r="D9" s="27" t="n">
        <v>0.6985</v>
      </c>
      <c r="E9" s="27" t="n">
        <v>0.7939000000000001</v>
      </c>
      <c r="F9" s="27" t="n">
        <v>0.8448</v>
      </c>
      <c r="G9" s="27" t="n">
        <v>0.8595</v>
      </c>
      <c r="H9" s="27" t="n">
        <v>0.9016999999999999</v>
      </c>
      <c r="I9" s="27" t="n">
        <v>0.8758</v>
      </c>
      <c r="J9" s="27" t="n">
        <v>0.8831</v>
      </c>
      <c r="K9" s="27" t="n">
        <v>0.8697</v>
      </c>
      <c r="L9" s="27" t="n">
        <v>0.9132</v>
      </c>
      <c r="M9" s="27" t="n">
        <v>0.9319</v>
      </c>
      <c r="N9" s="27" t="n">
        <v>0.9548</v>
      </c>
      <c r="O9" s="27" t="n">
        <v>0.9815</v>
      </c>
      <c r="P9" s="27" t="n">
        <v>0.9657</v>
      </c>
      <c r="Q9" s="27" t="n">
        <v>0.9937</v>
      </c>
      <c r="R9" s="27" t="n">
        <v>0.9964</v>
      </c>
      <c r="S9" s="27" t="n">
        <v>0.9958</v>
      </c>
    </row>
    <row r="10">
      <c r="A10" s="16" t="inlineStr">
        <is>
          <t>2008</t>
        </is>
      </c>
      <c r="B10" s="27" t="n">
        <v>0.6354</v>
      </c>
      <c r="C10" s="27" t="n">
        <v>0.8387</v>
      </c>
      <c r="D10" s="27" t="n">
        <v>0.9319</v>
      </c>
      <c r="E10" s="27" t="n">
        <v>0.9155</v>
      </c>
      <c r="F10" s="27" t="n">
        <v>0.9775</v>
      </c>
      <c r="G10" s="27" t="n">
        <v>0.991</v>
      </c>
      <c r="H10" s="27" t="n">
        <v>0.9925</v>
      </c>
      <c r="I10" s="27" t="n">
        <v>0.9859</v>
      </c>
      <c r="J10" s="27" t="n">
        <v>0.9918</v>
      </c>
      <c r="K10" s="27" t="n">
        <v>0.9714</v>
      </c>
      <c r="L10" s="27" t="n">
        <v>0.977</v>
      </c>
      <c r="M10" s="27" t="n">
        <v>0.9787</v>
      </c>
      <c r="N10" s="27" t="n">
        <v>0.9955000000000001</v>
      </c>
      <c r="O10" s="27" t="n">
        <v>0.9964</v>
      </c>
      <c r="P10" s="27" t="n">
        <v>0.997</v>
      </c>
      <c r="Q10" s="27" t="n">
        <v>0.9948</v>
      </c>
      <c r="R10" s="27" t="n">
        <v>1</v>
      </c>
    </row>
    <row r="11">
      <c r="A11" s="16" t="inlineStr">
        <is>
          <t>2009</t>
        </is>
      </c>
      <c r="B11" s="27" t="n">
        <v>0.6397</v>
      </c>
      <c r="C11" s="27" t="n">
        <v>0.8507</v>
      </c>
      <c r="D11" s="27" t="n">
        <v>0.9875</v>
      </c>
      <c r="E11" s="27" t="n">
        <v>0.9897</v>
      </c>
      <c r="F11" s="27" t="n">
        <v>0.9958</v>
      </c>
      <c r="G11" s="27" t="n">
        <v>0.996</v>
      </c>
      <c r="H11" s="27" t="n">
        <v>0.9899</v>
      </c>
      <c r="I11" s="27" t="n">
        <v>0.9089</v>
      </c>
      <c r="J11" s="27" t="n">
        <v>0.9422</v>
      </c>
      <c r="K11" s="27" t="n">
        <v>0.956</v>
      </c>
      <c r="L11" s="27" t="n">
        <v>0.965</v>
      </c>
      <c r="M11" s="27" t="n">
        <v>0.9812</v>
      </c>
      <c r="N11" s="27" t="n">
        <v>1</v>
      </c>
      <c r="O11" s="27" t="n">
        <v>1</v>
      </c>
      <c r="P11" s="27" t="n">
        <v>1</v>
      </c>
      <c r="Q11" s="27" t="n">
        <v>1</v>
      </c>
    </row>
    <row r="12">
      <c r="A12" s="16" t="inlineStr">
        <is>
          <t>2010</t>
        </is>
      </c>
      <c r="B12" s="27" t="n">
        <v>0.6767</v>
      </c>
      <c r="C12" s="27" t="n">
        <v>0.9214</v>
      </c>
      <c r="D12" s="27" t="n">
        <v>0.9621</v>
      </c>
      <c r="E12" s="27" t="n">
        <v>0.9743000000000001</v>
      </c>
      <c r="F12" s="27" t="n">
        <v>0.9520999999999999</v>
      </c>
      <c r="G12" s="27" t="n">
        <v>0.9825</v>
      </c>
      <c r="H12" s="27" t="n">
        <v>0.9913</v>
      </c>
      <c r="I12" s="27" t="n">
        <v>0.9919</v>
      </c>
      <c r="J12" s="27" t="n">
        <v>1</v>
      </c>
      <c r="K12" s="27" t="n">
        <v>1</v>
      </c>
      <c r="L12" s="27" t="n">
        <v>0.9997</v>
      </c>
      <c r="M12" s="27" t="n">
        <v>0.9997</v>
      </c>
      <c r="N12" s="27" t="n">
        <v>0.9991</v>
      </c>
      <c r="O12" s="27" t="n">
        <v>1</v>
      </c>
      <c r="P12" s="27" t="n">
        <v>1</v>
      </c>
    </row>
    <row r="13">
      <c r="A13" s="16" t="inlineStr">
        <is>
          <t>2011</t>
        </is>
      </c>
      <c r="B13" s="27" t="n">
        <v>0.8018999999999999</v>
      </c>
      <c r="C13" s="27" t="n">
        <v>0.946</v>
      </c>
      <c r="D13" s="27" t="n">
        <v>1</v>
      </c>
      <c r="E13" s="27" t="n">
        <v>0.9315</v>
      </c>
      <c r="F13" s="27" t="n">
        <v>0.9453</v>
      </c>
      <c r="G13" s="27" t="n">
        <v>0.9530999999999999</v>
      </c>
      <c r="H13" s="27" t="n">
        <v>0.9921</v>
      </c>
      <c r="I13" s="27" t="n">
        <v>0.994</v>
      </c>
      <c r="J13" s="27" t="n">
        <v>0.9849</v>
      </c>
      <c r="K13" s="27" t="n">
        <v>0.9887</v>
      </c>
      <c r="L13" s="27" t="n">
        <v>0.9666</v>
      </c>
      <c r="M13" s="27" t="n">
        <v>0.9796</v>
      </c>
      <c r="N13" s="27" t="n">
        <v>0.9846</v>
      </c>
      <c r="O13" s="27" t="n">
        <v>0.9878</v>
      </c>
    </row>
    <row r="14">
      <c r="A14" s="16" t="inlineStr">
        <is>
          <t>2012</t>
        </is>
      </c>
      <c r="B14" s="27" t="n">
        <v>0.6782</v>
      </c>
      <c r="C14" s="27" t="n">
        <v>0.9298</v>
      </c>
      <c r="D14" s="27" t="n">
        <v>0.8961</v>
      </c>
      <c r="E14" s="27" t="n">
        <v>0.9816</v>
      </c>
      <c r="F14" s="27" t="n">
        <v>0.9946</v>
      </c>
      <c r="G14" s="27" t="n">
        <v>0.9923999999999999</v>
      </c>
      <c r="H14" s="27" t="n">
        <v>0.9989</v>
      </c>
      <c r="I14" s="27" t="n">
        <v>0.9874000000000001</v>
      </c>
      <c r="J14" s="27" t="n">
        <v>0.9646</v>
      </c>
      <c r="K14" s="27" t="n">
        <v>0.9172</v>
      </c>
      <c r="L14" s="27" t="n">
        <v>0.9374</v>
      </c>
      <c r="M14" s="27" t="n">
        <v>0.84</v>
      </c>
      <c r="N14" s="27" t="n">
        <v>0.8757</v>
      </c>
    </row>
    <row r="15">
      <c r="A15" s="16" t="inlineStr">
        <is>
          <t>2013</t>
        </is>
      </c>
      <c r="B15" s="27" t="n">
        <v>0.7258</v>
      </c>
      <c r="C15" s="27" t="n">
        <v>0.9146</v>
      </c>
      <c r="D15" s="27" t="n">
        <v>0.9831</v>
      </c>
      <c r="E15" s="27" t="n">
        <v>0.8945</v>
      </c>
      <c r="F15" s="27" t="n">
        <v>1</v>
      </c>
      <c r="G15" s="27" t="n">
        <v>1</v>
      </c>
      <c r="H15" s="27" t="n">
        <v>1</v>
      </c>
      <c r="I15" s="27" t="n">
        <v>1</v>
      </c>
      <c r="J15" s="27" t="n">
        <v>1</v>
      </c>
      <c r="K15" s="27" t="n">
        <v>1</v>
      </c>
      <c r="L15" s="27" t="n">
        <v>1</v>
      </c>
      <c r="M15" s="27" t="n">
        <v>1</v>
      </c>
    </row>
    <row r="16">
      <c r="A16" s="16" t="inlineStr">
        <is>
          <t>2014</t>
        </is>
      </c>
      <c r="B16" s="27" t="n">
        <v>0.7105</v>
      </c>
      <c r="C16" s="27" t="n">
        <v>0.9325</v>
      </c>
      <c r="D16" s="27" t="n">
        <v>0.8289</v>
      </c>
      <c r="E16" s="27" t="n">
        <v>0.9129</v>
      </c>
      <c r="F16" s="27" t="n">
        <v>0.9603</v>
      </c>
      <c r="G16" s="27" t="n">
        <v>0.9437</v>
      </c>
      <c r="H16" s="27" t="n">
        <v>0.9775</v>
      </c>
      <c r="I16" s="27" t="n">
        <v>0.9804</v>
      </c>
      <c r="J16" s="27" t="n">
        <v>0.9476</v>
      </c>
      <c r="K16" s="27" t="n">
        <v>0.9857</v>
      </c>
      <c r="L16" s="27" t="n">
        <v>1</v>
      </c>
    </row>
    <row r="17">
      <c r="A17" s="16" t="inlineStr">
        <is>
          <t>2015</t>
        </is>
      </c>
      <c r="B17" s="27" t="n">
        <v>0.707</v>
      </c>
      <c r="C17" s="27" t="n">
        <v>0.7906</v>
      </c>
      <c r="D17" s="27" t="n">
        <v>0.8845</v>
      </c>
      <c r="E17" s="27" t="n">
        <v>0.9756</v>
      </c>
      <c r="F17" s="27" t="n">
        <v>0.9473</v>
      </c>
      <c r="G17" s="27" t="n">
        <v>0.9283</v>
      </c>
      <c r="H17" s="27" t="n">
        <v>0.9045</v>
      </c>
      <c r="I17" s="27" t="n">
        <v>0.9476</v>
      </c>
      <c r="J17" s="27" t="n">
        <v>0.958</v>
      </c>
      <c r="K17" s="27" t="n">
        <v>0.9945000000000001</v>
      </c>
    </row>
    <row r="18">
      <c r="A18" s="16" t="inlineStr">
        <is>
          <t>2016</t>
        </is>
      </c>
      <c r="B18" s="27" t="n">
        <v>0.4938</v>
      </c>
      <c r="C18" s="27" t="n">
        <v>0.8754999999999999</v>
      </c>
      <c r="D18" s="27" t="n">
        <v>0.9181</v>
      </c>
      <c r="E18" s="27" t="n">
        <v>0.9506</v>
      </c>
      <c r="F18" s="27" t="n">
        <v>0.8948</v>
      </c>
      <c r="G18" s="27" t="n">
        <v>0.956</v>
      </c>
      <c r="H18" s="27" t="n">
        <v>0.9663</v>
      </c>
      <c r="I18" s="27" t="n">
        <v>0.9729</v>
      </c>
      <c r="J18" s="27" t="n">
        <v>0.9824000000000001</v>
      </c>
    </row>
    <row r="19">
      <c r="A19" s="16" t="inlineStr">
        <is>
          <t>2017</t>
        </is>
      </c>
      <c r="B19" s="27" t="n">
        <v>0.7297</v>
      </c>
      <c r="C19" s="27" t="n">
        <v>0.9510999999999999</v>
      </c>
      <c r="D19" s="27" t="n">
        <v>0.9908</v>
      </c>
      <c r="E19" s="27" t="n">
        <v>0.8532999999999999</v>
      </c>
      <c r="F19" s="27" t="n">
        <v>0.863</v>
      </c>
      <c r="G19" s="27" t="n">
        <v>0.8438</v>
      </c>
      <c r="H19" s="27" t="n">
        <v>0.9454</v>
      </c>
      <c r="I19" s="27" t="n">
        <v>1</v>
      </c>
    </row>
    <row r="20">
      <c r="A20" s="16" t="inlineStr">
        <is>
          <t>2018</t>
        </is>
      </c>
      <c r="B20" s="27" t="n">
        <v>0.68</v>
      </c>
      <c r="C20" s="27" t="n">
        <v>0.8502</v>
      </c>
      <c r="D20" s="27" t="n">
        <v>0.8831</v>
      </c>
      <c r="E20" s="27" t="n">
        <v>0.8737</v>
      </c>
      <c r="F20" s="27" t="n">
        <v>0.9292</v>
      </c>
      <c r="G20" s="27" t="n">
        <v>0.9688</v>
      </c>
      <c r="H20" s="27" t="n">
        <v>1</v>
      </c>
    </row>
    <row r="21">
      <c r="A21" s="16" t="inlineStr">
        <is>
          <t>2019</t>
        </is>
      </c>
      <c r="B21" s="27" t="n">
        <v>0.7092000000000001</v>
      </c>
      <c r="C21" s="27" t="n">
        <v>0.6879</v>
      </c>
      <c r="D21" s="27" t="n">
        <v>0.778</v>
      </c>
      <c r="E21" s="27" t="n">
        <v>0.8001</v>
      </c>
      <c r="F21" s="27" t="n">
        <v>0.9264</v>
      </c>
      <c r="G21" s="27" t="n">
        <v>0.9213</v>
      </c>
    </row>
    <row r="22">
      <c r="A22" s="16" t="inlineStr">
        <is>
          <t>2020</t>
        </is>
      </c>
      <c r="B22" s="27" t="n">
        <v>0.5476</v>
      </c>
      <c r="C22" s="27" t="n">
        <v>0.7834</v>
      </c>
      <c r="D22" s="27" t="n">
        <v>0.9404</v>
      </c>
      <c r="E22" s="27" t="n">
        <v>0.9964</v>
      </c>
      <c r="F22" s="27" t="n">
        <v>0.9971</v>
      </c>
    </row>
    <row r="23">
      <c r="A23" s="16" t="inlineStr">
        <is>
          <t>2021</t>
        </is>
      </c>
      <c r="B23" s="27" t="n">
        <v>0.4982</v>
      </c>
      <c r="C23" s="27" t="n">
        <v>0.6828</v>
      </c>
      <c r="D23" s="27" t="n">
        <v>0.9297</v>
      </c>
      <c r="E23" s="27" t="n">
        <v>0.9641</v>
      </c>
    </row>
    <row r="24">
      <c r="A24" s="16" t="inlineStr">
        <is>
          <t>2022</t>
        </is>
      </c>
      <c r="B24" s="27" t="n">
        <v>0.4425</v>
      </c>
      <c r="C24" s="27" t="n">
        <v>0.8767</v>
      </c>
      <c r="D24" s="27" t="n">
        <v>0.9560999999999999</v>
      </c>
    </row>
    <row r="25">
      <c r="A25" s="16" t="inlineStr">
        <is>
          <t>2023</t>
        </is>
      </c>
      <c r="B25" s="27" t="n">
        <v>0.3767</v>
      </c>
      <c r="C25" s="27" t="n">
        <v>0.726</v>
      </c>
    </row>
    <row r="26">
      <c r="A26" s="16" t="inlineStr">
        <is>
          <t>2024</t>
        </is>
      </c>
      <c r="B26" s="27" t="n">
        <v>0.3991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Incremental Incurred Severity</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17" t="n">
        <v>890.1180000000001</v>
      </c>
      <c r="C3" s="17" t="n">
        <v>22000.2647</v>
      </c>
      <c r="D3" s="17" t="n">
        <v>263628</v>
      </c>
      <c r="E3" s="17" t="n"/>
      <c r="F3" s="17" t="n"/>
      <c r="G3" s="17" t="n"/>
      <c r="H3" s="17" t="n">
        <v>-329.6215</v>
      </c>
      <c r="I3" s="17" t="n"/>
      <c r="J3" s="17" t="n"/>
      <c r="K3" s="17" t="n"/>
      <c r="L3" s="17" t="n"/>
      <c r="M3" s="17" t="n"/>
      <c r="N3" s="17" t="n"/>
      <c r="O3" s="17" t="n"/>
      <c r="P3" s="17" t="n"/>
      <c r="Q3" s="17" t="n"/>
      <c r="R3" s="17" t="n"/>
      <c r="S3" s="17" t="n"/>
      <c r="T3" s="17" t="n"/>
      <c r="U3" s="17" t="n">
        <v>0</v>
      </c>
      <c r="V3" s="17" t="n"/>
      <c r="W3" s="17" t="n"/>
      <c r="X3" s="17" t="n">
        <v>0</v>
      </c>
      <c r="Y3" s="17" t="n"/>
    </row>
    <row r="4">
      <c r="A4" s="16" t="inlineStr">
        <is>
          <t>2002</t>
        </is>
      </c>
      <c r="B4" s="17" t="n">
        <v>1512.0882</v>
      </c>
      <c r="C4" s="17" t="n">
        <v>18915.25</v>
      </c>
      <c r="D4" s="17" t="n"/>
      <c r="E4" s="17" t="n"/>
      <c r="F4" s="17" t="n"/>
      <c r="G4" s="17" t="n">
        <v>5939.8777</v>
      </c>
      <c r="H4" s="17" t="n"/>
      <c r="I4" s="17" t="n"/>
      <c r="J4" s="17" t="n"/>
      <c r="K4" s="17" t="n"/>
      <c r="L4" s="17" t="n"/>
      <c r="M4" s="17" t="n"/>
      <c r="N4" s="17" t="n"/>
      <c r="O4" s="17" t="n"/>
      <c r="P4" s="17" t="n"/>
      <c r="Q4" s="17" t="n"/>
      <c r="R4" s="17" t="n"/>
      <c r="S4" s="17" t="n"/>
      <c r="T4" s="17" t="n">
        <v>0</v>
      </c>
      <c r="U4" s="17" t="n"/>
      <c r="V4" s="17" t="n"/>
      <c r="W4" s="17" t="n"/>
      <c r="X4" s="17" t="n">
        <v>0</v>
      </c>
    </row>
    <row r="5">
      <c r="A5" s="16" t="inlineStr">
        <is>
          <t>2003</t>
        </is>
      </c>
      <c r="B5" s="17" t="n">
        <v>1888.6444</v>
      </c>
      <c r="C5" s="17" t="n">
        <v>24321.7857</v>
      </c>
      <c r="D5" s="17" t="n"/>
      <c r="E5" s="17" t="n"/>
      <c r="F5" s="17" t="n">
        <v>65663.13</v>
      </c>
      <c r="G5" s="17" t="n"/>
      <c r="H5" s="17" t="n">
        <v>-3810.89</v>
      </c>
      <c r="I5" s="17" t="n"/>
      <c r="J5" s="17" t="n"/>
      <c r="K5" s="17" t="n"/>
      <c r="L5" s="17" t="n"/>
      <c r="M5" s="17" t="n"/>
      <c r="N5" s="17" t="n"/>
      <c r="O5" s="17" t="n"/>
      <c r="P5" s="17" t="n">
        <v>0</v>
      </c>
      <c r="Q5" s="17" t="n">
        <v>0</v>
      </c>
      <c r="R5" s="17" t="n"/>
      <c r="S5" s="17" t="n">
        <v>0</v>
      </c>
      <c r="T5" s="17" t="n">
        <v>0</v>
      </c>
      <c r="U5" s="17" t="n">
        <v>0</v>
      </c>
      <c r="V5" s="17" t="n">
        <v>0</v>
      </c>
      <c r="W5" s="17" t="n">
        <v>0</v>
      </c>
    </row>
    <row r="6">
      <c r="A6" s="16" t="inlineStr">
        <is>
          <t>2004</t>
        </is>
      </c>
      <c r="B6" s="17" t="n">
        <v>1172.3435</v>
      </c>
      <c r="C6" s="17" t="n">
        <v>2809.2593</v>
      </c>
      <c r="D6" s="17" t="n"/>
      <c r="E6" s="17" t="n">
        <v>15998.55</v>
      </c>
      <c r="F6" s="17" t="n">
        <v>92280.89999999999</v>
      </c>
      <c r="G6" s="17" t="n"/>
      <c r="H6" s="17" t="n"/>
      <c r="I6" s="17" t="n"/>
      <c r="J6" s="17" t="n"/>
      <c r="K6" s="17" t="n"/>
      <c r="L6" s="17" t="n"/>
      <c r="M6" s="17" t="n"/>
      <c r="N6" s="17" t="n"/>
      <c r="O6" s="17" t="n"/>
      <c r="P6" s="17" t="n"/>
      <c r="Q6" s="17" t="n"/>
      <c r="R6" s="17" t="n">
        <v>0</v>
      </c>
      <c r="S6" s="17" t="n">
        <v>0</v>
      </c>
      <c r="T6" s="17" t="n">
        <v>0</v>
      </c>
      <c r="U6" s="17" t="n"/>
      <c r="V6" s="17" t="n">
        <v>0</v>
      </c>
    </row>
    <row r="7">
      <c r="A7" s="16" t="inlineStr">
        <is>
          <t>2005</t>
        </is>
      </c>
      <c r="B7" s="17" t="n">
        <v>1993.7326</v>
      </c>
      <c r="C7" s="17" t="n">
        <v>26077.4891</v>
      </c>
      <c r="D7" s="17" t="n">
        <v>114569.65</v>
      </c>
      <c r="E7" s="17" t="n">
        <v>33060.37</v>
      </c>
      <c r="F7" s="17" t="n"/>
      <c r="G7" s="17" t="n"/>
      <c r="H7" s="17" t="n"/>
      <c r="I7" s="17" t="n"/>
      <c r="J7" s="17" t="n"/>
      <c r="K7" s="17" t="n"/>
      <c r="L7" s="17" t="n"/>
      <c r="M7" s="17" t="n"/>
      <c r="N7" s="17" t="n"/>
      <c r="O7" s="17" t="n"/>
      <c r="P7" s="17" t="n"/>
      <c r="Q7" s="17" t="n"/>
      <c r="R7" s="17" t="n"/>
      <c r="S7" s="17" t="n">
        <v>0</v>
      </c>
      <c r="T7" s="17" t="n">
        <v>0</v>
      </c>
      <c r="U7" s="17" t="n">
        <v>0</v>
      </c>
    </row>
    <row r="8">
      <c r="A8" s="16" t="inlineStr">
        <is>
          <t>2006</t>
        </is>
      </c>
      <c r="B8" s="17" t="n">
        <v>1599.0849</v>
      </c>
      <c r="C8" s="17" t="n">
        <v>21224.755</v>
      </c>
      <c r="D8" s="17" t="n"/>
      <c r="E8" s="17" t="n"/>
      <c r="F8" s="17" t="n"/>
      <c r="G8" s="17" t="n"/>
      <c r="H8" s="17" t="n"/>
      <c r="I8" s="17" t="n"/>
      <c r="J8" s="17" t="n"/>
      <c r="K8" s="17" t="n"/>
      <c r="L8" s="17" t="n"/>
      <c r="M8" s="17" t="n"/>
      <c r="N8" s="17" t="n"/>
      <c r="O8" s="17" t="n"/>
      <c r="P8" s="17" t="n"/>
      <c r="Q8" s="17" t="n"/>
      <c r="R8" s="17" t="n"/>
      <c r="S8" s="17" t="n"/>
      <c r="T8" s="17" t="n">
        <v>0</v>
      </c>
    </row>
    <row r="9">
      <c r="A9" s="16" t="inlineStr">
        <is>
          <t>2007</t>
        </is>
      </c>
      <c r="B9" s="17" t="n">
        <v>3777.3245</v>
      </c>
      <c r="C9" s="17" t="n">
        <v>7734.954</v>
      </c>
      <c r="D9" s="17" t="n"/>
      <c r="E9" s="17" t="n"/>
      <c r="F9" s="17" t="n"/>
      <c r="G9" s="17" t="n"/>
      <c r="H9" s="17" t="n"/>
      <c r="I9" s="17" t="n"/>
      <c r="J9" s="17" t="n"/>
      <c r="K9" s="17" t="n"/>
      <c r="L9" s="17" t="n"/>
      <c r="M9" s="17" t="n"/>
      <c r="N9" s="17" t="n"/>
      <c r="O9" s="17" t="n"/>
      <c r="P9" s="17" t="n"/>
      <c r="Q9" s="17" t="n">
        <v>0</v>
      </c>
      <c r="R9" s="17" t="n"/>
      <c r="S9" s="17" t="n"/>
    </row>
    <row r="10">
      <c r="A10" s="16" t="inlineStr">
        <is>
          <t>2008</t>
        </is>
      </c>
      <c r="B10" s="17" t="n">
        <v>1809.473</v>
      </c>
      <c r="C10" s="17" t="n">
        <v>10839.7573</v>
      </c>
      <c r="D10" s="17" t="n">
        <v>122954.5499</v>
      </c>
      <c r="E10" s="17" t="n"/>
      <c r="F10" s="17" t="n"/>
      <c r="G10" s="17" t="n"/>
      <c r="H10" s="17" t="n"/>
      <c r="I10" s="17" t="n"/>
      <c r="J10" s="17" t="n"/>
      <c r="K10" s="17" t="n"/>
      <c r="L10" s="17" t="n"/>
      <c r="M10" s="17" t="n"/>
      <c r="N10" s="17" t="n"/>
      <c r="O10" s="17" t="n"/>
      <c r="P10" s="17" t="n">
        <v>0</v>
      </c>
      <c r="Q10" s="17" t="n"/>
      <c r="R10" s="17" t="n"/>
    </row>
    <row r="11">
      <c r="A11" s="16" t="inlineStr">
        <is>
          <t>2009</t>
        </is>
      </c>
      <c r="B11" s="17" t="n">
        <v>1167.6749</v>
      </c>
      <c r="C11" s="17" t="n">
        <v>35483.0018</v>
      </c>
      <c r="D11" s="17" t="n">
        <v>-38115.65</v>
      </c>
      <c r="E11" s="17" t="n"/>
      <c r="F11" s="17" t="n"/>
      <c r="G11" s="17" t="n"/>
      <c r="H11" s="17" t="n"/>
      <c r="I11" s="17" t="n"/>
      <c r="J11" s="17" t="n"/>
      <c r="K11" s="17" t="n"/>
      <c r="L11" s="17" t="n">
        <v>0</v>
      </c>
      <c r="M11" s="17" t="n"/>
      <c r="N11" s="17" t="n"/>
      <c r="O11" s="17" t="n">
        <v>0</v>
      </c>
      <c r="P11" s="17" t="n">
        <v>0</v>
      </c>
      <c r="Q11" s="17" t="n">
        <v>0</v>
      </c>
    </row>
    <row r="12">
      <c r="A12" s="16" t="inlineStr">
        <is>
          <t>2010</t>
        </is>
      </c>
      <c r="B12" s="17" t="n">
        <v>1384.9391</v>
      </c>
      <c r="C12" s="17" t="n">
        <v>31201.3678</v>
      </c>
      <c r="D12" s="17" t="n"/>
      <c r="E12" s="17" t="n"/>
      <c r="F12" s="17" t="n"/>
      <c r="G12" s="17" t="n"/>
      <c r="H12" s="17" t="n"/>
      <c r="I12" s="17" t="n"/>
      <c r="J12" s="17" t="n"/>
      <c r="K12" s="17" t="n"/>
      <c r="L12" s="17" t="n"/>
      <c r="M12" s="17" t="n"/>
      <c r="N12" s="17" t="n"/>
      <c r="O12" s="17" t="n"/>
      <c r="P12" s="17" t="n"/>
    </row>
    <row r="13">
      <c r="A13" s="16" t="inlineStr">
        <is>
          <t>2011</t>
        </is>
      </c>
      <c r="B13" s="17" t="n">
        <v>1313.2806</v>
      </c>
      <c r="C13" s="17" t="n"/>
      <c r="D13" s="17" t="n"/>
      <c r="E13" s="17" t="n"/>
      <c r="F13" s="17" t="n"/>
      <c r="G13" s="17" t="n"/>
      <c r="H13" s="17" t="n"/>
      <c r="I13" s="17" t="n"/>
      <c r="J13" s="17" t="n"/>
      <c r="K13" s="17" t="n"/>
      <c r="L13" s="17" t="n"/>
      <c r="M13" s="17" t="n"/>
      <c r="N13" s="17" t="n">
        <v>0</v>
      </c>
      <c r="O13" s="17" t="n">
        <v>0</v>
      </c>
    </row>
    <row r="14">
      <c r="A14" s="16" t="inlineStr">
        <is>
          <t>2012</t>
        </is>
      </c>
      <c r="B14" s="17" t="n">
        <v>1368.4788</v>
      </c>
      <c r="C14" s="17" t="n">
        <v>21888.1617</v>
      </c>
      <c r="D14" s="17" t="n"/>
      <c r="E14" s="17" t="n"/>
      <c r="F14" s="17" t="n"/>
      <c r="G14" s="17" t="n"/>
      <c r="H14" s="17" t="n"/>
      <c r="I14" s="17" t="n"/>
      <c r="J14" s="17" t="n"/>
      <c r="K14" s="17" t="n"/>
      <c r="L14" s="17" t="n"/>
      <c r="M14" s="17" t="n"/>
      <c r="N14" s="17" t="n">
        <v>0</v>
      </c>
    </row>
    <row r="15">
      <c r="A15" s="16" t="inlineStr">
        <is>
          <t>2013</t>
        </is>
      </c>
      <c r="B15" s="17" t="n">
        <v>988.3224</v>
      </c>
      <c r="C15" s="17" t="n">
        <v>29119.8633</v>
      </c>
      <c r="D15" s="17" t="n"/>
      <c r="E15" s="17" t="n">
        <v>86335</v>
      </c>
      <c r="F15" s="17" t="n"/>
      <c r="G15" s="17" t="n"/>
      <c r="H15" s="17" t="n"/>
      <c r="I15" s="17" t="n">
        <v>0</v>
      </c>
      <c r="J15" s="17" t="n"/>
      <c r="K15" s="17" t="n">
        <v>0</v>
      </c>
      <c r="L15" s="17" t="n"/>
      <c r="M15" s="17" t="n">
        <v>0</v>
      </c>
    </row>
    <row r="16">
      <c r="A16" s="16" t="inlineStr">
        <is>
          <t>2014</t>
        </is>
      </c>
      <c r="B16" s="17" t="n">
        <v>1334.6909</v>
      </c>
      <c r="C16" s="17" t="n">
        <v>10721.4473</v>
      </c>
      <c r="D16" s="17" t="n">
        <v>246904</v>
      </c>
      <c r="E16" s="17" t="n"/>
      <c r="F16" s="17" t="n"/>
      <c r="G16" s="17" t="n"/>
      <c r="H16" s="17" t="n"/>
      <c r="I16" s="17" t="n">
        <v>0</v>
      </c>
      <c r="J16" s="17" t="n"/>
      <c r="K16" s="17" t="n"/>
      <c r="L16" s="17" t="n"/>
    </row>
    <row r="17">
      <c r="A17" s="16" t="inlineStr">
        <is>
          <t>2015</t>
        </is>
      </c>
      <c r="B17" s="17" t="n">
        <v>1671.1066</v>
      </c>
      <c r="C17" s="17" t="n">
        <v>50240.25</v>
      </c>
      <c r="D17" s="17" t="n">
        <v>101765.5</v>
      </c>
      <c r="E17" s="17" t="n"/>
      <c r="F17" s="17" t="n"/>
      <c r="G17" s="17" t="n"/>
      <c r="H17" s="17" t="n"/>
      <c r="I17" s="17" t="n"/>
      <c r="J17" s="17" t="n"/>
      <c r="K17" s="17" t="n">
        <v>-74961.62669999999</v>
      </c>
    </row>
    <row r="18">
      <c r="A18" s="16" t="inlineStr">
        <is>
          <t>2016</t>
        </is>
      </c>
      <c r="B18" s="17" t="n">
        <v>1989.3893</v>
      </c>
      <c r="C18" s="17" t="n">
        <v>21585.1429</v>
      </c>
      <c r="D18" s="17" t="n">
        <v>26086.5315</v>
      </c>
      <c r="E18" s="17" t="n"/>
      <c r="F18" s="17" t="n"/>
      <c r="G18" s="17" t="n"/>
      <c r="H18" s="17" t="n"/>
      <c r="I18" s="17" t="n"/>
      <c r="J18" s="17" t="n"/>
    </row>
    <row r="19">
      <c r="A19" s="16" t="inlineStr">
        <is>
          <t>2017</t>
        </is>
      </c>
      <c r="B19" s="17" t="n">
        <v>1672.7081</v>
      </c>
      <c r="C19" s="17" t="n">
        <v>4475.3015</v>
      </c>
      <c r="D19" s="17" t="n">
        <v>16009.7899</v>
      </c>
      <c r="E19" s="17" t="n">
        <v>149114.13</v>
      </c>
      <c r="F19" s="17" t="n">
        <v>-47377.44</v>
      </c>
      <c r="G19" s="17" t="n"/>
      <c r="H19" s="17" t="n"/>
      <c r="I19" s="17" t="n">
        <v>-27931.9</v>
      </c>
    </row>
    <row r="20">
      <c r="A20" s="16" t="inlineStr">
        <is>
          <t>2018</t>
        </is>
      </c>
      <c r="B20" s="17" t="n">
        <v>1757.7757</v>
      </c>
      <c r="C20" s="17" t="n">
        <v>18526.4922</v>
      </c>
      <c r="D20" s="17" t="n"/>
      <c r="E20" s="17" t="n"/>
      <c r="F20" s="17" t="n">
        <v>-10079.97</v>
      </c>
      <c r="G20" s="17" t="n"/>
      <c r="H20" s="17" t="n"/>
    </row>
    <row r="21">
      <c r="A21" s="16" t="inlineStr">
        <is>
          <t>2019</t>
        </is>
      </c>
      <c r="B21" s="17" t="n">
        <v>1298.8238</v>
      </c>
      <c r="C21" s="17" t="n">
        <v>15973.9188</v>
      </c>
      <c r="D21" s="17" t="n"/>
      <c r="E21" s="17" t="n"/>
      <c r="F21" s="17" t="n"/>
      <c r="G21" s="17" t="n">
        <v>-358066.22</v>
      </c>
    </row>
    <row r="22">
      <c r="A22" s="16" t="inlineStr">
        <is>
          <t>2020</t>
        </is>
      </c>
      <c r="B22" s="17" t="n">
        <v>1493.0271</v>
      </c>
      <c r="C22" s="17" t="n">
        <v>19409.9025</v>
      </c>
      <c r="D22" s="17" t="n"/>
      <c r="E22" s="17" t="n"/>
      <c r="F22" s="17" t="n"/>
    </row>
    <row r="23">
      <c r="A23" s="16" t="inlineStr">
        <is>
          <t>2021</t>
        </is>
      </c>
      <c r="B23" s="17" t="n">
        <v>1901.2855</v>
      </c>
      <c r="C23" s="17" t="n">
        <v>6147.4661</v>
      </c>
      <c r="D23" s="17" t="n"/>
      <c r="E23" s="17" t="n"/>
    </row>
    <row r="24">
      <c r="A24" s="16" t="inlineStr">
        <is>
          <t>2022</t>
        </is>
      </c>
      <c r="B24" s="17" t="n">
        <v>2658.5306</v>
      </c>
      <c r="C24" s="17" t="n">
        <v>4250.0129</v>
      </c>
      <c r="D24" s="17" t="n"/>
    </row>
    <row r="25">
      <c r="A25" s="16" t="inlineStr">
        <is>
          <t>2023</t>
        </is>
      </c>
      <c r="B25" s="17" t="n">
        <v>3569.3743</v>
      </c>
      <c r="C25" s="17" t="n">
        <v>21368.7346</v>
      </c>
    </row>
    <row r="26">
      <c r="A26" s="16" t="inlineStr">
        <is>
          <t>2024</t>
        </is>
      </c>
      <c r="B26" s="17" t="n">
        <v>3477.1362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Incurred Loss - CV &amp; Slopes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9" t="inlineStr">
        <is>
          <t>Metric</t>
        </is>
      </c>
      <c r="B2" s="8" t="inlineStr">
        <is>
          <t>11-23</t>
        </is>
      </c>
      <c r="C2" s="8" t="inlineStr">
        <is>
          <t>23-35</t>
        </is>
      </c>
      <c r="D2" s="8" t="inlineStr">
        <is>
          <t>35-47</t>
        </is>
      </c>
      <c r="E2" s="8" t="inlineStr">
        <is>
          <t>47-59</t>
        </is>
      </c>
      <c r="F2" s="8" t="inlineStr">
        <is>
          <t>59-71</t>
        </is>
      </c>
      <c r="G2" s="8" t="inlineStr">
        <is>
          <t>71-83</t>
        </is>
      </c>
      <c r="H2" s="8" t="inlineStr">
        <is>
          <t>83-95</t>
        </is>
      </c>
      <c r="I2" s="8" t="inlineStr">
        <is>
          <t>95-107</t>
        </is>
      </c>
      <c r="J2" s="8" t="inlineStr">
        <is>
          <t>107-119</t>
        </is>
      </c>
      <c r="K2" s="8" t="inlineStr">
        <is>
          <t>119-131</t>
        </is>
      </c>
      <c r="L2" s="8" t="inlineStr">
        <is>
          <t>131-143</t>
        </is>
      </c>
      <c r="M2" s="8" t="inlineStr">
        <is>
          <t>143-155</t>
        </is>
      </c>
      <c r="N2" s="8" t="inlineStr">
        <is>
          <t>155-167</t>
        </is>
      </c>
      <c r="O2" s="8" t="inlineStr">
        <is>
          <t>167-179</t>
        </is>
      </c>
      <c r="P2" s="8" t="inlineStr">
        <is>
          <t>179-191</t>
        </is>
      </c>
      <c r="Q2" s="8" t="inlineStr">
        <is>
          <t>191-203</t>
        </is>
      </c>
      <c r="R2" s="8" t="inlineStr">
        <is>
          <t>203-215</t>
        </is>
      </c>
      <c r="S2" s="8" t="inlineStr">
        <is>
          <t>215-227</t>
        </is>
      </c>
      <c r="T2" s="8" t="inlineStr">
        <is>
          <t>227-239</t>
        </is>
      </c>
      <c r="U2" s="8" t="inlineStr">
        <is>
          <t>239-251</t>
        </is>
      </c>
      <c r="V2" s="8" t="inlineStr">
        <is>
          <t>251-263</t>
        </is>
      </c>
      <c r="W2" s="8" t="inlineStr">
        <is>
          <t>263-275</t>
        </is>
      </c>
      <c r="X2" s="8" t="inlineStr">
        <is>
          <t>275-287</t>
        </is>
      </c>
      <c r="Y2" s="8" t="inlineStr">
        <is>
          <t>Tail</t>
        </is>
      </c>
    </row>
    <row r="3">
      <c r="A3" s="20" t="inlineStr">
        <is>
          <t>cv_3yr</t>
        </is>
      </c>
      <c r="B3" s="18" t="n">
        <v>0.1604</v>
      </c>
      <c r="C3" s="18" t="n">
        <v>0.1345</v>
      </c>
      <c r="D3" s="18" t="n">
        <v>0.0574</v>
      </c>
      <c r="E3" s="18" t="n">
        <v>0.0355</v>
      </c>
      <c r="F3" s="18" t="n">
        <v>0.0934</v>
      </c>
      <c r="G3" s="18" t="n">
        <v>0.0606</v>
      </c>
      <c r="H3" s="18" t="n">
        <v>0.0164</v>
      </c>
      <c r="I3" s="18" t="n">
        <v>0.0221</v>
      </c>
      <c r="J3" s="18" t="n">
        <v>0.0488</v>
      </c>
      <c r="K3" s="18" t="n">
        <v>0.0072</v>
      </c>
      <c r="L3" s="18" t="n">
        <v>0.0985</v>
      </c>
      <c r="M3" s="18" t="n">
        <v>0.0008</v>
      </c>
      <c r="N3" s="18" t="n">
        <v>0.0001</v>
      </c>
      <c r="O3" s="18" t="n">
        <v>0.0035</v>
      </c>
      <c r="P3" s="18" t="n">
        <v>0.0028</v>
      </c>
      <c r="Q3" s="18" t="n">
        <v>0.0101</v>
      </c>
      <c r="R3" s="18" t="n">
        <v>0.0037</v>
      </c>
      <c r="S3" s="18" t="n">
        <v>0</v>
      </c>
      <c r="T3" s="18" t="n">
        <v>0</v>
      </c>
      <c r="U3" s="18" t="n">
        <v>0.0036</v>
      </c>
      <c r="V3" s="18" t="n">
        <v>0.0178</v>
      </c>
      <c r="W3" s="18" t="n">
        <v>0</v>
      </c>
      <c r="X3" s="18" t="n"/>
    </row>
    <row r="4">
      <c r="A4" s="20" t="inlineStr">
        <is>
          <t>cv_5yr</t>
        </is>
      </c>
      <c r="B4" s="18" t="n">
        <v>0.3284</v>
      </c>
      <c r="C4" s="18" t="n">
        <v>0.2103</v>
      </c>
      <c r="D4" s="18" t="n">
        <v>0.1316</v>
      </c>
      <c r="E4" s="18" t="n">
        <v>0.0556</v>
      </c>
      <c r="F4" s="18" t="n">
        <v>0.07729999999999999</v>
      </c>
      <c r="G4" s="18" t="n">
        <v>0.074</v>
      </c>
      <c r="H4" s="18" t="n">
        <v>0.0136</v>
      </c>
      <c r="I4" s="18" t="n">
        <v>0.0254</v>
      </c>
      <c r="J4" s="18" t="n">
        <v>0.0393</v>
      </c>
      <c r="K4" s="18" t="n">
        <v>0.0134</v>
      </c>
      <c r="L4" s="18" t="n">
        <v>0.0762</v>
      </c>
      <c r="M4" s="18" t="n">
        <v>0.0162</v>
      </c>
      <c r="N4" s="18" t="n">
        <v>0.0004</v>
      </c>
      <c r="O4" s="18" t="n">
        <v>0.0187</v>
      </c>
      <c r="P4" s="18" t="n">
        <v>0.0049</v>
      </c>
      <c r="Q4" s="18" t="n">
        <v>0.0089</v>
      </c>
      <c r="R4" s="18" t="n">
        <v>0.0032</v>
      </c>
      <c r="S4" s="18" t="n">
        <v>0</v>
      </c>
      <c r="T4" s="18" t="n">
        <v>0.0188</v>
      </c>
      <c r="U4" s="18" t="n">
        <v>0.013</v>
      </c>
      <c r="V4" s="18" t="n">
        <v>0.0178</v>
      </c>
      <c r="W4" s="18" t="n">
        <v>0</v>
      </c>
      <c r="X4" s="18" t="n"/>
    </row>
    <row r="5">
      <c r="A5" s="20" t="inlineStr">
        <is>
          <t>cv_10yr</t>
        </is>
      </c>
      <c r="B5" s="18" t="n">
        <v>0.2694</v>
      </c>
      <c r="C5" s="18" t="n">
        <v>0.1768</v>
      </c>
      <c r="D5" s="18" t="n">
        <v>0.1051</v>
      </c>
      <c r="E5" s="18" t="n">
        <v>0.0465</v>
      </c>
      <c r="F5" s="18" t="n">
        <v>0.07190000000000001</v>
      </c>
      <c r="G5" s="18" t="n">
        <v>0.0599</v>
      </c>
      <c r="H5" s="18" t="n">
        <v>0.0442</v>
      </c>
      <c r="I5" s="18" t="n">
        <v>0.0266</v>
      </c>
      <c r="J5" s="18" t="n">
        <v>0.0374</v>
      </c>
      <c r="K5" s="18" t="n">
        <v>0.0262</v>
      </c>
      <c r="L5" s="18" t="n">
        <v>0.061</v>
      </c>
      <c r="M5" s="18" t="n">
        <v>0.0142</v>
      </c>
      <c r="N5" s="18" t="n">
        <v>0.0147</v>
      </c>
      <c r="O5" s="18" t="n">
        <v>0.0146</v>
      </c>
      <c r="P5" s="18" t="n">
        <v>0.0166</v>
      </c>
      <c r="Q5" s="18" t="n">
        <v>0.0175</v>
      </c>
      <c r="R5" s="18" t="n">
        <v>0.0112</v>
      </c>
      <c r="S5" s="18" t="n">
        <v>0.0073</v>
      </c>
      <c r="T5" s="18" t="n">
        <v>0.0188</v>
      </c>
      <c r="U5" s="18" t="n">
        <v>0.013</v>
      </c>
      <c r="V5" s="18" t="n">
        <v>0.0178</v>
      </c>
      <c r="W5" s="18" t="n">
        <v>0</v>
      </c>
      <c r="X5" s="18" t="n"/>
    </row>
    <row r="6">
      <c r="A6" s="20" t="inlineStr">
        <is>
          <t>slope_3yr</t>
        </is>
      </c>
      <c r="B6" s="18" t="n">
        <v>0.1182</v>
      </c>
      <c r="C6" s="18" t="n">
        <v>-0.0058</v>
      </c>
      <c r="D6" s="18" t="n">
        <v>-0.059</v>
      </c>
      <c r="E6" s="18" t="n">
        <v>0.0077</v>
      </c>
      <c r="F6" s="18" t="n">
        <v>0.0447</v>
      </c>
      <c r="G6" s="18" t="n">
        <v>-0.0505</v>
      </c>
      <c r="H6" s="18" t="n">
        <v>0.0124</v>
      </c>
      <c r="I6" s="18" t="n">
        <v>-0.0199</v>
      </c>
      <c r="J6" s="18" t="n">
        <v>0.0481</v>
      </c>
      <c r="K6" s="18" t="n">
        <v>-0.0072</v>
      </c>
      <c r="L6" s="18" t="n">
        <v>0.0016</v>
      </c>
      <c r="M6" s="18" t="n">
        <v>-0.0005999999999999999</v>
      </c>
      <c r="N6" s="18" t="n">
        <v>0</v>
      </c>
      <c r="O6" s="18" t="n">
        <v>0.003</v>
      </c>
      <c r="P6" s="18" t="n">
        <v>0</v>
      </c>
      <c r="Q6" s="18" t="n">
        <v>0.008999999999999999</v>
      </c>
      <c r="R6" s="18" t="n">
        <v>0.0013</v>
      </c>
      <c r="S6" s="18" t="n">
        <v>0</v>
      </c>
      <c r="T6" s="18" t="n">
        <v>0</v>
      </c>
      <c r="U6" s="18" t="n">
        <v>0.0031</v>
      </c>
      <c r="V6" s="18" t="n">
        <v>-0.0069</v>
      </c>
      <c r="W6" s="18" t="n">
        <v>0</v>
      </c>
      <c r="X6" s="18" t="n"/>
    </row>
    <row r="7">
      <c r="A7" s="20" t="inlineStr">
        <is>
          <t>slope_5yr</t>
        </is>
      </c>
      <c r="B7" s="18" t="n">
        <v>-0.2685</v>
      </c>
      <c r="C7" s="18" t="n">
        <v>-0.1238</v>
      </c>
      <c r="D7" s="18" t="n">
        <v>-0.0886</v>
      </c>
      <c r="E7" s="18" t="n">
        <v>-0.0277</v>
      </c>
      <c r="F7" s="18" t="n">
        <v>0.0153</v>
      </c>
      <c r="G7" s="18" t="n">
        <v>0.0123</v>
      </c>
      <c r="H7" s="18" t="n">
        <v>0.0063</v>
      </c>
      <c r="I7" s="18" t="n">
        <v>-0.0108</v>
      </c>
      <c r="J7" s="18" t="n">
        <v>0.0149</v>
      </c>
      <c r="K7" s="18" t="n">
        <v>-0.0044</v>
      </c>
      <c r="L7" s="18" t="n">
        <v>0.0152</v>
      </c>
      <c r="M7" s="18" t="n">
        <v>-0.0001</v>
      </c>
      <c r="N7" s="18" t="n">
        <v>-0.0002</v>
      </c>
      <c r="O7" s="18" t="n">
        <v>-0.0033</v>
      </c>
      <c r="P7" s="18" t="n">
        <v>-0.0021</v>
      </c>
      <c r="Q7" s="18" t="n">
        <v>0.003</v>
      </c>
      <c r="R7" s="18" t="n">
        <v>0.0012</v>
      </c>
      <c r="S7" s="18" t="n">
        <v>0</v>
      </c>
      <c r="T7" s="18" t="n">
        <v>-0.0042</v>
      </c>
      <c r="U7" s="18" t="n">
        <v>-0.0064</v>
      </c>
      <c r="V7" s="18" t="n">
        <v>-0.0069</v>
      </c>
      <c r="W7" s="18" t="n">
        <v>0</v>
      </c>
      <c r="X7" s="18" t="n"/>
    </row>
    <row r="8">
      <c r="A8" s="20" t="inlineStr">
        <is>
          <t>slope_10yr</t>
        </is>
      </c>
      <c r="B8" s="18" t="n">
        <v>-0.0158</v>
      </c>
      <c r="C8" s="18" t="n">
        <v>-0.024</v>
      </c>
      <c r="D8" s="18" t="n">
        <v>-0.007</v>
      </c>
      <c r="E8" s="18" t="n">
        <v>-0.001</v>
      </c>
      <c r="F8" s="18" t="n">
        <v>0.0149</v>
      </c>
      <c r="G8" s="18" t="n">
        <v>0.008699999999999999</v>
      </c>
      <c r="H8" s="18" t="n">
        <v>-0.0053</v>
      </c>
      <c r="I8" s="18" t="n">
        <v>-0.0023</v>
      </c>
      <c r="J8" s="18" t="n">
        <v>-0.0002</v>
      </c>
      <c r="K8" s="18" t="n">
        <v>-0.0048</v>
      </c>
      <c r="L8" s="18" t="n">
        <v>0.0008</v>
      </c>
      <c r="M8" s="18" t="n">
        <v>0.0002</v>
      </c>
      <c r="N8" s="18" t="n">
        <v>-0.0019</v>
      </c>
      <c r="O8" s="18" t="n">
        <v>-0.001</v>
      </c>
      <c r="P8" s="18" t="n">
        <v>-0.0039</v>
      </c>
      <c r="Q8" s="18" t="n">
        <v>-0.0029</v>
      </c>
      <c r="R8" s="18" t="n">
        <v>-0.0026</v>
      </c>
      <c r="S8" s="18" t="n">
        <v>-0.0026</v>
      </c>
      <c r="T8" s="18" t="n">
        <v>-0.0042</v>
      </c>
      <c r="U8" s="18" t="n">
        <v>-0.0064</v>
      </c>
      <c r="V8" s="18" t="n">
        <v>-0.0069</v>
      </c>
      <c r="W8" s="18" t="n">
        <v>0</v>
      </c>
      <c r="X8" s="18"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Paid Loss - CV &amp; Slopes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9" t="inlineStr">
        <is>
          <t>Metric</t>
        </is>
      </c>
      <c r="B2" s="8" t="inlineStr">
        <is>
          <t>11-23</t>
        </is>
      </c>
      <c r="C2" s="8" t="inlineStr">
        <is>
          <t>23-35</t>
        </is>
      </c>
      <c r="D2" s="8" t="inlineStr">
        <is>
          <t>35-47</t>
        </is>
      </c>
      <c r="E2" s="8" t="inlineStr">
        <is>
          <t>47-59</t>
        </is>
      </c>
      <c r="F2" s="8" t="inlineStr">
        <is>
          <t>59-71</t>
        </is>
      </c>
      <c r="G2" s="8" t="inlineStr">
        <is>
          <t>71-83</t>
        </is>
      </c>
      <c r="H2" s="8" t="inlineStr">
        <is>
          <t>83-95</t>
        </is>
      </c>
      <c r="I2" s="8" t="inlineStr">
        <is>
          <t>95-107</t>
        </is>
      </c>
      <c r="J2" s="8" t="inlineStr">
        <is>
          <t>107-119</t>
        </is>
      </c>
      <c r="K2" s="8" t="inlineStr">
        <is>
          <t>119-131</t>
        </is>
      </c>
      <c r="L2" s="8" t="inlineStr">
        <is>
          <t>131-143</t>
        </is>
      </c>
      <c r="M2" s="8" t="inlineStr">
        <is>
          <t>143-155</t>
        </is>
      </c>
      <c r="N2" s="8" t="inlineStr">
        <is>
          <t>155-167</t>
        </is>
      </c>
      <c r="O2" s="8" t="inlineStr">
        <is>
          <t>167-179</t>
        </is>
      </c>
      <c r="P2" s="8" t="inlineStr">
        <is>
          <t>179-191</t>
        </is>
      </c>
      <c r="Q2" s="8" t="inlineStr">
        <is>
          <t>191-203</t>
        </is>
      </c>
      <c r="R2" s="8" t="inlineStr">
        <is>
          <t>203-215</t>
        </is>
      </c>
      <c r="S2" s="8" t="inlineStr">
        <is>
          <t>215-227</t>
        </is>
      </c>
      <c r="T2" s="8" t="inlineStr">
        <is>
          <t>227-239</t>
        </is>
      </c>
      <c r="U2" s="8" t="inlineStr">
        <is>
          <t>239-251</t>
        </is>
      </c>
      <c r="V2" s="8" t="inlineStr">
        <is>
          <t>251-263</t>
        </is>
      </c>
      <c r="W2" s="8" t="inlineStr">
        <is>
          <t>263-275</t>
        </is>
      </c>
      <c r="X2" s="8" t="inlineStr">
        <is>
          <t>275-287</t>
        </is>
      </c>
      <c r="Y2" s="8" t="inlineStr">
        <is>
          <t>Tail</t>
        </is>
      </c>
    </row>
    <row r="3">
      <c r="A3" s="20" t="inlineStr">
        <is>
          <t>cv_3yr</t>
        </is>
      </c>
      <c r="B3" s="18" t="n">
        <v>0.2513</v>
      </c>
      <c r="C3" s="18" t="n">
        <v>0.2467</v>
      </c>
      <c r="D3" s="18" t="n">
        <v>0.0502</v>
      </c>
      <c r="E3" s="18" t="n">
        <v>0.1057</v>
      </c>
      <c r="F3" s="18" t="n">
        <v>0.0721</v>
      </c>
      <c r="G3" s="18" t="n">
        <v>0.1012</v>
      </c>
      <c r="H3" s="18" t="n">
        <v>0.0403</v>
      </c>
      <c r="I3" s="18" t="n">
        <v>0.004</v>
      </c>
      <c r="J3" s="18" t="n">
        <v>0.06469999999999999</v>
      </c>
      <c r="K3" s="18" t="n">
        <v>0.0153</v>
      </c>
      <c r="L3" s="18" t="n">
        <v>0.0294</v>
      </c>
      <c r="M3" s="18" t="n">
        <v>0.0226</v>
      </c>
      <c r="N3" s="18" t="n">
        <v>0.0017</v>
      </c>
      <c r="O3" s="18" t="n">
        <v>0.0033</v>
      </c>
      <c r="P3" s="18" t="n">
        <v>0.0159</v>
      </c>
      <c r="Q3" s="18" t="n">
        <v>0.0103</v>
      </c>
      <c r="R3" s="18" t="n">
        <v>0.0033</v>
      </c>
      <c r="S3" s="18" t="n">
        <v>0.0032</v>
      </c>
      <c r="T3" s="18" t="n">
        <v>0</v>
      </c>
      <c r="U3" s="18" t="n">
        <v>0.0058</v>
      </c>
      <c r="V3" s="18" t="n">
        <v>0.005</v>
      </c>
      <c r="W3" s="18" t="n">
        <v>0.0019</v>
      </c>
      <c r="X3" s="18" t="n"/>
    </row>
    <row r="4">
      <c r="A4" s="20" t="inlineStr">
        <is>
          <t>cv_5yr</t>
        </is>
      </c>
      <c r="B4" s="18" t="n">
        <v>0.1774</v>
      </c>
      <c r="C4" s="18" t="n">
        <v>0.2103</v>
      </c>
      <c r="D4" s="18" t="n">
        <v>0.1004</v>
      </c>
      <c r="E4" s="18" t="n">
        <v>0.0759</v>
      </c>
      <c r="F4" s="18" t="n">
        <v>0.0522</v>
      </c>
      <c r="G4" s="18" t="n">
        <v>0.0961</v>
      </c>
      <c r="H4" s="18" t="n">
        <v>0.0391</v>
      </c>
      <c r="I4" s="18" t="n">
        <v>0.0112</v>
      </c>
      <c r="J4" s="18" t="n">
        <v>0.0566</v>
      </c>
      <c r="K4" s="18" t="n">
        <v>0.0121</v>
      </c>
      <c r="L4" s="18" t="n">
        <v>0.0237</v>
      </c>
      <c r="M4" s="18" t="n">
        <v>0.0235</v>
      </c>
      <c r="N4" s="18" t="n">
        <v>0.0123</v>
      </c>
      <c r="O4" s="18" t="n">
        <v>0.0108</v>
      </c>
      <c r="P4" s="18" t="n">
        <v>0.0114</v>
      </c>
      <c r="Q4" s="18" t="n">
        <v>0.0103</v>
      </c>
      <c r="R4" s="18" t="n">
        <v>0.0031</v>
      </c>
      <c r="S4" s="18" t="n">
        <v>0.0069</v>
      </c>
      <c r="T4" s="18" t="n">
        <v>0.0054</v>
      </c>
      <c r="U4" s="18" t="n">
        <v>0.0051</v>
      </c>
      <c r="V4" s="18" t="n">
        <v>0.005</v>
      </c>
      <c r="W4" s="18" t="n">
        <v>0.0019</v>
      </c>
      <c r="X4" s="18" t="n"/>
    </row>
    <row r="5">
      <c r="A5" s="20" t="inlineStr">
        <is>
          <t>cv_10yr</t>
        </is>
      </c>
      <c r="B5" s="18" t="n">
        <v>0.2259</v>
      </c>
      <c r="C5" s="18" t="n">
        <v>0.1904</v>
      </c>
      <c r="D5" s="18" t="n">
        <v>0.1076</v>
      </c>
      <c r="E5" s="18" t="n">
        <v>0.06419999999999999</v>
      </c>
      <c r="F5" s="18" t="n">
        <v>0.0625</v>
      </c>
      <c r="G5" s="18" t="n">
        <v>0.08169999999999999</v>
      </c>
      <c r="H5" s="18" t="n">
        <v>0.0308</v>
      </c>
      <c r="I5" s="18" t="n">
        <v>0.0238</v>
      </c>
      <c r="J5" s="18" t="n">
        <v>0.044</v>
      </c>
      <c r="K5" s="18" t="n">
        <v>0.0327</v>
      </c>
      <c r="L5" s="18" t="n">
        <v>0.0201</v>
      </c>
      <c r="M5" s="18" t="n">
        <v>0.02</v>
      </c>
      <c r="N5" s="18" t="n">
        <v>0.0116</v>
      </c>
      <c r="O5" s="18" t="n">
        <v>0.012</v>
      </c>
      <c r="P5" s="18" t="n">
        <v>0.0116</v>
      </c>
      <c r="Q5" s="18" t="n">
        <v>0.0124</v>
      </c>
      <c r="R5" s="18" t="n">
        <v>0.0108</v>
      </c>
      <c r="S5" s="18" t="n">
        <v>0.0151</v>
      </c>
      <c r="T5" s="18" t="n">
        <v>0.0054</v>
      </c>
      <c r="U5" s="18" t="n">
        <v>0.0051</v>
      </c>
      <c r="V5" s="18" t="n">
        <v>0.005</v>
      </c>
      <c r="W5" s="18" t="n">
        <v>0.0019</v>
      </c>
      <c r="X5" s="18" t="n"/>
    </row>
    <row r="6">
      <c r="A6" s="20" t="inlineStr">
        <is>
          <t>slope_3yr</t>
        </is>
      </c>
      <c r="B6" s="18" t="n">
        <v>0.6336000000000001</v>
      </c>
      <c r="C6" s="18" t="n">
        <v>-0.0604</v>
      </c>
      <c r="D6" s="18" t="n">
        <v>-0.0563</v>
      </c>
      <c r="E6" s="18" t="n">
        <v>-0.0235</v>
      </c>
      <c r="F6" s="18" t="n">
        <v>0.0539</v>
      </c>
      <c r="G6" s="18" t="n">
        <v>-0.04</v>
      </c>
      <c r="H6" s="18" t="n">
        <v>0.0182</v>
      </c>
      <c r="I6" s="18" t="n">
        <v>0.0024</v>
      </c>
      <c r="J6" s="18" t="n">
        <v>0.0689</v>
      </c>
      <c r="K6" s="18" t="n">
        <v>-0.0111</v>
      </c>
      <c r="L6" s="18" t="n">
        <v>-0.0051</v>
      </c>
      <c r="M6" s="18" t="n">
        <v>0.021</v>
      </c>
      <c r="N6" s="18" t="n">
        <v>0.0016</v>
      </c>
      <c r="O6" s="18" t="n">
        <v>0.0027</v>
      </c>
      <c r="P6" s="18" t="n">
        <v>-0.0145</v>
      </c>
      <c r="Q6" s="18" t="n">
        <v>0.0075</v>
      </c>
      <c r="R6" s="18" t="n">
        <v>0.0002</v>
      </c>
      <c r="S6" s="18" t="n">
        <v>0.0028</v>
      </c>
      <c r="T6" s="18" t="n">
        <v>0</v>
      </c>
      <c r="U6" s="18" t="n">
        <v>-0.0051</v>
      </c>
      <c r="V6" s="18" t="n">
        <v>-0.0037</v>
      </c>
      <c r="W6" s="18" t="n">
        <v>0.0027</v>
      </c>
      <c r="X6" s="18" t="n"/>
    </row>
    <row r="7">
      <c r="A7" s="20" t="inlineStr">
        <is>
          <t>slope_5yr</t>
        </is>
      </c>
      <c r="B7" s="18" t="n">
        <v>0.1057</v>
      </c>
      <c r="C7" s="18" t="n">
        <v>-0.09320000000000001</v>
      </c>
      <c r="D7" s="18" t="n">
        <v>-0.0368</v>
      </c>
      <c r="E7" s="18" t="n">
        <v>0.0014</v>
      </c>
      <c r="F7" s="18" t="n">
        <v>0.0158</v>
      </c>
      <c r="G7" s="18" t="n">
        <v>0.0287</v>
      </c>
      <c r="H7" s="18" t="n">
        <v>0.0186</v>
      </c>
      <c r="I7" s="18" t="n">
        <v>-0.0028</v>
      </c>
      <c r="J7" s="18" t="n">
        <v>0.0317</v>
      </c>
      <c r="K7" s="18" t="n">
        <v>0.0009</v>
      </c>
      <c r="L7" s="18" t="n">
        <v>-0.0005</v>
      </c>
      <c r="M7" s="18" t="n">
        <v>0.0036</v>
      </c>
      <c r="N7" s="18" t="n">
        <v>-0.0052</v>
      </c>
      <c r="O7" s="18" t="n">
        <v>-0.0028</v>
      </c>
      <c r="P7" s="18" t="n">
        <v>-0.0022</v>
      </c>
      <c r="Q7" s="18" t="n">
        <v>0.004</v>
      </c>
      <c r="R7" s="18" t="n">
        <v>0.0012</v>
      </c>
      <c r="S7" s="18" t="n">
        <v>-0.0021</v>
      </c>
      <c r="T7" s="18" t="n">
        <v>-0.0012</v>
      </c>
      <c r="U7" s="18" t="n">
        <v>-0.0032</v>
      </c>
      <c r="V7" s="18" t="n">
        <v>-0.0037</v>
      </c>
      <c r="W7" s="18" t="n">
        <v>0.0027</v>
      </c>
      <c r="X7" s="18" t="n"/>
    </row>
    <row r="8">
      <c r="A8" s="20" t="inlineStr">
        <is>
          <t>slope_10yr</t>
        </is>
      </c>
      <c r="B8" s="18" t="n">
        <v>0.0629</v>
      </c>
      <c r="C8" s="18" t="n">
        <v>0.0049</v>
      </c>
      <c r="D8" s="18" t="n">
        <v>-0.01</v>
      </c>
      <c r="E8" s="18" t="n">
        <v>0.0019</v>
      </c>
      <c r="F8" s="18" t="n">
        <v>0.0148</v>
      </c>
      <c r="G8" s="18" t="n">
        <v>0.015</v>
      </c>
      <c r="H8" s="18" t="n">
        <v>0.0041</v>
      </c>
      <c r="I8" s="18" t="n">
        <v>-0.0045</v>
      </c>
      <c r="J8" s="18" t="n">
        <v>0.0037</v>
      </c>
      <c r="K8" s="18" t="n">
        <v>-0.0068</v>
      </c>
      <c r="L8" s="18" t="n">
        <v>-0.0001</v>
      </c>
      <c r="M8" s="18" t="n">
        <v>0.002</v>
      </c>
      <c r="N8" s="18" t="n">
        <v>-0.0015</v>
      </c>
      <c r="O8" s="18" t="n">
        <v>-0.0014</v>
      </c>
      <c r="P8" s="18" t="n">
        <v>-0.0019</v>
      </c>
      <c r="Q8" s="18" t="n">
        <v>-0.0013</v>
      </c>
      <c r="R8" s="18" t="n">
        <v>-0.0035</v>
      </c>
      <c r="S8" s="18" t="n">
        <v>-0.006</v>
      </c>
      <c r="T8" s="18" t="n">
        <v>-0.0012</v>
      </c>
      <c r="U8" s="18" t="n">
        <v>-0.0032</v>
      </c>
      <c r="V8" s="18" t="n">
        <v>-0.0037</v>
      </c>
      <c r="W8" s="18" t="n">
        <v>0.0027</v>
      </c>
      <c r="X8" s="18"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Reported Count - CV &amp; Slopes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9" t="inlineStr">
        <is>
          <t>Metric</t>
        </is>
      </c>
      <c r="B2" s="8" t="inlineStr">
        <is>
          <t>11-23</t>
        </is>
      </c>
      <c r="C2" s="8" t="inlineStr">
        <is>
          <t>23-35</t>
        </is>
      </c>
      <c r="D2" s="8" t="inlineStr">
        <is>
          <t>35-47</t>
        </is>
      </c>
      <c r="E2" s="8" t="inlineStr">
        <is>
          <t>47-59</t>
        </is>
      </c>
      <c r="F2" s="8" t="inlineStr">
        <is>
          <t>59-71</t>
        </is>
      </c>
      <c r="G2" s="8" t="inlineStr">
        <is>
          <t>71-83</t>
        </is>
      </c>
      <c r="H2" s="8" t="inlineStr">
        <is>
          <t>83-95</t>
        </is>
      </c>
      <c r="I2" s="8" t="inlineStr">
        <is>
          <t>95-107</t>
        </is>
      </c>
      <c r="J2" s="8" t="inlineStr">
        <is>
          <t>107-119</t>
        </is>
      </c>
      <c r="K2" s="8" t="inlineStr">
        <is>
          <t>119-131</t>
        </is>
      </c>
      <c r="L2" s="8" t="inlineStr">
        <is>
          <t>131-143</t>
        </is>
      </c>
      <c r="M2" s="8" t="inlineStr">
        <is>
          <t>143-155</t>
        </is>
      </c>
      <c r="N2" s="8" t="inlineStr">
        <is>
          <t>155-167</t>
        </is>
      </c>
      <c r="O2" s="8" t="inlineStr">
        <is>
          <t>167-179</t>
        </is>
      </c>
      <c r="P2" s="8" t="inlineStr">
        <is>
          <t>179-191</t>
        </is>
      </c>
      <c r="Q2" s="8" t="inlineStr">
        <is>
          <t>191-203</t>
        </is>
      </c>
      <c r="R2" s="8" t="inlineStr">
        <is>
          <t>203-215</t>
        </is>
      </c>
      <c r="S2" s="8" t="inlineStr">
        <is>
          <t>215-227</t>
        </is>
      </c>
      <c r="T2" s="8" t="inlineStr">
        <is>
          <t>227-239</t>
        </is>
      </c>
      <c r="U2" s="8" t="inlineStr">
        <is>
          <t>239-251</t>
        </is>
      </c>
      <c r="V2" s="8" t="inlineStr">
        <is>
          <t>251-263</t>
        </is>
      </c>
      <c r="W2" s="8" t="inlineStr">
        <is>
          <t>263-275</t>
        </is>
      </c>
      <c r="X2" s="8" t="inlineStr">
        <is>
          <t>275-287</t>
        </is>
      </c>
      <c r="Y2" s="8" t="inlineStr">
        <is>
          <t>Tail</t>
        </is>
      </c>
    </row>
    <row r="3">
      <c r="A3" s="20" t="inlineStr">
        <is>
          <t>cv_3yr</t>
        </is>
      </c>
      <c r="B3" s="18" t="n">
        <v>0.013</v>
      </c>
      <c r="C3" s="18" t="n">
        <v>0</v>
      </c>
      <c r="D3" s="18" t="n">
        <v>0</v>
      </c>
      <c r="E3" s="18" t="n">
        <v>0.0024</v>
      </c>
      <c r="F3" s="18" t="n">
        <v>0.0021</v>
      </c>
      <c r="G3" s="18" t="n">
        <v>0</v>
      </c>
      <c r="H3" s="18" t="n">
        <v>0.0024</v>
      </c>
      <c r="I3" s="18" t="n">
        <v>0</v>
      </c>
      <c r="J3" s="18" t="n">
        <v>0.0068</v>
      </c>
      <c r="K3" s="18" t="n">
        <v>0</v>
      </c>
      <c r="L3" s="18" t="n">
        <v>0</v>
      </c>
      <c r="M3" s="18" t="n">
        <v>0</v>
      </c>
      <c r="N3" s="18" t="n">
        <v>0</v>
      </c>
      <c r="O3" s="18" t="n">
        <v>0</v>
      </c>
      <c r="P3" s="18" t="n">
        <v>0</v>
      </c>
      <c r="Q3" s="18" t="n">
        <v>0</v>
      </c>
      <c r="R3" s="18" t="n">
        <v>0</v>
      </c>
      <c r="S3" s="18" t="n">
        <v>0</v>
      </c>
      <c r="T3" s="18" t="n">
        <v>0</v>
      </c>
      <c r="U3" s="18" t="n">
        <v>0</v>
      </c>
      <c r="V3" s="18" t="n">
        <v>0</v>
      </c>
      <c r="W3" s="18" t="n">
        <v>0</v>
      </c>
      <c r="X3" s="18" t="n"/>
    </row>
    <row r="4">
      <c r="A4" s="20" t="inlineStr">
        <is>
          <t>cv_5yr</t>
        </is>
      </c>
      <c r="B4" s="18" t="n">
        <v>0.0316</v>
      </c>
      <c r="C4" s="18" t="n">
        <v>0</v>
      </c>
      <c r="D4" s="18" t="n">
        <v>0.0019</v>
      </c>
      <c r="E4" s="18" t="n">
        <v>0.0029</v>
      </c>
      <c r="F4" s="18" t="n">
        <v>0.0017</v>
      </c>
      <c r="G4" s="18" t="n">
        <v>0</v>
      </c>
      <c r="H4" s="18" t="n">
        <v>0.0019</v>
      </c>
      <c r="I4" s="18" t="n">
        <v>0</v>
      </c>
      <c r="J4" s="18" t="n">
        <v>0.0052</v>
      </c>
      <c r="K4" s="18" t="n">
        <v>0</v>
      </c>
      <c r="L4" s="18" t="n">
        <v>0</v>
      </c>
      <c r="M4" s="18" t="n">
        <v>0</v>
      </c>
      <c r="N4" s="18" t="n">
        <v>0</v>
      </c>
      <c r="O4" s="18" t="n">
        <v>0</v>
      </c>
      <c r="P4" s="18" t="n">
        <v>0</v>
      </c>
      <c r="Q4" s="18" t="n">
        <v>0</v>
      </c>
      <c r="R4" s="18" t="n">
        <v>0</v>
      </c>
      <c r="S4" s="18" t="n">
        <v>0</v>
      </c>
      <c r="T4" s="18" t="n">
        <v>0</v>
      </c>
      <c r="U4" s="18" t="n">
        <v>0</v>
      </c>
      <c r="V4" s="18" t="n">
        <v>0</v>
      </c>
      <c r="W4" s="18" t="n">
        <v>0</v>
      </c>
      <c r="X4" s="18" t="n"/>
    </row>
    <row r="5">
      <c r="A5" s="20" t="inlineStr">
        <is>
          <t>cv_10yr</t>
        </is>
      </c>
      <c r="B5" s="18" t="n">
        <v>0.0384</v>
      </c>
      <c r="C5" s="18" t="n">
        <v>0.0145</v>
      </c>
      <c r="D5" s="18" t="n">
        <v>0.0018</v>
      </c>
      <c r="E5" s="18" t="n">
        <v>0.002</v>
      </c>
      <c r="F5" s="18" t="n">
        <v>0.0012</v>
      </c>
      <c r="G5" s="18" t="n">
        <v>0</v>
      </c>
      <c r="H5" s="18" t="n">
        <v>0.0013</v>
      </c>
      <c r="I5" s="18" t="n">
        <v>0</v>
      </c>
      <c r="J5" s="18" t="n">
        <v>0.0037</v>
      </c>
      <c r="K5" s="18" t="n">
        <v>0</v>
      </c>
      <c r="L5" s="18" t="n">
        <v>0</v>
      </c>
      <c r="M5" s="18" t="n">
        <v>0</v>
      </c>
      <c r="N5" s="18" t="n">
        <v>0</v>
      </c>
      <c r="O5" s="18" t="n">
        <v>0</v>
      </c>
      <c r="P5" s="18" t="n">
        <v>0</v>
      </c>
      <c r="Q5" s="18" t="n">
        <v>0</v>
      </c>
      <c r="R5" s="18" t="n">
        <v>0</v>
      </c>
      <c r="S5" s="18" t="n">
        <v>0</v>
      </c>
      <c r="T5" s="18" t="n">
        <v>0</v>
      </c>
      <c r="U5" s="18" t="n">
        <v>0</v>
      </c>
      <c r="V5" s="18" t="n">
        <v>0</v>
      </c>
      <c r="W5" s="18" t="n">
        <v>0</v>
      </c>
      <c r="X5" s="18" t="n"/>
    </row>
    <row r="6">
      <c r="A6" s="20" t="inlineStr">
        <is>
          <t>slope_3yr</t>
        </is>
      </c>
      <c r="B6" s="18" t="n">
        <v>-0.0128</v>
      </c>
      <c r="C6" s="18" t="n">
        <v>0</v>
      </c>
      <c r="D6" s="18" t="n">
        <v>0</v>
      </c>
      <c r="E6" s="18" t="n">
        <v>-0.002</v>
      </c>
      <c r="F6" s="18" t="n">
        <v>-0.0018</v>
      </c>
      <c r="G6" s="18" t="n">
        <v>0</v>
      </c>
      <c r="H6" s="18" t="n">
        <v>-0.0021</v>
      </c>
      <c r="I6" s="18" t="n">
        <v>0</v>
      </c>
      <c r="J6" s="18" t="n">
        <v>-0.0058</v>
      </c>
      <c r="K6" s="18" t="n">
        <v>0</v>
      </c>
      <c r="L6" s="18" t="n">
        <v>0</v>
      </c>
      <c r="M6" s="18" t="n">
        <v>0</v>
      </c>
      <c r="N6" s="18" t="n">
        <v>0</v>
      </c>
      <c r="O6" s="18" t="n">
        <v>0</v>
      </c>
      <c r="P6" s="18" t="n">
        <v>0</v>
      </c>
      <c r="Q6" s="18" t="n">
        <v>0</v>
      </c>
      <c r="R6" s="18" t="n">
        <v>0</v>
      </c>
      <c r="S6" s="18" t="n">
        <v>0</v>
      </c>
      <c r="T6" s="18" t="n">
        <v>0</v>
      </c>
      <c r="U6" s="18" t="n">
        <v>0</v>
      </c>
      <c r="V6" s="18" t="n">
        <v>0</v>
      </c>
      <c r="W6" s="18" t="n">
        <v>0</v>
      </c>
      <c r="X6" s="18" t="n"/>
    </row>
    <row r="7">
      <c r="A7" s="20" t="inlineStr">
        <is>
          <t>slope_5yr</t>
        </is>
      </c>
      <c r="B7" s="18" t="n">
        <v>0.0027</v>
      </c>
      <c r="C7" s="18" t="n">
        <v>0</v>
      </c>
      <c r="D7" s="18" t="n">
        <v>-0.0008</v>
      </c>
      <c r="E7" s="18" t="n">
        <v>0.0004</v>
      </c>
      <c r="F7" s="18" t="n">
        <v>-0.0007</v>
      </c>
      <c r="G7" s="18" t="n">
        <v>0</v>
      </c>
      <c r="H7" s="18" t="n">
        <v>-0.0008</v>
      </c>
      <c r="I7" s="18" t="n">
        <v>0</v>
      </c>
      <c r="J7" s="18" t="n">
        <v>-0.0023</v>
      </c>
      <c r="K7" s="18" t="n">
        <v>0</v>
      </c>
      <c r="L7" s="18" t="n">
        <v>0</v>
      </c>
      <c r="M7" s="18" t="n">
        <v>0</v>
      </c>
      <c r="N7" s="18" t="n">
        <v>0</v>
      </c>
      <c r="O7" s="18" t="n">
        <v>0</v>
      </c>
      <c r="P7" s="18" t="n">
        <v>0</v>
      </c>
      <c r="Q7" s="18" t="n">
        <v>0</v>
      </c>
      <c r="R7" s="18" t="n">
        <v>0</v>
      </c>
      <c r="S7" s="18" t="n">
        <v>0</v>
      </c>
      <c r="T7" s="18" t="n">
        <v>0</v>
      </c>
      <c r="U7" s="18" t="n">
        <v>0</v>
      </c>
      <c r="V7" s="18" t="n">
        <v>0</v>
      </c>
      <c r="W7" s="18" t="n">
        <v>0</v>
      </c>
      <c r="X7" s="18" t="n"/>
    </row>
    <row r="8">
      <c r="A8" s="20" t="inlineStr">
        <is>
          <t>slope_10yr</t>
        </is>
      </c>
      <c r="B8" s="18" t="n">
        <v>0.009299999999999999</v>
      </c>
      <c r="C8" s="18" t="n">
        <v>-0.0015</v>
      </c>
      <c r="D8" s="18" t="n">
        <v>-0.0002</v>
      </c>
      <c r="E8" s="18" t="n">
        <v>0</v>
      </c>
      <c r="F8" s="18" t="n">
        <v>-0.0002</v>
      </c>
      <c r="G8" s="18" t="n">
        <v>0</v>
      </c>
      <c r="H8" s="18" t="n">
        <v>-0.0002</v>
      </c>
      <c r="I8" s="18" t="n">
        <v>0</v>
      </c>
      <c r="J8" s="18" t="n">
        <v>-0.0005999999999999999</v>
      </c>
      <c r="K8" s="18" t="n">
        <v>0</v>
      </c>
      <c r="L8" s="18" t="n">
        <v>0</v>
      </c>
      <c r="M8" s="18" t="n">
        <v>0</v>
      </c>
      <c r="N8" s="18" t="n">
        <v>0</v>
      </c>
      <c r="O8" s="18" t="n">
        <v>0</v>
      </c>
      <c r="P8" s="18" t="n">
        <v>0</v>
      </c>
      <c r="Q8" s="18" t="n">
        <v>0</v>
      </c>
      <c r="R8" s="18" t="n">
        <v>0</v>
      </c>
      <c r="S8" s="18" t="n">
        <v>0</v>
      </c>
      <c r="T8" s="18" t="n">
        <v>0</v>
      </c>
      <c r="U8" s="18" t="n">
        <v>0</v>
      </c>
      <c r="V8" s="18" t="n">
        <v>0</v>
      </c>
      <c r="W8" s="18" t="n">
        <v>0</v>
      </c>
      <c r="X8" s="18"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Incurred-to-Ult</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0.1755297603331074</v>
      </c>
      <c r="C3" s="12" t="n">
        <v>0.4809254216826093</v>
      </c>
      <c r="D3" s="12" t="n">
        <v>0.5885589493677662</v>
      </c>
      <c r="E3" s="12" t="n">
        <v>0.6477008839114746</v>
      </c>
      <c r="F3" s="12" t="n">
        <v>0.6963463978805184</v>
      </c>
      <c r="G3" s="12" t="n">
        <v>0.7434732767049153</v>
      </c>
      <c r="H3" s="12" t="n">
        <v>0.7417237725672171</v>
      </c>
      <c r="I3" s="12" t="n">
        <v>0.7486410358010602</v>
      </c>
      <c r="J3" s="12" t="n">
        <v>0.7540915478657757</v>
      </c>
      <c r="K3" s="12" t="n">
        <v>0.7604424722752405</v>
      </c>
      <c r="L3" s="12" t="n">
        <v>0.7767481915057992</v>
      </c>
      <c r="M3" s="12" t="n">
        <v>0.7929064039570425</v>
      </c>
      <c r="N3" s="12" t="n">
        <v>0.7920492241757787</v>
      </c>
      <c r="O3" s="12" t="n">
        <v>0.8101648196203658</v>
      </c>
      <c r="P3" s="12" t="n">
        <v>0.823971668918549</v>
      </c>
      <c r="Q3" s="12" t="n">
        <v>0.8677848038016022</v>
      </c>
      <c r="R3" s="12" t="n">
        <v>0.8882856698919066</v>
      </c>
      <c r="S3" s="12" t="n">
        <v>0.9157479953157551</v>
      </c>
      <c r="T3" s="12" t="n">
        <v>0.9322069657978951</v>
      </c>
      <c r="U3" s="12" t="n">
        <v>0.9322069657978951</v>
      </c>
      <c r="V3" s="12" t="n">
        <v>0.9540498418624855</v>
      </c>
      <c r="W3" s="12" t="n">
        <v>0.9673188787241527</v>
      </c>
      <c r="X3" s="12" t="n">
        <v>0.9673188787241527</v>
      </c>
      <c r="Y3" s="12" t="n">
        <v>0.978856759464016</v>
      </c>
    </row>
    <row r="4">
      <c r="A4" s="9" t="n">
        <v>2002</v>
      </c>
      <c r="B4" s="12" t="n">
        <v>0.3855854341354879</v>
      </c>
      <c r="C4" s="12" t="n">
        <v>0.5515527685324134</v>
      </c>
      <c r="D4" s="12" t="n">
        <v>0.5580418826992853</v>
      </c>
      <c r="E4" s="12" t="n">
        <v>0.6666820365281131</v>
      </c>
      <c r="F4" s="12" t="n">
        <v>0.6754721183005855</v>
      </c>
      <c r="G4" s="12" t="n">
        <v>0.7178180219830272</v>
      </c>
      <c r="H4" s="12" t="n">
        <v>0.7314521153350503</v>
      </c>
      <c r="I4" s="12" t="n">
        <v>0.7316039923035718</v>
      </c>
      <c r="J4" s="12" t="n">
        <v>0.7476338426961436</v>
      </c>
      <c r="K4" s="12" t="n">
        <v>0.754838470402205</v>
      </c>
      <c r="L4" s="12" t="n">
        <v>0.7625789860795218</v>
      </c>
      <c r="M4" s="12" t="n">
        <v>0.7884440972093799</v>
      </c>
      <c r="N4" s="12" t="n">
        <v>0.7894896381124469</v>
      </c>
      <c r="O4" s="12" t="n">
        <v>0.8211523474729576</v>
      </c>
      <c r="P4" s="12" t="n">
        <v>0.8428000937534675</v>
      </c>
      <c r="Q4" s="12" t="n">
        <v>0.855203059621138</v>
      </c>
      <c r="R4" s="12" t="n">
        <v>0.9004425280240169</v>
      </c>
      <c r="S4" s="12" t="n">
        <v>0.9014652503653934</v>
      </c>
      <c r="T4" s="12" t="n">
        <v>0.9014652503653934</v>
      </c>
      <c r="U4" s="12" t="n">
        <v>0.9396510960885772</v>
      </c>
      <c r="V4" s="12" t="n">
        <v>0.9338180498447625</v>
      </c>
      <c r="W4" s="12" t="n">
        <v>0.9673453499235964</v>
      </c>
      <c r="X4" s="12" t="n">
        <v>0.9673453499235964</v>
      </c>
      <c r="Y4" s="5" t="n"/>
    </row>
    <row r="5">
      <c r="A5" s="9" t="n">
        <v>2003</v>
      </c>
      <c r="B5" s="12" t="n">
        <v>0.5491296026635983</v>
      </c>
      <c r="C5" s="12" t="n">
        <v>0.7935813360970343</v>
      </c>
      <c r="D5" s="12" t="n">
        <v>0.8589943671641873</v>
      </c>
      <c r="E5" s="12" t="n">
        <v>1.021117380018117</v>
      </c>
      <c r="F5" s="12" t="n">
        <v>0.9268370261251337</v>
      </c>
      <c r="G5" s="12" t="n">
        <v>0.9897228151600962</v>
      </c>
      <c r="H5" s="12" t="n">
        <v>0.9869869414829866</v>
      </c>
      <c r="I5" s="12" t="n">
        <v>0.9795363271764824</v>
      </c>
      <c r="J5" s="12" t="n">
        <v>0.9777080991494005</v>
      </c>
      <c r="K5" s="12" t="n">
        <v>0.97985428924088</v>
      </c>
      <c r="L5" s="12" t="n">
        <v>0.9778076516431237</v>
      </c>
      <c r="M5" s="12" t="n">
        <v>0.9702435502218305</v>
      </c>
      <c r="N5" s="12" t="n">
        <v>0.965298798606181</v>
      </c>
      <c r="O5" s="12" t="n">
        <v>0.9652987483525242</v>
      </c>
      <c r="P5" s="12" t="n">
        <v>0.9652987483525242</v>
      </c>
      <c r="Q5" s="12" t="n">
        <v>0.9652987483525242</v>
      </c>
      <c r="R5" s="12" t="n">
        <v>0.9673451203238095</v>
      </c>
      <c r="S5" s="12" t="n">
        <v>0.9673451203238097</v>
      </c>
      <c r="T5" s="12" t="n">
        <v>0.9673451203238097</v>
      </c>
      <c r="U5" s="12" t="n">
        <v>0.9673451203238097</v>
      </c>
      <c r="V5" s="12" t="n">
        <v>0.9673451203238097</v>
      </c>
      <c r="W5" s="12" t="n">
        <v>0.9673451203238097</v>
      </c>
      <c r="X5" s="5" t="n"/>
      <c r="Y5" s="5" t="n"/>
    </row>
    <row r="6">
      <c r="A6" s="9" t="n">
        <v>2004</v>
      </c>
      <c r="B6" s="12" t="n">
        <v>0.5987870080900887</v>
      </c>
      <c r="C6" s="12" t="n">
        <v>0.6835598724151015</v>
      </c>
      <c r="D6" s="12" t="n">
        <v>0.7547587961758396</v>
      </c>
      <c r="E6" s="12" t="n">
        <v>0.790519980316828</v>
      </c>
      <c r="F6" s="12" t="n">
        <v>0.8936566476271784</v>
      </c>
      <c r="G6" s="12" t="n">
        <v>0.8986168157709299</v>
      </c>
      <c r="H6" s="12" t="n">
        <v>0.9152014503618181</v>
      </c>
      <c r="I6" s="12" t="n">
        <v>0.9222337422486924</v>
      </c>
      <c r="J6" s="12" t="n">
        <v>0.9441392068596364</v>
      </c>
      <c r="K6" s="12" t="n">
        <v>0.935713600021682</v>
      </c>
      <c r="L6" s="12" t="n">
        <v>0.957308540010028</v>
      </c>
      <c r="M6" s="12" t="n">
        <v>0.946490986055777</v>
      </c>
      <c r="N6" s="12" t="n">
        <v>0.946872100712795</v>
      </c>
      <c r="O6" s="12" t="n">
        <v>0.9471470397322277</v>
      </c>
      <c r="P6" s="12" t="n">
        <v>0.9471465144422312</v>
      </c>
      <c r="Q6" s="12" t="n">
        <v>0.9507726583462073</v>
      </c>
      <c r="R6" s="12" t="n">
        <v>0.9507726583462073</v>
      </c>
      <c r="S6" s="12" t="n">
        <v>0.9507726583462073</v>
      </c>
      <c r="T6" s="12" t="n">
        <v>0.9507726583462073</v>
      </c>
      <c r="U6" s="12" t="n">
        <v>0.9508011581226119</v>
      </c>
      <c r="V6" s="12" t="n">
        <v>0.9508011581226119</v>
      </c>
      <c r="W6" s="5" t="n"/>
      <c r="X6" s="5" t="n"/>
      <c r="Y6" s="5" t="n"/>
    </row>
    <row r="7">
      <c r="A7" s="9" t="n">
        <v>2005</v>
      </c>
      <c r="B7" s="12" t="n">
        <v>0.5263102361442008</v>
      </c>
      <c r="C7" s="12" t="n">
        <v>0.6857291138866908</v>
      </c>
      <c r="D7" s="12" t="n">
        <v>0.749401463498536</v>
      </c>
      <c r="E7" s="12" t="n">
        <v>0.7310280859335616</v>
      </c>
      <c r="F7" s="12" t="n">
        <v>0.7581934708720671</v>
      </c>
      <c r="G7" s="12" t="n">
        <v>0.7705729373228792</v>
      </c>
      <c r="H7" s="12" t="n">
        <v>0.786254689659326</v>
      </c>
      <c r="I7" s="12" t="n">
        <v>0.7906956231429825</v>
      </c>
      <c r="J7" s="12" t="n">
        <v>0.8009074610044732</v>
      </c>
      <c r="K7" s="12" t="n">
        <v>0.8227741309724108</v>
      </c>
      <c r="L7" s="12" t="n">
        <v>0.8324175064509975</v>
      </c>
      <c r="M7" s="12" t="n">
        <v>0.9318149216720244</v>
      </c>
      <c r="N7" s="12" t="n">
        <v>0.9318199234429693</v>
      </c>
      <c r="O7" s="12" t="n">
        <v>0.9146366561415139</v>
      </c>
      <c r="P7" s="12" t="n">
        <v>0.9237410352255837</v>
      </c>
      <c r="Q7" s="12" t="n">
        <v>0.9302009668961805</v>
      </c>
      <c r="R7" s="12" t="n">
        <v>0.9442858427257976</v>
      </c>
      <c r="S7" s="12" t="n">
        <v>0.9442858427257976</v>
      </c>
      <c r="T7" s="12" t="n">
        <v>0.9442858427257976</v>
      </c>
      <c r="U7" s="12" t="n">
        <v>0.9442858427257976</v>
      </c>
      <c r="V7" s="5" t="n"/>
      <c r="W7" s="5" t="n"/>
      <c r="X7" s="5" t="n"/>
      <c r="Y7" s="5" t="n"/>
    </row>
    <row r="8">
      <c r="A8" s="9" t="n">
        <v>2006</v>
      </c>
      <c r="B8" s="12" t="n">
        <v>0.4723980055739098</v>
      </c>
      <c r="C8" s="12" t="n">
        <v>0.7142226893800305</v>
      </c>
      <c r="D8" s="12" t="n">
        <v>0.6208126094396303</v>
      </c>
      <c r="E8" s="12" t="n">
        <v>0.6639207759859339</v>
      </c>
      <c r="F8" s="12" t="n">
        <v>0.66990558077513</v>
      </c>
      <c r="G8" s="12" t="n">
        <v>0.703697322475783</v>
      </c>
      <c r="H8" s="12" t="n">
        <v>0.7347077348896043</v>
      </c>
      <c r="I8" s="12" t="n">
        <v>0.7211781163293109</v>
      </c>
      <c r="J8" s="12" t="n">
        <v>0.7399641030760113</v>
      </c>
      <c r="K8" s="12" t="n">
        <v>0.7674244165372071</v>
      </c>
      <c r="L8" s="12" t="n">
        <v>0.8312460361286551</v>
      </c>
      <c r="M8" s="12" t="n">
        <v>0.8812163899343997</v>
      </c>
      <c r="N8" s="12" t="n">
        <v>0.9054639096210075</v>
      </c>
      <c r="O8" s="12" t="n">
        <v>0.9152141427643711</v>
      </c>
      <c r="P8" s="12" t="n">
        <v>0.915743127650429</v>
      </c>
      <c r="Q8" s="12" t="n">
        <v>0.9263228253715893</v>
      </c>
      <c r="R8" s="12" t="n">
        <v>0.9291712055272862</v>
      </c>
      <c r="S8" s="12" t="n">
        <v>0.9359560307816983</v>
      </c>
      <c r="T8" s="12" t="n">
        <v>0.9359560307816983</v>
      </c>
      <c r="U8" s="5" t="n"/>
      <c r="V8" s="5" t="n"/>
      <c r="W8" s="5" t="n"/>
      <c r="X8" s="5" t="n"/>
      <c r="Y8" s="5" t="n"/>
    </row>
    <row r="9">
      <c r="A9" s="9" t="n">
        <v>2007</v>
      </c>
      <c r="B9" s="12" t="n">
        <v>0.3355390346662299</v>
      </c>
      <c r="C9" s="12" t="n">
        <v>0.365326369443803</v>
      </c>
      <c r="D9" s="12" t="n">
        <v>0.3978838696612171</v>
      </c>
      <c r="E9" s="12" t="n">
        <v>0.4458068326895215</v>
      </c>
      <c r="F9" s="12" t="n">
        <v>0.496928372458224</v>
      </c>
      <c r="G9" s="12" t="n">
        <v>0.5932097468824168</v>
      </c>
      <c r="H9" s="12" t="n">
        <v>0.6309455862196567</v>
      </c>
      <c r="I9" s="12" t="n">
        <v>0.7000487911199292</v>
      </c>
      <c r="J9" s="12" t="n">
        <v>0.7501990975414395</v>
      </c>
      <c r="K9" s="12" t="n">
        <v>0.8264463991249736</v>
      </c>
      <c r="L9" s="12" t="n">
        <v>0.8518044868451287</v>
      </c>
      <c r="M9" s="12" t="n">
        <v>0.8764150870876598</v>
      </c>
      <c r="N9" s="12" t="n">
        <v>0.890538262387696</v>
      </c>
      <c r="O9" s="12" t="n">
        <v>0.8913689880218888</v>
      </c>
      <c r="P9" s="12" t="n">
        <v>0.9302542492047116</v>
      </c>
      <c r="Q9" s="12" t="n">
        <v>0.9302542492047116</v>
      </c>
      <c r="R9" s="12" t="n">
        <v>0.9335956468275329</v>
      </c>
      <c r="S9" s="12" t="n">
        <v>0.9359558344368116</v>
      </c>
      <c r="T9" s="5" t="n"/>
      <c r="U9" s="5" t="n"/>
      <c r="V9" s="5" t="n"/>
      <c r="W9" s="5" t="n"/>
      <c r="X9" s="5" t="n"/>
      <c r="Y9" s="5" t="n"/>
    </row>
    <row r="10">
      <c r="A10" s="9" t="n">
        <v>2008</v>
      </c>
      <c r="B10" s="12" t="n">
        <v>0.3770107559570237</v>
      </c>
      <c r="C10" s="12" t="n">
        <v>0.5224081156119659</v>
      </c>
      <c r="D10" s="12" t="n">
        <v>0.6323568680167651</v>
      </c>
      <c r="E10" s="12" t="n">
        <v>0.879590144429574</v>
      </c>
      <c r="F10" s="12" t="n">
        <v>0.852560393726346</v>
      </c>
      <c r="G10" s="12" t="n">
        <v>0.8669238909124176</v>
      </c>
      <c r="H10" s="12" t="n">
        <v>0.871619078853015</v>
      </c>
      <c r="I10" s="12" t="n">
        <v>0.8830914377293412</v>
      </c>
      <c r="J10" s="12" t="n">
        <v>0.8881384307732967</v>
      </c>
      <c r="K10" s="12" t="n">
        <v>0.9189292017659476</v>
      </c>
      <c r="L10" s="12" t="n">
        <v>0.9234509999207154</v>
      </c>
      <c r="M10" s="12" t="n">
        <v>0.923603464894845</v>
      </c>
      <c r="N10" s="12" t="n">
        <v>0.9101536844862917</v>
      </c>
      <c r="O10" s="12" t="n">
        <v>0.9103772401668356</v>
      </c>
      <c r="P10" s="12" t="n">
        <v>0.9103772401668356</v>
      </c>
      <c r="Q10" s="12" t="n">
        <v>0.9148483537777105</v>
      </c>
      <c r="R10" s="12" t="n">
        <v>0.9340872873784883</v>
      </c>
      <c r="S10" s="5" t="n"/>
      <c r="T10" s="5" t="n"/>
      <c r="U10" s="5" t="n"/>
      <c r="V10" s="5" t="n"/>
      <c r="W10" s="5" t="n"/>
      <c r="X10" s="5" t="n"/>
      <c r="Y10" s="5" t="n"/>
    </row>
    <row r="11">
      <c r="A11" s="9" t="n">
        <v>2009</v>
      </c>
      <c r="B11" s="12" t="n">
        <v>0.2833487173086816</v>
      </c>
      <c r="C11" s="12" t="n">
        <v>0.6915970039988047</v>
      </c>
      <c r="D11" s="12" t="n">
        <v>0.6517299024386763</v>
      </c>
      <c r="E11" s="12" t="n">
        <v>0.6679897648132135</v>
      </c>
      <c r="F11" s="12" t="n">
        <v>0.7123825707598206</v>
      </c>
      <c r="G11" s="12" t="n">
        <v>0.7489453144360417</v>
      </c>
      <c r="H11" s="12" t="n">
        <v>0.7761981320945097</v>
      </c>
      <c r="I11" s="12" t="n">
        <v>0.8880228435187263</v>
      </c>
      <c r="J11" s="12" t="n">
        <v>0.8880280732736381</v>
      </c>
      <c r="K11" s="12" t="n">
        <v>0.8880294225504054</v>
      </c>
      <c r="L11" s="12" t="n">
        <v>0.8880294225504055</v>
      </c>
      <c r="M11" s="12" t="n">
        <v>0.9000578588473458</v>
      </c>
      <c r="N11" s="12" t="n">
        <v>0.9270418984818813</v>
      </c>
      <c r="O11" s="12" t="n">
        <v>0.9270418984818813</v>
      </c>
      <c r="P11" s="12" t="n">
        <v>0.9270418984818813</v>
      </c>
      <c r="Q11" s="12" t="n">
        <v>0.9270418984818813</v>
      </c>
      <c r="R11" s="5" t="n"/>
      <c r="S11" s="5" t="n"/>
      <c r="T11" s="5" t="n"/>
      <c r="U11" s="5" t="n"/>
      <c r="V11" s="5" t="n"/>
      <c r="W11" s="5" t="n"/>
      <c r="X11" s="5" t="n"/>
      <c r="Y11" s="5" t="n"/>
    </row>
    <row r="12">
      <c r="A12" s="9" t="n">
        <v>2010</v>
      </c>
      <c r="B12" s="12" t="n">
        <v>0.2602906911984361</v>
      </c>
      <c r="C12" s="12" t="n">
        <v>0.528193868555639</v>
      </c>
      <c r="D12" s="12" t="n">
        <v>0.6877759748811803</v>
      </c>
      <c r="E12" s="12" t="n">
        <v>0.7991245339383134</v>
      </c>
      <c r="F12" s="12" t="n">
        <v>0.8937234291787222</v>
      </c>
      <c r="G12" s="12" t="n">
        <v>0.8841180520913312</v>
      </c>
      <c r="H12" s="12" t="n">
        <v>0.9191585950118061</v>
      </c>
      <c r="I12" s="12" t="n">
        <v>0.9202404642614949</v>
      </c>
      <c r="J12" s="12" t="n">
        <v>0.9158725268792484</v>
      </c>
      <c r="K12" s="12" t="n">
        <v>0.9164505255432027</v>
      </c>
      <c r="L12" s="12" t="n">
        <v>0.9171698636510206</v>
      </c>
      <c r="M12" s="12" t="n">
        <v>0.9172232892929806</v>
      </c>
      <c r="N12" s="12" t="n">
        <v>0.9184158259438721</v>
      </c>
      <c r="O12" s="12" t="n">
        <v>0.9182201545301937</v>
      </c>
      <c r="P12" s="12" t="n">
        <v>0.9237167467600168</v>
      </c>
      <c r="Q12" s="5" t="n"/>
      <c r="R12" s="5" t="n"/>
      <c r="S12" s="5" t="n"/>
      <c r="T12" s="5" t="n"/>
      <c r="U12" s="5" t="n"/>
      <c r="V12" s="5" t="n"/>
      <c r="W12" s="5" t="n"/>
      <c r="X12" s="5" t="n"/>
      <c r="Y12" s="5" t="n"/>
    </row>
    <row r="13">
      <c r="A13" s="9" t="n">
        <v>2011</v>
      </c>
      <c r="B13" s="12" t="n">
        <v>0.2143669090673887</v>
      </c>
      <c r="C13" s="12" t="n">
        <v>0.4187366232082282</v>
      </c>
      <c r="D13" s="12" t="n">
        <v>0.6175473934237767</v>
      </c>
      <c r="E13" s="12" t="n">
        <v>0.7130752415715139</v>
      </c>
      <c r="F13" s="12" t="n">
        <v>0.7608472118918741</v>
      </c>
      <c r="G13" s="12" t="n">
        <v>0.8217351496280839</v>
      </c>
      <c r="H13" s="12" t="n">
        <v>0.8671523639513996</v>
      </c>
      <c r="I13" s="12" t="n">
        <v>0.8672067905943341</v>
      </c>
      <c r="J13" s="12" t="n">
        <v>0.8791637060155753</v>
      </c>
      <c r="K13" s="12" t="n">
        <v>0.8825379585125241</v>
      </c>
      <c r="L13" s="12" t="n">
        <v>0.9074168093707287</v>
      </c>
      <c r="M13" s="12" t="n">
        <v>0.9046292195147975</v>
      </c>
      <c r="N13" s="12" t="n">
        <v>0.9046292195147975</v>
      </c>
      <c r="O13" s="12" t="n">
        <v>0.9046292195147975</v>
      </c>
      <c r="P13" s="5" t="n"/>
      <c r="Q13" s="5" t="n"/>
      <c r="R13" s="5" t="n"/>
      <c r="S13" s="5" t="n"/>
      <c r="T13" s="5" t="n"/>
      <c r="U13" s="5" t="n"/>
      <c r="V13" s="5" t="n"/>
      <c r="W13" s="5" t="n"/>
      <c r="X13" s="5" t="n"/>
      <c r="Y13" s="5" t="n"/>
    </row>
    <row r="14">
      <c r="A14" s="9" t="n">
        <v>2012</v>
      </c>
      <c r="B14" s="12" t="n">
        <v>0.2227174591438012</v>
      </c>
      <c r="C14" s="12" t="n">
        <v>0.452540609535909</v>
      </c>
      <c r="D14" s="12" t="n">
        <v>0.5914678160690284</v>
      </c>
      <c r="E14" s="12" t="n">
        <v>0.6427818761102319</v>
      </c>
      <c r="F14" s="12" t="n">
        <v>0.6407728983755391</v>
      </c>
      <c r="G14" s="12" t="n">
        <v>0.6463850861762009</v>
      </c>
      <c r="H14" s="12" t="n">
        <v>0.6489745674772285</v>
      </c>
      <c r="I14" s="12" t="n">
        <v>0.682431571676465</v>
      </c>
      <c r="J14" s="12" t="n">
        <v>0.7205598166047902</v>
      </c>
      <c r="K14" s="12" t="n">
        <v>0.7613061287673277</v>
      </c>
      <c r="L14" s="12" t="n">
        <v>0.7669935657340105</v>
      </c>
      <c r="M14" s="12" t="n">
        <v>0.9042671893436307</v>
      </c>
      <c r="N14" s="12" t="n">
        <v>0.9042671893436307</v>
      </c>
      <c r="O14" s="5" t="n"/>
      <c r="P14" s="5" t="n"/>
      <c r="Q14" s="5" t="n"/>
      <c r="R14" s="5" t="n"/>
      <c r="S14" s="5" t="n"/>
      <c r="T14" s="5" t="n"/>
      <c r="U14" s="5" t="n"/>
      <c r="V14" s="5" t="n"/>
      <c r="W14" s="5" t="n"/>
      <c r="X14" s="5" t="n"/>
      <c r="Y14" s="5" t="n"/>
    </row>
    <row r="15">
      <c r="A15" s="9" t="n">
        <v>2013</v>
      </c>
      <c r="B15" s="12" t="n">
        <v>0.3554176934126612</v>
      </c>
      <c r="C15" s="12" t="n">
        <v>0.6490252316774996</v>
      </c>
      <c r="D15" s="12" t="n">
        <v>0.7056495058986533</v>
      </c>
      <c r="E15" s="12" t="n">
        <v>0.8507314987061677</v>
      </c>
      <c r="F15" s="12" t="n">
        <v>0.9024306648464722</v>
      </c>
      <c r="G15" s="12" t="n">
        <v>0.9000853728835144</v>
      </c>
      <c r="H15" s="12" t="n">
        <v>0.9005291471657937</v>
      </c>
      <c r="I15" s="12" t="n">
        <v>0.900529147165794</v>
      </c>
      <c r="J15" s="12" t="n">
        <v>0.9022682489710465</v>
      </c>
      <c r="K15" s="12" t="n">
        <v>0.9022682489710465</v>
      </c>
      <c r="L15" s="12" t="n">
        <v>0.9022825328297234</v>
      </c>
      <c r="M15" s="12" t="n">
        <v>0.9022825328297234</v>
      </c>
      <c r="N15" s="5" t="n"/>
      <c r="O15" s="5" t="n"/>
      <c r="P15" s="5" t="n"/>
      <c r="Q15" s="5" t="n"/>
      <c r="R15" s="5" t="n"/>
      <c r="S15" s="5" t="n"/>
      <c r="T15" s="5" t="n"/>
      <c r="U15" s="5" t="n"/>
      <c r="V15" s="5" t="n"/>
      <c r="W15" s="5" t="n"/>
      <c r="X15" s="5" t="n"/>
      <c r="Y15" s="5" t="n"/>
    </row>
    <row r="16">
      <c r="A16" s="9" t="n">
        <v>2014</v>
      </c>
      <c r="B16" s="12" t="n">
        <v>0.3635214369141319</v>
      </c>
      <c r="C16" s="12" t="n">
        <v>0.4966582388227869</v>
      </c>
      <c r="D16" s="12" t="n">
        <v>0.7010585585212566</v>
      </c>
      <c r="E16" s="12" t="n">
        <v>0.8106117124068855</v>
      </c>
      <c r="F16" s="12" t="n">
        <v>0.8222009399912924</v>
      </c>
      <c r="G16" s="12" t="n">
        <v>0.8505333952830675</v>
      </c>
      <c r="H16" s="12" t="n">
        <v>0.8261815820758067</v>
      </c>
      <c r="I16" s="12" t="n">
        <v>0.8261815820758067</v>
      </c>
      <c r="J16" s="12" t="n">
        <v>0.860123572110951</v>
      </c>
      <c r="K16" s="12" t="n">
        <v>0.8778671696070645</v>
      </c>
      <c r="L16" s="12" t="n">
        <v>0.871770352064803</v>
      </c>
      <c r="M16" s="5" t="n"/>
      <c r="N16" s="5" t="n"/>
      <c r="O16" s="5" t="n"/>
      <c r="P16" s="5" t="n"/>
      <c r="Q16" s="5" t="n"/>
      <c r="R16" s="5" t="n"/>
      <c r="S16" s="5" t="n"/>
      <c r="T16" s="5" t="n"/>
      <c r="U16" s="5" t="n"/>
      <c r="V16" s="5" t="n"/>
      <c r="W16" s="5" t="n"/>
      <c r="X16" s="5" t="n"/>
      <c r="Y16" s="5" t="n"/>
    </row>
    <row r="17">
      <c r="A17" s="9" t="n">
        <v>2015</v>
      </c>
      <c r="B17" s="12" t="n">
        <v>0.137529023195041</v>
      </c>
      <c r="C17" s="12" t="n">
        <v>0.2730923341958926</v>
      </c>
      <c r="D17" s="12" t="n">
        <v>0.4103893035148866</v>
      </c>
      <c r="E17" s="12" t="n">
        <v>0.5451972656577007</v>
      </c>
      <c r="F17" s="12" t="n">
        <v>0.6029474985538248</v>
      </c>
      <c r="G17" s="12" t="n">
        <v>0.6850726807085599</v>
      </c>
      <c r="H17" s="12" t="n">
        <v>0.7809382416938201</v>
      </c>
      <c r="I17" s="12" t="n">
        <v>0.7862336571791964</v>
      </c>
      <c r="J17" s="12" t="n">
        <v>0.7888290145118536</v>
      </c>
      <c r="K17" s="12" t="n">
        <v>0.8646798983321698</v>
      </c>
      <c r="L17" s="5" t="n"/>
      <c r="M17" s="5" t="n"/>
      <c r="N17" s="5" t="n"/>
      <c r="O17" s="5" t="n"/>
      <c r="P17" s="5" t="n"/>
      <c r="Q17" s="5" t="n"/>
      <c r="R17" s="5" t="n"/>
      <c r="S17" s="5" t="n"/>
      <c r="T17" s="5" t="n"/>
      <c r="U17" s="5" t="n"/>
      <c r="V17" s="5" t="n"/>
      <c r="W17" s="5" t="n"/>
      <c r="X17" s="5" t="n"/>
      <c r="Y17" s="5" t="n"/>
    </row>
    <row r="18">
      <c r="A18" s="9" t="n">
        <v>2016</v>
      </c>
      <c r="B18" s="12" t="n">
        <v>0.226314950038432</v>
      </c>
      <c r="C18" s="12" t="n">
        <v>0.4231336658839881</v>
      </c>
      <c r="D18" s="12" t="n">
        <v>0.5703824995117033</v>
      </c>
      <c r="E18" s="12" t="n">
        <v>0.6200010862073957</v>
      </c>
      <c r="F18" s="12" t="n">
        <v>0.7082328538861041</v>
      </c>
      <c r="G18" s="12" t="n">
        <v>0.7306081347659331</v>
      </c>
      <c r="H18" s="12" t="n">
        <v>0.8237934956382337</v>
      </c>
      <c r="I18" s="12" t="n">
        <v>0.8235974445921468</v>
      </c>
      <c r="J18" s="12" t="n">
        <v>0.8246829504727655</v>
      </c>
      <c r="K18" s="5" t="n"/>
      <c r="L18" s="5" t="n"/>
      <c r="M18" s="5" t="n"/>
      <c r="N18" s="5" t="n"/>
      <c r="O18" s="5" t="n"/>
      <c r="P18" s="5" t="n"/>
      <c r="Q18" s="5" t="n"/>
      <c r="R18" s="5" t="n"/>
      <c r="S18" s="5" t="n"/>
      <c r="T18" s="5" t="n"/>
      <c r="U18" s="5" t="n"/>
      <c r="V18" s="5" t="n"/>
      <c r="W18" s="5" t="n"/>
      <c r="X18" s="5" t="n"/>
      <c r="Y18" s="5" t="n"/>
    </row>
    <row r="19">
      <c r="A19" s="9" t="n">
        <v>2017</v>
      </c>
      <c r="B19" s="12" t="n">
        <v>0.3109719458038423</v>
      </c>
      <c r="C19" s="12" t="n">
        <v>0.414474342611392</v>
      </c>
      <c r="D19" s="12" t="n">
        <v>0.4287153394998318</v>
      </c>
      <c r="E19" s="12" t="n">
        <v>0.5613550469133809</v>
      </c>
      <c r="F19" s="12" t="n">
        <v>0.603498134088305</v>
      </c>
      <c r="G19" s="12" t="n">
        <v>0.683591707518706</v>
      </c>
      <c r="H19" s="12" t="n">
        <v>0.787969594658578</v>
      </c>
      <c r="I19" s="12" t="n">
        <v>0.8128155233677118</v>
      </c>
      <c r="J19" s="5" t="n"/>
      <c r="K19" s="5" t="n"/>
      <c r="L19" s="5" t="n"/>
      <c r="M19" s="5" t="n"/>
      <c r="N19" s="5" t="n"/>
      <c r="O19" s="5" t="n"/>
      <c r="P19" s="5" t="n"/>
      <c r="Q19" s="5" t="n"/>
      <c r="R19" s="5" t="n"/>
      <c r="S19" s="5" t="n"/>
      <c r="T19" s="5" t="n"/>
      <c r="U19" s="5" t="n"/>
      <c r="V19" s="5" t="n"/>
      <c r="W19" s="5" t="n"/>
      <c r="X19" s="5" t="n"/>
      <c r="Y19" s="5" t="n"/>
    </row>
    <row r="20">
      <c r="A20" s="9" t="n">
        <v>2018</v>
      </c>
      <c r="B20" s="12" t="n">
        <v>0.1712542652091611</v>
      </c>
      <c r="C20" s="12" t="n">
        <v>0.3937854018390193</v>
      </c>
      <c r="D20" s="12" t="n">
        <v>0.5626145432877482</v>
      </c>
      <c r="E20" s="12" t="n">
        <v>0.7810588216562638</v>
      </c>
      <c r="F20" s="12" t="n">
        <v>0.7765745381364719</v>
      </c>
      <c r="G20" s="12" t="n">
        <v>0.7867413110781105</v>
      </c>
      <c r="H20" s="12" t="n">
        <v>0.8075665859152369</v>
      </c>
      <c r="I20" s="5" t="n"/>
      <c r="J20" s="5" t="n"/>
      <c r="K20" s="5" t="n"/>
      <c r="L20" s="5" t="n"/>
      <c r="M20" s="5" t="n"/>
      <c r="N20" s="5" t="n"/>
      <c r="O20" s="5" t="n"/>
      <c r="P20" s="5" t="n"/>
      <c r="Q20" s="5" t="n"/>
      <c r="R20" s="5" t="n"/>
      <c r="S20" s="5" t="n"/>
      <c r="T20" s="5" t="n"/>
      <c r="U20" s="5" t="n"/>
      <c r="V20" s="5" t="n"/>
      <c r="W20" s="5" t="n"/>
      <c r="X20" s="5" t="n"/>
      <c r="Y20" s="5" t="n"/>
    </row>
    <row r="21">
      <c r="A21" s="9" t="n">
        <v>2019</v>
      </c>
      <c r="B21" s="12" t="n">
        <v>0.1282475188280257</v>
      </c>
      <c r="C21" s="12" t="n">
        <v>0.3535739679515474</v>
      </c>
      <c r="D21" s="12" t="n">
        <v>0.547069291168818</v>
      </c>
      <c r="E21" s="12" t="n">
        <v>0.6289725874723802</v>
      </c>
      <c r="F21" s="12" t="n">
        <v>0.6688431451788358</v>
      </c>
      <c r="G21" s="12" t="n">
        <v>0.8173974133525994</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0.3303614681441003</v>
      </c>
      <c r="C22" s="12" t="n">
        <v>0.5896714124897651</v>
      </c>
      <c r="D22" s="12" t="n">
        <v>0.5797854717938139</v>
      </c>
      <c r="E22" s="12" t="n">
        <v>0.6134330098342315</v>
      </c>
      <c r="F22" s="12" t="n">
        <v>0.6194006253285564</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0.3609041417482129</v>
      </c>
      <c r="C23" s="12" t="n">
        <v>0.5260844407013451</v>
      </c>
      <c r="D23" s="12" t="n">
        <v>0.6439090688668102</v>
      </c>
      <c r="E23" s="12" t="n">
        <v>0.6642687357948984</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0.5476967720991405</v>
      </c>
      <c r="C24" s="12" t="n">
        <v>0.6715141497829321</v>
      </c>
      <c r="D24" s="12" t="n">
        <v>0.6524015594916514</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0.443840857656867</v>
      </c>
      <c r="C25" s="12" t="n">
        <v>0.7519147399512184</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0.5494381720281041</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Paid-to-Ult</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0.1067466990923175</v>
      </c>
      <c r="C3" s="12" t="n">
        <v>0.3429090491924363</v>
      </c>
      <c r="D3" s="12" t="n">
        <v>0.5060702023198222</v>
      </c>
      <c r="E3" s="12" t="n">
        <v>0.6256492477013279</v>
      </c>
      <c r="F3" s="12" t="n">
        <v>0.7282086496340329</v>
      </c>
      <c r="G3" s="12" t="n">
        <v>0.7477072187971865</v>
      </c>
      <c r="H3" s="12" t="n">
        <v>0.7405034475460095</v>
      </c>
      <c r="I3" s="12" t="n">
        <v>0.7505026155229293</v>
      </c>
      <c r="J3" s="12" t="n">
        <v>0.7577810988353744</v>
      </c>
      <c r="K3" s="12" t="n">
        <v>0.7668956462827711</v>
      </c>
      <c r="L3" s="12" t="n">
        <v>0.7851695908802202</v>
      </c>
      <c r="M3" s="12" t="n">
        <v>0.8039968531848775</v>
      </c>
      <c r="N3" s="12" t="n">
        <v>0.8170988506966408</v>
      </c>
      <c r="O3" s="12" t="n">
        <v>0.8378536435705932</v>
      </c>
      <c r="P3" s="12" t="n">
        <v>0.8558762812126355</v>
      </c>
      <c r="Q3" s="12" t="n">
        <v>0.8821289753834832</v>
      </c>
      <c r="R3" s="12" t="n">
        <v>0.9109604950543027</v>
      </c>
      <c r="S3" s="12" t="n">
        <v>0.9355920416164109</v>
      </c>
      <c r="T3" s="12" t="n">
        <v>0.9714179720007908</v>
      </c>
      <c r="U3" s="12" t="n">
        <v>0.9714179720007908</v>
      </c>
      <c r="V3" s="12" t="n">
        <v>0.9786502878994437</v>
      </c>
      <c r="W3" s="12" t="n">
        <v>0.9859263388467416</v>
      </c>
      <c r="X3" s="12" t="n">
        <v>0.9921454299292947</v>
      </c>
      <c r="Y3" s="12" t="n">
        <v>0.9960458851364536</v>
      </c>
    </row>
    <row r="4">
      <c r="A4" s="9" t="n">
        <v>2002</v>
      </c>
      <c r="B4" s="12" t="n">
        <v>0.1610094859117045</v>
      </c>
      <c r="C4" s="12" t="n">
        <v>0.4104853041808478</v>
      </c>
      <c r="D4" s="12" t="n">
        <v>0.5498395760850858</v>
      </c>
      <c r="E4" s="12" t="n">
        <v>0.5939823710003416</v>
      </c>
      <c r="F4" s="12" t="n">
        <v>0.6683670768667926</v>
      </c>
      <c r="G4" s="12" t="n">
        <v>0.7306752091955764</v>
      </c>
      <c r="H4" s="12" t="n">
        <v>0.7471625662837881</v>
      </c>
      <c r="I4" s="12" t="n">
        <v>0.7603977529283596</v>
      </c>
      <c r="J4" s="12" t="n">
        <v>0.7792647756388597</v>
      </c>
      <c r="K4" s="12" t="n">
        <v>0.7885547691040603</v>
      </c>
      <c r="L4" s="12" t="n">
        <v>0.8024309971714376</v>
      </c>
      <c r="M4" s="12" t="n">
        <v>0.8174913147183468</v>
      </c>
      <c r="N4" s="12" t="n">
        <v>0.8362449036567664</v>
      </c>
      <c r="O4" s="12" t="n">
        <v>0.8575757264467435</v>
      </c>
      <c r="P4" s="12" t="n">
        <v>0.8757005157012699</v>
      </c>
      <c r="Q4" s="12" t="n">
        <v>0.8927991154772559</v>
      </c>
      <c r="R4" s="12" t="n">
        <v>0.9182374786650339</v>
      </c>
      <c r="S4" s="12" t="n">
        <v>0.9367925659341602</v>
      </c>
      <c r="T4" s="12" t="n">
        <v>0.9516727949567069</v>
      </c>
      <c r="U4" s="12" t="n">
        <v>0.963202681805198</v>
      </c>
      <c r="V4" s="12" t="n">
        <v>0.9729157316929654</v>
      </c>
      <c r="W4" s="12" t="n">
        <v>0.9822253571260581</v>
      </c>
      <c r="X4" s="12" t="n">
        <v>0.9910539517819764</v>
      </c>
      <c r="Y4" s="5" t="n"/>
    </row>
    <row r="5">
      <c r="A5" s="9" t="n">
        <v>2003</v>
      </c>
      <c r="B5" s="12" t="n">
        <v>0.2562198647336803</v>
      </c>
      <c r="C5" s="12" t="n">
        <v>0.63637449001636</v>
      </c>
      <c r="D5" s="12" t="n">
        <v>0.7346581731366902</v>
      </c>
      <c r="E5" s="12" t="n">
        <v>0.8007826217598546</v>
      </c>
      <c r="F5" s="12" t="n">
        <v>0.9265148096342859</v>
      </c>
      <c r="G5" s="12" t="n">
        <v>0.9726365652852544</v>
      </c>
      <c r="H5" s="12" t="n">
        <v>0.9741024359208823</v>
      </c>
      <c r="I5" s="12" t="n">
        <v>0.9809322777108931</v>
      </c>
      <c r="J5" s="12" t="n">
        <v>0.979522248585704</v>
      </c>
      <c r="K5" s="12" t="n">
        <v>0.9819174476512934</v>
      </c>
      <c r="L5" s="12" t="n">
        <v>0.980054598485782</v>
      </c>
      <c r="M5" s="12" t="n">
        <v>0.980269375769306</v>
      </c>
      <c r="N5" s="12" t="n">
        <v>0.9803411334590487</v>
      </c>
      <c r="O5" s="12" t="n">
        <v>0.9803414178067319</v>
      </c>
      <c r="P5" s="12" t="n">
        <v>0.9803414178067319</v>
      </c>
      <c r="Q5" s="12" t="n">
        <v>0.9803410824222849</v>
      </c>
      <c r="R5" s="12" t="n">
        <v>0.9824193431853827</v>
      </c>
      <c r="S5" s="12" t="n">
        <v>0.9824193431853828</v>
      </c>
      <c r="T5" s="12" t="n">
        <v>0.9824193431853828</v>
      </c>
      <c r="U5" s="12" t="n">
        <v>0.9824193431853828</v>
      </c>
      <c r="V5" s="12" t="n">
        <v>0.9824193431853828</v>
      </c>
      <c r="W5" s="12" t="n">
        <v>0.9824193431853828</v>
      </c>
      <c r="X5" s="5" t="n"/>
      <c r="Y5" s="5" t="n"/>
    </row>
    <row r="6">
      <c r="A6" s="9" t="n">
        <v>2004</v>
      </c>
      <c r="B6" s="12" t="n">
        <v>0.2235800183641942</v>
      </c>
      <c r="C6" s="12" t="n">
        <v>0.5448183039665789</v>
      </c>
      <c r="D6" s="12" t="n">
        <v>0.7023335858586991</v>
      </c>
      <c r="E6" s="12" t="n">
        <v>0.786463580004787</v>
      </c>
      <c r="F6" s="12" t="n">
        <v>0.9183350190213017</v>
      </c>
      <c r="G6" s="12" t="n">
        <v>0.9217094325289934</v>
      </c>
      <c r="H6" s="12" t="n">
        <v>0.9367000127278663</v>
      </c>
      <c r="I6" s="12" t="n">
        <v>0.9440085506716857</v>
      </c>
      <c r="J6" s="12" t="n">
        <v>0.9614555582741139</v>
      </c>
      <c r="K6" s="12" t="n">
        <v>0.9555604931351858</v>
      </c>
      <c r="L6" s="12" t="n">
        <v>0.9589906204712898</v>
      </c>
      <c r="M6" s="12" t="n">
        <v>0.965122920167976</v>
      </c>
      <c r="N6" s="12" t="n">
        <v>0.9655237473400204</v>
      </c>
      <c r="O6" s="12" t="n">
        <v>0.9672775097804565</v>
      </c>
      <c r="P6" s="12" t="n">
        <v>0.9678397818681869</v>
      </c>
      <c r="Q6" s="12" t="n">
        <v>0.9770282911290501</v>
      </c>
      <c r="R6" s="12" t="n">
        <v>0.9770282911290501</v>
      </c>
      <c r="S6" s="12" t="n">
        <v>0.9770282911290501</v>
      </c>
      <c r="T6" s="12" t="n">
        <v>0.9770282911290501</v>
      </c>
      <c r="U6" s="12" t="n">
        <v>0.9770575779281536</v>
      </c>
      <c r="V6" s="12" t="n">
        <v>0.9770575779281536</v>
      </c>
      <c r="W6" s="5" t="n"/>
      <c r="X6" s="5" t="n"/>
      <c r="Y6" s="5" t="n"/>
    </row>
    <row r="7">
      <c r="A7" s="9" t="n">
        <v>2005</v>
      </c>
      <c r="B7" s="12" t="n">
        <v>0.265579548474513</v>
      </c>
      <c r="C7" s="12" t="n">
        <v>0.5394056682797872</v>
      </c>
      <c r="D7" s="12" t="n">
        <v>0.6836384142401174</v>
      </c>
      <c r="E7" s="12" t="n">
        <v>0.7136392272179972</v>
      </c>
      <c r="F7" s="12" t="n">
        <v>0.7669356512223129</v>
      </c>
      <c r="G7" s="12" t="n">
        <v>0.7828511918296469</v>
      </c>
      <c r="H7" s="12" t="n">
        <v>0.7993649997195901</v>
      </c>
      <c r="I7" s="12" t="n">
        <v>0.8076887074251081</v>
      </c>
      <c r="J7" s="12" t="n">
        <v>0.8110564088072285</v>
      </c>
      <c r="K7" s="12" t="n">
        <v>0.8353948168390775</v>
      </c>
      <c r="L7" s="12" t="n">
        <v>0.8591250767202586</v>
      </c>
      <c r="M7" s="12" t="n">
        <v>0.8765308271745621</v>
      </c>
      <c r="N7" s="12" t="n">
        <v>0.9052123917663257</v>
      </c>
      <c r="O7" s="12" t="n">
        <v>0.9222910262141905</v>
      </c>
      <c r="P7" s="12" t="n">
        <v>0.9500737770963046</v>
      </c>
      <c r="Q7" s="12" t="n">
        <v>0.9576387239086797</v>
      </c>
      <c r="R7" s="12" t="n">
        <v>0.9761571740499967</v>
      </c>
      <c r="S7" s="12" t="n">
        <v>0.9777931569131528</v>
      </c>
      <c r="T7" s="12" t="n">
        <v>0.9777931569131528</v>
      </c>
      <c r="U7" s="12" t="n">
        <v>0.9777931569131528</v>
      </c>
      <c r="V7" s="5" t="n"/>
      <c r="W7" s="5" t="n"/>
      <c r="X7" s="5" t="n"/>
      <c r="Y7" s="5" t="n"/>
    </row>
    <row r="8">
      <c r="A8" s="9" t="n">
        <v>2006</v>
      </c>
      <c r="B8" s="12" t="n">
        <v>0.1890025695248032</v>
      </c>
      <c r="C8" s="12" t="n">
        <v>0.464287699468936</v>
      </c>
      <c r="D8" s="12" t="n">
        <v>0.5928249573569174</v>
      </c>
      <c r="E8" s="12" t="n">
        <v>0.6456417637514552</v>
      </c>
      <c r="F8" s="12" t="n">
        <v>0.6851463027423934</v>
      </c>
      <c r="G8" s="12" t="n">
        <v>0.7170465366707682</v>
      </c>
      <c r="H8" s="12" t="n">
        <v>0.7466966074970168</v>
      </c>
      <c r="I8" s="12" t="n">
        <v>0.7517665003524058</v>
      </c>
      <c r="J8" s="12" t="n">
        <v>0.7755176206229684</v>
      </c>
      <c r="K8" s="12" t="n">
        <v>0.8073035401178402</v>
      </c>
      <c r="L8" s="12" t="n">
        <v>0.8817607439941705</v>
      </c>
      <c r="M8" s="12" t="n">
        <v>0.9061290816346848</v>
      </c>
      <c r="N8" s="12" t="n">
        <v>0.9155753702914681</v>
      </c>
      <c r="O8" s="12" t="n">
        <v>0.9326868038460669</v>
      </c>
      <c r="P8" s="12" t="n">
        <v>0.9390394740195359</v>
      </c>
      <c r="Q8" s="12" t="n">
        <v>0.9468830573286454</v>
      </c>
      <c r="R8" s="12" t="n">
        <v>0.9577436641593433</v>
      </c>
      <c r="S8" s="12" t="n">
        <v>0.9650561359370212</v>
      </c>
      <c r="T8" s="12" t="n">
        <v>0.9703707280635738</v>
      </c>
      <c r="U8" s="5" t="n"/>
      <c r="V8" s="5" t="n"/>
      <c r="W8" s="5" t="n"/>
      <c r="X8" s="5" t="n"/>
      <c r="Y8" s="5" t="n"/>
    </row>
    <row r="9">
      <c r="A9" s="9" t="n">
        <v>2007</v>
      </c>
      <c r="B9" s="12" t="n">
        <v>0.1024798056436782</v>
      </c>
      <c r="C9" s="12" t="n">
        <v>0.2245126247586704</v>
      </c>
      <c r="D9" s="12" t="n">
        <v>0.2907098949055572</v>
      </c>
      <c r="E9" s="12" t="n">
        <v>0.3702005119176675</v>
      </c>
      <c r="F9" s="12" t="n">
        <v>0.4390913443136981</v>
      </c>
      <c r="G9" s="12" t="n">
        <v>0.5333420797330362</v>
      </c>
      <c r="H9" s="12" t="n">
        <v>0.5950737336340028</v>
      </c>
      <c r="I9" s="12" t="n">
        <v>0.6412767552369054</v>
      </c>
      <c r="J9" s="12" t="n">
        <v>0.6930105879965966</v>
      </c>
      <c r="K9" s="12" t="n">
        <v>0.7518309207531336</v>
      </c>
      <c r="L9" s="12" t="n">
        <v>0.8136468515277916</v>
      </c>
      <c r="M9" s="12" t="n">
        <v>0.8543290625180735</v>
      </c>
      <c r="N9" s="12" t="n">
        <v>0.8893896142287946</v>
      </c>
      <c r="O9" s="12" t="n">
        <v>0.9151000223609527</v>
      </c>
      <c r="P9" s="12" t="n">
        <v>0.9396384628550346</v>
      </c>
      <c r="Q9" s="12" t="n">
        <v>0.9669394677417618</v>
      </c>
      <c r="R9" s="12" t="n">
        <v>0.9730167774863383</v>
      </c>
      <c r="S9" s="12" t="n">
        <v>0.9749223081338475</v>
      </c>
      <c r="T9" s="5" t="n"/>
      <c r="U9" s="5" t="n"/>
      <c r="V9" s="5" t="n"/>
      <c r="W9" s="5" t="n"/>
      <c r="X9" s="5" t="n"/>
      <c r="Y9" s="5" t="n"/>
    </row>
    <row r="10">
      <c r="A10" s="9" t="n">
        <v>2008</v>
      </c>
      <c r="B10" s="12" t="n">
        <v>0.2457188987004971</v>
      </c>
      <c r="C10" s="12" t="n">
        <v>0.4494149234144063</v>
      </c>
      <c r="D10" s="12" t="n">
        <v>0.6044588980248891</v>
      </c>
      <c r="E10" s="12" t="n">
        <v>0.8259904315578466</v>
      </c>
      <c r="F10" s="12" t="n">
        <v>0.8548336136161435</v>
      </c>
      <c r="G10" s="12" t="n">
        <v>0.881176111555956</v>
      </c>
      <c r="H10" s="12" t="n">
        <v>0.8873371597965948</v>
      </c>
      <c r="I10" s="12" t="n">
        <v>0.8930100115103594</v>
      </c>
      <c r="J10" s="12" t="n">
        <v>0.9035001923953782</v>
      </c>
      <c r="K10" s="12" t="n">
        <v>0.9156110910930949</v>
      </c>
      <c r="L10" s="12" t="n">
        <v>0.9254036662357233</v>
      </c>
      <c r="M10" s="12" t="n">
        <v>0.9272001223239794</v>
      </c>
      <c r="N10" s="12" t="n">
        <v>0.9293504488928913</v>
      </c>
      <c r="O10" s="12" t="n">
        <v>0.9304063827778322</v>
      </c>
      <c r="P10" s="12" t="n">
        <v>0.9310162936531755</v>
      </c>
      <c r="Q10" s="12" t="n">
        <v>0.9334798581056272</v>
      </c>
      <c r="R10" s="12" t="n">
        <v>0.9581039182125012</v>
      </c>
      <c r="S10" s="5" t="n"/>
      <c r="T10" s="5" t="n"/>
      <c r="U10" s="5" t="n"/>
      <c r="V10" s="5" t="n"/>
      <c r="W10" s="5" t="n"/>
      <c r="X10" s="5" t="n"/>
      <c r="Y10" s="5" t="n"/>
    </row>
    <row r="11">
      <c r="A11" s="9" t="n">
        <v>2009</v>
      </c>
      <c r="B11" s="12" t="n">
        <v>0.1836996236091039</v>
      </c>
      <c r="C11" s="12" t="n">
        <v>0.5962826704209784</v>
      </c>
      <c r="D11" s="12" t="n">
        <v>0.6522788298726453</v>
      </c>
      <c r="E11" s="12" t="n">
        <v>0.6700417411019199</v>
      </c>
      <c r="F11" s="12" t="n">
        <v>0.7189836610322536</v>
      </c>
      <c r="G11" s="12" t="n">
        <v>0.7560184264699857</v>
      </c>
      <c r="H11" s="12" t="n">
        <v>0.7787583264981832</v>
      </c>
      <c r="I11" s="12" t="n">
        <v>0.8180137420659372</v>
      </c>
      <c r="J11" s="12" t="n">
        <v>0.8480219259297345</v>
      </c>
      <c r="K11" s="12" t="n">
        <v>0.8604705570943235</v>
      </c>
      <c r="L11" s="12" t="n">
        <v>0.8685653884579824</v>
      </c>
      <c r="M11" s="12" t="n">
        <v>0.8950945544914771</v>
      </c>
      <c r="N11" s="12" t="n">
        <v>0.9395802903909174</v>
      </c>
      <c r="O11" s="12" t="n">
        <v>0.9395802903909174</v>
      </c>
      <c r="P11" s="12" t="n">
        <v>0.9395802903909174</v>
      </c>
      <c r="Q11" s="12" t="n">
        <v>0.9395802903909174</v>
      </c>
      <c r="R11" s="5" t="n"/>
      <c r="S11" s="5" t="n"/>
      <c r="T11" s="5" t="n"/>
      <c r="U11" s="5" t="n"/>
      <c r="V11" s="5" t="n"/>
      <c r="W11" s="5" t="n"/>
      <c r="X11" s="5" t="n"/>
      <c r="Y11" s="5" t="n"/>
    </row>
    <row r="12">
      <c r="A12" s="9" t="n">
        <v>2010</v>
      </c>
      <c r="B12" s="12" t="n">
        <v>0.1792808644872915</v>
      </c>
      <c r="C12" s="12" t="n">
        <v>0.4953675936833786</v>
      </c>
      <c r="D12" s="12" t="n">
        <v>0.6735292038905255</v>
      </c>
      <c r="E12" s="12" t="n">
        <v>0.7924993848660415</v>
      </c>
      <c r="F12" s="12" t="n">
        <v>0.866135941416935</v>
      </c>
      <c r="G12" s="12" t="n">
        <v>0.8842029184092028</v>
      </c>
      <c r="H12" s="12" t="n">
        <v>0.9274541169232854</v>
      </c>
      <c r="I12" s="12" t="n">
        <v>0.9290680618239433</v>
      </c>
      <c r="J12" s="12" t="n">
        <v>0.9322469991809498</v>
      </c>
      <c r="K12" s="12" t="n">
        <v>0.9328353316226249</v>
      </c>
      <c r="L12" s="12" t="n">
        <v>0.9333081533868429</v>
      </c>
      <c r="M12" s="12" t="n">
        <v>0.9333625342017869</v>
      </c>
      <c r="N12" s="12" t="n">
        <v>0.9339562755923769</v>
      </c>
      <c r="O12" s="12" t="n">
        <v>0.9346365990090453</v>
      </c>
      <c r="P12" s="12" t="n">
        <v>0.9402314623350957</v>
      </c>
      <c r="Q12" s="5" t="n"/>
      <c r="R12" s="5" t="n"/>
      <c r="S12" s="5" t="n"/>
      <c r="T12" s="5" t="n"/>
      <c r="U12" s="5" t="n"/>
      <c r="V12" s="5" t="n"/>
      <c r="W12" s="5" t="n"/>
      <c r="X12" s="5" t="n"/>
      <c r="Y12" s="5" t="n"/>
    </row>
    <row r="13">
      <c r="A13" s="9" t="n">
        <v>2011</v>
      </c>
      <c r="B13" s="12" t="n">
        <v>0.1814710136672216</v>
      </c>
      <c r="C13" s="12" t="n">
        <v>0.4182140060390976</v>
      </c>
      <c r="D13" s="12" t="n">
        <v>0.6519682747001885</v>
      </c>
      <c r="E13" s="12" t="n">
        <v>0.7012183821379083</v>
      </c>
      <c r="F13" s="12" t="n">
        <v>0.7593307244325262</v>
      </c>
      <c r="G13" s="12" t="n">
        <v>0.8268195829055058</v>
      </c>
      <c r="H13" s="12" t="n">
        <v>0.908240716955928</v>
      </c>
      <c r="I13" s="12" t="n">
        <v>0.9100296350841867</v>
      </c>
      <c r="J13" s="12" t="n">
        <v>0.9141707478093566</v>
      </c>
      <c r="K13" s="12" t="n">
        <v>0.9211794743452991</v>
      </c>
      <c r="L13" s="12" t="n">
        <v>0.9259744016249138</v>
      </c>
      <c r="M13" s="12" t="n">
        <v>0.9355425704544774</v>
      </c>
      <c r="N13" s="12" t="n">
        <v>0.9403629523212345</v>
      </c>
      <c r="O13" s="12" t="n">
        <v>0.9433763807941143</v>
      </c>
      <c r="P13" s="5" t="n"/>
      <c r="Q13" s="5" t="n"/>
      <c r="R13" s="5" t="n"/>
      <c r="S13" s="5" t="n"/>
      <c r="T13" s="5" t="n"/>
      <c r="U13" s="5" t="n"/>
      <c r="V13" s="5" t="n"/>
      <c r="W13" s="5" t="n"/>
      <c r="X13" s="5" t="n"/>
      <c r="Y13" s="5" t="n"/>
    </row>
    <row r="14">
      <c r="A14" s="9" t="n">
        <v>2012</v>
      </c>
      <c r="B14" s="12" t="n">
        <v>0.1771063816482921</v>
      </c>
      <c r="C14" s="12" t="n">
        <v>0.4933394949346532</v>
      </c>
      <c r="D14" s="12" t="n">
        <v>0.6214339971872573</v>
      </c>
      <c r="E14" s="12" t="n">
        <v>0.739779441478548</v>
      </c>
      <c r="F14" s="12" t="n">
        <v>0.747248997387057</v>
      </c>
      <c r="G14" s="12" t="n">
        <v>0.752113800864347</v>
      </c>
      <c r="H14" s="12" t="n">
        <v>0.7600640305436803</v>
      </c>
      <c r="I14" s="12" t="n">
        <v>0.7900103839961305</v>
      </c>
      <c r="J14" s="12" t="n">
        <v>0.8149339560954023</v>
      </c>
      <c r="K14" s="12" t="n">
        <v>0.818665656358718</v>
      </c>
      <c r="L14" s="12" t="n">
        <v>0.8429830259327404</v>
      </c>
      <c r="M14" s="12" t="n">
        <v>0.8906050816542774</v>
      </c>
      <c r="N14" s="12" t="n">
        <v>0.9284358945306995</v>
      </c>
      <c r="O14" s="5" t="n"/>
      <c r="P14" s="5" t="n"/>
      <c r="Q14" s="5" t="n"/>
      <c r="R14" s="5" t="n"/>
      <c r="S14" s="5" t="n"/>
      <c r="T14" s="5" t="n"/>
      <c r="U14" s="5" t="n"/>
      <c r="V14" s="5" t="n"/>
      <c r="W14" s="5" t="n"/>
      <c r="X14" s="5" t="n"/>
      <c r="Y14" s="5" t="n"/>
    </row>
    <row r="15">
      <c r="A15" s="9" t="n">
        <v>2013</v>
      </c>
      <c r="B15" s="12" t="n">
        <v>0.2579532965808472</v>
      </c>
      <c r="C15" s="12" t="n">
        <v>0.5935797253267419</v>
      </c>
      <c r="D15" s="12" t="n">
        <v>0.6937145567097484</v>
      </c>
      <c r="E15" s="12" t="n">
        <v>0.7610260830585811</v>
      </c>
      <c r="F15" s="12" t="n">
        <v>0.9024433062974609</v>
      </c>
      <c r="G15" s="12" t="n">
        <v>0.9000979814811279</v>
      </c>
      <c r="H15" s="12" t="n">
        <v>0.9005417619798967</v>
      </c>
      <c r="I15" s="12" t="n">
        <v>0.900541761979897</v>
      </c>
      <c r="J15" s="12" t="n">
        <v>0.9022808881468773</v>
      </c>
      <c r="K15" s="12" t="n">
        <v>0.9022808881468773</v>
      </c>
      <c r="L15" s="12" t="n">
        <v>0.9022951722056457</v>
      </c>
      <c r="M15" s="12" t="n">
        <v>0.9022951722056457</v>
      </c>
      <c r="N15" s="5" t="n"/>
      <c r="O15" s="5" t="n"/>
      <c r="P15" s="5" t="n"/>
      <c r="Q15" s="5" t="n"/>
      <c r="R15" s="5" t="n"/>
      <c r="S15" s="5" t="n"/>
      <c r="T15" s="5" t="n"/>
      <c r="U15" s="5" t="n"/>
      <c r="V15" s="5" t="n"/>
      <c r="W15" s="5" t="n"/>
      <c r="X15" s="5" t="n"/>
      <c r="Y15" s="5" t="n"/>
    </row>
    <row r="16">
      <c r="A16" s="9" t="n">
        <v>2014</v>
      </c>
      <c r="B16" s="12" t="n">
        <v>0.2711899677355188</v>
      </c>
      <c r="C16" s="12" t="n">
        <v>0.4862574440028403</v>
      </c>
      <c r="D16" s="12" t="n">
        <v>0.6101416625719107</v>
      </c>
      <c r="E16" s="12" t="n">
        <v>0.7769271662137186</v>
      </c>
      <c r="F16" s="12" t="n">
        <v>0.8289726101348833</v>
      </c>
      <c r="G16" s="12" t="n">
        <v>0.8427317383931785</v>
      </c>
      <c r="H16" s="12" t="n">
        <v>0.8478816222821471</v>
      </c>
      <c r="I16" s="12" t="n">
        <v>0.8503988546188189</v>
      </c>
      <c r="J16" s="12" t="n">
        <v>0.8557791944971752</v>
      </c>
      <c r="K16" s="12" t="n">
        <v>0.9085207521423369</v>
      </c>
      <c r="L16" s="12" t="n">
        <v>0.9152956488873023</v>
      </c>
      <c r="M16" s="5" t="n"/>
      <c r="N16" s="5" t="n"/>
      <c r="O16" s="5" t="n"/>
      <c r="P16" s="5" t="n"/>
      <c r="Q16" s="5" t="n"/>
      <c r="R16" s="5" t="n"/>
      <c r="S16" s="5" t="n"/>
      <c r="T16" s="5" t="n"/>
      <c r="U16" s="5" t="n"/>
      <c r="V16" s="5" t="n"/>
      <c r="W16" s="5" t="n"/>
      <c r="X16" s="5" t="n"/>
      <c r="Y16" s="5" t="n"/>
    </row>
    <row r="17">
      <c r="A17" s="9" t="n">
        <v>2015</v>
      </c>
      <c r="B17" s="12" t="n">
        <v>0.1047620797054076</v>
      </c>
      <c r="C17" s="12" t="n">
        <v>0.2326138398082021</v>
      </c>
      <c r="D17" s="12" t="n">
        <v>0.3910815298670843</v>
      </c>
      <c r="E17" s="12" t="n">
        <v>0.5730349341843</v>
      </c>
      <c r="F17" s="12" t="n">
        <v>0.6153742360925308</v>
      </c>
      <c r="G17" s="12" t="n">
        <v>0.685168606669417</v>
      </c>
      <c r="H17" s="12" t="n">
        <v>0.7610676374202016</v>
      </c>
      <c r="I17" s="12" t="n">
        <v>0.8027215604003175</v>
      </c>
      <c r="J17" s="12" t="n">
        <v>0.8142305517979407</v>
      </c>
      <c r="K17" s="12" t="n">
        <v>0.926448081042662</v>
      </c>
      <c r="L17" s="5" t="n"/>
      <c r="M17" s="5" t="n"/>
      <c r="N17" s="5" t="n"/>
      <c r="O17" s="5" t="n"/>
      <c r="P17" s="5" t="n"/>
      <c r="Q17" s="5" t="n"/>
      <c r="R17" s="5" t="n"/>
      <c r="S17" s="5" t="n"/>
      <c r="T17" s="5" t="n"/>
      <c r="U17" s="5" t="n"/>
      <c r="V17" s="5" t="n"/>
      <c r="W17" s="5" t="n"/>
      <c r="X17" s="5" t="n"/>
      <c r="Y17" s="5" t="n"/>
    </row>
    <row r="18">
      <c r="A18" s="9" t="n">
        <v>2016</v>
      </c>
      <c r="B18" s="12" t="n">
        <v>0.1192665015683405</v>
      </c>
      <c r="C18" s="12" t="n">
        <v>0.3953870261090408</v>
      </c>
      <c r="D18" s="12" t="n">
        <v>0.5588900703498672</v>
      </c>
      <c r="E18" s="12" t="n">
        <v>0.6289949568590487</v>
      </c>
      <c r="F18" s="12" t="n">
        <v>0.6763213262330748</v>
      </c>
      <c r="G18" s="12" t="n">
        <v>0.7454809290503281</v>
      </c>
      <c r="H18" s="12" t="n">
        <v>0.8495468971989</v>
      </c>
      <c r="I18" s="12" t="n">
        <v>0.855173912875281</v>
      </c>
      <c r="J18" s="12" t="n">
        <v>0.8646622190760201</v>
      </c>
      <c r="K18" s="5" t="n"/>
      <c r="L18" s="5" t="n"/>
      <c r="M18" s="5" t="n"/>
      <c r="N18" s="5" t="n"/>
      <c r="O18" s="5" t="n"/>
      <c r="P18" s="5" t="n"/>
      <c r="Q18" s="5" t="n"/>
      <c r="R18" s="5" t="n"/>
      <c r="S18" s="5" t="n"/>
      <c r="T18" s="5" t="n"/>
      <c r="U18" s="5" t="n"/>
      <c r="V18" s="5" t="n"/>
      <c r="W18" s="5" t="n"/>
      <c r="X18" s="5" t="n"/>
      <c r="Y18" s="5" t="n"/>
    </row>
    <row r="19">
      <c r="A19" s="9" t="n">
        <v>2017</v>
      </c>
      <c r="B19" s="12" t="n">
        <v>0.2230325004372506</v>
      </c>
      <c r="C19" s="12" t="n">
        <v>0.3874240733626954</v>
      </c>
      <c r="D19" s="12" t="n">
        <v>0.417459775928959</v>
      </c>
      <c r="E19" s="12" t="n">
        <v>0.4707513749145376</v>
      </c>
      <c r="F19" s="12" t="n">
        <v>0.5118982341119046</v>
      </c>
      <c r="G19" s="12" t="n">
        <v>0.5669219571547446</v>
      </c>
      <c r="H19" s="12" t="n">
        <v>0.7321216040258856</v>
      </c>
      <c r="I19" s="12" t="n">
        <v>0.798851375163638</v>
      </c>
      <c r="J19" s="5" t="n"/>
      <c r="K19" s="5" t="n"/>
      <c r="L19" s="5" t="n"/>
      <c r="M19" s="5" t="n"/>
      <c r="N19" s="5" t="n"/>
      <c r="O19" s="5" t="n"/>
      <c r="P19" s="5" t="n"/>
      <c r="Q19" s="5" t="n"/>
      <c r="R19" s="5" t="n"/>
      <c r="S19" s="5" t="n"/>
      <c r="T19" s="5" t="n"/>
      <c r="U19" s="5" t="n"/>
      <c r="V19" s="5" t="n"/>
      <c r="W19" s="5" t="n"/>
      <c r="X19" s="5" t="n"/>
      <c r="Y19" s="5" t="n"/>
    </row>
    <row r="20">
      <c r="A20" s="9" t="n">
        <v>2018</v>
      </c>
      <c r="B20" s="12" t="n">
        <v>0.1238829256539268</v>
      </c>
      <c r="C20" s="12" t="n">
        <v>0.3561777577889668</v>
      </c>
      <c r="D20" s="12" t="n">
        <v>0.5285434421905187</v>
      </c>
      <c r="E20" s="12" t="n">
        <v>0.7259348817514512</v>
      </c>
      <c r="F20" s="12" t="n">
        <v>0.7676460007624797</v>
      </c>
      <c r="G20" s="12" t="n">
        <v>0.8108427465178244</v>
      </c>
      <c r="H20" s="12" t="n">
        <v>0.8591160698884724</v>
      </c>
      <c r="I20" s="5" t="n"/>
      <c r="J20" s="5" t="n"/>
      <c r="K20" s="5" t="n"/>
      <c r="L20" s="5" t="n"/>
      <c r="M20" s="5" t="n"/>
      <c r="N20" s="5" t="n"/>
      <c r="O20" s="5" t="n"/>
      <c r="P20" s="5" t="n"/>
      <c r="Q20" s="5" t="n"/>
      <c r="R20" s="5" t="n"/>
      <c r="S20" s="5" t="n"/>
      <c r="T20" s="5" t="n"/>
      <c r="U20" s="5" t="n"/>
      <c r="V20" s="5" t="n"/>
      <c r="W20" s="5" t="n"/>
      <c r="X20" s="5" t="n"/>
      <c r="Y20" s="5" t="n"/>
    </row>
    <row r="21">
      <c r="A21" s="9" t="n">
        <v>2019</v>
      </c>
      <c r="B21" s="12" t="n">
        <v>0.09312095095696253</v>
      </c>
      <c r="C21" s="12" t="n">
        <v>0.2490483713341333</v>
      </c>
      <c r="D21" s="12" t="n">
        <v>0.435758962298358</v>
      </c>
      <c r="E21" s="12" t="n">
        <v>0.5152737301577084</v>
      </c>
      <c r="F21" s="12" t="n">
        <v>0.6344255651962856</v>
      </c>
      <c r="G21" s="12" t="n">
        <v>0.771026209107625</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0.1856254753399532</v>
      </c>
      <c r="C22" s="12" t="n">
        <v>0.473995374985798</v>
      </c>
      <c r="D22" s="12" t="n">
        <v>0.5594444236410794</v>
      </c>
      <c r="E22" s="12" t="n">
        <v>0.6271151438727247</v>
      </c>
      <c r="F22" s="12" t="n">
        <v>0.6336819890838383</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0.1760240422619086</v>
      </c>
      <c r="C23" s="12" t="n">
        <v>0.351718602475932</v>
      </c>
      <c r="D23" s="12" t="n">
        <v>0.5861072771564724</v>
      </c>
      <c r="E23" s="12" t="n">
        <v>0.6270085039171175</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0.2282660871781729</v>
      </c>
      <c r="C24" s="12" t="n">
        <v>0.5545426670736734</v>
      </c>
      <c r="D24" s="12" t="n">
        <v>0.5875630545827253</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0.1505040602283048</v>
      </c>
      <c r="C25" s="12" t="n">
        <v>0.4914427010516968</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0.2616687396009498</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Reported-to-Ult</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0.9096045197740114</v>
      </c>
      <c r="C3" s="12" t="n">
        <v>0.9736346516007534</v>
      </c>
      <c r="D3" s="12" t="n">
        <v>0.9755178907721281</v>
      </c>
      <c r="E3" s="12" t="n">
        <v>0.9755178907721281</v>
      </c>
      <c r="F3" s="12" t="n">
        <v>0.9755178907721281</v>
      </c>
      <c r="G3" s="12" t="n">
        <v>0.9755178907721281</v>
      </c>
      <c r="H3" s="12" t="n">
        <v>1</v>
      </c>
      <c r="I3" s="12" t="n">
        <v>1</v>
      </c>
      <c r="J3" s="12" t="n">
        <v>1</v>
      </c>
      <c r="K3" s="12" t="n">
        <v>1</v>
      </c>
      <c r="L3" s="12" t="n">
        <v>1</v>
      </c>
      <c r="M3" s="12" t="n">
        <v>1</v>
      </c>
      <c r="N3" s="12" t="n">
        <v>1</v>
      </c>
      <c r="O3" s="12" t="n">
        <v>1</v>
      </c>
      <c r="P3" s="12" t="n">
        <v>1</v>
      </c>
      <c r="Q3" s="12" t="n">
        <v>1</v>
      </c>
      <c r="R3" s="12" t="n">
        <v>1</v>
      </c>
      <c r="S3" s="12" t="n">
        <v>1</v>
      </c>
      <c r="T3" s="12" t="n">
        <v>1</v>
      </c>
      <c r="U3" s="12" t="n">
        <v>1</v>
      </c>
      <c r="V3" s="12" t="n">
        <v>1</v>
      </c>
      <c r="W3" s="12" t="n">
        <v>1</v>
      </c>
      <c r="X3" s="12" t="n">
        <v>1</v>
      </c>
      <c r="Y3" s="12" t="n">
        <v>1</v>
      </c>
    </row>
    <row r="4">
      <c r="A4" s="9" t="n">
        <v>2002</v>
      </c>
      <c r="B4" s="12" t="n">
        <v>0.9412955465587045</v>
      </c>
      <c r="C4" s="12" t="n">
        <v>0.9736842105263159</v>
      </c>
      <c r="D4" s="12" t="n">
        <v>0.9736842105263159</v>
      </c>
      <c r="E4" s="12" t="n">
        <v>0.9736842105263159</v>
      </c>
      <c r="F4" s="12" t="n">
        <v>0.9736842105263159</v>
      </c>
      <c r="G4" s="12" t="n">
        <v>1</v>
      </c>
      <c r="H4" s="12" t="n">
        <v>1</v>
      </c>
      <c r="I4" s="12" t="n">
        <v>1</v>
      </c>
      <c r="J4" s="12" t="n">
        <v>1</v>
      </c>
      <c r="K4" s="12" t="n">
        <v>1</v>
      </c>
      <c r="L4" s="12" t="n">
        <v>1</v>
      </c>
      <c r="M4" s="12" t="n">
        <v>1</v>
      </c>
      <c r="N4" s="12" t="n">
        <v>1</v>
      </c>
      <c r="O4" s="12" t="n">
        <v>1</v>
      </c>
      <c r="P4" s="12" t="n">
        <v>1</v>
      </c>
      <c r="Q4" s="12" t="n">
        <v>1</v>
      </c>
      <c r="R4" s="12" t="n">
        <v>1</v>
      </c>
      <c r="S4" s="12" t="n">
        <v>1</v>
      </c>
      <c r="T4" s="12" t="n">
        <v>1</v>
      </c>
      <c r="U4" s="12" t="n">
        <v>1</v>
      </c>
      <c r="V4" s="12" t="n">
        <v>1</v>
      </c>
      <c r="W4" s="12" t="n">
        <v>1</v>
      </c>
      <c r="X4" s="12" t="n">
        <v>1</v>
      </c>
      <c r="Y4" s="5" t="n"/>
    </row>
    <row r="5">
      <c r="A5" s="9" t="n">
        <v>2003</v>
      </c>
      <c r="B5" s="12" t="n">
        <v>0.9688995215311005</v>
      </c>
      <c r="C5" s="12" t="n">
        <v>1.002392344497608</v>
      </c>
      <c r="D5" s="12" t="n">
        <v>1.002392344497608</v>
      </c>
      <c r="E5" s="12" t="n">
        <v>1.002392344497608</v>
      </c>
      <c r="F5" s="12" t="n">
        <v>0.9976076555023925</v>
      </c>
      <c r="G5" s="12" t="n">
        <v>0.9976076555023925</v>
      </c>
      <c r="H5" s="12" t="n">
        <v>1</v>
      </c>
      <c r="I5" s="12" t="n">
        <v>1</v>
      </c>
      <c r="J5" s="12" t="n">
        <v>1</v>
      </c>
      <c r="K5" s="12" t="n">
        <v>1</v>
      </c>
      <c r="L5" s="12" t="n">
        <v>1</v>
      </c>
      <c r="M5" s="12" t="n">
        <v>1</v>
      </c>
      <c r="N5" s="12" t="n">
        <v>1</v>
      </c>
      <c r="O5" s="12" t="n">
        <v>1</v>
      </c>
      <c r="P5" s="12" t="n">
        <v>1</v>
      </c>
      <c r="Q5" s="12" t="n">
        <v>1</v>
      </c>
      <c r="R5" s="12" t="n">
        <v>1</v>
      </c>
      <c r="S5" s="12" t="n">
        <v>1</v>
      </c>
      <c r="T5" s="12" t="n">
        <v>1</v>
      </c>
      <c r="U5" s="12" t="n">
        <v>1</v>
      </c>
      <c r="V5" s="12" t="n">
        <v>1</v>
      </c>
      <c r="W5" s="12" t="n">
        <v>1</v>
      </c>
      <c r="X5" s="5" t="n"/>
      <c r="Y5" s="5" t="n"/>
    </row>
    <row r="6">
      <c r="A6" s="9" t="n">
        <v>2004</v>
      </c>
      <c r="B6" s="12" t="n">
        <v>0.9383983572895278</v>
      </c>
      <c r="C6" s="12" t="n">
        <v>0.9938398357289527</v>
      </c>
      <c r="D6" s="12" t="n">
        <v>0.9938398357289527</v>
      </c>
      <c r="E6" s="12" t="n">
        <v>0.9979466119096508</v>
      </c>
      <c r="F6" s="12" t="n">
        <v>1</v>
      </c>
      <c r="G6" s="12" t="n">
        <v>1</v>
      </c>
      <c r="H6" s="12" t="n">
        <v>1</v>
      </c>
      <c r="I6" s="12" t="n">
        <v>1</v>
      </c>
      <c r="J6" s="12" t="n">
        <v>1</v>
      </c>
      <c r="K6" s="12" t="n">
        <v>1</v>
      </c>
      <c r="L6" s="12" t="n">
        <v>1</v>
      </c>
      <c r="M6" s="12" t="n">
        <v>1</v>
      </c>
      <c r="N6" s="12" t="n">
        <v>1</v>
      </c>
      <c r="O6" s="12" t="n">
        <v>1</v>
      </c>
      <c r="P6" s="12" t="n">
        <v>1</v>
      </c>
      <c r="Q6" s="12" t="n">
        <v>1</v>
      </c>
      <c r="R6" s="12" t="n">
        <v>1</v>
      </c>
      <c r="S6" s="12" t="n">
        <v>1</v>
      </c>
      <c r="T6" s="12" t="n">
        <v>1</v>
      </c>
      <c r="U6" s="12" t="n">
        <v>1</v>
      </c>
      <c r="V6" s="12" t="n">
        <v>1</v>
      </c>
      <c r="W6" s="5" t="n"/>
      <c r="X6" s="5" t="n"/>
      <c r="Y6" s="5" t="n"/>
    </row>
    <row r="7">
      <c r="A7" s="9" t="n">
        <v>2005</v>
      </c>
      <c r="B7" s="12" t="n">
        <v>0.977366255144033</v>
      </c>
      <c r="C7" s="12" t="n">
        <v>1</v>
      </c>
      <c r="D7" s="12" t="n">
        <v>1.002057613168724</v>
      </c>
      <c r="E7" s="12" t="n">
        <v>1</v>
      </c>
      <c r="F7" s="12" t="n">
        <v>1</v>
      </c>
      <c r="G7" s="12" t="n">
        <v>1</v>
      </c>
      <c r="H7" s="12" t="n">
        <v>1</v>
      </c>
      <c r="I7" s="12" t="n">
        <v>1</v>
      </c>
      <c r="J7" s="12" t="n">
        <v>1</v>
      </c>
      <c r="K7" s="12" t="n">
        <v>1</v>
      </c>
      <c r="L7" s="12" t="n">
        <v>1</v>
      </c>
      <c r="M7" s="12" t="n">
        <v>1</v>
      </c>
      <c r="N7" s="12" t="n">
        <v>1</v>
      </c>
      <c r="O7" s="12" t="n">
        <v>1</v>
      </c>
      <c r="P7" s="12" t="n">
        <v>1</v>
      </c>
      <c r="Q7" s="12" t="n">
        <v>1</v>
      </c>
      <c r="R7" s="12" t="n">
        <v>1</v>
      </c>
      <c r="S7" s="12" t="n">
        <v>1</v>
      </c>
      <c r="T7" s="12" t="n">
        <v>1</v>
      </c>
      <c r="U7" s="12" t="n">
        <v>1</v>
      </c>
      <c r="V7" s="5" t="n"/>
      <c r="W7" s="5" t="n"/>
      <c r="X7" s="5" t="n"/>
      <c r="Y7" s="5" t="n"/>
    </row>
    <row r="8">
      <c r="A8" s="9" t="n">
        <v>2006</v>
      </c>
      <c r="B8" s="12" t="n">
        <v>0.9628647214854112</v>
      </c>
      <c r="C8" s="12" t="n">
        <v>1</v>
      </c>
      <c r="D8" s="12" t="n">
        <v>1</v>
      </c>
      <c r="E8" s="12" t="n">
        <v>1</v>
      </c>
      <c r="F8" s="12" t="n">
        <v>1</v>
      </c>
      <c r="G8" s="12" t="n">
        <v>1</v>
      </c>
      <c r="H8" s="12" t="n">
        <v>1</v>
      </c>
      <c r="I8" s="12" t="n">
        <v>1</v>
      </c>
      <c r="J8" s="12" t="n">
        <v>1</v>
      </c>
      <c r="K8" s="12" t="n">
        <v>1</v>
      </c>
      <c r="L8" s="12" t="n">
        <v>1</v>
      </c>
      <c r="M8" s="12" t="n">
        <v>1</v>
      </c>
      <c r="N8" s="12" t="n">
        <v>1</v>
      </c>
      <c r="O8" s="12" t="n">
        <v>1</v>
      </c>
      <c r="P8" s="12" t="n">
        <v>1</v>
      </c>
      <c r="Q8" s="12" t="n">
        <v>1</v>
      </c>
      <c r="R8" s="12" t="n">
        <v>1</v>
      </c>
      <c r="S8" s="12" t="n">
        <v>1</v>
      </c>
      <c r="T8" s="12" t="n">
        <v>1</v>
      </c>
      <c r="U8" s="5" t="n"/>
      <c r="V8" s="5" t="n"/>
      <c r="W8" s="5" t="n"/>
      <c r="X8" s="5" t="n"/>
      <c r="Y8" s="5" t="n"/>
    </row>
    <row r="9">
      <c r="A9" s="9" t="n">
        <v>2007</v>
      </c>
      <c r="B9" s="12" t="n">
        <v>0.9584487534626039</v>
      </c>
      <c r="C9" s="12" t="n">
        <v>1</v>
      </c>
      <c r="D9" s="12" t="n">
        <v>1</v>
      </c>
      <c r="E9" s="12" t="n">
        <v>1</v>
      </c>
      <c r="F9" s="12" t="n">
        <v>1</v>
      </c>
      <c r="G9" s="12" t="n">
        <v>1</v>
      </c>
      <c r="H9" s="12" t="n">
        <v>1</v>
      </c>
      <c r="I9" s="12" t="n">
        <v>1</v>
      </c>
      <c r="J9" s="12" t="n">
        <v>1</v>
      </c>
      <c r="K9" s="12" t="n">
        <v>1</v>
      </c>
      <c r="L9" s="12" t="n">
        <v>1</v>
      </c>
      <c r="M9" s="12" t="n">
        <v>1</v>
      </c>
      <c r="N9" s="12" t="n">
        <v>1</v>
      </c>
      <c r="O9" s="12" t="n">
        <v>1</v>
      </c>
      <c r="P9" s="12" t="n">
        <v>1</v>
      </c>
      <c r="Q9" s="12" t="n">
        <v>1</v>
      </c>
      <c r="R9" s="12" t="n">
        <v>1</v>
      </c>
      <c r="S9" s="12" t="n">
        <v>1</v>
      </c>
      <c r="T9" s="5" t="n"/>
      <c r="U9" s="5" t="n"/>
      <c r="V9" s="5" t="n"/>
      <c r="W9" s="5" t="n"/>
      <c r="X9" s="5" t="n"/>
      <c r="Y9" s="5" t="n"/>
    </row>
    <row r="10">
      <c r="A10" s="9" t="n">
        <v>2008</v>
      </c>
      <c r="B10" s="12" t="n">
        <v>0.9357429718875503</v>
      </c>
      <c r="C10" s="12" t="n">
        <v>0.9959839357429719</v>
      </c>
      <c r="D10" s="12" t="n">
        <v>1</v>
      </c>
      <c r="E10" s="12" t="n">
        <v>1</v>
      </c>
      <c r="F10" s="12" t="n">
        <v>1</v>
      </c>
      <c r="G10" s="12" t="n">
        <v>1</v>
      </c>
      <c r="H10" s="12" t="n">
        <v>1</v>
      </c>
      <c r="I10" s="12" t="n">
        <v>1</v>
      </c>
      <c r="J10" s="12" t="n">
        <v>1</v>
      </c>
      <c r="K10" s="12" t="n">
        <v>1</v>
      </c>
      <c r="L10" s="12" t="n">
        <v>1</v>
      </c>
      <c r="M10" s="12" t="n">
        <v>1</v>
      </c>
      <c r="N10" s="12" t="n">
        <v>1</v>
      </c>
      <c r="O10" s="12" t="n">
        <v>1</v>
      </c>
      <c r="P10" s="12" t="n">
        <v>1</v>
      </c>
      <c r="Q10" s="12" t="n">
        <v>1</v>
      </c>
      <c r="R10" s="12" t="n">
        <v>1</v>
      </c>
      <c r="S10" s="5" t="n"/>
      <c r="T10" s="5" t="n"/>
      <c r="U10" s="5" t="n"/>
      <c r="V10" s="5" t="n"/>
      <c r="W10" s="5" t="n"/>
      <c r="X10" s="5" t="n"/>
      <c r="Y10" s="5" t="n"/>
    </row>
    <row r="11">
      <c r="A11" s="9" t="n">
        <v>2009</v>
      </c>
      <c r="B11" s="12" t="n">
        <v>0.9508196721311476</v>
      </c>
      <c r="C11" s="12" t="n">
        <v>0.9959016393442623</v>
      </c>
      <c r="D11" s="12" t="n">
        <v>1</v>
      </c>
      <c r="E11" s="12" t="n">
        <v>1</v>
      </c>
      <c r="F11" s="12" t="n">
        <v>1</v>
      </c>
      <c r="G11" s="12" t="n">
        <v>1</v>
      </c>
      <c r="H11" s="12" t="n">
        <v>1</v>
      </c>
      <c r="I11" s="12" t="n">
        <v>1</v>
      </c>
      <c r="J11" s="12" t="n">
        <v>1</v>
      </c>
      <c r="K11" s="12" t="n">
        <v>1</v>
      </c>
      <c r="L11" s="12" t="n">
        <v>1</v>
      </c>
      <c r="M11" s="12" t="n">
        <v>1</v>
      </c>
      <c r="N11" s="12" t="n">
        <v>1</v>
      </c>
      <c r="O11" s="12" t="n">
        <v>1</v>
      </c>
      <c r="P11" s="12" t="n">
        <v>1</v>
      </c>
      <c r="Q11" s="12" t="n">
        <v>1</v>
      </c>
      <c r="R11" s="5" t="n"/>
      <c r="S11" s="5" t="n"/>
      <c r="T11" s="5" t="n"/>
      <c r="U11" s="5" t="n"/>
      <c r="V11" s="5" t="n"/>
      <c r="W11" s="5" t="n"/>
      <c r="X11" s="5" t="n"/>
      <c r="Y11" s="5" t="n"/>
    </row>
    <row r="12">
      <c r="A12" s="9" t="n">
        <v>2010</v>
      </c>
      <c r="B12" s="12" t="n">
        <v>0.9563106796116505</v>
      </c>
      <c r="C12" s="12" t="n">
        <v>1</v>
      </c>
      <c r="D12" s="12" t="n">
        <v>1</v>
      </c>
      <c r="E12" s="12" t="n">
        <v>1</v>
      </c>
      <c r="F12" s="12" t="n">
        <v>1</v>
      </c>
      <c r="G12" s="12" t="n">
        <v>1</v>
      </c>
      <c r="H12" s="12" t="n">
        <v>1</v>
      </c>
      <c r="I12" s="12" t="n">
        <v>1</v>
      </c>
      <c r="J12" s="12" t="n">
        <v>1</v>
      </c>
      <c r="K12" s="12" t="n">
        <v>1</v>
      </c>
      <c r="L12" s="12" t="n">
        <v>1</v>
      </c>
      <c r="M12" s="12" t="n">
        <v>1</v>
      </c>
      <c r="N12" s="12" t="n">
        <v>1</v>
      </c>
      <c r="O12" s="12" t="n">
        <v>1</v>
      </c>
      <c r="P12" s="12" t="n">
        <v>1</v>
      </c>
      <c r="Q12" s="5" t="n"/>
      <c r="R12" s="5" t="n"/>
      <c r="S12" s="5" t="n"/>
      <c r="T12" s="5" t="n"/>
      <c r="U12" s="5" t="n"/>
      <c r="V12" s="5" t="n"/>
      <c r="W12" s="5" t="n"/>
      <c r="X12" s="5" t="n"/>
      <c r="Y12" s="5" t="n"/>
    </row>
    <row r="13">
      <c r="A13" s="9" t="n">
        <v>2011</v>
      </c>
      <c r="B13" s="12" t="n">
        <v>1</v>
      </c>
      <c r="C13" s="12" t="n">
        <v>1</v>
      </c>
      <c r="D13" s="12" t="n">
        <v>1</v>
      </c>
      <c r="E13" s="12" t="n">
        <v>1</v>
      </c>
      <c r="F13" s="12" t="n">
        <v>1</v>
      </c>
      <c r="G13" s="12" t="n">
        <v>1</v>
      </c>
      <c r="H13" s="12" t="n">
        <v>1</v>
      </c>
      <c r="I13" s="12" t="n">
        <v>1</v>
      </c>
      <c r="J13" s="12" t="n">
        <v>1</v>
      </c>
      <c r="K13" s="12" t="n">
        <v>1</v>
      </c>
      <c r="L13" s="12" t="n">
        <v>1</v>
      </c>
      <c r="M13" s="12" t="n">
        <v>1</v>
      </c>
      <c r="N13" s="12" t="n">
        <v>1</v>
      </c>
      <c r="O13" s="12" t="n">
        <v>1</v>
      </c>
      <c r="P13" s="5" t="n"/>
      <c r="Q13" s="5" t="n"/>
      <c r="R13" s="5" t="n"/>
      <c r="S13" s="5" t="n"/>
      <c r="T13" s="5" t="n"/>
      <c r="U13" s="5" t="n"/>
      <c r="V13" s="5" t="n"/>
      <c r="W13" s="5" t="n"/>
      <c r="X13" s="5" t="n"/>
      <c r="Y13" s="5" t="n"/>
    </row>
    <row r="14">
      <c r="A14" s="9" t="n">
        <v>2012</v>
      </c>
      <c r="B14" s="12" t="n">
        <v>0.9393939393939394</v>
      </c>
      <c r="C14" s="12" t="n">
        <v>1</v>
      </c>
      <c r="D14" s="12" t="n">
        <v>1</v>
      </c>
      <c r="E14" s="12" t="n">
        <v>1</v>
      </c>
      <c r="F14" s="12" t="n">
        <v>1</v>
      </c>
      <c r="G14" s="12" t="n">
        <v>1</v>
      </c>
      <c r="H14" s="12" t="n">
        <v>1</v>
      </c>
      <c r="I14" s="12" t="n">
        <v>1</v>
      </c>
      <c r="J14" s="12" t="n">
        <v>1</v>
      </c>
      <c r="K14" s="12" t="n">
        <v>1</v>
      </c>
      <c r="L14" s="12" t="n">
        <v>1</v>
      </c>
      <c r="M14" s="12" t="n">
        <v>1</v>
      </c>
      <c r="N14" s="12" t="n">
        <v>1</v>
      </c>
      <c r="O14" s="5" t="n"/>
      <c r="P14" s="5" t="n"/>
      <c r="Q14" s="5" t="n"/>
      <c r="R14" s="5" t="n"/>
      <c r="S14" s="5" t="n"/>
      <c r="T14" s="5" t="n"/>
      <c r="U14" s="5" t="n"/>
      <c r="V14" s="5" t="n"/>
      <c r="W14" s="5" t="n"/>
      <c r="X14" s="5" t="n"/>
      <c r="Y14" s="5" t="n"/>
    </row>
    <row r="15">
      <c r="A15" s="9" t="n">
        <v>2013</v>
      </c>
      <c r="B15" s="12" t="n">
        <v>0.9683257918552037</v>
      </c>
      <c r="C15" s="12" t="n">
        <v>0.995475113122172</v>
      </c>
      <c r="D15" s="12" t="n">
        <v>0.995475113122172</v>
      </c>
      <c r="E15" s="12" t="n">
        <v>1</v>
      </c>
      <c r="F15" s="12" t="n">
        <v>1</v>
      </c>
      <c r="G15" s="12" t="n">
        <v>1</v>
      </c>
      <c r="H15" s="12" t="n">
        <v>1</v>
      </c>
      <c r="I15" s="12" t="n">
        <v>1</v>
      </c>
      <c r="J15" s="12" t="n">
        <v>1</v>
      </c>
      <c r="K15" s="12" t="n">
        <v>1</v>
      </c>
      <c r="L15" s="12" t="n">
        <v>1</v>
      </c>
      <c r="M15" s="12" t="n">
        <v>1</v>
      </c>
      <c r="N15" s="5" t="n"/>
      <c r="O15" s="5" t="n"/>
      <c r="P15" s="5" t="n"/>
      <c r="Q15" s="5" t="n"/>
      <c r="R15" s="5" t="n"/>
      <c r="S15" s="5" t="n"/>
      <c r="T15" s="5" t="n"/>
      <c r="U15" s="5" t="n"/>
      <c r="V15" s="5" t="n"/>
      <c r="W15" s="5" t="n"/>
      <c r="X15" s="5" t="n"/>
      <c r="Y15" s="5" t="n"/>
    </row>
    <row r="16">
      <c r="A16" s="9" t="n">
        <v>2014</v>
      </c>
      <c r="B16" s="12" t="n">
        <v>0.9536231884057972</v>
      </c>
      <c r="C16" s="12" t="n">
        <v>0.9971014492753624</v>
      </c>
      <c r="D16" s="12" t="n">
        <v>1</v>
      </c>
      <c r="E16" s="12" t="n">
        <v>1</v>
      </c>
      <c r="F16" s="12" t="n">
        <v>1</v>
      </c>
      <c r="G16" s="12" t="n">
        <v>1</v>
      </c>
      <c r="H16" s="12" t="n">
        <v>1</v>
      </c>
      <c r="I16" s="12" t="n">
        <v>1</v>
      </c>
      <c r="J16" s="12" t="n">
        <v>1</v>
      </c>
      <c r="K16" s="12" t="n">
        <v>1</v>
      </c>
      <c r="L16" s="12" t="n">
        <v>1</v>
      </c>
      <c r="M16" s="5" t="n"/>
      <c r="N16" s="5" t="n"/>
      <c r="O16" s="5" t="n"/>
      <c r="P16" s="5" t="n"/>
      <c r="Q16" s="5" t="n"/>
      <c r="R16" s="5" t="n"/>
      <c r="S16" s="5" t="n"/>
      <c r="T16" s="5" t="n"/>
      <c r="U16" s="5" t="n"/>
      <c r="V16" s="5" t="n"/>
      <c r="W16" s="5" t="n"/>
      <c r="X16" s="5" t="n"/>
      <c r="Y16" s="5" t="n"/>
    </row>
    <row r="17">
      <c r="A17" s="9" t="n">
        <v>2015</v>
      </c>
      <c r="B17" s="12" t="n">
        <v>0.9644268774703559</v>
      </c>
      <c r="C17" s="12" t="n">
        <v>0.9960474308300398</v>
      </c>
      <c r="D17" s="12" t="n">
        <v>1.011857707509882</v>
      </c>
      <c r="E17" s="12" t="n">
        <v>1.011857707509882</v>
      </c>
      <c r="F17" s="12" t="n">
        <v>1.011857707509882</v>
      </c>
      <c r="G17" s="12" t="n">
        <v>1.011857707509882</v>
      </c>
      <c r="H17" s="12" t="n">
        <v>1.011857707509882</v>
      </c>
      <c r="I17" s="12" t="n">
        <v>1.011857707509882</v>
      </c>
      <c r="J17" s="12" t="n">
        <v>1.011857707509882</v>
      </c>
      <c r="K17" s="12" t="n">
        <v>1</v>
      </c>
      <c r="L17" s="5" t="n"/>
      <c r="M17" s="5" t="n"/>
      <c r="N17" s="5" t="n"/>
      <c r="O17" s="5" t="n"/>
      <c r="P17" s="5" t="n"/>
      <c r="Q17" s="5" t="n"/>
      <c r="R17" s="5" t="n"/>
      <c r="S17" s="5" t="n"/>
      <c r="T17" s="5" t="n"/>
      <c r="U17" s="5" t="n"/>
      <c r="V17" s="5" t="n"/>
      <c r="W17" s="5" t="n"/>
      <c r="X17" s="5" t="n"/>
      <c r="Y17" s="5" t="n"/>
    </row>
    <row r="18">
      <c r="A18" s="9" t="n">
        <v>2016</v>
      </c>
      <c r="B18" s="12" t="n">
        <v>0.8851351351351352</v>
      </c>
      <c r="C18" s="12" t="n">
        <v>0.9560810810810811</v>
      </c>
      <c r="D18" s="12" t="n">
        <v>1</v>
      </c>
      <c r="E18" s="12" t="n">
        <v>1</v>
      </c>
      <c r="F18" s="12" t="n">
        <v>1</v>
      </c>
      <c r="G18" s="12" t="n">
        <v>1</v>
      </c>
      <c r="H18" s="12" t="n">
        <v>1</v>
      </c>
      <c r="I18" s="12" t="n">
        <v>1</v>
      </c>
      <c r="J18" s="12" t="n">
        <v>1</v>
      </c>
      <c r="K18" s="5" t="n"/>
      <c r="L18" s="5" t="n"/>
      <c r="M18" s="5" t="n"/>
      <c r="N18" s="5" t="n"/>
      <c r="O18" s="5" t="n"/>
      <c r="P18" s="5" t="n"/>
      <c r="Q18" s="5" t="n"/>
      <c r="R18" s="5" t="n"/>
      <c r="S18" s="5" t="n"/>
      <c r="T18" s="5" t="n"/>
      <c r="U18" s="5" t="n"/>
      <c r="V18" s="5" t="n"/>
      <c r="W18" s="5" t="n"/>
      <c r="X18" s="5" t="n"/>
      <c r="Y18" s="5" t="n"/>
    </row>
    <row r="19">
      <c r="A19" s="9" t="n">
        <v>2017</v>
      </c>
      <c r="B19" s="12" t="n">
        <v>0.8893617021276596</v>
      </c>
      <c r="C19" s="12" t="n">
        <v>1</v>
      </c>
      <c r="D19" s="12" t="n">
        <v>1.004255319148936</v>
      </c>
      <c r="E19" s="12" t="n">
        <v>1.008510638297872</v>
      </c>
      <c r="F19" s="12" t="n">
        <v>1.004255319148936</v>
      </c>
      <c r="G19" s="12" t="n">
        <v>1.004255319148936</v>
      </c>
      <c r="H19" s="12" t="n">
        <v>1.004255319148936</v>
      </c>
      <c r="I19" s="12" t="n">
        <v>1</v>
      </c>
      <c r="J19" s="5" t="n"/>
      <c r="K19" s="5" t="n"/>
      <c r="L19" s="5" t="n"/>
      <c r="M19" s="5" t="n"/>
      <c r="N19" s="5" t="n"/>
      <c r="O19" s="5" t="n"/>
      <c r="P19" s="5" t="n"/>
      <c r="Q19" s="5" t="n"/>
      <c r="R19" s="5" t="n"/>
      <c r="S19" s="5" t="n"/>
      <c r="T19" s="5" t="n"/>
      <c r="U19" s="5" t="n"/>
      <c r="V19" s="5" t="n"/>
      <c r="W19" s="5" t="n"/>
      <c r="X19" s="5" t="n"/>
      <c r="Y19" s="5" t="n"/>
    </row>
    <row r="20">
      <c r="A20" s="9" t="n">
        <v>2018</v>
      </c>
      <c r="B20" s="12" t="n">
        <v>0.8866396761133605</v>
      </c>
      <c r="C20" s="12" t="n">
        <v>0.9959514170040487</v>
      </c>
      <c r="D20" s="12" t="n">
        <v>0.9959514170040487</v>
      </c>
      <c r="E20" s="12" t="n">
        <v>0.9959514170040487</v>
      </c>
      <c r="F20" s="12" t="n">
        <v>1</v>
      </c>
      <c r="G20" s="12" t="n">
        <v>1</v>
      </c>
      <c r="H20" s="12" t="n">
        <v>1</v>
      </c>
      <c r="I20" s="5" t="n"/>
      <c r="J20" s="5" t="n"/>
      <c r="K20" s="5" t="n"/>
      <c r="L20" s="5" t="n"/>
      <c r="M20" s="5" t="n"/>
      <c r="N20" s="5" t="n"/>
      <c r="O20" s="5" t="n"/>
      <c r="P20" s="5" t="n"/>
      <c r="Q20" s="5" t="n"/>
      <c r="R20" s="5" t="n"/>
      <c r="S20" s="5" t="n"/>
      <c r="T20" s="5" t="n"/>
      <c r="U20" s="5" t="n"/>
      <c r="V20" s="5" t="n"/>
      <c r="W20" s="5" t="n"/>
      <c r="X20" s="5" t="n"/>
      <c r="Y20" s="5" t="n"/>
    </row>
    <row r="21">
      <c r="A21" s="9" t="n">
        <v>2019</v>
      </c>
      <c r="B21" s="12" t="n">
        <v>0.878228782287823</v>
      </c>
      <c r="C21" s="12" t="n">
        <v>1.003690036900369</v>
      </c>
      <c r="D21" s="12" t="n">
        <v>1.003690036900369</v>
      </c>
      <c r="E21" s="12" t="n">
        <v>1.003690036900369</v>
      </c>
      <c r="F21" s="12" t="n">
        <v>1.003690036900369</v>
      </c>
      <c r="G21" s="12" t="n">
        <v>1</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0.9430604982206406</v>
      </c>
      <c r="C22" s="12" t="n">
        <v>1</v>
      </c>
      <c r="D22" s="12" t="n">
        <v>1</v>
      </c>
      <c r="E22" s="12" t="n">
        <v>1</v>
      </c>
      <c r="F22" s="12" t="n">
        <v>1</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0.8760000000000001</v>
      </c>
      <c r="C23" s="12" t="n">
        <v>1</v>
      </c>
      <c r="D23" s="12" t="n">
        <v>1</v>
      </c>
      <c r="E23" s="12" t="n">
        <v>1</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0.8761061946902655</v>
      </c>
      <c r="C24" s="12" t="n">
        <v>1</v>
      </c>
      <c r="D24" s="12" t="n">
        <v>1</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0.8961038961038962</v>
      </c>
      <c r="C25" s="12" t="n">
        <v>1</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0.8925383447961842</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IBNR</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2664779.3308</v>
      </c>
      <c r="C3" s="12" t="n">
        <v>1677706.6544</v>
      </c>
      <c r="D3" s="12" t="n">
        <v>1329823.1456</v>
      </c>
      <c r="E3" s="12" t="n">
        <v>1138669.8484</v>
      </c>
      <c r="F3" s="12" t="n">
        <v>981442.1475999998</v>
      </c>
      <c r="G3" s="12" t="n">
        <v>829122.8441559998</v>
      </c>
      <c r="H3" s="12" t="n">
        <v>834777.4357239995</v>
      </c>
      <c r="I3" s="12" t="n">
        <v>812420.0731359995</v>
      </c>
      <c r="J3" s="12" t="n">
        <v>794803.4131359998</v>
      </c>
      <c r="K3" s="12" t="n">
        <v>774276.520492</v>
      </c>
      <c r="L3" s="12" t="n">
        <v>721574.6260039997</v>
      </c>
      <c r="M3" s="12" t="n">
        <v>669349.4897999996</v>
      </c>
      <c r="N3" s="12" t="n">
        <v>672119.9899999998</v>
      </c>
      <c r="O3" s="12" t="n">
        <v>613568.374692</v>
      </c>
      <c r="P3" s="12" t="n">
        <v>568943.1051999996</v>
      </c>
      <c r="Q3" s="12" t="n">
        <v>427334.1899999999</v>
      </c>
      <c r="R3" s="12" t="n">
        <v>361073.1151999999</v>
      </c>
      <c r="S3" s="12" t="n">
        <v>272311.8311119992</v>
      </c>
      <c r="T3" s="12" t="n">
        <v>219114.6115679997</v>
      </c>
      <c r="U3" s="12" t="n">
        <v>219114.6115679997</v>
      </c>
      <c r="V3" s="12" t="n">
        <v>148516.0115680001</v>
      </c>
      <c r="W3" s="12" t="n">
        <v>105629.0115680001</v>
      </c>
      <c r="X3" s="12" t="n">
        <v>105629.0115680001</v>
      </c>
      <c r="Y3" s="12" t="n">
        <v>68337.30031199986</v>
      </c>
    </row>
    <row r="4">
      <c r="A4" s="9" t="n">
        <v>2002</v>
      </c>
      <c r="B4" s="12" t="n">
        <v>1478472.5284</v>
      </c>
      <c r="C4" s="12" t="n">
        <v>1079103.506</v>
      </c>
      <c r="D4" s="12" t="n">
        <v>1063488.6792</v>
      </c>
      <c r="E4" s="12" t="n">
        <v>802066.6819999998</v>
      </c>
      <c r="F4" s="12" t="n">
        <v>780915.0115399999</v>
      </c>
      <c r="G4" s="12" t="n">
        <v>679017.5977039998</v>
      </c>
      <c r="H4" s="12" t="n">
        <v>646209.728896</v>
      </c>
      <c r="I4" s="12" t="n">
        <v>645844.2656759999</v>
      </c>
      <c r="J4" s="12" t="n">
        <v>607271.4603479998</v>
      </c>
      <c r="K4" s="12" t="n">
        <v>589934.8854479997</v>
      </c>
      <c r="L4" s="12" t="n">
        <v>571308.7974279998</v>
      </c>
      <c r="M4" s="12" t="n">
        <v>509069.2959999999</v>
      </c>
      <c r="N4" s="12" t="n">
        <v>506553.3994239997</v>
      </c>
      <c r="O4" s="12" t="n">
        <v>430363.0735999998</v>
      </c>
      <c r="P4" s="12" t="n">
        <v>378271.8635999998</v>
      </c>
      <c r="Q4" s="12" t="n">
        <v>348426.4703999998</v>
      </c>
      <c r="R4" s="12" t="n">
        <v>239566.2399479998</v>
      </c>
      <c r="S4" s="12" t="n">
        <v>237105.2519279998</v>
      </c>
      <c r="T4" s="12" t="n">
        <v>237105.2519279998</v>
      </c>
      <c r="U4" s="12" t="n">
        <v>145218.2313199998</v>
      </c>
      <c r="V4" s="12" t="n">
        <v>159254.3546599997</v>
      </c>
      <c r="W4" s="12" t="n">
        <v>78577.24368000077</v>
      </c>
      <c r="X4" s="12" t="n">
        <v>78577.24368000077</v>
      </c>
      <c r="Y4" s="5" t="n"/>
    </row>
    <row r="5">
      <c r="A5" s="9" t="n">
        <v>2003</v>
      </c>
      <c r="B5" s="12" t="n">
        <v>828751.6403999999</v>
      </c>
      <c r="C5" s="12" t="n">
        <v>379421.2423999999</v>
      </c>
      <c r="D5" s="12" t="n">
        <v>259184.5687999998</v>
      </c>
      <c r="E5" s="12" t="n">
        <v>-38816.1729720002</v>
      </c>
      <c r="F5" s="12" t="n">
        <v>134481.9597239997</v>
      </c>
      <c r="G5" s="12" t="n">
        <v>18890.64761199988</v>
      </c>
      <c r="H5" s="12" t="n">
        <v>23919.4980560001</v>
      </c>
      <c r="I5" s="12" t="n">
        <v>37614.58397200005</v>
      </c>
      <c r="J5" s="12" t="n">
        <v>40975.07733199978</v>
      </c>
      <c r="K5" s="12" t="n">
        <v>37030.13313199976</v>
      </c>
      <c r="L5" s="12" t="n">
        <v>40792.08839999977</v>
      </c>
      <c r="M5" s="12" t="n">
        <v>54695.77668399992</v>
      </c>
      <c r="N5" s="12" t="n">
        <v>63784.79879999976</v>
      </c>
      <c r="O5" s="12" t="n">
        <v>63784.89117199997</v>
      </c>
      <c r="P5" s="12" t="n">
        <v>63784.89117199997</v>
      </c>
      <c r="Q5" s="12" t="n">
        <v>63784.89117199997</v>
      </c>
      <c r="R5" s="12" t="n">
        <v>60023.42415600084</v>
      </c>
      <c r="S5" s="12" t="n">
        <v>60023.4241560006</v>
      </c>
      <c r="T5" s="12" t="n">
        <v>60023.4241560006</v>
      </c>
      <c r="U5" s="12" t="n">
        <v>60023.4241560006</v>
      </c>
      <c r="V5" s="12" t="n">
        <v>60023.4241560006</v>
      </c>
      <c r="W5" s="12" t="n">
        <v>60023.4241560006</v>
      </c>
      <c r="X5" s="5" t="n"/>
      <c r="Y5" s="5" t="n"/>
    </row>
    <row r="6">
      <c r="A6" s="9" t="n">
        <v>2004</v>
      </c>
      <c r="B6" s="12" t="n">
        <v>473713.7843999999</v>
      </c>
      <c r="C6" s="12" t="n">
        <v>373622.1244</v>
      </c>
      <c r="D6" s="12" t="n">
        <v>289557.2703200014</v>
      </c>
      <c r="E6" s="12" t="n">
        <v>247333.8971599999</v>
      </c>
      <c r="F6" s="12" t="n">
        <v>125560.02152</v>
      </c>
      <c r="G6" s="12" t="n">
        <v>119703.531152</v>
      </c>
      <c r="H6" s="12" t="n">
        <v>100121.9867519999</v>
      </c>
      <c r="I6" s="12" t="n">
        <v>91818.93159199995</v>
      </c>
      <c r="J6" s="12" t="n">
        <v>65955.06190399989</v>
      </c>
      <c r="K6" s="12" t="n">
        <v>75903.20959999994</v>
      </c>
      <c r="L6" s="12" t="n">
        <v>50405.97757599992</v>
      </c>
      <c r="M6" s="12" t="n">
        <v>63178.3067999999</v>
      </c>
      <c r="N6" s="12" t="n">
        <v>62728.32319999998</v>
      </c>
      <c r="O6" s="12" t="n">
        <v>62403.7015999998</v>
      </c>
      <c r="P6" s="12" t="n">
        <v>62404.32181199989</v>
      </c>
      <c r="Q6" s="12" t="n">
        <v>58122.91919999965</v>
      </c>
      <c r="R6" s="12" t="n">
        <v>58122.91919999965</v>
      </c>
      <c r="S6" s="12" t="n">
        <v>58122.91919999965</v>
      </c>
      <c r="T6" s="12" t="n">
        <v>58122.91919999965</v>
      </c>
      <c r="U6" s="12" t="n">
        <v>58089.26939999964</v>
      </c>
      <c r="V6" s="12" t="n">
        <v>58089.26939999964</v>
      </c>
      <c r="W6" s="5" t="n"/>
      <c r="X6" s="5" t="n"/>
      <c r="Y6" s="5" t="n"/>
    </row>
    <row r="7">
      <c r="A7" s="9" t="n">
        <v>2005</v>
      </c>
      <c r="B7" s="12" t="n">
        <v>1124747.4492</v>
      </c>
      <c r="C7" s="12" t="n">
        <v>746217.048552</v>
      </c>
      <c r="D7" s="12" t="n">
        <v>595030.9384119997</v>
      </c>
      <c r="E7" s="12" t="n">
        <v>638657.4026639999</v>
      </c>
      <c r="F7" s="12" t="n">
        <v>574154.8532159999</v>
      </c>
      <c r="G7" s="12" t="n">
        <v>544760.565276</v>
      </c>
      <c r="H7" s="12" t="n">
        <v>507525.2009399997</v>
      </c>
      <c r="I7" s="12" t="n">
        <v>496980.4752799999</v>
      </c>
      <c r="J7" s="12" t="n">
        <v>472733.0891999998</v>
      </c>
      <c r="K7" s="12" t="n">
        <v>420812.0152279998</v>
      </c>
      <c r="L7" s="12" t="n">
        <v>397914.4083999998</v>
      </c>
      <c r="M7" s="12" t="n">
        <v>161901.3092</v>
      </c>
      <c r="N7" s="12" t="n">
        <v>161889.4327999996</v>
      </c>
      <c r="O7" s="12" t="n">
        <v>202690.0528279999</v>
      </c>
      <c r="P7" s="12" t="n">
        <v>181072.2600600002</v>
      </c>
      <c r="Q7" s="12" t="n">
        <v>165733.5463640001</v>
      </c>
      <c r="R7" s="12" t="n">
        <v>132289.8678839998</v>
      </c>
      <c r="S7" s="12" t="n">
        <v>132289.8678839998</v>
      </c>
      <c r="T7" s="12" t="n">
        <v>132289.8678839998</v>
      </c>
      <c r="U7" s="12" t="n">
        <v>132289.8678839998</v>
      </c>
      <c r="V7" s="5" t="n"/>
      <c r="W7" s="5" t="n"/>
      <c r="X7" s="5" t="n"/>
      <c r="Y7" s="5" t="n"/>
    </row>
    <row r="8">
      <c r="A8" s="9" t="n">
        <v>2006</v>
      </c>
      <c r="B8" s="12" t="n">
        <v>855497.6647280001</v>
      </c>
      <c r="C8" s="12" t="n">
        <v>463383.0509559999</v>
      </c>
      <c r="D8" s="12" t="n">
        <v>614845.9076079999</v>
      </c>
      <c r="E8" s="12" t="n">
        <v>544946.7483919999</v>
      </c>
      <c r="F8" s="12" t="n">
        <v>535242.4891679999</v>
      </c>
      <c r="G8" s="12" t="n">
        <v>480449.75446</v>
      </c>
      <c r="H8" s="12" t="n">
        <v>430166.8979079998</v>
      </c>
      <c r="I8" s="12" t="n">
        <v>452104.9443999999</v>
      </c>
      <c r="J8" s="12" t="n">
        <v>421643.7862519999</v>
      </c>
      <c r="K8" s="12" t="n">
        <v>377117.3547999999</v>
      </c>
      <c r="L8" s="12" t="n">
        <v>273631.6835999999</v>
      </c>
      <c r="M8" s="12" t="n">
        <v>192605.6043999998</v>
      </c>
      <c r="N8" s="12" t="n">
        <v>153288.6634359998</v>
      </c>
      <c r="O8" s="12" t="n">
        <v>137478.8261479994</v>
      </c>
      <c r="P8" s="12" t="n">
        <v>136621.0861479994</v>
      </c>
      <c r="Q8" s="12" t="n">
        <v>119466.2861479993</v>
      </c>
      <c r="R8" s="12" t="n">
        <v>114847.6861479995</v>
      </c>
      <c r="S8" s="12" t="n">
        <v>103846.2073399995</v>
      </c>
      <c r="T8" s="12" t="n">
        <v>103846.2073399995</v>
      </c>
      <c r="U8" s="5" t="n"/>
      <c r="V8" s="5" t="n"/>
      <c r="W8" s="5" t="n"/>
      <c r="X8" s="5" t="n"/>
      <c r="Y8" s="5" t="n"/>
    </row>
    <row r="9">
      <c r="A9" s="9" t="n">
        <v>2007</v>
      </c>
      <c r="B9" s="12" t="n">
        <v>3415302.118916</v>
      </c>
      <c r="C9" s="12" t="n">
        <v>3262196.43944</v>
      </c>
      <c r="D9" s="12" t="n">
        <v>3094852.22318</v>
      </c>
      <c r="E9" s="12" t="n">
        <v>2848530.158056</v>
      </c>
      <c r="F9" s="12" t="n">
        <v>2585767.539628</v>
      </c>
      <c r="G9" s="12" t="n">
        <v>2090885.222624</v>
      </c>
      <c r="H9" s="12" t="n">
        <v>1896924.5556</v>
      </c>
      <c r="I9" s="12" t="n">
        <v>1541736.915644</v>
      </c>
      <c r="J9" s="12" t="n">
        <v>1283966.3968</v>
      </c>
      <c r="K9" s="12" t="n">
        <v>892058.3927999996</v>
      </c>
      <c r="L9" s="12" t="n">
        <v>761718.8615999995</v>
      </c>
      <c r="M9" s="12" t="n">
        <v>635221.385387999</v>
      </c>
      <c r="N9" s="12" t="n">
        <v>562628.8433960006</v>
      </c>
      <c r="O9" s="12" t="n">
        <v>558358.9476960003</v>
      </c>
      <c r="P9" s="12" t="n">
        <v>358490.2995119998</v>
      </c>
      <c r="Q9" s="12" t="n">
        <v>358490.2995119998</v>
      </c>
      <c r="R9" s="12" t="n">
        <v>341315.6527280007</v>
      </c>
      <c r="S9" s="12" t="n">
        <v>329184.3851840002</v>
      </c>
      <c r="T9" s="5" t="n"/>
      <c r="U9" s="5" t="n"/>
      <c r="V9" s="5" t="n"/>
      <c r="W9" s="5" t="n"/>
      <c r="X9" s="5" t="n"/>
      <c r="Y9" s="5" t="n"/>
    </row>
    <row r="10">
      <c r="A10" s="9" t="n">
        <v>2008</v>
      </c>
      <c r="B10" s="12" t="n">
        <v>919342.112488</v>
      </c>
      <c r="C10" s="12" t="n">
        <v>704779.955832</v>
      </c>
      <c r="D10" s="12" t="n">
        <v>542529.1316519999</v>
      </c>
      <c r="E10" s="12" t="n">
        <v>177688.2218159998</v>
      </c>
      <c r="F10" s="12" t="n">
        <v>217575.8897799999</v>
      </c>
      <c r="G10" s="12" t="n">
        <v>196379.7487999999</v>
      </c>
      <c r="H10" s="12" t="n">
        <v>189451.0834319999</v>
      </c>
      <c r="I10" s="12" t="n">
        <v>172521.3807999999</v>
      </c>
      <c r="J10" s="12" t="n">
        <v>165073.5584</v>
      </c>
      <c r="K10" s="12" t="n">
        <v>119635.7715999999</v>
      </c>
      <c r="L10" s="12" t="n">
        <v>112962.9766719998</v>
      </c>
      <c r="M10" s="12" t="n">
        <v>112737.9848720017</v>
      </c>
      <c r="N10" s="12" t="n">
        <v>132585.7585720017</v>
      </c>
      <c r="O10" s="12" t="n">
        <v>132255.8585720016</v>
      </c>
      <c r="P10" s="12" t="n">
        <v>132255.8585720016</v>
      </c>
      <c r="Q10" s="12" t="n">
        <v>125657.8585720016</v>
      </c>
      <c r="R10" s="12" t="n">
        <v>97267.06045200163</v>
      </c>
      <c r="S10" s="5" t="n"/>
      <c r="T10" s="5" t="n"/>
      <c r="U10" s="5" t="n"/>
      <c r="V10" s="5" t="n"/>
      <c r="W10" s="5" t="n"/>
      <c r="X10" s="5" t="n"/>
      <c r="Y10" s="5" t="n"/>
    </row>
    <row r="11">
      <c r="A11" s="9" t="n">
        <v>2009</v>
      </c>
      <c r="B11" s="12" t="n">
        <v>904146.607828</v>
      </c>
      <c r="C11" s="12" t="n">
        <v>389089.5466359999</v>
      </c>
      <c r="D11" s="12" t="n">
        <v>439386.9583760001</v>
      </c>
      <c r="E11" s="12" t="n">
        <v>418873.076988</v>
      </c>
      <c r="F11" s="12" t="n">
        <v>362865.9143999999</v>
      </c>
      <c r="G11" s="12" t="n">
        <v>316737.369784</v>
      </c>
      <c r="H11" s="12" t="n">
        <v>282354.4791999999</v>
      </c>
      <c r="I11" s="12" t="n">
        <v>141273.4039999999</v>
      </c>
      <c r="J11" s="12" t="n">
        <v>141266.8059999999</v>
      </c>
      <c r="K11" s="12" t="n">
        <v>141265.1037159998</v>
      </c>
      <c r="L11" s="12" t="n">
        <v>141265.1037159995</v>
      </c>
      <c r="M11" s="12" t="n">
        <v>126089.7037159996</v>
      </c>
      <c r="N11" s="12" t="n">
        <v>92045.91074399953</v>
      </c>
      <c r="O11" s="12" t="n">
        <v>92045.91074399953</v>
      </c>
      <c r="P11" s="12" t="n">
        <v>92045.91074399953</v>
      </c>
      <c r="Q11" s="12" t="n">
        <v>92045.91074399953</v>
      </c>
      <c r="R11" s="5" t="n"/>
      <c r="S11" s="5" t="n"/>
      <c r="T11" s="5" t="n"/>
      <c r="U11" s="5" t="n"/>
      <c r="V11" s="5" t="n"/>
      <c r="W11" s="5" t="n"/>
      <c r="X11" s="5" t="n"/>
      <c r="Y11" s="5" t="n"/>
    </row>
    <row r="12">
      <c r="A12" s="9" t="n">
        <v>2010</v>
      </c>
      <c r="B12" s="12" t="n">
        <v>1023155.560004</v>
      </c>
      <c r="C12" s="12" t="n">
        <v>652595.635728</v>
      </c>
      <c r="D12" s="12" t="n">
        <v>431863.9004079999</v>
      </c>
      <c r="E12" s="12" t="n">
        <v>277848.1324</v>
      </c>
      <c r="F12" s="12" t="n">
        <v>147000.264888</v>
      </c>
      <c r="G12" s="12" t="n">
        <v>160286.2879999999</v>
      </c>
      <c r="H12" s="12" t="n">
        <v>111818.6995999999</v>
      </c>
      <c r="I12" s="12" t="n">
        <v>110322.2731999999</v>
      </c>
      <c r="J12" s="12" t="n">
        <v>116363.943036</v>
      </c>
      <c r="K12" s="12" t="n">
        <v>115564.4633759996</v>
      </c>
      <c r="L12" s="12" t="n">
        <v>114569.4849759995</v>
      </c>
      <c r="M12" s="12" t="n">
        <v>114495.5873759994</v>
      </c>
      <c r="N12" s="12" t="n">
        <v>112846.0873759994</v>
      </c>
      <c r="O12" s="12" t="n">
        <v>113116.7373359995</v>
      </c>
      <c r="P12" s="12" t="n">
        <v>105513.9279159994</v>
      </c>
      <c r="Q12" s="5" t="n"/>
      <c r="R12" s="5" t="n"/>
      <c r="S12" s="5" t="n"/>
      <c r="T12" s="5" t="n"/>
      <c r="U12" s="5" t="n"/>
      <c r="V12" s="5" t="n"/>
      <c r="W12" s="5" t="n"/>
      <c r="X12" s="5" t="n"/>
      <c r="Y12" s="5" t="n"/>
    </row>
    <row r="13">
      <c r="A13" s="9" t="n">
        <v>2011</v>
      </c>
      <c r="B13" s="12" t="n">
        <v>1664037.665408</v>
      </c>
      <c r="C13" s="12" t="n">
        <v>1231165.239432</v>
      </c>
      <c r="D13" s="12" t="n">
        <v>810067.1291999999</v>
      </c>
      <c r="E13" s="12" t="n">
        <v>607731.0269559999</v>
      </c>
      <c r="F13" s="12" t="n">
        <v>506545.9331999999</v>
      </c>
      <c r="G13" s="12" t="n">
        <v>377580.1055999999</v>
      </c>
      <c r="H13" s="12" t="n">
        <v>281382.5851999999</v>
      </c>
      <c r="I13" s="12" t="n">
        <v>281267.3049439997</v>
      </c>
      <c r="J13" s="12" t="n">
        <v>255941.5417440003</v>
      </c>
      <c r="K13" s="12" t="n">
        <v>248794.5881440004</v>
      </c>
      <c r="L13" s="12" t="n">
        <v>196099.0673240002</v>
      </c>
      <c r="M13" s="12" t="n">
        <v>202003.4195840003</v>
      </c>
      <c r="N13" s="12" t="n">
        <v>202003.4195840003</v>
      </c>
      <c r="O13" s="12" t="n">
        <v>202003.4195840003</v>
      </c>
      <c r="P13" s="5" t="n"/>
      <c r="Q13" s="5" t="n"/>
      <c r="R13" s="5" t="n"/>
      <c r="S13" s="5" t="n"/>
      <c r="T13" s="5" t="n"/>
      <c r="U13" s="5" t="n"/>
      <c r="V13" s="5" t="n"/>
      <c r="W13" s="5" t="n"/>
      <c r="X13" s="5" t="n"/>
      <c r="Y13" s="5" t="n"/>
    </row>
    <row r="14">
      <c r="A14" s="9" t="n">
        <v>2012</v>
      </c>
      <c r="B14" s="12" t="n">
        <v>1172243.895624</v>
      </c>
      <c r="C14" s="12" t="n">
        <v>825640.478</v>
      </c>
      <c r="D14" s="12" t="n">
        <v>616120.051084</v>
      </c>
      <c r="E14" s="12" t="n">
        <v>538731.7263999999</v>
      </c>
      <c r="F14" s="12" t="n">
        <v>541761.5279999999</v>
      </c>
      <c r="G14" s="12" t="n">
        <v>533297.6135999999</v>
      </c>
      <c r="H14" s="12" t="n">
        <v>529392.336576</v>
      </c>
      <c r="I14" s="12" t="n">
        <v>478934.7913760012</v>
      </c>
      <c r="J14" s="12" t="n">
        <v>421432.4032240012</v>
      </c>
      <c r="K14" s="12" t="n">
        <v>359981.6267160012</v>
      </c>
      <c r="L14" s="12" t="n">
        <v>351404.2267160011</v>
      </c>
      <c r="M14" s="12" t="n">
        <v>144377.619468001</v>
      </c>
      <c r="N14" s="12" t="n">
        <v>144377.619468001</v>
      </c>
      <c r="O14" s="5" t="n"/>
      <c r="P14" s="5" t="n"/>
      <c r="Q14" s="5" t="n"/>
      <c r="R14" s="5" t="n"/>
      <c r="S14" s="5" t="n"/>
      <c r="T14" s="5" t="n"/>
      <c r="U14" s="5" t="n"/>
      <c r="V14" s="5" t="n"/>
      <c r="W14" s="5" t="n"/>
      <c r="X14" s="5" t="n"/>
      <c r="Y14" s="5" t="n"/>
    </row>
    <row r="15">
      <c r="A15" s="9" t="n">
        <v>2013</v>
      </c>
      <c r="B15" s="12" t="n">
        <v>506167.2804</v>
      </c>
      <c r="C15" s="12" t="n">
        <v>275607.850472</v>
      </c>
      <c r="D15" s="12" t="n">
        <v>231142.8463999999</v>
      </c>
      <c r="E15" s="12" t="n">
        <v>117215.1804</v>
      </c>
      <c r="F15" s="12" t="n">
        <v>76617.68639999989</v>
      </c>
      <c r="G15" s="12" t="n">
        <v>78459.35974799993</v>
      </c>
      <c r="H15" s="12" t="n">
        <v>78110.87978000019</v>
      </c>
      <c r="I15" s="12" t="n">
        <v>78110.87977999996</v>
      </c>
      <c r="J15" s="12" t="n">
        <v>76745.22574000014</v>
      </c>
      <c r="K15" s="12" t="n">
        <v>76745.22574000014</v>
      </c>
      <c r="L15" s="12" t="n">
        <v>76734.0091400001</v>
      </c>
      <c r="M15" s="12" t="n">
        <v>76734.0091400001</v>
      </c>
      <c r="N15" s="5" t="n"/>
      <c r="O15" s="5" t="n"/>
      <c r="P15" s="5" t="n"/>
      <c r="Q15" s="5" t="n"/>
      <c r="R15" s="5" t="n"/>
      <c r="S15" s="5" t="n"/>
      <c r="T15" s="5" t="n"/>
      <c r="U15" s="5" t="n"/>
      <c r="V15" s="5" t="n"/>
      <c r="W15" s="5" t="n"/>
      <c r="X15" s="5" t="n"/>
      <c r="Y15" s="5" t="n"/>
    </row>
    <row r="16">
      <c r="A16" s="9" t="n">
        <v>2014</v>
      </c>
      <c r="B16" s="12" t="n">
        <v>1014548.102516</v>
      </c>
      <c r="C16" s="12" t="n">
        <v>802327.774</v>
      </c>
      <c r="D16" s="12" t="n">
        <v>476513.2555999998</v>
      </c>
      <c r="E16" s="12" t="n">
        <v>301885.3091999998</v>
      </c>
      <c r="F16" s="12" t="n">
        <v>283412.0572519999</v>
      </c>
      <c r="G16" s="12" t="n">
        <v>238250.0668519998</v>
      </c>
      <c r="H16" s="12" t="n">
        <v>277066.9058079999</v>
      </c>
      <c r="I16" s="12" t="n">
        <v>277066.9058079999</v>
      </c>
      <c r="J16" s="12" t="n">
        <v>222963.3058079998</v>
      </c>
      <c r="K16" s="12" t="n">
        <v>194679.9759120001</v>
      </c>
      <c r="L16" s="12" t="n">
        <v>204398.3152679999</v>
      </c>
      <c r="M16" s="5" t="n"/>
      <c r="N16" s="5" t="n"/>
      <c r="O16" s="5" t="n"/>
      <c r="P16" s="5" t="n"/>
      <c r="Q16" s="5" t="n"/>
      <c r="R16" s="5" t="n"/>
      <c r="S16" s="5" t="n"/>
      <c r="T16" s="5" t="n"/>
      <c r="U16" s="5" t="n"/>
      <c r="V16" s="5" t="n"/>
      <c r="W16" s="5" t="n"/>
      <c r="X16" s="5" t="n"/>
      <c r="Y16" s="5" t="n"/>
    </row>
    <row r="17">
      <c r="A17" s="9" t="n">
        <v>2015</v>
      </c>
      <c r="B17" s="12" t="n">
        <v>3374321.1</v>
      </c>
      <c r="C17" s="12" t="n">
        <v>2843944.8288</v>
      </c>
      <c r="D17" s="12" t="n">
        <v>2306785.8136</v>
      </c>
      <c r="E17" s="12" t="n">
        <v>1779364.760208</v>
      </c>
      <c r="F17" s="12" t="n">
        <v>1553423.442027999</v>
      </c>
      <c r="G17" s="12" t="n">
        <v>1232117.864867999</v>
      </c>
      <c r="H17" s="12" t="n">
        <v>857054.5944559984</v>
      </c>
      <c r="I17" s="12" t="n">
        <v>836336.8744559982</v>
      </c>
      <c r="J17" s="12" t="n">
        <v>826182.8295719982</v>
      </c>
      <c r="K17" s="12" t="n">
        <v>529424.7419239986</v>
      </c>
      <c r="L17" s="5" t="n"/>
      <c r="M17" s="5" t="n"/>
      <c r="N17" s="5" t="n"/>
      <c r="O17" s="5" t="n"/>
      <c r="P17" s="5" t="n"/>
      <c r="Q17" s="5" t="n"/>
      <c r="R17" s="5" t="n"/>
      <c r="S17" s="5" t="n"/>
      <c r="T17" s="5" t="n"/>
      <c r="U17" s="5" t="n"/>
      <c r="V17" s="5" t="n"/>
      <c r="W17" s="5" t="n"/>
      <c r="X17" s="5" t="n"/>
      <c r="Y17" s="5" t="n"/>
    </row>
    <row r="18">
      <c r="A18" s="9" t="n">
        <v>2016</v>
      </c>
      <c r="B18" s="12" t="n">
        <v>2351334.088</v>
      </c>
      <c r="C18" s="12" t="n">
        <v>1753175.2432</v>
      </c>
      <c r="D18" s="12" t="n">
        <v>1305666.011964</v>
      </c>
      <c r="E18" s="12" t="n">
        <v>1154868.378868</v>
      </c>
      <c r="F18" s="12" t="n">
        <v>886720.037372001</v>
      </c>
      <c r="G18" s="12" t="n">
        <v>818718.5157400011</v>
      </c>
      <c r="H18" s="12" t="n">
        <v>535515.5308400011</v>
      </c>
      <c r="I18" s="12" t="n">
        <v>536111.3566320012</v>
      </c>
      <c r="J18" s="12" t="n">
        <v>532812.3566320012</v>
      </c>
      <c r="K18" s="5" t="n"/>
      <c r="L18" s="5" t="n"/>
      <c r="M18" s="5" t="n"/>
      <c r="N18" s="5" t="n"/>
      <c r="O18" s="5" t="n"/>
      <c r="P18" s="5" t="n"/>
      <c r="Q18" s="5" t="n"/>
      <c r="R18" s="5" t="n"/>
      <c r="S18" s="5" t="n"/>
      <c r="T18" s="5" t="n"/>
      <c r="U18" s="5" t="n"/>
      <c r="V18" s="5" t="n"/>
      <c r="W18" s="5" t="n"/>
      <c r="X18" s="5" t="n"/>
      <c r="Y18" s="5" t="n"/>
    </row>
    <row r="19">
      <c r="A19" s="9" t="n">
        <v>2017</v>
      </c>
      <c r="B19" s="12" t="n">
        <v>1022173.1184</v>
      </c>
      <c r="C19" s="12" t="n">
        <v>868627.3127359999</v>
      </c>
      <c r="D19" s="12" t="n">
        <v>847500.7938519996</v>
      </c>
      <c r="E19" s="12" t="n">
        <v>650729.7879039994</v>
      </c>
      <c r="F19" s="12" t="n">
        <v>588210.5180799995</v>
      </c>
      <c r="G19" s="12" t="n">
        <v>469391.7018959996</v>
      </c>
      <c r="H19" s="12" t="n">
        <v>314547.1063239996</v>
      </c>
      <c r="I19" s="12" t="n">
        <v>277688.1710839996</v>
      </c>
      <c r="J19" s="5" t="n"/>
      <c r="K19" s="5" t="n"/>
      <c r="L19" s="5" t="n"/>
      <c r="M19" s="5" t="n"/>
      <c r="N19" s="5" t="n"/>
      <c r="O19" s="5" t="n"/>
      <c r="P19" s="5" t="n"/>
      <c r="Q19" s="5" t="n"/>
      <c r="R19" s="5" t="n"/>
      <c r="S19" s="5" t="n"/>
      <c r="T19" s="5" t="n"/>
      <c r="U19" s="5" t="n"/>
      <c r="V19" s="5" t="n"/>
      <c r="W19" s="5" t="n"/>
      <c r="X19" s="5" t="n"/>
      <c r="Y19" s="5" t="n"/>
    </row>
    <row r="20">
      <c r="A20" s="9" t="n">
        <v>2018</v>
      </c>
      <c r="B20" s="12" t="n">
        <v>2458271.179552</v>
      </c>
      <c r="C20" s="12" t="n">
        <v>1798187.082868</v>
      </c>
      <c r="D20" s="12" t="n">
        <v>1297396.797900001</v>
      </c>
      <c r="E20" s="12" t="n">
        <v>649435.364967999</v>
      </c>
      <c r="F20" s="12" t="n">
        <v>662736.8933799993</v>
      </c>
      <c r="G20" s="12" t="n">
        <v>632579.6523079993</v>
      </c>
      <c r="H20" s="12" t="n">
        <v>570806.5766959991</v>
      </c>
      <c r="I20" s="5" t="n"/>
      <c r="J20" s="5" t="n"/>
      <c r="K20" s="5" t="n"/>
      <c r="L20" s="5" t="n"/>
      <c r="M20" s="5" t="n"/>
      <c r="N20" s="5" t="n"/>
      <c r="O20" s="5" t="n"/>
      <c r="P20" s="5" t="n"/>
      <c r="Q20" s="5" t="n"/>
      <c r="R20" s="5" t="n"/>
      <c r="S20" s="5" t="n"/>
      <c r="T20" s="5" t="n"/>
      <c r="U20" s="5" t="n"/>
      <c r="V20" s="5" t="n"/>
      <c r="W20" s="5" t="n"/>
      <c r="X20" s="5" t="n"/>
      <c r="Y20" s="5" t="n"/>
    </row>
    <row r="21">
      <c r="A21" s="9" t="n">
        <v>2019</v>
      </c>
      <c r="B21" s="12" t="n">
        <v>2772769.168824</v>
      </c>
      <c r="C21" s="12" t="n">
        <v>2056076.93732</v>
      </c>
      <c r="D21" s="12" t="n">
        <v>1440629.458688</v>
      </c>
      <c r="E21" s="12" t="n">
        <v>1180120.954588</v>
      </c>
      <c r="F21" s="12" t="n">
        <v>1053305.30962</v>
      </c>
      <c r="G21" s="12" t="n">
        <v>580801.1257080007</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1058295.396468</v>
      </c>
      <c r="C22" s="12" t="n">
        <v>648482.4790440003</v>
      </c>
      <c r="D22" s="12" t="n">
        <v>664106.1999480001</v>
      </c>
      <c r="E22" s="12" t="n">
        <v>610929.6981240001</v>
      </c>
      <c r="F22" s="12" t="n">
        <v>601498.4905320001</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972988.9330120002</v>
      </c>
      <c r="C23" s="12" t="n">
        <v>721510.8475919999</v>
      </c>
      <c r="D23" s="12" t="n">
        <v>542129.2137400003</v>
      </c>
      <c r="E23" s="12" t="n">
        <v>511132.720264</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573638.9964239999</v>
      </c>
      <c r="C24" s="12" t="n">
        <v>416606.121367999</v>
      </c>
      <c r="D24" s="12" t="n">
        <v>440845.8933559993</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1221733.697396</v>
      </c>
      <c r="C25" s="12" t="n">
        <v>544977.3256480002</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729963.778172</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Unpaid</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2728327.8712</v>
      </c>
      <c r="C3" s="12" t="n">
        <v>2007000.2016</v>
      </c>
      <c r="D3" s="12" t="n">
        <v>1508645.344</v>
      </c>
      <c r="E3" s="12" t="n">
        <v>1143406.456</v>
      </c>
      <c r="F3" s="12" t="n">
        <v>830151.8903999999</v>
      </c>
      <c r="G3" s="12" t="n">
        <v>770596.0067079999</v>
      </c>
      <c r="H3" s="12" t="n">
        <v>792599.003912</v>
      </c>
      <c r="I3" s="12" t="n">
        <v>762057.8252199995</v>
      </c>
      <c r="J3" s="12" t="n">
        <v>739826.629588</v>
      </c>
      <c r="K3" s="12" t="n">
        <v>711987.4110719999</v>
      </c>
      <c r="L3" s="12" t="n">
        <v>656171.986364</v>
      </c>
      <c r="M3" s="12" t="n">
        <v>598666.5235439995</v>
      </c>
      <c r="N3" s="12" t="n">
        <v>558648.1491999999</v>
      </c>
      <c r="O3" s="12" t="n">
        <v>495255.29098</v>
      </c>
      <c r="P3" s="12" t="n">
        <v>440207.4512</v>
      </c>
      <c r="Q3" s="12" t="n">
        <v>360021.9571999996</v>
      </c>
      <c r="R3" s="12" t="n">
        <v>271959.7707999996</v>
      </c>
      <c r="S3" s="12" t="n">
        <v>196725.864664</v>
      </c>
      <c r="T3" s="12" t="n">
        <v>87300.14602400037</v>
      </c>
      <c r="U3" s="12" t="n">
        <v>87300.14602400037</v>
      </c>
      <c r="V3" s="12" t="n">
        <v>65209.96284800023</v>
      </c>
      <c r="W3" s="12" t="n">
        <v>42986.1965640001</v>
      </c>
      <c r="X3" s="12" t="n">
        <v>23990.77889600024</v>
      </c>
      <c r="Y3" s="12" t="n">
        <v>12077.33772399975</v>
      </c>
    </row>
    <row r="4">
      <c r="A4" s="9" t="n">
        <v>2002</v>
      </c>
      <c r="B4" s="12" t="n">
        <v>1862141.124</v>
      </c>
      <c r="C4" s="12" t="n">
        <v>1308429.0464</v>
      </c>
      <c r="D4" s="12" t="n">
        <v>999131.9611999998</v>
      </c>
      <c r="E4" s="12" t="n">
        <v>901156.9395999999</v>
      </c>
      <c r="F4" s="12" t="n">
        <v>736059.93616</v>
      </c>
      <c r="G4" s="12" t="n">
        <v>597766.9118399997</v>
      </c>
      <c r="H4" s="12" t="n">
        <v>561173.1898079999</v>
      </c>
      <c r="I4" s="12" t="n">
        <v>531797.66658</v>
      </c>
      <c r="J4" s="12" t="n">
        <v>489922.2719399997</v>
      </c>
      <c r="K4" s="12" t="n">
        <v>469303.112864</v>
      </c>
      <c r="L4" s="12" t="n">
        <v>438504.7969159998</v>
      </c>
      <c r="M4" s="12" t="n">
        <v>405078.3919999998</v>
      </c>
      <c r="N4" s="12" t="n">
        <v>363454.7638439997</v>
      </c>
      <c r="O4" s="12" t="n">
        <v>316110.96</v>
      </c>
      <c r="P4" s="12" t="n">
        <v>275882.9539999999</v>
      </c>
      <c r="Q4" s="12" t="n">
        <v>237932.5775999997</v>
      </c>
      <c r="R4" s="12" t="n">
        <v>181472.0796279998</v>
      </c>
      <c r="S4" s="12" t="n">
        <v>140289.0263239997</v>
      </c>
      <c r="T4" s="12" t="n">
        <v>107262.3282479993</v>
      </c>
      <c r="U4" s="12" t="n">
        <v>81671.72132799961</v>
      </c>
      <c r="V4" s="12" t="n">
        <v>60113.58767599985</v>
      </c>
      <c r="W4" s="12" t="n">
        <v>39450.85540799983</v>
      </c>
      <c r="X4" s="12" t="n">
        <v>19855.77191199968</v>
      </c>
      <c r="Y4" s="5" t="n"/>
    </row>
    <row r="5">
      <c r="A5" s="9" t="n">
        <v>2003</v>
      </c>
      <c r="B5" s="12" t="n">
        <v>1346175.8484</v>
      </c>
      <c r="C5" s="12" t="n">
        <v>658129.8103999998</v>
      </c>
      <c r="D5" s="12" t="n">
        <v>480245.0911999999</v>
      </c>
      <c r="E5" s="12" t="n">
        <v>360565.7242679999</v>
      </c>
      <c r="F5" s="12" t="n">
        <v>133001.65438</v>
      </c>
      <c r="G5" s="12" t="n">
        <v>49525.38148799981</v>
      </c>
      <c r="H5" s="12" t="n">
        <v>46872.28609999991</v>
      </c>
      <c r="I5" s="12" t="n">
        <v>34510.88031599973</v>
      </c>
      <c r="J5" s="12" t="n">
        <v>37062.90753999981</v>
      </c>
      <c r="K5" s="12" t="n">
        <v>32727.81040399987</v>
      </c>
      <c r="L5" s="12" t="n">
        <v>36099.40159999975</v>
      </c>
      <c r="M5" s="12" t="n">
        <v>35710.67383199977</v>
      </c>
      <c r="N5" s="12" t="n">
        <v>35580.79879999976</v>
      </c>
      <c r="O5" s="12" t="n">
        <v>35580.28415600001</v>
      </c>
      <c r="P5" s="12" t="n">
        <v>35580.28415600001</v>
      </c>
      <c r="Q5" s="12" t="n">
        <v>35580.89117199997</v>
      </c>
      <c r="R5" s="12" t="n">
        <v>31819.42415600084</v>
      </c>
      <c r="S5" s="12" t="n">
        <v>31819.4241560006</v>
      </c>
      <c r="T5" s="12" t="n">
        <v>31819.4241560006</v>
      </c>
      <c r="U5" s="12" t="n">
        <v>31819.4241560006</v>
      </c>
      <c r="V5" s="12" t="n">
        <v>31819.4241560006</v>
      </c>
      <c r="W5" s="12" t="n">
        <v>31819.4241560006</v>
      </c>
      <c r="X5" s="5" t="n"/>
      <c r="Y5" s="5" t="n"/>
    </row>
    <row r="6">
      <c r="A6" s="9" t="n">
        <v>2004</v>
      </c>
      <c r="B6" s="12" t="n">
        <v>892087.1483999999</v>
      </c>
      <c r="C6" s="12" t="n">
        <v>522992.3892</v>
      </c>
      <c r="D6" s="12" t="n">
        <v>342011.2681880012</v>
      </c>
      <c r="E6" s="12" t="n">
        <v>245348.0081639999</v>
      </c>
      <c r="F6" s="12" t="n">
        <v>93831.02151999995</v>
      </c>
      <c r="G6" s="12" t="n">
        <v>89953.90475999983</v>
      </c>
      <c r="H6" s="12" t="n">
        <v>72730.10287599987</v>
      </c>
      <c r="I6" s="12" t="n">
        <v>64332.77549199993</v>
      </c>
      <c r="J6" s="12" t="n">
        <v>44286.59993200004</v>
      </c>
      <c r="K6" s="12" t="n">
        <v>51059.8824</v>
      </c>
      <c r="L6" s="12" t="n">
        <v>47118.75184399984</v>
      </c>
      <c r="M6" s="12" t="n">
        <v>40072.8927999998</v>
      </c>
      <c r="N6" s="12" t="n">
        <v>39612.35239999997</v>
      </c>
      <c r="O6" s="12" t="n">
        <v>37597.32319999998</v>
      </c>
      <c r="P6" s="12" t="n">
        <v>36951.28662799997</v>
      </c>
      <c r="Q6" s="12" t="n">
        <v>26393.91919999965</v>
      </c>
      <c r="R6" s="12" t="n">
        <v>26393.91919999965</v>
      </c>
      <c r="S6" s="12" t="n">
        <v>26393.91919999965</v>
      </c>
      <c r="T6" s="12" t="n">
        <v>26393.91919999965</v>
      </c>
      <c r="U6" s="12" t="n">
        <v>26360.26939999964</v>
      </c>
      <c r="V6" s="12" t="n">
        <v>26360.26939999964</v>
      </c>
      <c r="W6" s="5" t="n"/>
      <c r="X6" s="5" t="n"/>
      <c r="Y6" s="5" t="n"/>
    </row>
    <row r="7">
      <c r="A7" s="9" t="n">
        <v>2005</v>
      </c>
      <c r="B7" s="12" t="n">
        <v>1684078.2392</v>
      </c>
      <c r="C7" s="12" t="n">
        <v>1056175.504832</v>
      </c>
      <c r="D7" s="12" t="n">
        <v>725439.5778199998</v>
      </c>
      <c r="E7" s="12" t="n">
        <v>656645.5836039998</v>
      </c>
      <c r="F7" s="12" t="n">
        <v>534433.0993159998</v>
      </c>
      <c r="G7" s="12" t="n">
        <v>497937.6346999998</v>
      </c>
      <c r="H7" s="12" t="n">
        <v>460070.3007279998</v>
      </c>
      <c r="I7" s="12" t="n">
        <v>440983.4479759999</v>
      </c>
      <c r="J7" s="12" t="n">
        <v>433261.0695999998</v>
      </c>
      <c r="K7" s="12" t="n">
        <v>377451.3719559999</v>
      </c>
      <c r="L7" s="12" t="n">
        <v>323036.2011999998</v>
      </c>
      <c r="M7" s="12" t="n">
        <v>283123.5795999998</v>
      </c>
      <c r="N7" s="12" t="n">
        <v>217354.7155999998</v>
      </c>
      <c r="O7" s="12" t="n">
        <v>178192.194228</v>
      </c>
      <c r="P7" s="12" t="n">
        <v>114484.3738799999</v>
      </c>
      <c r="Q7" s="12" t="n">
        <v>97137.41372800013</v>
      </c>
      <c r="R7" s="12" t="n">
        <v>54673.29274399998</v>
      </c>
      <c r="S7" s="12" t="n">
        <v>50921.86788399983</v>
      </c>
      <c r="T7" s="12" t="n">
        <v>50921.86788399983</v>
      </c>
      <c r="U7" s="12" t="n">
        <v>50921.86788399983</v>
      </c>
      <c r="V7" s="5" t="n"/>
      <c r="W7" s="5" t="n"/>
      <c r="X7" s="5" t="n"/>
      <c r="Y7" s="5" t="n"/>
    </row>
    <row r="8">
      <c r="A8" s="9" t="n">
        <v>2006</v>
      </c>
      <c r="B8" s="12" t="n">
        <v>1221999.574276</v>
      </c>
      <c r="C8" s="12" t="n">
        <v>807203.7944679998</v>
      </c>
      <c r="D8" s="12" t="n">
        <v>613525.6538039999</v>
      </c>
      <c r="E8" s="12" t="n">
        <v>533942.0293639998</v>
      </c>
      <c r="F8" s="12" t="n">
        <v>474417.143076</v>
      </c>
      <c r="G8" s="12" t="n">
        <v>426350.3171959999</v>
      </c>
      <c r="H8" s="12" t="n">
        <v>381674.0055760001</v>
      </c>
      <c r="I8" s="12" t="n">
        <v>374034.7619999999</v>
      </c>
      <c r="J8" s="12" t="n">
        <v>338246.906492</v>
      </c>
      <c r="K8" s="12" t="n">
        <v>290352.328</v>
      </c>
      <c r="L8" s="12" t="n">
        <v>178161.2555999998</v>
      </c>
      <c r="M8" s="12" t="n">
        <v>141443.3855999999</v>
      </c>
      <c r="N8" s="12" t="n">
        <v>127209.8500999999</v>
      </c>
      <c r="O8" s="12" t="n">
        <v>101426.5815800002</v>
      </c>
      <c r="P8" s="12" t="n">
        <v>91854.46709999954</v>
      </c>
      <c r="Q8" s="12" t="n">
        <v>80035.86557999975</v>
      </c>
      <c r="R8" s="12" t="n">
        <v>63671.25525599974</v>
      </c>
      <c r="S8" s="12" t="n">
        <v>52652.9251559996</v>
      </c>
      <c r="T8" s="12" t="n">
        <v>44644.97214399977</v>
      </c>
      <c r="U8" s="5" t="n"/>
      <c r="V8" s="5" t="n"/>
      <c r="W8" s="5" t="n"/>
      <c r="X8" s="5" t="n"/>
      <c r="Y8" s="5" t="n"/>
    </row>
    <row r="9">
      <c r="A9" s="9" t="n">
        <v>2007</v>
      </c>
      <c r="B9" s="12" t="n">
        <v>4410345.126012</v>
      </c>
      <c r="C9" s="12" t="n">
        <v>3810685.249408</v>
      </c>
      <c r="D9" s="12" t="n">
        <v>3485396.961096</v>
      </c>
      <c r="E9" s="12" t="n">
        <v>3094786.189876</v>
      </c>
      <c r="F9" s="12" t="n">
        <v>2756261.944076</v>
      </c>
      <c r="G9" s="12" t="n">
        <v>2293121.087532</v>
      </c>
      <c r="H9" s="12" t="n">
        <v>1989776.4936</v>
      </c>
      <c r="I9" s="12" t="n">
        <v>1762738.403076</v>
      </c>
      <c r="J9" s="12" t="n">
        <v>1508522.3324</v>
      </c>
      <c r="K9" s="12" t="n">
        <v>1219483.7464</v>
      </c>
      <c r="L9" s="12" t="n">
        <v>915725.0223999997</v>
      </c>
      <c r="M9" s="12" t="n">
        <v>715815.7701240005</v>
      </c>
      <c r="N9" s="12" t="n">
        <v>543530.9186799992</v>
      </c>
      <c r="O9" s="12" t="n">
        <v>417191.9528200002</v>
      </c>
      <c r="P9" s="12" t="n">
        <v>296611.945692</v>
      </c>
      <c r="Q9" s="12" t="n">
        <v>162456.9098559991</v>
      </c>
      <c r="R9" s="12" t="n">
        <v>132593.4777239999</v>
      </c>
      <c r="S9" s="12" t="n">
        <v>123229.8468479998</v>
      </c>
      <c r="T9" s="5" t="n"/>
      <c r="U9" s="5" t="n"/>
      <c r="V9" s="5" t="n"/>
      <c r="W9" s="5" t="n"/>
      <c r="X9" s="5" t="n"/>
      <c r="Y9" s="5" t="n"/>
    </row>
    <row r="10">
      <c r="A10" s="9" t="n">
        <v>2008</v>
      </c>
      <c r="B10" s="12" t="n">
        <v>1085187.237564</v>
      </c>
      <c r="C10" s="12" t="n">
        <v>792128.952024</v>
      </c>
      <c r="D10" s="12" t="n">
        <v>569066.565576</v>
      </c>
      <c r="E10" s="12" t="n">
        <v>250348.2621559999</v>
      </c>
      <c r="F10" s="12" t="n">
        <v>208851.4607559999</v>
      </c>
      <c r="G10" s="12" t="n">
        <v>170952.4035999998</v>
      </c>
      <c r="H10" s="12" t="n">
        <v>162088.4788519999</v>
      </c>
      <c r="I10" s="12" t="n">
        <v>153926.9243999999</v>
      </c>
      <c r="J10" s="12" t="n">
        <v>138834.6591999999</v>
      </c>
      <c r="K10" s="12" t="n">
        <v>121410.6608</v>
      </c>
      <c r="L10" s="12" t="n">
        <v>107322.0437719999</v>
      </c>
      <c r="M10" s="12" t="n">
        <v>104737.4752120015</v>
      </c>
      <c r="N10" s="12" t="n">
        <v>101643.7917760017</v>
      </c>
      <c r="O10" s="12" t="n">
        <v>100124.6154720017</v>
      </c>
      <c r="P10" s="12" t="n">
        <v>99247.13425600179</v>
      </c>
      <c r="Q10" s="12" t="n">
        <v>95702.7942240017</v>
      </c>
      <c r="R10" s="12" t="n">
        <v>60276.06045200163</v>
      </c>
      <c r="S10" s="5" t="n"/>
      <c r="T10" s="5" t="n"/>
      <c r="U10" s="5" t="n"/>
      <c r="V10" s="5" t="n"/>
      <c r="W10" s="5" t="n"/>
      <c r="X10" s="5" t="n"/>
      <c r="Y10" s="5" t="n"/>
    </row>
    <row r="11">
      <c r="A11" s="9" t="n">
        <v>2009</v>
      </c>
      <c r="B11" s="12" t="n">
        <v>1016123.361828</v>
      </c>
      <c r="C11" s="12" t="n">
        <v>502543.6984039999</v>
      </c>
      <c r="D11" s="12" t="n">
        <v>432840.183084</v>
      </c>
      <c r="E11" s="12" t="n">
        <v>410729.0710519999</v>
      </c>
      <c r="F11" s="12" t="n">
        <v>349806.6096</v>
      </c>
      <c r="G11" s="12" t="n">
        <v>303706.0668959999</v>
      </c>
      <c r="H11" s="12" t="n">
        <v>275399.644</v>
      </c>
      <c r="I11" s="12" t="n">
        <v>226534.8559999999</v>
      </c>
      <c r="J11" s="12" t="n">
        <v>189180.9387999999</v>
      </c>
      <c r="K11" s="12" t="n">
        <v>173684.9947639999</v>
      </c>
      <c r="L11" s="12" t="n">
        <v>163608.6215359997</v>
      </c>
      <c r="M11" s="12" t="n">
        <v>130585.3544199998</v>
      </c>
      <c r="N11" s="12" t="n">
        <v>75209.91074399953</v>
      </c>
      <c r="O11" s="12" t="n">
        <v>75209.91074399953</v>
      </c>
      <c r="P11" s="12" t="n">
        <v>75209.91074399953</v>
      </c>
      <c r="Q11" s="12" t="n">
        <v>75209.91074399953</v>
      </c>
      <c r="R11" s="5" t="n"/>
      <c r="S11" s="5" t="n"/>
      <c r="T11" s="5" t="n"/>
      <c r="U11" s="5" t="n"/>
      <c r="V11" s="5" t="n"/>
      <c r="W11" s="5" t="n"/>
      <c r="X11" s="5" t="n"/>
      <c r="Y11" s="5" t="n"/>
    </row>
    <row r="12">
      <c r="A12" s="9" t="n">
        <v>2010</v>
      </c>
      <c r="B12" s="12" t="n">
        <v>1115267.846776</v>
      </c>
      <c r="C12" s="12" t="n">
        <v>685740.435252</v>
      </c>
      <c r="D12" s="12" t="n">
        <v>443638.2265959999</v>
      </c>
      <c r="E12" s="12" t="n">
        <v>281970.7183999999</v>
      </c>
      <c r="F12" s="12" t="n">
        <v>181906.6644319999</v>
      </c>
      <c r="G12" s="12" t="n">
        <v>157355.612</v>
      </c>
      <c r="H12" s="12" t="n">
        <v>98581.94759999984</v>
      </c>
      <c r="I12" s="12" t="n">
        <v>96388.7723999999</v>
      </c>
      <c r="J12" s="12" t="n">
        <v>92068.94303600001</v>
      </c>
      <c r="K12" s="12" t="n">
        <v>91269.46337599959</v>
      </c>
      <c r="L12" s="12" t="n">
        <v>90626.95013599959</v>
      </c>
      <c r="M12" s="12" t="n">
        <v>90553.05253599957</v>
      </c>
      <c r="N12" s="12" t="n">
        <v>89746.22270399937</v>
      </c>
      <c r="O12" s="12" t="n">
        <v>88821.7373359995</v>
      </c>
      <c r="P12" s="12" t="n">
        <v>81218.92791599943</v>
      </c>
      <c r="Q12" s="5" t="n"/>
      <c r="R12" s="5" t="n"/>
      <c r="S12" s="5" t="n"/>
      <c r="T12" s="5" t="n"/>
      <c r="U12" s="5" t="n"/>
      <c r="V12" s="5" t="n"/>
      <c r="W12" s="5" t="n"/>
      <c r="X12" s="5" t="n"/>
      <c r="Y12" s="5" t="n"/>
    </row>
    <row r="13">
      <c r="A13" s="9" t="n">
        <v>2011</v>
      </c>
      <c r="B13" s="12" t="n">
        <v>1642181.96412</v>
      </c>
      <c r="C13" s="12" t="n">
        <v>1167213.968244</v>
      </c>
      <c r="D13" s="12" t="n">
        <v>698242.1291999999</v>
      </c>
      <c r="E13" s="12" t="n">
        <v>599433.6086520001</v>
      </c>
      <c r="F13" s="12" t="n">
        <v>482845.1407999999</v>
      </c>
      <c r="G13" s="12" t="n">
        <v>347444.9435999999</v>
      </c>
      <c r="H13" s="12" t="n">
        <v>184092.9791999999</v>
      </c>
      <c r="I13" s="12" t="n">
        <v>180503.9443159997</v>
      </c>
      <c r="J13" s="12" t="n">
        <v>172195.7955000002</v>
      </c>
      <c r="K13" s="12" t="n">
        <v>158134.4678000002</v>
      </c>
      <c r="L13" s="12" t="n">
        <v>148514.5969960003</v>
      </c>
      <c r="M13" s="12" t="n">
        <v>129318.3626000001</v>
      </c>
      <c r="N13" s="12" t="n">
        <v>119647.4232760002</v>
      </c>
      <c r="O13" s="12" t="n">
        <v>113601.7022680002</v>
      </c>
      <c r="P13" s="5" t="n"/>
      <c r="Q13" s="5" t="n"/>
      <c r="R13" s="5" t="n"/>
      <c r="S13" s="5" t="n"/>
      <c r="T13" s="5" t="n"/>
      <c r="U13" s="5" t="n"/>
      <c r="V13" s="5" t="n"/>
      <c r="W13" s="5" t="n"/>
      <c r="X13" s="5" t="n"/>
      <c r="Y13" s="5" t="n"/>
    </row>
    <row r="14">
      <c r="A14" s="9" t="n">
        <v>2012</v>
      </c>
      <c r="B14" s="12" t="n">
        <v>1058479.009456</v>
      </c>
      <c r="C14" s="12" t="n">
        <v>651711.8343999999</v>
      </c>
      <c r="D14" s="12" t="n">
        <v>486945.285192</v>
      </c>
      <c r="E14" s="12" t="n">
        <v>334718.8419999999</v>
      </c>
      <c r="F14" s="12" t="n">
        <v>325110.8343999999</v>
      </c>
      <c r="G14" s="12" t="n">
        <v>318853.2912</v>
      </c>
      <c r="H14" s="12" t="n">
        <v>308626.9982159999</v>
      </c>
      <c r="I14" s="12" t="n">
        <v>270107.3331800012</v>
      </c>
      <c r="J14" s="12" t="n">
        <v>238048.4165480011</v>
      </c>
      <c r="K14" s="12" t="n">
        <v>233248.371548001</v>
      </c>
      <c r="L14" s="12" t="n">
        <v>201969.2065560012</v>
      </c>
      <c r="M14" s="12" t="n">
        <v>140713.4801240012</v>
      </c>
      <c r="N14" s="12" t="n">
        <v>92052.12166000111</v>
      </c>
      <c r="O14" s="5" t="n"/>
      <c r="P14" s="5" t="n"/>
      <c r="Q14" s="5" t="n"/>
      <c r="R14" s="5" t="n"/>
      <c r="S14" s="5" t="n"/>
      <c r="T14" s="5" t="n"/>
      <c r="U14" s="5" t="n"/>
      <c r="V14" s="5" t="n"/>
      <c r="W14" s="5" t="n"/>
      <c r="X14" s="5" t="n"/>
      <c r="Y14" s="5" t="n"/>
    </row>
    <row r="15">
      <c r="A15" s="9" t="n">
        <v>2013</v>
      </c>
      <c r="B15" s="12" t="n">
        <v>582694.4</v>
      </c>
      <c r="C15" s="12" t="n">
        <v>319142.7399479999</v>
      </c>
      <c r="D15" s="12" t="n">
        <v>240511.5632</v>
      </c>
      <c r="E15" s="12" t="n">
        <v>187654.9852</v>
      </c>
      <c r="F15" s="12" t="n">
        <v>76606.68639999989</v>
      </c>
      <c r="G15" s="12" t="n">
        <v>78448.35974799993</v>
      </c>
      <c r="H15" s="12" t="n">
        <v>78099.87978000019</v>
      </c>
      <c r="I15" s="12" t="n">
        <v>78099.87977999996</v>
      </c>
      <c r="J15" s="12" t="n">
        <v>76734.22574000014</v>
      </c>
      <c r="K15" s="12" t="n">
        <v>76734.22574000014</v>
      </c>
      <c r="L15" s="12" t="n">
        <v>76723.0091400001</v>
      </c>
      <c r="M15" s="12" t="n">
        <v>76723.0091400001</v>
      </c>
      <c r="N15" s="5" t="n"/>
      <c r="O15" s="5" t="n"/>
      <c r="P15" s="5" t="n"/>
      <c r="Q15" s="5" t="n"/>
      <c r="R15" s="5" t="n"/>
      <c r="S15" s="5" t="n"/>
      <c r="T15" s="5" t="n"/>
      <c r="U15" s="5" t="n"/>
      <c r="V15" s="5" t="n"/>
      <c r="W15" s="5" t="n"/>
      <c r="X15" s="5" t="n"/>
      <c r="Y15" s="5" t="n"/>
    </row>
    <row r="16">
      <c r="A16" s="9" t="n">
        <v>2014</v>
      </c>
      <c r="B16" s="12" t="n">
        <v>1106480.848604</v>
      </c>
      <c r="C16" s="12" t="n">
        <v>779964.9759999999</v>
      </c>
      <c r="D16" s="12" t="n">
        <v>591883.7076</v>
      </c>
      <c r="E16" s="12" t="n">
        <v>338669.6224</v>
      </c>
      <c r="F16" s="12" t="n">
        <v>259654.1253479999</v>
      </c>
      <c r="G16" s="12" t="n">
        <v>238764.9893079996</v>
      </c>
      <c r="H16" s="12" t="n">
        <v>230946.4252879997</v>
      </c>
      <c r="I16" s="12" t="n">
        <v>227124.7581199999</v>
      </c>
      <c r="J16" s="12" t="n">
        <v>218956.3153559996</v>
      </c>
      <c r="K16" s="12" t="n">
        <v>138883.9770559999</v>
      </c>
      <c r="L16" s="12" t="n">
        <v>128598.3152679999</v>
      </c>
      <c r="M16" s="5" t="n"/>
      <c r="N16" s="5" t="n"/>
      <c r="O16" s="5" t="n"/>
      <c r="P16" s="5" t="n"/>
      <c r="Q16" s="5" t="n"/>
      <c r="R16" s="5" t="n"/>
      <c r="S16" s="5" t="n"/>
      <c r="T16" s="5" t="n"/>
      <c r="U16" s="5" t="n"/>
      <c r="V16" s="5" t="n"/>
      <c r="W16" s="5" t="n"/>
      <c r="X16" s="5" t="n"/>
      <c r="Y16" s="5" t="n"/>
    </row>
    <row r="17">
      <c r="A17" s="9" t="n">
        <v>2015</v>
      </c>
      <c r="B17" s="12" t="n">
        <v>3250897.1552</v>
      </c>
      <c r="C17" s="12" t="n">
        <v>2786626.246</v>
      </c>
      <c r="D17" s="12" t="n">
        <v>2211179.0368</v>
      </c>
      <c r="E17" s="12" t="n">
        <v>1550447.636728</v>
      </c>
      <c r="F17" s="12" t="n">
        <v>1396699.998243999</v>
      </c>
      <c r="G17" s="12" t="n">
        <v>1143254.164891999</v>
      </c>
      <c r="H17" s="12" t="n">
        <v>867640.3447479988</v>
      </c>
      <c r="I17" s="12" t="n">
        <v>716381.5378439981</v>
      </c>
      <c r="J17" s="12" t="n">
        <v>674588.6841839985</v>
      </c>
      <c r="K17" s="12" t="n">
        <v>267090.7014519987</v>
      </c>
      <c r="L17" s="5" t="n"/>
      <c r="M17" s="5" t="n"/>
      <c r="N17" s="5" t="n"/>
      <c r="O17" s="5" t="n"/>
      <c r="P17" s="5" t="n"/>
      <c r="Q17" s="5" t="n"/>
      <c r="R17" s="5" t="n"/>
      <c r="S17" s="5" t="n"/>
      <c r="T17" s="5" t="n"/>
      <c r="U17" s="5" t="n"/>
      <c r="V17" s="5" t="n"/>
      <c r="W17" s="5" t="n"/>
      <c r="X17" s="5" t="n"/>
      <c r="Y17" s="5" t="n"/>
    </row>
    <row r="18">
      <c r="A18" s="9" t="n">
        <v>2016</v>
      </c>
      <c r="B18" s="12" t="n">
        <v>2507973.1872</v>
      </c>
      <c r="C18" s="12" t="n">
        <v>1721693.486</v>
      </c>
      <c r="D18" s="12" t="n">
        <v>1256102.871232</v>
      </c>
      <c r="E18" s="12" t="n">
        <v>1056472.476828</v>
      </c>
      <c r="F18" s="12" t="n">
        <v>921706.0967040011</v>
      </c>
      <c r="G18" s="12" t="n">
        <v>724767.4883600017</v>
      </c>
      <c r="H18" s="12" t="n">
        <v>428429.6537240013</v>
      </c>
      <c r="I18" s="12" t="n">
        <v>412406.1863920013</v>
      </c>
      <c r="J18" s="12" t="n">
        <v>385387.3236080012</v>
      </c>
      <c r="K18" s="5" t="n"/>
      <c r="L18" s="5" t="n"/>
      <c r="M18" s="5" t="n"/>
      <c r="N18" s="5" t="n"/>
      <c r="O18" s="5" t="n"/>
      <c r="P18" s="5" t="n"/>
      <c r="Q18" s="5" t="n"/>
      <c r="R18" s="5" t="n"/>
      <c r="S18" s="5" t="n"/>
      <c r="T18" s="5" t="n"/>
      <c r="U18" s="5" t="n"/>
      <c r="V18" s="5" t="n"/>
      <c r="W18" s="5" t="n"/>
      <c r="X18" s="5" t="n"/>
      <c r="Y18" s="5" t="n"/>
    </row>
    <row r="19">
      <c r="A19" s="9" t="n">
        <v>2017</v>
      </c>
      <c r="B19" s="12" t="n">
        <v>1172779.6068</v>
      </c>
      <c r="C19" s="12" t="n">
        <v>924641.7060959999</v>
      </c>
      <c r="D19" s="12" t="n">
        <v>879304.8554999996</v>
      </c>
      <c r="E19" s="12" t="n">
        <v>798864.8106599997</v>
      </c>
      <c r="F19" s="12" t="n">
        <v>736756.4246879996</v>
      </c>
      <c r="G19" s="12" t="n">
        <v>653701.8563679996</v>
      </c>
      <c r="H19" s="12" t="n">
        <v>404344.2229919995</v>
      </c>
      <c r="I19" s="12" t="n">
        <v>303620.1710839996</v>
      </c>
      <c r="J19" s="5" t="n"/>
      <c r="K19" s="5" t="n"/>
      <c r="L19" s="5" t="n"/>
      <c r="M19" s="5" t="n"/>
      <c r="N19" s="5" t="n"/>
      <c r="O19" s="5" t="n"/>
      <c r="P19" s="5" t="n"/>
      <c r="Q19" s="5" t="n"/>
      <c r="R19" s="5" t="n"/>
      <c r="S19" s="5" t="n"/>
      <c r="T19" s="5" t="n"/>
      <c r="U19" s="5" t="n"/>
      <c r="V19" s="5" t="n"/>
      <c r="W19" s="5" t="n"/>
      <c r="X19" s="5" t="n"/>
      <c r="Y19" s="5" t="n"/>
    </row>
    <row r="20">
      <c r="A20" s="9" t="n">
        <v>2018</v>
      </c>
      <c r="B20" s="12" t="n">
        <v>2442851.831004</v>
      </c>
      <c r="C20" s="12" t="n">
        <v>1795150.887112</v>
      </c>
      <c r="D20" s="12" t="n">
        <v>1314548.6479</v>
      </c>
      <c r="E20" s="12" t="n">
        <v>764167.8213239994</v>
      </c>
      <c r="F20" s="12" t="n">
        <v>647865.917808</v>
      </c>
      <c r="G20" s="12" t="n">
        <v>527421.6843239991</v>
      </c>
      <c r="H20" s="12" t="n">
        <v>392822.5766959991</v>
      </c>
      <c r="I20" s="5" t="n"/>
      <c r="J20" s="5" t="n"/>
      <c r="K20" s="5" t="n"/>
      <c r="L20" s="5" t="n"/>
      <c r="M20" s="5" t="n"/>
      <c r="N20" s="5" t="n"/>
      <c r="O20" s="5" t="n"/>
      <c r="P20" s="5" t="n"/>
      <c r="Q20" s="5" t="n"/>
      <c r="R20" s="5" t="n"/>
      <c r="S20" s="5" t="n"/>
      <c r="T20" s="5" t="n"/>
      <c r="U20" s="5" t="n"/>
      <c r="V20" s="5" t="n"/>
      <c r="W20" s="5" t="n"/>
      <c r="X20" s="5" t="n"/>
      <c r="Y20" s="5" t="n"/>
    </row>
    <row r="21">
      <c r="A21" s="9" t="n">
        <v>2019</v>
      </c>
      <c r="B21" s="12" t="n">
        <v>2817216.138336</v>
      </c>
      <c r="C21" s="12" t="n">
        <v>2332828.230644</v>
      </c>
      <c r="D21" s="12" t="n">
        <v>1752812.526656</v>
      </c>
      <c r="E21" s="12" t="n">
        <v>1505800.218359999</v>
      </c>
      <c r="F21" s="12" t="n">
        <v>1135655.51942</v>
      </c>
      <c r="G21" s="12" t="n">
        <v>711306.1655119993</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1254368.864716</v>
      </c>
      <c r="C22" s="12" t="n">
        <v>810197.0338400002</v>
      </c>
      <c r="D22" s="12" t="n">
        <v>678581.1459320001</v>
      </c>
      <c r="E22" s="12" t="n">
        <v>574348.9506200001</v>
      </c>
      <c r="F22" s="12" t="n">
        <v>564234.1374440001</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1281257.895004</v>
      </c>
      <c r="C23" s="12" t="n">
        <v>1008058.124708</v>
      </c>
      <c r="D23" s="12" t="n">
        <v>643590.7672400001</v>
      </c>
      <c r="E23" s="12" t="n">
        <v>579990.5866639998</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1039074.116232</v>
      </c>
      <c r="C24" s="12" t="n">
        <v>599770.4349120001</v>
      </c>
      <c r="D24" s="12" t="n">
        <v>555311.2898639999</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2072980.768036</v>
      </c>
      <c r="C25" s="12" t="n">
        <v>1241005.931643999</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1002376.239068</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26"/>
  <sheetViews>
    <sheetView workbookViewId="0">
      <pane ySplit="2" topLeftCell="A3"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20" customHeight="1">
      <c r="A1" s="1" t="inlineStr">
        <is>
          <t>Post-Method Series Diagnostics</t>
        </is>
      </c>
      <c r="B1" s="14" t="n"/>
      <c r="C1" s="14" t="n"/>
      <c r="D1" s="2" t="n"/>
    </row>
    <row r="2">
      <c r="A2" s="8" t="inlineStr">
        <is>
          <t>Accident Period</t>
        </is>
      </c>
      <c r="B2" s="8" t="inlineStr">
        <is>
          <t>Ultimate Severity</t>
        </is>
      </c>
      <c r="C2" s="8" t="inlineStr">
        <is>
          <t>Ultimate Loss Rate</t>
        </is>
      </c>
      <c r="D2" s="8" t="inlineStr">
        <is>
          <t>Ultimate Frequency</t>
        </is>
      </c>
    </row>
    <row r="3">
      <c r="A3" s="9" t="n">
        <v>2001</v>
      </c>
      <c r="B3" s="12" t="n">
        <v>4612.638709784224</v>
      </c>
      <c r="C3" s="12" t="n">
        <v>0.01021599933117447</v>
      </c>
      <c r="D3" s="12" t="n">
        <v>2.214784199227338e-06</v>
      </c>
    </row>
    <row r="4">
      <c r="A4" s="9" t="n">
        <v>2002</v>
      </c>
      <c r="B4" s="12" t="n">
        <v>3691.3268405467</v>
      </c>
      <c r="C4" s="12" t="n">
        <v>0.007456691454804587</v>
      </c>
      <c r="D4" s="12" t="n">
        <v>2.02005722519554e-06</v>
      </c>
    </row>
    <row r="5">
      <c r="A5" s="9" t="n">
        <v>2003</v>
      </c>
      <c r="B5" s="12" t="n">
        <v>3332.376709775762</v>
      </c>
      <c r="C5" s="12" t="n">
        <v>0.005584276633258872</v>
      </c>
      <c r="D5" s="12" t="n">
        <v>1.675763912548363e-06</v>
      </c>
    </row>
    <row r="6">
      <c r="A6" s="9" t="n">
        <v>2004</v>
      </c>
      <c r="B6" s="12" t="n">
        <v>1837.256389684386</v>
      </c>
      <c r="C6" s="12" t="n">
        <v>0.003516698270478936</v>
      </c>
      <c r="D6" s="12" t="n">
        <v>1.914103165036783e-06</v>
      </c>
    </row>
    <row r="7">
      <c r="A7" s="9" t="n">
        <v>2005</v>
      </c>
      <c r="B7" s="12" t="n">
        <v>3702.39235732988</v>
      </c>
      <c r="C7" s="12" t="n">
        <v>0.006933538291401455</v>
      </c>
      <c r="D7" s="12" t="n">
        <v>1.872718399948794e-06</v>
      </c>
    </row>
    <row r="8">
      <c r="A8" s="9" t="n">
        <v>2006</v>
      </c>
      <c r="B8" s="12" t="n">
        <v>3259.33306692889</v>
      </c>
      <c r="C8" s="12" t="n">
        <v>0.004642010618737385</v>
      </c>
      <c r="D8" s="12" t="n">
        <v>1.424221005775063e-06</v>
      </c>
    </row>
    <row r="9">
      <c r="A9" s="9" t="n">
        <v>2007</v>
      </c>
      <c r="B9" s="12" t="n">
        <v>10789.71928872931</v>
      </c>
      <c r="C9" s="12" t="n">
        <v>0.01442624198312603</v>
      </c>
      <c r="D9" s="12" t="n">
        <v>1.337035894733179e-06</v>
      </c>
    </row>
    <row r="10">
      <c r="A10" s="9" t="n">
        <v>2008</v>
      </c>
      <c r="B10" s="12" t="n">
        <v>4491.123024988709</v>
      </c>
      <c r="C10" s="12" t="n">
        <v>0.004060597958494096</v>
      </c>
      <c r="D10" s="12" t="n">
        <v>9.041386610655815e-07</v>
      </c>
    </row>
    <row r="11">
      <c r="A11" s="9" t="n">
        <v>2009</v>
      </c>
      <c r="B11" s="12" t="n">
        <v>3918.310441812969</v>
      </c>
      <c r="C11" s="12" t="n">
        <v>0.003403487728991791</v>
      </c>
      <c r="D11" s="12" t="n">
        <v>8.686110453813421e-07</v>
      </c>
    </row>
    <row r="12">
      <c r="A12" s="9" t="n">
        <v>2010</v>
      </c>
      <c r="B12" s="12" t="n">
        <v>5088.28064991745</v>
      </c>
      <c r="C12" s="12" t="n">
        <v>0.003658252072160725</v>
      </c>
      <c r="D12" s="12" t="n">
        <v>7.189564263166329e-07</v>
      </c>
    </row>
    <row r="13">
      <c r="A13" s="9" t="n">
        <v>2011</v>
      </c>
      <c r="B13" s="12" t="n">
        <v>6126.321531623045</v>
      </c>
      <c r="C13" s="12" t="n">
        <v>0.005492072422667506</v>
      </c>
      <c r="D13" s="12" t="n">
        <v>8.964714624131867e-07</v>
      </c>
    </row>
    <row r="14">
      <c r="A14" s="9" t="n">
        <v>2012</v>
      </c>
      <c r="B14" s="12" t="n">
        <v>5772.069742591113</v>
      </c>
      <c r="C14" s="12" t="n">
        <v>0.003833820419768009</v>
      </c>
      <c r="D14" s="12" t="n">
        <v>6.642020264375716e-07</v>
      </c>
    </row>
    <row r="15">
      <c r="A15" s="9" t="n">
        <v>2013</v>
      </c>
      <c r="B15" s="12" t="n">
        <v>2692.657448644111</v>
      </c>
      <c r="C15" s="12" t="n">
        <v>0.001957078362353819</v>
      </c>
      <c r="D15" s="12" t="n">
        <v>7.268203994307954e-07</v>
      </c>
    </row>
    <row r="16">
      <c r="A16" s="9" t="n">
        <v>2014</v>
      </c>
      <c r="B16" s="12" t="n">
        <v>3501.284974366409</v>
      </c>
      <c r="C16" s="12" t="n">
        <v>0.003894764632552197</v>
      </c>
      <c r="D16" s="12" t="n">
        <v>1.112381500239635e-06</v>
      </c>
    </row>
    <row r="17">
      <c r="A17" s="9" t="n">
        <v>2015</v>
      </c>
      <c r="B17" s="12" t="n">
        <v>11718.6906560498</v>
      </c>
      <c r="C17" s="12" t="n">
        <v>0.009372039320962403</v>
      </c>
      <c r="D17" s="12" t="n">
        <v>7.997514053435708e-07</v>
      </c>
    </row>
    <row r="18">
      <c r="A18" s="9" t="n">
        <v>2016</v>
      </c>
      <c r="B18" s="12" t="n">
        <v>7780.65425231233</v>
      </c>
      <c r="C18" s="12" t="n">
        <v>0.00713743468655297</v>
      </c>
      <c r="D18" s="12" t="n">
        <v>9.17330915254562e-07</v>
      </c>
    </row>
    <row r="19">
      <c r="A19" s="9" t="n">
        <v>2017</v>
      </c>
      <c r="B19" s="12" t="n">
        <v>4783.848103551689</v>
      </c>
      <c r="C19" s="12" t="n">
        <v>0.003415697414672488</v>
      </c>
      <c r="D19" s="12" t="n">
        <v>7.140062436632468e-07</v>
      </c>
    </row>
    <row r="20">
      <c r="A20" s="9" t="n">
        <v>2018</v>
      </c>
      <c r="B20" s="12" t="n">
        <v>9100.583172670409</v>
      </c>
      <c r="C20" s="12" t="n">
        <v>0.006695764213651482</v>
      </c>
      <c r="D20" s="12" t="n">
        <v>7.357511146933153e-07</v>
      </c>
    </row>
    <row r="21">
      <c r="A21" s="9" t="n">
        <v>2019</v>
      </c>
      <c r="B21" s="12" t="n">
        <v>8894.241685672388</v>
      </c>
      <c r="C21" s="12" t="n">
        <v>0.007039017112710805</v>
      </c>
      <c r="D21" s="12" t="n">
        <v>7.914128445654744e-07</v>
      </c>
    </row>
    <row r="22">
      <c r="A22" s="9" t="n">
        <v>2020</v>
      </c>
      <c r="B22" s="12" t="n">
        <v>4262.043172793654</v>
      </c>
      <c r="C22" s="12" t="n">
        <v>0.003428923503597246</v>
      </c>
      <c r="D22" s="12" t="n">
        <v>8.045257555074648e-07</v>
      </c>
    </row>
    <row r="23">
      <c r="A23" s="9" t="n">
        <v>2021</v>
      </c>
      <c r="B23" s="12" t="n">
        <v>4614.871173082753</v>
      </c>
      <c r="C23" s="12" t="n">
        <v>0.003238419088573334</v>
      </c>
      <c r="D23" s="12" t="n">
        <v>7.017355343443003e-07</v>
      </c>
    </row>
    <row r="24">
      <c r="A24" s="9" t="n">
        <v>2022</v>
      </c>
      <c r="B24" s="12" t="n">
        <v>4252.636223902658</v>
      </c>
      <c r="C24" s="12" t="n">
        <v>0.002644843394049182</v>
      </c>
      <c r="D24" s="12" t="n">
        <v>6.2193031681934e-07</v>
      </c>
    </row>
    <row r="25">
      <c r="A25" s="9" t="n">
        <v>2023</v>
      </c>
      <c r="B25" s="12" t="n">
        <v>7206.479990657013</v>
      </c>
      <c r="C25" s="12" t="n">
        <v>0.004491260873244664</v>
      </c>
      <c r="D25" s="12" t="n">
        <v>6.232253304064466e-07</v>
      </c>
    </row>
    <row r="26">
      <c r="A26" s="9" t="n">
        <v>2024</v>
      </c>
      <c r="B26" s="12" t="n">
        <v>5648.456149758163</v>
      </c>
      <c r="C26" s="12" t="n">
        <v>0.00324741321210023</v>
      </c>
      <c r="D26" s="12" t="n">
        <v>5.749204961499554e-07</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2026-04-27T11:13:31Z</dcterms:created>
  <dcterms:modified xmlns:dcterms="http://purl.org/dc/terms/" xmlns:xsi="http://www.w3.org/2001/XMLSchema-instance" xsi:type="dcterms:W3CDTF">2026-04-27T11:13:36Z</dcterms:modified>
</cp:coreProperties>
</file>