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Incurred Loss" sheetId="1" state="visible" r:id="rId1"/>
    <sheet xmlns:r="http://schemas.openxmlformats.org/officeDocument/2006/relationships" name="Paid Loss" sheetId="2" state="visible" r:id="rId2"/>
    <sheet xmlns:r="http://schemas.openxmlformats.org/officeDocument/2006/relationships" name="Reported Count" sheetId="3" state="visible" r:id="rId3"/>
  </sheets>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name val="Calibri"/>
      <family val="2"/>
      <b val="1"/>
      <color rgb="FFFFFFFF"/>
      <sz val="11"/>
      <scheme val="minor"/>
    </font>
    <font>
      <name val="Calibri"/>
      <family val="2"/>
      <i val="1"/>
      <color theme="1"/>
      <sz val="9"/>
      <scheme val="minor"/>
    </font>
    <font>
      <name val="Calibri"/>
      <family val="2"/>
      <b val="1"/>
      <color theme="1"/>
      <sz val="9"/>
      <scheme val="minor"/>
    </font>
    <font>
      <name val="Calibri"/>
      <family val="2"/>
      <color theme="1"/>
      <sz val="9"/>
      <scheme val="minor"/>
    </font>
    <font>
      <name val="Calibri"/>
      <family val="2"/>
      <b val="1"/>
      <color theme="1"/>
      <sz val="11"/>
      <scheme val="minor"/>
    </font>
    <font>
      <sz val="9"/>
    </font>
  </fonts>
  <fills count="11">
    <fill>
      <patternFill/>
    </fill>
    <fill>
      <patternFill patternType="gray125"/>
    </fill>
    <fill>
      <patternFill patternType="solid">
        <fgColor rgb="FF1F4E79"/>
        <bgColor indexed="64"/>
      </patternFill>
    </fill>
    <fill>
      <patternFill patternType="solid">
        <fgColor rgb="FFD9E1F2"/>
        <bgColor indexed="64"/>
      </patternFill>
    </fill>
    <fill>
      <patternFill patternType="solid">
        <fgColor rgb="FFD9D9D9"/>
        <bgColor indexed="64"/>
      </patternFill>
    </fill>
    <fill>
      <patternFill patternType="solid">
        <fgColor rgb="FFFFE699"/>
        <bgColor indexed="64"/>
      </patternFill>
    </fill>
    <fill>
      <patternFill patternType="solid">
        <fgColor rgb="FFF4B084"/>
        <bgColor indexed="64"/>
      </patternFill>
    </fill>
    <fill>
      <patternFill patternType="solid">
        <fgColor rgb="FFE2EFDA"/>
        <bgColor indexed="64"/>
      </patternFill>
    </fill>
    <fill>
      <patternFill patternType="solid">
        <fgColor rgb="FFDDEBF7"/>
        <bgColor indexed="64"/>
      </patternFill>
    </fill>
    <fill>
      <patternFill patternType="solid">
        <fgColor rgb="00E2EFDA"/>
      </patternFill>
    </fill>
    <fill>
      <patternFill patternType="solid">
        <fgColor rgb="00DDEBF7"/>
      </patternFill>
    </fill>
  </fills>
  <borders count="3">
    <border>
      <left/>
      <right/>
      <top/>
      <bottom/>
      <diagonal/>
    </border>
    <border>
      <left style="thin">
        <color auto="1"/>
      </left>
      <right style="thin">
        <color auto="1"/>
      </right>
      <top style="thin">
        <color auto="1"/>
      </top>
      <bottom style="thin">
        <color auto="1"/>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horizontal="right"/>
    </xf>
    <xf numFmtId="0" fontId="4" fillId="0" borderId="0" applyAlignment="1" pivotButton="0" quotePrefix="0" xfId="0">
      <alignment horizontal="left"/>
    </xf>
    <xf numFmtId="0" fontId="5" fillId="3" borderId="0" applyAlignment="1" pivotButton="0" quotePrefix="0" xfId="0">
      <alignment horizontal="left" vertical="center"/>
    </xf>
    <xf numFmtId="0" fontId="5" fillId="4"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0" applyAlignment="1" pivotButton="0" quotePrefix="0" xfId="0">
      <alignment horizontal="right" vertical="center"/>
    </xf>
    <xf numFmtId="0" fontId="4" fillId="5" borderId="1" applyAlignment="1" pivotButton="0" quotePrefix="0" xfId="0">
      <alignment horizontal="right" vertical="center"/>
    </xf>
    <xf numFmtId="1" fontId="0" fillId="5" borderId="1" applyAlignment="1" pivotButton="0" quotePrefix="0" xfId="0">
      <alignment horizontal="right"/>
    </xf>
    <xf numFmtId="164" fontId="0" fillId="5" borderId="1" applyAlignment="1" pivotButton="0" quotePrefix="0" xfId="0">
      <alignment horizontal="right"/>
    </xf>
    <xf numFmtId="0" fontId="4" fillId="5" borderId="1" applyAlignment="1" pivotButton="0" quotePrefix="0" xfId="0">
      <alignment horizontal="left" vertical="center"/>
    </xf>
    <xf numFmtId="10" fontId="0" fillId="5" borderId="1" applyAlignment="1" pivotButton="0" quotePrefix="0" xfId="0">
      <alignment horizontal="right"/>
    </xf>
    <xf numFmtId="3" fontId="0" fillId="5" borderId="1" applyAlignment="1" pivotButton="0" quotePrefix="0" xfId="0">
      <alignment horizontal="right"/>
    </xf>
    <xf numFmtId="0" fontId="4" fillId="6" borderId="1" applyAlignment="1" pivotButton="0" quotePrefix="0" xfId="0">
      <alignment horizontal="right" vertical="center"/>
    </xf>
    <xf numFmtId="1" fontId="0" fillId="6" borderId="1" applyAlignment="1" pivotButton="0" quotePrefix="0" xfId="0">
      <alignment horizontal="right"/>
    </xf>
    <xf numFmtId="164" fontId="0" fillId="6" borderId="1" applyAlignment="1" pivotButton="0" quotePrefix="0" xfId="0">
      <alignment horizontal="right"/>
    </xf>
    <xf numFmtId="0" fontId="4" fillId="6" borderId="1" applyAlignment="1" pivotButton="0" quotePrefix="0" xfId="0">
      <alignment horizontal="left" vertical="center"/>
    </xf>
    <xf numFmtId="10" fontId="0" fillId="6" borderId="1" applyAlignment="1" pivotButton="0" quotePrefix="0" xfId="0">
      <alignment horizontal="right"/>
    </xf>
    <xf numFmtId="3" fontId="0" fillId="6" borderId="1" applyAlignment="1" pivotButton="0" quotePrefix="0" xfId="0">
      <alignment horizontal="right"/>
    </xf>
    <xf numFmtId="0" fontId="5" fillId="7" borderId="0" applyAlignment="1" pivotButton="0" quotePrefix="0" xfId="0">
      <alignment horizontal="center"/>
    </xf>
    <xf numFmtId="0" fontId="0" fillId="7" borderId="0" applyAlignment="1" pivotButton="0" quotePrefix="0" xfId="0">
      <alignment horizontal="left" wrapText="1"/>
    </xf>
    <xf numFmtId="0" fontId="5" fillId="8" borderId="0" applyAlignment="1" pivotButton="0" quotePrefix="0" xfId="0">
      <alignment horizontal="center"/>
    </xf>
    <xf numFmtId="0" fontId="0" fillId="8" borderId="0" applyAlignment="1" pivotButton="0" quotePrefix="0" xfId="0">
      <alignment horizontal="left" wrapText="1"/>
    </xf>
    <xf numFmtId="0" fontId="5" fillId="6" borderId="0" applyAlignment="1" pivotButton="0" quotePrefix="0" xfId="0">
      <alignment horizontal="center"/>
    </xf>
    <xf numFmtId="0" fontId="0" fillId="6" borderId="0" applyAlignment="1" pivotButton="0" quotePrefix="0" xfId="0">
      <alignment horizontal="left" wrapText="1"/>
    </xf>
    <xf numFmtId="10" fontId="0" fillId="5" borderId="1" applyAlignment="1" pivotButton="0" quotePrefix="0" xfId="0">
      <alignment horizontal="right"/>
    </xf>
    <xf numFmtId="3" fontId="0" fillId="5" borderId="1" applyAlignment="1" pivotButton="0" quotePrefix="0" xfId="0">
      <alignment horizontal="right"/>
    </xf>
    <xf numFmtId="10" fontId="0" fillId="6" borderId="1" applyAlignment="1" pivotButton="0" quotePrefix="0" xfId="0">
      <alignment horizontal="right"/>
    </xf>
    <xf numFmtId="3" fontId="0" fillId="6" borderId="1" applyAlignment="1" pivotButton="0" quotePrefix="0" xfId="0">
      <alignment horizontal="right"/>
    </xf>
    <xf numFmtId="1" fontId="6" fillId="9" borderId="2" applyAlignment="1" pivotButton="0" quotePrefix="0" xfId="0">
      <alignment horizontal="right"/>
    </xf>
    <xf numFmtId="164" fontId="6" fillId="9" borderId="2" applyAlignment="1" pivotButton="0" quotePrefix="0" xfId="0">
      <alignment horizontal="right"/>
    </xf>
    <xf numFmtId="0" fontId="6" fillId="9" borderId="2" applyAlignment="1" pivotButton="0" quotePrefix="0" xfId="0">
      <alignment horizontal="left" wrapText="1"/>
    </xf>
    <xf numFmtId="1" fontId="6" fillId="10" borderId="2" applyAlignment="1" pivotButton="0" quotePrefix="0" xfId="0">
      <alignment horizontal="right"/>
    </xf>
    <xf numFmtId="164" fontId="6" fillId="10" borderId="2" applyAlignment="1" pivotButton="0" quotePrefix="0" xfId="0">
      <alignment horizontal="right"/>
    </xf>
    <xf numFmtId="0" fontId="6" fillId="10" borderId="2" applyAlignment="1" pivotButton="0" quotePrefix="0" xfId="0">
      <alignment horizontal="lef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3"/>
  <sheetViews>
    <sheetView tabSelected="1" workbookViewId="0">
      <selection activeCell="A1" sqref="A1"/>
    </sheetView>
  </sheetViews>
  <sheetFormatPr baseColWidth="8" defaultRowHeight="15"/>
  <cols>
    <col width="30.7109375" customWidth="1" min="1" max="1"/>
    <col width="12.7109375" customWidth="1" min="2" max="3"/>
    <col width="15.7109375" customWidth="1" min="4" max="4"/>
    <col width="25.7109375" customWidth="1" min="5" max="5"/>
    <col width="30.7109375" customWidth="1" min="6" max="6"/>
  </cols>
  <sheetData>
    <row r="1"/>
    <row r="2">
      <c r="A2" s="1" t="inlineStr">
        <is>
          <t>Incurred Loss</t>
        </is>
      </c>
    </row>
    <row r="3">
      <c r="A3" s="2" t="inlineStr">
        <is>
          <t>Incurred loss tails typically shorter than paid</t>
        </is>
      </c>
    </row>
    <row r="4">
      <c r="A4" s="3" t="inlineStr">
        <is>
          <t>Max Observed Age:</t>
        </is>
      </c>
      <c r="B4" s="4" t="inlineStr">
        <is>
          <t>287</t>
        </is>
      </c>
      <c r="D4" s="3" t="inlineStr">
        <is>
          <t>Accident Years:</t>
        </is>
      </c>
      <c r="E4" s="4" t="n">
        <v>24</v>
      </c>
      <c r="G4" s="3" t="inlineStr">
        <is>
          <t>Closure % at Last Age:</t>
        </is>
      </c>
      <c r="H4" s="4" t="inlineStr">
        <is>
          <t>N/A</t>
        </is>
      </c>
      <c r="J4" s="3" t="inlineStr">
        <is>
          <t>Last Observed Avg LDF:</t>
        </is>
      </c>
      <c r="K4" s="4" t="inlineStr">
        <is>
          <t>1.0119</t>
        </is>
      </c>
    </row>
    <row r="5"/>
    <row r="6">
      <c r="A6" s="5" t="inlineStr">
        <is>
          <t>Observed Age-to-Age Factors</t>
        </is>
      </c>
    </row>
    <row r="7">
      <c r="A7" s="6" t="inlineStr">
        <is>
          <t>Accident Year</t>
        </is>
      </c>
      <c r="B7" s="6" t="inlineStr">
        <is>
          <t>11</t>
        </is>
      </c>
      <c r="C7" s="6" t="inlineStr">
        <is>
          <t>23</t>
        </is>
      </c>
      <c r="D7" s="6" t="inlineStr">
        <is>
          <t>35</t>
        </is>
      </c>
      <c r="E7" s="6" t="inlineStr">
        <is>
          <t>47</t>
        </is>
      </c>
      <c r="F7" s="6" t="inlineStr">
        <is>
          <t>59</t>
        </is>
      </c>
      <c r="G7" s="6" t="inlineStr">
        <is>
          <t>71</t>
        </is>
      </c>
      <c r="H7" s="6" t="inlineStr">
        <is>
          <t>83</t>
        </is>
      </c>
      <c r="I7" s="6" t="inlineStr">
        <is>
          <t>95</t>
        </is>
      </c>
      <c r="J7" s="6" t="inlineStr">
        <is>
          <t>107</t>
        </is>
      </c>
      <c r="K7" s="6" t="inlineStr">
        <is>
          <t>119</t>
        </is>
      </c>
      <c r="L7" s="6" t="inlineStr">
        <is>
          <t>131</t>
        </is>
      </c>
      <c r="M7" s="6" t="inlineStr">
        <is>
          <t>143</t>
        </is>
      </c>
      <c r="N7" s="6" t="inlineStr">
        <is>
          <t>155</t>
        </is>
      </c>
      <c r="O7" s="6" t="inlineStr">
        <is>
          <t>167</t>
        </is>
      </c>
      <c r="P7" s="6" t="inlineStr">
        <is>
          <t>179</t>
        </is>
      </c>
      <c r="Q7" s="6" t="inlineStr">
        <is>
          <t>191</t>
        </is>
      </c>
      <c r="R7" s="6" t="inlineStr">
        <is>
          <t>203</t>
        </is>
      </c>
      <c r="S7" s="6" t="inlineStr">
        <is>
          <t>215</t>
        </is>
      </c>
      <c r="T7" s="6" t="inlineStr">
        <is>
          <t>227</t>
        </is>
      </c>
      <c r="U7" s="6" t="inlineStr">
        <is>
          <t>239</t>
        </is>
      </c>
      <c r="V7" s="6" t="inlineStr">
        <is>
          <t>251</t>
        </is>
      </c>
      <c r="W7" s="6" t="inlineStr">
        <is>
          <t>263</t>
        </is>
      </c>
      <c r="X7" s="6" t="inlineStr">
        <is>
          <t>275</t>
        </is>
      </c>
      <c r="Y7" s="6" t="inlineStr">
        <is>
          <t>287</t>
        </is>
      </c>
    </row>
    <row r="8">
      <c r="A8" s="7" t="inlineStr">
        <is>
          <t>2001</t>
        </is>
      </c>
      <c r="B8" s="8" t="n"/>
      <c r="C8" s="9" t="n">
        <v>2.7399</v>
      </c>
      <c r="D8" s="9" t="n">
        <v>1.2238</v>
      </c>
      <c r="E8" s="9" t="n">
        <v>1.1005</v>
      </c>
      <c r="F8" s="9" t="n">
        <v>1.0751</v>
      </c>
      <c r="G8" s="9" t="n">
        <v>1.0677</v>
      </c>
      <c r="H8" s="9" t="n">
        <v>0.9976</v>
      </c>
      <c r="I8" s="9" t="n">
        <v>1.0093</v>
      </c>
      <c r="J8" s="9" t="n">
        <v>1.0073</v>
      </c>
      <c r="K8" s="9" t="n">
        <v>1.0084</v>
      </c>
      <c r="L8" s="9" t="n">
        <v>1.0214</v>
      </c>
      <c r="M8" s="9" t="n">
        <v>1.0208</v>
      </c>
      <c r="N8" s="9" t="n">
        <v>0.9989</v>
      </c>
      <c r="O8" s="9" t="n">
        <v>1.0229</v>
      </c>
      <c r="P8" s="9" t="n">
        <v>1.017</v>
      </c>
      <c r="Q8" s="9" t="n">
        <v>1.0532</v>
      </c>
      <c r="R8" s="9" t="n">
        <v>1.0236</v>
      </c>
      <c r="S8" s="9" t="n">
        <v>1.0309</v>
      </c>
      <c r="T8" s="9" t="n">
        <v>1.018</v>
      </c>
      <c r="U8" s="9" t="n">
        <v>1</v>
      </c>
      <c r="V8" s="9" t="n">
        <v>1.0234</v>
      </c>
      <c r="W8" s="9" t="n">
        <v>1.0139</v>
      </c>
      <c r="X8" s="9" t="n">
        <v>1</v>
      </c>
      <c r="Y8" s="9" t="n">
        <v>1.0119</v>
      </c>
    </row>
    <row r="9">
      <c r="A9" s="7" t="inlineStr">
        <is>
          <t>2002</t>
        </is>
      </c>
      <c r="B9" s="8" t="n"/>
      <c r="C9" s="9" t="n">
        <v>1.4304</v>
      </c>
      <c r="D9" s="9" t="n">
        <v>1.0118</v>
      </c>
      <c r="E9" s="9" t="n">
        <v>1.1947</v>
      </c>
      <c r="F9" s="9" t="n">
        <v>1.0132</v>
      </c>
      <c r="G9" s="9" t="n">
        <v>1.0627</v>
      </c>
      <c r="H9" s="9" t="n">
        <v>1.019</v>
      </c>
      <c r="I9" s="9" t="n">
        <v>1.0002</v>
      </c>
      <c r="J9" s="9" t="n">
        <v>1.0219</v>
      </c>
      <c r="K9" s="9" t="n">
        <v>1.0096</v>
      </c>
      <c r="L9" s="9" t="n">
        <v>1.0103</v>
      </c>
      <c r="M9" s="9" t="n">
        <v>1.0339</v>
      </c>
      <c r="N9" s="9" t="n">
        <v>1.0013</v>
      </c>
      <c r="O9" s="9" t="n">
        <v>1.0401</v>
      </c>
      <c r="P9" s="9" t="n">
        <v>1.0264</v>
      </c>
      <c r="Q9" s="9" t="n">
        <v>1.0147</v>
      </c>
      <c r="R9" s="9" t="n">
        <v>1.0529</v>
      </c>
      <c r="S9" s="9" t="n">
        <v>1.0011</v>
      </c>
      <c r="T9" s="9" t="n">
        <v>1</v>
      </c>
      <c r="U9" s="9" t="n">
        <v>1.0424</v>
      </c>
      <c r="V9" s="9" t="n">
        <v>0.9938</v>
      </c>
      <c r="W9" s="9" t="n">
        <v>1.0359</v>
      </c>
      <c r="X9" s="9" t="n">
        <v>1</v>
      </c>
      <c r="Y9" s="8" t="n"/>
    </row>
    <row r="10">
      <c r="A10" s="7" t="inlineStr">
        <is>
          <t>2003</t>
        </is>
      </c>
      <c r="B10" s="8" t="n"/>
      <c r="C10" s="9" t="n">
        <v>1.4452</v>
      </c>
      <c r="D10" s="9" t="n">
        <v>1.0824</v>
      </c>
      <c r="E10" s="9" t="n">
        <v>1.1887</v>
      </c>
      <c r="F10" s="9" t="n">
        <v>0.9077</v>
      </c>
      <c r="G10" s="9" t="n">
        <v>1.0678</v>
      </c>
      <c r="H10" s="9" t="n">
        <v>0.9972</v>
      </c>
      <c r="I10" s="9" t="n">
        <v>0.9925</v>
      </c>
      <c r="J10" s="9" t="n">
        <v>0.9981</v>
      </c>
      <c r="K10" s="9" t="n">
        <v>1.0022</v>
      </c>
      <c r="L10" s="9" t="n">
        <v>0.9979</v>
      </c>
      <c r="M10" s="9" t="n">
        <v>0.9923</v>
      </c>
      <c r="N10" s="9" t="n">
        <v>0.9949</v>
      </c>
      <c r="O10" s="9" t="n">
        <v>1</v>
      </c>
      <c r="P10" s="9" t="n">
        <v>1</v>
      </c>
      <c r="Q10" s="9" t="n">
        <v>1</v>
      </c>
      <c r="R10" s="9" t="n">
        <v>1.0021</v>
      </c>
      <c r="S10" s="9" t="n">
        <v>1</v>
      </c>
      <c r="T10" s="9" t="n">
        <v>1</v>
      </c>
      <c r="U10" s="9" t="n">
        <v>1</v>
      </c>
      <c r="V10" s="9" t="n">
        <v>1</v>
      </c>
      <c r="W10" s="9" t="n">
        <v>1</v>
      </c>
      <c r="X10" s="8" t="n"/>
      <c r="Y10" s="8" t="n"/>
    </row>
    <row r="11">
      <c r="A11" s="7" t="inlineStr">
        <is>
          <t>2004</t>
        </is>
      </c>
      <c r="B11" s="8" t="n"/>
      <c r="C11" s="9" t="n">
        <v>1.1416</v>
      </c>
      <c r="D11" s="9" t="n">
        <v>1.1042</v>
      </c>
      <c r="E11" s="9" t="n">
        <v>1.0474</v>
      </c>
      <c r="F11" s="9" t="n">
        <v>1.1305</v>
      </c>
      <c r="G11" s="9" t="n">
        <v>1.0056</v>
      </c>
      <c r="H11" s="9" t="n">
        <v>1.0185</v>
      </c>
      <c r="I11" s="9" t="n">
        <v>1.0077</v>
      </c>
      <c r="J11" s="9" t="n">
        <v>1.0238</v>
      </c>
      <c r="K11" s="9" t="n">
        <v>0.9911</v>
      </c>
      <c r="L11" s="9" t="n">
        <v>1.0231</v>
      </c>
      <c r="M11" s="9" t="n">
        <v>0.9887</v>
      </c>
      <c r="N11" s="9" t="n">
        <v>1.0004</v>
      </c>
      <c r="O11" s="9" t="n">
        <v>1.0003</v>
      </c>
      <c r="P11" s="9" t="n">
        <v>1</v>
      </c>
      <c r="Q11" s="9" t="n">
        <v>1.0038</v>
      </c>
      <c r="R11" s="9" t="n">
        <v>1</v>
      </c>
      <c r="S11" s="9" t="n">
        <v>1</v>
      </c>
      <c r="T11" s="9" t="n">
        <v>1</v>
      </c>
      <c r="U11" s="9" t="n">
        <v>1</v>
      </c>
      <c r="V11" s="9" t="n">
        <v>1</v>
      </c>
      <c r="W11" s="8" t="n"/>
      <c r="X11" s="8" t="n"/>
      <c r="Y11" s="8" t="n"/>
    </row>
    <row r="12">
      <c r="A12" s="7" t="inlineStr">
        <is>
          <t>2005</t>
        </is>
      </c>
      <c r="B12" s="8" t="n"/>
      <c r="C12" s="9" t="n">
        <v>1.3029</v>
      </c>
      <c r="D12" s="9" t="n">
        <v>1.0929</v>
      </c>
      <c r="E12" s="9" t="n">
        <v>0.9755</v>
      </c>
      <c r="F12" s="9" t="n">
        <v>1.0372</v>
      </c>
      <c r="G12" s="9" t="n">
        <v>1.0163</v>
      </c>
      <c r="H12" s="9" t="n">
        <v>1.0204</v>
      </c>
      <c r="I12" s="9" t="n">
        <v>1.0056</v>
      </c>
      <c r="J12" s="9" t="n">
        <v>1.0129</v>
      </c>
      <c r="K12" s="9" t="n">
        <v>1.0273</v>
      </c>
      <c r="L12" s="9" t="n">
        <v>1.0117</v>
      </c>
      <c r="M12" s="9" t="n">
        <v>1.1194</v>
      </c>
      <c r="N12" s="9" t="n">
        <v>1</v>
      </c>
      <c r="O12" s="9" t="n">
        <v>0.9816</v>
      </c>
      <c r="P12" s="9" t="n">
        <v>1.01</v>
      </c>
      <c r="Q12" s="9" t="n">
        <v>1.007</v>
      </c>
      <c r="R12" s="9" t="n">
        <v>1.0151</v>
      </c>
      <c r="S12" s="9" t="n">
        <v>1</v>
      </c>
      <c r="T12" s="9" t="n">
        <v>1</v>
      </c>
      <c r="U12" s="9" t="n">
        <v>1</v>
      </c>
      <c r="V12" s="8" t="n"/>
      <c r="W12" s="8" t="n"/>
      <c r="X12" s="8" t="n"/>
      <c r="Y12" s="8" t="n"/>
    </row>
    <row r="13">
      <c r="A13" s="7" t="inlineStr">
        <is>
          <t>2006</t>
        </is>
      </c>
      <c r="B13" s="8" t="n"/>
      <c r="C13" s="9" t="n">
        <v>1.5119</v>
      </c>
      <c r="D13" s="9" t="n">
        <v>0.8692</v>
      </c>
      <c r="E13" s="9" t="n">
        <v>1.0694</v>
      </c>
      <c r="F13" s="9" t="n">
        <v>1.009</v>
      </c>
      <c r="G13" s="9" t="n">
        <v>1.0504</v>
      </c>
      <c r="H13" s="9" t="n">
        <v>1.0441</v>
      </c>
      <c r="I13" s="9" t="n">
        <v>0.9816</v>
      </c>
      <c r="J13" s="9" t="n">
        <v>1.026</v>
      </c>
      <c r="K13" s="9" t="n">
        <v>1.0371</v>
      </c>
      <c r="L13" s="9" t="n">
        <v>1.0832</v>
      </c>
      <c r="M13" s="9" t="n">
        <v>1.0601</v>
      </c>
      <c r="N13" s="9" t="n">
        <v>1.0275</v>
      </c>
      <c r="O13" s="9" t="n">
        <v>1.0108</v>
      </c>
      <c r="P13" s="9" t="n">
        <v>1.0006</v>
      </c>
      <c r="Q13" s="9" t="n">
        <v>1.0116</v>
      </c>
      <c r="R13" s="9" t="n">
        <v>1.0031</v>
      </c>
      <c r="S13" s="9" t="n">
        <v>1.0073</v>
      </c>
      <c r="T13" s="9" t="n">
        <v>1</v>
      </c>
      <c r="U13" s="8" t="n"/>
      <c r="V13" s="8" t="n"/>
      <c r="W13" s="8" t="n"/>
      <c r="X13" s="8" t="n"/>
      <c r="Y13" s="8" t="n"/>
    </row>
    <row r="14">
      <c r="A14" s="7" t="inlineStr">
        <is>
          <t>2007</t>
        </is>
      </c>
      <c r="B14" s="8" t="n"/>
      <c r="C14" s="9" t="n">
        <v>1.0888</v>
      </c>
      <c r="D14" s="9" t="n">
        <v>1.0891</v>
      </c>
      <c r="E14" s="9" t="n">
        <v>1.1204</v>
      </c>
      <c r="F14" s="9" t="n">
        <v>1.1147</v>
      </c>
      <c r="G14" s="9" t="n">
        <v>1.1938</v>
      </c>
      <c r="H14" s="9" t="n">
        <v>1.0636</v>
      </c>
      <c r="I14" s="9" t="n">
        <v>1.1095</v>
      </c>
      <c r="J14" s="9" t="n">
        <v>1.0716</v>
      </c>
      <c r="K14" s="9" t="n">
        <v>1.1016</v>
      </c>
      <c r="L14" s="9" t="n">
        <v>1.0307</v>
      </c>
      <c r="M14" s="9" t="n">
        <v>1.0289</v>
      </c>
      <c r="N14" s="9" t="n">
        <v>1.0161</v>
      </c>
      <c r="O14" s="9" t="n">
        <v>1.0009</v>
      </c>
      <c r="P14" s="9" t="n">
        <v>1.0436</v>
      </c>
      <c r="Q14" s="9" t="n">
        <v>1</v>
      </c>
      <c r="R14" s="9" t="n">
        <v>1.0036</v>
      </c>
      <c r="S14" s="9" t="n">
        <v>1.0025</v>
      </c>
      <c r="T14" s="8" t="n"/>
      <c r="U14" s="8" t="n"/>
      <c r="V14" s="8" t="n"/>
      <c r="W14" s="8" t="n"/>
      <c r="X14" s="8" t="n"/>
      <c r="Y14" s="8" t="n"/>
    </row>
    <row r="15">
      <c r="A15" s="7" t="inlineStr">
        <is>
          <t>2008</t>
        </is>
      </c>
      <c r="B15" s="8" t="n"/>
      <c r="C15" s="9" t="n">
        <v>1.3857</v>
      </c>
      <c r="D15" s="9" t="n">
        <v>1.2105</v>
      </c>
      <c r="E15" s="9" t="n">
        <v>1.391</v>
      </c>
      <c r="F15" s="9" t="n">
        <v>0.9693000000000001</v>
      </c>
      <c r="G15" s="9" t="n">
        <v>1.0168</v>
      </c>
      <c r="H15" s="9" t="n">
        <v>1.0054</v>
      </c>
      <c r="I15" s="9" t="n">
        <v>1.0132</v>
      </c>
      <c r="J15" s="9" t="n">
        <v>1.0057</v>
      </c>
      <c r="K15" s="9" t="n">
        <v>1.0347</v>
      </c>
      <c r="L15" s="9" t="n">
        <v>1.0049</v>
      </c>
      <c r="M15" s="9" t="n">
        <v>1.0002</v>
      </c>
      <c r="N15" s="9" t="n">
        <v>0.9854000000000001</v>
      </c>
      <c r="O15" s="9" t="n">
        <v>1.0002</v>
      </c>
      <c r="P15" s="9" t="n">
        <v>1</v>
      </c>
      <c r="Q15" s="9" t="n">
        <v>1.0049</v>
      </c>
      <c r="R15" s="9" t="n">
        <v>1.021</v>
      </c>
      <c r="S15" s="8" t="n"/>
      <c r="T15" s="8" t="n"/>
      <c r="U15" s="8" t="n"/>
      <c r="V15" s="8" t="n"/>
      <c r="W15" s="8" t="n"/>
      <c r="X15" s="8" t="n"/>
      <c r="Y15" s="8" t="n"/>
    </row>
    <row r="16">
      <c r="A16" s="7" t="inlineStr">
        <is>
          <t>2009</t>
        </is>
      </c>
      <c r="B16" s="8" t="n"/>
      <c r="C16" s="9" t="n">
        <v>2.4408</v>
      </c>
      <c r="D16" s="9" t="n">
        <v>0.9424</v>
      </c>
      <c r="E16" s="9" t="n">
        <v>1.0249</v>
      </c>
      <c r="F16" s="9" t="n">
        <v>1.0665</v>
      </c>
      <c r="G16" s="9" t="n">
        <v>1.0513</v>
      </c>
      <c r="H16" s="9" t="n">
        <v>1.0364</v>
      </c>
      <c r="I16" s="9" t="n">
        <v>1.1441</v>
      </c>
      <c r="J16" s="9" t="n">
        <v>1</v>
      </c>
      <c r="K16" s="9" t="n">
        <v>1</v>
      </c>
      <c r="L16" s="9" t="n">
        <v>1</v>
      </c>
      <c r="M16" s="9" t="n">
        <v>1.0135</v>
      </c>
      <c r="N16" s="9" t="n">
        <v>1.03</v>
      </c>
      <c r="O16" s="9" t="n">
        <v>1</v>
      </c>
      <c r="P16" s="9" t="n">
        <v>1</v>
      </c>
      <c r="Q16" s="9" t="n">
        <v>1</v>
      </c>
      <c r="R16" s="8" t="n"/>
      <c r="S16" s="8" t="n"/>
      <c r="T16" s="8" t="n"/>
      <c r="U16" s="8" t="n"/>
      <c r="V16" s="8" t="n"/>
      <c r="W16" s="8" t="n"/>
      <c r="X16" s="8" t="n"/>
      <c r="Y16" s="8" t="n"/>
    </row>
    <row r="17">
      <c r="A17" s="7" t="inlineStr">
        <is>
          <t>2010</t>
        </is>
      </c>
      <c r="B17" s="8" t="n"/>
      <c r="C17" s="9" t="n">
        <v>2.0292</v>
      </c>
      <c r="D17" s="9" t="n">
        <v>1.3021</v>
      </c>
      <c r="E17" s="9" t="n">
        <v>1.1619</v>
      </c>
      <c r="F17" s="9" t="n">
        <v>1.1184</v>
      </c>
      <c r="G17" s="9" t="n">
        <v>0.9893</v>
      </c>
      <c r="H17" s="9" t="n">
        <v>1.0396</v>
      </c>
      <c r="I17" s="9" t="n">
        <v>1.0012</v>
      </c>
      <c r="J17" s="9" t="n">
        <v>0.9953</v>
      </c>
      <c r="K17" s="9" t="n">
        <v>1.0006</v>
      </c>
      <c r="L17" s="9" t="n">
        <v>1.0008</v>
      </c>
      <c r="M17" s="9" t="n">
        <v>1.0001</v>
      </c>
      <c r="N17" s="9" t="n">
        <v>1.0013</v>
      </c>
      <c r="O17" s="9" t="n">
        <v>0.9998</v>
      </c>
      <c r="P17" s="9" t="n">
        <v>1.006</v>
      </c>
      <c r="Q17" s="8" t="n"/>
      <c r="R17" s="8" t="n"/>
      <c r="S17" s="8" t="n"/>
      <c r="T17" s="8" t="n"/>
      <c r="U17" s="8" t="n"/>
      <c r="V17" s="8" t="n"/>
      <c r="W17" s="8" t="n"/>
      <c r="X17" s="8" t="n"/>
      <c r="Y17" s="8" t="n"/>
    </row>
    <row r="18">
      <c r="A18" s="7" t="inlineStr">
        <is>
          <t>2011</t>
        </is>
      </c>
      <c r="B18" s="8" t="n"/>
      <c r="C18" s="9" t="n">
        <v>1.9534</v>
      </c>
      <c r="D18" s="9" t="n">
        <v>1.4748</v>
      </c>
      <c r="E18" s="9" t="n">
        <v>1.1547</v>
      </c>
      <c r="F18" s="9" t="n">
        <v>1.067</v>
      </c>
      <c r="G18" s="9" t="n">
        <v>1.08</v>
      </c>
      <c r="H18" s="9" t="n">
        <v>1.0553</v>
      </c>
      <c r="I18" s="9" t="n">
        <v>1.0001</v>
      </c>
      <c r="J18" s="9" t="n">
        <v>1.0138</v>
      </c>
      <c r="K18" s="9" t="n">
        <v>1.0038</v>
      </c>
      <c r="L18" s="9" t="n">
        <v>1.0282</v>
      </c>
      <c r="M18" s="9" t="n">
        <v>0.9969</v>
      </c>
      <c r="N18" s="9" t="n">
        <v>1</v>
      </c>
      <c r="O18" s="9" t="n">
        <v>1</v>
      </c>
      <c r="P18" s="8" t="n"/>
      <c r="Q18" s="8" t="n"/>
      <c r="R18" s="8" t="n"/>
      <c r="S18" s="8" t="n"/>
      <c r="T18" s="8" t="n"/>
      <c r="U18" s="8" t="n"/>
      <c r="V18" s="8" t="n"/>
      <c r="W18" s="8" t="n"/>
      <c r="X18" s="8" t="n"/>
      <c r="Y18" s="8" t="n"/>
    </row>
    <row r="19">
      <c r="A19" s="7" t="inlineStr">
        <is>
          <t>2012</t>
        </is>
      </c>
      <c r="B19" s="8" t="n"/>
      <c r="C19" s="9" t="n">
        <v>2.0319</v>
      </c>
      <c r="D19" s="9" t="n">
        <v>1.307</v>
      </c>
      <c r="E19" s="9" t="n">
        <v>1.0868</v>
      </c>
      <c r="F19" s="9" t="n">
        <v>0.9969</v>
      </c>
      <c r="G19" s="9" t="n">
        <v>1.0088</v>
      </c>
      <c r="H19" s="9" t="n">
        <v>1.004</v>
      </c>
      <c r="I19" s="9" t="n">
        <v>1.0516</v>
      </c>
      <c r="J19" s="9" t="n">
        <v>1.0559</v>
      </c>
      <c r="K19" s="9" t="n">
        <v>1.0565</v>
      </c>
      <c r="L19" s="9" t="n">
        <v>1.0075</v>
      </c>
      <c r="M19" s="9" t="n">
        <v>1.179</v>
      </c>
      <c r="N19" s="9" t="n">
        <v>1</v>
      </c>
      <c r="O19" s="8" t="n"/>
      <c r="P19" s="8" t="n"/>
      <c r="Q19" s="8" t="n"/>
      <c r="R19" s="8" t="n"/>
      <c r="S19" s="8" t="n"/>
      <c r="T19" s="8" t="n"/>
      <c r="U19" s="8" t="n"/>
      <c r="V19" s="8" t="n"/>
      <c r="W19" s="8" t="n"/>
      <c r="X19" s="8" t="n"/>
      <c r="Y19" s="8" t="n"/>
    </row>
    <row r="20">
      <c r="A20" s="7" t="inlineStr">
        <is>
          <t>2013</t>
        </is>
      </c>
      <c r="B20" s="8" t="n"/>
      <c r="C20" s="9" t="n">
        <v>1.8261</v>
      </c>
      <c r="D20" s="9" t="n">
        <v>1.0872</v>
      </c>
      <c r="E20" s="9" t="n">
        <v>1.2056</v>
      </c>
      <c r="F20" s="9" t="n">
        <v>1.0608</v>
      </c>
      <c r="G20" s="9" t="n">
        <v>0.9974</v>
      </c>
      <c r="H20" s="9" t="n">
        <v>1.0005</v>
      </c>
      <c r="I20" s="9" t="n">
        <v>1</v>
      </c>
      <c r="J20" s="9" t="n">
        <v>1.0019</v>
      </c>
      <c r="K20" s="9" t="n">
        <v>1</v>
      </c>
      <c r="L20" s="9" t="n">
        <v>1</v>
      </c>
      <c r="M20" s="9" t="n">
        <v>1</v>
      </c>
      <c r="N20" s="8" t="n"/>
      <c r="O20" s="8" t="n"/>
      <c r="P20" s="8" t="n"/>
      <c r="Q20" s="8" t="n"/>
      <c r="R20" s="8" t="n"/>
      <c r="S20" s="8" t="n"/>
      <c r="T20" s="8" t="n"/>
      <c r="U20" s="8" t="n"/>
      <c r="V20" s="8" t="n"/>
      <c r="W20" s="8" t="n"/>
      <c r="X20" s="8" t="n"/>
      <c r="Y20" s="8" t="n"/>
    </row>
    <row r="21">
      <c r="A21" s="7" t="inlineStr">
        <is>
          <t>2014</t>
        </is>
      </c>
      <c r="B21" s="8" t="n"/>
      <c r="C21" s="9" t="n">
        <v>1.3662</v>
      </c>
      <c r="D21" s="9" t="n">
        <v>1.4116</v>
      </c>
      <c r="E21" s="9" t="n">
        <v>1.1563</v>
      </c>
      <c r="F21" s="9" t="n">
        <v>1.0143</v>
      </c>
      <c r="G21" s="9" t="n">
        <v>1.0345</v>
      </c>
      <c r="H21" s="9" t="n">
        <v>0.9714</v>
      </c>
      <c r="I21" s="9" t="n">
        <v>1</v>
      </c>
      <c r="J21" s="9" t="n">
        <v>1.0411</v>
      </c>
      <c r="K21" s="9" t="n">
        <v>1.0206</v>
      </c>
      <c r="L21" s="9" t="n">
        <v>0.9931</v>
      </c>
      <c r="M21" s="8" t="n"/>
      <c r="N21" s="8" t="n"/>
      <c r="O21" s="8" t="n"/>
      <c r="P21" s="8" t="n"/>
      <c r="Q21" s="8" t="n"/>
      <c r="R21" s="8" t="n"/>
      <c r="S21" s="8" t="n"/>
      <c r="T21" s="8" t="n"/>
      <c r="U21" s="8" t="n"/>
      <c r="V21" s="8" t="n"/>
      <c r="W21" s="8" t="n"/>
      <c r="X21" s="8" t="n"/>
      <c r="Y21" s="8" t="n"/>
    </row>
    <row r="22">
      <c r="A22" s="7" t="inlineStr">
        <is>
          <t>2015</t>
        </is>
      </c>
      <c r="B22" s="8" t="n"/>
      <c r="C22" s="9" t="n">
        <v>1.9857</v>
      </c>
      <c r="D22" s="9" t="n">
        <v>1.5027</v>
      </c>
      <c r="E22" s="9" t="n">
        <v>1.3285</v>
      </c>
      <c r="F22" s="9" t="n">
        <v>1.1059</v>
      </c>
      <c r="G22" s="9" t="n">
        <v>1.1362</v>
      </c>
      <c r="H22" s="9" t="n">
        <v>1.1399</v>
      </c>
      <c r="I22" s="9" t="n">
        <v>1.0068</v>
      </c>
      <c r="J22" s="9" t="n">
        <v>1.0033</v>
      </c>
      <c r="K22" s="9" t="n">
        <v>1.0962</v>
      </c>
      <c r="L22" s="8" t="n"/>
      <c r="M22" s="8" t="n"/>
      <c r="N22" s="8" t="n"/>
      <c r="O22" s="8" t="n"/>
      <c r="P22" s="8" t="n"/>
      <c r="Q22" s="8" t="n"/>
      <c r="R22" s="8" t="n"/>
      <c r="S22" s="8" t="n"/>
      <c r="T22" s="8" t="n"/>
      <c r="U22" s="8" t="n"/>
      <c r="V22" s="8" t="n"/>
      <c r="W22" s="8" t="n"/>
      <c r="X22" s="8" t="n"/>
      <c r="Y22" s="8" t="n"/>
    </row>
    <row r="23">
      <c r="A23" s="7" t="inlineStr">
        <is>
          <t>2016</t>
        </is>
      </c>
      <c r="B23" s="8" t="n"/>
      <c r="C23" s="9" t="n">
        <v>1.8697</v>
      </c>
      <c r="D23" s="9" t="n">
        <v>1.348</v>
      </c>
      <c r="E23" s="9" t="n">
        <v>1.087</v>
      </c>
      <c r="F23" s="9" t="n">
        <v>1.1423</v>
      </c>
      <c r="G23" s="9" t="n">
        <v>1.0316</v>
      </c>
      <c r="H23" s="9" t="n">
        <v>1.1275</v>
      </c>
      <c r="I23" s="9" t="n">
        <v>0.9998</v>
      </c>
      <c r="J23" s="9" t="n">
        <v>1.0013</v>
      </c>
      <c r="K23" s="8" t="n"/>
      <c r="L23" s="8" t="n"/>
      <c r="M23" s="8" t="n"/>
      <c r="N23" s="8" t="n"/>
      <c r="O23" s="8" t="n"/>
      <c r="P23" s="8" t="n"/>
      <c r="Q23" s="8" t="n"/>
      <c r="R23" s="8" t="n"/>
      <c r="S23" s="8" t="n"/>
      <c r="T23" s="8" t="n"/>
      <c r="U23" s="8" t="n"/>
      <c r="V23" s="8" t="n"/>
      <c r="W23" s="8" t="n"/>
      <c r="X23" s="8" t="n"/>
      <c r="Y23" s="8" t="n"/>
    </row>
    <row r="24">
      <c r="A24" s="7" t="inlineStr">
        <is>
          <t>2017</t>
        </is>
      </c>
      <c r="B24" s="8" t="n"/>
      <c r="C24" s="9" t="n">
        <v>1.3328</v>
      </c>
      <c r="D24" s="9" t="n">
        <v>1.0344</v>
      </c>
      <c r="E24" s="9" t="n">
        <v>1.3094</v>
      </c>
      <c r="F24" s="9" t="n">
        <v>1.0751</v>
      </c>
      <c r="G24" s="9" t="n">
        <v>1.1327</v>
      </c>
      <c r="H24" s="9" t="n">
        <v>1.1527</v>
      </c>
      <c r="I24" s="9" t="n">
        <v>1.0315</v>
      </c>
      <c r="J24" s="8" t="n"/>
      <c r="K24" s="8" t="n"/>
      <c r="L24" s="8" t="n"/>
      <c r="M24" s="8" t="n"/>
      <c r="N24" s="8" t="n"/>
      <c r="O24" s="8" t="n"/>
      <c r="P24" s="8" t="n"/>
      <c r="Q24" s="8" t="n"/>
      <c r="R24" s="8" t="n"/>
      <c r="S24" s="8" t="n"/>
      <c r="T24" s="8" t="n"/>
      <c r="U24" s="8" t="n"/>
      <c r="V24" s="8" t="n"/>
      <c r="W24" s="8" t="n"/>
      <c r="X24" s="8" t="n"/>
      <c r="Y24" s="8" t="n"/>
    </row>
    <row r="25">
      <c r="A25" s="7" t="inlineStr">
        <is>
          <t>2018</t>
        </is>
      </c>
      <c r="B25" s="8" t="n"/>
      <c r="C25" s="9" t="n">
        <v>2.2994</v>
      </c>
      <c r="D25" s="9" t="n">
        <v>1.4287</v>
      </c>
      <c r="E25" s="9" t="n">
        <v>1.3883</v>
      </c>
      <c r="F25" s="9" t="n">
        <v>0.9943</v>
      </c>
      <c r="G25" s="9" t="n">
        <v>1.0131</v>
      </c>
      <c r="H25" s="9" t="n">
        <v>1.0265</v>
      </c>
      <c r="I25" s="8" t="n"/>
      <c r="J25" s="8" t="n"/>
      <c r="K25" s="8" t="n"/>
      <c r="L25" s="8" t="n"/>
      <c r="M25" s="8" t="n"/>
      <c r="N25" s="8" t="n"/>
      <c r="O25" s="8" t="n"/>
      <c r="P25" s="8" t="n"/>
      <c r="Q25" s="8" t="n"/>
      <c r="R25" s="8" t="n"/>
      <c r="S25" s="8" t="n"/>
      <c r="T25" s="8" t="n"/>
      <c r="U25" s="8" t="n"/>
      <c r="V25" s="8" t="n"/>
      <c r="W25" s="8" t="n"/>
      <c r="X25" s="8" t="n"/>
      <c r="Y25" s="8" t="n"/>
    </row>
    <row r="26">
      <c r="A26" s="7" t="inlineStr">
        <is>
          <t>2019</t>
        </is>
      </c>
      <c r="B26" s="8" t="n"/>
      <c r="C26" s="9" t="n">
        <v>2.757</v>
      </c>
      <c r="D26" s="9" t="n">
        <v>1.5473</v>
      </c>
      <c r="E26" s="9" t="n">
        <v>1.1497</v>
      </c>
      <c r="F26" s="9" t="n">
        <v>1.0634</v>
      </c>
      <c r="G26" s="9" t="n">
        <v>1.2221</v>
      </c>
      <c r="H26" s="8" t="n"/>
      <c r="I26" s="8" t="n"/>
      <c r="J26" s="8" t="n"/>
      <c r="K26" s="8" t="n"/>
      <c r="L26" s="8" t="n"/>
      <c r="M26" s="8" t="n"/>
      <c r="N26" s="8" t="n"/>
      <c r="O26" s="8" t="n"/>
      <c r="P26" s="8" t="n"/>
      <c r="Q26" s="8" t="n"/>
      <c r="R26" s="8" t="n"/>
      <c r="S26" s="8" t="n"/>
      <c r="T26" s="8" t="n"/>
      <c r="U26" s="8" t="n"/>
      <c r="V26" s="8" t="n"/>
      <c r="W26" s="8" t="n"/>
      <c r="X26" s="8" t="n"/>
      <c r="Y26" s="8" t="n"/>
    </row>
    <row r="27">
      <c r="A27" s="7" t="inlineStr">
        <is>
          <t>2020</t>
        </is>
      </c>
      <c r="B27" s="8" t="n"/>
      <c r="C27" s="9" t="n">
        <v>1.7849</v>
      </c>
      <c r="D27" s="9" t="n">
        <v>0.9832</v>
      </c>
      <c r="E27" s="9" t="n">
        <v>1.058</v>
      </c>
      <c r="F27" s="9" t="n">
        <v>1.0097</v>
      </c>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2021</t>
        </is>
      </c>
      <c r="B28" s="8" t="n"/>
      <c r="C28" s="9" t="n">
        <v>1.4577</v>
      </c>
      <c r="D28" s="9" t="n">
        <v>1.224</v>
      </c>
      <c r="E28" s="9" t="n">
        <v>1.0316</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2022</t>
        </is>
      </c>
      <c r="B29" s="8" t="n"/>
      <c r="C29" s="9" t="n">
        <v>1.2261</v>
      </c>
      <c r="D29" s="9" t="n">
        <v>0.9715</v>
      </c>
      <c r="E29" s="8" t="n"/>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2023</t>
        </is>
      </c>
      <c r="B30" s="8" t="n"/>
      <c r="C30" s="9" t="n">
        <v>1.6941</v>
      </c>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2024</t>
        </is>
      </c>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Average</t>
        </is>
      </c>
      <c r="B32" s="9">
        <f>IFERROR(AVERAGE(B8:B31),"")</f>
        <v/>
      </c>
      <c r="C32" s="9">
        <f>IFERROR(AVERAGE(C8:C31),"")</f>
        <v/>
      </c>
      <c r="D32" s="9">
        <f>IFERROR(AVERAGE(D8:D31),"")</f>
        <v/>
      </c>
      <c r="E32" s="9">
        <f>IFERROR(AVERAGE(E8:E31),"")</f>
        <v/>
      </c>
      <c r="F32" s="9">
        <f>IFERROR(AVERAGE(F8:F31),"")</f>
        <v/>
      </c>
      <c r="G32" s="9">
        <f>IFERROR(AVERAGE(G8:G31),"")</f>
        <v/>
      </c>
      <c r="H32" s="9">
        <f>IFERROR(AVERAGE(H8:H31),"")</f>
        <v/>
      </c>
      <c r="I32" s="9">
        <f>IFERROR(AVERAGE(I8:I31),"")</f>
        <v/>
      </c>
      <c r="J32" s="9">
        <f>IFERROR(AVERAGE(J8:J31),"")</f>
        <v/>
      </c>
      <c r="K32" s="9">
        <f>IFERROR(AVERAGE(K8:K31),"")</f>
        <v/>
      </c>
      <c r="L32" s="9">
        <f>IFERROR(AVERAGE(L8:L31),"")</f>
        <v/>
      </c>
      <c r="M32" s="9">
        <f>IFERROR(AVERAGE(M8:M31),"")</f>
        <v/>
      </c>
      <c r="N32" s="9">
        <f>IFERROR(AVERAGE(N8:N31),"")</f>
        <v/>
      </c>
      <c r="O32" s="9">
        <f>IFERROR(AVERAGE(O8:O31),"")</f>
        <v/>
      </c>
      <c r="P32" s="9">
        <f>IFERROR(AVERAGE(P8:P31),"")</f>
        <v/>
      </c>
      <c r="Q32" s="9">
        <f>IFERROR(AVERAGE(Q8:Q31),"")</f>
        <v/>
      </c>
      <c r="R32" s="9">
        <f>IFERROR(AVERAGE(R8:R31),"")</f>
        <v/>
      </c>
      <c r="S32" s="9">
        <f>IFERROR(AVERAGE(S8:S31),"")</f>
        <v/>
      </c>
      <c r="T32" s="9">
        <f>IFERROR(AVERAGE(T8:T31),"")</f>
        <v/>
      </c>
      <c r="U32" s="9">
        <f>IFERROR(AVERAGE(U8:U31),"")</f>
        <v/>
      </c>
      <c r="V32" s="9">
        <f>IFERROR(AVERAGE(V8:V31),"")</f>
        <v/>
      </c>
      <c r="W32" s="9">
        <f>IFERROR(AVERAGE(W8:W31),"")</f>
        <v/>
      </c>
      <c r="X32" s="9">
        <f>IFERROR(AVERAGE(X8:X31),"")</f>
        <v/>
      </c>
      <c r="Y32" s="9">
        <f>IFERROR(AVERAGE(Y8:Y31),"")</f>
        <v/>
      </c>
    </row>
    <row r="33">
      <c r="A33" s="7" t="inlineStr">
        <is>
          <t>CV</t>
        </is>
      </c>
      <c r="B33" s="9">
        <f>IFERROR(_xlfn.STDEV.S(B8:B31)/AVERAGE(B8:B31),"")</f>
        <v/>
      </c>
      <c r="C33" s="9">
        <f>IFERROR(_xlfn.STDEV.S(C8:C31)/AVERAGE(C8:C31),"")</f>
        <v/>
      </c>
      <c r="D33" s="9">
        <f>IFERROR(_xlfn.STDEV.S(D8:D31)/AVERAGE(D8:D31),"")</f>
        <v/>
      </c>
      <c r="E33" s="9">
        <f>IFERROR(_xlfn.STDEV.S(E8:E31)/AVERAGE(E8:E31),"")</f>
        <v/>
      </c>
      <c r="F33" s="9">
        <f>IFERROR(_xlfn.STDEV.S(F8:F31)/AVERAGE(F8:F31),"")</f>
        <v/>
      </c>
      <c r="G33" s="9">
        <f>IFERROR(_xlfn.STDEV.S(G8:G31)/AVERAGE(G8:G31),"")</f>
        <v/>
      </c>
      <c r="H33" s="9">
        <f>IFERROR(_xlfn.STDEV.S(H8:H31)/AVERAGE(H8:H31),"")</f>
        <v/>
      </c>
      <c r="I33" s="9">
        <f>IFERROR(_xlfn.STDEV.S(I8:I31)/AVERAGE(I8:I31),"")</f>
        <v/>
      </c>
      <c r="J33" s="9">
        <f>IFERROR(_xlfn.STDEV.S(J8:J31)/AVERAGE(J8:J31),"")</f>
        <v/>
      </c>
      <c r="K33" s="9">
        <f>IFERROR(_xlfn.STDEV.S(K8:K31)/AVERAGE(K8:K31),"")</f>
        <v/>
      </c>
      <c r="L33" s="9">
        <f>IFERROR(_xlfn.STDEV.S(L8:L31)/AVERAGE(L8:L31),"")</f>
        <v/>
      </c>
      <c r="M33" s="9">
        <f>IFERROR(_xlfn.STDEV.S(M8:M31)/AVERAGE(M8:M31),"")</f>
        <v/>
      </c>
      <c r="N33" s="9">
        <f>IFERROR(_xlfn.STDEV.S(N8:N31)/AVERAGE(N8:N31),"")</f>
        <v/>
      </c>
      <c r="O33" s="9">
        <f>IFERROR(_xlfn.STDEV.S(O8:O31)/AVERAGE(O8:O31),"")</f>
        <v/>
      </c>
      <c r="P33" s="9">
        <f>IFERROR(_xlfn.STDEV.S(P8:P31)/AVERAGE(P8:P31),"")</f>
        <v/>
      </c>
      <c r="Q33" s="9">
        <f>IFERROR(_xlfn.STDEV.S(Q8:Q31)/AVERAGE(Q8:Q31),"")</f>
        <v/>
      </c>
      <c r="R33" s="9">
        <f>IFERROR(_xlfn.STDEV.S(R8:R31)/AVERAGE(R8:R31),"")</f>
        <v/>
      </c>
      <c r="S33" s="9">
        <f>IFERROR(_xlfn.STDEV.S(S8:S31)/AVERAGE(S8:S31),"")</f>
        <v/>
      </c>
      <c r="T33" s="9">
        <f>IFERROR(_xlfn.STDEV.S(T8:T31)/AVERAGE(T8:T31),"")</f>
        <v/>
      </c>
      <c r="U33" s="9">
        <f>IFERROR(_xlfn.STDEV.S(U8:U31)/AVERAGE(U8:U31),"")</f>
        <v/>
      </c>
      <c r="V33" s="9">
        <f>IFERROR(_xlfn.STDEV.S(V8:V31)/AVERAGE(V8:V31),"")</f>
        <v/>
      </c>
      <c r="W33" s="9">
        <f>IFERROR(_xlfn.STDEV.S(W8:W31)/AVERAGE(W8:W31),"")</f>
        <v/>
      </c>
      <c r="X33" s="9">
        <f>IFERROR(_xlfn.STDEV.S(X8:X31)/AVERAGE(X8:X31),"")</f>
        <v/>
      </c>
      <c r="Y33" s="9">
        <f>IFERROR(_xlfn.STDEV.S(Y8:Y31)/AVERAGE(Y8:Y31),"")</f>
        <v/>
      </c>
    </row>
    <row r="34"/>
    <row r="35">
      <c r="A35" s="5" t="inlineStr">
        <is>
          <t>Scenario Comparison</t>
        </is>
      </c>
    </row>
    <row r="36">
      <c r="A36" s="6" t="inlineStr">
        <is>
          <t>Starting Age</t>
        </is>
      </c>
      <c r="B36" s="6" t="inlineStr">
        <is>
          <t>Monotone</t>
        </is>
      </c>
      <c r="C36" s="6" t="inlineStr">
        <is>
          <t>CV</t>
        </is>
      </c>
      <c r="D36" s="6" t="inlineStr">
        <is>
          <t>Slope Breaks</t>
        </is>
      </c>
      <c r="E36" s="6" t="inlineStr">
        <is>
          <t>Method</t>
        </is>
      </c>
      <c r="F36" s="6" t="inlineStr">
        <is>
          <t>Params</t>
        </is>
      </c>
      <c r="G36" s="6" t="inlineStr">
        <is>
          <t>Tail Factor</t>
        </is>
      </c>
      <c r="H36" s="6" t="inlineStr">
        <is>
          <t>R2</t>
        </is>
      </c>
      <c r="I36" s="6" t="inlineStr">
        <is>
          <t>LOO Std Dev</t>
        </is>
      </c>
      <c r="J36" s="6" t="inlineStr">
        <is>
          <t>Gap to Last</t>
        </is>
      </c>
      <c r="K36" s="6" t="inlineStr">
        <is>
          <t>Gap Flag</t>
        </is>
      </c>
      <c r="L36" s="6" t="inlineStr">
        <is>
          <t>% of CDF</t>
        </is>
      </c>
      <c r="M36" s="6" t="inlineStr">
        <is>
          <t>Materiality OK</t>
        </is>
      </c>
      <c r="N36" s="6" t="inlineStr">
        <is>
          <t>+10% Reserve Delta</t>
        </is>
      </c>
      <c r="O36" s="6" t="inlineStr">
        <is>
          <t>+20% Reserve Delta</t>
        </is>
      </c>
    </row>
    <row r="37">
      <c r="A37" s="10" t="n">
        <v>143</v>
      </c>
      <c r="B37" s="11" t="inlineStr">
        <is>
          <t>N</t>
        </is>
      </c>
      <c r="C37" s="10" t="n">
        <v>0.01308143486613297</v>
      </c>
      <c r="D37" s="12" t="n">
        <v>9</v>
      </c>
      <c r="E37" s="13" t="inlineStr">
        <is>
          <t>bondy</t>
        </is>
      </c>
      <c r="F37" s="13" t="n"/>
      <c r="G37" s="10" t="n">
        <v>1.0119</v>
      </c>
      <c r="H37" s="12">
        <f>#NUM!</f>
        <v/>
      </c>
      <c r="I37" s="12">
        <f>#NUM!</f>
        <v/>
      </c>
      <c r="J37" s="12">
        <f>#NUM!</f>
        <v/>
      </c>
      <c r="K37" s="12" t="inlineStr">
        <is>
          <t>N</t>
        </is>
      </c>
      <c r="L37" s="10" t="n">
        <v>0.397788722563284</v>
      </c>
      <c r="M37" s="28" t="inlineStr">
        <is>
          <t>N</t>
        </is>
      </c>
      <c r="N37" s="10" t="n">
        <v>993383.2532688677</v>
      </c>
      <c r="O37" s="29" t="n">
        <v>1821202.630992919</v>
      </c>
    </row>
    <row r="38">
      <c r="A38" s="16" t="n">
        <v>143</v>
      </c>
      <c r="B38" s="17" t="inlineStr">
        <is>
          <t>N</t>
        </is>
      </c>
      <c r="C38" s="16" t="n">
        <v>0.01308143486613297</v>
      </c>
      <c r="D38" s="18" t="n">
        <v>9</v>
      </c>
      <c r="E38" s="19" t="inlineStr">
        <is>
          <t>double_exp</t>
        </is>
      </c>
      <c r="F38" s="19" t="inlineStr">
        <is>
          <t>[-6.443260556945541, 0.34069008345644103, -0.01501500915121795]</t>
        </is>
      </c>
      <c r="G38" s="16" t="n">
        <v>1.077782958006554</v>
      </c>
      <c r="H38" s="18" t="n">
        <v>0.3319356148418592</v>
      </c>
      <c r="I38" s="18" t="n">
        <v>0.01009648961399146</v>
      </c>
      <c r="J38" s="18" t="n">
        <v>0.0006087900176089292</v>
      </c>
      <c r="K38" s="18" t="inlineStr">
        <is>
          <t>N</t>
        </is>
      </c>
      <c r="L38" s="16" t="n">
        <v>2.392276893596306</v>
      </c>
      <c r="M38" s="30" t="inlineStr">
        <is>
          <t>N</t>
        </is>
      </c>
      <c r="N38" s="16" t="n">
        <v>932659.4993132614</v>
      </c>
      <c r="O38" s="31" t="n">
        <v>1709875.748740982</v>
      </c>
    </row>
    <row r="39">
      <c r="A39" s="16" t="n">
        <v>143</v>
      </c>
      <c r="B39" s="17" t="inlineStr">
        <is>
          <t>N</t>
        </is>
      </c>
      <c r="C39" s="16" t="n">
        <v>0.01308143486613297</v>
      </c>
      <c r="D39" s="18" t="n">
        <v>9</v>
      </c>
      <c r="E39" s="19" t="inlineStr">
        <is>
          <t>mcclenahan</t>
        </is>
      </c>
      <c r="F39" s="19" t="inlineStr">
        <is>
          <t>{"r": 0.24431098}</t>
        </is>
      </c>
      <c r="G39" s="16" t="n">
        <v>1.000000000000008</v>
      </c>
      <c r="H39" s="18">
        <f>#NUM!</f>
        <v/>
      </c>
      <c r="I39" s="18">
        <f>#NUM!</f>
        <v/>
      </c>
      <c r="J39" s="18">
        <f>#NUM!</f>
        <v/>
      </c>
      <c r="K39" s="18" t="inlineStr">
        <is>
          <t>N</t>
        </is>
      </c>
      <c r="L39" s="16" t="n">
        <v>2.865483703161115e-13</v>
      </c>
      <c r="M39" s="30" t="inlineStr">
        <is>
          <t>Y</t>
        </is>
      </c>
      <c r="N39" s="16" t="n">
        <v>1005204.513982754</v>
      </c>
      <c r="O39" s="31" t="n">
        <v>1842874.942301709</v>
      </c>
    </row>
    <row r="40">
      <c r="A40" s="10" t="n">
        <v>143</v>
      </c>
      <c r="B40" s="11" t="inlineStr">
        <is>
          <t>N</t>
        </is>
      </c>
      <c r="C40" s="10" t="n">
        <v>0.01308143486613297</v>
      </c>
      <c r="D40" s="12" t="n">
        <v>9</v>
      </c>
      <c r="E40" s="13" t="inlineStr">
        <is>
          <t>modified_bondy_double_dev</t>
        </is>
      </c>
      <c r="F40" s="13" t="n"/>
      <c r="G40" s="10" t="n">
        <v>1.0238</v>
      </c>
      <c r="H40" s="12">
        <f>#NUM!</f>
        <v/>
      </c>
      <c r="I40" s="12">
        <f>#NUM!</f>
        <v/>
      </c>
      <c r="J40" s="12">
        <f>#NUM!</f>
        <v/>
      </c>
      <c r="K40" s="12" t="inlineStr">
        <is>
          <t>N</t>
        </is>
      </c>
      <c r="L40" s="10" t="n">
        <v>0.7832867652919634</v>
      </c>
      <c r="M40" s="28" t="inlineStr">
        <is>
          <t>N</t>
        </is>
      </c>
      <c r="N40" s="10" t="n">
        <v>981836.7981859297</v>
      </c>
      <c r="O40" s="29" t="n">
        <v>1800034.130007543</v>
      </c>
    </row>
    <row r="41">
      <c r="A41" s="10" t="n">
        <v>143</v>
      </c>
      <c r="B41" s="11" t="inlineStr">
        <is>
          <t>N</t>
        </is>
      </c>
      <c r="C41" s="10" t="n">
        <v>0.01308143486613297</v>
      </c>
      <c r="D41" s="12" t="n">
        <v>9</v>
      </c>
      <c r="E41" s="13" t="inlineStr">
        <is>
          <t>modified_bondy_square_ratio</t>
        </is>
      </c>
      <c r="F41" s="13" t="n"/>
      <c r="G41" s="10" t="n">
        <v>1.02394161</v>
      </c>
      <c r="H41" s="12">
        <f>#NUM!</f>
        <v/>
      </c>
      <c r="I41" s="12">
        <f>#NUM!</f>
        <v/>
      </c>
      <c r="J41" s="12">
        <f>#NUM!</f>
        <v/>
      </c>
      <c r="K41" s="12" t="inlineStr">
        <is>
          <t>N</t>
        </is>
      </c>
      <c r="L41" s="10" t="n">
        <v>0.787802491804133</v>
      </c>
      <c r="M41" s="28" t="inlineStr">
        <is>
          <t>N</t>
        </is>
      </c>
      <c r="N41" s="10" t="n">
        <v>981701.0112351663</v>
      </c>
      <c r="O41" s="29" t="n">
        <v>1799785.187264461</v>
      </c>
    </row>
    <row r="42">
      <c r="A42" s="10" t="n">
        <v>203</v>
      </c>
      <c r="B42" s="11" t="inlineStr">
        <is>
          <t>N</t>
        </is>
      </c>
      <c r="C42" s="10" t="n">
        <v>0.01123156187314335</v>
      </c>
      <c r="D42" s="12" t="n">
        <v>5</v>
      </c>
      <c r="E42" s="13" t="inlineStr">
        <is>
          <t>bondy</t>
        </is>
      </c>
      <c r="F42" s="13" t="n"/>
      <c r="G42" s="10" t="n">
        <v>1.0119</v>
      </c>
      <c r="H42" s="12">
        <f>#NUM!</f>
        <v/>
      </c>
      <c r="I42" s="12">
        <f>#NUM!</f>
        <v/>
      </c>
      <c r="J42" s="12">
        <f>#NUM!</f>
        <v/>
      </c>
      <c r="K42" s="12" t="inlineStr">
        <is>
          <t>N</t>
        </is>
      </c>
      <c r="L42" s="10" t="n">
        <v>0.397788722563284</v>
      </c>
      <c r="M42" s="28" t="inlineStr">
        <is>
          <t>N</t>
        </is>
      </c>
      <c r="N42" s="10" t="n">
        <v>993383.2532688677</v>
      </c>
      <c r="O42" s="29" t="n">
        <v>1821202.630992919</v>
      </c>
    </row>
    <row r="43">
      <c r="A43" s="16" t="n">
        <v>203</v>
      </c>
      <c r="B43" s="17" t="inlineStr">
        <is>
          <t>N</t>
        </is>
      </c>
      <c r="C43" s="16" t="n">
        <v>0.01123156187314335</v>
      </c>
      <c r="D43" s="18" t="n">
        <v>5</v>
      </c>
      <c r="E43" s="19" t="inlineStr">
        <is>
          <t>double_exp</t>
        </is>
      </c>
      <c r="F43" s="19" t="inlineStr">
        <is>
          <t>[-6.198815549455116, 0.8016226533428397, -0.08285309337556246]</t>
        </is>
      </c>
      <c r="G43" s="16" t="n">
        <v>1.021551350628563</v>
      </c>
      <c r="H43" s="18" t="n">
        <v>0.8862026012818859</v>
      </c>
      <c r="I43" s="18" t="n">
        <v>0.003719995419637236</v>
      </c>
      <c r="J43" s="18" t="n">
        <v>3.183582064846544e-05</v>
      </c>
      <c r="K43" s="18" t="inlineStr">
        <is>
          <t>N</t>
        </is>
      </c>
      <c r="L43" s="16" t="n">
        <v>0.711357612757944</v>
      </c>
      <c r="M43" s="30" t="inlineStr">
        <is>
          <t>N</t>
        </is>
      </c>
      <c r="N43" s="16" t="n">
        <v>983998.0274748318</v>
      </c>
      <c r="O43" s="31" t="n">
        <v>1803996.383703869</v>
      </c>
    </row>
    <row r="44">
      <c r="A44" s="16" t="n">
        <v>203</v>
      </c>
      <c r="B44" s="17" t="inlineStr">
        <is>
          <t>N</t>
        </is>
      </c>
      <c r="C44" s="16" t="n">
        <v>0.01123156187314335</v>
      </c>
      <c r="D44" s="18" t="n">
        <v>5</v>
      </c>
      <c r="E44" s="19" t="inlineStr">
        <is>
          <t>mcclenahan</t>
        </is>
      </c>
      <c r="F44" s="19" t="inlineStr">
        <is>
          <t>{"r": 0.26072697}</t>
        </is>
      </c>
      <c r="G44" s="16" t="n">
        <v>1.000000000000038</v>
      </c>
      <c r="H44" s="18">
        <f>#NUM!</f>
        <v/>
      </c>
      <c r="I44" s="18">
        <f>#NUM!</f>
        <v/>
      </c>
      <c r="J44" s="18">
        <f>#NUM!</f>
        <v/>
      </c>
      <c r="K44" s="18" t="inlineStr">
        <is>
          <t>N</t>
        </is>
      </c>
      <c r="L44" s="16" t="n">
        <v>1.289467666422451e-12</v>
      </c>
      <c r="M44" s="30" t="inlineStr">
        <is>
          <t>Y</t>
        </is>
      </c>
      <c r="N44" s="16" t="n">
        <v>1005204.513982724</v>
      </c>
      <c r="O44" s="31" t="n">
        <v>1842874.94230165</v>
      </c>
    </row>
    <row r="45">
      <c r="A45" s="10" t="n">
        <v>203</v>
      </c>
      <c r="B45" s="11" t="inlineStr">
        <is>
          <t>N</t>
        </is>
      </c>
      <c r="C45" s="10" t="n">
        <v>0.01123156187314335</v>
      </c>
      <c r="D45" s="12" t="n">
        <v>5</v>
      </c>
      <c r="E45" s="13" t="inlineStr">
        <is>
          <t>modified_bondy_double_dev</t>
        </is>
      </c>
      <c r="F45" s="13" t="n"/>
      <c r="G45" s="10" t="n">
        <v>1.0238</v>
      </c>
      <c r="H45" s="12">
        <f>#NUM!</f>
        <v/>
      </c>
      <c r="I45" s="12">
        <f>#NUM!</f>
        <v/>
      </c>
      <c r="J45" s="12">
        <f>#NUM!</f>
        <v/>
      </c>
      <c r="K45" s="12" t="inlineStr">
        <is>
          <t>N</t>
        </is>
      </c>
      <c r="L45" s="10" t="n">
        <v>0.7832867652919634</v>
      </c>
      <c r="M45" s="28" t="inlineStr">
        <is>
          <t>N</t>
        </is>
      </c>
      <c r="N45" s="10" t="n">
        <v>981836.7981859297</v>
      </c>
      <c r="O45" s="29" t="n">
        <v>1800034.130007543</v>
      </c>
    </row>
    <row r="46">
      <c r="A46" s="10" t="n">
        <v>203</v>
      </c>
      <c r="B46" s="11" t="inlineStr">
        <is>
          <t>N</t>
        </is>
      </c>
      <c r="C46" s="10" t="n">
        <v>0.01123156187314335</v>
      </c>
      <c r="D46" s="12" t="n">
        <v>5</v>
      </c>
      <c r="E46" s="13" t="inlineStr">
        <is>
          <t>modified_bondy_square_ratio</t>
        </is>
      </c>
      <c r="F46" s="13" t="n"/>
      <c r="G46" s="10" t="n">
        <v>1.02394161</v>
      </c>
      <c r="H46" s="12">
        <f>#NUM!</f>
        <v/>
      </c>
      <c r="I46" s="12">
        <f>#NUM!</f>
        <v/>
      </c>
      <c r="J46" s="12">
        <f>#NUM!</f>
        <v/>
      </c>
      <c r="K46" s="12" t="inlineStr">
        <is>
          <t>N</t>
        </is>
      </c>
      <c r="L46" s="10" t="n">
        <v>0.787802491804133</v>
      </c>
      <c r="M46" s="28" t="inlineStr">
        <is>
          <t>N</t>
        </is>
      </c>
      <c r="N46" s="10" t="n">
        <v>981701.0112351663</v>
      </c>
      <c r="O46" s="29" t="n">
        <v>1799785.187264461</v>
      </c>
    </row>
    <row r="47"/>
    <row r="48">
      <c r="A48" s="5" t="inlineStr">
        <is>
          <t>Tail Factor Selection</t>
        </is>
      </c>
    </row>
    <row r="49">
      <c r="A49" s="6" t="inlineStr">
        <is>
          <t>Label</t>
        </is>
      </c>
      <c r="B49" s="6" t="inlineStr">
        <is>
          <t>Cutoff Age</t>
        </is>
      </c>
      <c r="C49" s="6" t="inlineStr">
        <is>
          <t>Tail Factor</t>
        </is>
      </c>
      <c r="D49" s="6" t="inlineStr">
        <is>
          <t>Method</t>
        </is>
      </c>
      <c r="E49" s="6" t="inlineStr">
        <is>
          <t>Reasoning</t>
        </is>
      </c>
      <c r="F49" s="6" t="inlineStr">
        <is>
          <t>Additional Notes</t>
        </is>
      </c>
    </row>
    <row r="50">
      <c r="A50" s="22" t="inlineStr">
        <is>
          <t>Rules-Based AI Selection</t>
        </is>
      </c>
      <c r="B50" s="32" t="n">
        <v>203</v>
      </c>
      <c r="C50" s="33" t="n">
        <v>1.021551350628563</v>
      </c>
      <c r="D50" s="34" t="inlineStr">
        <is>
          <t>double_exp</t>
        </is>
      </c>
      <c r="E50" s="34" t="inlineStr">
        <is>
          <t>Incurred Loss triangle expects medium tail, materially longer than Reported Count but shorter than Paid Loss. Starting age 203 selected: monotonicity check fails (slope_sign_changes=5) but improves significantly from age 143 (9 sign changes), CV=0.0112 (excellent), n_factors=7 meeting minimum. Double exponential provides superior fit diagnostics: RÂ²=0.8862 (well above 0.85 threshold), LOO std dev=0.0037 (stable), gap to last observed=3.2e-05 (immaterial, gap_flag=False). Tail materiality ~0.71% of CDF warrants careful method selection; double_exp balances good fit quality with economical tail estimate. Residual analysis shows sparse anomalies without systematic bias. Bondy (tail=1.0119) rejected due to materiality &gt;0.1%; Bondy and modified variants immaterial rationale not applicable. McClenahan trivial tail (1.0) undershoots observed development. Alternative methods (exp_dev_quick RÂ²=0.32, mcclenahan tail=1.0) lack fit quality or economic substance. Selection reflects ASOP 43 requirement for documented method choice and fit validation.</t>
        </is>
      </c>
      <c r="F50" s="34" t="inlineStr"/>
    </row>
    <row r="51">
      <c r="A51" s="24" t="inlineStr">
        <is>
          <t>Open-Ended AI Selection</t>
        </is>
      </c>
      <c r="B51" s="35" t="n">
        <v>203</v>
      </c>
      <c r="C51" s="36" t="n">
        <v>1.0216</v>
      </c>
      <c r="D51" s="37" t="inlineStr">
        <is>
          <t>double_exp</t>
        </is>
      </c>
      <c r="E51" s="37" t="inlineStr">
        <is>
          <t>Incurred loss exhibits more tail development volatility than paid loss, with observed factors showing modest but non-negligible development beyond age 143. The Double Exponential method at age 203 delivers a tail factor of 1.0216 supported by strong diagnostics: RÂ² = 0.886 (excellent fit to sparse tail), tight LOO stability (std_dev = 0.0037), and minimal gap to last observed (0.000032). Age 203 better captures the lingering development than age 143, where RÂ² drops to 0.332. McClenahan's near-unity estimate at both ages inadequately reflects the observed development intensity. The 1.0216 factor is material (0.71% of CDF) and justified by incurred's characteristic longer tail relative to paid. This selection balances observed development, diagnostic strength, and actuarial reasonableness.</t>
        </is>
      </c>
      <c r="F51" s="37" t="inlineStr"/>
    </row>
    <row r="52"/>
    <row r="53">
      <c r="A53" s="26" t="inlineStr">
        <is>
          <t>User Selection</t>
        </is>
      </c>
      <c r="B53" s="27" t="n"/>
      <c r="C53" s="27" t="n"/>
      <c r="D53" s="27" t="n"/>
      <c r="E53" s="27" t="n"/>
      <c r="F53" s="27" t="n"/>
    </row>
  </sheetData>
  <mergeCells count="5">
    <mergeCell ref="A35:O35"/>
    <mergeCell ref="A2:L2"/>
    <mergeCell ref="A6:Y6"/>
    <mergeCell ref="A48:F48"/>
    <mergeCell ref="A3:L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56"/>
  <sheetViews>
    <sheetView workbookViewId="0">
      <selection activeCell="A1" sqref="A1"/>
    </sheetView>
  </sheetViews>
  <sheetFormatPr baseColWidth="8" defaultRowHeight="15"/>
  <cols>
    <col width="30.7109375" customWidth="1" min="1" max="1"/>
    <col width="12.7109375" customWidth="1" min="2" max="3"/>
    <col width="15.7109375" customWidth="1" min="4" max="4"/>
    <col width="25.7109375" customWidth="1" min="5" max="5"/>
    <col width="30.7109375" customWidth="1" min="6" max="6"/>
  </cols>
  <sheetData>
    <row r="1"/>
    <row r="2">
      <c r="A2" s="1" t="inlineStr">
        <is>
          <t>Paid Loss</t>
        </is>
      </c>
    </row>
    <row r="3">
      <c r="A3" s="2" t="inlineStr">
        <is>
          <t>Paid loss tails typically longer than incurred</t>
        </is>
      </c>
    </row>
    <row r="4">
      <c r="A4" s="3" t="inlineStr">
        <is>
          <t>Max Observed Age:</t>
        </is>
      </c>
      <c r="B4" s="4" t="inlineStr">
        <is>
          <t>287</t>
        </is>
      </c>
      <c r="D4" s="3" t="inlineStr">
        <is>
          <t>Accident Years:</t>
        </is>
      </c>
      <c r="E4" s="4" t="n">
        <v>24</v>
      </c>
      <c r="G4" s="3" t="inlineStr">
        <is>
          <t>Closure % at Last Age:</t>
        </is>
      </c>
      <c r="H4" s="4" t="inlineStr">
        <is>
          <t>N/A</t>
        </is>
      </c>
      <c r="J4" s="3" t="inlineStr">
        <is>
          <t>Last Observed Avg LDF:</t>
        </is>
      </c>
      <c r="K4" s="4" t="inlineStr">
        <is>
          <t>1.0039</t>
        </is>
      </c>
    </row>
    <row r="5"/>
    <row r="6">
      <c r="A6" s="5" t="inlineStr">
        <is>
          <t>Observed Age-to-Age Factors</t>
        </is>
      </c>
    </row>
    <row r="7">
      <c r="A7" s="6" t="inlineStr">
        <is>
          <t>Accident Year</t>
        </is>
      </c>
      <c r="B7" s="6" t="inlineStr">
        <is>
          <t>11</t>
        </is>
      </c>
      <c r="C7" s="6" t="inlineStr">
        <is>
          <t>23</t>
        </is>
      </c>
      <c r="D7" s="6" t="inlineStr">
        <is>
          <t>35</t>
        </is>
      </c>
      <c r="E7" s="6" t="inlineStr">
        <is>
          <t>47</t>
        </is>
      </c>
      <c r="F7" s="6" t="inlineStr">
        <is>
          <t>59</t>
        </is>
      </c>
      <c r="G7" s="6" t="inlineStr">
        <is>
          <t>71</t>
        </is>
      </c>
      <c r="H7" s="6" t="inlineStr">
        <is>
          <t>83</t>
        </is>
      </c>
      <c r="I7" s="6" t="inlineStr">
        <is>
          <t>95</t>
        </is>
      </c>
      <c r="J7" s="6" t="inlineStr">
        <is>
          <t>107</t>
        </is>
      </c>
      <c r="K7" s="6" t="inlineStr">
        <is>
          <t>119</t>
        </is>
      </c>
      <c r="L7" s="6" t="inlineStr">
        <is>
          <t>131</t>
        </is>
      </c>
      <c r="M7" s="6" t="inlineStr">
        <is>
          <t>143</t>
        </is>
      </c>
      <c r="N7" s="6" t="inlineStr">
        <is>
          <t>155</t>
        </is>
      </c>
      <c r="O7" s="6" t="inlineStr">
        <is>
          <t>167</t>
        </is>
      </c>
      <c r="P7" s="6" t="inlineStr">
        <is>
          <t>179</t>
        </is>
      </c>
      <c r="Q7" s="6" t="inlineStr">
        <is>
          <t>191</t>
        </is>
      </c>
      <c r="R7" s="6" t="inlineStr">
        <is>
          <t>203</t>
        </is>
      </c>
      <c r="S7" s="6" t="inlineStr">
        <is>
          <t>215</t>
        </is>
      </c>
      <c r="T7" s="6" t="inlineStr">
        <is>
          <t>227</t>
        </is>
      </c>
      <c r="U7" s="6" t="inlineStr">
        <is>
          <t>239</t>
        </is>
      </c>
      <c r="V7" s="6" t="inlineStr">
        <is>
          <t>251</t>
        </is>
      </c>
      <c r="W7" s="6" t="inlineStr">
        <is>
          <t>263</t>
        </is>
      </c>
      <c r="X7" s="6" t="inlineStr">
        <is>
          <t>275</t>
        </is>
      </c>
      <c r="Y7" s="6" t="inlineStr">
        <is>
          <t>287</t>
        </is>
      </c>
    </row>
    <row r="8">
      <c r="A8" s="7" t="inlineStr">
        <is>
          <t>2001</t>
        </is>
      </c>
      <c r="B8" s="8" t="n"/>
      <c r="C8" s="9" t="n">
        <v>3.2124</v>
      </c>
      <c r="D8" s="9" t="n">
        <v>1.4758</v>
      </c>
      <c r="E8" s="9" t="n">
        <v>1.2363</v>
      </c>
      <c r="F8" s="9" t="n">
        <v>1.1639</v>
      </c>
      <c r="G8" s="9" t="n">
        <v>1.0268</v>
      </c>
      <c r="H8" s="9" t="n">
        <v>0.9903999999999999</v>
      </c>
      <c r="I8" s="9" t="n">
        <v>1.0135</v>
      </c>
      <c r="J8" s="9" t="n">
        <v>1.0097</v>
      </c>
      <c r="K8" s="9" t="n">
        <v>1.012</v>
      </c>
      <c r="L8" s="9" t="n">
        <v>1.0238</v>
      </c>
      <c r="M8" s="9" t="n">
        <v>1.024</v>
      </c>
      <c r="N8" s="9" t="n">
        <v>1.0163</v>
      </c>
      <c r="O8" s="9" t="n">
        <v>1.0254</v>
      </c>
      <c r="P8" s="9" t="n">
        <v>1.0215</v>
      </c>
      <c r="Q8" s="9" t="n">
        <v>1.0307</v>
      </c>
      <c r="R8" s="9" t="n">
        <v>1.0327</v>
      </c>
      <c r="S8" s="9" t="n">
        <v>1.027</v>
      </c>
      <c r="T8" s="9" t="n">
        <v>1.0383</v>
      </c>
      <c r="U8" s="9" t="n">
        <v>1</v>
      </c>
      <c r="V8" s="9" t="n">
        <v>1.0074</v>
      </c>
      <c r="W8" s="9" t="n">
        <v>1.0074</v>
      </c>
      <c r="X8" s="9" t="n">
        <v>1.0063</v>
      </c>
      <c r="Y8" s="9" t="n">
        <v>1.0039</v>
      </c>
    </row>
    <row r="9">
      <c r="A9" s="7" t="inlineStr">
        <is>
          <t>2002</t>
        </is>
      </c>
      <c r="B9" s="8" t="n"/>
      <c r="C9" s="9" t="n">
        <v>2.5494</v>
      </c>
      <c r="D9" s="9" t="n">
        <v>1.3395</v>
      </c>
      <c r="E9" s="9" t="n">
        <v>1.0803</v>
      </c>
      <c r="F9" s="9" t="n">
        <v>1.1252</v>
      </c>
      <c r="G9" s="9" t="n">
        <v>1.0932</v>
      </c>
      <c r="H9" s="9" t="n">
        <v>1.0226</v>
      </c>
      <c r="I9" s="9" t="n">
        <v>1.0177</v>
      </c>
      <c r="J9" s="9" t="n">
        <v>1.0248</v>
      </c>
      <c r="K9" s="9" t="n">
        <v>1.0119</v>
      </c>
      <c r="L9" s="9" t="n">
        <v>1.0176</v>
      </c>
      <c r="M9" s="9" t="n">
        <v>1.0188</v>
      </c>
      <c r="N9" s="9" t="n">
        <v>1.0229</v>
      </c>
      <c r="O9" s="9" t="n">
        <v>1.0255</v>
      </c>
      <c r="P9" s="9" t="n">
        <v>1.0211</v>
      </c>
      <c r="Q9" s="9" t="n">
        <v>1.0195</v>
      </c>
      <c r="R9" s="9" t="n">
        <v>1.0285</v>
      </c>
      <c r="S9" s="9" t="n">
        <v>1.0202</v>
      </c>
      <c r="T9" s="9" t="n">
        <v>1.0159</v>
      </c>
      <c r="U9" s="9" t="n">
        <v>1.0121</v>
      </c>
      <c r="V9" s="9" t="n">
        <v>1.0101</v>
      </c>
      <c r="W9" s="9" t="n">
        <v>1.0096</v>
      </c>
      <c r="X9" s="9" t="n">
        <v>1.009</v>
      </c>
      <c r="Y9" s="8" t="n"/>
    </row>
    <row r="10">
      <c r="A10" s="7" t="inlineStr">
        <is>
          <t>2003</t>
        </is>
      </c>
      <c r="B10" s="8" t="n"/>
      <c r="C10" s="9" t="n">
        <v>2.4837</v>
      </c>
      <c r="D10" s="9" t="n">
        <v>1.1544</v>
      </c>
      <c r="E10" s="9" t="n">
        <v>1.09</v>
      </c>
      <c r="F10" s="9" t="n">
        <v>1.157</v>
      </c>
      <c r="G10" s="9" t="n">
        <v>1.0498</v>
      </c>
      <c r="H10" s="9" t="n">
        <v>1.0015</v>
      </c>
      <c r="I10" s="9" t="n">
        <v>1.007</v>
      </c>
      <c r="J10" s="9" t="n">
        <v>0.9986</v>
      </c>
      <c r="K10" s="9" t="n">
        <v>1.0024</v>
      </c>
      <c r="L10" s="9" t="n">
        <v>0.9981</v>
      </c>
      <c r="M10" s="9" t="n">
        <v>1.0002</v>
      </c>
      <c r="N10" s="9" t="n">
        <v>1.0001</v>
      </c>
      <c r="O10" s="9" t="n">
        <v>1</v>
      </c>
      <c r="P10" s="9" t="n">
        <v>1</v>
      </c>
      <c r="Q10" s="9" t="n">
        <v>1</v>
      </c>
      <c r="R10" s="9" t="n">
        <v>1.0021</v>
      </c>
      <c r="S10" s="9" t="n">
        <v>1</v>
      </c>
      <c r="T10" s="9" t="n">
        <v>1</v>
      </c>
      <c r="U10" s="9" t="n">
        <v>1</v>
      </c>
      <c r="V10" s="9" t="n">
        <v>1</v>
      </c>
      <c r="W10" s="9" t="n">
        <v>1</v>
      </c>
      <c r="X10" s="8" t="n"/>
      <c r="Y10" s="8" t="n"/>
    </row>
    <row r="11">
      <c r="A11" s="7" t="inlineStr">
        <is>
          <t>2004</t>
        </is>
      </c>
      <c r="B11" s="8" t="n"/>
      <c r="C11" s="9" t="n">
        <v>2.4368</v>
      </c>
      <c r="D11" s="9" t="n">
        <v>1.2891</v>
      </c>
      <c r="E11" s="9" t="n">
        <v>1.1198</v>
      </c>
      <c r="F11" s="9" t="n">
        <v>1.1677</v>
      </c>
      <c r="G11" s="9" t="n">
        <v>1.0037</v>
      </c>
      <c r="H11" s="9" t="n">
        <v>1.0163</v>
      </c>
      <c r="I11" s="9" t="n">
        <v>1.0078</v>
      </c>
      <c r="J11" s="9" t="n">
        <v>1.0185</v>
      </c>
      <c r="K11" s="9" t="n">
        <v>0.9939</v>
      </c>
      <c r="L11" s="9" t="n">
        <v>1.0036</v>
      </c>
      <c r="M11" s="9" t="n">
        <v>1.0064</v>
      </c>
      <c r="N11" s="9" t="n">
        <v>1.0004</v>
      </c>
      <c r="O11" s="9" t="n">
        <v>1.0018</v>
      </c>
      <c r="P11" s="9" t="n">
        <v>1.0006</v>
      </c>
      <c r="Q11" s="9" t="n">
        <v>1.0095</v>
      </c>
      <c r="R11" s="9" t="n">
        <v>1</v>
      </c>
      <c r="S11" s="9" t="n">
        <v>1</v>
      </c>
      <c r="T11" s="9" t="n">
        <v>1</v>
      </c>
      <c r="U11" s="9" t="n">
        <v>1</v>
      </c>
      <c r="V11" s="9" t="n">
        <v>1</v>
      </c>
      <c r="W11" s="8" t="n"/>
      <c r="X11" s="8" t="n"/>
      <c r="Y11" s="8" t="n"/>
    </row>
    <row r="12">
      <c r="A12" s="7" t="inlineStr">
        <is>
          <t>2005</t>
        </is>
      </c>
      <c r="B12" s="8" t="n"/>
      <c r="C12" s="9" t="n">
        <v>2.0311</v>
      </c>
      <c r="D12" s="9" t="n">
        <v>1.2674</v>
      </c>
      <c r="E12" s="9" t="n">
        <v>1.0439</v>
      </c>
      <c r="F12" s="9" t="n">
        <v>1.0747</v>
      </c>
      <c r="G12" s="9" t="n">
        <v>1.0208</v>
      </c>
      <c r="H12" s="9" t="n">
        <v>1.0211</v>
      </c>
      <c r="I12" s="9" t="n">
        <v>1.0104</v>
      </c>
      <c r="J12" s="9" t="n">
        <v>1.0042</v>
      </c>
      <c r="K12" s="9" t="n">
        <v>1.03</v>
      </c>
      <c r="L12" s="9" t="n">
        <v>1.0284</v>
      </c>
      <c r="M12" s="9" t="n">
        <v>1.0203</v>
      </c>
      <c r="N12" s="9" t="n">
        <v>1.0327</v>
      </c>
      <c r="O12" s="9" t="n">
        <v>1.0189</v>
      </c>
      <c r="P12" s="9" t="n">
        <v>1.0301</v>
      </c>
      <c r="Q12" s="9" t="n">
        <v>1.008</v>
      </c>
      <c r="R12" s="9" t="n">
        <v>1.0193</v>
      </c>
      <c r="S12" s="9" t="n">
        <v>1.0017</v>
      </c>
      <c r="T12" s="9" t="n">
        <v>1</v>
      </c>
      <c r="U12" s="9" t="n">
        <v>1</v>
      </c>
      <c r="V12" s="8" t="n"/>
      <c r="W12" s="8" t="n"/>
      <c r="X12" s="8" t="n"/>
      <c r="Y12" s="8" t="n"/>
    </row>
    <row r="13">
      <c r="A13" s="7" t="inlineStr">
        <is>
          <t>2006</t>
        </is>
      </c>
      <c r="B13" s="8" t="n"/>
      <c r="C13" s="9" t="n">
        <v>2.4565</v>
      </c>
      <c r="D13" s="9" t="n">
        <v>1.2768</v>
      </c>
      <c r="E13" s="9" t="n">
        <v>1.0891</v>
      </c>
      <c r="F13" s="9" t="n">
        <v>1.0612</v>
      </c>
      <c r="G13" s="9" t="n">
        <v>1.0466</v>
      </c>
      <c r="H13" s="9" t="n">
        <v>1.0414</v>
      </c>
      <c r="I13" s="9" t="n">
        <v>1.0068</v>
      </c>
      <c r="J13" s="9" t="n">
        <v>1.0316</v>
      </c>
      <c r="K13" s="9" t="n">
        <v>1.041</v>
      </c>
      <c r="L13" s="9" t="n">
        <v>1.0922</v>
      </c>
      <c r="M13" s="9" t="n">
        <v>1.0276</v>
      </c>
      <c r="N13" s="9" t="n">
        <v>1.0104</v>
      </c>
      <c r="O13" s="9" t="n">
        <v>1.0187</v>
      </c>
      <c r="P13" s="9" t="n">
        <v>1.0068</v>
      </c>
      <c r="Q13" s="9" t="n">
        <v>1.0084</v>
      </c>
      <c r="R13" s="9" t="n">
        <v>1.0115</v>
      </c>
      <c r="S13" s="9" t="n">
        <v>1.0076</v>
      </c>
      <c r="T13" s="9" t="n">
        <v>1.0055</v>
      </c>
      <c r="U13" s="8" t="n"/>
      <c r="V13" s="8" t="n"/>
      <c r="W13" s="8" t="n"/>
      <c r="X13" s="8" t="n"/>
      <c r="Y13" s="8" t="n"/>
    </row>
    <row r="14">
      <c r="A14" s="7" t="inlineStr">
        <is>
          <t>2007</t>
        </is>
      </c>
      <c r="B14" s="8" t="n"/>
      <c r="C14" s="9" t="n">
        <v>2.1908</v>
      </c>
      <c r="D14" s="9" t="n">
        <v>1.2948</v>
      </c>
      <c r="E14" s="9" t="n">
        <v>1.2734</v>
      </c>
      <c r="F14" s="9" t="n">
        <v>1.1861</v>
      </c>
      <c r="G14" s="9" t="n">
        <v>1.2146</v>
      </c>
      <c r="H14" s="9" t="n">
        <v>1.1157</v>
      </c>
      <c r="I14" s="9" t="n">
        <v>1.0776</v>
      </c>
      <c r="J14" s="9" t="n">
        <v>1.0807</v>
      </c>
      <c r="K14" s="9" t="n">
        <v>1.0849</v>
      </c>
      <c r="L14" s="9" t="n">
        <v>1.0822</v>
      </c>
      <c r="M14" s="9" t="n">
        <v>1.05</v>
      </c>
      <c r="N14" s="9" t="n">
        <v>1.041</v>
      </c>
      <c r="O14" s="9" t="n">
        <v>1.0289</v>
      </c>
      <c r="P14" s="9" t="n">
        <v>1.0268</v>
      </c>
      <c r="Q14" s="9" t="n">
        <v>1.0291</v>
      </c>
      <c r="R14" s="9" t="n">
        <v>1.0063</v>
      </c>
      <c r="S14" s="9" t="n">
        <v>1.002</v>
      </c>
      <c r="T14" s="8" t="n"/>
      <c r="U14" s="8" t="n"/>
      <c r="V14" s="8" t="n"/>
      <c r="W14" s="8" t="n"/>
      <c r="X14" s="8" t="n"/>
      <c r="Y14" s="8" t="n"/>
    </row>
    <row r="15">
      <c r="A15" s="7" t="inlineStr">
        <is>
          <t>2008</t>
        </is>
      </c>
      <c r="B15" s="8" t="n"/>
      <c r="C15" s="9" t="n">
        <v>1.829</v>
      </c>
      <c r="D15" s="9" t="n">
        <v>1.345</v>
      </c>
      <c r="E15" s="9" t="n">
        <v>1.3665</v>
      </c>
      <c r="F15" s="9" t="n">
        <v>1.0349</v>
      </c>
      <c r="G15" s="9" t="n">
        <v>1.0308</v>
      </c>
      <c r="H15" s="9" t="n">
        <v>1.007</v>
      </c>
      <c r="I15" s="9" t="n">
        <v>1.0064</v>
      </c>
      <c r="J15" s="9" t="n">
        <v>1.0117</v>
      </c>
      <c r="K15" s="9" t="n">
        <v>1.0134</v>
      </c>
      <c r="L15" s="9" t="n">
        <v>1.0107</v>
      </c>
      <c r="M15" s="9" t="n">
        <v>1.0019</v>
      </c>
      <c r="N15" s="9" t="n">
        <v>1.0023</v>
      </c>
      <c r="O15" s="9" t="n">
        <v>1.0011</v>
      </c>
      <c r="P15" s="9" t="n">
        <v>1.0007</v>
      </c>
      <c r="Q15" s="9" t="n">
        <v>1.0026</v>
      </c>
      <c r="R15" s="9" t="n">
        <v>1.0264</v>
      </c>
      <c r="S15" s="8" t="n"/>
      <c r="T15" s="8" t="n"/>
      <c r="U15" s="8" t="n"/>
      <c r="V15" s="8" t="n"/>
      <c r="W15" s="8" t="n"/>
      <c r="X15" s="8" t="n"/>
      <c r="Y15" s="8" t="n"/>
    </row>
    <row r="16">
      <c r="A16" s="7" t="inlineStr">
        <is>
          <t>2009</t>
        </is>
      </c>
      <c r="B16" s="8" t="n"/>
      <c r="C16" s="9" t="n">
        <v>3.246</v>
      </c>
      <c r="D16" s="9" t="n">
        <v>1.0939</v>
      </c>
      <c r="E16" s="9" t="n">
        <v>1.0272</v>
      </c>
      <c r="F16" s="9" t="n">
        <v>1.073</v>
      </c>
      <c r="G16" s="9" t="n">
        <v>1.0515</v>
      </c>
      <c r="H16" s="9" t="n">
        <v>1.0301</v>
      </c>
      <c r="I16" s="9" t="n">
        <v>1.0504</v>
      </c>
      <c r="J16" s="9" t="n">
        <v>1.0367</v>
      </c>
      <c r="K16" s="9" t="n">
        <v>1.0147</v>
      </c>
      <c r="L16" s="9" t="n">
        <v>1.0094</v>
      </c>
      <c r="M16" s="9" t="n">
        <v>1.0305</v>
      </c>
      <c r="N16" s="9" t="n">
        <v>1.0497</v>
      </c>
      <c r="O16" s="9" t="n">
        <v>1</v>
      </c>
      <c r="P16" s="9" t="n">
        <v>1</v>
      </c>
      <c r="Q16" s="9" t="n">
        <v>1</v>
      </c>
      <c r="R16" s="8" t="n"/>
      <c r="S16" s="8" t="n"/>
      <c r="T16" s="8" t="n"/>
      <c r="U16" s="8" t="n"/>
      <c r="V16" s="8" t="n"/>
      <c r="W16" s="8" t="n"/>
      <c r="X16" s="8" t="n"/>
      <c r="Y16" s="8" t="n"/>
    </row>
    <row r="17">
      <c r="A17" s="7" t="inlineStr">
        <is>
          <t>2010</t>
        </is>
      </c>
      <c r="B17" s="8" t="n"/>
      <c r="C17" s="9" t="n">
        <v>2.7631</v>
      </c>
      <c r="D17" s="9" t="n">
        <v>1.3597</v>
      </c>
      <c r="E17" s="9" t="n">
        <v>1.1766</v>
      </c>
      <c r="F17" s="9" t="n">
        <v>1.0929</v>
      </c>
      <c r="G17" s="9" t="n">
        <v>1.0209</v>
      </c>
      <c r="H17" s="9" t="n">
        <v>1.0489</v>
      </c>
      <c r="I17" s="9" t="n">
        <v>1.0017</v>
      </c>
      <c r="J17" s="9" t="n">
        <v>1.0034</v>
      </c>
      <c r="K17" s="9" t="n">
        <v>1.0006</v>
      </c>
      <c r="L17" s="9" t="n">
        <v>1.0005</v>
      </c>
      <c r="M17" s="9" t="n">
        <v>1.0001</v>
      </c>
      <c r="N17" s="9" t="n">
        <v>1.0006</v>
      </c>
      <c r="O17" s="9" t="n">
        <v>1.0007</v>
      </c>
      <c r="P17" s="9" t="n">
        <v>1.006</v>
      </c>
      <c r="Q17" s="8" t="n"/>
      <c r="R17" s="8" t="n"/>
      <c r="S17" s="8" t="n"/>
      <c r="T17" s="8" t="n"/>
      <c r="U17" s="8" t="n"/>
      <c r="V17" s="8" t="n"/>
      <c r="W17" s="8" t="n"/>
      <c r="X17" s="8" t="n"/>
      <c r="Y17" s="8" t="n"/>
    </row>
    <row r="18">
      <c r="A18" s="7" t="inlineStr">
        <is>
          <t>2011</t>
        </is>
      </c>
      <c r="B18" s="8" t="n"/>
      <c r="C18" s="9" t="n">
        <v>2.3046</v>
      </c>
      <c r="D18" s="9" t="n">
        <v>1.5589</v>
      </c>
      <c r="E18" s="9" t="n">
        <v>1.0755</v>
      </c>
      <c r="F18" s="9" t="n">
        <v>1.0829</v>
      </c>
      <c r="G18" s="9" t="n">
        <v>1.0889</v>
      </c>
      <c r="H18" s="9" t="n">
        <v>1.0985</v>
      </c>
      <c r="I18" s="9" t="n">
        <v>1.002</v>
      </c>
      <c r="J18" s="9" t="n">
        <v>1.0046</v>
      </c>
      <c r="K18" s="9" t="n">
        <v>1.0077</v>
      </c>
      <c r="L18" s="9" t="n">
        <v>1.0052</v>
      </c>
      <c r="M18" s="9" t="n">
        <v>1.0103</v>
      </c>
      <c r="N18" s="9" t="n">
        <v>1.0052</v>
      </c>
      <c r="O18" s="9" t="n">
        <v>1.0032</v>
      </c>
      <c r="P18" s="8" t="n"/>
      <c r="Q18" s="8" t="n"/>
      <c r="R18" s="8" t="n"/>
      <c r="S18" s="8" t="n"/>
      <c r="T18" s="8" t="n"/>
      <c r="U18" s="8" t="n"/>
      <c r="V18" s="8" t="n"/>
      <c r="W18" s="8" t="n"/>
      <c r="X18" s="8" t="n"/>
      <c r="Y18" s="8" t="n"/>
    </row>
    <row r="19">
      <c r="A19" s="7" t="inlineStr">
        <is>
          <t>2012</t>
        </is>
      </c>
      <c r="B19" s="8" t="n"/>
      <c r="C19" s="9" t="n">
        <v>2.7856</v>
      </c>
      <c r="D19" s="9" t="n">
        <v>1.2596</v>
      </c>
      <c r="E19" s="9" t="n">
        <v>1.1904</v>
      </c>
      <c r="F19" s="9" t="n">
        <v>1.0101</v>
      </c>
      <c r="G19" s="9" t="n">
        <v>1.0065</v>
      </c>
      <c r="H19" s="9" t="n">
        <v>1.0106</v>
      </c>
      <c r="I19" s="9" t="n">
        <v>1.0394</v>
      </c>
      <c r="J19" s="9" t="n">
        <v>1.0315</v>
      </c>
      <c r="K19" s="9" t="n">
        <v>1.0046</v>
      </c>
      <c r="L19" s="9" t="n">
        <v>1.0297</v>
      </c>
      <c r="M19" s="9" t="n">
        <v>1.0565</v>
      </c>
      <c r="N19" s="9" t="n">
        <v>1.0425</v>
      </c>
      <c r="O19" s="8" t="n"/>
      <c r="P19" s="8" t="n"/>
      <c r="Q19" s="8" t="n"/>
      <c r="R19" s="8" t="n"/>
      <c r="S19" s="8" t="n"/>
      <c r="T19" s="8" t="n"/>
      <c r="U19" s="8" t="n"/>
      <c r="V19" s="8" t="n"/>
      <c r="W19" s="8" t="n"/>
      <c r="X19" s="8" t="n"/>
      <c r="Y19" s="8" t="n"/>
    </row>
    <row r="20">
      <c r="A20" s="7" t="inlineStr">
        <is>
          <t>2013</t>
        </is>
      </c>
      <c r="B20" s="8" t="n"/>
      <c r="C20" s="9" t="n">
        <v>2.3011</v>
      </c>
      <c r="D20" s="9" t="n">
        <v>1.1687</v>
      </c>
      <c r="E20" s="9" t="n">
        <v>1.097</v>
      </c>
      <c r="F20" s="9" t="n">
        <v>1.1858</v>
      </c>
      <c r="G20" s="9" t="n">
        <v>0.9974</v>
      </c>
      <c r="H20" s="9" t="n">
        <v>1.0005</v>
      </c>
      <c r="I20" s="9" t="n">
        <v>1</v>
      </c>
      <c r="J20" s="9" t="n">
        <v>1.0019</v>
      </c>
      <c r="K20" s="9" t="n">
        <v>1</v>
      </c>
      <c r="L20" s="9" t="n">
        <v>1</v>
      </c>
      <c r="M20" s="9" t="n">
        <v>1</v>
      </c>
      <c r="N20" s="8" t="n"/>
      <c r="O20" s="8" t="n"/>
      <c r="P20" s="8" t="n"/>
      <c r="Q20" s="8" t="n"/>
      <c r="R20" s="8" t="n"/>
      <c r="S20" s="8" t="n"/>
      <c r="T20" s="8" t="n"/>
      <c r="U20" s="8" t="n"/>
      <c r="V20" s="8" t="n"/>
      <c r="W20" s="8" t="n"/>
      <c r="X20" s="8" t="n"/>
      <c r="Y20" s="8" t="n"/>
    </row>
    <row r="21">
      <c r="A21" s="7" t="inlineStr">
        <is>
          <t>2014</t>
        </is>
      </c>
      <c r="B21" s="8" t="n"/>
      <c r="C21" s="9" t="n">
        <v>1.7931</v>
      </c>
      <c r="D21" s="9" t="n">
        <v>1.2548</v>
      </c>
      <c r="E21" s="9" t="n">
        <v>1.2734</v>
      </c>
      <c r="F21" s="9" t="n">
        <v>1.067</v>
      </c>
      <c r="G21" s="9" t="n">
        <v>1.0166</v>
      </c>
      <c r="H21" s="9" t="n">
        <v>1.0061</v>
      </c>
      <c r="I21" s="9" t="n">
        <v>1.003</v>
      </c>
      <c r="J21" s="9" t="n">
        <v>1.0063</v>
      </c>
      <c r="K21" s="9" t="n">
        <v>1.0616</v>
      </c>
      <c r="L21" s="9" t="n">
        <v>1.0075</v>
      </c>
      <c r="M21" s="8" t="n"/>
      <c r="N21" s="8" t="n"/>
      <c r="O21" s="8" t="n"/>
      <c r="P21" s="8" t="n"/>
      <c r="Q21" s="8" t="n"/>
      <c r="R21" s="8" t="n"/>
      <c r="S21" s="8" t="n"/>
      <c r="T21" s="8" t="n"/>
      <c r="U21" s="8" t="n"/>
      <c r="V21" s="8" t="n"/>
      <c r="W21" s="8" t="n"/>
      <c r="X21" s="8" t="n"/>
      <c r="Y21" s="8" t="n"/>
    </row>
    <row r="22">
      <c r="A22" s="7" t="inlineStr">
        <is>
          <t>2015</t>
        </is>
      </c>
      <c r="B22" s="8" t="n"/>
      <c r="C22" s="9" t="n">
        <v>2.2204</v>
      </c>
      <c r="D22" s="9" t="n">
        <v>1.6812</v>
      </c>
      <c r="E22" s="9" t="n">
        <v>1.4653</v>
      </c>
      <c r="F22" s="9" t="n">
        <v>1.0739</v>
      </c>
      <c r="G22" s="9" t="n">
        <v>1.1134</v>
      </c>
      <c r="H22" s="9" t="n">
        <v>1.1108</v>
      </c>
      <c r="I22" s="9" t="n">
        <v>1.0547</v>
      </c>
      <c r="J22" s="9" t="n">
        <v>1.0143</v>
      </c>
      <c r="K22" s="9" t="n">
        <v>1.1378</v>
      </c>
      <c r="L22" s="8" t="n"/>
      <c r="M22" s="8" t="n"/>
      <c r="N22" s="8" t="n"/>
      <c r="O22" s="8" t="n"/>
      <c r="P22" s="8" t="n"/>
      <c r="Q22" s="8" t="n"/>
      <c r="R22" s="8" t="n"/>
      <c r="S22" s="8" t="n"/>
      <c r="T22" s="8" t="n"/>
      <c r="U22" s="8" t="n"/>
      <c r="V22" s="8" t="n"/>
      <c r="W22" s="8" t="n"/>
      <c r="X22" s="8" t="n"/>
      <c r="Y22" s="8" t="n"/>
    </row>
    <row r="23">
      <c r="A23" s="7" t="inlineStr">
        <is>
          <t>2016</t>
        </is>
      </c>
      <c r="B23" s="8" t="n"/>
      <c r="C23" s="9" t="n">
        <v>3.3152</v>
      </c>
      <c r="D23" s="9" t="n">
        <v>1.4135</v>
      </c>
      <c r="E23" s="9" t="n">
        <v>1.1254</v>
      </c>
      <c r="F23" s="9" t="n">
        <v>1.0752</v>
      </c>
      <c r="G23" s="9" t="n">
        <v>1.1023</v>
      </c>
      <c r="H23" s="9" t="n">
        <v>1.1396</v>
      </c>
      <c r="I23" s="9" t="n">
        <v>1.0066</v>
      </c>
      <c r="J23" s="9" t="n">
        <v>1.0111</v>
      </c>
      <c r="K23" s="8" t="n"/>
      <c r="L23" s="8" t="n"/>
      <c r="M23" s="8" t="n"/>
      <c r="N23" s="8" t="n"/>
      <c r="O23" s="8" t="n"/>
      <c r="P23" s="8" t="n"/>
      <c r="Q23" s="8" t="n"/>
      <c r="R23" s="8" t="n"/>
      <c r="S23" s="8" t="n"/>
      <c r="T23" s="8" t="n"/>
      <c r="U23" s="8" t="n"/>
      <c r="V23" s="8" t="n"/>
      <c r="W23" s="8" t="n"/>
      <c r="X23" s="8" t="n"/>
      <c r="Y23" s="8" t="n"/>
    </row>
    <row r="24">
      <c r="A24" s="7" t="inlineStr">
        <is>
          <t>2017</t>
        </is>
      </c>
      <c r="B24" s="8" t="n"/>
      <c r="C24" s="9" t="n">
        <v>1.7371</v>
      </c>
      <c r="D24" s="9" t="n">
        <v>1.0775</v>
      </c>
      <c r="E24" s="9" t="n">
        <v>1.1277</v>
      </c>
      <c r="F24" s="9" t="n">
        <v>1.0874</v>
      </c>
      <c r="G24" s="9" t="n">
        <v>1.1075</v>
      </c>
      <c r="H24" s="9" t="n">
        <v>1.2914</v>
      </c>
      <c r="I24" s="9" t="n">
        <v>1.0911</v>
      </c>
      <c r="J24" s="8" t="n"/>
      <c r="K24" s="8" t="n"/>
      <c r="L24" s="8" t="n"/>
      <c r="M24" s="8" t="n"/>
      <c r="N24" s="8" t="n"/>
      <c r="O24" s="8" t="n"/>
      <c r="P24" s="8" t="n"/>
      <c r="Q24" s="8" t="n"/>
      <c r="R24" s="8" t="n"/>
      <c r="S24" s="8" t="n"/>
      <c r="T24" s="8" t="n"/>
      <c r="U24" s="8" t="n"/>
      <c r="V24" s="8" t="n"/>
      <c r="W24" s="8" t="n"/>
      <c r="X24" s="8" t="n"/>
      <c r="Y24" s="8" t="n"/>
    </row>
    <row r="25">
      <c r="A25" s="7" t="inlineStr">
        <is>
          <t>2018</t>
        </is>
      </c>
      <c r="B25" s="8" t="n"/>
      <c r="C25" s="9" t="n">
        <v>2.8751</v>
      </c>
      <c r="D25" s="9" t="n">
        <v>1.4839</v>
      </c>
      <c r="E25" s="9" t="n">
        <v>1.3735</v>
      </c>
      <c r="F25" s="9" t="n">
        <v>1.0575</v>
      </c>
      <c r="G25" s="9" t="n">
        <v>1.0563</v>
      </c>
      <c r="H25" s="9" t="n">
        <v>1.0595</v>
      </c>
      <c r="I25" s="8" t="n"/>
      <c r="J25" s="8" t="n"/>
      <c r="K25" s="8" t="n"/>
      <c r="L25" s="8" t="n"/>
      <c r="M25" s="8" t="n"/>
      <c r="N25" s="8" t="n"/>
      <c r="O25" s="8" t="n"/>
      <c r="P25" s="8" t="n"/>
      <c r="Q25" s="8" t="n"/>
      <c r="R25" s="8" t="n"/>
      <c r="S25" s="8" t="n"/>
      <c r="T25" s="8" t="n"/>
      <c r="U25" s="8" t="n"/>
      <c r="V25" s="8" t="n"/>
      <c r="W25" s="8" t="n"/>
      <c r="X25" s="8" t="n"/>
      <c r="Y25" s="8" t="n"/>
    </row>
    <row r="26">
      <c r="A26" s="7" t="inlineStr">
        <is>
          <t>2019</t>
        </is>
      </c>
      <c r="B26" s="8" t="n"/>
      <c r="C26" s="9" t="n">
        <v>2.6745</v>
      </c>
      <c r="D26" s="9" t="n">
        <v>1.7497</v>
      </c>
      <c r="E26" s="9" t="n">
        <v>1.1825</v>
      </c>
      <c r="F26" s="9" t="n">
        <v>1.2312</v>
      </c>
      <c r="G26" s="9" t="n">
        <v>1.2153</v>
      </c>
      <c r="H26" s="8" t="n"/>
      <c r="I26" s="8" t="n"/>
      <c r="J26" s="8" t="n"/>
      <c r="K26" s="8" t="n"/>
      <c r="L26" s="8" t="n"/>
      <c r="M26" s="8" t="n"/>
      <c r="N26" s="8" t="n"/>
      <c r="O26" s="8" t="n"/>
      <c r="P26" s="8" t="n"/>
      <c r="Q26" s="8" t="n"/>
      <c r="R26" s="8" t="n"/>
      <c r="S26" s="8" t="n"/>
      <c r="T26" s="8" t="n"/>
      <c r="U26" s="8" t="n"/>
      <c r="V26" s="8" t="n"/>
      <c r="W26" s="8" t="n"/>
      <c r="X26" s="8" t="n"/>
      <c r="Y26" s="8" t="n"/>
    </row>
    <row r="27">
      <c r="A27" s="7" t="inlineStr">
        <is>
          <t>2020</t>
        </is>
      </c>
      <c r="B27" s="8" t="n"/>
      <c r="C27" s="9" t="n">
        <v>2.5535</v>
      </c>
      <c r="D27" s="9" t="n">
        <v>1.1803</v>
      </c>
      <c r="E27" s="9" t="n">
        <v>1.121</v>
      </c>
      <c r="F27" s="9" t="n">
        <v>1.0105</v>
      </c>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2021</t>
        </is>
      </c>
      <c r="B28" s="8" t="n"/>
      <c r="C28" s="9" t="n">
        <v>1.9981</v>
      </c>
      <c r="D28" s="9" t="n">
        <v>1.6664</v>
      </c>
      <c r="E28" s="9" t="n">
        <v>1.0698</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2022</t>
        </is>
      </c>
      <c r="B29" s="8" t="n"/>
      <c r="C29" s="9" t="n">
        <v>2.4294</v>
      </c>
      <c r="D29" s="9" t="n">
        <v>1.0595</v>
      </c>
      <c r="E29" s="8" t="n"/>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2023</t>
        </is>
      </c>
      <c r="B30" s="8" t="n"/>
      <c r="C30" s="9" t="n">
        <v>3.2653</v>
      </c>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2024</t>
        </is>
      </c>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Average</t>
        </is>
      </c>
      <c r="B32" s="9">
        <f>IFERROR(AVERAGE(B8:B31),"")</f>
        <v/>
      </c>
      <c r="C32" s="9">
        <f>IFERROR(AVERAGE(C8:C31),"")</f>
        <v/>
      </c>
      <c r="D32" s="9">
        <f>IFERROR(AVERAGE(D8:D31),"")</f>
        <v/>
      </c>
      <c r="E32" s="9">
        <f>IFERROR(AVERAGE(E8:E31),"")</f>
        <v/>
      </c>
      <c r="F32" s="9">
        <f>IFERROR(AVERAGE(F8:F31),"")</f>
        <v/>
      </c>
      <c r="G32" s="9">
        <f>IFERROR(AVERAGE(G8:G31),"")</f>
        <v/>
      </c>
      <c r="H32" s="9">
        <f>IFERROR(AVERAGE(H8:H31),"")</f>
        <v/>
      </c>
      <c r="I32" s="9">
        <f>IFERROR(AVERAGE(I8:I31),"")</f>
        <v/>
      </c>
      <c r="J32" s="9">
        <f>IFERROR(AVERAGE(J8:J31),"")</f>
        <v/>
      </c>
      <c r="K32" s="9">
        <f>IFERROR(AVERAGE(K8:K31),"")</f>
        <v/>
      </c>
      <c r="L32" s="9">
        <f>IFERROR(AVERAGE(L8:L31),"")</f>
        <v/>
      </c>
      <c r="M32" s="9">
        <f>IFERROR(AVERAGE(M8:M31),"")</f>
        <v/>
      </c>
      <c r="N32" s="9">
        <f>IFERROR(AVERAGE(N8:N31),"")</f>
        <v/>
      </c>
      <c r="O32" s="9">
        <f>IFERROR(AVERAGE(O8:O31),"")</f>
        <v/>
      </c>
      <c r="P32" s="9">
        <f>IFERROR(AVERAGE(P8:P31),"")</f>
        <v/>
      </c>
      <c r="Q32" s="9">
        <f>IFERROR(AVERAGE(Q8:Q31),"")</f>
        <v/>
      </c>
      <c r="R32" s="9">
        <f>IFERROR(AVERAGE(R8:R31),"")</f>
        <v/>
      </c>
      <c r="S32" s="9">
        <f>IFERROR(AVERAGE(S8:S31),"")</f>
        <v/>
      </c>
      <c r="T32" s="9">
        <f>IFERROR(AVERAGE(T8:T31),"")</f>
        <v/>
      </c>
      <c r="U32" s="9">
        <f>IFERROR(AVERAGE(U8:U31),"")</f>
        <v/>
      </c>
      <c r="V32" s="9">
        <f>IFERROR(AVERAGE(V8:V31),"")</f>
        <v/>
      </c>
      <c r="W32" s="9">
        <f>IFERROR(AVERAGE(W8:W31),"")</f>
        <v/>
      </c>
      <c r="X32" s="9">
        <f>IFERROR(AVERAGE(X8:X31),"")</f>
        <v/>
      </c>
      <c r="Y32" s="9">
        <f>IFERROR(AVERAGE(Y8:Y31),"")</f>
        <v/>
      </c>
    </row>
    <row r="33">
      <c r="A33" s="7" t="inlineStr">
        <is>
          <t>CV</t>
        </is>
      </c>
      <c r="B33" s="9">
        <f>IFERROR(_xlfn.STDEV.S(B8:B31)/AVERAGE(B8:B31),"")</f>
        <v/>
      </c>
      <c r="C33" s="9">
        <f>IFERROR(_xlfn.STDEV.S(C8:C31)/AVERAGE(C8:C31),"")</f>
        <v/>
      </c>
      <c r="D33" s="9">
        <f>IFERROR(_xlfn.STDEV.S(D8:D31)/AVERAGE(D8:D31),"")</f>
        <v/>
      </c>
      <c r="E33" s="9">
        <f>IFERROR(_xlfn.STDEV.S(E8:E31)/AVERAGE(E8:E31),"")</f>
        <v/>
      </c>
      <c r="F33" s="9">
        <f>IFERROR(_xlfn.STDEV.S(F8:F31)/AVERAGE(F8:F31),"")</f>
        <v/>
      </c>
      <c r="G33" s="9">
        <f>IFERROR(_xlfn.STDEV.S(G8:G31)/AVERAGE(G8:G31),"")</f>
        <v/>
      </c>
      <c r="H33" s="9">
        <f>IFERROR(_xlfn.STDEV.S(H8:H31)/AVERAGE(H8:H31),"")</f>
        <v/>
      </c>
      <c r="I33" s="9">
        <f>IFERROR(_xlfn.STDEV.S(I8:I31)/AVERAGE(I8:I31),"")</f>
        <v/>
      </c>
      <c r="J33" s="9">
        <f>IFERROR(_xlfn.STDEV.S(J8:J31)/AVERAGE(J8:J31),"")</f>
        <v/>
      </c>
      <c r="K33" s="9">
        <f>IFERROR(_xlfn.STDEV.S(K8:K31)/AVERAGE(K8:K31),"")</f>
        <v/>
      </c>
      <c r="L33" s="9">
        <f>IFERROR(_xlfn.STDEV.S(L8:L31)/AVERAGE(L8:L31),"")</f>
        <v/>
      </c>
      <c r="M33" s="9">
        <f>IFERROR(_xlfn.STDEV.S(M8:M31)/AVERAGE(M8:M31),"")</f>
        <v/>
      </c>
      <c r="N33" s="9">
        <f>IFERROR(_xlfn.STDEV.S(N8:N31)/AVERAGE(N8:N31),"")</f>
        <v/>
      </c>
      <c r="O33" s="9">
        <f>IFERROR(_xlfn.STDEV.S(O8:O31)/AVERAGE(O8:O31),"")</f>
        <v/>
      </c>
      <c r="P33" s="9">
        <f>IFERROR(_xlfn.STDEV.S(P8:P31)/AVERAGE(P8:P31),"")</f>
        <v/>
      </c>
      <c r="Q33" s="9">
        <f>IFERROR(_xlfn.STDEV.S(Q8:Q31)/AVERAGE(Q8:Q31),"")</f>
        <v/>
      </c>
      <c r="R33" s="9">
        <f>IFERROR(_xlfn.STDEV.S(R8:R31)/AVERAGE(R8:R31),"")</f>
        <v/>
      </c>
      <c r="S33" s="9">
        <f>IFERROR(_xlfn.STDEV.S(S8:S31)/AVERAGE(S8:S31),"")</f>
        <v/>
      </c>
      <c r="T33" s="9">
        <f>IFERROR(_xlfn.STDEV.S(T8:T31)/AVERAGE(T8:T31),"")</f>
        <v/>
      </c>
      <c r="U33" s="9">
        <f>IFERROR(_xlfn.STDEV.S(U8:U31)/AVERAGE(U8:U31),"")</f>
        <v/>
      </c>
      <c r="V33" s="9">
        <f>IFERROR(_xlfn.STDEV.S(V8:V31)/AVERAGE(V8:V31),"")</f>
        <v/>
      </c>
      <c r="W33" s="9">
        <f>IFERROR(_xlfn.STDEV.S(W8:W31)/AVERAGE(W8:W31),"")</f>
        <v/>
      </c>
      <c r="X33" s="9">
        <f>IFERROR(_xlfn.STDEV.S(X8:X31)/AVERAGE(X8:X31),"")</f>
        <v/>
      </c>
      <c r="Y33" s="9">
        <f>IFERROR(_xlfn.STDEV.S(Y8:Y31)/AVERAGE(Y8:Y31),"")</f>
        <v/>
      </c>
    </row>
    <row r="34"/>
    <row r="35">
      <c r="A35" s="5" t="inlineStr">
        <is>
          <t>Scenario Comparison</t>
        </is>
      </c>
    </row>
    <row r="36">
      <c r="A36" s="6" t="inlineStr">
        <is>
          <t>Starting Age</t>
        </is>
      </c>
      <c r="B36" s="6" t="inlineStr">
        <is>
          <t>Monotone</t>
        </is>
      </c>
      <c r="C36" s="6" t="inlineStr">
        <is>
          <t>CV</t>
        </is>
      </c>
      <c r="D36" s="6" t="inlineStr">
        <is>
          <t>Slope Breaks</t>
        </is>
      </c>
      <c r="E36" s="6" t="inlineStr">
        <is>
          <t>Method</t>
        </is>
      </c>
      <c r="F36" s="6" t="inlineStr">
        <is>
          <t>Params</t>
        </is>
      </c>
      <c r="G36" s="6" t="inlineStr">
        <is>
          <t>Tail Factor</t>
        </is>
      </c>
      <c r="H36" s="6" t="inlineStr">
        <is>
          <t>R2</t>
        </is>
      </c>
      <c r="I36" s="6" t="inlineStr">
        <is>
          <t>LOO Std Dev</t>
        </is>
      </c>
      <c r="J36" s="6" t="inlineStr">
        <is>
          <t>Gap to Last</t>
        </is>
      </c>
      <c r="K36" s="6" t="inlineStr">
        <is>
          <t>Gap Flag</t>
        </is>
      </c>
      <c r="L36" s="6" t="inlineStr">
        <is>
          <t>% of CDF</t>
        </is>
      </c>
      <c r="M36" s="6" t="inlineStr">
        <is>
          <t>Materiality OK</t>
        </is>
      </c>
      <c r="N36" s="6" t="inlineStr">
        <is>
          <t>+10% Reserve Delta</t>
        </is>
      </c>
      <c r="O36" s="6" t="inlineStr">
        <is>
          <t>+20% Reserve Delta</t>
        </is>
      </c>
    </row>
    <row r="37">
      <c r="A37" s="10" t="n">
        <v>143</v>
      </c>
      <c r="B37" s="11" t="inlineStr">
        <is>
          <t>N</t>
        </is>
      </c>
      <c r="C37" s="10" t="n">
        <v>0.01817996899513755</v>
      </c>
      <c r="D37" s="12" t="n">
        <v>6</v>
      </c>
      <c r="E37" s="13" t="inlineStr">
        <is>
          <t>bondy</t>
        </is>
      </c>
      <c r="F37" s="13" t="n"/>
      <c r="G37" s="10" t="n">
        <v>1.0039</v>
      </c>
      <c r="H37" s="12">
        <f>#NUM!</f>
        <v/>
      </c>
      <c r="I37" s="12">
        <f>#NUM!</f>
        <v/>
      </c>
      <c r="J37" s="12">
        <f>#NUM!</f>
        <v/>
      </c>
      <c r="K37" s="12" t="inlineStr">
        <is>
          <t>N</t>
        </is>
      </c>
      <c r="L37" s="10" t="n">
        <v>0.05767680903064931</v>
      </c>
      <c r="M37" s="28" t="inlineStr">
        <is>
          <t>Y</t>
        </is>
      </c>
      <c r="N37" s="10" t="n">
        <v>489199.6169315651</v>
      </c>
      <c r="O37" s="29" t="n">
        <v>896865.9643745348</v>
      </c>
    </row>
    <row r="38">
      <c r="A38" s="16" t="n">
        <v>143</v>
      </c>
      <c r="B38" s="17" t="inlineStr">
        <is>
          <t>N</t>
        </is>
      </c>
      <c r="C38" s="16" t="n">
        <v>0.01817996899513755</v>
      </c>
      <c r="D38" s="18" t="n">
        <v>6</v>
      </c>
      <c r="E38" s="19" t="inlineStr">
        <is>
          <t>exp_dev_product</t>
        </is>
      </c>
      <c r="F38" s="19" t="inlineStr">
        <is>
          <t>[0.016571709809195413, 0.8431024219307085]</t>
        </is>
      </c>
      <c r="G38" s="16" t="n">
        <v>1.013703181942844</v>
      </c>
      <c r="H38" s="18" t="n">
        <v>0.3537649435694358</v>
      </c>
      <c r="I38" s="18" t="n">
        <v>0.001678601511099865</v>
      </c>
      <c r="J38" s="18" t="n">
        <v>0.0009282901908046585</v>
      </c>
      <c r="K38" s="18" t="inlineStr">
        <is>
          <t>N</t>
        </is>
      </c>
      <c r="L38" s="16" t="n">
        <v>0.2004089016851266</v>
      </c>
      <c r="M38" s="30" t="inlineStr">
        <is>
          <t>N</t>
        </is>
      </c>
      <c r="N38" s="16" t="n">
        <v>484468.7322539017</v>
      </c>
      <c r="O38" s="31" t="n">
        <v>888192.6757988185</v>
      </c>
    </row>
    <row r="39">
      <c r="A39" s="16" t="n">
        <v>143</v>
      </c>
      <c r="B39" s="17" t="inlineStr">
        <is>
          <t>N</t>
        </is>
      </c>
      <c r="C39" s="16" t="n">
        <v>0.01817996899513755</v>
      </c>
      <c r="D39" s="18" t="n">
        <v>6</v>
      </c>
      <c r="E39" s="19" t="inlineStr">
        <is>
          <t>exp_dev_quick</t>
        </is>
      </c>
      <c r="F39" s="19" t="inlineStr">
        <is>
          <t>[0.016571709809195413, 0.8431024219307085]</t>
        </is>
      </c>
      <c r="G39" s="16" t="n">
        <v>1.026964587131287</v>
      </c>
      <c r="H39" s="18" t="n">
        <v>0.3537649435694358</v>
      </c>
      <c r="I39" s="18" t="n">
        <v>0.001678601511099865</v>
      </c>
      <c r="J39" s="18" t="n">
        <v>0.0009282901908046585</v>
      </c>
      <c r="K39" s="18" t="inlineStr">
        <is>
          <t>N</t>
        </is>
      </c>
      <c r="L39" s="16" t="n">
        <v>0.3885306502651198</v>
      </c>
      <c r="M39" s="30" t="inlineStr">
        <is>
          <t>N</t>
        </is>
      </c>
      <c r="N39" s="16" t="n">
        <v>478212.6877514347</v>
      </c>
      <c r="O39" s="31" t="n">
        <v>876723.2608776242</v>
      </c>
    </row>
    <row r="40">
      <c r="A40" s="16" t="n">
        <v>143</v>
      </c>
      <c r="B40" s="17" t="inlineStr">
        <is>
          <t>N</t>
        </is>
      </c>
      <c r="C40" s="16" t="n">
        <v>0.01817996899513755</v>
      </c>
      <c r="D40" s="18" t="n">
        <v>6</v>
      </c>
      <c r="E40" s="19" t="inlineStr">
        <is>
          <t>exp_dev_quick_exact_last</t>
        </is>
      </c>
      <c r="F40" s="19" t="inlineStr">
        <is>
          <t>[0.016571709809195413, 0.8431024219307085]</t>
        </is>
      </c>
      <c r="G40" s="16" t="n">
        <v>1.041477001913356</v>
      </c>
      <c r="H40" s="18" t="n">
        <v>0.3537649435694358</v>
      </c>
      <c r="I40" s="18" t="n">
        <v>0.001678601511099865</v>
      </c>
      <c r="J40" s="18" t="n">
        <v>0.0009282901908046585</v>
      </c>
      <c r="K40" s="18" t="inlineStr">
        <is>
          <t>N</t>
        </is>
      </c>
      <c r="L40" s="16" t="n">
        <v>0.5881302887140961</v>
      </c>
      <c r="M40" s="30" t="inlineStr">
        <is>
          <t>N</t>
        </is>
      </c>
      <c r="N40" s="16" t="n">
        <v>471549.0544057712</v>
      </c>
      <c r="O40" s="31" t="n">
        <v>864506.5997439101</v>
      </c>
    </row>
    <row r="41">
      <c r="A41" s="16" t="n">
        <v>143</v>
      </c>
      <c r="B41" s="17" t="inlineStr">
        <is>
          <t>N</t>
        </is>
      </c>
      <c r="C41" s="16" t="n">
        <v>0.01817996899513755</v>
      </c>
      <c r="D41" s="18" t="n">
        <v>6</v>
      </c>
      <c r="E41" s="19" t="inlineStr">
        <is>
          <t>mcclenahan</t>
        </is>
      </c>
      <c r="F41" s="19" t="inlineStr">
        <is>
          <t>{"r": 0.55556888}</t>
        </is>
      </c>
      <c r="G41" s="16" t="n">
        <v>1.0000013320688</v>
      </c>
      <c r="H41" s="18">
        <f>#NUM!</f>
        <v/>
      </c>
      <c r="I41" s="18">
        <f>#NUM!</f>
        <v/>
      </c>
      <c r="J41" s="18">
        <f>#NUM!</f>
        <v/>
      </c>
      <c r="K41" s="18" t="inlineStr">
        <is>
          <t>N</t>
        </is>
      </c>
      <c r="L41" s="16" t="n">
        <v>1.978807845252076e-05</v>
      </c>
      <c r="M41" s="30" t="inlineStr">
        <is>
          <t>Y</t>
        </is>
      </c>
      <c r="N41" s="16" t="n">
        <v>491106.8412494883</v>
      </c>
      <c r="O41" s="31" t="n">
        <v>900362.5422907323</v>
      </c>
    </row>
    <row r="42">
      <c r="A42" s="10" t="n">
        <v>143</v>
      </c>
      <c r="B42" s="11" t="inlineStr">
        <is>
          <t>N</t>
        </is>
      </c>
      <c r="C42" s="10" t="n">
        <v>0.01817996899513755</v>
      </c>
      <c r="D42" s="12" t="n">
        <v>6</v>
      </c>
      <c r="E42" s="13" t="inlineStr">
        <is>
          <t>modified_bondy_double_dev</t>
        </is>
      </c>
      <c r="F42" s="13" t="n"/>
      <c r="G42" s="10" t="n">
        <v>1.0078</v>
      </c>
      <c r="H42" s="12">
        <f>#NUM!</f>
        <v/>
      </c>
      <c r="I42" s="12">
        <f>#NUM!</f>
        <v/>
      </c>
      <c r="J42" s="12">
        <f>#NUM!</f>
        <v/>
      </c>
      <c r="K42" s="12" t="inlineStr">
        <is>
          <t>N</t>
        </is>
      </c>
      <c r="L42" s="10" t="n">
        <v>0.114841496587679</v>
      </c>
      <c r="M42" s="28" t="inlineStr">
        <is>
          <t>N</t>
        </is>
      </c>
      <c r="N42" s="10" t="n">
        <v>487306.5047009289</v>
      </c>
      <c r="O42" s="29" t="n">
        <v>893395.2586183697</v>
      </c>
    </row>
    <row r="43">
      <c r="A43" s="10" t="n">
        <v>143</v>
      </c>
      <c r="B43" s="11" t="inlineStr">
        <is>
          <t>N</t>
        </is>
      </c>
      <c r="C43" s="10" t="n">
        <v>0.01817996899513755</v>
      </c>
      <c r="D43" s="12" t="n">
        <v>6</v>
      </c>
      <c r="E43" s="13" t="inlineStr">
        <is>
          <t>modified_bondy_square_ratio</t>
        </is>
      </c>
      <c r="F43" s="13" t="n"/>
      <c r="G43" s="10" t="n">
        <v>1.00781521</v>
      </c>
      <c r="H43" s="12">
        <f>#NUM!</f>
        <v/>
      </c>
      <c r="I43" s="12">
        <f>#NUM!</f>
        <v/>
      </c>
      <c r="J43" s="12">
        <f>#NUM!</f>
        <v/>
      </c>
      <c r="K43" s="12" t="inlineStr">
        <is>
          <t>N</t>
        </is>
      </c>
      <c r="L43" s="10" t="n">
        <v>0.1150634452564325</v>
      </c>
      <c r="M43" s="28" t="inlineStr">
        <is>
          <t>N</t>
        </is>
      </c>
      <c r="N43" s="10" t="n">
        <v>487299.1502456069</v>
      </c>
      <c r="O43" s="29" t="n">
        <v>893381.7754502818</v>
      </c>
    </row>
    <row r="44">
      <c r="A44" s="10" t="n">
        <v>203</v>
      </c>
      <c r="B44" s="11" t="inlineStr">
        <is>
          <t>N</t>
        </is>
      </c>
      <c r="C44" s="10" t="n">
        <v>0.01080918552262794</v>
      </c>
      <c r="D44" s="12" t="n">
        <v>3</v>
      </c>
      <c r="E44" s="13" t="inlineStr">
        <is>
          <t>bondy</t>
        </is>
      </c>
      <c r="F44" s="13" t="n"/>
      <c r="G44" s="10" t="n">
        <v>1.0039</v>
      </c>
      <c r="H44" s="12">
        <f>#NUM!</f>
        <v/>
      </c>
      <c r="I44" s="12">
        <f>#NUM!</f>
        <v/>
      </c>
      <c r="J44" s="12">
        <f>#NUM!</f>
        <v/>
      </c>
      <c r="K44" s="12" t="inlineStr">
        <is>
          <t>N</t>
        </is>
      </c>
      <c r="L44" s="10" t="n">
        <v>0.05767680903064931</v>
      </c>
      <c r="M44" s="28" t="inlineStr">
        <is>
          <t>Y</t>
        </is>
      </c>
      <c r="N44" s="10" t="n">
        <v>489199.6169315651</v>
      </c>
      <c r="O44" s="29" t="n">
        <v>896865.9643745348</v>
      </c>
    </row>
    <row r="45">
      <c r="A45" s="16" t="n">
        <v>203</v>
      </c>
      <c r="B45" s="17" t="inlineStr">
        <is>
          <t>N</t>
        </is>
      </c>
      <c r="C45" s="16" t="n">
        <v>0.01080918552262794</v>
      </c>
      <c r="D45" s="18" t="n">
        <v>3</v>
      </c>
      <c r="E45" s="19" t="inlineStr">
        <is>
          <t>double_exp</t>
        </is>
      </c>
      <c r="F45" s="19" t="inlineStr">
        <is>
          <t>[-6.09612748068809, 0.3838096387678443, -0.03959570862874873]</t>
        </is>
      </c>
      <c r="G45" s="16" t="n">
        <v>1.016282359093023</v>
      </c>
      <c r="H45" s="18" t="n">
        <v>0.5340751389078572</v>
      </c>
      <c r="I45" s="18" t="n">
        <v>0.04647288677542463</v>
      </c>
      <c r="J45" s="18" t="n">
        <v>0.0001515701072505433</v>
      </c>
      <c r="K45" s="18" t="inlineStr">
        <is>
          <t>N</t>
        </is>
      </c>
      <c r="L45" s="16" t="n">
        <v>0.2374368772121291</v>
      </c>
      <c r="M45" s="30" t="inlineStr">
        <is>
          <t>N</t>
        </is>
      </c>
      <c r="N45" s="16" t="n">
        <v>483239.2209148258</v>
      </c>
      <c r="O45" s="31" t="n">
        <v>885938.5716771781</v>
      </c>
    </row>
    <row r="46">
      <c r="A46" s="16" t="n">
        <v>203</v>
      </c>
      <c r="B46" s="17" t="inlineStr">
        <is>
          <t>N</t>
        </is>
      </c>
      <c r="C46" s="16" t="n">
        <v>0.01080918552262794</v>
      </c>
      <c r="D46" s="18" t="n">
        <v>3</v>
      </c>
      <c r="E46" s="19" t="inlineStr">
        <is>
          <t>mcclenahan</t>
        </is>
      </c>
      <c r="F46" s="19" t="inlineStr">
        <is>
          <t>{"r": 0.53267096}</t>
        </is>
      </c>
      <c r="G46" s="16" t="n">
        <v>1.000000506133965</v>
      </c>
      <c r="H46" s="18">
        <f>#NUM!</f>
        <v/>
      </c>
      <c r="I46" s="18">
        <f>#NUM!</f>
        <v/>
      </c>
      <c r="J46" s="18">
        <f>#NUM!</f>
        <v/>
      </c>
      <c r="K46" s="18" t="inlineStr">
        <is>
          <t>N</t>
        </is>
      </c>
      <c r="L46" s="16" t="n">
        <v>7.51870181748353e-06</v>
      </c>
      <c r="M46" s="30" t="inlineStr">
        <is>
          <t>Y</t>
        </is>
      </c>
      <c r="N46" s="16" t="n">
        <v>491107.246871531</v>
      </c>
      <c r="O46" s="31" t="n">
        <v>900363.2859311476</v>
      </c>
    </row>
    <row r="47">
      <c r="A47" s="10" t="n">
        <v>203</v>
      </c>
      <c r="B47" s="11" t="inlineStr">
        <is>
          <t>N</t>
        </is>
      </c>
      <c r="C47" s="10" t="n">
        <v>0.01080918552262794</v>
      </c>
      <c r="D47" s="12" t="n">
        <v>3</v>
      </c>
      <c r="E47" s="13" t="inlineStr">
        <is>
          <t>modified_bondy_double_dev</t>
        </is>
      </c>
      <c r="F47" s="13" t="n"/>
      <c r="G47" s="10" t="n">
        <v>1.0078</v>
      </c>
      <c r="H47" s="12">
        <f>#NUM!</f>
        <v/>
      </c>
      <c r="I47" s="12">
        <f>#NUM!</f>
        <v/>
      </c>
      <c r="J47" s="12">
        <f>#NUM!</f>
        <v/>
      </c>
      <c r="K47" s="12" t="inlineStr">
        <is>
          <t>N</t>
        </is>
      </c>
      <c r="L47" s="10" t="n">
        <v>0.114841496587679</v>
      </c>
      <c r="M47" s="28" t="inlineStr">
        <is>
          <t>N</t>
        </is>
      </c>
      <c r="N47" s="10" t="n">
        <v>487306.5047009289</v>
      </c>
      <c r="O47" s="29" t="n">
        <v>893395.2586183697</v>
      </c>
    </row>
    <row r="48">
      <c r="A48" s="10" t="n">
        <v>203</v>
      </c>
      <c r="B48" s="11" t="inlineStr">
        <is>
          <t>N</t>
        </is>
      </c>
      <c r="C48" s="10" t="n">
        <v>0.01080918552262794</v>
      </c>
      <c r="D48" s="12" t="n">
        <v>3</v>
      </c>
      <c r="E48" s="13" t="inlineStr">
        <is>
          <t>modified_bondy_square_ratio</t>
        </is>
      </c>
      <c r="F48" s="13" t="n"/>
      <c r="G48" s="10" t="n">
        <v>1.00781521</v>
      </c>
      <c r="H48" s="12">
        <f>#NUM!</f>
        <v/>
      </c>
      <c r="I48" s="12">
        <f>#NUM!</f>
        <v/>
      </c>
      <c r="J48" s="12">
        <f>#NUM!</f>
        <v/>
      </c>
      <c r="K48" s="12" t="inlineStr">
        <is>
          <t>N</t>
        </is>
      </c>
      <c r="L48" s="10" t="n">
        <v>0.1150634452564325</v>
      </c>
      <c r="M48" s="28" t="inlineStr">
        <is>
          <t>N</t>
        </is>
      </c>
      <c r="N48" s="10" t="n">
        <v>487299.1502456069</v>
      </c>
      <c r="O48" s="29" t="n">
        <v>893381.7754502818</v>
      </c>
    </row>
    <row r="49">
      <c r="A49" s="16" t="n">
        <v>203</v>
      </c>
      <c r="B49" s="17" t="inlineStr">
        <is>
          <t>N</t>
        </is>
      </c>
      <c r="C49" s="16" t="n">
        <v>0.01080918552262794</v>
      </c>
      <c r="D49" s="18" t="n">
        <v>3</v>
      </c>
      <c r="E49" s="19" t="inlineStr">
        <is>
          <t>skurnick</t>
        </is>
      </c>
      <c r="F49" s="19" t="inlineStr">
        <is>
          <t>{"r": 0.66153395, "A": 87530.41887367, "n": 6}</t>
        </is>
      </c>
      <c r="G49" s="16" t="n">
        <v>1.329127668281158</v>
      </c>
      <c r="H49" s="18" t="n">
        <v>0.7953061848048253</v>
      </c>
      <c r="I49" s="18">
        <f>#NUM!</f>
        <v/>
      </c>
      <c r="J49" s="18">
        <f>#NUM!</f>
        <v/>
      </c>
      <c r="K49" s="18" t="inlineStr">
        <is>
          <t>N</t>
        </is>
      </c>
      <c r="L49" s="16" t="n">
        <v>3.548023263185676</v>
      </c>
      <c r="M49" s="30" t="inlineStr">
        <is>
          <t>N</t>
        </is>
      </c>
      <c r="N49" s="16" t="n">
        <v>369496.1042175144</v>
      </c>
      <c r="O49" s="31" t="n">
        <v>677409.5243987739</v>
      </c>
    </row>
    <row r="50"/>
    <row r="51">
      <c r="A51" s="5" t="inlineStr">
        <is>
          <t>Tail Factor Selection</t>
        </is>
      </c>
    </row>
    <row r="52">
      <c r="A52" s="6" t="inlineStr">
        <is>
          <t>Label</t>
        </is>
      </c>
      <c r="B52" s="6" t="inlineStr">
        <is>
          <t>Cutoff Age</t>
        </is>
      </c>
      <c r="C52" s="6" t="inlineStr">
        <is>
          <t>Tail Factor</t>
        </is>
      </c>
      <c r="D52" s="6" t="inlineStr">
        <is>
          <t>Method</t>
        </is>
      </c>
      <c r="E52" s="6" t="inlineStr">
        <is>
          <t>Reasoning</t>
        </is>
      </c>
      <c r="F52" s="6" t="inlineStr">
        <is>
          <t>Additional Notes</t>
        </is>
      </c>
    </row>
    <row r="53">
      <c r="A53" s="22" t="inlineStr">
        <is>
          <t>Rules-Based AI Selection</t>
        </is>
      </c>
      <c r="B53" s="32" t="n">
        <v>203</v>
      </c>
      <c r="C53" s="33" t="n">
        <v>1.0039</v>
      </c>
      <c r="D53" s="34" t="inlineStr">
        <is>
          <t>bondy</t>
        </is>
      </c>
      <c r="E53" s="34" t="inlineStr">
        <is>
          <t>Paid Loss triangle expects longest tail among dollar measures; however, diagnostics reveal materially immaterial tail development. Starting age 203 selected over age 143: slope_sign_changes reduce from 6 to 3, CV=0.0108 (low), n_factors=7 meeting minimum. Bondy method selected based on materiality anchor: pct_of_cdf=0.058% is well below 0.1% immateriality threshold, indicating tail contributes negligibly to CDF. Gap to last observed factor minimal (gap_flag=False). Curve fits (exp_dev_quick RÂ²=0.354, double_exp LOO std dev=0.0465) lack quality diagnostics and are rejected: exp_dev_quick fails RÂ²&gt;0.85 requirement; double_exp shows unstable LOO performance. McClenahan and modified Bondy variants also rejectedâ€”neither improves on immateriality anchor or fit. Skurnick extreme outlier (tail=1.329) inconsistent with observed monotonic decay and rejected. Bondy method (last observed factor=1.0039 at age 203) is appropriate default when immateriality applies, following hierarchy that prioritizes materiality over complex curve fits. Selection ASOP 43 compliant: documented method choice with materiality justification; no curve fit required where tail immaterial.</t>
        </is>
      </c>
      <c r="F53" s="34" t="inlineStr"/>
    </row>
    <row r="54">
      <c r="A54" s="24" t="inlineStr">
        <is>
          <t>Open-Ended AI Selection</t>
        </is>
      </c>
      <c r="B54" s="35" t="n">
        <v>143</v>
      </c>
      <c r="C54" s="36" t="n">
        <v>1.0039</v>
      </c>
      <c r="D54" s="37" t="inlineStr">
        <is>
          <t>bondy</t>
        </is>
      </c>
      <c r="E54" s="37" t="inlineStr">
        <is>
          <t>At age 143, paid development is essentially complete with observed factors tightly clustered near 1.0 from age 143â€“287. The Bondy method yields 1.0039 with materiality_ok=True and passes the basic monotonicity check given the sparse tail. The gap to last observed (0.0009) is immaterial. While exponential decay methods fit the late-age data with modest RÂ² (0.354), they produce inflated tail factors (1.027â€“1.041) that exceed the natural pattern of near-unity development in the tail. Bondy is the most defensible conservative choice, anchored in the observed tight factors and materiality constraints. No material justification exists for a larger tail beyond 1.0039.</t>
        </is>
      </c>
      <c r="F54" s="37" t="inlineStr"/>
    </row>
    <row r="55"/>
    <row r="56">
      <c r="A56" s="26" t="inlineStr">
        <is>
          <t>User Selection</t>
        </is>
      </c>
      <c r="B56" s="27" t="n"/>
      <c r="C56" s="27" t="n"/>
      <c r="D56" s="27" t="n"/>
      <c r="E56" s="27" t="n"/>
      <c r="F56" s="27" t="n"/>
    </row>
  </sheetData>
  <mergeCells count="5">
    <mergeCell ref="A35:O35"/>
    <mergeCell ref="A2:L2"/>
    <mergeCell ref="A51:F51"/>
    <mergeCell ref="A6:Y6"/>
    <mergeCell ref="A3:L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Y49"/>
  <sheetViews>
    <sheetView workbookViewId="0">
      <selection activeCell="A1" sqref="A1"/>
    </sheetView>
  </sheetViews>
  <sheetFormatPr baseColWidth="8" defaultRowHeight="15"/>
  <cols>
    <col width="30.7109375" customWidth="1" min="1" max="1"/>
    <col width="12.7109375" customWidth="1" min="2" max="3"/>
    <col width="15.7109375" customWidth="1" min="4" max="4"/>
    <col width="25.7109375" customWidth="1" min="5" max="5"/>
    <col width="30.7109375" customWidth="1" min="6" max="6"/>
  </cols>
  <sheetData>
    <row r="1"/>
    <row r="2">
      <c r="A2" s="1" t="inlineStr">
        <is>
          <t>Reported Count</t>
        </is>
      </c>
    </row>
    <row r="3">
      <c r="A3" s="2" t="inlineStr">
        <is>
          <t>Reported count tails similar to incurred loss</t>
        </is>
      </c>
    </row>
    <row r="4">
      <c r="A4" s="3" t="inlineStr">
        <is>
          <t>Max Observed Age:</t>
        </is>
      </c>
      <c r="B4" s="4" t="inlineStr">
        <is>
          <t>287</t>
        </is>
      </c>
      <c r="D4" s="3" t="inlineStr">
        <is>
          <t>Accident Years:</t>
        </is>
      </c>
      <c r="E4" s="4" t="n">
        <v>24</v>
      </c>
      <c r="G4" s="3" t="inlineStr">
        <is>
          <t>Closure % at Last Age:</t>
        </is>
      </c>
      <c r="H4" s="4" t="inlineStr">
        <is>
          <t>N/A</t>
        </is>
      </c>
      <c r="J4" s="3" t="inlineStr">
        <is>
          <t>Last Observed Avg LDF:</t>
        </is>
      </c>
      <c r="K4" s="4" t="inlineStr">
        <is>
          <t>1.0000</t>
        </is>
      </c>
    </row>
    <row r="5"/>
    <row r="6">
      <c r="A6" s="5" t="inlineStr">
        <is>
          <t>Observed Age-to-Age Factors</t>
        </is>
      </c>
    </row>
    <row r="7">
      <c r="A7" s="6" t="inlineStr">
        <is>
          <t>Accident Year</t>
        </is>
      </c>
      <c r="B7" s="6" t="inlineStr">
        <is>
          <t>11</t>
        </is>
      </c>
      <c r="C7" s="6" t="inlineStr">
        <is>
          <t>23</t>
        </is>
      </c>
      <c r="D7" s="6" t="inlineStr">
        <is>
          <t>35</t>
        </is>
      </c>
      <c r="E7" s="6" t="inlineStr">
        <is>
          <t>47</t>
        </is>
      </c>
      <c r="F7" s="6" t="inlineStr">
        <is>
          <t>59</t>
        </is>
      </c>
      <c r="G7" s="6" t="inlineStr">
        <is>
          <t>71</t>
        </is>
      </c>
      <c r="H7" s="6" t="inlineStr">
        <is>
          <t>83</t>
        </is>
      </c>
      <c r="I7" s="6" t="inlineStr">
        <is>
          <t>95</t>
        </is>
      </c>
      <c r="J7" s="6" t="inlineStr">
        <is>
          <t>107</t>
        </is>
      </c>
      <c r="K7" s="6" t="inlineStr">
        <is>
          <t>119</t>
        </is>
      </c>
      <c r="L7" s="6" t="inlineStr">
        <is>
          <t>131</t>
        </is>
      </c>
      <c r="M7" s="6" t="inlineStr">
        <is>
          <t>143</t>
        </is>
      </c>
      <c r="N7" s="6" t="inlineStr">
        <is>
          <t>155</t>
        </is>
      </c>
      <c r="O7" s="6" t="inlineStr">
        <is>
          <t>167</t>
        </is>
      </c>
      <c r="P7" s="6" t="inlineStr">
        <is>
          <t>179</t>
        </is>
      </c>
      <c r="Q7" s="6" t="inlineStr">
        <is>
          <t>191</t>
        </is>
      </c>
      <c r="R7" s="6" t="inlineStr">
        <is>
          <t>203</t>
        </is>
      </c>
      <c r="S7" s="6" t="inlineStr">
        <is>
          <t>215</t>
        </is>
      </c>
      <c r="T7" s="6" t="inlineStr">
        <is>
          <t>227</t>
        </is>
      </c>
      <c r="U7" s="6" t="inlineStr">
        <is>
          <t>239</t>
        </is>
      </c>
      <c r="V7" s="6" t="inlineStr">
        <is>
          <t>251</t>
        </is>
      </c>
      <c r="W7" s="6" t="inlineStr">
        <is>
          <t>263</t>
        </is>
      </c>
      <c r="X7" s="6" t="inlineStr">
        <is>
          <t>275</t>
        </is>
      </c>
      <c r="Y7" s="6" t="inlineStr">
        <is>
          <t>287</t>
        </is>
      </c>
    </row>
    <row r="8">
      <c r="A8" s="7" t="inlineStr">
        <is>
          <t>2001</t>
        </is>
      </c>
      <c r="B8" s="8" t="n"/>
      <c r="C8" s="9" t="n">
        <v>1.0704</v>
      </c>
      <c r="D8" s="9" t="n">
        <v>1.0019</v>
      </c>
      <c r="E8" s="9" t="n">
        <v>1</v>
      </c>
      <c r="F8" s="9" t="n">
        <v>1</v>
      </c>
      <c r="G8" s="9" t="n">
        <v>1</v>
      </c>
      <c r="H8" s="9" t="n">
        <v>1.0251</v>
      </c>
      <c r="I8" s="9" t="n">
        <v>1</v>
      </c>
      <c r="J8" s="9" t="n">
        <v>1</v>
      </c>
      <c r="K8" s="9" t="n">
        <v>1</v>
      </c>
      <c r="L8" s="9" t="n">
        <v>1</v>
      </c>
      <c r="M8" s="9" t="n">
        <v>1</v>
      </c>
      <c r="N8" s="9" t="n">
        <v>1</v>
      </c>
      <c r="O8" s="9" t="n">
        <v>1</v>
      </c>
      <c r="P8" s="9" t="n">
        <v>1</v>
      </c>
      <c r="Q8" s="9" t="n">
        <v>1</v>
      </c>
      <c r="R8" s="9" t="n">
        <v>1</v>
      </c>
      <c r="S8" s="9" t="n">
        <v>1</v>
      </c>
      <c r="T8" s="9" t="n">
        <v>1</v>
      </c>
      <c r="U8" s="9" t="n">
        <v>1</v>
      </c>
      <c r="V8" s="9" t="n">
        <v>1</v>
      </c>
      <c r="W8" s="9" t="n">
        <v>1</v>
      </c>
      <c r="X8" s="9" t="n">
        <v>1</v>
      </c>
      <c r="Y8" s="9" t="n">
        <v>1</v>
      </c>
    </row>
    <row r="9">
      <c r="A9" s="7" t="inlineStr">
        <is>
          <t>2002</t>
        </is>
      </c>
      <c r="B9" s="8" t="n"/>
      <c r="C9" s="9" t="n">
        <v>1.0344</v>
      </c>
      <c r="D9" s="9" t="n">
        <v>1</v>
      </c>
      <c r="E9" s="9" t="n">
        <v>1</v>
      </c>
      <c r="F9" s="9" t="n">
        <v>1</v>
      </c>
      <c r="G9" s="9" t="n">
        <v>1.027</v>
      </c>
      <c r="H9" s="9" t="n">
        <v>1</v>
      </c>
      <c r="I9" s="9" t="n">
        <v>1</v>
      </c>
      <c r="J9" s="9" t="n">
        <v>1</v>
      </c>
      <c r="K9" s="9" t="n">
        <v>1</v>
      </c>
      <c r="L9" s="9" t="n">
        <v>1</v>
      </c>
      <c r="M9" s="9" t="n">
        <v>1</v>
      </c>
      <c r="N9" s="9" t="n">
        <v>1</v>
      </c>
      <c r="O9" s="9" t="n">
        <v>1</v>
      </c>
      <c r="P9" s="9" t="n">
        <v>1</v>
      </c>
      <c r="Q9" s="9" t="n">
        <v>1</v>
      </c>
      <c r="R9" s="9" t="n">
        <v>1</v>
      </c>
      <c r="S9" s="9" t="n">
        <v>1</v>
      </c>
      <c r="T9" s="9" t="n">
        <v>1</v>
      </c>
      <c r="U9" s="9" t="n">
        <v>1</v>
      </c>
      <c r="V9" s="9" t="n">
        <v>1</v>
      </c>
      <c r="W9" s="9" t="n">
        <v>1</v>
      </c>
      <c r="X9" s="9" t="n">
        <v>1</v>
      </c>
      <c r="Y9" s="8" t="n"/>
    </row>
    <row r="10">
      <c r="A10" s="7" t="inlineStr">
        <is>
          <t>2003</t>
        </is>
      </c>
      <c r="B10" s="8" t="n"/>
      <c r="C10" s="9" t="n">
        <v>1.0346</v>
      </c>
      <c r="D10" s="9" t="n">
        <v>1</v>
      </c>
      <c r="E10" s="9" t="n">
        <v>1</v>
      </c>
      <c r="F10" s="9" t="n">
        <v>0.9952</v>
      </c>
      <c r="G10" s="9" t="n">
        <v>1</v>
      </c>
      <c r="H10" s="9" t="n">
        <v>1.0024</v>
      </c>
      <c r="I10" s="9" t="n">
        <v>1</v>
      </c>
      <c r="J10" s="9" t="n">
        <v>1</v>
      </c>
      <c r="K10" s="9" t="n">
        <v>1</v>
      </c>
      <c r="L10" s="9" t="n">
        <v>1</v>
      </c>
      <c r="M10" s="9" t="n">
        <v>1</v>
      </c>
      <c r="N10" s="9" t="n">
        <v>1</v>
      </c>
      <c r="O10" s="9" t="n">
        <v>1</v>
      </c>
      <c r="P10" s="9" t="n">
        <v>1</v>
      </c>
      <c r="Q10" s="9" t="n">
        <v>1</v>
      </c>
      <c r="R10" s="9" t="n">
        <v>1</v>
      </c>
      <c r="S10" s="9" t="n">
        <v>1</v>
      </c>
      <c r="T10" s="9" t="n">
        <v>1</v>
      </c>
      <c r="U10" s="9" t="n">
        <v>1</v>
      </c>
      <c r="V10" s="9" t="n">
        <v>1</v>
      </c>
      <c r="W10" s="9" t="n">
        <v>1</v>
      </c>
      <c r="X10" s="8" t="n"/>
      <c r="Y10" s="8" t="n"/>
    </row>
    <row r="11">
      <c r="A11" s="7" t="inlineStr">
        <is>
          <t>2004</t>
        </is>
      </c>
      <c r="B11" s="8" t="n"/>
      <c r="C11" s="9" t="n">
        <v>1.0591</v>
      </c>
      <c r="D11" s="9" t="n">
        <v>1</v>
      </c>
      <c r="E11" s="9" t="n">
        <v>1.0041</v>
      </c>
      <c r="F11" s="9" t="n">
        <v>1.0021</v>
      </c>
      <c r="G11" s="9" t="n">
        <v>1</v>
      </c>
      <c r="H11" s="9" t="n">
        <v>1</v>
      </c>
      <c r="I11" s="9" t="n">
        <v>1</v>
      </c>
      <c r="J11" s="9" t="n">
        <v>1</v>
      </c>
      <c r="K11" s="9" t="n">
        <v>1</v>
      </c>
      <c r="L11" s="9" t="n">
        <v>1</v>
      </c>
      <c r="M11" s="9" t="n">
        <v>1</v>
      </c>
      <c r="N11" s="9" t="n">
        <v>1</v>
      </c>
      <c r="O11" s="9" t="n">
        <v>1</v>
      </c>
      <c r="P11" s="9" t="n">
        <v>1</v>
      </c>
      <c r="Q11" s="9" t="n">
        <v>1</v>
      </c>
      <c r="R11" s="9" t="n">
        <v>1</v>
      </c>
      <c r="S11" s="9" t="n">
        <v>1</v>
      </c>
      <c r="T11" s="9" t="n">
        <v>1</v>
      </c>
      <c r="U11" s="9" t="n">
        <v>1</v>
      </c>
      <c r="V11" s="9" t="n">
        <v>1</v>
      </c>
      <c r="W11" s="8" t="n"/>
      <c r="X11" s="8" t="n"/>
      <c r="Y11" s="8" t="n"/>
    </row>
    <row r="12">
      <c r="A12" s="7" t="inlineStr">
        <is>
          <t>2005</t>
        </is>
      </c>
      <c r="B12" s="8" t="n"/>
      <c r="C12" s="9" t="n">
        <v>1.0232</v>
      </c>
      <c r="D12" s="9" t="n">
        <v>1.0021</v>
      </c>
      <c r="E12" s="9" t="n">
        <v>0.9979</v>
      </c>
      <c r="F12" s="9" t="n">
        <v>1</v>
      </c>
      <c r="G12" s="9" t="n">
        <v>1</v>
      </c>
      <c r="H12" s="9" t="n">
        <v>1</v>
      </c>
      <c r="I12" s="9" t="n">
        <v>1</v>
      </c>
      <c r="J12" s="9" t="n">
        <v>1</v>
      </c>
      <c r="K12" s="9" t="n">
        <v>1</v>
      </c>
      <c r="L12" s="9" t="n">
        <v>1</v>
      </c>
      <c r="M12" s="9" t="n">
        <v>1</v>
      </c>
      <c r="N12" s="9" t="n">
        <v>1</v>
      </c>
      <c r="O12" s="9" t="n">
        <v>1</v>
      </c>
      <c r="P12" s="9" t="n">
        <v>1</v>
      </c>
      <c r="Q12" s="9" t="n">
        <v>1</v>
      </c>
      <c r="R12" s="9" t="n">
        <v>1</v>
      </c>
      <c r="S12" s="9" t="n">
        <v>1</v>
      </c>
      <c r="T12" s="9" t="n">
        <v>1</v>
      </c>
      <c r="U12" s="9" t="n">
        <v>1</v>
      </c>
      <c r="V12" s="8" t="n"/>
      <c r="W12" s="8" t="n"/>
      <c r="X12" s="8" t="n"/>
      <c r="Y12" s="8" t="n"/>
    </row>
    <row r="13">
      <c r="A13" s="7" t="inlineStr">
        <is>
          <t>2006</t>
        </is>
      </c>
      <c r="B13" s="8" t="n"/>
      <c r="C13" s="9" t="n">
        <v>1.0386</v>
      </c>
      <c r="D13" s="9" t="n">
        <v>1</v>
      </c>
      <c r="E13" s="9" t="n">
        <v>1</v>
      </c>
      <c r="F13" s="9" t="n">
        <v>1</v>
      </c>
      <c r="G13" s="9" t="n">
        <v>1</v>
      </c>
      <c r="H13" s="9" t="n">
        <v>1</v>
      </c>
      <c r="I13" s="9" t="n">
        <v>1</v>
      </c>
      <c r="J13" s="9" t="n">
        <v>1</v>
      </c>
      <c r="K13" s="9" t="n">
        <v>1</v>
      </c>
      <c r="L13" s="9" t="n">
        <v>1</v>
      </c>
      <c r="M13" s="9" t="n">
        <v>1</v>
      </c>
      <c r="N13" s="9" t="n">
        <v>1</v>
      </c>
      <c r="O13" s="9" t="n">
        <v>1</v>
      </c>
      <c r="P13" s="9" t="n">
        <v>1</v>
      </c>
      <c r="Q13" s="9" t="n">
        <v>1</v>
      </c>
      <c r="R13" s="9" t="n">
        <v>1</v>
      </c>
      <c r="S13" s="9" t="n">
        <v>1</v>
      </c>
      <c r="T13" s="9" t="n">
        <v>1</v>
      </c>
      <c r="U13" s="8" t="n"/>
      <c r="V13" s="8" t="n"/>
      <c r="W13" s="8" t="n"/>
      <c r="X13" s="8" t="n"/>
      <c r="Y13" s="8" t="n"/>
    </row>
    <row r="14">
      <c r="A14" s="7" t="inlineStr">
        <is>
          <t>2007</t>
        </is>
      </c>
      <c r="B14" s="8" t="n"/>
      <c r="C14" s="9" t="n">
        <v>1.0434</v>
      </c>
      <c r="D14" s="9" t="n">
        <v>1</v>
      </c>
      <c r="E14" s="9" t="n">
        <v>1</v>
      </c>
      <c r="F14" s="9" t="n">
        <v>1</v>
      </c>
      <c r="G14" s="9" t="n">
        <v>1</v>
      </c>
      <c r="H14" s="9" t="n">
        <v>1</v>
      </c>
      <c r="I14" s="9" t="n">
        <v>1</v>
      </c>
      <c r="J14" s="9" t="n">
        <v>1</v>
      </c>
      <c r="K14" s="9" t="n">
        <v>1</v>
      </c>
      <c r="L14" s="9" t="n">
        <v>1</v>
      </c>
      <c r="M14" s="9" t="n">
        <v>1</v>
      </c>
      <c r="N14" s="9" t="n">
        <v>1</v>
      </c>
      <c r="O14" s="9" t="n">
        <v>1</v>
      </c>
      <c r="P14" s="9" t="n">
        <v>1</v>
      </c>
      <c r="Q14" s="9" t="n">
        <v>1</v>
      </c>
      <c r="R14" s="9" t="n">
        <v>1</v>
      </c>
      <c r="S14" s="9" t="n">
        <v>1</v>
      </c>
      <c r="T14" s="8" t="n"/>
      <c r="U14" s="8" t="n"/>
      <c r="V14" s="8" t="n"/>
      <c r="W14" s="8" t="n"/>
      <c r="X14" s="8" t="n"/>
      <c r="Y14" s="8" t="n"/>
    </row>
    <row r="15">
      <c r="A15" s="7" t="inlineStr">
        <is>
          <t>2008</t>
        </is>
      </c>
      <c r="B15" s="8" t="n"/>
      <c r="C15" s="9" t="n">
        <v>1.0644</v>
      </c>
      <c r="D15" s="9" t="n">
        <v>1.004</v>
      </c>
      <c r="E15" s="9" t="n">
        <v>1</v>
      </c>
      <c r="F15" s="9" t="n">
        <v>1</v>
      </c>
      <c r="G15" s="9" t="n">
        <v>1</v>
      </c>
      <c r="H15" s="9" t="n">
        <v>1</v>
      </c>
      <c r="I15" s="9" t="n">
        <v>1</v>
      </c>
      <c r="J15" s="9" t="n">
        <v>1</v>
      </c>
      <c r="K15" s="9" t="n">
        <v>1</v>
      </c>
      <c r="L15" s="9" t="n">
        <v>1</v>
      </c>
      <c r="M15" s="9" t="n">
        <v>1</v>
      </c>
      <c r="N15" s="9" t="n">
        <v>1</v>
      </c>
      <c r="O15" s="9" t="n">
        <v>1</v>
      </c>
      <c r="P15" s="9" t="n">
        <v>1</v>
      </c>
      <c r="Q15" s="9" t="n">
        <v>1</v>
      </c>
      <c r="R15" s="9" t="n">
        <v>1</v>
      </c>
      <c r="S15" s="8" t="n"/>
      <c r="T15" s="8" t="n"/>
      <c r="U15" s="8" t="n"/>
      <c r="V15" s="8" t="n"/>
      <c r="W15" s="8" t="n"/>
      <c r="X15" s="8" t="n"/>
      <c r="Y15" s="8" t="n"/>
    </row>
    <row r="16">
      <c r="A16" s="7" t="inlineStr">
        <is>
          <t>2009</t>
        </is>
      </c>
      <c r="B16" s="8" t="n"/>
      <c r="C16" s="9" t="n">
        <v>1.0474</v>
      </c>
      <c r="D16" s="9" t="n">
        <v>1.0041</v>
      </c>
      <c r="E16" s="9" t="n">
        <v>1</v>
      </c>
      <c r="F16" s="9" t="n">
        <v>1</v>
      </c>
      <c r="G16" s="9" t="n">
        <v>1</v>
      </c>
      <c r="H16" s="9" t="n">
        <v>1</v>
      </c>
      <c r="I16" s="9" t="n">
        <v>1</v>
      </c>
      <c r="J16" s="9" t="n">
        <v>1</v>
      </c>
      <c r="K16" s="9" t="n">
        <v>1</v>
      </c>
      <c r="L16" s="9" t="n">
        <v>1</v>
      </c>
      <c r="M16" s="9" t="n">
        <v>1</v>
      </c>
      <c r="N16" s="9" t="n">
        <v>1</v>
      </c>
      <c r="O16" s="9" t="n">
        <v>1</v>
      </c>
      <c r="P16" s="9" t="n">
        <v>1</v>
      </c>
      <c r="Q16" s="9" t="n">
        <v>1</v>
      </c>
      <c r="R16" s="8" t="n"/>
      <c r="S16" s="8" t="n"/>
      <c r="T16" s="8" t="n"/>
      <c r="U16" s="8" t="n"/>
      <c r="V16" s="8" t="n"/>
      <c r="W16" s="8" t="n"/>
      <c r="X16" s="8" t="n"/>
      <c r="Y16" s="8" t="n"/>
    </row>
    <row r="17">
      <c r="A17" s="7" t="inlineStr">
        <is>
          <t>2010</t>
        </is>
      </c>
      <c r="B17" s="8" t="n"/>
      <c r="C17" s="9" t="n">
        <v>1.0457</v>
      </c>
      <c r="D17" s="9" t="n">
        <v>1</v>
      </c>
      <c r="E17" s="9" t="n">
        <v>1</v>
      </c>
      <c r="F17" s="9" t="n">
        <v>1</v>
      </c>
      <c r="G17" s="9" t="n">
        <v>1</v>
      </c>
      <c r="H17" s="9" t="n">
        <v>1</v>
      </c>
      <c r="I17" s="9" t="n">
        <v>1</v>
      </c>
      <c r="J17" s="9" t="n">
        <v>1</v>
      </c>
      <c r="K17" s="9" t="n">
        <v>1</v>
      </c>
      <c r="L17" s="9" t="n">
        <v>1</v>
      </c>
      <c r="M17" s="9" t="n">
        <v>1</v>
      </c>
      <c r="N17" s="9" t="n">
        <v>1</v>
      </c>
      <c r="O17" s="9" t="n">
        <v>1</v>
      </c>
      <c r="P17" s="9" t="n">
        <v>1</v>
      </c>
      <c r="Q17" s="8" t="n"/>
      <c r="R17" s="8" t="n"/>
      <c r="S17" s="8" t="n"/>
      <c r="T17" s="8" t="n"/>
      <c r="U17" s="8" t="n"/>
      <c r="V17" s="8" t="n"/>
      <c r="W17" s="8" t="n"/>
      <c r="X17" s="8" t="n"/>
      <c r="Y17" s="8" t="n"/>
    </row>
    <row r="18">
      <c r="A18" s="7" t="inlineStr">
        <is>
          <t>2011</t>
        </is>
      </c>
      <c r="B18" s="8" t="n"/>
      <c r="C18" s="9" t="n">
        <v>1</v>
      </c>
      <c r="D18" s="9" t="n">
        <v>1</v>
      </c>
      <c r="E18" s="9" t="n">
        <v>1</v>
      </c>
      <c r="F18" s="9" t="n">
        <v>1</v>
      </c>
      <c r="G18" s="9" t="n">
        <v>1</v>
      </c>
      <c r="H18" s="9" t="n">
        <v>1</v>
      </c>
      <c r="I18" s="9" t="n">
        <v>1</v>
      </c>
      <c r="J18" s="9" t="n">
        <v>1</v>
      </c>
      <c r="K18" s="9" t="n">
        <v>1</v>
      </c>
      <c r="L18" s="9" t="n">
        <v>1</v>
      </c>
      <c r="M18" s="9" t="n">
        <v>1</v>
      </c>
      <c r="N18" s="9" t="n">
        <v>1</v>
      </c>
      <c r="O18" s="9" t="n">
        <v>1</v>
      </c>
      <c r="P18" s="8" t="n"/>
      <c r="Q18" s="8" t="n"/>
      <c r="R18" s="8" t="n"/>
      <c r="S18" s="8" t="n"/>
      <c r="T18" s="8" t="n"/>
      <c r="U18" s="8" t="n"/>
      <c r="V18" s="8" t="n"/>
      <c r="W18" s="8" t="n"/>
      <c r="X18" s="8" t="n"/>
      <c r="Y18" s="8" t="n"/>
    </row>
    <row r="19">
      <c r="A19" s="7" t="inlineStr">
        <is>
          <t>2012</t>
        </is>
      </c>
      <c r="B19" s="8" t="n"/>
      <c r="C19" s="9" t="n">
        <v>1.0645</v>
      </c>
      <c r="D19" s="9" t="n">
        <v>1</v>
      </c>
      <c r="E19" s="9" t="n">
        <v>1</v>
      </c>
      <c r="F19" s="9" t="n">
        <v>1</v>
      </c>
      <c r="G19" s="9" t="n">
        <v>1</v>
      </c>
      <c r="H19" s="9" t="n">
        <v>1</v>
      </c>
      <c r="I19" s="9" t="n">
        <v>1</v>
      </c>
      <c r="J19" s="9" t="n">
        <v>1</v>
      </c>
      <c r="K19" s="9" t="n">
        <v>1</v>
      </c>
      <c r="L19" s="9" t="n">
        <v>1</v>
      </c>
      <c r="M19" s="9" t="n">
        <v>1</v>
      </c>
      <c r="N19" s="9" t="n">
        <v>1</v>
      </c>
      <c r="O19" s="8" t="n"/>
      <c r="P19" s="8" t="n"/>
      <c r="Q19" s="8" t="n"/>
      <c r="R19" s="8" t="n"/>
      <c r="S19" s="8" t="n"/>
      <c r="T19" s="8" t="n"/>
      <c r="U19" s="8" t="n"/>
      <c r="V19" s="8" t="n"/>
      <c r="W19" s="8" t="n"/>
      <c r="X19" s="8" t="n"/>
      <c r="Y19" s="8" t="n"/>
    </row>
    <row r="20">
      <c r="A20" s="7" t="inlineStr">
        <is>
          <t>2013</t>
        </is>
      </c>
      <c r="B20" s="8" t="n"/>
      <c r="C20" s="9" t="n">
        <v>1.028</v>
      </c>
      <c r="D20" s="9" t="n">
        <v>1</v>
      </c>
      <c r="E20" s="9" t="n">
        <v>1.0045</v>
      </c>
      <c r="F20" s="9" t="n">
        <v>1</v>
      </c>
      <c r="G20" s="9" t="n">
        <v>1</v>
      </c>
      <c r="H20" s="9" t="n">
        <v>1</v>
      </c>
      <c r="I20" s="9" t="n">
        <v>1</v>
      </c>
      <c r="J20" s="9" t="n">
        <v>1</v>
      </c>
      <c r="K20" s="9" t="n">
        <v>1</v>
      </c>
      <c r="L20" s="9" t="n">
        <v>1</v>
      </c>
      <c r="M20" s="9" t="n">
        <v>1</v>
      </c>
      <c r="N20" s="8" t="n"/>
      <c r="O20" s="8" t="n"/>
      <c r="P20" s="8" t="n"/>
      <c r="Q20" s="8" t="n"/>
      <c r="R20" s="8" t="n"/>
      <c r="S20" s="8" t="n"/>
      <c r="T20" s="8" t="n"/>
      <c r="U20" s="8" t="n"/>
      <c r="V20" s="8" t="n"/>
      <c r="W20" s="8" t="n"/>
      <c r="X20" s="8" t="n"/>
      <c r="Y20" s="8" t="n"/>
    </row>
    <row r="21">
      <c r="A21" s="7" t="inlineStr">
        <is>
          <t>2014</t>
        </is>
      </c>
      <c r="B21" s="8" t="n"/>
      <c r="C21" s="9" t="n">
        <v>1.0456</v>
      </c>
      <c r="D21" s="9" t="n">
        <v>1.0029</v>
      </c>
      <c r="E21" s="9" t="n">
        <v>1</v>
      </c>
      <c r="F21" s="9" t="n">
        <v>1</v>
      </c>
      <c r="G21" s="9" t="n">
        <v>1</v>
      </c>
      <c r="H21" s="9" t="n">
        <v>1</v>
      </c>
      <c r="I21" s="9" t="n">
        <v>1</v>
      </c>
      <c r="J21" s="9" t="n">
        <v>1</v>
      </c>
      <c r="K21" s="9" t="n">
        <v>1</v>
      </c>
      <c r="L21" s="9" t="n">
        <v>1</v>
      </c>
      <c r="M21" s="8" t="n"/>
      <c r="N21" s="8" t="n"/>
      <c r="O21" s="8" t="n"/>
      <c r="P21" s="8" t="n"/>
      <c r="Q21" s="8" t="n"/>
      <c r="R21" s="8" t="n"/>
      <c r="S21" s="8" t="n"/>
      <c r="T21" s="8" t="n"/>
      <c r="U21" s="8" t="n"/>
      <c r="V21" s="8" t="n"/>
      <c r="W21" s="8" t="n"/>
      <c r="X21" s="8" t="n"/>
      <c r="Y21" s="8" t="n"/>
    </row>
    <row r="22">
      <c r="A22" s="7" t="inlineStr">
        <is>
          <t>2015</t>
        </is>
      </c>
      <c r="B22" s="8" t="n"/>
      <c r="C22" s="9" t="n">
        <v>1.0328</v>
      </c>
      <c r="D22" s="9" t="n">
        <v>1.0159</v>
      </c>
      <c r="E22" s="9" t="n">
        <v>1</v>
      </c>
      <c r="F22" s="9" t="n">
        <v>1</v>
      </c>
      <c r="G22" s="9" t="n">
        <v>1</v>
      </c>
      <c r="H22" s="9" t="n">
        <v>1</v>
      </c>
      <c r="I22" s="9" t="n">
        <v>1</v>
      </c>
      <c r="J22" s="9" t="n">
        <v>1</v>
      </c>
      <c r="K22" s="9" t="n">
        <v>0.9883</v>
      </c>
      <c r="L22" s="8" t="n"/>
      <c r="M22" s="8" t="n"/>
      <c r="N22" s="8" t="n"/>
      <c r="O22" s="8" t="n"/>
      <c r="P22" s="8" t="n"/>
      <c r="Q22" s="8" t="n"/>
      <c r="R22" s="8" t="n"/>
      <c r="S22" s="8" t="n"/>
      <c r="T22" s="8" t="n"/>
      <c r="U22" s="8" t="n"/>
      <c r="V22" s="8" t="n"/>
      <c r="W22" s="8" t="n"/>
      <c r="X22" s="8" t="n"/>
      <c r="Y22" s="8" t="n"/>
    </row>
    <row r="23">
      <c r="A23" s="7" t="inlineStr">
        <is>
          <t>2016</t>
        </is>
      </c>
      <c r="B23" s="8" t="n"/>
      <c r="C23" s="9" t="n">
        <v>1.0802</v>
      </c>
      <c r="D23" s="9" t="n">
        <v>1.0459</v>
      </c>
      <c r="E23" s="9" t="n">
        <v>1</v>
      </c>
      <c r="F23" s="9" t="n">
        <v>1</v>
      </c>
      <c r="G23" s="9" t="n">
        <v>1</v>
      </c>
      <c r="H23" s="9" t="n">
        <v>1</v>
      </c>
      <c r="I23" s="9" t="n">
        <v>1</v>
      </c>
      <c r="J23" s="9" t="n">
        <v>1</v>
      </c>
      <c r="K23" s="8" t="n"/>
      <c r="L23" s="8" t="n"/>
      <c r="M23" s="8" t="n"/>
      <c r="N23" s="8" t="n"/>
      <c r="O23" s="8" t="n"/>
      <c r="P23" s="8" t="n"/>
      <c r="Q23" s="8" t="n"/>
      <c r="R23" s="8" t="n"/>
      <c r="S23" s="8" t="n"/>
      <c r="T23" s="8" t="n"/>
      <c r="U23" s="8" t="n"/>
      <c r="V23" s="8" t="n"/>
      <c r="W23" s="8" t="n"/>
      <c r="X23" s="8" t="n"/>
      <c r="Y23" s="8" t="n"/>
    </row>
    <row r="24">
      <c r="A24" s="7" t="inlineStr">
        <is>
          <t>2017</t>
        </is>
      </c>
      <c r="B24" s="8" t="n"/>
      <c r="C24" s="9" t="n">
        <v>1.1244</v>
      </c>
      <c r="D24" s="9" t="n">
        <v>1.0043</v>
      </c>
      <c r="E24" s="9" t="n">
        <v>1.0042</v>
      </c>
      <c r="F24" s="9" t="n">
        <v>0.9958</v>
      </c>
      <c r="G24" s="9" t="n">
        <v>1</v>
      </c>
      <c r="H24" s="9" t="n">
        <v>1</v>
      </c>
      <c r="I24" s="9" t="n">
        <v>0.9958</v>
      </c>
      <c r="J24" s="8" t="n"/>
      <c r="K24" s="8" t="n"/>
      <c r="L24" s="8" t="n"/>
      <c r="M24" s="8" t="n"/>
      <c r="N24" s="8" t="n"/>
      <c r="O24" s="8" t="n"/>
      <c r="P24" s="8" t="n"/>
      <c r="Q24" s="8" t="n"/>
      <c r="R24" s="8" t="n"/>
      <c r="S24" s="8" t="n"/>
      <c r="T24" s="8" t="n"/>
      <c r="U24" s="8" t="n"/>
      <c r="V24" s="8" t="n"/>
      <c r="W24" s="8" t="n"/>
      <c r="X24" s="8" t="n"/>
      <c r="Y24" s="8" t="n"/>
    </row>
    <row r="25">
      <c r="A25" s="7" t="inlineStr">
        <is>
          <t>2018</t>
        </is>
      </c>
      <c r="B25" s="8" t="n"/>
      <c r="C25" s="9" t="n">
        <v>1.1233</v>
      </c>
      <c r="D25" s="9" t="n">
        <v>1</v>
      </c>
      <c r="E25" s="9" t="n">
        <v>1</v>
      </c>
      <c r="F25" s="9" t="n">
        <v>1.0041</v>
      </c>
      <c r="G25" s="9" t="n">
        <v>1</v>
      </c>
      <c r="H25" s="9" t="n">
        <v>1</v>
      </c>
      <c r="I25" s="8" t="n"/>
      <c r="J25" s="8" t="n"/>
      <c r="K25" s="8" t="n"/>
      <c r="L25" s="8" t="n"/>
      <c r="M25" s="8" t="n"/>
      <c r="N25" s="8" t="n"/>
      <c r="O25" s="8" t="n"/>
      <c r="P25" s="8" t="n"/>
      <c r="Q25" s="8" t="n"/>
      <c r="R25" s="8" t="n"/>
      <c r="S25" s="8" t="n"/>
      <c r="T25" s="8" t="n"/>
      <c r="U25" s="8" t="n"/>
      <c r="V25" s="8" t="n"/>
      <c r="W25" s="8" t="n"/>
      <c r="X25" s="8" t="n"/>
      <c r="Y25" s="8" t="n"/>
    </row>
    <row r="26">
      <c r="A26" s="7" t="inlineStr">
        <is>
          <t>2019</t>
        </is>
      </c>
      <c r="B26" s="8" t="n"/>
      <c r="C26" s="9" t="n">
        <v>1.1429</v>
      </c>
      <c r="D26" s="9" t="n">
        <v>1</v>
      </c>
      <c r="E26" s="9" t="n">
        <v>1</v>
      </c>
      <c r="F26" s="9" t="n">
        <v>1</v>
      </c>
      <c r="G26" s="9" t="n">
        <v>0.9963</v>
      </c>
      <c r="H26" s="8" t="n"/>
      <c r="I26" s="8" t="n"/>
      <c r="J26" s="8" t="n"/>
      <c r="K26" s="8" t="n"/>
      <c r="L26" s="8" t="n"/>
      <c r="M26" s="8" t="n"/>
      <c r="N26" s="8" t="n"/>
      <c r="O26" s="8" t="n"/>
      <c r="P26" s="8" t="n"/>
      <c r="Q26" s="8" t="n"/>
      <c r="R26" s="8" t="n"/>
      <c r="S26" s="8" t="n"/>
      <c r="T26" s="8" t="n"/>
      <c r="U26" s="8" t="n"/>
      <c r="V26" s="8" t="n"/>
      <c r="W26" s="8" t="n"/>
      <c r="X26" s="8" t="n"/>
      <c r="Y26" s="8" t="n"/>
    </row>
    <row r="27">
      <c r="A27" s="7" t="inlineStr">
        <is>
          <t>2020</t>
        </is>
      </c>
      <c r="B27" s="8" t="n"/>
      <c r="C27" s="9" t="n">
        <v>1.0604</v>
      </c>
      <c r="D27" s="9" t="n">
        <v>1</v>
      </c>
      <c r="E27" s="9" t="n">
        <v>1</v>
      </c>
      <c r="F27" s="9" t="n">
        <v>1</v>
      </c>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2021</t>
        </is>
      </c>
      <c r="B28" s="8" t="n"/>
      <c r="C28" s="9" t="n">
        <v>1.1416</v>
      </c>
      <c r="D28" s="9" t="n">
        <v>1</v>
      </c>
      <c r="E28" s="9" t="n">
        <v>1</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2022</t>
        </is>
      </c>
      <c r="B29" s="8" t="n"/>
      <c r="C29" s="9" t="n">
        <v>1.1414</v>
      </c>
      <c r="D29" s="9" t="n">
        <v>1</v>
      </c>
      <c r="E29" s="8" t="n"/>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2023</t>
        </is>
      </c>
      <c r="B30" s="8" t="n"/>
      <c r="C30" s="9" t="n">
        <v>1.1159</v>
      </c>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2024</t>
        </is>
      </c>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Average</t>
        </is>
      </c>
      <c r="B32" s="9">
        <f>IFERROR(AVERAGE(B8:B31),"")</f>
        <v/>
      </c>
      <c r="C32" s="9">
        <f>IFERROR(AVERAGE(C8:C31),"")</f>
        <v/>
      </c>
      <c r="D32" s="9">
        <f>IFERROR(AVERAGE(D8:D31),"")</f>
        <v/>
      </c>
      <c r="E32" s="9">
        <f>IFERROR(AVERAGE(E8:E31),"")</f>
        <v/>
      </c>
      <c r="F32" s="9">
        <f>IFERROR(AVERAGE(F8:F31),"")</f>
        <v/>
      </c>
      <c r="G32" s="9">
        <f>IFERROR(AVERAGE(G8:G31),"")</f>
        <v/>
      </c>
      <c r="H32" s="9">
        <f>IFERROR(AVERAGE(H8:H31),"")</f>
        <v/>
      </c>
      <c r="I32" s="9">
        <f>IFERROR(AVERAGE(I8:I31),"")</f>
        <v/>
      </c>
      <c r="J32" s="9">
        <f>IFERROR(AVERAGE(J8:J31),"")</f>
        <v/>
      </c>
      <c r="K32" s="9">
        <f>IFERROR(AVERAGE(K8:K31),"")</f>
        <v/>
      </c>
      <c r="L32" s="9">
        <f>IFERROR(AVERAGE(L8:L31),"")</f>
        <v/>
      </c>
      <c r="M32" s="9">
        <f>IFERROR(AVERAGE(M8:M31),"")</f>
        <v/>
      </c>
      <c r="N32" s="9">
        <f>IFERROR(AVERAGE(N8:N31),"")</f>
        <v/>
      </c>
      <c r="O32" s="9">
        <f>IFERROR(AVERAGE(O8:O31),"")</f>
        <v/>
      </c>
      <c r="P32" s="9">
        <f>IFERROR(AVERAGE(P8:P31),"")</f>
        <v/>
      </c>
      <c r="Q32" s="9">
        <f>IFERROR(AVERAGE(Q8:Q31),"")</f>
        <v/>
      </c>
      <c r="R32" s="9">
        <f>IFERROR(AVERAGE(R8:R31),"")</f>
        <v/>
      </c>
      <c r="S32" s="9">
        <f>IFERROR(AVERAGE(S8:S31),"")</f>
        <v/>
      </c>
      <c r="T32" s="9">
        <f>IFERROR(AVERAGE(T8:T31),"")</f>
        <v/>
      </c>
      <c r="U32" s="9">
        <f>IFERROR(AVERAGE(U8:U31),"")</f>
        <v/>
      </c>
      <c r="V32" s="9">
        <f>IFERROR(AVERAGE(V8:V31),"")</f>
        <v/>
      </c>
      <c r="W32" s="9">
        <f>IFERROR(AVERAGE(W8:W31),"")</f>
        <v/>
      </c>
      <c r="X32" s="9">
        <f>IFERROR(AVERAGE(X8:X31),"")</f>
        <v/>
      </c>
      <c r="Y32" s="9">
        <f>IFERROR(AVERAGE(Y8:Y31),"")</f>
        <v/>
      </c>
    </row>
    <row r="33">
      <c r="A33" s="7" t="inlineStr">
        <is>
          <t>CV</t>
        </is>
      </c>
      <c r="B33" s="9">
        <f>IFERROR(_xlfn.STDEV.S(B8:B31)/AVERAGE(B8:B31),"")</f>
        <v/>
      </c>
      <c r="C33" s="9">
        <f>IFERROR(_xlfn.STDEV.S(C8:C31)/AVERAGE(C8:C31),"")</f>
        <v/>
      </c>
      <c r="D33" s="9">
        <f>IFERROR(_xlfn.STDEV.S(D8:D31)/AVERAGE(D8:D31),"")</f>
        <v/>
      </c>
      <c r="E33" s="9">
        <f>IFERROR(_xlfn.STDEV.S(E8:E31)/AVERAGE(E8:E31),"")</f>
        <v/>
      </c>
      <c r="F33" s="9">
        <f>IFERROR(_xlfn.STDEV.S(F8:F31)/AVERAGE(F8:F31),"")</f>
        <v/>
      </c>
      <c r="G33" s="9">
        <f>IFERROR(_xlfn.STDEV.S(G8:G31)/AVERAGE(G8:G31),"")</f>
        <v/>
      </c>
      <c r="H33" s="9">
        <f>IFERROR(_xlfn.STDEV.S(H8:H31)/AVERAGE(H8:H31),"")</f>
        <v/>
      </c>
      <c r="I33" s="9">
        <f>IFERROR(_xlfn.STDEV.S(I8:I31)/AVERAGE(I8:I31),"")</f>
        <v/>
      </c>
      <c r="J33" s="9">
        <f>IFERROR(_xlfn.STDEV.S(J8:J31)/AVERAGE(J8:J31),"")</f>
        <v/>
      </c>
      <c r="K33" s="9">
        <f>IFERROR(_xlfn.STDEV.S(K8:K31)/AVERAGE(K8:K31),"")</f>
        <v/>
      </c>
      <c r="L33" s="9">
        <f>IFERROR(_xlfn.STDEV.S(L8:L31)/AVERAGE(L8:L31),"")</f>
        <v/>
      </c>
      <c r="M33" s="9">
        <f>IFERROR(_xlfn.STDEV.S(M8:M31)/AVERAGE(M8:M31),"")</f>
        <v/>
      </c>
      <c r="N33" s="9">
        <f>IFERROR(_xlfn.STDEV.S(N8:N31)/AVERAGE(N8:N31),"")</f>
        <v/>
      </c>
      <c r="O33" s="9">
        <f>IFERROR(_xlfn.STDEV.S(O8:O31)/AVERAGE(O8:O31),"")</f>
        <v/>
      </c>
      <c r="P33" s="9">
        <f>IFERROR(_xlfn.STDEV.S(P8:P31)/AVERAGE(P8:P31),"")</f>
        <v/>
      </c>
      <c r="Q33" s="9">
        <f>IFERROR(_xlfn.STDEV.S(Q8:Q31)/AVERAGE(Q8:Q31),"")</f>
        <v/>
      </c>
      <c r="R33" s="9">
        <f>IFERROR(_xlfn.STDEV.S(R8:R31)/AVERAGE(R8:R31),"")</f>
        <v/>
      </c>
      <c r="S33" s="9">
        <f>IFERROR(_xlfn.STDEV.S(S8:S31)/AVERAGE(S8:S31),"")</f>
        <v/>
      </c>
      <c r="T33" s="9">
        <f>IFERROR(_xlfn.STDEV.S(T8:T31)/AVERAGE(T8:T31),"")</f>
        <v/>
      </c>
      <c r="U33" s="9">
        <f>IFERROR(_xlfn.STDEV.S(U8:U31)/AVERAGE(U8:U31),"")</f>
        <v/>
      </c>
      <c r="V33" s="9">
        <f>IFERROR(_xlfn.STDEV.S(V8:V31)/AVERAGE(V8:V31),"")</f>
        <v/>
      </c>
      <c r="W33" s="9">
        <f>IFERROR(_xlfn.STDEV.S(W8:W31)/AVERAGE(W8:W31),"")</f>
        <v/>
      </c>
      <c r="X33" s="9">
        <f>IFERROR(_xlfn.STDEV.S(X8:X31)/AVERAGE(X8:X31),"")</f>
        <v/>
      </c>
      <c r="Y33" s="9">
        <f>IFERROR(_xlfn.STDEV.S(Y8:Y31)/AVERAGE(Y8:Y31),"")</f>
        <v/>
      </c>
    </row>
    <row r="34"/>
    <row r="35">
      <c r="A35" s="5" t="inlineStr">
        <is>
          <t>Scenario Comparison</t>
        </is>
      </c>
    </row>
    <row r="36">
      <c r="A36" s="6" t="inlineStr">
        <is>
          <t>Starting Age</t>
        </is>
      </c>
      <c r="B36" s="6" t="inlineStr">
        <is>
          <t>Monotone</t>
        </is>
      </c>
      <c r="C36" s="6" t="inlineStr">
        <is>
          <t>CV</t>
        </is>
      </c>
      <c r="D36" s="6" t="inlineStr">
        <is>
          <t>Slope Breaks</t>
        </is>
      </c>
      <c r="E36" s="6" t="inlineStr">
        <is>
          <t>Method</t>
        </is>
      </c>
      <c r="F36" s="6" t="inlineStr">
        <is>
          <t>Params</t>
        </is>
      </c>
      <c r="G36" s="6" t="inlineStr">
        <is>
          <t>Tail Factor</t>
        </is>
      </c>
      <c r="H36" s="6" t="inlineStr">
        <is>
          <t>R2</t>
        </is>
      </c>
      <c r="I36" s="6" t="inlineStr">
        <is>
          <t>LOO Std Dev</t>
        </is>
      </c>
      <c r="J36" s="6" t="inlineStr">
        <is>
          <t>Gap to Last</t>
        </is>
      </c>
      <c r="K36" s="6" t="inlineStr">
        <is>
          <t>Gap Flag</t>
        </is>
      </c>
      <c r="L36" s="6" t="inlineStr">
        <is>
          <t>% of CDF</t>
        </is>
      </c>
      <c r="M36" s="6" t="inlineStr">
        <is>
          <t>Materiality OK</t>
        </is>
      </c>
      <c r="N36" s="6" t="inlineStr">
        <is>
          <t>+10% Reserve Delta</t>
        </is>
      </c>
      <c r="O36" s="6" t="inlineStr">
        <is>
          <t>+20% Reserve Delta</t>
        </is>
      </c>
    </row>
    <row r="37">
      <c r="A37" s="10" t="n">
        <v>143</v>
      </c>
      <c r="B37" s="11" t="inlineStr">
        <is>
          <t>Y</t>
        </is>
      </c>
      <c r="C37" s="10" t="n">
        <v>0</v>
      </c>
      <c r="D37" s="12" t="n">
        <v>0</v>
      </c>
      <c r="E37" s="13" t="inlineStr">
        <is>
          <t>bondy</t>
        </is>
      </c>
      <c r="F37" s="13" t="n"/>
      <c r="G37" s="10" t="n">
        <v>1</v>
      </c>
      <c r="H37" s="12">
        <f>#NUM!</f>
        <v/>
      </c>
      <c r="I37" s="12">
        <f>#NUM!</f>
        <v/>
      </c>
      <c r="J37" s="12">
        <f>#NUM!</f>
        <v/>
      </c>
      <c r="K37" s="12" t="inlineStr">
        <is>
          <t>N</t>
        </is>
      </c>
      <c r="L37" s="10">
        <f>#NUM!</f>
        <v/>
      </c>
      <c r="M37" s="28" t="inlineStr">
        <is>
          <t>N</t>
        </is>
      </c>
      <c r="N37" s="10">
        <f>#NUM!</f>
        <v/>
      </c>
      <c r="O37" s="29">
        <f>#NUM!</f>
        <v/>
      </c>
    </row>
    <row r="38">
      <c r="A38" s="10" t="n">
        <v>143</v>
      </c>
      <c r="B38" s="11" t="inlineStr">
        <is>
          <t>Y</t>
        </is>
      </c>
      <c r="C38" s="10" t="n">
        <v>0</v>
      </c>
      <c r="D38" s="12" t="n">
        <v>0</v>
      </c>
      <c r="E38" s="13" t="inlineStr">
        <is>
          <t>modified_bondy_double_dev</t>
        </is>
      </c>
      <c r="F38" s="13" t="n"/>
      <c r="G38" s="10" t="n">
        <v>1</v>
      </c>
      <c r="H38" s="12">
        <f>#NUM!</f>
        <v/>
      </c>
      <c r="I38" s="12">
        <f>#NUM!</f>
        <v/>
      </c>
      <c r="J38" s="12">
        <f>#NUM!</f>
        <v/>
      </c>
      <c r="K38" s="12" t="inlineStr">
        <is>
          <t>N</t>
        </is>
      </c>
      <c r="L38" s="10">
        <f>#NUM!</f>
        <v/>
      </c>
      <c r="M38" s="28" t="inlineStr">
        <is>
          <t>N</t>
        </is>
      </c>
      <c r="N38" s="10">
        <f>#NUM!</f>
        <v/>
      </c>
      <c r="O38" s="29">
        <f>#NUM!</f>
        <v/>
      </c>
    </row>
    <row r="39">
      <c r="A39" s="10" t="n">
        <v>143</v>
      </c>
      <c r="B39" s="11" t="inlineStr">
        <is>
          <t>Y</t>
        </is>
      </c>
      <c r="C39" s="10" t="n">
        <v>0</v>
      </c>
      <c r="D39" s="12" t="n">
        <v>0</v>
      </c>
      <c r="E39" s="13" t="inlineStr">
        <is>
          <t>modified_bondy_square_ratio</t>
        </is>
      </c>
      <c r="F39" s="13" t="n"/>
      <c r="G39" s="10" t="n">
        <v>1</v>
      </c>
      <c r="H39" s="12">
        <f>#NUM!</f>
        <v/>
      </c>
      <c r="I39" s="12">
        <f>#NUM!</f>
        <v/>
      </c>
      <c r="J39" s="12">
        <f>#NUM!</f>
        <v/>
      </c>
      <c r="K39" s="12" t="inlineStr">
        <is>
          <t>N</t>
        </is>
      </c>
      <c r="L39" s="10">
        <f>#NUM!</f>
        <v/>
      </c>
      <c r="M39" s="28" t="inlineStr">
        <is>
          <t>N</t>
        </is>
      </c>
      <c r="N39" s="10">
        <f>#NUM!</f>
        <v/>
      </c>
      <c r="O39" s="29">
        <f>#NUM!</f>
        <v/>
      </c>
    </row>
    <row r="40">
      <c r="A40" s="10" t="n">
        <v>203</v>
      </c>
      <c r="B40" s="11" t="inlineStr">
        <is>
          <t>Y</t>
        </is>
      </c>
      <c r="C40" s="10" t="n">
        <v>0</v>
      </c>
      <c r="D40" s="12" t="n">
        <v>0</v>
      </c>
      <c r="E40" s="13" t="inlineStr">
        <is>
          <t>bondy</t>
        </is>
      </c>
      <c r="F40" s="13" t="n"/>
      <c r="G40" s="10" t="n">
        <v>1</v>
      </c>
      <c r="H40" s="12">
        <f>#NUM!</f>
        <v/>
      </c>
      <c r="I40" s="12">
        <f>#NUM!</f>
        <v/>
      </c>
      <c r="J40" s="12">
        <f>#NUM!</f>
        <v/>
      </c>
      <c r="K40" s="12" t="inlineStr">
        <is>
          <t>N</t>
        </is>
      </c>
      <c r="L40" s="10">
        <f>#NUM!</f>
        <v/>
      </c>
      <c r="M40" s="28" t="inlineStr">
        <is>
          <t>N</t>
        </is>
      </c>
      <c r="N40" s="10">
        <f>#NUM!</f>
        <v/>
      </c>
      <c r="O40" s="29">
        <f>#NUM!</f>
        <v/>
      </c>
    </row>
    <row r="41">
      <c r="A41" s="10" t="n">
        <v>203</v>
      </c>
      <c r="B41" s="11" t="inlineStr">
        <is>
          <t>Y</t>
        </is>
      </c>
      <c r="C41" s="10" t="n">
        <v>0</v>
      </c>
      <c r="D41" s="12" t="n">
        <v>0</v>
      </c>
      <c r="E41" s="13" t="inlineStr">
        <is>
          <t>modified_bondy_double_dev</t>
        </is>
      </c>
      <c r="F41" s="13" t="n"/>
      <c r="G41" s="10" t="n">
        <v>1</v>
      </c>
      <c r="H41" s="12">
        <f>#NUM!</f>
        <v/>
      </c>
      <c r="I41" s="12">
        <f>#NUM!</f>
        <v/>
      </c>
      <c r="J41" s="12">
        <f>#NUM!</f>
        <v/>
      </c>
      <c r="K41" s="12" t="inlineStr">
        <is>
          <t>N</t>
        </is>
      </c>
      <c r="L41" s="10">
        <f>#NUM!</f>
        <v/>
      </c>
      <c r="M41" s="28" t="inlineStr">
        <is>
          <t>N</t>
        </is>
      </c>
      <c r="N41" s="10">
        <f>#NUM!</f>
        <v/>
      </c>
      <c r="O41" s="29">
        <f>#NUM!</f>
        <v/>
      </c>
    </row>
    <row r="42">
      <c r="A42" s="10" t="n">
        <v>203</v>
      </c>
      <c r="B42" s="11" t="inlineStr">
        <is>
          <t>Y</t>
        </is>
      </c>
      <c r="C42" s="10" t="n">
        <v>0</v>
      </c>
      <c r="D42" s="12" t="n">
        <v>0</v>
      </c>
      <c r="E42" s="13" t="inlineStr">
        <is>
          <t>modified_bondy_square_ratio</t>
        </is>
      </c>
      <c r="F42" s="13" t="n"/>
      <c r="G42" s="10" t="n">
        <v>1</v>
      </c>
      <c r="H42" s="12">
        <f>#NUM!</f>
        <v/>
      </c>
      <c r="I42" s="12">
        <f>#NUM!</f>
        <v/>
      </c>
      <c r="J42" s="12">
        <f>#NUM!</f>
        <v/>
      </c>
      <c r="K42" s="12" t="inlineStr">
        <is>
          <t>N</t>
        </is>
      </c>
      <c r="L42" s="10">
        <f>#NUM!</f>
        <v/>
      </c>
      <c r="M42" s="28" t="inlineStr">
        <is>
          <t>N</t>
        </is>
      </c>
      <c r="N42" s="10">
        <f>#NUM!</f>
        <v/>
      </c>
      <c r="O42" s="29">
        <f>#NUM!</f>
        <v/>
      </c>
    </row>
    <row r="43"/>
    <row r="44">
      <c r="A44" s="5" t="inlineStr">
        <is>
          <t>Tail Factor Selection</t>
        </is>
      </c>
    </row>
    <row r="45">
      <c r="A45" s="6" t="inlineStr">
        <is>
          <t>Label</t>
        </is>
      </c>
      <c r="B45" s="6" t="inlineStr">
        <is>
          <t>Cutoff Age</t>
        </is>
      </c>
      <c r="C45" s="6" t="inlineStr">
        <is>
          <t>Tail Factor</t>
        </is>
      </c>
      <c r="D45" s="6" t="inlineStr">
        <is>
          <t>Method</t>
        </is>
      </c>
      <c r="E45" s="6" t="inlineStr">
        <is>
          <t>Reasoning</t>
        </is>
      </c>
      <c r="F45" s="6" t="inlineStr">
        <is>
          <t>Additional Notes</t>
        </is>
      </c>
    </row>
    <row r="46">
      <c r="A46" s="22" t="inlineStr">
        <is>
          <t>Rules-Based AI Selection</t>
        </is>
      </c>
      <c r="B46" s="32" t="n">
        <v>143</v>
      </c>
      <c r="C46" s="33" t="n">
        <v>1</v>
      </c>
      <c r="D46" s="34" t="inlineStr">
        <is>
          <t>bondy</t>
        </is>
      </c>
      <c r="E46" s="34" t="inlineStr">
        <is>
          <t>Reported Count triangle exhibits shortest tail of all measures â€” factors are 1.0 from age 143 onward (zero development). Starting age 143 satisfies monotonicity (is_monotone_from_here=True), zero CV, zero slope sign changes, and 12 factors in fit. No curve fit diagnostics required. Tail immateriality anchor applies: pct_of_cdf not evaluated due to zero development (tail immaterial). Bondy method (last observed factor = 1.0) is appropriate default for reported count where development has ceased. Gap to last observed negligible (gap_flag=False). ASOP 43 compliant: tail selection reflects completed reporting pattern; no future development expected in reported counts.</t>
        </is>
      </c>
      <c r="F46" s="34" t="inlineStr"/>
    </row>
    <row r="47">
      <c r="A47" s="24" t="inlineStr">
        <is>
          <t>Open-Ended AI Selection</t>
        </is>
      </c>
      <c r="B47" s="35" t="n">
        <v>143</v>
      </c>
      <c r="C47" s="36" t="n">
        <v>1</v>
      </c>
      <c r="D47" s="37" t="inlineStr">
        <is>
          <t>bondy</t>
        </is>
      </c>
      <c r="E47" s="37" t="inlineStr">
        <is>
          <t>Reported count is a closed triangle with development to unity occurring by the earliest reporting age (23). All observed factors from age 35 onward are at or effectively at 1.0, with only minor noise at early ages. All fitting methods yield tail_factor = 1.0, cv_at_starting_age = 0.0, and is_monotone_from_here = True, confirming complete maturity. Materiality is marked N/A, reflecting the irrelevance of tail selection for this measure. Any tail factor other than 1.0 would be indefensible. Bondy at age 143 is selected by convention; all methods agree on the trivial tail.</t>
        </is>
      </c>
      <c r="F47" s="37" t="inlineStr"/>
    </row>
    <row r="48"/>
    <row r="49">
      <c r="A49" s="26" t="inlineStr">
        <is>
          <t>User Selection</t>
        </is>
      </c>
      <c r="B49" s="27" t="n"/>
      <c r="C49" s="27" t="n"/>
      <c r="D49" s="27" t="n"/>
      <c r="E49" s="27" t="n"/>
      <c r="F49" s="27" t="n"/>
    </row>
  </sheetData>
  <mergeCells count="5">
    <mergeCell ref="A35:O35"/>
    <mergeCell ref="A2:L2"/>
    <mergeCell ref="A44:F44"/>
    <mergeCell ref="A6:Y6"/>
    <mergeCell ref="A3:L3"/>
  </mergeCell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2026-04-28T15:35:45Z</dcterms:created>
  <dcterms:modified xmlns:dcterms="http://purl.org/dc/terms/" xmlns:xsi="http://www.w3.org/2001/XMLSchema-instance" xsi:type="dcterms:W3CDTF">2026-04-28T16:07:43Z</dcterms:modified>
</cp:coreProperties>
</file>