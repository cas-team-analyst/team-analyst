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curred Loss" sheetId="1" r:id="rId1"/>
    <sheet name="Paid Loss" sheetId="2" r:id="rId2"/>
    <sheet name="Reported Count" sheetId="3" r:id="rId3"/>
  </sheets>
  <calcPr calcId="124519" fullCalcOnLoad="1"/>
</workbook>
</file>

<file path=xl/sharedStrings.xml><?xml version="1.0" encoding="utf-8"?>
<sst xmlns="http://schemas.openxmlformats.org/spreadsheetml/2006/main" count="280" uniqueCount="69">
  <si>
    <t>Selected LDFs</t>
  </si>
  <si>
    <t>11-23</t>
  </si>
  <si>
    <t>23-35</t>
  </si>
  <si>
    <t>35-47</t>
  </si>
  <si>
    <t>47-59</t>
  </si>
  <si>
    <t>59-71</t>
  </si>
  <si>
    <t>71-83</t>
  </si>
  <si>
    <t>83-95</t>
  </si>
  <si>
    <t>95-107</t>
  </si>
  <si>
    <t>107-119</t>
  </si>
  <si>
    <t>119-131</t>
  </si>
  <si>
    <t>131-143</t>
  </si>
  <si>
    <t>143-155</t>
  </si>
  <si>
    <t>155-167</t>
  </si>
  <si>
    <t>167-179</t>
  </si>
  <si>
    <t>179-191</t>
  </si>
  <si>
    <t>191-203</t>
  </si>
  <si>
    <t>203-215</t>
  </si>
  <si>
    <t>215-227</t>
  </si>
  <si>
    <t>227-239</t>
  </si>
  <si>
    <t>239-251</t>
  </si>
  <si>
    <t>251-263</t>
  </si>
  <si>
    <t>263-275</t>
  </si>
  <si>
    <t>275-287</t>
  </si>
  <si>
    <t>(User &gt; Rules-Based &gt; Open-Ended)</t>
  </si>
  <si>
    <t>Scenario Comparison</t>
  </si>
  <si>
    <t>Starting Age</t>
  </si>
  <si>
    <t>Monotone</t>
  </si>
  <si>
    <t>CV</t>
  </si>
  <si>
    <t>Slope Breaks</t>
  </si>
  <si>
    <t>Method</t>
  </si>
  <si>
    <t>Params</t>
  </si>
  <si>
    <t>Tail Factor</t>
  </si>
  <si>
    <t>R2</t>
  </si>
  <si>
    <t>LOO Std Dev</t>
  </si>
  <si>
    <t>Gap to Last</t>
  </si>
  <si>
    <t>Gap Flag</t>
  </si>
  <si>
    <t>% of CDF</t>
  </si>
  <si>
    <t>Materiality OK</t>
  </si>
  <si>
    <t>+10% Reserve Delta</t>
  </si>
  <si>
    <t>+20% Reserve Delta</t>
  </si>
  <si>
    <t>N</t>
  </si>
  <si>
    <t>bondy</t>
  </si>
  <si>
    <t>double_exp</t>
  </si>
  <si>
    <t>[-6.443260556945541, 0.34069008345644103, -0.01501500915121795]</t>
  </si>
  <si>
    <t>mcclenahan</t>
  </si>
  <si>
    <t>{"r": 0.24431098}</t>
  </si>
  <si>
    <t>Y</t>
  </si>
  <si>
    <t>modified_bondy_double_dev</t>
  </si>
  <si>
    <t>modified_bondy_square_ratio</t>
  </si>
  <si>
    <t>[-6.198815549455116, 0.8016226533428397, -0.08285309337556246]</t>
  </si>
  <si>
    <t>{"r": 0.26072697}</t>
  </si>
  <si>
    <t>Tail Factor Selection</t>
  </si>
  <si>
    <t>Label</t>
  </si>
  <si>
    <t>Cutoff Age</t>
  </si>
  <si>
    <t>Reasoning</t>
  </si>
  <si>
    <t>Additional Notes</t>
  </si>
  <si>
    <t>Rules-Based AI Selection</t>
  </si>
  <si>
    <t>Open-Ended AI Selection</t>
  </si>
  <si>
    <t>User Selection</t>
  </si>
  <si>
    <t>exp_dev_product</t>
  </si>
  <si>
    <t>[0.016571709809195413, 0.8431024219307085]</t>
  </si>
  <si>
    <t>exp_dev_quick</t>
  </si>
  <si>
    <t>exp_dev_quick_exact_last</t>
  </si>
  <si>
    <t>{"r": 0.55556888}</t>
  </si>
  <si>
    <t>[-6.09612748068809, 0.3838096387678443, -0.03959570862874873]</t>
  </si>
  <si>
    <t>{"r": 0.53267096}</t>
  </si>
  <si>
    <t>skurnick</t>
  </si>
  <si>
    <t>{"r": 0.66153395, "A": 87530.41887367, "n": 6}</t>
  </si>
</sst>
</file>

<file path=xl/styles.xml><?xml version="1.0" encoding="utf-8"?>
<styleSheet xmlns="http://schemas.openxmlformats.org/spreadsheetml/2006/main">
  <numFmts count="3">
    <numFmt numFmtId="164" formatCode="0.0000"/>
    <numFmt numFmtId="165" formatCode="0.00%"/>
    <numFmt numFmtId="166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4B08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right" vertical="center"/>
    </xf>
    <xf numFmtId="0" fontId="1" fillId="3" borderId="0" xfId="0" applyFont="1" applyFill="1" applyAlignment="1">
      <alignment horizontal="left" vertical="center"/>
    </xf>
    <xf numFmtId="0" fontId="0" fillId="0" borderId="0" xfId="0" applyAlignment="1">
      <alignment horizontal="right" vertical="center"/>
    </xf>
    <xf numFmtId="165" fontId="0" fillId="0" borderId="0" xfId="0" applyNumberFormat="1" applyAlignment="1">
      <alignment horizontal="right" vertical="center"/>
    </xf>
    <xf numFmtId="166" fontId="0" fillId="0" borderId="0" xfId="0" applyNumberFormat="1" applyAlignment="1">
      <alignment horizontal="right" vertical="center"/>
    </xf>
    <xf numFmtId="0" fontId="1" fillId="4" borderId="0" xfId="0" applyFont="1" applyFill="1" applyAlignment="1">
      <alignment horizontal="center"/>
    </xf>
    <xf numFmtId="0" fontId="0" fillId="4" borderId="0" xfId="0" applyFill="1" applyAlignment="1">
      <alignment horizontal="left" wrapText="1"/>
    </xf>
    <xf numFmtId="0" fontId="1" fillId="5" borderId="0" xfId="0" applyFont="1" applyFill="1" applyAlignment="1">
      <alignment horizontal="center"/>
    </xf>
    <xf numFmtId="0" fontId="0" fillId="5" borderId="0" xfId="0" applyFill="1" applyAlignment="1">
      <alignment horizontal="left" wrapText="1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X22"/>
  <sheetViews>
    <sheetView tabSelected="1" workbookViewId="0"/>
  </sheetViews>
  <sheetFormatPr defaultRowHeight="15"/>
  <cols>
    <col min="1" max="1" width="30.7109375" customWidth="1"/>
    <col min="2" max="3" width="12.7109375" customWidth="1"/>
    <col min="4" max="4" width="15.7109375" customWidth="1"/>
    <col min="5" max="5" width="25.7109375" customWidth="1"/>
    <col min="6" max="6" width="30.7109375" customWidth="1"/>
  </cols>
  <sheetData>
    <row r="1" spans="1:2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>
      <c r="A2" s="2" t="s">
        <v>24</v>
      </c>
      <c r="B2" s="3">
        <f>IF(ISBLANK('C:\Users\super\Documents\actuarial\cas-rfp\spec-only\team-analyst\sample-data\sample-run\selections\[Chain Ladder Selections - LDFs.xlsx]Incurred Loss'!B74),IF(ISBLANK('C:\Users\super\Documents\actuarial\cas-rfp\spec-only\team-analyst\sample-data\sample-run\selections\[Chain Ladder Selections - LDFs.xlsx]Incurred Loss'!B68),'C:\Users\super\Documents\actuarial\cas-rfp\spec-only\team-analyst\sample-data\sample-run\selections\[Chain Ladder Selections - LDFs.xlsx]Incurred Loss'!B71,'C:\Users\super\Documents\actuarial\cas-rfp\spec-only\team-analyst\sample-data\sample-run\selections\[Chain Ladder Selections - LDFs.xlsx]Incurred Loss'!B68),'C:\Users\super\Documents\actuarial\cas-rfp\spec-only\team-analyst\sample-data\sample-run\selections\[Chain Ladder Selections - LDFs.xlsx]Incurred Loss'!B74)</f>
        <v>1.7024</v>
      </c>
      <c r="C2" s="3">
        <f>IF(ISBLANK('C:\Users\super\Documents\actuarial\cas-rfp\spec-only\team-analyst\sample-data\sample-run\selections\[Chain Ladder Selections - LDFs.xlsx]Incurred Loss'!C74),IF(ISBLANK('C:\Users\super\Documents\actuarial\cas-rfp\spec-only\team-analyst\sample-data\sample-run\selections\[Chain Ladder Selections - LDFs.xlsx]Incurred Loss'!C68),'C:\Users\super\Documents\actuarial\cas-rfp\spec-only\team-analyst\sample-data\sample-run\selections\[Chain Ladder Selections - LDFs.xlsx]Incurred Loss'!C71,'C:\Users\super\Documents\actuarial\cas-rfp\spec-only\team-analyst\sample-data\sample-run\selections\[Chain Ladder Selections - LDFs.xlsx]Incurred Loss'!C68),'C:\Users\super\Documents\actuarial\cas-rfp\spec-only\team-analyst\sample-data\sample-run\selections\[Chain Ladder Selections - LDFs.xlsx]Incurred Loss'!C74)</f>
        <v>1.2575</v>
      </c>
      <c r="D2" s="3">
        <f>IF(ISBLANK('C:\Users\super\Documents\actuarial\cas-rfp\spec-only\team-analyst\sample-data\sample-run\selections\[Chain Ladder Selections - LDFs.xlsx]Incurred Loss'!D74),IF(ISBLANK('C:\Users\super\Documents\actuarial\cas-rfp\spec-only\team-analyst\sample-data\sample-run\selections\[Chain Ladder Selections - LDFs.xlsx]Incurred Loss'!D68),'C:\Users\super\Documents\actuarial\cas-rfp\spec-only\team-analyst\sample-data\sample-run\selections\[Chain Ladder Selections - LDFs.xlsx]Incurred Loss'!D71,'C:\Users\super\Documents\actuarial\cas-rfp\spec-only\team-analyst\sample-data\sample-run\selections\[Chain Ladder Selections - LDFs.xlsx]Incurred Loss'!D68),'C:\Users\super\Documents\actuarial\cas-rfp\spec-only\team-analyst\sample-data\sample-run\selections\[Chain Ladder Selections - LDFs.xlsx]Incurred Loss'!D74)</f>
        <v>1.2002</v>
      </c>
      <c r="E2" s="3">
        <f>IF(ISBLANK('C:\Users\super\Documents\actuarial\cas-rfp\spec-only\team-analyst\sample-data\sample-run\selections\[Chain Ladder Selections - LDFs.xlsx]Incurred Loss'!E74),IF(ISBLANK('C:\Users\super\Documents\actuarial\cas-rfp\spec-only\team-analyst\sample-data\sample-run\selections\[Chain Ladder Selections - LDFs.xlsx]Incurred Loss'!E68),'C:\Users\super\Documents\actuarial\cas-rfp\spec-only\team-analyst\sample-data\sample-run\selections\[Chain Ladder Selections - LDFs.xlsx]Incurred Loss'!E71,'C:\Users\super\Documents\actuarial\cas-rfp\spec-only\team-analyst\sample-data\sample-run\selections\[Chain Ladder Selections - LDFs.xlsx]Incurred Loss'!E68),'C:\Users\super\Documents\actuarial\cas-rfp\spec-only\team-analyst\sample-data\sample-run\selections\[Chain Ladder Selections - LDFs.xlsx]Incurred Loss'!E74)</f>
        <v>1.0567</v>
      </c>
      <c r="F2" s="3">
        <f>IF(ISBLANK('C:\Users\super\Documents\actuarial\cas-rfp\spec-only\team-analyst\sample-data\sample-run\selections\[Chain Ladder Selections - LDFs.xlsx]Incurred Loss'!F74),IF(ISBLANK('C:\Users\super\Documents\actuarial\cas-rfp\spec-only\team-analyst\sample-data\sample-run\selections\[Chain Ladder Selections - LDFs.xlsx]Incurred Loss'!F68),'C:\Users\super\Documents\actuarial\cas-rfp\spec-only\team-analyst\sample-data\sample-run\selections\[Chain Ladder Selections - LDFs.xlsx]Incurred Loss'!F71,'C:\Users\super\Documents\actuarial\cas-rfp\spec-only\team-analyst\sample-data\sample-run\selections\[Chain Ladder Selections - LDFs.xlsx]Incurred Loss'!F68),'C:\Users\super\Documents\actuarial\cas-rfp\spec-only\team-analyst\sample-data\sample-run\selections\[Chain Ladder Selections - LDFs.xlsx]Incurred Loss'!F74)</f>
        <v>1.1027</v>
      </c>
      <c r="G2" s="3">
        <f>IF(ISBLANK('C:\Users\super\Documents\actuarial\cas-rfp\spec-only\team-analyst\sample-data\sample-run\selections\[Chain Ladder Selections - LDFs.xlsx]Incurred Loss'!G74),IF(ISBLANK('C:\Users\super\Documents\actuarial\cas-rfp\spec-only\team-analyst\sample-data\sample-run\selections\[Chain Ladder Selections - LDFs.xlsx]Incurred Loss'!G68),'C:\Users\super\Documents\actuarial\cas-rfp\spec-only\team-analyst\sample-data\sample-run\selections\[Chain Ladder Selections - LDFs.xlsx]Incurred Loss'!G71,'C:\Users\super\Documents\actuarial\cas-rfp\spec-only\team-analyst\sample-data\sample-run\selections\[Chain Ladder Selections - LDFs.xlsx]Incurred Loss'!G68),'C:\Users\super\Documents\actuarial\cas-rfp\spec-only\team-analyst\sample-data\sample-run\selections\[Chain Ladder Selections - LDFs.xlsx]Incurred Loss'!G74)</f>
        <v>1.087</v>
      </c>
      <c r="H2" s="3">
        <f>IF(ISBLANK('C:\Users\super\Documents\actuarial\cas-rfp\spec-only\team-analyst\sample-data\sample-run\selections\[Chain Ladder Selections - LDFs.xlsx]Incurred Loss'!H74),IF(ISBLANK('C:\Users\super\Documents\actuarial\cas-rfp\spec-only\team-analyst\sample-data\sample-run\selections\[Chain Ladder Selections - LDFs.xlsx]Incurred Loss'!H68),'C:\Users\super\Documents\actuarial\cas-rfp\spec-only\team-analyst\sample-data\sample-run\selections\[Chain Ladder Selections - LDFs.xlsx]Incurred Loss'!H71,'C:\Users\super\Documents\actuarial\cas-rfp\spec-only\team-analyst\sample-data\sample-run\selections\[Chain Ladder Selections - LDFs.xlsx]Incurred Loss'!H68),'C:\Users\super\Documents\actuarial\cas-rfp\spec-only\team-analyst\sample-data\sample-run\selections\[Chain Ladder Selections - LDFs.xlsx]Incurred Loss'!H74)</f>
        <v>1.0065</v>
      </c>
      <c r="I2" s="3">
        <f>IF(ISBLANK('C:\Users\super\Documents\actuarial\cas-rfp\spec-only\team-analyst\sample-data\sample-run\selections\[Chain Ladder Selections - LDFs.xlsx]Incurred Loss'!I74),IF(ISBLANK('C:\Users\super\Documents\actuarial\cas-rfp\spec-only\team-analyst\sample-data\sample-run\selections\[Chain Ladder Selections - LDFs.xlsx]Incurred Loss'!I68),'C:\Users\super\Documents\actuarial\cas-rfp\spec-only\team-analyst\sample-data\sample-run\selections\[Chain Ladder Selections - LDFs.xlsx]Incurred Loss'!I71,'C:\Users\super\Documents\actuarial\cas-rfp\spec-only\team-analyst\sample-data\sample-run\selections\[Chain Ladder Selections - LDFs.xlsx]Incurred Loss'!I68),'C:\Users\super\Documents\actuarial\cas-rfp\spec-only\team-analyst\sample-data\sample-run\selections\[Chain Ladder Selections - LDFs.xlsx]Incurred Loss'!I74)</f>
        <v>1.0146</v>
      </c>
      <c r="J2" s="3">
        <f>IF(ISBLANK('C:\Users\super\Documents\actuarial\cas-rfp\spec-only\team-analyst\sample-data\sample-run\selections\[Chain Ladder Selections - LDFs.xlsx]Incurred Loss'!J74),IF(ISBLANK('C:\Users\super\Documents\actuarial\cas-rfp\spec-only\team-analyst\sample-data\sample-run\selections\[Chain Ladder Selections - LDFs.xlsx]Incurred Loss'!J68),'C:\Users\super\Documents\actuarial\cas-rfp\spec-only\team-analyst\sample-data\sample-run\selections\[Chain Ladder Selections - LDFs.xlsx]Incurred Loss'!J71,'C:\Users\super\Documents\actuarial\cas-rfp\spec-only\team-analyst\sample-data\sample-run\selections\[Chain Ladder Selections - LDFs.xlsx]Incurred Loss'!J68),'C:\Users\super\Documents\actuarial\cas-rfp\spec-only\team-analyst\sample-data\sample-run\selections\[Chain Ladder Selections - LDFs.xlsx]Incurred Loss'!J74)</f>
        <v>1.0485</v>
      </c>
      <c r="K2" s="3">
        <f>IF(ISBLANK('C:\Users\super\Documents\actuarial\cas-rfp\spec-only\team-analyst\sample-data\sample-run\selections\[Chain Ladder Selections - LDFs.xlsx]Incurred Loss'!K74),IF(ISBLANK('C:\Users\super\Documents\actuarial\cas-rfp\spec-only\team-analyst\sample-data\sample-run\selections\[Chain Ladder Selections - LDFs.xlsx]Incurred Loss'!K68),'C:\Users\super\Documents\actuarial\cas-rfp\spec-only\team-analyst\sample-data\sample-run\selections\[Chain Ladder Selections - LDFs.xlsx]Incurred Loss'!K71,'C:\Users\super\Documents\actuarial\cas-rfp\spec-only\team-analyst\sample-data\sample-run\selections\[Chain Ladder Selections - LDFs.xlsx]Incurred Loss'!K68),'C:\Users\super\Documents\actuarial\cas-rfp\spec-only\team-analyst\sample-data\sample-run\selections\[Chain Ladder Selections - LDFs.xlsx]Incurred Loss'!K74)</f>
        <v>1.0082</v>
      </c>
      <c r="L2" s="3">
        <f>IF(ISBLANK('C:\Users\super\Documents\actuarial\cas-rfp\spec-only\team-analyst\sample-data\sample-run\selections\[Chain Ladder Selections - LDFs.xlsx]Incurred Loss'!L74),IF(ISBLANK('C:\Users\super\Documents\actuarial\cas-rfp\spec-only\team-analyst\sample-data\sample-run\selections\[Chain Ladder Selections - LDFs.xlsx]Incurred Loss'!L68),'C:\Users\super\Documents\actuarial\cas-rfp\spec-only\team-analyst\sample-data\sample-run\selections\[Chain Ladder Selections - LDFs.xlsx]Incurred Loss'!L71,'C:\Users\super\Documents\actuarial\cas-rfp\spec-only\team-analyst\sample-data\sample-run\selections\[Chain Ladder Selections - LDFs.xlsx]Incurred Loss'!L68),'C:\Users\super\Documents\actuarial\cas-rfp\spec-only\team-analyst\sample-data\sample-run\selections\[Chain Ladder Selections - LDFs.xlsx]Incurred Loss'!L74)</f>
        <v>1.035</v>
      </c>
      <c r="M2" s="3">
        <f>IF(ISBLANK('C:\Users\super\Documents\actuarial\cas-rfp\spec-only\team-analyst\sample-data\sample-run\selections\[Chain Ladder Selections - LDFs.xlsx]Incurred Loss'!M74),IF(ISBLANK('C:\Users\super\Documents\actuarial\cas-rfp\spec-only\team-analyst\sample-data\sample-run\selections\[Chain Ladder Selections - LDFs.xlsx]Incurred Loss'!M68),'C:\Users\super\Documents\actuarial\cas-rfp\spec-only\team-analyst\sample-data\sample-run\selections\[Chain Ladder Selections - LDFs.xlsx]Incurred Loss'!M71,'C:\Users\super\Documents\actuarial\cas-rfp\spec-only\team-analyst\sample-data\sample-run\selections\[Chain Ladder Selections - LDFs.xlsx]Incurred Loss'!M68),'C:\Users\super\Documents\actuarial\cas-rfp\spec-only\team-analyst\sample-data\sample-run\selections\[Chain Ladder Selections - LDFs.xlsx]Incurred Loss'!M74)</f>
        <v>1.0022</v>
      </c>
      <c r="N2" s="3">
        <f>IF(ISBLANK('C:\Users\super\Documents\actuarial\cas-rfp\spec-only\team-analyst\sample-data\sample-run\selections\[Chain Ladder Selections - LDFs.xlsx]Incurred Loss'!N74),IF(ISBLANK('C:\Users\super\Documents\actuarial\cas-rfp\spec-only\team-analyst\sample-data\sample-run\selections\[Chain Ladder Selections - LDFs.xlsx]Incurred Loss'!N68),'C:\Users\super\Documents\actuarial\cas-rfp\spec-only\team-analyst\sample-data\sample-run\selections\[Chain Ladder Selections - LDFs.xlsx]Incurred Loss'!N71,'C:\Users\super\Documents\actuarial\cas-rfp\spec-only\team-analyst\sample-data\sample-run\selections\[Chain Ladder Selections - LDFs.xlsx]Incurred Loss'!N68),'C:\Users\super\Documents\actuarial\cas-rfp\spec-only\team-analyst\sample-data\sample-run\selections\[Chain Ladder Selections - LDFs.xlsx]Incurred Loss'!N74)</f>
        <v>1.0004</v>
      </c>
      <c r="O2" s="3">
        <f>IF(ISBLANK('C:\Users\super\Documents\actuarial\cas-rfp\spec-only\team-analyst\sample-data\sample-run\selections\[Chain Ladder Selections - LDFs.xlsx]Incurred Loss'!O74),IF(ISBLANK('C:\Users\super\Documents\actuarial\cas-rfp\spec-only\team-analyst\sample-data\sample-run\selections\[Chain Ladder Selections - LDFs.xlsx]Incurred Loss'!O68),'C:\Users\super\Documents\actuarial\cas-rfp\spec-only\team-analyst\sample-data\sample-run\selections\[Chain Ladder Selections - LDFs.xlsx]Incurred Loss'!O71,'C:\Users\super\Documents\actuarial\cas-rfp\spec-only\team-analyst\sample-data\sample-run\selections\[Chain Ladder Selections - LDFs.xlsx]Incurred Loss'!O68),'C:\Users\super\Documents\actuarial\cas-rfp\spec-only\team-analyst\sample-data\sample-run\selections\[Chain Ladder Selections - LDFs.xlsx]Incurred Loss'!O74)</f>
        <v>1.0211</v>
      </c>
      <c r="P2" s="3">
        <f>IF(ISBLANK('C:\Users\super\Documents\actuarial\cas-rfp\spec-only\team-analyst\sample-data\sample-run\selections\[Chain Ladder Selections - LDFs.xlsx]Incurred Loss'!P74),IF(ISBLANK('C:\Users\super\Documents\actuarial\cas-rfp\spec-only\team-analyst\sample-data\sample-run\selections\[Chain Ladder Selections - LDFs.xlsx]Incurred Loss'!P68),'C:\Users\super\Documents\actuarial\cas-rfp\spec-only\team-analyst\sample-data\sample-run\selections\[Chain Ladder Selections - LDFs.xlsx]Incurred Loss'!P71,'C:\Users\super\Documents\actuarial\cas-rfp\spec-only\team-analyst\sample-data\sample-run\selections\[Chain Ladder Selections - LDFs.xlsx]Incurred Loss'!P68),'C:\Users\super\Documents\actuarial\cas-rfp\spec-only\team-analyst\sample-data\sample-run\selections\[Chain Ladder Selections - LDFs.xlsx]Incurred Loss'!P74)</f>
        <v>1.0036</v>
      </c>
      <c r="Q2" s="3">
        <f>IF(ISBLANK('C:\Users\super\Documents\actuarial\cas-rfp\spec-only\team-analyst\sample-data\sample-run\selections\[Chain Ladder Selections - LDFs.xlsx]Incurred Loss'!Q74),IF(ISBLANK('C:\Users\super\Documents\actuarial\cas-rfp\spec-only\team-analyst\sample-data\sample-run\selections\[Chain Ladder Selections - LDFs.xlsx]Incurred Loss'!Q68),'C:\Users\super\Documents\actuarial\cas-rfp\spec-only\team-analyst\sample-data\sample-run\selections\[Chain Ladder Selections - LDFs.xlsx]Incurred Loss'!Q71,'C:\Users\super\Documents\actuarial\cas-rfp\spec-only\team-analyst\sample-data\sample-run\selections\[Chain Ladder Selections - LDFs.xlsx]Incurred Loss'!Q68),'C:\Users\super\Documents\actuarial\cas-rfp\spec-only\team-analyst\sample-data\sample-run\selections\[Chain Ladder Selections - LDFs.xlsx]Incurred Loss'!Q74)</f>
        <v>1.0076</v>
      </c>
      <c r="R2" s="3">
        <f>IF(ISBLANK('C:\Users\super\Documents\actuarial\cas-rfp\spec-only\team-analyst\sample-data\sample-run\selections\[Chain Ladder Selections - LDFs.xlsx]Incurred Loss'!R74),IF(ISBLANK('C:\Users\super\Documents\actuarial\cas-rfp\spec-only\team-analyst\sample-data\sample-run\selections\[Chain Ladder Selections - LDFs.xlsx]Incurred Loss'!R68),'C:\Users\super\Documents\actuarial\cas-rfp\spec-only\team-analyst\sample-data\sample-run\selections\[Chain Ladder Selections - LDFs.xlsx]Incurred Loss'!R71,'C:\Users\super\Documents\actuarial\cas-rfp\spec-only\team-analyst\sample-data\sample-run\selections\[Chain Ladder Selections - LDFs.xlsx]Incurred Loss'!R68),'C:\Users\super\Documents\actuarial\cas-rfp\spec-only\team-analyst\sample-data\sample-run\selections\[Chain Ladder Selections - LDFs.xlsx]Incurred Loss'!R74)</f>
        <v>1.002</v>
      </c>
      <c r="S2" s="3">
        <f>IF(ISBLANK('C:\Users\super\Documents\actuarial\cas-rfp\spec-only\team-analyst\sample-data\sample-run\selections\[Chain Ladder Selections - LDFs.xlsx]Incurred Loss'!S74),IF(ISBLANK('C:\Users\super\Documents\actuarial\cas-rfp\spec-only\team-analyst\sample-data\sample-run\selections\[Chain Ladder Selections - LDFs.xlsx]Incurred Loss'!S68),'C:\Users\super\Documents\actuarial\cas-rfp\spec-only\team-analyst\sample-data\sample-run\selections\[Chain Ladder Selections - LDFs.xlsx]Incurred Loss'!S71,'C:\Users\super\Documents\actuarial\cas-rfp\spec-only\team-analyst\sample-data\sample-run\selections\[Chain Ladder Selections - LDFs.xlsx]Incurred Loss'!S68),'C:\Users\super\Documents\actuarial\cas-rfp\spec-only\team-analyst\sample-data\sample-run\selections\[Chain Ladder Selections - LDFs.xlsx]Incurred Loss'!S74)</f>
        <v>1</v>
      </c>
      <c r="T2" s="3">
        <f>IF(ISBLANK('C:\Users\super\Documents\actuarial\cas-rfp\spec-only\team-analyst\sample-data\sample-run\selections\[Chain Ladder Selections - LDFs.xlsx]Incurred Loss'!T74),IF(ISBLANK('C:\Users\super\Documents\actuarial\cas-rfp\spec-only\team-analyst\sample-data\sample-run\selections\[Chain Ladder Selections - LDFs.xlsx]Incurred Loss'!T68),'C:\Users\super\Documents\actuarial\cas-rfp\spec-only\team-analyst\sample-data\sample-run\selections\[Chain Ladder Selections - LDFs.xlsx]Incurred Loss'!T71,'C:\Users\super\Documents\actuarial\cas-rfp\spec-only\team-analyst\sample-data\sample-run\selections\[Chain Ladder Selections - LDFs.xlsx]Incurred Loss'!T68),'C:\Users\super\Documents\actuarial\cas-rfp\spec-only\team-analyst\sample-data\sample-run\selections\[Chain Ladder Selections - LDFs.xlsx]Incurred Loss'!T74)</f>
        <v>1.0089</v>
      </c>
      <c r="U2" s="3">
        <f>IF(ISBLANK('C:\Users\super\Documents\actuarial\cas-rfp\spec-only\team-analyst\sample-data\sample-run\selections\[Chain Ladder Selections - LDFs.xlsx]Incurred Loss'!U74),IF(ISBLANK('C:\Users\super\Documents\actuarial\cas-rfp\spec-only\team-analyst\sample-data\sample-run\selections\[Chain Ladder Selections - LDFs.xlsx]Incurred Loss'!U68),'C:\Users\super\Documents\actuarial\cas-rfp\spec-only\team-analyst\sample-data\sample-run\selections\[Chain Ladder Selections - LDFs.xlsx]Incurred Loss'!U71,'C:\Users\super\Documents\actuarial\cas-rfp\spec-only\team-analyst\sample-data\sample-run\selections\[Chain Ladder Selections - LDFs.xlsx]Incurred Loss'!U68),'C:\Users\super\Documents\actuarial\cas-rfp\spec-only\team-analyst\sample-data\sample-run\selections\[Chain Ladder Selections - LDFs.xlsx]Incurred Loss'!U74)</f>
        <v>1.0069</v>
      </c>
      <c r="V2" s="3">
        <f>IF(ISBLANK('C:\Users\super\Documents\actuarial\cas-rfp\spec-only\team-analyst\sample-data\sample-run\selections\[Chain Ladder Selections - LDFs.xlsx]Incurred Loss'!V74),IF(ISBLANK('C:\Users\super\Documents\actuarial\cas-rfp\spec-only\team-analyst\sample-data\sample-run\selections\[Chain Ladder Selections - LDFs.xlsx]Incurred Loss'!V68),'C:\Users\super\Documents\actuarial\cas-rfp\spec-only\team-analyst\sample-data\sample-run\selections\[Chain Ladder Selections - LDFs.xlsx]Incurred Loss'!V71,'C:\Users\super\Documents\actuarial\cas-rfp\spec-only\team-analyst\sample-data\sample-run\selections\[Chain Ladder Selections - LDFs.xlsx]Incurred Loss'!V68),'C:\Users\super\Documents\actuarial\cas-rfp\spec-only\team-analyst\sample-data\sample-run\selections\[Chain Ladder Selections - LDFs.xlsx]Incurred Loss'!V74)</f>
        <v>1.0174</v>
      </c>
      <c r="W2" s="3">
        <f>IF(ISBLANK('C:\Users\super\Documents\actuarial\cas-rfp\spec-only\team-analyst\sample-data\sample-run\selections\[Chain Ladder Selections - LDFs.xlsx]Incurred Loss'!W74),IF(ISBLANK('C:\Users\super\Documents\actuarial\cas-rfp\spec-only\team-analyst\sample-data\sample-run\selections\[Chain Ladder Selections - LDFs.xlsx]Incurred Loss'!W68),'C:\Users\super\Documents\actuarial\cas-rfp\spec-only\team-analyst\sample-data\sample-run\selections\[Chain Ladder Selections - LDFs.xlsx]Incurred Loss'!W71,'C:\Users\super\Documents\actuarial\cas-rfp\spec-only\team-analyst\sample-data\sample-run\selections\[Chain Ladder Selections - LDFs.xlsx]Incurred Loss'!W68),'C:\Users\super\Documents\actuarial\cas-rfp\spec-only\team-analyst\sample-data\sample-run\selections\[Chain Ladder Selections - LDFs.xlsx]Incurred Loss'!W74)</f>
        <v>1</v>
      </c>
      <c r="X2" s="3">
        <f>IF(ISBLANK('C:\Users\super\Documents\actuarial\cas-rfp\spec-only\team-analyst\sample-data\sample-run\selections\[Chain Ladder Selections - LDFs.xlsx]Incurred Loss'!X74),IF(ISBLANK('C:\Users\super\Documents\actuarial\cas-rfp\spec-only\team-analyst\sample-data\sample-run\selections\[Chain Ladder Selections - LDFs.xlsx]Incurred Loss'!X68),'C:\Users\super\Documents\actuarial\cas-rfp\spec-only\team-analyst\sample-data\sample-run\selections\[Chain Ladder Selections - LDFs.xlsx]Incurred Loss'!X71,'C:\Users\super\Documents\actuarial\cas-rfp\spec-only\team-analyst\sample-data\sample-run\selections\[Chain Ladder Selections - LDFs.xlsx]Incurred Loss'!X68),'C:\Users\super\Documents\actuarial\cas-rfp\spec-only\team-analyst\sample-data\sample-run\selections\[Chain Ladder Selections - LDFs.xlsx]Incurred Loss'!X74)</f>
        <v>1.0119</v>
      </c>
    </row>
    <row r="4" spans="1:24">
      <c r="A4" s="4" t="s">
        <v>25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</row>
    <row r="5" spans="1:24">
      <c r="A5" s="1" t="s">
        <v>26</v>
      </c>
      <c r="B5" s="1" t="s">
        <v>27</v>
      </c>
      <c r="C5" s="1" t="s">
        <v>28</v>
      </c>
      <c r="D5" s="1" t="s">
        <v>29</v>
      </c>
      <c r="E5" s="1" t="s">
        <v>30</v>
      </c>
      <c r="F5" s="1" t="s">
        <v>31</v>
      </c>
      <c r="G5" s="1" t="s">
        <v>32</v>
      </c>
      <c r="H5" s="1" t="s">
        <v>33</v>
      </c>
      <c r="I5" s="1" t="s">
        <v>34</v>
      </c>
      <c r="J5" s="1" t="s">
        <v>35</v>
      </c>
      <c r="K5" s="1" t="s">
        <v>36</v>
      </c>
      <c r="L5" s="1" t="s">
        <v>37</v>
      </c>
      <c r="M5" s="1" t="s">
        <v>38</v>
      </c>
      <c r="N5" s="1" t="s">
        <v>39</v>
      </c>
      <c r="O5" s="1" t="s">
        <v>40</v>
      </c>
    </row>
    <row r="6" spans="1:24">
      <c r="A6" s="5">
        <v>143</v>
      </c>
      <c r="B6" s="5" t="s">
        <v>41</v>
      </c>
      <c r="C6" s="3">
        <v>0.01308143486613297</v>
      </c>
      <c r="D6" s="5">
        <v>9</v>
      </c>
      <c r="E6" s="2" t="s">
        <v>42</v>
      </c>
      <c r="G6" s="3">
        <v>1.0119</v>
      </c>
      <c r="K6" s="5" t="s">
        <v>41</v>
      </c>
      <c r="L6" s="6">
        <v>0.397788722563284</v>
      </c>
      <c r="M6" s="5" t="s">
        <v>41</v>
      </c>
      <c r="N6" s="7">
        <v>993383.2532688677</v>
      </c>
      <c r="O6" s="7">
        <v>1821202.630992919</v>
      </c>
    </row>
    <row r="7" spans="1:24">
      <c r="A7" s="5">
        <v>143</v>
      </c>
      <c r="B7" s="5" t="s">
        <v>41</v>
      </c>
      <c r="C7" s="3">
        <v>0.01308143486613297</v>
      </c>
      <c r="D7" s="5">
        <v>9</v>
      </c>
      <c r="E7" s="2" t="s">
        <v>43</v>
      </c>
      <c r="F7" s="2" t="s">
        <v>44</v>
      </c>
      <c r="G7" s="3">
        <v>1.077782958006554</v>
      </c>
      <c r="H7" s="3">
        <v>0.3319356148418592</v>
      </c>
      <c r="I7" s="3">
        <v>0.01009648961399146</v>
      </c>
      <c r="J7" s="3">
        <v>0.0006087900176089292</v>
      </c>
      <c r="K7" s="5" t="s">
        <v>41</v>
      </c>
      <c r="L7" s="6">
        <v>2.392276893596306</v>
      </c>
      <c r="M7" s="5" t="s">
        <v>41</v>
      </c>
      <c r="N7" s="7">
        <v>932659.4993132614</v>
      </c>
      <c r="O7" s="7">
        <v>1709875.748740982</v>
      </c>
    </row>
    <row r="8" spans="1:24">
      <c r="A8" s="5">
        <v>143</v>
      </c>
      <c r="B8" s="5" t="s">
        <v>41</v>
      </c>
      <c r="C8" s="3">
        <v>0.01308143486613297</v>
      </c>
      <c r="D8" s="5">
        <v>9</v>
      </c>
      <c r="E8" s="2" t="s">
        <v>45</v>
      </c>
      <c r="F8" s="2" t="s">
        <v>46</v>
      </c>
      <c r="G8" s="3">
        <v>1.000000000000008</v>
      </c>
      <c r="K8" s="5" t="s">
        <v>41</v>
      </c>
      <c r="L8" s="6">
        <v>2.865483703161115E-13</v>
      </c>
      <c r="M8" s="5" t="s">
        <v>47</v>
      </c>
      <c r="N8" s="7">
        <v>1005204.513982754</v>
      </c>
      <c r="O8" s="7">
        <v>1842874.942301709</v>
      </c>
    </row>
    <row r="9" spans="1:24">
      <c r="A9" s="5">
        <v>143</v>
      </c>
      <c r="B9" s="5" t="s">
        <v>41</v>
      </c>
      <c r="C9" s="3">
        <v>0.01308143486613297</v>
      </c>
      <c r="D9" s="5">
        <v>9</v>
      </c>
      <c r="E9" s="2" t="s">
        <v>48</v>
      </c>
      <c r="G9" s="3">
        <v>1.0238</v>
      </c>
      <c r="K9" s="5" t="s">
        <v>41</v>
      </c>
      <c r="L9" s="6">
        <v>0.7832867652919634</v>
      </c>
      <c r="M9" s="5" t="s">
        <v>41</v>
      </c>
      <c r="N9" s="7">
        <v>981836.7981859297</v>
      </c>
      <c r="O9" s="7">
        <v>1800034.130007543</v>
      </c>
    </row>
    <row r="10" spans="1:24">
      <c r="A10" s="5">
        <v>143</v>
      </c>
      <c r="B10" s="5" t="s">
        <v>41</v>
      </c>
      <c r="C10" s="3">
        <v>0.01308143486613297</v>
      </c>
      <c r="D10" s="5">
        <v>9</v>
      </c>
      <c r="E10" s="2" t="s">
        <v>49</v>
      </c>
      <c r="G10" s="3">
        <v>1.02394161</v>
      </c>
      <c r="K10" s="5" t="s">
        <v>41</v>
      </c>
      <c r="L10" s="6">
        <v>0.787802491804133</v>
      </c>
      <c r="M10" s="5" t="s">
        <v>41</v>
      </c>
      <c r="N10" s="7">
        <v>981701.0112351663</v>
      </c>
      <c r="O10" s="7">
        <v>1799785.187264461</v>
      </c>
    </row>
    <row r="11" spans="1:24">
      <c r="A11" s="5">
        <v>203</v>
      </c>
      <c r="B11" s="5" t="s">
        <v>41</v>
      </c>
      <c r="C11" s="3">
        <v>0.01123156187314335</v>
      </c>
      <c r="D11" s="5">
        <v>5</v>
      </c>
      <c r="E11" s="2" t="s">
        <v>42</v>
      </c>
      <c r="G11" s="3">
        <v>1.0119</v>
      </c>
      <c r="K11" s="5" t="s">
        <v>41</v>
      </c>
      <c r="L11" s="6">
        <v>0.397788722563284</v>
      </c>
      <c r="M11" s="5" t="s">
        <v>41</v>
      </c>
      <c r="N11" s="7">
        <v>993383.2532688677</v>
      </c>
      <c r="O11" s="7">
        <v>1821202.630992919</v>
      </c>
    </row>
    <row r="12" spans="1:24">
      <c r="A12" s="5">
        <v>203</v>
      </c>
      <c r="B12" s="5" t="s">
        <v>41</v>
      </c>
      <c r="C12" s="3">
        <v>0.01123156187314335</v>
      </c>
      <c r="D12" s="5">
        <v>5</v>
      </c>
      <c r="E12" s="2" t="s">
        <v>43</v>
      </c>
      <c r="F12" s="2" t="s">
        <v>50</v>
      </c>
      <c r="G12" s="3">
        <v>1.021551350628563</v>
      </c>
      <c r="H12" s="3">
        <v>0.8862026012818859</v>
      </c>
      <c r="I12" s="3">
        <v>0.003719995419637236</v>
      </c>
      <c r="J12" s="3">
        <v>3.183582064846544E-05</v>
      </c>
      <c r="K12" s="5" t="s">
        <v>41</v>
      </c>
      <c r="L12" s="6">
        <v>0.711357612757944</v>
      </c>
      <c r="M12" s="5" t="s">
        <v>41</v>
      </c>
      <c r="N12" s="7">
        <v>983998.0274748318</v>
      </c>
      <c r="O12" s="7">
        <v>1803996.383703869</v>
      </c>
    </row>
    <row r="13" spans="1:24">
      <c r="A13" s="5">
        <v>203</v>
      </c>
      <c r="B13" s="5" t="s">
        <v>41</v>
      </c>
      <c r="C13" s="3">
        <v>0.01123156187314335</v>
      </c>
      <c r="D13" s="5">
        <v>5</v>
      </c>
      <c r="E13" s="2" t="s">
        <v>45</v>
      </c>
      <c r="F13" s="2" t="s">
        <v>51</v>
      </c>
      <c r="G13" s="3">
        <v>1.000000000000038</v>
      </c>
      <c r="K13" s="5" t="s">
        <v>41</v>
      </c>
      <c r="L13" s="6">
        <v>1.289467666422451E-12</v>
      </c>
      <c r="M13" s="5" t="s">
        <v>47</v>
      </c>
      <c r="N13" s="7">
        <v>1005204.513982724</v>
      </c>
      <c r="O13" s="7">
        <v>1842874.94230165</v>
      </c>
    </row>
    <row r="14" spans="1:24">
      <c r="A14" s="5">
        <v>203</v>
      </c>
      <c r="B14" s="5" t="s">
        <v>41</v>
      </c>
      <c r="C14" s="3">
        <v>0.01123156187314335</v>
      </c>
      <c r="D14" s="5">
        <v>5</v>
      </c>
      <c r="E14" s="2" t="s">
        <v>48</v>
      </c>
      <c r="G14" s="3">
        <v>1.0238</v>
      </c>
      <c r="K14" s="5" t="s">
        <v>41</v>
      </c>
      <c r="L14" s="6">
        <v>0.7832867652919634</v>
      </c>
      <c r="M14" s="5" t="s">
        <v>41</v>
      </c>
      <c r="N14" s="7">
        <v>981836.7981859297</v>
      </c>
      <c r="O14" s="7">
        <v>1800034.130007543</v>
      </c>
    </row>
    <row r="15" spans="1:24">
      <c r="A15" s="5">
        <v>203</v>
      </c>
      <c r="B15" s="5" t="s">
        <v>41</v>
      </c>
      <c r="C15" s="3">
        <v>0.01123156187314335</v>
      </c>
      <c r="D15" s="5">
        <v>5</v>
      </c>
      <c r="E15" s="2" t="s">
        <v>49</v>
      </c>
      <c r="G15" s="3">
        <v>1.02394161</v>
      </c>
      <c r="K15" s="5" t="s">
        <v>41</v>
      </c>
      <c r="L15" s="6">
        <v>0.787802491804133</v>
      </c>
      <c r="M15" s="5" t="s">
        <v>41</v>
      </c>
      <c r="N15" s="7">
        <v>981701.0112351663</v>
      </c>
      <c r="O15" s="7">
        <v>1799785.187264461</v>
      </c>
    </row>
    <row r="17" spans="1:6">
      <c r="A17" s="4" t="s">
        <v>52</v>
      </c>
      <c r="B17" s="4"/>
      <c r="C17" s="4"/>
      <c r="D17" s="4"/>
      <c r="E17" s="4"/>
      <c r="F17" s="4"/>
    </row>
    <row r="18" spans="1:6">
      <c r="A18" s="1" t="s">
        <v>53</v>
      </c>
      <c r="B18" s="1" t="s">
        <v>54</v>
      </c>
      <c r="C18" s="1" t="s">
        <v>32</v>
      </c>
      <c r="D18" s="1" t="s">
        <v>30</v>
      </c>
      <c r="E18" s="1" t="s">
        <v>55</v>
      </c>
      <c r="F18" s="1" t="s">
        <v>56</v>
      </c>
    </row>
    <row r="19" spans="1:6">
      <c r="A19" s="8" t="s">
        <v>57</v>
      </c>
      <c r="B19" s="9"/>
      <c r="C19" s="9"/>
      <c r="D19" s="9"/>
      <c r="E19" s="9"/>
      <c r="F19" s="9"/>
    </row>
    <row r="20" spans="1:6">
      <c r="A20" s="10" t="s">
        <v>58</v>
      </c>
      <c r="B20" s="11"/>
      <c r="C20" s="11"/>
      <c r="D20" s="11"/>
      <c r="E20" s="11"/>
      <c r="F20" s="11"/>
    </row>
    <row r="22" spans="1:6">
      <c r="A22" s="12" t="s">
        <v>59</v>
      </c>
      <c r="B22" s="13"/>
      <c r="C22" s="13"/>
      <c r="D22" s="13"/>
      <c r="E22" s="13"/>
      <c r="F22" s="13"/>
    </row>
  </sheetData>
  <mergeCells count="2">
    <mergeCell ref="A4:O4"/>
    <mergeCell ref="A17:F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25"/>
  <sheetViews>
    <sheetView workbookViewId="0"/>
  </sheetViews>
  <sheetFormatPr defaultRowHeight="15"/>
  <cols>
    <col min="1" max="1" width="30.7109375" customWidth="1"/>
    <col min="2" max="3" width="12.7109375" customWidth="1"/>
    <col min="4" max="4" width="15.7109375" customWidth="1"/>
    <col min="5" max="5" width="25.7109375" customWidth="1"/>
    <col min="6" max="6" width="30.7109375" customWidth="1"/>
  </cols>
  <sheetData>
    <row r="1" spans="1:2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>
      <c r="A2" s="2" t="s">
        <v>24</v>
      </c>
      <c r="B2" s="3">
        <f>IF(ISBLANK('C:\Users\super\Documents\actuarial\cas-rfp\spec-only\team-analyst\sample-data\sample-run\selections\[Chain Ladder Selections - LDFs.xlsx]Paid Loss'!B74),IF(ISBLANK('C:\Users\super\Documents\actuarial\cas-rfp\spec-only\team-analyst\sample-data\sample-run\selections\[Chain Ladder Selections - LDFs.xlsx]Paid Loss'!B68),'C:\Users\super\Documents\actuarial\cas-rfp\spec-only\team-analyst\sample-data\sample-run\selections\[Chain Ladder Selections - LDFs.xlsx]Paid Loss'!B71,'C:\Users\super\Documents\actuarial\cas-rfp\spec-only\team-analyst\sample-data\sample-run\selections\[Chain Ladder Selections - LDFs.xlsx]Paid Loss'!B68),'C:\Users\super\Documents\actuarial\cas-rfp\spec-only\team-analyst\sample-data\sample-run\selections\[Chain Ladder Selections - LDFs.xlsx]Paid Loss'!B74)</f>
        <v>2.6232</v>
      </c>
      <c r="C2" s="3">
        <f>IF(ISBLANK('C:\Users\super\Documents\actuarial\cas-rfp\spec-only\team-analyst\sample-data\sample-run\selections\[Chain Ladder Selections - LDFs.xlsx]Paid Loss'!C74),IF(ISBLANK('C:\Users\super\Documents\actuarial\cas-rfp\spec-only\team-analyst\sample-data\sample-run\selections\[Chain Ladder Selections - LDFs.xlsx]Paid Loss'!C68),'C:\Users\super\Documents\actuarial\cas-rfp\spec-only\team-analyst\sample-data\sample-run\selections\[Chain Ladder Selections - LDFs.xlsx]Paid Loss'!C71,'C:\Users\super\Documents\actuarial\cas-rfp\spec-only\team-analyst\sample-data\sample-run\selections\[Chain Ladder Selections - LDFs.xlsx]Paid Loss'!C68),'C:\Users\super\Documents\actuarial\cas-rfp\spec-only\team-analyst\sample-data\sample-run\selections\[Chain Ladder Selections - LDFs.xlsx]Paid Loss'!C74)</f>
        <v>1.4224</v>
      </c>
      <c r="D2" s="3">
        <f>IF(ISBLANK('C:\Users\super\Documents\actuarial\cas-rfp\spec-only\team-analyst\sample-data\sample-run\selections\[Chain Ladder Selections - LDFs.xlsx]Paid Loss'!D74),IF(ISBLANK('C:\Users\super\Documents\actuarial\cas-rfp\spec-only\team-analyst\sample-data\sample-run\selections\[Chain Ladder Selections - LDFs.xlsx]Paid Loss'!D68),'C:\Users\super\Documents\actuarial\cas-rfp\spec-only\team-analyst\sample-data\sample-run\selections\[Chain Ladder Selections - LDFs.xlsx]Paid Loss'!D71,'C:\Users\super\Documents\actuarial\cas-rfp\spec-only\team-analyst\sample-data\sample-run\selections\[Chain Ladder Selections - LDFs.xlsx]Paid Loss'!D68),'C:\Users\super\Documents\actuarial\cas-rfp\spec-only\team-analyst\sample-data\sample-run\selections\[Chain Ladder Selections - LDFs.xlsx]Paid Loss'!D74)</f>
        <v>1.1999</v>
      </c>
      <c r="E2" s="3">
        <f>IF(ISBLANK('C:\Users\super\Documents\actuarial\cas-rfp\spec-only\team-analyst\sample-data\sample-run\selections\[Chain Ladder Selections - LDFs.xlsx]Paid Loss'!E74),IF(ISBLANK('C:\Users\super\Documents\actuarial\cas-rfp\spec-only\team-analyst\sample-data\sample-run\selections\[Chain Ladder Selections - LDFs.xlsx]Paid Loss'!E68),'C:\Users\super\Documents\actuarial\cas-rfp\spec-only\team-analyst\sample-data\sample-run\selections\[Chain Ladder Selections - LDFs.xlsx]Paid Loss'!E71,'C:\Users\super\Documents\actuarial\cas-rfp\spec-only\team-analyst\sample-data\sample-run\selections\[Chain Ladder Selections - LDFs.xlsx]Paid Loss'!E68),'C:\Users\super\Documents\actuarial\cas-rfp\spec-only\team-analyst\sample-data\sample-run\selections\[Chain Ladder Selections - LDFs.xlsx]Paid Loss'!E74)</f>
        <v>1.0978</v>
      </c>
      <c r="F2" s="3">
        <f>IF(ISBLANK('C:\Users\super\Documents\actuarial\cas-rfp\spec-only\team-analyst\sample-data\sample-run\selections\[Chain Ladder Selections - LDFs.xlsx]Paid Loss'!F74),IF(ISBLANK('C:\Users\super\Documents\actuarial\cas-rfp\spec-only\team-analyst\sample-data\sample-run\selections\[Chain Ladder Selections - LDFs.xlsx]Paid Loss'!F68),'C:\Users\super\Documents\actuarial\cas-rfp\spec-only\team-analyst\sample-data\sample-run\selections\[Chain Ladder Selections - LDFs.xlsx]Paid Loss'!F71,'C:\Users\super\Documents\actuarial\cas-rfp\spec-only\team-analyst\sample-data\sample-run\selections\[Chain Ladder Selections - LDFs.xlsx]Paid Loss'!F68),'C:\Users\super\Documents\actuarial\cas-rfp\spec-only\team-analyst\sample-data\sample-run\selections\[Chain Ladder Selections - LDFs.xlsx]Paid Loss'!F74)</f>
        <v>1.1192</v>
      </c>
      <c r="G2" s="3">
        <f>IF(ISBLANK('C:\Users\super\Documents\actuarial\cas-rfp\spec-only\team-analyst\sample-data\sample-run\selections\[Chain Ladder Selections - LDFs.xlsx]Paid Loss'!G74),IF(ISBLANK('C:\Users\super\Documents\actuarial\cas-rfp\spec-only\team-analyst\sample-data\sample-run\selections\[Chain Ladder Selections - LDFs.xlsx]Paid Loss'!G68),'C:\Users\super\Documents\actuarial\cas-rfp\spec-only\team-analyst\sample-data\sample-run\selections\[Chain Ladder Selections - LDFs.xlsx]Paid Loss'!G71,'C:\Users\super\Documents\actuarial\cas-rfp\spec-only\team-analyst\sample-data\sample-run\selections\[Chain Ladder Selections - LDFs.xlsx]Paid Loss'!G68),'C:\Users\super\Documents\actuarial\cas-rfp\spec-only\team-analyst\sample-data\sample-run\selections\[Chain Ladder Selections - LDFs.xlsx]Paid Loss'!G74)</f>
        <v>1.107</v>
      </c>
      <c r="H2" s="3">
        <f>IF(ISBLANK('C:\Users\super\Documents\actuarial\cas-rfp\spec-only\team-analyst\sample-data\sample-run\selections\[Chain Ladder Selections - LDFs.xlsx]Paid Loss'!H74),IF(ISBLANK('C:\Users\super\Documents\actuarial\cas-rfp\spec-only\team-analyst\sample-data\sample-run\selections\[Chain Ladder Selections - LDFs.xlsx]Paid Loss'!H68),'C:\Users\super\Documents\actuarial\cas-rfp\spec-only\team-analyst\sample-data\sample-run\selections\[Chain Ladder Selections - LDFs.xlsx]Paid Loss'!H71,'C:\Users\super\Documents\actuarial\cas-rfp\spec-only\team-analyst\sample-data\sample-run\selections\[Chain Ladder Selections - LDFs.xlsx]Paid Loss'!H68),'C:\Users\super\Documents\actuarial\cas-rfp\spec-only\team-analyst\sample-data\sample-run\selections\[Chain Ladder Selections - LDFs.xlsx]Paid Loss'!H74)</f>
        <v>1.0328</v>
      </c>
      <c r="I2" s="3">
        <f>IF(ISBLANK('C:\Users\super\Documents\actuarial\cas-rfp\spec-only\team-analyst\sample-data\sample-run\selections\[Chain Ladder Selections - LDFs.xlsx]Paid Loss'!I74),IF(ISBLANK('C:\Users\super\Documents\actuarial\cas-rfp\spec-only\team-analyst\sample-data\sample-run\selections\[Chain Ladder Selections - LDFs.xlsx]Paid Loss'!I68),'C:\Users\super\Documents\actuarial\cas-rfp\spec-only\team-analyst\sample-data\sample-run\selections\[Chain Ladder Selections - LDFs.xlsx]Paid Loss'!I71,'C:\Users\super\Documents\actuarial\cas-rfp\spec-only\team-analyst\sample-data\sample-run\selections\[Chain Ladder Selections - LDFs.xlsx]Paid Loss'!I68),'C:\Users\super\Documents\actuarial\cas-rfp\spec-only\team-analyst\sample-data\sample-run\selections\[Chain Ladder Selections - LDFs.xlsx]Paid Loss'!I74)</f>
        <v>1.0132</v>
      </c>
      <c r="J2" s="3">
        <f>IF(ISBLANK('C:\Users\super\Documents\actuarial\cas-rfp\spec-only\team-analyst\sample-data\sample-run\selections\[Chain Ladder Selections - LDFs.xlsx]Paid Loss'!J74),IF(ISBLANK('C:\Users\super\Documents\actuarial\cas-rfp\spec-only\team-analyst\sample-data\sample-run\selections\[Chain Ladder Selections - LDFs.xlsx]Paid Loss'!J68),'C:\Users\super\Documents\actuarial\cas-rfp\spec-only\team-analyst\sample-data\sample-run\selections\[Chain Ladder Selections - LDFs.xlsx]Paid Loss'!J71,'C:\Users\super\Documents\actuarial\cas-rfp\spec-only\team-analyst\sample-data\sample-run\selections\[Chain Ladder Selections - LDFs.xlsx]Paid Loss'!J68),'C:\Users\super\Documents\actuarial\cas-rfp\spec-only\team-analyst\sample-data\sample-run\selections\[Chain Ladder Selections - LDFs.xlsx]Paid Loss'!J74)</f>
        <v>1.0645</v>
      </c>
      <c r="K2" s="3">
        <f>IF(ISBLANK('C:\Users\super\Documents\actuarial\cas-rfp\spec-only\team-analyst\sample-data\sample-run\selections\[Chain Ladder Selections - LDFs.xlsx]Paid Loss'!K74),IF(ISBLANK('C:\Users\super\Documents\actuarial\cas-rfp\spec-only\team-analyst\sample-data\sample-run\selections\[Chain Ladder Selections - LDFs.xlsx]Paid Loss'!K68),'C:\Users\super\Documents\actuarial\cas-rfp\spec-only\team-analyst\sample-data\sample-run\selections\[Chain Ladder Selections - LDFs.xlsx]Paid Loss'!K71,'C:\Users\super\Documents\actuarial\cas-rfp\spec-only\team-analyst\sample-data\sample-run\selections\[Chain Ladder Selections - LDFs.xlsx]Paid Loss'!K68),'C:\Users\super\Documents\actuarial\cas-rfp\spec-only\team-analyst\sample-data\sample-run\selections\[Chain Ladder Selections - LDFs.xlsx]Paid Loss'!K74)</f>
        <v>1.0083</v>
      </c>
      <c r="L2" s="3">
        <f>IF(ISBLANK('C:\Users\super\Documents\actuarial\cas-rfp\spec-only\team-analyst\sample-data\sample-run\selections\[Chain Ladder Selections - LDFs.xlsx]Paid Loss'!L74),IF(ISBLANK('C:\Users\super\Documents\actuarial\cas-rfp\spec-only\team-analyst\sample-data\sample-run\selections\[Chain Ladder Selections - LDFs.xlsx]Paid Loss'!L68),'C:\Users\super\Documents\actuarial\cas-rfp\spec-only\team-analyst\sample-data\sample-run\selections\[Chain Ladder Selections - LDFs.xlsx]Paid Loss'!L71,'C:\Users\super\Documents\actuarial\cas-rfp\spec-only\team-analyst\sample-data\sample-run\selections\[Chain Ladder Selections - LDFs.xlsx]Paid Loss'!L68),'C:\Users\super\Documents\actuarial\cas-rfp\spec-only\team-analyst\sample-data\sample-run\selections\[Chain Ladder Selections - LDFs.xlsx]Paid Loss'!L74)</f>
        <v>1.0189</v>
      </c>
      <c r="M2" s="3">
        <f>IF(ISBLANK('C:\Users\super\Documents\actuarial\cas-rfp\spec-only\team-analyst\sample-data\sample-run\selections\[Chain Ladder Selections - LDFs.xlsx]Paid Loss'!M74),IF(ISBLANK('C:\Users\super\Documents\actuarial\cas-rfp\spec-only\team-analyst\sample-data\sample-run\selections\[Chain Ladder Selections - LDFs.xlsx]Paid Loss'!M68),'C:\Users\super\Documents\actuarial\cas-rfp\spec-only\team-analyst\sample-data\sample-run\selections\[Chain Ladder Selections - LDFs.xlsx]Paid Loss'!M71,'C:\Users\super\Documents\actuarial\cas-rfp\spec-only\team-analyst\sample-data\sample-run\selections\[Chain Ladder Selections - LDFs.xlsx]Paid Loss'!M68),'C:\Users\super\Documents\actuarial\cas-rfp\spec-only\team-analyst\sample-data\sample-run\selections\[Chain Ladder Selections - LDFs.xlsx]Paid Loss'!M74)</f>
        <v>1.0175</v>
      </c>
      <c r="N2" s="3">
        <f>IF(ISBLANK('C:\Users\super\Documents\actuarial\cas-rfp\spec-only\team-analyst\sample-data\sample-run\selections\[Chain Ladder Selections - LDFs.xlsx]Paid Loss'!N74),IF(ISBLANK('C:\Users\super\Documents\actuarial\cas-rfp\spec-only\team-analyst\sample-data\sample-run\selections\[Chain Ladder Selections - LDFs.xlsx]Paid Loss'!N68),'C:\Users\super\Documents\actuarial\cas-rfp\spec-only\team-analyst\sample-data\sample-run\selections\[Chain Ladder Selections - LDFs.xlsx]Paid Loss'!N71,'C:\Users\super\Documents\actuarial\cas-rfp\spec-only\team-analyst\sample-data\sample-run\selections\[Chain Ladder Selections - LDFs.xlsx]Paid Loss'!N68),'C:\Users\super\Documents\actuarial\cas-rfp\spec-only\team-analyst\sample-data\sample-run\selections\[Chain Ladder Selections - LDFs.xlsx]Paid Loss'!N74)</f>
        <v>1.0134</v>
      </c>
      <c r="O2" s="3">
        <f>IF(ISBLANK('C:\Users\super\Documents\actuarial\cas-rfp\spec-only\team-analyst\sample-data\sample-run\selections\[Chain Ladder Selections - LDFs.xlsx]Paid Loss'!O74),IF(ISBLANK('C:\Users\super\Documents\actuarial\cas-rfp\spec-only\team-analyst\sample-data\sample-run\selections\[Chain Ladder Selections - LDFs.xlsx]Paid Loss'!O68),'C:\Users\super\Documents\actuarial\cas-rfp\spec-only\team-analyst\sample-data\sample-run\selections\[Chain Ladder Selections - LDFs.xlsx]Paid Loss'!O71,'C:\Users\super\Documents\actuarial\cas-rfp\spec-only\team-analyst\sample-data\sample-run\selections\[Chain Ladder Selections - LDFs.xlsx]Paid Loss'!O68),'C:\Users\super\Documents\actuarial\cas-rfp\spec-only\team-analyst\sample-data\sample-run\selections\[Chain Ladder Selections - LDFs.xlsx]Paid Loss'!O74)</f>
        <v>1.0143</v>
      </c>
      <c r="P2" s="3">
        <f>IF(ISBLANK('C:\Users\super\Documents\actuarial\cas-rfp\spec-only\team-analyst\sample-data\sample-run\selections\[Chain Ladder Selections - LDFs.xlsx]Paid Loss'!P74),IF(ISBLANK('C:\Users\super\Documents\actuarial\cas-rfp\spec-only\team-analyst\sample-data\sample-run\selections\[Chain Ladder Selections - LDFs.xlsx]Paid Loss'!P68),'C:\Users\super\Documents\actuarial\cas-rfp\spec-only\team-analyst\sample-data\sample-run\selections\[Chain Ladder Selections - LDFs.xlsx]Paid Loss'!P71,'C:\Users\super\Documents\actuarial\cas-rfp\spec-only\team-analyst\sample-data\sample-run\selections\[Chain Ladder Selections - LDFs.xlsx]Paid Loss'!P68),'C:\Users\super\Documents\actuarial\cas-rfp\spec-only\team-analyst\sample-data\sample-run\selections\[Chain Ladder Selections - LDFs.xlsx]Paid Loss'!P74)</f>
        <v>1.0156</v>
      </c>
      <c r="Q2" s="3">
        <f>IF(ISBLANK('C:\Users\super\Documents\actuarial\cas-rfp\spec-only\team-analyst\sample-data\sample-run\selections\[Chain Ladder Selections - LDFs.xlsx]Paid Loss'!Q74),IF(ISBLANK('C:\Users\super\Documents\actuarial\cas-rfp\spec-only\team-analyst\sample-data\sample-run\selections\[Chain Ladder Selections - LDFs.xlsx]Paid Loss'!Q68),'C:\Users\super\Documents\actuarial\cas-rfp\spec-only\team-analyst\sample-data\sample-run\selections\[Chain Ladder Selections - LDFs.xlsx]Paid Loss'!Q71,'C:\Users\super\Documents\actuarial\cas-rfp\spec-only\team-analyst\sample-data\sample-run\selections\[Chain Ladder Selections - LDFs.xlsx]Paid Loss'!Q68),'C:\Users\super\Documents\actuarial\cas-rfp\spec-only\team-analyst\sample-data\sample-run\selections\[Chain Ladder Selections - LDFs.xlsx]Paid Loss'!Q74)</f>
        <v>1.0115</v>
      </c>
      <c r="R2" s="3">
        <f>IF(ISBLANK('C:\Users\super\Documents\actuarial\cas-rfp\spec-only\team-analyst\sample-data\sample-run\selections\[Chain Ladder Selections - LDFs.xlsx]Paid Loss'!R74),IF(ISBLANK('C:\Users\super\Documents\actuarial\cas-rfp\spec-only\team-analyst\sample-data\sample-run\selections\[Chain Ladder Selections - LDFs.xlsx]Paid Loss'!R68),'C:\Users\super\Documents\actuarial\cas-rfp\spec-only\team-analyst\sample-data\sample-run\selections\[Chain Ladder Selections - LDFs.xlsx]Paid Loss'!R71,'C:\Users\super\Documents\actuarial\cas-rfp\spec-only\team-analyst\sample-data\sample-run\selections\[Chain Ladder Selections - LDFs.xlsx]Paid Loss'!R68),'C:\Users\super\Documents\actuarial\cas-rfp\spec-only\team-analyst\sample-data\sample-run\selections\[Chain Ladder Selections - LDFs.xlsx]Paid Loss'!R74)</f>
        <v>1.0021</v>
      </c>
      <c r="S2" s="3">
        <f>IF(ISBLANK('C:\Users\super\Documents\actuarial\cas-rfp\spec-only\team-analyst\sample-data\sample-run\selections\[Chain Ladder Selections - LDFs.xlsx]Paid Loss'!S74),IF(ISBLANK('C:\Users\super\Documents\actuarial\cas-rfp\spec-only\team-analyst\sample-data\sample-run\selections\[Chain Ladder Selections - LDFs.xlsx]Paid Loss'!S68),'C:\Users\super\Documents\actuarial\cas-rfp\spec-only\team-analyst\sample-data\sample-run\selections\[Chain Ladder Selections - LDFs.xlsx]Paid Loss'!S71,'C:\Users\super\Documents\actuarial\cas-rfp\spec-only\team-analyst\sample-data\sample-run\selections\[Chain Ladder Selections - LDFs.xlsx]Paid Loss'!S68),'C:\Users\super\Documents\actuarial\cas-rfp\spec-only\team-analyst\sample-data\sample-run\selections\[Chain Ladder Selections - LDFs.xlsx]Paid Loss'!S74)</f>
        <v>1.0047</v>
      </c>
      <c r="T2" s="3">
        <f>IF(ISBLANK('C:\Users\super\Documents\actuarial\cas-rfp\spec-only\team-analyst\sample-data\sample-run\selections\[Chain Ladder Selections - LDFs.xlsx]Paid Loss'!T74),IF(ISBLANK('C:\Users\super\Documents\actuarial\cas-rfp\spec-only\team-analyst\sample-data\sample-run\selections\[Chain Ladder Selections - LDFs.xlsx]Paid Loss'!T68),'C:\Users\super\Documents\actuarial\cas-rfp\spec-only\team-analyst\sample-data\sample-run\selections\[Chain Ladder Selections - LDFs.xlsx]Paid Loss'!T71,'C:\Users\super\Documents\actuarial\cas-rfp\spec-only\team-analyst\sample-data\sample-run\selections\[Chain Ladder Selections - LDFs.xlsx]Paid Loss'!T68),'C:\Users\super\Documents\actuarial\cas-rfp\spec-only\team-analyst\sample-data\sample-run\selections\[Chain Ladder Selections - LDFs.xlsx]Paid Loss'!T74)</f>
        <v>1.0025</v>
      </c>
      <c r="U2" s="3">
        <f>IF(ISBLANK('C:\Users\super\Documents\actuarial\cas-rfp\spec-only\team-analyst\sample-data\sample-run\selections\[Chain Ladder Selections - LDFs.xlsx]Paid Loss'!U74),IF(ISBLANK('C:\Users\super\Documents\actuarial\cas-rfp\spec-only\team-analyst\sample-data\sample-run\selections\[Chain Ladder Selections - LDFs.xlsx]Paid Loss'!U68),'C:\Users\super\Documents\actuarial\cas-rfp\spec-only\team-analyst\sample-data\sample-run\selections\[Chain Ladder Selections - LDFs.xlsx]Paid Loss'!U71,'C:\Users\super\Documents\actuarial\cas-rfp\spec-only\team-analyst\sample-data\sample-run\selections\[Chain Ladder Selections - LDFs.xlsx]Paid Loss'!U68),'C:\Users\super\Documents\actuarial\cas-rfp\spec-only\team-analyst\sample-data\sample-run\selections\[Chain Ladder Selections - LDFs.xlsx]Paid Loss'!U74)</f>
        <v>1.0054</v>
      </c>
      <c r="V2" s="3">
        <f>IF(ISBLANK('C:\Users\super\Documents\actuarial\cas-rfp\spec-only\team-analyst\sample-data\sample-run\selections\[Chain Ladder Selections - LDFs.xlsx]Paid Loss'!V74),IF(ISBLANK('C:\Users\super\Documents\actuarial\cas-rfp\spec-only\team-analyst\sample-data\sample-run\selections\[Chain Ladder Selections - LDFs.xlsx]Paid Loss'!V68),'C:\Users\super\Documents\actuarial\cas-rfp\spec-only\team-analyst\sample-data\sample-run\selections\[Chain Ladder Selections - LDFs.xlsx]Paid Loss'!V71,'C:\Users\super\Documents\actuarial\cas-rfp\spec-only\team-analyst\sample-data\sample-run\selections\[Chain Ladder Selections - LDFs.xlsx]Paid Loss'!V68),'C:\Users\super\Documents\actuarial\cas-rfp\spec-only\team-analyst\sample-data\sample-run\selections\[Chain Ladder Selections - LDFs.xlsx]Paid Loss'!V74)</f>
        <v>1.0062</v>
      </c>
      <c r="W2" s="3">
        <f>IF(ISBLANK('C:\Users\super\Documents\actuarial\cas-rfp\spec-only\team-analyst\sample-data\sample-run\selections\[Chain Ladder Selections - LDFs.xlsx]Paid Loss'!W74),IF(ISBLANK('C:\Users\super\Documents\actuarial\cas-rfp\spec-only\team-analyst\sample-data\sample-run\selections\[Chain Ladder Selections - LDFs.xlsx]Paid Loss'!W68),'C:\Users\super\Documents\actuarial\cas-rfp\spec-only\team-analyst\sample-data\sample-run\selections\[Chain Ladder Selections - LDFs.xlsx]Paid Loss'!W71,'C:\Users\super\Documents\actuarial\cas-rfp\spec-only\team-analyst\sample-data\sample-run\selections\[Chain Ladder Selections - LDFs.xlsx]Paid Loss'!W68),'C:\Users\super\Documents\actuarial\cas-rfp\spec-only\team-analyst\sample-data\sample-run\selections\[Chain Ladder Selections - LDFs.xlsx]Paid Loss'!W74)</f>
        <v>1.0074</v>
      </c>
      <c r="X2" s="3">
        <f>IF(ISBLANK('C:\Users\super\Documents\actuarial\cas-rfp\spec-only\team-analyst\sample-data\sample-run\selections\[Chain Ladder Selections - LDFs.xlsx]Paid Loss'!X74),IF(ISBLANK('C:\Users\super\Documents\actuarial\cas-rfp\spec-only\team-analyst\sample-data\sample-run\selections\[Chain Ladder Selections - LDFs.xlsx]Paid Loss'!X68),'C:\Users\super\Documents\actuarial\cas-rfp\spec-only\team-analyst\sample-data\sample-run\selections\[Chain Ladder Selections - LDFs.xlsx]Paid Loss'!X71,'C:\Users\super\Documents\actuarial\cas-rfp\spec-only\team-analyst\sample-data\sample-run\selections\[Chain Ladder Selections - LDFs.xlsx]Paid Loss'!X68),'C:\Users\super\Documents\actuarial\cas-rfp\spec-only\team-analyst\sample-data\sample-run\selections\[Chain Ladder Selections - LDFs.xlsx]Paid Loss'!X74)</f>
        <v>1.0039</v>
      </c>
    </row>
    <row r="4" spans="1:24">
      <c r="A4" s="4" t="s">
        <v>25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</row>
    <row r="5" spans="1:24">
      <c r="A5" s="1" t="s">
        <v>26</v>
      </c>
      <c r="B5" s="1" t="s">
        <v>27</v>
      </c>
      <c r="C5" s="1" t="s">
        <v>28</v>
      </c>
      <c r="D5" s="1" t="s">
        <v>29</v>
      </c>
      <c r="E5" s="1" t="s">
        <v>30</v>
      </c>
      <c r="F5" s="1" t="s">
        <v>31</v>
      </c>
      <c r="G5" s="1" t="s">
        <v>32</v>
      </c>
      <c r="H5" s="1" t="s">
        <v>33</v>
      </c>
      <c r="I5" s="1" t="s">
        <v>34</v>
      </c>
      <c r="J5" s="1" t="s">
        <v>35</v>
      </c>
      <c r="K5" s="1" t="s">
        <v>36</v>
      </c>
      <c r="L5" s="1" t="s">
        <v>37</v>
      </c>
      <c r="M5" s="1" t="s">
        <v>38</v>
      </c>
      <c r="N5" s="1" t="s">
        <v>39</v>
      </c>
      <c r="O5" s="1" t="s">
        <v>40</v>
      </c>
    </row>
    <row r="6" spans="1:24">
      <c r="A6" s="5">
        <v>143</v>
      </c>
      <c r="B6" s="5" t="s">
        <v>41</v>
      </c>
      <c r="C6" s="3">
        <v>0.01817996899513755</v>
      </c>
      <c r="D6" s="5">
        <v>6</v>
      </c>
      <c r="E6" s="2" t="s">
        <v>42</v>
      </c>
      <c r="G6" s="3">
        <v>1.0039</v>
      </c>
      <c r="K6" s="5" t="s">
        <v>41</v>
      </c>
      <c r="L6" s="6">
        <v>0.05767680903064931</v>
      </c>
      <c r="M6" s="5" t="s">
        <v>47</v>
      </c>
      <c r="N6" s="7">
        <v>489199.6169315651</v>
      </c>
      <c r="O6" s="7">
        <v>896865.9643745348</v>
      </c>
    </row>
    <row r="7" spans="1:24">
      <c r="A7" s="5">
        <v>143</v>
      </c>
      <c r="B7" s="5" t="s">
        <v>41</v>
      </c>
      <c r="C7" s="3">
        <v>0.01817996899513755</v>
      </c>
      <c r="D7" s="5">
        <v>6</v>
      </c>
      <c r="E7" s="2" t="s">
        <v>60</v>
      </c>
      <c r="F7" s="2" t="s">
        <v>61</v>
      </c>
      <c r="G7" s="3">
        <v>1.013703181942844</v>
      </c>
      <c r="H7" s="3">
        <v>0.3537649435694358</v>
      </c>
      <c r="I7" s="3">
        <v>0.001678601511099865</v>
      </c>
      <c r="J7" s="3">
        <v>0.0009282901908046585</v>
      </c>
      <c r="K7" s="5" t="s">
        <v>41</v>
      </c>
      <c r="L7" s="6">
        <v>0.2004089016851266</v>
      </c>
      <c r="M7" s="5" t="s">
        <v>41</v>
      </c>
      <c r="N7" s="7">
        <v>484468.7322539017</v>
      </c>
      <c r="O7" s="7">
        <v>888192.6757988185</v>
      </c>
    </row>
    <row r="8" spans="1:24">
      <c r="A8" s="5">
        <v>143</v>
      </c>
      <c r="B8" s="5" t="s">
        <v>41</v>
      </c>
      <c r="C8" s="3">
        <v>0.01817996899513755</v>
      </c>
      <c r="D8" s="5">
        <v>6</v>
      </c>
      <c r="E8" s="2" t="s">
        <v>62</v>
      </c>
      <c r="F8" s="2" t="s">
        <v>61</v>
      </c>
      <c r="G8" s="3">
        <v>1.026964587131287</v>
      </c>
      <c r="H8" s="3">
        <v>0.3537649435694358</v>
      </c>
      <c r="I8" s="3">
        <v>0.001678601511099865</v>
      </c>
      <c r="J8" s="3">
        <v>0.0009282901908046585</v>
      </c>
      <c r="K8" s="5" t="s">
        <v>41</v>
      </c>
      <c r="L8" s="6">
        <v>0.3885306502651198</v>
      </c>
      <c r="M8" s="5" t="s">
        <v>41</v>
      </c>
      <c r="N8" s="7">
        <v>478212.6877514347</v>
      </c>
      <c r="O8" s="7">
        <v>876723.2608776242</v>
      </c>
    </row>
    <row r="9" spans="1:24">
      <c r="A9" s="5">
        <v>143</v>
      </c>
      <c r="B9" s="5" t="s">
        <v>41</v>
      </c>
      <c r="C9" s="3">
        <v>0.01817996899513755</v>
      </c>
      <c r="D9" s="5">
        <v>6</v>
      </c>
      <c r="E9" s="2" t="s">
        <v>63</v>
      </c>
      <c r="F9" s="2" t="s">
        <v>61</v>
      </c>
      <c r="G9" s="3">
        <v>1.041477001913356</v>
      </c>
      <c r="H9" s="3">
        <v>0.3537649435694358</v>
      </c>
      <c r="I9" s="3">
        <v>0.001678601511099865</v>
      </c>
      <c r="J9" s="3">
        <v>0.0009282901908046585</v>
      </c>
      <c r="K9" s="5" t="s">
        <v>41</v>
      </c>
      <c r="L9" s="6">
        <v>0.5881302887140961</v>
      </c>
      <c r="M9" s="5" t="s">
        <v>41</v>
      </c>
      <c r="N9" s="7">
        <v>471549.0544057712</v>
      </c>
      <c r="O9" s="7">
        <v>864506.5997439101</v>
      </c>
    </row>
    <row r="10" spans="1:24">
      <c r="A10" s="5">
        <v>143</v>
      </c>
      <c r="B10" s="5" t="s">
        <v>41</v>
      </c>
      <c r="C10" s="3">
        <v>0.01817996899513755</v>
      </c>
      <c r="D10" s="5">
        <v>6</v>
      </c>
      <c r="E10" s="2" t="s">
        <v>45</v>
      </c>
      <c r="F10" s="2" t="s">
        <v>64</v>
      </c>
      <c r="G10" s="3">
        <v>1.0000013320688</v>
      </c>
      <c r="K10" s="5" t="s">
        <v>41</v>
      </c>
      <c r="L10" s="6">
        <v>1.978807845252076E-05</v>
      </c>
      <c r="M10" s="5" t="s">
        <v>47</v>
      </c>
      <c r="N10" s="7">
        <v>491106.8412494883</v>
      </c>
      <c r="O10" s="7">
        <v>900362.5422907323</v>
      </c>
    </row>
    <row r="11" spans="1:24">
      <c r="A11" s="5">
        <v>143</v>
      </c>
      <c r="B11" s="5" t="s">
        <v>41</v>
      </c>
      <c r="C11" s="3">
        <v>0.01817996899513755</v>
      </c>
      <c r="D11" s="5">
        <v>6</v>
      </c>
      <c r="E11" s="2" t="s">
        <v>48</v>
      </c>
      <c r="G11" s="3">
        <v>1.0078</v>
      </c>
      <c r="K11" s="5" t="s">
        <v>41</v>
      </c>
      <c r="L11" s="6">
        <v>0.114841496587679</v>
      </c>
      <c r="M11" s="5" t="s">
        <v>41</v>
      </c>
      <c r="N11" s="7">
        <v>487306.5047009289</v>
      </c>
      <c r="O11" s="7">
        <v>893395.2586183697</v>
      </c>
    </row>
    <row r="12" spans="1:24">
      <c r="A12" s="5">
        <v>143</v>
      </c>
      <c r="B12" s="5" t="s">
        <v>41</v>
      </c>
      <c r="C12" s="3">
        <v>0.01817996899513755</v>
      </c>
      <c r="D12" s="5">
        <v>6</v>
      </c>
      <c r="E12" s="2" t="s">
        <v>49</v>
      </c>
      <c r="G12" s="3">
        <v>1.00781521</v>
      </c>
      <c r="K12" s="5" t="s">
        <v>41</v>
      </c>
      <c r="L12" s="6">
        <v>0.1150634452564325</v>
      </c>
      <c r="M12" s="5" t="s">
        <v>41</v>
      </c>
      <c r="N12" s="7">
        <v>487299.1502456069</v>
      </c>
      <c r="O12" s="7">
        <v>893381.7754502818</v>
      </c>
    </row>
    <row r="13" spans="1:24">
      <c r="A13" s="5">
        <v>203</v>
      </c>
      <c r="B13" s="5" t="s">
        <v>41</v>
      </c>
      <c r="C13" s="3">
        <v>0.01080918552262794</v>
      </c>
      <c r="D13" s="5">
        <v>3</v>
      </c>
      <c r="E13" s="2" t="s">
        <v>42</v>
      </c>
      <c r="G13" s="3">
        <v>1.0039</v>
      </c>
      <c r="K13" s="5" t="s">
        <v>41</v>
      </c>
      <c r="L13" s="6">
        <v>0.05767680903064931</v>
      </c>
      <c r="M13" s="5" t="s">
        <v>47</v>
      </c>
      <c r="N13" s="7">
        <v>489199.6169315651</v>
      </c>
      <c r="O13" s="7">
        <v>896865.9643745348</v>
      </c>
    </row>
    <row r="14" spans="1:24">
      <c r="A14" s="5">
        <v>203</v>
      </c>
      <c r="B14" s="5" t="s">
        <v>41</v>
      </c>
      <c r="C14" s="3">
        <v>0.01080918552262794</v>
      </c>
      <c r="D14" s="5">
        <v>3</v>
      </c>
      <c r="E14" s="2" t="s">
        <v>43</v>
      </c>
      <c r="F14" s="2" t="s">
        <v>65</v>
      </c>
      <c r="G14" s="3">
        <v>1.016282359093023</v>
      </c>
      <c r="H14" s="3">
        <v>0.5340751389078572</v>
      </c>
      <c r="I14" s="3">
        <v>0.04647288677542463</v>
      </c>
      <c r="J14" s="3">
        <v>0.0001515701072505433</v>
      </c>
      <c r="K14" s="5" t="s">
        <v>41</v>
      </c>
      <c r="L14" s="6">
        <v>0.2374368772121291</v>
      </c>
      <c r="M14" s="5" t="s">
        <v>41</v>
      </c>
      <c r="N14" s="7">
        <v>483239.2209148258</v>
      </c>
      <c r="O14" s="7">
        <v>885938.5716771781</v>
      </c>
    </row>
    <row r="15" spans="1:24">
      <c r="A15" s="5">
        <v>203</v>
      </c>
      <c r="B15" s="5" t="s">
        <v>41</v>
      </c>
      <c r="C15" s="3">
        <v>0.01080918552262794</v>
      </c>
      <c r="D15" s="5">
        <v>3</v>
      </c>
      <c r="E15" s="2" t="s">
        <v>45</v>
      </c>
      <c r="F15" s="2" t="s">
        <v>66</v>
      </c>
      <c r="G15" s="3">
        <v>1.000000506133965</v>
      </c>
      <c r="K15" s="5" t="s">
        <v>41</v>
      </c>
      <c r="L15" s="6">
        <v>7.51870181748353E-06</v>
      </c>
      <c r="M15" s="5" t="s">
        <v>47</v>
      </c>
      <c r="N15" s="7">
        <v>491107.246871531</v>
      </c>
      <c r="O15" s="7">
        <v>900363.2859311476</v>
      </c>
    </row>
    <row r="16" spans="1:24">
      <c r="A16" s="5">
        <v>203</v>
      </c>
      <c r="B16" s="5" t="s">
        <v>41</v>
      </c>
      <c r="C16" s="3">
        <v>0.01080918552262794</v>
      </c>
      <c r="D16" s="5">
        <v>3</v>
      </c>
      <c r="E16" s="2" t="s">
        <v>48</v>
      </c>
      <c r="G16" s="3">
        <v>1.0078</v>
      </c>
      <c r="K16" s="5" t="s">
        <v>41</v>
      </c>
      <c r="L16" s="6">
        <v>0.114841496587679</v>
      </c>
      <c r="M16" s="5" t="s">
        <v>41</v>
      </c>
      <c r="N16" s="7">
        <v>487306.5047009289</v>
      </c>
      <c r="O16" s="7">
        <v>893395.2586183697</v>
      </c>
    </row>
    <row r="17" spans="1:15">
      <c r="A17" s="5">
        <v>203</v>
      </c>
      <c r="B17" s="5" t="s">
        <v>41</v>
      </c>
      <c r="C17" s="3">
        <v>0.01080918552262794</v>
      </c>
      <c r="D17" s="5">
        <v>3</v>
      </c>
      <c r="E17" s="2" t="s">
        <v>49</v>
      </c>
      <c r="G17" s="3">
        <v>1.00781521</v>
      </c>
      <c r="K17" s="5" t="s">
        <v>41</v>
      </c>
      <c r="L17" s="6">
        <v>0.1150634452564325</v>
      </c>
      <c r="M17" s="5" t="s">
        <v>41</v>
      </c>
      <c r="N17" s="7">
        <v>487299.1502456069</v>
      </c>
      <c r="O17" s="7">
        <v>893381.7754502818</v>
      </c>
    </row>
    <row r="18" spans="1:15">
      <c r="A18" s="5">
        <v>203</v>
      </c>
      <c r="B18" s="5" t="s">
        <v>41</v>
      </c>
      <c r="C18" s="3">
        <v>0.01080918552262794</v>
      </c>
      <c r="D18" s="5">
        <v>3</v>
      </c>
      <c r="E18" s="2" t="s">
        <v>67</v>
      </c>
      <c r="F18" s="2" t="s">
        <v>68</v>
      </c>
      <c r="G18" s="3">
        <v>1.329127668281158</v>
      </c>
      <c r="H18" s="3">
        <v>0.7953061848048253</v>
      </c>
      <c r="K18" s="5" t="s">
        <v>41</v>
      </c>
      <c r="L18" s="6">
        <v>3.548023263185676</v>
      </c>
      <c r="M18" s="5" t="s">
        <v>41</v>
      </c>
      <c r="N18" s="7">
        <v>369496.1042175144</v>
      </c>
      <c r="O18" s="7">
        <v>677409.5243987739</v>
      </c>
    </row>
    <row r="20" spans="1:15">
      <c r="A20" s="4" t="s">
        <v>52</v>
      </c>
      <c r="B20" s="4"/>
      <c r="C20" s="4"/>
      <c r="D20" s="4"/>
      <c r="E20" s="4"/>
      <c r="F20" s="4"/>
    </row>
    <row r="21" spans="1:15">
      <c r="A21" s="1" t="s">
        <v>53</v>
      </c>
      <c r="B21" s="1" t="s">
        <v>54</v>
      </c>
      <c r="C21" s="1" t="s">
        <v>32</v>
      </c>
      <c r="D21" s="1" t="s">
        <v>30</v>
      </c>
      <c r="E21" s="1" t="s">
        <v>55</v>
      </c>
      <c r="F21" s="1" t="s">
        <v>56</v>
      </c>
    </row>
    <row r="22" spans="1:15">
      <c r="A22" s="8" t="s">
        <v>57</v>
      </c>
      <c r="B22" s="9"/>
      <c r="C22" s="9"/>
      <c r="D22" s="9"/>
      <c r="E22" s="9"/>
      <c r="F22" s="9"/>
    </row>
    <row r="23" spans="1:15">
      <c r="A23" s="10" t="s">
        <v>58</v>
      </c>
      <c r="B23" s="11"/>
      <c r="C23" s="11"/>
      <c r="D23" s="11"/>
      <c r="E23" s="11"/>
      <c r="F23" s="11"/>
    </row>
    <row r="25" spans="1:15">
      <c r="A25" s="12" t="s">
        <v>59</v>
      </c>
      <c r="B25" s="13"/>
      <c r="C25" s="13"/>
      <c r="D25" s="13"/>
      <c r="E25" s="13"/>
      <c r="F25" s="13"/>
    </row>
  </sheetData>
  <mergeCells count="2">
    <mergeCell ref="A4:O4"/>
    <mergeCell ref="A20:F2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8"/>
  <sheetViews>
    <sheetView workbookViewId="0"/>
  </sheetViews>
  <sheetFormatPr defaultRowHeight="15"/>
  <cols>
    <col min="1" max="1" width="30.7109375" customWidth="1"/>
    <col min="2" max="3" width="12.7109375" customWidth="1"/>
    <col min="4" max="4" width="15.7109375" customWidth="1"/>
    <col min="5" max="5" width="25.7109375" customWidth="1"/>
    <col min="6" max="6" width="30.7109375" customWidth="1"/>
  </cols>
  <sheetData>
    <row r="1" spans="1:2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>
      <c r="A2" s="2" t="s">
        <v>24</v>
      </c>
      <c r="B2" s="3">
        <f>IF(ISBLANK('C:\Users\super\Documents\actuarial\cas-rfp\spec-only\team-analyst\sample-data\sample-run\selections\[Chain Ladder Selections - LDFs.xlsx]Reported Count'!B74),IF(ISBLANK('C:\Users\super\Documents\actuarial\cas-rfp\spec-only\team-analyst\sample-data\sample-run\selections\[Chain Ladder Selections - LDFs.xlsx]Reported Count'!B68),'C:\Users\super\Documents\actuarial\cas-rfp\spec-only\team-analyst\sample-data\sample-run\selections\[Chain Ladder Selections - LDFs.xlsx]Reported Count'!B71,'C:\Users\super\Documents\actuarial\cas-rfp\spec-only\team-analyst\sample-data\sample-run\selections\[Chain Ladder Selections - LDFs.xlsx]Reported Count'!B68),'C:\Users\super\Documents\actuarial\cas-rfp\spec-only\team-analyst\sample-data\sample-run\selections\[Chain Ladder Selections - LDFs.xlsx]Reported Count'!B74)</f>
        <v>1.118</v>
      </c>
      <c r="C2" s="3">
        <f>IF(ISBLANK('C:\Users\super\Documents\actuarial\cas-rfp\spec-only\team-analyst\sample-data\sample-run\selections\[Chain Ladder Selections - LDFs.xlsx]Reported Count'!C74),IF(ISBLANK('C:\Users\super\Documents\actuarial\cas-rfp\spec-only\team-analyst\sample-data\sample-run\selections\[Chain Ladder Selections - LDFs.xlsx]Reported Count'!C68),'C:\Users\super\Documents\actuarial\cas-rfp\spec-only\team-analyst\sample-data\sample-run\selections\[Chain Ladder Selections - LDFs.xlsx]Reported Count'!C71,'C:\Users\super\Documents\actuarial\cas-rfp\spec-only\team-analyst\sample-data\sample-run\selections\[Chain Ladder Selections - LDFs.xlsx]Reported Count'!C68),'C:\Users\super\Documents\actuarial\cas-rfp\spec-only\team-analyst\sample-data\sample-run\selections\[Chain Ladder Selections - LDFs.xlsx]Reported Count'!C74)</f>
        <v>1</v>
      </c>
      <c r="D2" s="3">
        <f>IF(ISBLANK('C:\Users\super\Documents\actuarial\cas-rfp\spec-only\team-analyst\sample-data\sample-run\selections\[Chain Ladder Selections - LDFs.xlsx]Reported Count'!D74),IF(ISBLANK('C:\Users\super\Documents\actuarial\cas-rfp\spec-only\team-analyst\sample-data\sample-run\selections\[Chain Ladder Selections - LDFs.xlsx]Reported Count'!D68),'C:\Users\super\Documents\actuarial\cas-rfp\spec-only\team-analyst\sample-data\sample-run\selections\[Chain Ladder Selections - LDFs.xlsx]Reported Count'!D71,'C:\Users\super\Documents\actuarial\cas-rfp\spec-only\team-analyst\sample-data\sample-run\selections\[Chain Ladder Selections - LDFs.xlsx]Reported Count'!D68),'C:\Users\super\Documents\actuarial\cas-rfp\spec-only\team-analyst\sample-data\sample-run\selections\[Chain Ladder Selections - LDFs.xlsx]Reported Count'!D74)</f>
        <v>1.0008</v>
      </c>
      <c r="E2" s="3">
        <f>IF(ISBLANK('C:\Users\super\Documents\actuarial\cas-rfp\spec-only\team-analyst\sample-data\sample-run\selections\[Chain Ladder Selections - LDFs.xlsx]Reported Count'!E74),IF(ISBLANK('C:\Users\super\Documents\actuarial\cas-rfp\spec-only\team-analyst\sample-data\sample-run\selections\[Chain Ladder Selections - LDFs.xlsx]Reported Count'!E68),'C:\Users\super\Documents\actuarial\cas-rfp\spec-only\team-analyst\sample-data\sample-run\selections\[Chain Ladder Selections - LDFs.xlsx]Reported Count'!E71,'C:\Users\super\Documents\actuarial\cas-rfp\spec-only\team-analyst\sample-data\sample-run\selections\[Chain Ladder Selections - LDFs.xlsx]Reported Count'!E68),'C:\Users\super\Documents\actuarial\cas-rfp\spec-only\team-analyst\sample-data\sample-run\selections\[Chain Ladder Selections - LDFs.xlsx]Reported Count'!E74)</f>
        <v>1</v>
      </c>
      <c r="F2" s="3">
        <f>IF(ISBLANK('C:\Users\super\Documents\actuarial\cas-rfp\spec-only\team-analyst\sample-data\sample-run\selections\[Chain Ladder Selections - LDFs.xlsx]Reported Count'!F74),IF(ISBLANK('C:\Users\super\Documents\actuarial\cas-rfp\spec-only\team-analyst\sample-data\sample-run\selections\[Chain Ladder Selections - LDFs.xlsx]Reported Count'!F68),'C:\Users\super\Documents\actuarial\cas-rfp\spec-only\team-analyst\sample-data\sample-run\selections\[Chain Ladder Selections - LDFs.xlsx]Reported Count'!F71,'C:\Users\super\Documents\actuarial\cas-rfp\spec-only\team-analyst\sample-data\sample-run\selections\[Chain Ladder Selections - LDFs.xlsx]Reported Count'!F68),'C:\Users\super\Documents\actuarial\cas-rfp\spec-only\team-analyst\sample-data\sample-run\selections\[Chain Ladder Selections - LDFs.xlsx]Reported Count'!F74)</f>
        <v>0.9992</v>
      </c>
      <c r="G2" s="3">
        <f>IF(ISBLANK('C:\Users\super\Documents\actuarial\cas-rfp\spec-only\team-analyst\sample-data\sample-run\selections\[Chain Ladder Selections - LDFs.xlsx]Reported Count'!G74),IF(ISBLANK('C:\Users\super\Documents\actuarial\cas-rfp\spec-only\team-analyst\sample-data\sample-run\selections\[Chain Ladder Selections - LDFs.xlsx]Reported Count'!G68),'C:\Users\super\Documents\actuarial\cas-rfp\spec-only\team-analyst\sample-data\sample-run\selections\[Chain Ladder Selections - LDFs.xlsx]Reported Count'!G71,'C:\Users\super\Documents\actuarial\cas-rfp\spec-only\team-analyst\sample-data\sample-run\selections\[Chain Ladder Selections - LDFs.xlsx]Reported Count'!G68),'C:\Users\super\Documents\actuarial\cas-rfp\spec-only\team-analyst\sample-data\sample-run\selections\[Chain Ladder Selections - LDFs.xlsx]Reported Count'!G74)</f>
        <v>1</v>
      </c>
      <c r="H2" s="3">
        <f>IF(ISBLANK('C:\Users\super\Documents\actuarial\cas-rfp\spec-only\team-analyst\sample-data\sample-run\selections\[Chain Ladder Selections - LDFs.xlsx]Reported Count'!H74),IF(ISBLANK('C:\Users\super\Documents\actuarial\cas-rfp\spec-only\team-analyst\sample-data\sample-run\selections\[Chain Ladder Selections - LDFs.xlsx]Reported Count'!H68),'C:\Users\super\Documents\actuarial\cas-rfp\spec-only\team-analyst\sample-data\sample-run\selections\[Chain Ladder Selections - LDFs.xlsx]Reported Count'!H71,'C:\Users\super\Documents\actuarial\cas-rfp\spec-only\team-analyst\sample-data\sample-run\selections\[Chain Ladder Selections - LDFs.xlsx]Reported Count'!H68),'C:\Users\super\Documents\actuarial\cas-rfp\spec-only\team-analyst\sample-data\sample-run\selections\[Chain Ladder Selections - LDFs.xlsx]Reported Count'!H74)</f>
        <v>0.9993</v>
      </c>
      <c r="I2" s="3">
        <f>IF(ISBLANK('C:\Users\super\Documents\actuarial\cas-rfp\spec-only\team-analyst\sample-data\sample-run\selections\[Chain Ladder Selections - LDFs.xlsx]Reported Count'!I74),IF(ISBLANK('C:\Users\super\Documents\actuarial\cas-rfp\spec-only\team-analyst\sample-data\sample-run\selections\[Chain Ladder Selections - LDFs.xlsx]Reported Count'!I68),'C:\Users\super\Documents\actuarial\cas-rfp\spec-only\team-analyst\sample-data\sample-run\selections\[Chain Ladder Selections - LDFs.xlsx]Reported Count'!I71,'C:\Users\super\Documents\actuarial\cas-rfp\spec-only\team-analyst\sample-data\sample-run\selections\[Chain Ladder Selections - LDFs.xlsx]Reported Count'!I68),'C:\Users\super\Documents\actuarial\cas-rfp\spec-only\team-analyst\sample-data\sample-run\selections\[Chain Ladder Selections - LDFs.xlsx]Reported Count'!I74)</f>
        <v>1</v>
      </c>
      <c r="J2" s="3">
        <f>IF(ISBLANK('C:\Users\super\Documents\actuarial\cas-rfp\spec-only\team-analyst\sample-data\sample-run\selections\[Chain Ladder Selections - LDFs.xlsx]Reported Count'!J74),IF(ISBLANK('C:\Users\super\Documents\actuarial\cas-rfp\spec-only\team-analyst\sample-data\sample-run\selections\[Chain Ladder Selections - LDFs.xlsx]Reported Count'!J68),'C:\Users\super\Documents\actuarial\cas-rfp\spec-only\team-analyst\sample-data\sample-run\selections\[Chain Ladder Selections - LDFs.xlsx]Reported Count'!J71,'C:\Users\super\Documents\actuarial\cas-rfp\spec-only\team-analyst\sample-data\sample-run\selections\[Chain Ladder Selections - LDFs.xlsx]Reported Count'!J68),'C:\Users\super\Documents\actuarial\cas-rfp\spec-only\team-analyst\sample-data\sample-run\selections\[Chain Ladder Selections - LDFs.xlsx]Reported Count'!J74)</f>
        <v>0.9977</v>
      </c>
      <c r="K2" s="3">
        <f>IF(ISBLANK('C:\Users\super\Documents\actuarial\cas-rfp\spec-only\team-analyst\sample-data\sample-run\selections\[Chain Ladder Selections - LDFs.xlsx]Reported Count'!K74),IF(ISBLANK('C:\Users\super\Documents\actuarial\cas-rfp\spec-only\team-analyst\sample-data\sample-run\selections\[Chain Ladder Selections - LDFs.xlsx]Reported Count'!K68),'C:\Users\super\Documents\actuarial\cas-rfp\spec-only\team-analyst\sample-data\sample-run\selections\[Chain Ladder Selections - LDFs.xlsx]Reported Count'!K71,'C:\Users\super\Documents\actuarial\cas-rfp\spec-only\team-analyst\sample-data\sample-run\selections\[Chain Ladder Selections - LDFs.xlsx]Reported Count'!K68),'C:\Users\super\Documents\actuarial\cas-rfp\spec-only\team-analyst\sample-data\sample-run\selections\[Chain Ladder Selections - LDFs.xlsx]Reported Count'!K74)</f>
        <v>1</v>
      </c>
      <c r="L2" s="3">
        <f>IF(ISBLANK('C:\Users\super\Documents\actuarial\cas-rfp\spec-only\team-analyst\sample-data\sample-run\selections\[Chain Ladder Selections - LDFs.xlsx]Reported Count'!L74),IF(ISBLANK('C:\Users\super\Documents\actuarial\cas-rfp\spec-only\team-analyst\sample-data\sample-run\selections\[Chain Ladder Selections - LDFs.xlsx]Reported Count'!L68),'C:\Users\super\Documents\actuarial\cas-rfp\spec-only\team-analyst\sample-data\sample-run\selections\[Chain Ladder Selections - LDFs.xlsx]Reported Count'!L71,'C:\Users\super\Documents\actuarial\cas-rfp\spec-only\team-analyst\sample-data\sample-run\selections\[Chain Ladder Selections - LDFs.xlsx]Reported Count'!L68),'C:\Users\super\Documents\actuarial\cas-rfp\spec-only\team-analyst\sample-data\sample-run\selections\[Chain Ladder Selections - LDFs.xlsx]Reported Count'!L74)</f>
        <v>1</v>
      </c>
      <c r="M2" s="3">
        <f>IF(ISBLANK('C:\Users\super\Documents\actuarial\cas-rfp\spec-only\team-analyst\sample-data\sample-run\selections\[Chain Ladder Selections - LDFs.xlsx]Reported Count'!M74),IF(ISBLANK('C:\Users\super\Documents\actuarial\cas-rfp\spec-only\team-analyst\sample-data\sample-run\selections\[Chain Ladder Selections - LDFs.xlsx]Reported Count'!M68),'C:\Users\super\Documents\actuarial\cas-rfp\spec-only\team-analyst\sample-data\sample-run\selections\[Chain Ladder Selections - LDFs.xlsx]Reported Count'!M71,'C:\Users\super\Documents\actuarial\cas-rfp\spec-only\team-analyst\sample-data\sample-run\selections\[Chain Ladder Selections - LDFs.xlsx]Reported Count'!M68),'C:\Users\super\Documents\actuarial\cas-rfp\spec-only\team-analyst\sample-data\sample-run\selections\[Chain Ladder Selections - LDFs.xlsx]Reported Count'!M74)</f>
        <v>1</v>
      </c>
      <c r="N2" s="3">
        <f>IF(ISBLANK('C:\Users\super\Documents\actuarial\cas-rfp\spec-only\team-analyst\sample-data\sample-run\selections\[Chain Ladder Selections - LDFs.xlsx]Reported Count'!N74),IF(ISBLANK('C:\Users\super\Documents\actuarial\cas-rfp\spec-only\team-analyst\sample-data\sample-run\selections\[Chain Ladder Selections - LDFs.xlsx]Reported Count'!N68),'C:\Users\super\Documents\actuarial\cas-rfp\spec-only\team-analyst\sample-data\sample-run\selections\[Chain Ladder Selections - LDFs.xlsx]Reported Count'!N71,'C:\Users\super\Documents\actuarial\cas-rfp\spec-only\team-analyst\sample-data\sample-run\selections\[Chain Ladder Selections - LDFs.xlsx]Reported Count'!N68),'C:\Users\super\Documents\actuarial\cas-rfp\spec-only\team-analyst\sample-data\sample-run\selections\[Chain Ladder Selections - LDFs.xlsx]Reported Count'!N74)</f>
        <v>1</v>
      </c>
      <c r="O2" s="3">
        <f>IF(ISBLANK('C:\Users\super\Documents\actuarial\cas-rfp\spec-only\team-analyst\sample-data\sample-run\selections\[Chain Ladder Selections - LDFs.xlsx]Reported Count'!O74),IF(ISBLANK('C:\Users\super\Documents\actuarial\cas-rfp\spec-only\team-analyst\sample-data\sample-run\selections\[Chain Ladder Selections - LDFs.xlsx]Reported Count'!O68),'C:\Users\super\Documents\actuarial\cas-rfp\spec-only\team-analyst\sample-data\sample-run\selections\[Chain Ladder Selections - LDFs.xlsx]Reported Count'!O71,'C:\Users\super\Documents\actuarial\cas-rfp\spec-only\team-analyst\sample-data\sample-run\selections\[Chain Ladder Selections - LDFs.xlsx]Reported Count'!O68),'C:\Users\super\Documents\actuarial\cas-rfp\spec-only\team-analyst\sample-data\sample-run\selections\[Chain Ladder Selections - LDFs.xlsx]Reported Count'!O74)</f>
        <v>1</v>
      </c>
      <c r="P2" s="3">
        <f>IF(ISBLANK('C:\Users\super\Documents\actuarial\cas-rfp\spec-only\team-analyst\sample-data\sample-run\selections\[Chain Ladder Selections - LDFs.xlsx]Reported Count'!P74),IF(ISBLANK('C:\Users\super\Documents\actuarial\cas-rfp\spec-only\team-analyst\sample-data\sample-run\selections\[Chain Ladder Selections - LDFs.xlsx]Reported Count'!P68),'C:\Users\super\Documents\actuarial\cas-rfp\spec-only\team-analyst\sample-data\sample-run\selections\[Chain Ladder Selections - LDFs.xlsx]Reported Count'!P71,'C:\Users\super\Documents\actuarial\cas-rfp\spec-only\team-analyst\sample-data\sample-run\selections\[Chain Ladder Selections - LDFs.xlsx]Reported Count'!P68),'C:\Users\super\Documents\actuarial\cas-rfp\spec-only\team-analyst\sample-data\sample-run\selections\[Chain Ladder Selections - LDFs.xlsx]Reported Count'!P74)</f>
        <v>1</v>
      </c>
      <c r="Q2" s="3">
        <f>IF(ISBLANK('C:\Users\super\Documents\actuarial\cas-rfp\spec-only\team-analyst\sample-data\sample-run\selections\[Chain Ladder Selections - LDFs.xlsx]Reported Count'!Q74),IF(ISBLANK('C:\Users\super\Documents\actuarial\cas-rfp\spec-only\team-analyst\sample-data\sample-run\selections\[Chain Ladder Selections - LDFs.xlsx]Reported Count'!Q68),'C:\Users\super\Documents\actuarial\cas-rfp\spec-only\team-analyst\sample-data\sample-run\selections\[Chain Ladder Selections - LDFs.xlsx]Reported Count'!Q71,'C:\Users\super\Documents\actuarial\cas-rfp\spec-only\team-analyst\sample-data\sample-run\selections\[Chain Ladder Selections - LDFs.xlsx]Reported Count'!Q68),'C:\Users\super\Documents\actuarial\cas-rfp\spec-only\team-analyst\sample-data\sample-run\selections\[Chain Ladder Selections - LDFs.xlsx]Reported Count'!Q74)</f>
        <v>1</v>
      </c>
      <c r="R2" s="3">
        <f>IF(ISBLANK('C:\Users\super\Documents\actuarial\cas-rfp\spec-only\team-analyst\sample-data\sample-run\selections\[Chain Ladder Selections - LDFs.xlsx]Reported Count'!R74),IF(ISBLANK('C:\Users\super\Documents\actuarial\cas-rfp\spec-only\team-analyst\sample-data\sample-run\selections\[Chain Ladder Selections - LDFs.xlsx]Reported Count'!R68),'C:\Users\super\Documents\actuarial\cas-rfp\spec-only\team-analyst\sample-data\sample-run\selections\[Chain Ladder Selections - LDFs.xlsx]Reported Count'!R71,'C:\Users\super\Documents\actuarial\cas-rfp\spec-only\team-analyst\sample-data\sample-run\selections\[Chain Ladder Selections - LDFs.xlsx]Reported Count'!R68),'C:\Users\super\Documents\actuarial\cas-rfp\spec-only\team-analyst\sample-data\sample-run\selections\[Chain Ladder Selections - LDFs.xlsx]Reported Count'!R74)</f>
        <v>1</v>
      </c>
      <c r="S2" s="3">
        <f>IF(ISBLANK('C:\Users\super\Documents\actuarial\cas-rfp\spec-only\team-analyst\sample-data\sample-run\selections\[Chain Ladder Selections - LDFs.xlsx]Reported Count'!S74),IF(ISBLANK('C:\Users\super\Documents\actuarial\cas-rfp\spec-only\team-analyst\sample-data\sample-run\selections\[Chain Ladder Selections - LDFs.xlsx]Reported Count'!S68),'C:\Users\super\Documents\actuarial\cas-rfp\spec-only\team-analyst\sample-data\sample-run\selections\[Chain Ladder Selections - LDFs.xlsx]Reported Count'!S71,'C:\Users\super\Documents\actuarial\cas-rfp\spec-only\team-analyst\sample-data\sample-run\selections\[Chain Ladder Selections - LDFs.xlsx]Reported Count'!S68),'C:\Users\super\Documents\actuarial\cas-rfp\spec-only\team-analyst\sample-data\sample-run\selections\[Chain Ladder Selections - LDFs.xlsx]Reported Count'!S74)</f>
        <v>1</v>
      </c>
      <c r="T2" s="3">
        <f>IF(ISBLANK('C:\Users\super\Documents\actuarial\cas-rfp\spec-only\team-analyst\sample-data\sample-run\selections\[Chain Ladder Selections - LDFs.xlsx]Reported Count'!T74),IF(ISBLANK('C:\Users\super\Documents\actuarial\cas-rfp\spec-only\team-analyst\sample-data\sample-run\selections\[Chain Ladder Selections - LDFs.xlsx]Reported Count'!T68),'C:\Users\super\Documents\actuarial\cas-rfp\spec-only\team-analyst\sample-data\sample-run\selections\[Chain Ladder Selections - LDFs.xlsx]Reported Count'!T71,'C:\Users\super\Documents\actuarial\cas-rfp\spec-only\team-analyst\sample-data\sample-run\selections\[Chain Ladder Selections - LDFs.xlsx]Reported Count'!T68),'C:\Users\super\Documents\actuarial\cas-rfp\spec-only\team-analyst\sample-data\sample-run\selections\[Chain Ladder Selections - LDFs.xlsx]Reported Count'!T74)</f>
        <v>1</v>
      </c>
      <c r="U2" s="3">
        <f>IF(ISBLANK('C:\Users\super\Documents\actuarial\cas-rfp\spec-only\team-analyst\sample-data\sample-run\selections\[Chain Ladder Selections - LDFs.xlsx]Reported Count'!U74),IF(ISBLANK('C:\Users\super\Documents\actuarial\cas-rfp\spec-only\team-analyst\sample-data\sample-run\selections\[Chain Ladder Selections - LDFs.xlsx]Reported Count'!U68),'C:\Users\super\Documents\actuarial\cas-rfp\spec-only\team-analyst\sample-data\sample-run\selections\[Chain Ladder Selections - LDFs.xlsx]Reported Count'!U71,'C:\Users\super\Documents\actuarial\cas-rfp\spec-only\team-analyst\sample-data\sample-run\selections\[Chain Ladder Selections - LDFs.xlsx]Reported Count'!U68),'C:\Users\super\Documents\actuarial\cas-rfp\spec-only\team-analyst\sample-data\sample-run\selections\[Chain Ladder Selections - LDFs.xlsx]Reported Count'!U74)</f>
        <v>1</v>
      </c>
      <c r="V2" s="3">
        <f>IF(ISBLANK('C:\Users\super\Documents\actuarial\cas-rfp\spec-only\team-analyst\sample-data\sample-run\selections\[Chain Ladder Selections - LDFs.xlsx]Reported Count'!V74),IF(ISBLANK('C:\Users\super\Documents\actuarial\cas-rfp\spec-only\team-analyst\sample-data\sample-run\selections\[Chain Ladder Selections - LDFs.xlsx]Reported Count'!V68),'C:\Users\super\Documents\actuarial\cas-rfp\spec-only\team-analyst\sample-data\sample-run\selections\[Chain Ladder Selections - LDFs.xlsx]Reported Count'!V71,'C:\Users\super\Documents\actuarial\cas-rfp\spec-only\team-analyst\sample-data\sample-run\selections\[Chain Ladder Selections - LDFs.xlsx]Reported Count'!V68),'C:\Users\super\Documents\actuarial\cas-rfp\spec-only\team-analyst\sample-data\sample-run\selections\[Chain Ladder Selections - LDFs.xlsx]Reported Count'!V74)</f>
        <v>1</v>
      </c>
      <c r="W2" s="3">
        <f>IF(ISBLANK('C:\Users\super\Documents\actuarial\cas-rfp\spec-only\team-analyst\sample-data\sample-run\selections\[Chain Ladder Selections - LDFs.xlsx]Reported Count'!W74),IF(ISBLANK('C:\Users\super\Documents\actuarial\cas-rfp\spec-only\team-analyst\sample-data\sample-run\selections\[Chain Ladder Selections - LDFs.xlsx]Reported Count'!W68),'C:\Users\super\Documents\actuarial\cas-rfp\spec-only\team-analyst\sample-data\sample-run\selections\[Chain Ladder Selections - LDFs.xlsx]Reported Count'!W71,'C:\Users\super\Documents\actuarial\cas-rfp\spec-only\team-analyst\sample-data\sample-run\selections\[Chain Ladder Selections - LDFs.xlsx]Reported Count'!W68),'C:\Users\super\Documents\actuarial\cas-rfp\spec-only\team-analyst\sample-data\sample-run\selections\[Chain Ladder Selections - LDFs.xlsx]Reported Count'!W74)</f>
        <v>1</v>
      </c>
      <c r="X2" s="3">
        <f>IF(ISBLANK('C:\Users\super\Documents\actuarial\cas-rfp\spec-only\team-analyst\sample-data\sample-run\selections\[Chain Ladder Selections - LDFs.xlsx]Reported Count'!X74),IF(ISBLANK('C:\Users\super\Documents\actuarial\cas-rfp\spec-only\team-analyst\sample-data\sample-run\selections\[Chain Ladder Selections - LDFs.xlsx]Reported Count'!X68),'C:\Users\super\Documents\actuarial\cas-rfp\spec-only\team-analyst\sample-data\sample-run\selections\[Chain Ladder Selections - LDFs.xlsx]Reported Count'!X71,'C:\Users\super\Documents\actuarial\cas-rfp\spec-only\team-analyst\sample-data\sample-run\selections\[Chain Ladder Selections - LDFs.xlsx]Reported Count'!X68),'C:\Users\super\Documents\actuarial\cas-rfp\spec-only\team-analyst\sample-data\sample-run\selections\[Chain Ladder Selections - LDFs.xlsx]Reported Count'!X74)</f>
        <v>1</v>
      </c>
    </row>
    <row r="4" spans="1:24">
      <c r="A4" s="4" t="s">
        <v>25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</row>
    <row r="5" spans="1:24">
      <c r="A5" s="1" t="s">
        <v>26</v>
      </c>
      <c r="B5" s="1" t="s">
        <v>27</v>
      </c>
      <c r="C5" s="1" t="s">
        <v>28</v>
      </c>
      <c r="D5" s="1" t="s">
        <v>29</v>
      </c>
      <c r="E5" s="1" t="s">
        <v>30</v>
      </c>
      <c r="F5" s="1" t="s">
        <v>31</v>
      </c>
      <c r="G5" s="1" t="s">
        <v>32</v>
      </c>
      <c r="H5" s="1" t="s">
        <v>33</v>
      </c>
      <c r="I5" s="1" t="s">
        <v>34</v>
      </c>
      <c r="J5" s="1" t="s">
        <v>35</v>
      </c>
      <c r="K5" s="1" t="s">
        <v>36</v>
      </c>
      <c r="L5" s="1" t="s">
        <v>37</v>
      </c>
      <c r="M5" s="1" t="s">
        <v>38</v>
      </c>
      <c r="N5" s="1" t="s">
        <v>39</v>
      </c>
      <c r="O5" s="1" t="s">
        <v>40</v>
      </c>
    </row>
    <row r="6" spans="1:24">
      <c r="A6" s="5">
        <v>143</v>
      </c>
      <c r="B6" s="5" t="s">
        <v>47</v>
      </c>
      <c r="C6" s="3">
        <v>0</v>
      </c>
      <c r="D6" s="5">
        <v>0</v>
      </c>
      <c r="E6" s="2" t="s">
        <v>42</v>
      </c>
      <c r="G6" s="3">
        <v>1</v>
      </c>
      <c r="K6" s="5" t="s">
        <v>41</v>
      </c>
      <c r="M6" s="5" t="s">
        <v>41</v>
      </c>
    </row>
    <row r="7" spans="1:24">
      <c r="A7" s="5">
        <v>143</v>
      </c>
      <c r="B7" s="5" t="s">
        <v>47</v>
      </c>
      <c r="C7" s="3">
        <v>0</v>
      </c>
      <c r="D7" s="5">
        <v>0</v>
      </c>
      <c r="E7" s="2" t="s">
        <v>48</v>
      </c>
      <c r="G7" s="3">
        <v>1</v>
      </c>
      <c r="K7" s="5" t="s">
        <v>41</v>
      </c>
      <c r="M7" s="5" t="s">
        <v>41</v>
      </c>
    </row>
    <row r="8" spans="1:24">
      <c r="A8" s="5">
        <v>143</v>
      </c>
      <c r="B8" s="5" t="s">
        <v>47</v>
      </c>
      <c r="C8" s="3">
        <v>0</v>
      </c>
      <c r="D8" s="5">
        <v>0</v>
      </c>
      <c r="E8" s="2" t="s">
        <v>49</v>
      </c>
      <c r="G8" s="3">
        <v>1</v>
      </c>
      <c r="K8" s="5" t="s">
        <v>41</v>
      </c>
      <c r="M8" s="5" t="s">
        <v>41</v>
      </c>
    </row>
    <row r="9" spans="1:24">
      <c r="A9" s="5">
        <v>203</v>
      </c>
      <c r="B9" s="5" t="s">
        <v>47</v>
      </c>
      <c r="C9" s="3">
        <v>0</v>
      </c>
      <c r="D9" s="5">
        <v>0</v>
      </c>
      <c r="E9" s="2" t="s">
        <v>42</v>
      </c>
      <c r="G9" s="3">
        <v>1</v>
      </c>
      <c r="K9" s="5" t="s">
        <v>41</v>
      </c>
      <c r="M9" s="5" t="s">
        <v>41</v>
      </c>
    </row>
    <row r="10" spans="1:24">
      <c r="A10" s="5">
        <v>203</v>
      </c>
      <c r="B10" s="5" t="s">
        <v>47</v>
      </c>
      <c r="C10" s="3">
        <v>0</v>
      </c>
      <c r="D10" s="5">
        <v>0</v>
      </c>
      <c r="E10" s="2" t="s">
        <v>48</v>
      </c>
      <c r="G10" s="3">
        <v>1</v>
      </c>
      <c r="K10" s="5" t="s">
        <v>41</v>
      </c>
      <c r="M10" s="5" t="s">
        <v>41</v>
      </c>
    </row>
    <row r="11" spans="1:24">
      <c r="A11" s="5">
        <v>203</v>
      </c>
      <c r="B11" s="5" t="s">
        <v>47</v>
      </c>
      <c r="C11" s="3">
        <v>0</v>
      </c>
      <c r="D11" s="5">
        <v>0</v>
      </c>
      <c r="E11" s="2" t="s">
        <v>49</v>
      </c>
      <c r="G11" s="3">
        <v>1</v>
      </c>
      <c r="K11" s="5" t="s">
        <v>41</v>
      </c>
      <c r="M11" s="5" t="s">
        <v>41</v>
      </c>
    </row>
    <row r="13" spans="1:24">
      <c r="A13" s="4" t="s">
        <v>52</v>
      </c>
      <c r="B13" s="4"/>
      <c r="C13" s="4"/>
      <c r="D13" s="4"/>
      <c r="E13" s="4"/>
      <c r="F13" s="4"/>
    </row>
    <row r="14" spans="1:24">
      <c r="A14" s="1" t="s">
        <v>53</v>
      </c>
      <c r="B14" s="1" t="s">
        <v>54</v>
      </c>
      <c r="C14" s="1" t="s">
        <v>32</v>
      </c>
      <c r="D14" s="1" t="s">
        <v>30</v>
      </c>
      <c r="E14" s="1" t="s">
        <v>55</v>
      </c>
      <c r="F14" s="1" t="s">
        <v>56</v>
      </c>
    </row>
    <row r="15" spans="1:24">
      <c r="A15" s="8" t="s">
        <v>57</v>
      </c>
      <c r="B15" s="9"/>
      <c r="C15" s="9"/>
      <c r="D15" s="9"/>
      <c r="E15" s="9"/>
      <c r="F15" s="9"/>
    </row>
    <row r="16" spans="1:24">
      <c r="A16" s="10" t="s">
        <v>58</v>
      </c>
      <c r="B16" s="11"/>
      <c r="C16" s="11"/>
      <c r="D16" s="11"/>
      <c r="E16" s="11"/>
      <c r="F16" s="11"/>
    </row>
    <row r="18" spans="1:6">
      <c r="A18" s="12" t="s">
        <v>59</v>
      </c>
      <c r="B18" s="13"/>
      <c r="C18" s="13"/>
      <c r="D18" s="13"/>
      <c r="E18" s="13"/>
      <c r="F18" s="13"/>
    </row>
  </sheetData>
  <mergeCells count="2">
    <mergeCell ref="A4:O4"/>
    <mergeCell ref="A13:F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Incurred Loss</vt:lpstr>
      <vt:lpstr>Paid Loss</vt:lpstr>
      <vt:lpstr>Reported Count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2026-04-28T18:05:29Z</dcterms:created>
  <dcterms:modified xsi:type="dcterms:W3CDTF">2026-04-28T18:05:29Z</dcterms:modified>
</cp:coreProperties>
</file>