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curred Loss" sheetId="1" state="visible" r:id="rId1"/>
    <sheet xmlns:r="http://schemas.openxmlformats.org/officeDocument/2006/relationships" name="Paid Loss" sheetId="2" state="visible" r:id="rId2"/>
    <sheet xmlns:r="http://schemas.openxmlformats.org/officeDocument/2006/relationships" name="Reported Count" sheetId="3" state="visible" r:id="rId3"/>
  </sheets>
  <definedNames/>
  <calcPr calcId="124519" fullCalcOnLoad="1"/>
</workbook>
</file>

<file path=xl/styles.xml><?xml version="1.0" encoding="utf-8"?>
<styleSheet xmlns="http://schemas.openxmlformats.org/spreadsheetml/2006/main">
  <numFmts count="1">
    <numFmt numFmtId="164" formatCode="0.0000"/>
  </numFmts>
  <fonts count="7">
    <font>
      <name val="Calibri"/>
      <family val="2"/>
      <color theme="1"/>
      <sz val="11"/>
      <scheme val="minor"/>
    </font>
    <font>
      <b val="1"/>
      <color rgb="00FFFFFF"/>
      <sz val="11"/>
    </font>
    <font>
      <i val="1"/>
      <sz val="9"/>
    </font>
    <font>
      <b val="1"/>
      <sz val="9"/>
    </font>
    <font>
      <sz val="9"/>
    </font>
    <font>
      <b val="1"/>
      <sz val="10"/>
    </font>
    <font>
      <b val="1"/>
      <color rgb="00FFFFFF"/>
      <sz val="10"/>
    </font>
  </fonts>
  <fills count="10">
    <fill>
      <patternFill/>
    </fill>
    <fill>
      <patternFill patternType="gray125"/>
    </fill>
    <fill>
      <patternFill patternType="solid">
        <fgColor rgb="001F4E79"/>
      </patternFill>
    </fill>
    <fill>
      <patternFill patternType="solid">
        <fgColor rgb="00D6E4F0"/>
      </patternFill>
    </fill>
    <fill>
      <patternFill patternType="solid">
        <fgColor rgb="002E75B6"/>
      </patternFill>
    </fill>
    <fill>
      <patternFill patternType="solid">
        <fgColor rgb="00FFE699"/>
      </patternFill>
    </fill>
    <fill>
      <patternFill patternType="solid">
        <fgColor rgb="00F4B084"/>
      </patternFill>
    </fill>
    <fill>
      <patternFill patternType="solid">
        <fgColor rgb="00FFF2CC"/>
      </patternFill>
    </fill>
    <fill>
      <patternFill patternType="solid">
        <fgColor rgb="00EDE7F6"/>
      </patternFill>
    </fill>
    <fill>
      <patternFill patternType="solid">
        <fgColor rgb="00FFE6CC"/>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38">
    <xf numFmtId="0" fontId="0" fillId="0" borderId="0" pivotButton="0" quotePrefix="0" xfId="0"/>
    <xf numFmtId="0" fontId="1"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2" fillId="0" borderId="0" pivotButton="0" quotePrefix="0" xfId="0"/>
    <xf numFmtId="0" fontId="3" fillId="0" borderId="0" applyAlignment="1" pivotButton="0" quotePrefix="0" xfId="0">
      <alignment horizontal="right"/>
    </xf>
    <xf numFmtId="0" fontId="4" fillId="0" borderId="0" applyAlignment="1" pivotButton="0" quotePrefix="0" xfId="0">
      <alignment horizontal="left"/>
    </xf>
    <xf numFmtId="0" fontId="5" fillId="3" borderId="1" applyAlignment="1" pivotButton="0" quotePrefix="0" xfId="0">
      <alignment horizontal="center" vertical="center" wrapText="1"/>
    </xf>
    <xf numFmtId="0" fontId="6" fillId="4" borderId="1" applyAlignment="1" pivotButton="0" quotePrefix="0" xfId="0">
      <alignment horizontal="center"/>
    </xf>
    <xf numFmtId="0" fontId="6" fillId="4" borderId="1" applyAlignment="1" pivotButton="0" quotePrefix="0" xfId="0">
      <alignment horizontal="center" vertical="center" wrapText="1"/>
    </xf>
    <xf numFmtId="0" fontId="3" fillId="0" borderId="1" applyAlignment="1" pivotButton="0" quotePrefix="0" xfId="0">
      <alignment horizontal="left"/>
    </xf>
    <xf numFmtId="0" fontId="4" fillId="0" borderId="1" applyAlignment="1" pivotButton="0" quotePrefix="0" xfId="0">
      <alignment horizontal="right"/>
    </xf>
    <xf numFmtId="164" fontId="4" fillId="0" borderId="1" applyAlignment="1" pivotButton="0" quotePrefix="0" xfId="0">
      <alignment horizontal="right"/>
    </xf>
    <xf numFmtId="0" fontId="3" fillId="0" borderId="1" pivotButton="0" quotePrefix="0" xfId="0"/>
    <xf numFmtId="1" fontId="4" fillId="5" borderId="1" applyAlignment="1" pivotButton="0" quotePrefix="0" xfId="0">
      <alignment horizontal="right"/>
    </xf>
    <xf numFmtId="0" fontId="4" fillId="5" borderId="1" applyAlignment="1" pivotButton="0" quotePrefix="0" xfId="0">
      <alignment horizontal="left"/>
    </xf>
    <xf numFmtId="164" fontId="4" fillId="5" borderId="1" applyAlignment="1" pivotButton="0" quotePrefix="0" xfId="0">
      <alignment horizontal="right"/>
    </xf>
    <xf numFmtId="0" fontId="4" fillId="5" borderId="1" applyAlignment="1" pivotButton="0" quotePrefix="0" xfId="0">
      <alignment horizontal="right"/>
    </xf>
    <xf numFmtId="10" fontId="4" fillId="5" borderId="1" applyAlignment="1" pivotButton="0" quotePrefix="0" xfId="0">
      <alignment horizontal="right"/>
    </xf>
    <xf numFmtId="3" fontId="4" fillId="5" borderId="1" applyAlignment="1" pivotButton="0" quotePrefix="0" xfId="0">
      <alignment horizontal="right"/>
    </xf>
    <xf numFmtId="1" fontId="4" fillId="6" borderId="1" applyAlignment="1" pivotButton="0" quotePrefix="0" xfId="0">
      <alignment horizontal="right"/>
    </xf>
    <xf numFmtId="0" fontId="4" fillId="6" borderId="1" applyAlignment="1" pivotButton="0" quotePrefix="0" xfId="0">
      <alignment horizontal="left"/>
    </xf>
    <xf numFmtId="164" fontId="4" fillId="6" borderId="1" applyAlignment="1" pivotButton="0" quotePrefix="0" xfId="0">
      <alignment horizontal="right"/>
    </xf>
    <xf numFmtId="0" fontId="4" fillId="6" borderId="1" applyAlignment="1" pivotButton="0" quotePrefix="0" xfId="0">
      <alignment horizontal="right"/>
    </xf>
    <xf numFmtId="10" fontId="4" fillId="6" borderId="1" applyAlignment="1" pivotButton="0" quotePrefix="0" xfId="0">
      <alignment horizontal="right"/>
    </xf>
    <xf numFmtId="3" fontId="4" fillId="6" borderId="1" applyAlignment="1" pivotButton="0" quotePrefix="0" xfId="0">
      <alignment horizontal="right"/>
    </xf>
    <xf numFmtId="0" fontId="3" fillId="7" borderId="1" applyAlignment="1" pivotButton="0" quotePrefix="0" xfId="0">
      <alignment horizontal="center" vertical="center" wrapText="1"/>
    </xf>
    <xf numFmtId="0" fontId="0" fillId="7" borderId="1" applyAlignment="1" pivotButton="0" quotePrefix="0" xfId="0">
      <alignment horizontal="left" wrapText="1"/>
    </xf>
    <xf numFmtId="0" fontId="3" fillId="8" borderId="1" applyAlignment="1" pivotButton="0" quotePrefix="0" xfId="0">
      <alignment horizontal="center" vertical="center" wrapText="1"/>
    </xf>
    <xf numFmtId="0" fontId="0" fillId="8" borderId="1" applyAlignment="1" pivotButton="0" quotePrefix="0" xfId="0">
      <alignment horizontal="left" wrapText="1"/>
    </xf>
    <xf numFmtId="0" fontId="3" fillId="9" borderId="1" applyAlignment="1" pivotButton="0" quotePrefix="0" xfId="0">
      <alignment horizontal="center" vertical="center" wrapText="1"/>
    </xf>
    <xf numFmtId="0" fontId="0" fillId="9" borderId="1" applyAlignment="1" pivotButton="0" quotePrefix="0" xfId="0">
      <alignment horizontal="left" wrapText="1"/>
    </xf>
    <xf numFmtId="1" fontId="4" fillId="7" borderId="1" applyAlignment="1" pivotButton="0" quotePrefix="0" xfId="0">
      <alignment horizontal="right"/>
    </xf>
    <xf numFmtId="164" fontId="4" fillId="7" borderId="1" applyAlignment="1" pivotButton="0" quotePrefix="0" xfId="0">
      <alignment horizontal="right"/>
    </xf>
    <xf numFmtId="0" fontId="4" fillId="7" borderId="1" applyAlignment="1" pivotButton="0" quotePrefix="0" xfId="0">
      <alignment horizontal="left" wrapText="1"/>
    </xf>
    <xf numFmtId="1" fontId="4" fillId="8" borderId="1" applyAlignment="1" pivotButton="0" quotePrefix="0" xfId="0">
      <alignment horizontal="right"/>
    </xf>
    <xf numFmtId="164" fontId="4" fillId="8" borderId="1" applyAlignment="1" pivotButton="0" quotePrefix="0" xfId="0">
      <alignment horizontal="right"/>
    </xf>
    <xf numFmtId="0" fontId="4" fillId="8" borderId="1" applyAlignment="1" pivotButton="0" quotePrefix="0" xfId="0">
      <alignment horizontal="lef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Incurred Loss</t>
        </is>
      </c>
      <c r="B1" s="2" t="n"/>
      <c r="C1" s="2" t="n"/>
      <c r="D1" s="2" t="n"/>
      <c r="E1" s="2" t="n"/>
      <c r="F1" s="2" t="n"/>
      <c r="G1" s="2" t="n"/>
      <c r="H1" s="2" t="n"/>
      <c r="I1" s="2" t="n"/>
      <c r="J1" s="2" t="n"/>
      <c r="K1" s="2" t="n"/>
      <c r="L1" s="3" t="n"/>
    </row>
    <row r="2">
      <c r="A2" s="4" t="inlineStr">
        <is>
          <t>Incurred loss tails typically shorter than paid</t>
        </is>
      </c>
    </row>
    <row r="3">
      <c r="A3" s="5" t="inlineStr">
        <is>
          <t>Max Observed Age:</t>
        </is>
      </c>
      <c r="B3" s="6" t="inlineStr">
        <is>
          <t>287</t>
        </is>
      </c>
      <c r="D3" s="5" t="inlineStr">
        <is>
          <t>Accident Years:</t>
        </is>
      </c>
      <c r="E3" s="6" t="n">
        <v>24</v>
      </c>
      <c r="G3" s="5" t="inlineStr">
        <is>
          <t>Closure % at Last Age:</t>
        </is>
      </c>
      <c r="H3" s="6" t="inlineStr">
        <is>
          <t>N/A</t>
        </is>
      </c>
      <c r="J3" s="5" t="inlineStr">
        <is>
          <t>Last Observed Avg LDF:</t>
        </is>
      </c>
      <c r="K3" s="6" t="inlineStr">
        <is>
          <t>1.0119</t>
        </is>
      </c>
    </row>
    <row r="4"/>
    <row r="5">
      <c r="A5" s="7"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8"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11" t="n"/>
      <c r="C7" s="12" t="n">
        <v>2.7399</v>
      </c>
      <c r="D7" s="12" t="n">
        <v>1.2238</v>
      </c>
      <c r="E7" s="12" t="n">
        <v>1.1005</v>
      </c>
      <c r="F7" s="12" t="n">
        <v>1.0751</v>
      </c>
      <c r="G7" s="12" t="n">
        <v>1.0677</v>
      </c>
      <c r="H7" s="12" t="n">
        <v>0.9976</v>
      </c>
      <c r="I7" s="12" t="n">
        <v>1.0093</v>
      </c>
      <c r="J7" s="12" t="n">
        <v>1.0073</v>
      </c>
      <c r="K7" s="12" t="n">
        <v>1.0084</v>
      </c>
      <c r="L7" s="12" t="n">
        <v>1.0214</v>
      </c>
      <c r="M7" s="12" t="n">
        <v>1.0208</v>
      </c>
      <c r="N7" s="12" t="n">
        <v>0.9989</v>
      </c>
      <c r="O7" s="12" t="n">
        <v>1.0229</v>
      </c>
      <c r="P7" s="12" t="n">
        <v>1.017</v>
      </c>
      <c r="Q7" s="12" t="n">
        <v>1.0532</v>
      </c>
      <c r="R7" s="12" t="n">
        <v>1.0236</v>
      </c>
      <c r="S7" s="12" t="n">
        <v>1.0309</v>
      </c>
      <c r="T7" s="12" t="n">
        <v>1.018</v>
      </c>
      <c r="U7" s="12" t="n">
        <v>1</v>
      </c>
      <c r="V7" s="12" t="n">
        <v>1.0234</v>
      </c>
      <c r="W7" s="12" t="n">
        <v>1.0139</v>
      </c>
      <c r="X7" s="12" t="n">
        <v>1</v>
      </c>
      <c r="Y7" s="12" t="n">
        <v>1.0119</v>
      </c>
    </row>
    <row r="8">
      <c r="A8" s="10" t="inlineStr">
        <is>
          <t>2002</t>
        </is>
      </c>
      <c r="B8" s="11" t="n"/>
      <c r="C8" s="12" t="n">
        <v>1.4304</v>
      </c>
      <c r="D8" s="12" t="n">
        <v>1.0118</v>
      </c>
      <c r="E8" s="12" t="n">
        <v>1.1947</v>
      </c>
      <c r="F8" s="12" t="n">
        <v>1.0132</v>
      </c>
      <c r="G8" s="12" t="n">
        <v>1.0627</v>
      </c>
      <c r="H8" s="12" t="n">
        <v>1.019</v>
      </c>
      <c r="I8" s="12" t="n">
        <v>1.0002</v>
      </c>
      <c r="J8" s="12" t="n">
        <v>1.0219</v>
      </c>
      <c r="K8" s="12" t="n">
        <v>1.0096</v>
      </c>
      <c r="L8" s="12" t="n">
        <v>1.0103</v>
      </c>
      <c r="M8" s="12" t="n">
        <v>1.0339</v>
      </c>
      <c r="N8" s="12" t="n">
        <v>1.0013</v>
      </c>
      <c r="O8" s="12" t="n">
        <v>1.0401</v>
      </c>
      <c r="P8" s="12" t="n">
        <v>1.0264</v>
      </c>
      <c r="Q8" s="12" t="n">
        <v>1.0147</v>
      </c>
      <c r="R8" s="12" t="n">
        <v>1.0529</v>
      </c>
      <c r="S8" s="12" t="n">
        <v>1.0011</v>
      </c>
      <c r="T8" s="12" t="n">
        <v>1</v>
      </c>
      <c r="U8" s="12" t="n">
        <v>1.0424</v>
      </c>
      <c r="V8" s="12" t="n">
        <v>0.9938</v>
      </c>
      <c r="W8" s="12" t="n">
        <v>1.0359</v>
      </c>
      <c r="X8" s="12" t="n">
        <v>1</v>
      </c>
      <c r="Y8" s="11" t="n"/>
    </row>
    <row r="9">
      <c r="A9" s="10" t="inlineStr">
        <is>
          <t>2003</t>
        </is>
      </c>
      <c r="B9" s="11" t="n"/>
      <c r="C9" s="12" t="n">
        <v>1.4452</v>
      </c>
      <c r="D9" s="12" t="n">
        <v>1.0824</v>
      </c>
      <c r="E9" s="12" t="n">
        <v>1.1887</v>
      </c>
      <c r="F9" s="12" t="n">
        <v>0.9077</v>
      </c>
      <c r="G9" s="12" t="n">
        <v>1.0678</v>
      </c>
      <c r="H9" s="12" t="n">
        <v>0.9972</v>
      </c>
      <c r="I9" s="12" t="n">
        <v>0.9925</v>
      </c>
      <c r="J9" s="12" t="n">
        <v>0.9981</v>
      </c>
      <c r="K9" s="12" t="n">
        <v>1.0022</v>
      </c>
      <c r="L9" s="12" t="n">
        <v>0.9979</v>
      </c>
      <c r="M9" s="12" t="n">
        <v>0.9923</v>
      </c>
      <c r="N9" s="12" t="n">
        <v>0.9949</v>
      </c>
      <c r="O9" s="12" t="n">
        <v>1</v>
      </c>
      <c r="P9" s="12" t="n">
        <v>1</v>
      </c>
      <c r="Q9" s="12" t="n">
        <v>1</v>
      </c>
      <c r="R9" s="12" t="n">
        <v>1.0021</v>
      </c>
      <c r="S9" s="12" t="n">
        <v>1</v>
      </c>
      <c r="T9" s="12" t="n">
        <v>1</v>
      </c>
      <c r="U9" s="12" t="n">
        <v>1</v>
      </c>
      <c r="V9" s="12" t="n">
        <v>1</v>
      </c>
      <c r="W9" s="12" t="n">
        <v>1</v>
      </c>
      <c r="X9" s="11" t="n"/>
      <c r="Y9" s="11" t="n"/>
    </row>
    <row r="10">
      <c r="A10" s="10" t="inlineStr">
        <is>
          <t>2004</t>
        </is>
      </c>
      <c r="B10" s="11" t="n"/>
      <c r="C10" s="12" t="n">
        <v>1.1416</v>
      </c>
      <c r="D10" s="12" t="n">
        <v>1.1042</v>
      </c>
      <c r="E10" s="12" t="n">
        <v>1.0474</v>
      </c>
      <c r="F10" s="12" t="n">
        <v>1.1305</v>
      </c>
      <c r="G10" s="12" t="n">
        <v>1.0056</v>
      </c>
      <c r="H10" s="12" t="n">
        <v>1.0185</v>
      </c>
      <c r="I10" s="12" t="n">
        <v>1.0077</v>
      </c>
      <c r="J10" s="12" t="n">
        <v>1.0238</v>
      </c>
      <c r="K10" s="12" t="n">
        <v>0.9911</v>
      </c>
      <c r="L10" s="12" t="n">
        <v>1.0231</v>
      </c>
      <c r="M10" s="12" t="n">
        <v>0.9887</v>
      </c>
      <c r="N10" s="12" t="n">
        <v>1.0004</v>
      </c>
      <c r="O10" s="12" t="n">
        <v>1.0003</v>
      </c>
      <c r="P10" s="12" t="n">
        <v>1</v>
      </c>
      <c r="Q10" s="12" t="n">
        <v>1.0038</v>
      </c>
      <c r="R10" s="12" t="n">
        <v>1</v>
      </c>
      <c r="S10" s="12" t="n">
        <v>1</v>
      </c>
      <c r="T10" s="12" t="n">
        <v>1</v>
      </c>
      <c r="U10" s="12" t="n">
        <v>1</v>
      </c>
      <c r="V10" s="12" t="n">
        <v>1</v>
      </c>
      <c r="W10" s="11" t="n"/>
      <c r="X10" s="11" t="n"/>
      <c r="Y10" s="11" t="n"/>
    </row>
    <row r="11">
      <c r="A11" s="10" t="inlineStr">
        <is>
          <t>2005</t>
        </is>
      </c>
      <c r="B11" s="11" t="n"/>
      <c r="C11" s="12" t="n">
        <v>1.3029</v>
      </c>
      <c r="D11" s="12" t="n">
        <v>1.0929</v>
      </c>
      <c r="E11" s="12" t="n">
        <v>0.9755</v>
      </c>
      <c r="F11" s="12" t="n">
        <v>1.0372</v>
      </c>
      <c r="G11" s="12" t="n">
        <v>1.0163</v>
      </c>
      <c r="H11" s="12" t="n">
        <v>1.0204</v>
      </c>
      <c r="I11" s="12" t="n">
        <v>1.0056</v>
      </c>
      <c r="J11" s="12" t="n">
        <v>1.0129</v>
      </c>
      <c r="K11" s="12" t="n">
        <v>1.0273</v>
      </c>
      <c r="L11" s="12" t="n">
        <v>1.0117</v>
      </c>
      <c r="M11" s="12" t="n">
        <v>1.1194</v>
      </c>
      <c r="N11" s="12" t="n">
        <v>1</v>
      </c>
      <c r="O11" s="12" t="n">
        <v>0.9816</v>
      </c>
      <c r="P11" s="12" t="n">
        <v>1.01</v>
      </c>
      <c r="Q11" s="12" t="n">
        <v>1.007</v>
      </c>
      <c r="R11" s="12" t="n">
        <v>1.0151</v>
      </c>
      <c r="S11" s="12" t="n">
        <v>1</v>
      </c>
      <c r="T11" s="12" t="n">
        <v>1</v>
      </c>
      <c r="U11" s="12" t="n">
        <v>1</v>
      </c>
      <c r="V11" s="11" t="n"/>
      <c r="W11" s="11" t="n"/>
      <c r="X11" s="11" t="n"/>
      <c r="Y11" s="11" t="n"/>
    </row>
    <row r="12">
      <c r="A12" s="10" t="inlineStr">
        <is>
          <t>2006</t>
        </is>
      </c>
      <c r="B12" s="11" t="n"/>
      <c r="C12" s="12" t="n">
        <v>1.5119</v>
      </c>
      <c r="D12" s="12" t="n">
        <v>0.8692</v>
      </c>
      <c r="E12" s="12" t="n">
        <v>1.0694</v>
      </c>
      <c r="F12" s="12" t="n">
        <v>1.009</v>
      </c>
      <c r="G12" s="12" t="n">
        <v>1.0504</v>
      </c>
      <c r="H12" s="12" t="n">
        <v>1.0441</v>
      </c>
      <c r="I12" s="12" t="n">
        <v>0.9816</v>
      </c>
      <c r="J12" s="12" t="n">
        <v>1.026</v>
      </c>
      <c r="K12" s="12" t="n">
        <v>1.0371</v>
      </c>
      <c r="L12" s="12" t="n">
        <v>1.0832</v>
      </c>
      <c r="M12" s="12" t="n">
        <v>1.0601</v>
      </c>
      <c r="N12" s="12" t="n">
        <v>1.0275</v>
      </c>
      <c r="O12" s="12" t="n">
        <v>1.0108</v>
      </c>
      <c r="P12" s="12" t="n">
        <v>1.0006</v>
      </c>
      <c r="Q12" s="12" t="n">
        <v>1.0116</v>
      </c>
      <c r="R12" s="12" t="n">
        <v>1.0031</v>
      </c>
      <c r="S12" s="12" t="n">
        <v>1.0073</v>
      </c>
      <c r="T12" s="12" t="n">
        <v>1</v>
      </c>
      <c r="U12" s="11" t="n"/>
      <c r="V12" s="11" t="n"/>
      <c r="W12" s="11" t="n"/>
      <c r="X12" s="11" t="n"/>
      <c r="Y12" s="11" t="n"/>
    </row>
    <row r="13">
      <c r="A13" s="10" t="inlineStr">
        <is>
          <t>2007</t>
        </is>
      </c>
      <c r="B13" s="11" t="n"/>
      <c r="C13" s="12" t="n">
        <v>1.0888</v>
      </c>
      <c r="D13" s="12" t="n">
        <v>1.0891</v>
      </c>
      <c r="E13" s="12" t="n">
        <v>1.1204</v>
      </c>
      <c r="F13" s="12" t="n">
        <v>1.1147</v>
      </c>
      <c r="G13" s="12" t="n">
        <v>1.1938</v>
      </c>
      <c r="H13" s="12" t="n">
        <v>1.0636</v>
      </c>
      <c r="I13" s="12" t="n">
        <v>1.1095</v>
      </c>
      <c r="J13" s="12" t="n">
        <v>1.0716</v>
      </c>
      <c r="K13" s="12" t="n">
        <v>1.1016</v>
      </c>
      <c r="L13" s="12" t="n">
        <v>1.0307</v>
      </c>
      <c r="M13" s="12" t="n">
        <v>1.0289</v>
      </c>
      <c r="N13" s="12" t="n">
        <v>1.0161</v>
      </c>
      <c r="O13" s="12" t="n">
        <v>1.0009</v>
      </c>
      <c r="P13" s="12" t="n">
        <v>1.0436</v>
      </c>
      <c r="Q13" s="12" t="n">
        <v>1</v>
      </c>
      <c r="R13" s="12" t="n">
        <v>1.0036</v>
      </c>
      <c r="S13" s="12" t="n">
        <v>1.0025</v>
      </c>
      <c r="T13" s="11" t="n"/>
      <c r="U13" s="11" t="n"/>
      <c r="V13" s="11" t="n"/>
      <c r="W13" s="11" t="n"/>
      <c r="X13" s="11" t="n"/>
      <c r="Y13" s="11" t="n"/>
    </row>
    <row r="14">
      <c r="A14" s="10" t="inlineStr">
        <is>
          <t>2008</t>
        </is>
      </c>
      <c r="B14" s="11" t="n"/>
      <c r="C14" s="12" t="n">
        <v>1.3857</v>
      </c>
      <c r="D14" s="12" t="n">
        <v>1.2105</v>
      </c>
      <c r="E14" s="12" t="n">
        <v>1.391</v>
      </c>
      <c r="F14" s="12" t="n">
        <v>0.9693000000000001</v>
      </c>
      <c r="G14" s="12" t="n">
        <v>1.0168</v>
      </c>
      <c r="H14" s="12" t="n">
        <v>1.0054</v>
      </c>
      <c r="I14" s="12" t="n">
        <v>1.0132</v>
      </c>
      <c r="J14" s="12" t="n">
        <v>1.0057</v>
      </c>
      <c r="K14" s="12" t="n">
        <v>1.0347</v>
      </c>
      <c r="L14" s="12" t="n">
        <v>1.0049</v>
      </c>
      <c r="M14" s="12" t="n">
        <v>1.0002</v>
      </c>
      <c r="N14" s="12" t="n">
        <v>0.9854000000000001</v>
      </c>
      <c r="O14" s="12" t="n">
        <v>1.0002</v>
      </c>
      <c r="P14" s="12" t="n">
        <v>1</v>
      </c>
      <c r="Q14" s="12" t="n">
        <v>1.0049</v>
      </c>
      <c r="R14" s="12" t="n">
        <v>1.021</v>
      </c>
      <c r="S14" s="11" t="n"/>
      <c r="T14" s="11" t="n"/>
      <c r="U14" s="11" t="n"/>
      <c r="V14" s="11" t="n"/>
      <c r="W14" s="11" t="n"/>
      <c r="X14" s="11" t="n"/>
      <c r="Y14" s="11" t="n"/>
    </row>
    <row r="15">
      <c r="A15" s="10" t="inlineStr">
        <is>
          <t>2009</t>
        </is>
      </c>
      <c r="B15" s="11" t="n"/>
      <c r="C15" s="12" t="n">
        <v>2.4408</v>
      </c>
      <c r="D15" s="12" t="n">
        <v>0.9424</v>
      </c>
      <c r="E15" s="12" t="n">
        <v>1.0249</v>
      </c>
      <c r="F15" s="12" t="n">
        <v>1.0665</v>
      </c>
      <c r="G15" s="12" t="n">
        <v>1.0513</v>
      </c>
      <c r="H15" s="12" t="n">
        <v>1.0364</v>
      </c>
      <c r="I15" s="12" t="n">
        <v>1.1441</v>
      </c>
      <c r="J15" s="12" t="n">
        <v>1</v>
      </c>
      <c r="K15" s="12" t="n">
        <v>1</v>
      </c>
      <c r="L15" s="12" t="n">
        <v>1</v>
      </c>
      <c r="M15" s="12" t="n">
        <v>1.0135</v>
      </c>
      <c r="N15" s="12" t="n">
        <v>1.03</v>
      </c>
      <c r="O15" s="12" t="n">
        <v>1</v>
      </c>
      <c r="P15" s="12" t="n">
        <v>1</v>
      </c>
      <c r="Q15" s="12" t="n">
        <v>1</v>
      </c>
      <c r="R15" s="11" t="n"/>
      <c r="S15" s="11" t="n"/>
      <c r="T15" s="11" t="n"/>
      <c r="U15" s="11" t="n"/>
      <c r="V15" s="11" t="n"/>
      <c r="W15" s="11" t="n"/>
      <c r="X15" s="11" t="n"/>
      <c r="Y15" s="11" t="n"/>
    </row>
    <row r="16">
      <c r="A16" s="10" t="inlineStr">
        <is>
          <t>2010</t>
        </is>
      </c>
      <c r="B16" s="11" t="n"/>
      <c r="C16" s="12" t="n">
        <v>2.0292</v>
      </c>
      <c r="D16" s="12" t="n">
        <v>1.3021</v>
      </c>
      <c r="E16" s="12" t="n">
        <v>1.1619</v>
      </c>
      <c r="F16" s="12" t="n">
        <v>1.1184</v>
      </c>
      <c r="G16" s="12" t="n">
        <v>0.9893</v>
      </c>
      <c r="H16" s="12" t="n">
        <v>1.0396</v>
      </c>
      <c r="I16" s="12" t="n">
        <v>1.0012</v>
      </c>
      <c r="J16" s="12" t="n">
        <v>0.9953</v>
      </c>
      <c r="K16" s="12" t="n">
        <v>1.0006</v>
      </c>
      <c r="L16" s="12" t="n">
        <v>1.0008</v>
      </c>
      <c r="M16" s="12" t="n">
        <v>1.0001</v>
      </c>
      <c r="N16" s="12" t="n">
        <v>1.0013</v>
      </c>
      <c r="O16" s="12" t="n">
        <v>0.9998</v>
      </c>
      <c r="P16" s="12" t="n">
        <v>1.006</v>
      </c>
      <c r="Q16" s="11" t="n"/>
      <c r="R16" s="11" t="n"/>
      <c r="S16" s="11" t="n"/>
      <c r="T16" s="11" t="n"/>
      <c r="U16" s="11" t="n"/>
      <c r="V16" s="11" t="n"/>
      <c r="W16" s="11" t="n"/>
      <c r="X16" s="11" t="n"/>
      <c r="Y16" s="11" t="n"/>
    </row>
    <row r="17">
      <c r="A17" s="10" t="inlineStr">
        <is>
          <t>2011</t>
        </is>
      </c>
      <c r="B17" s="11" t="n"/>
      <c r="C17" s="12" t="n">
        <v>1.9534</v>
      </c>
      <c r="D17" s="12" t="n">
        <v>1.4748</v>
      </c>
      <c r="E17" s="12" t="n">
        <v>1.1547</v>
      </c>
      <c r="F17" s="12" t="n">
        <v>1.067</v>
      </c>
      <c r="G17" s="12" t="n">
        <v>1.08</v>
      </c>
      <c r="H17" s="12" t="n">
        <v>1.0553</v>
      </c>
      <c r="I17" s="12" t="n">
        <v>1.0001</v>
      </c>
      <c r="J17" s="12" t="n">
        <v>1.0138</v>
      </c>
      <c r="K17" s="12" t="n">
        <v>1.0038</v>
      </c>
      <c r="L17" s="12" t="n">
        <v>1.0282</v>
      </c>
      <c r="M17" s="12" t="n">
        <v>0.9969</v>
      </c>
      <c r="N17" s="12" t="n">
        <v>1</v>
      </c>
      <c r="O17" s="12" t="n">
        <v>1</v>
      </c>
      <c r="P17" s="11" t="n"/>
      <c r="Q17" s="11" t="n"/>
      <c r="R17" s="11" t="n"/>
      <c r="S17" s="11" t="n"/>
      <c r="T17" s="11" t="n"/>
      <c r="U17" s="11" t="n"/>
      <c r="V17" s="11" t="n"/>
      <c r="W17" s="11" t="n"/>
      <c r="X17" s="11" t="n"/>
      <c r="Y17" s="11" t="n"/>
    </row>
    <row r="18">
      <c r="A18" s="10" t="inlineStr">
        <is>
          <t>2012</t>
        </is>
      </c>
      <c r="B18" s="11" t="n"/>
      <c r="C18" s="12" t="n">
        <v>2.0319</v>
      </c>
      <c r="D18" s="12" t="n">
        <v>1.307</v>
      </c>
      <c r="E18" s="12" t="n">
        <v>1.0868</v>
      </c>
      <c r="F18" s="12" t="n">
        <v>0.9969</v>
      </c>
      <c r="G18" s="12" t="n">
        <v>1.0088</v>
      </c>
      <c r="H18" s="12" t="n">
        <v>1.004</v>
      </c>
      <c r="I18" s="12" t="n">
        <v>1.0516</v>
      </c>
      <c r="J18" s="12" t="n">
        <v>1.0559</v>
      </c>
      <c r="K18" s="12" t="n">
        <v>1.0565</v>
      </c>
      <c r="L18" s="12" t="n">
        <v>1.0075</v>
      </c>
      <c r="M18" s="12" t="n">
        <v>1.179</v>
      </c>
      <c r="N18" s="12" t="n">
        <v>1</v>
      </c>
      <c r="O18" s="11" t="n"/>
      <c r="P18" s="11" t="n"/>
      <c r="Q18" s="11" t="n"/>
      <c r="R18" s="11" t="n"/>
      <c r="S18" s="11" t="n"/>
      <c r="T18" s="11" t="n"/>
      <c r="U18" s="11" t="n"/>
      <c r="V18" s="11" t="n"/>
      <c r="W18" s="11" t="n"/>
      <c r="X18" s="11" t="n"/>
      <c r="Y18" s="11" t="n"/>
    </row>
    <row r="19">
      <c r="A19" s="10" t="inlineStr">
        <is>
          <t>2013</t>
        </is>
      </c>
      <c r="B19" s="11" t="n"/>
      <c r="C19" s="12" t="n">
        <v>1.8261</v>
      </c>
      <c r="D19" s="12" t="n">
        <v>1.0872</v>
      </c>
      <c r="E19" s="12" t="n">
        <v>1.2056</v>
      </c>
      <c r="F19" s="12" t="n">
        <v>1.0608</v>
      </c>
      <c r="G19" s="12" t="n">
        <v>0.9974</v>
      </c>
      <c r="H19" s="12" t="n">
        <v>1.0005</v>
      </c>
      <c r="I19" s="12" t="n">
        <v>1</v>
      </c>
      <c r="J19" s="12" t="n">
        <v>1.0019</v>
      </c>
      <c r="K19" s="12" t="n">
        <v>1</v>
      </c>
      <c r="L19" s="12" t="n">
        <v>1</v>
      </c>
      <c r="M19" s="12" t="n">
        <v>1</v>
      </c>
      <c r="N19" s="11" t="n"/>
      <c r="O19" s="11" t="n"/>
      <c r="P19" s="11" t="n"/>
      <c r="Q19" s="11" t="n"/>
      <c r="R19" s="11" t="n"/>
      <c r="S19" s="11" t="n"/>
      <c r="T19" s="11" t="n"/>
      <c r="U19" s="11" t="n"/>
      <c r="V19" s="11" t="n"/>
      <c r="W19" s="11" t="n"/>
      <c r="X19" s="11" t="n"/>
      <c r="Y19" s="11" t="n"/>
    </row>
    <row r="20">
      <c r="A20" s="10" t="inlineStr">
        <is>
          <t>2014</t>
        </is>
      </c>
      <c r="B20" s="11" t="n"/>
      <c r="C20" s="12" t="n">
        <v>1.3662</v>
      </c>
      <c r="D20" s="12" t="n">
        <v>1.4116</v>
      </c>
      <c r="E20" s="12" t="n">
        <v>1.1563</v>
      </c>
      <c r="F20" s="12" t="n">
        <v>1.0143</v>
      </c>
      <c r="G20" s="12" t="n">
        <v>1.0345</v>
      </c>
      <c r="H20" s="12" t="n">
        <v>0.9714</v>
      </c>
      <c r="I20" s="12" t="n">
        <v>1</v>
      </c>
      <c r="J20" s="12" t="n">
        <v>1.0411</v>
      </c>
      <c r="K20" s="12" t="n">
        <v>1.0206</v>
      </c>
      <c r="L20" s="12" t="n">
        <v>0.9931</v>
      </c>
      <c r="M20" s="11" t="n"/>
      <c r="N20" s="11" t="n"/>
      <c r="O20" s="11" t="n"/>
      <c r="P20" s="11" t="n"/>
      <c r="Q20" s="11" t="n"/>
      <c r="R20" s="11" t="n"/>
      <c r="S20" s="11" t="n"/>
      <c r="T20" s="11" t="n"/>
      <c r="U20" s="11" t="n"/>
      <c r="V20" s="11" t="n"/>
      <c r="W20" s="11" t="n"/>
      <c r="X20" s="11" t="n"/>
      <c r="Y20" s="11" t="n"/>
    </row>
    <row r="21">
      <c r="A21" s="10" t="inlineStr">
        <is>
          <t>2015</t>
        </is>
      </c>
      <c r="B21" s="11" t="n"/>
      <c r="C21" s="12" t="n">
        <v>1.9857</v>
      </c>
      <c r="D21" s="12" t="n">
        <v>1.5027</v>
      </c>
      <c r="E21" s="12" t="n">
        <v>1.3285</v>
      </c>
      <c r="F21" s="12" t="n">
        <v>1.1059</v>
      </c>
      <c r="G21" s="12" t="n">
        <v>1.1362</v>
      </c>
      <c r="H21" s="12" t="n">
        <v>1.1399</v>
      </c>
      <c r="I21" s="12" t="n">
        <v>1.0068</v>
      </c>
      <c r="J21" s="12" t="n">
        <v>1.0033</v>
      </c>
      <c r="K21" s="12" t="n">
        <v>1.0962</v>
      </c>
      <c r="L21" s="11" t="n"/>
      <c r="M21" s="11" t="n"/>
      <c r="N21" s="11" t="n"/>
      <c r="O21" s="11" t="n"/>
      <c r="P21" s="11" t="n"/>
      <c r="Q21" s="11" t="n"/>
      <c r="R21" s="11" t="n"/>
      <c r="S21" s="11" t="n"/>
      <c r="T21" s="11" t="n"/>
      <c r="U21" s="11" t="n"/>
      <c r="V21" s="11" t="n"/>
      <c r="W21" s="11" t="n"/>
      <c r="X21" s="11" t="n"/>
      <c r="Y21" s="11" t="n"/>
    </row>
    <row r="22">
      <c r="A22" s="10" t="inlineStr">
        <is>
          <t>2016</t>
        </is>
      </c>
      <c r="B22" s="11" t="n"/>
      <c r="C22" s="12" t="n">
        <v>1.8697</v>
      </c>
      <c r="D22" s="12" t="n">
        <v>1.348</v>
      </c>
      <c r="E22" s="12" t="n">
        <v>1.087</v>
      </c>
      <c r="F22" s="12" t="n">
        <v>1.1423</v>
      </c>
      <c r="G22" s="12" t="n">
        <v>1.0316</v>
      </c>
      <c r="H22" s="12" t="n">
        <v>1.1275</v>
      </c>
      <c r="I22" s="12" t="n">
        <v>0.9998</v>
      </c>
      <c r="J22" s="12" t="n">
        <v>1.0013</v>
      </c>
      <c r="K22" s="11" t="n"/>
      <c r="L22" s="11" t="n"/>
      <c r="M22" s="11" t="n"/>
      <c r="N22" s="11" t="n"/>
      <c r="O22" s="11" t="n"/>
      <c r="P22" s="11" t="n"/>
      <c r="Q22" s="11" t="n"/>
      <c r="R22" s="11" t="n"/>
      <c r="S22" s="11" t="n"/>
      <c r="T22" s="11" t="n"/>
      <c r="U22" s="11" t="n"/>
      <c r="V22" s="11" t="n"/>
      <c r="W22" s="11" t="n"/>
      <c r="X22" s="11" t="n"/>
      <c r="Y22" s="11" t="n"/>
    </row>
    <row r="23">
      <c r="A23" s="10" t="inlineStr">
        <is>
          <t>2017</t>
        </is>
      </c>
      <c r="B23" s="11" t="n"/>
      <c r="C23" s="12" t="n">
        <v>1.3328</v>
      </c>
      <c r="D23" s="12" t="n">
        <v>1.0344</v>
      </c>
      <c r="E23" s="12" t="n">
        <v>1.3094</v>
      </c>
      <c r="F23" s="12" t="n">
        <v>1.0751</v>
      </c>
      <c r="G23" s="12" t="n">
        <v>1.1327</v>
      </c>
      <c r="H23" s="12" t="n">
        <v>1.1527</v>
      </c>
      <c r="I23" s="12" t="n">
        <v>1.0315</v>
      </c>
      <c r="J23" s="11" t="n"/>
      <c r="K23" s="11" t="n"/>
      <c r="L23" s="11" t="n"/>
      <c r="M23" s="11" t="n"/>
      <c r="N23" s="11" t="n"/>
      <c r="O23" s="11" t="n"/>
      <c r="P23" s="11" t="n"/>
      <c r="Q23" s="11" t="n"/>
      <c r="R23" s="11" t="n"/>
      <c r="S23" s="11" t="n"/>
      <c r="T23" s="11" t="n"/>
      <c r="U23" s="11" t="n"/>
      <c r="V23" s="11" t="n"/>
      <c r="W23" s="11" t="n"/>
      <c r="X23" s="11" t="n"/>
      <c r="Y23" s="11" t="n"/>
    </row>
    <row r="24">
      <c r="A24" s="10" t="inlineStr">
        <is>
          <t>2018</t>
        </is>
      </c>
      <c r="B24" s="11" t="n"/>
      <c r="C24" s="12" t="n">
        <v>2.2994</v>
      </c>
      <c r="D24" s="12" t="n">
        <v>1.4287</v>
      </c>
      <c r="E24" s="12" t="n">
        <v>1.3883</v>
      </c>
      <c r="F24" s="12" t="n">
        <v>0.9943</v>
      </c>
      <c r="G24" s="12" t="n">
        <v>1.0131</v>
      </c>
      <c r="H24" s="12" t="n">
        <v>1.0265</v>
      </c>
      <c r="I24" s="11" t="n"/>
      <c r="J24" s="11" t="n"/>
      <c r="K24" s="11" t="n"/>
      <c r="L24" s="11" t="n"/>
      <c r="M24" s="11" t="n"/>
      <c r="N24" s="11" t="n"/>
      <c r="O24" s="11" t="n"/>
      <c r="P24" s="11" t="n"/>
      <c r="Q24" s="11" t="n"/>
      <c r="R24" s="11" t="n"/>
      <c r="S24" s="11" t="n"/>
      <c r="T24" s="11" t="n"/>
      <c r="U24" s="11" t="n"/>
      <c r="V24" s="11" t="n"/>
      <c r="W24" s="11" t="n"/>
      <c r="X24" s="11" t="n"/>
      <c r="Y24" s="11" t="n"/>
    </row>
    <row r="25">
      <c r="A25" s="10" t="inlineStr">
        <is>
          <t>2019</t>
        </is>
      </c>
      <c r="B25" s="11" t="n"/>
      <c r="C25" s="12" t="n">
        <v>2.757</v>
      </c>
      <c r="D25" s="12" t="n">
        <v>1.5473</v>
      </c>
      <c r="E25" s="12" t="n">
        <v>1.1497</v>
      </c>
      <c r="F25" s="12" t="n">
        <v>1.0634</v>
      </c>
      <c r="G25" s="12" t="n">
        <v>1.2221</v>
      </c>
      <c r="H25" s="11" t="n"/>
      <c r="I25" s="11" t="n"/>
      <c r="J25" s="11" t="n"/>
      <c r="K25" s="11" t="n"/>
      <c r="L25" s="11" t="n"/>
      <c r="M25" s="11" t="n"/>
      <c r="N25" s="11" t="n"/>
      <c r="O25" s="11" t="n"/>
      <c r="P25" s="11" t="n"/>
      <c r="Q25" s="11" t="n"/>
      <c r="R25" s="11" t="n"/>
      <c r="S25" s="11" t="n"/>
      <c r="T25" s="11" t="n"/>
      <c r="U25" s="11" t="n"/>
      <c r="V25" s="11" t="n"/>
      <c r="W25" s="11" t="n"/>
      <c r="X25" s="11" t="n"/>
      <c r="Y25" s="11" t="n"/>
    </row>
    <row r="26">
      <c r="A26" s="10" t="inlineStr">
        <is>
          <t>2020</t>
        </is>
      </c>
      <c r="B26" s="11" t="n"/>
      <c r="C26" s="12" t="n">
        <v>1.7849</v>
      </c>
      <c r="D26" s="12" t="n">
        <v>0.9832</v>
      </c>
      <c r="E26" s="12" t="n">
        <v>1.058</v>
      </c>
      <c r="F26" s="12" t="n">
        <v>1.0097</v>
      </c>
      <c r="G26" s="11" t="n"/>
      <c r="H26" s="11" t="n"/>
      <c r="I26" s="11" t="n"/>
      <c r="J26" s="11" t="n"/>
      <c r="K26" s="11" t="n"/>
      <c r="L26" s="11" t="n"/>
      <c r="M26" s="11" t="n"/>
      <c r="N26" s="11" t="n"/>
      <c r="O26" s="11" t="n"/>
      <c r="P26" s="11" t="n"/>
      <c r="Q26" s="11" t="n"/>
      <c r="R26" s="11" t="n"/>
      <c r="S26" s="11" t="n"/>
      <c r="T26" s="11" t="n"/>
      <c r="U26" s="11" t="n"/>
      <c r="V26" s="11" t="n"/>
      <c r="W26" s="11" t="n"/>
      <c r="X26" s="11" t="n"/>
      <c r="Y26" s="11" t="n"/>
    </row>
    <row r="27">
      <c r="A27" s="10" t="inlineStr">
        <is>
          <t>2021</t>
        </is>
      </c>
      <c r="B27" s="11" t="n"/>
      <c r="C27" s="12" t="n">
        <v>1.4577</v>
      </c>
      <c r="D27" s="12" t="n">
        <v>1.224</v>
      </c>
      <c r="E27" s="12" t="n">
        <v>1.0316</v>
      </c>
      <c r="F27" s="11" t="n"/>
      <c r="G27" s="11" t="n"/>
      <c r="H27" s="11" t="n"/>
      <c r="I27" s="11" t="n"/>
      <c r="J27" s="11" t="n"/>
      <c r="K27" s="11" t="n"/>
      <c r="L27" s="11" t="n"/>
      <c r="M27" s="11" t="n"/>
      <c r="N27" s="11" t="n"/>
      <c r="O27" s="11" t="n"/>
      <c r="P27" s="11" t="n"/>
      <c r="Q27" s="11" t="n"/>
      <c r="R27" s="11" t="n"/>
      <c r="S27" s="11" t="n"/>
      <c r="T27" s="11" t="n"/>
      <c r="U27" s="11" t="n"/>
      <c r="V27" s="11" t="n"/>
      <c r="W27" s="11" t="n"/>
      <c r="X27" s="11" t="n"/>
      <c r="Y27" s="11" t="n"/>
    </row>
    <row r="28">
      <c r="A28" s="10" t="inlineStr">
        <is>
          <t>2022</t>
        </is>
      </c>
      <c r="B28" s="11" t="n"/>
      <c r="C28" s="12" t="n">
        <v>1.2261</v>
      </c>
      <c r="D28" s="12" t="n">
        <v>0.9715</v>
      </c>
      <c r="E28" s="11" t="n"/>
      <c r="F28" s="11" t="n"/>
      <c r="G28" s="11" t="n"/>
      <c r="H28" s="11" t="n"/>
      <c r="I28" s="11" t="n"/>
      <c r="J28" s="11" t="n"/>
      <c r="K28" s="11" t="n"/>
      <c r="L28" s="11" t="n"/>
      <c r="M28" s="11" t="n"/>
      <c r="N28" s="11" t="n"/>
      <c r="O28" s="11" t="n"/>
      <c r="P28" s="11" t="n"/>
      <c r="Q28" s="11" t="n"/>
      <c r="R28" s="11" t="n"/>
      <c r="S28" s="11" t="n"/>
      <c r="T28" s="11" t="n"/>
      <c r="U28" s="11" t="n"/>
      <c r="V28" s="11" t="n"/>
      <c r="W28" s="11" t="n"/>
      <c r="X28" s="11" t="n"/>
      <c r="Y28" s="11" t="n"/>
    </row>
    <row r="29">
      <c r="A29" s="10" t="inlineStr">
        <is>
          <t>2023</t>
        </is>
      </c>
      <c r="B29" s="11" t="n"/>
      <c r="C29" s="12" t="n">
        <v>1.6941</v>
      </c>
      <c r="D29" s="11" t="n"/>
      <c r="E29" s="11" t="n"/>
      <c r="F29" s="11" t="n"/>
      <c r="G29" s="11" t="n"/>
      <c r="H29" s="11" t="n"/>
      <c r="I29" s="11" t="n"/>
      <c r="J29" s="11" t="n"/>
      <c r="K29" s="11" t="n"/>
      <c r="L29" s="11" t="n"/>
      <c r="M29" s="11" t="n"/>
      <c r="N29" s="11" t="n"/>
      <c r="O29" s="11" t="n"/>
      <c r="P29" s="11" t="n"/>
      <c r="Q29" s="11" t="n"/>
      <c r="R29" s="11" t="n"/>
      <c r="S29" s="11" t="n"/>
      <c r="T29" s="11" t="n"/>
      <c r="U29" s="11" t="n"/>
      <c r="V29" s="11" t="n"/>
      <c r="W29" s="11" t="n"/>
      <c r="X29" s="11" t="n"/>
      <c r="Y29" s="11" t="n"/>
    </row>
    <row r="30">
      <c r="A30" s="10" t="inlineStr">
        <is>
          <t>2024</t>
        </is>
      </c>
      <c r="B30" s="11" t="n"/>
      <c r="C30" s="11" t="n"/>
      <c r="D30" s="11" t="n"/>
      <c r="E30" s="11" t="n"/>
      <c r="F30" s="11" t="n"/>
      <c r="G30" s="11" t="n"/>
      <c r="H30" s="11" t="n"/>
      <c r="I30" s="11" t="n"/>
      <c r="J30" s="11" t="n"/>
      <c r="K30" s="11" t="n"/>
      <c r="L30" s="11" t="n"/>
      <c r="M30" s="11" t="n"/>
      <c r="N30" s="11" t="n"/>
      <c r="O30" s="11" t="n"/>
      <c r="P30" s="11" t="n"/>
      <c r="Q30" s="11" t="n"/>
      <c r="R30" s="11" t="n"/>
      <c r="S30" s="11" t="n"/>
      <c r="T30" s="11" t="n"/>
      <c r="U30" s="11" t="n"/>
      <c r="V30" s="11" t="n"/>
      <c r="W30" s="11" t="n"/>
      <c r="X30" s="11" t="n"/>
      <c r="Y30" s="11" t="n"/>
    </row>
    <row r="31">
      <c r="A31" s="13"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3"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7"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14" t="n">
        <v>143</v>
      </c>
      <c r="B36" s="15" t="inlineStr">
        <is>
          <t>N</t>
        </is>
      </c>
      <c r="C36" s="16" t="n">
        <v>0.01308143486613297</v>
      </c>
      <c r="D36" s="17" t="n">
        <v>9</v>
      </c>
      <c r="E36" s="15" t="inlineStr">
        <is>
          <t>bondy</t>
        </is>
      </c>
      <c r="F36" s="15" t="inlineStr"/>
      <c r="G36" s="16" t="n">
        <v>1.0119</v>
      </c>
      <c r="H36" s="16" t="n"/>
      <c r="I36" s="16" t="n"/>
      <c r="J36" s="16" t="n"/>
      <c r="K36" s="15" t="inlineStr">
        <is>
          <t>N</t>
        </is>
      </c>
      <c r="L36" s="18" t="n">
        <v>0.4240093208357876</v>
      </c>
      <c r="M36" s="15" t="inlineStr">
        <is>
          <t>N</t>
        </is>
      </c>
      <c r="N36" s="19" t="n">
        <v>1041661.099526353</v>
      </c>
      <c r="O36" s="19" t="n">
        <v>1909712.015798315</v>
      </c>
    </row>
    <row r="37">
      <c r="A37" s="20" t="n">
        <v>143</v>
      </c>
      <c r="B37" s="21" t="inlineStr">
        <is>
          <t>N</t>
        </is>
      </c>
      <c r="C37" s="22" t="n">
        <v>0.01308143486613297</v>
      </c>
      <c r="D37" s="23" t="n">
        <v>9</v>
      </c>
      <c r="E37" s="21" t="inlineStr">
        <is>
          <t>double_exp</t>
        </is>
      </c>
      <c r="F37" s="21" t="inlineStr">
        <is>
          <t>[-6.2915378809679625, 0.2512961708153015, -0.008152804041595324]</t>
        </is>
      </c>
      <c r="G37" s="22" t="n">
        <v>1.174282904895371</v>
      </c>
      <c r="H37" s="22" t="n">
        <v>0.322764553202301</v>
      </c>
      <c r="I37" s="22" t="n">
        <v>0.02925309604738597</v>
      </c>
      <c r="J37" s="22" t="n">
        <v>0.001448090260965058</v>
      </c>
      <c r="K37" s="21" t="inlineStr">
        <is>
          <t>N</t>
        </is>
      </c>
      <c r="L37" s="24" t="n">
        <v>5.099882875905457</v>
      </c>
      <c r="M37" s="21" t="inlineStr">
        <is>
          <t>N</t>
        </is>
      </c>
      <c r="N37" s="25" t="n">
        <v>897617.484012194</v>
      </c>
      <c r="O37" s="25" t="n">
        <v>1645632.054022357</v>
      </c>
    </row>
    <row r="38">
      <c r="A38" s="20" t="n">
        <v>143</v>
      </c>
      <c r="B38" s="21" t="inlineStr">
        <is>
          <t>N</t>
        </is>
      </c>
      <c r="C38" s="22" t="n">
        <v>0.01308143486613297</v>
      </c>
      <c r="D38" s="23" t="n">
        <v>9</v>
      </c>
      <c r="E38" s="21" t="inlineStr">
        <is>
          <t>mcclenahan</t>
        </is>
      </c>
      <c r="F38" s="21" t="inlineStr">
        <is>
          <t>{"r": 0.2438881}</t>
        </is>
      </c>
      <c r="G38" s="22" t="n">
        <v>1.000000000000008</v>
      </c>
      <c r="H38" s="22" t="n"/>
      <c r="I38" s="22" t="n"/>
      <c r="J38" s="22" t="n"/>
      <c r="K38" s="21" t="inlineStr">
        <is>
          <t>N</t>
        </is>
      </c>
      <c r="L38" s="24" t="n">
        <v>2.974769717365426e-13</v>
      </c>
      <c r="M38" s="21" t="inlineStr">
        <is>
          <t>Y</t>
        </is>
      </c>
      <c r="N38" s="25" t="n">
        <v>1054056.866610702</v>
      </c>
      <c r="O38" s="25" t="n">
        <v>1932437.588786285</v>
      </c>
    </row>
    <row r="39">
      <c r="A39" s="14" t="n">
        <v>143</v>
      </c>
      <c r="B39" s="15" t="inlineStr">
        <is>
          <t>N</t>
        </is>
      </c>
      <c r="C39" s="16" t="n">
        <v>0.01308143486613297</v>
      </c>
      <c r="D39" s="17" t="n">
        <v>9</v>
      </c>
      <c r="E39" s="15" t="inlineStr">
        <is>
          <t>modified_bondy_double_dev</t>
        </is>
      </c>
      <c r="F39" s="15" t="inlineStr"/>
      <c r="G39" s="16" t="n">
        <v>1.0238</v>
      </c>
      <c r="H39" s="16" t="n"/>
      <c r="I39" s="16" t="n"/>
      <c r="J39" s="16" t="n"/>
      <c r="K39" s="15" t="inlineStr">
        <is>
          <t>N</t>
        </is>
      </c>
      <c r="L39" s="18" t="n">
        <v>0.8347048613925503</v>
      </c>
      <c r="M39" s="15" t="inlineStr">
        <is>
          <t>N</t>
        </is>
      </c>
      <c r="N39" s="19" t="n">
        <v>1029553.493466221</v>
      </c>
      <c r="O39" s="19" t="n">
        <v>1887514.738021411</v>
      </c>
    </row>
    <row r="40">
      <c r="A40" s="14" t="n">
        <v>143</v>
      </c>
      <c r="B40" s="15" t="inlineStr">
        <is>
          <t>N</t>
        </is>
      </c>
      <c r="C40" s="16" t="n">
        <v>0.01308143486613297</v>
      </c>
      <c r="D40" s="17" t="n">
        <v>9</v>
      </c>
      <c r="E40" s="15" t="inlineStr">
        <is>
          <t>modified_bondy_square_ratio</t>
        </is>
      </c>
      <c r="F40" s="15" t="inlineStr"/>
      <c r="G40" s="16" t="n">
        <v>1.02394161</v>
      </c>
      <c r="H40" s="16" t="n"/>
      <c r="I40" s="16" t="n"/>
      <c r="J40" s="16" t="n"/>
      <c r="K40" s="15" t="inlineStr">
        <is>
          <t>N</t>
        </is>
      </c>
      <c r="L40" s="18" t="n">
        <v>0.8395145101459963</v>
      </c>
      <c r="M40" s="15" t="inlineStr">
        <is>
          <t>N</t>
        </is>
      </c>
      <c r="N40" s="19" t="n">
        <v>1029411.107348897</v>
      </c>
      <c r="O40" s="19" t="n">
        <v>1887253.696806315</v>
      </c>
    </row>
    <row r="41">
      <c r="A41" s="14" t="n">
        <v>203</v>
      </c>
      <c r="B41" s="15" t="inlineStr">
        <is>
          <t>N</t>
        </is>
      </c>
      <c r="C41" s="16" t="n">
        <v>0.01123156187314335</v>
      </c>
      <c r="D41" s="17" t="n">
        <v>5</v>
      </c>
      <c r="E41" s="15" t="inlineStr">
        <is>
          <t>bondy</t>
        </is>
      </c>
      <c r="F41" s="15" t="inlineStr"/>
      <c r="G41" s="16" t="n">
        <v>1.0119</v>
      </c>
      <c r="H41" s="16" t="n"/>
      <c r="I41" s="16" t="n"/>
      <c r="J41" s="16" t="n"/>
      <c r="K41" s="15" t="inlineStr">
        <is>
          <t>N</t>
        </is>
      </c>
      <c r="L41" s="18" t="n">
        <v>0.4240093208357876</v>
      </c>
      <c r="M41" s="15" t="inlineStr">
        <is>
          <t>N</t>
        </is>
      </c>
      <c r="N41" s="19" t="n">
        <v>1041661.099526353</v>
      </c>
      <c r="O41" s="19" t="n">
        <v>1909712.015798315</v>
      </c>
    </row>
    <row r="42">
      <c r="A42" s="20" t="n">
        <v>203</v>
      </c>
      <c r="B42" s="21" t="inlineStr">
        <is>
          <t>N</t>
        </is>
      </c>
      <c r="C42" s="22" t="n">
        <v>0.01123156187314335</v>
      </c>
      <c r="D42" s="23" t="n">
        <v>5</v>
      </c>
      <c r="E42" s="21" t="inlineStr">
        <is>
          <t>double_exp</t>
        </is>
      </c>
      <c r="F42" s="21" t="inlineStr">
        <is>
          <t>[-6.185922875367714, 0.6521830536724201, -0.05780619764194905]</t>
        </is>
      </c>
      <c r="G42" s="22" t="n">
        <v>1.036724577767118</v>
      </c>
      <c r="H42" s="22" t="n">
        <v>0.7285744780786501</v>
      </c>
      <c r="I42" s="22" t="n">
        <v>0.01078619293771597</v>
      </c>
      <c r="J42" s="22" t="n">
        <v>5.820121268061695e-05</v>
      </c>
      <c r="K42" s="21" t="inlineStr">
        <is>
          <t>N</t>
        </is>
      </c>
      <c r="L42" s="24" t="n">
        <v>1.266396803066497</v>
      </c>
      <c r="M42" s="21" t="inlineStr">
        <is>
          <t>N</t>
        </is>
      </c>
      <c r="N42" s="25" t="n">
        <v>1016718.315756459</v>
      </c>
      <c r="O42" s="25" t="n">
        <v>1863983.578886852</v>
      </c>
    </row>
    <row r="43">
      <c r="A43" s="14" t="n">
        <v>203</v>
      </c>
      <c r="B43" s="15" t="inlineStr">
        <is>
          <t>N</t>
        </is>
      </c>
      <c r="C43" s="16" t="n">
        <v>0.01123156187314335</v>
      </c>
      <c r="D43" s="17" t="n">
        <v>5</v>
      </c>
      <c r="E43" s="15" t="inlineStr">
        <is>
          <t>modified_bondy_double_dev</t>
        </is>
      </c>
      <c r="F43" s="15" t="inlineStr"/>
      <c r="G43" s="16" t="n">
        <v>1.0238</v>
      </c>
      <c r="H43" s="16" t="n"/>
      <c r="I43" s="16" t="n"/>
      <c r="J43" s="16" t="n"/>
      <c r="K43" s="15" t="inlineStr">
        <is>
          <t>N</t>
        </is>
      </c>
      <c r="L43" s="18" t="n">
        <v>0.8347048613925503</v>
      </c>
      <c r="M43" s="15" t="inlineStr">
        <is>
          <t>N</t>
        </is>
      </c>
      <c r="N43" s="19" t="n">
        <v>1029553.493466221</v>
      </c>
      <c r="O43" s="19" t="n">
        <v>1887514.738021411</v>
      </c>
    </row>
    <row r="44">
      <c r="A44" s="14" t="n">
        <v>203</v>
      </c>
      <c r="B44" s="15" t="inlineStr">
        <is>
          <t>N</t>
        </is>
      </c>
      <c r="C44" s="16" t="n">
        <v>0.01123156187314335</v>
      </c>
      <c r="D44" s="17" t="n">
        <v>5</v>
      </c>
      <c r="E44" s="15" t="inlineStr">
        <is>
          <t>modified_bondy_square_ratio</t>
        </is>
      </c>
      <c r="F44" s="15" t="inlineStr"/>
      <c r="G44" s="16" t="n">
        <v>1.02394161</v>
      </c>
      <c r="H44" s="16" t="n"/>
      <c r="I44" s="16" t="n"/>
      <c r="J44" s="16" t="n"/>
      <c r="K44" s="15" t="inlineStr">
        <is>
          <t>N</t>
        </is>
      </c>
      <c r="L44" s="18" t="n">
        <v>0.8395145101459963</v>
      </c>
      <c r="M44" s="15" t="inlineStr">
        <is>
          <t>N</t>
        </is>
      </c>
      <c r="N44" s="19" t="n">
        <v>1029411.107348897</v>
      </c>
      <c r="O44" s="19" t="n">
        <v>1887253.696806315</v>
      </c>
    </row>
    <row r="45"/>
    <row r="46">
      <c r="A46" s="7" t="inlineStr">
        <is>
          <t>Tail Factor Selection</t>
        </is>
      </c>
      <c r="B46" s="2" t="n"/>
      <c r="C46" s="2" t="n"/>
      <c r="D46" s="2" t="n"/>
      <c r="E46" s="2" t="n"/>
      <c r="F46" s="3" t="n"/>
    </row>
    <row r="47">
      <c r="A47" s="9" t="inlineStr">
        <is>
          <t>Label</t>
        </is>
      </c>
      <c r="B47" s="9" t="inlineStr">
        <is>
          <t>Cutoff Age</t>
        </is>
      </c>
      <c r="C47" s="9" t="inlineStr">
        <is>
          <t>Tail Factor</t>
        </is>
      </c>
      <c r="D47" s="9" t="inlineStr">
        <is>
          <t>Method</t>
        </is>
      </c>
      <c r="E47" s="9" t="inlineStr">
        <is>
          <t>Reasoning</t>
        </is>
      </c>
      <c r="F47" s="9" t="inlineStr">
        <is>
          <t>Additional Notes</t>
        </is>
      </c>
    </row>
    <row r="48">
      <c r="A48" s="26" t="inlineStr">
        <is>
          <t>Rules-Based AI Selection</t>
        </is>
      </c>
      <c r="B48" s="32" t="n">
        <v>203</v>
      </c>
      <c r="C48" s="33" t="n">
        <v>1.036724577767118</v>
      </c>
      <c r="D48" s="34" t="inlineStr">
        <is>
          <t>double_exp</t>
        </is>
      </c>
      <c r="E48" s="34" t="inlineStr">
        <is>
          <t>Incurred Loss triangle—medium tail expected, longer than Reported Count, shorter than Paid Loss. Starting point criteria fail at both ages due to volatility (is_monotone_from_here=False, slope_sign_changes &gt; 0 at both 143 and 203). This is typical for incurred triangles with medical reserves and reopened claims. Double exponential curve selected at age 203 as best available option. Curve fit diagnostics: r_squared=0.7286 (below ideal 0.85 but acceptable for tail-only region), loo_std_dev=0.0108 (moderate AY sensitivity, acceptable), gap_to_last_observed=0.000058 (excellent), gap_flag=False (PASSES hard Gap Rule). Tail factor 1.0367 represents ~1.3% of CDF (materiality_ok=False, but material tail is appropriate for incurred). Reserve impact moderate (~1.0M range). Residuals show no systematic sign pattern; curve fit is stable. Age 143 double_exp rejected (poor R²=0.323, higher pct_of_cdf=5.1%). Age 143 Bondy rejected as too simplistic (ignores decay pattern). Age 203 double_exp provides theoretically sound exponential decay with strong gap and residual diagnostics, best balance for volatile incurred data. ASOP 43 compliant.</t>
        </is>
      </c>
      <c r="F48" s="34" t="inlineStr"/>
    </row>
    <row r="49">
      <c r="A49" s="28" t="inlineStr">
        <is>
          <t>Open-Ended AI Selection</t>
        </is>
      </c>
      <c r="B49" s="35" t="n">
        <v>203</v>
      </c>
      <c r="C49" s="36" t="n">
        <v>1</v>
      </c>
      <c r="D49" s="37" t="inlineStr">
        <is>
          <t>mcclenahan</t>
        </is>
      </c>
      <c r="E49" s="37" t="inlineStr">
        <is>
          <t>Incurred loss triangle exhibits rapid development closure by age 143, with observed factors clustering near 1.0 thereafter. McClenahan (r=0.2439 at age 143, r=0.5388 at age 203) correctly identifies essential tail closure across both starting points. All scenarios at ages 143 and 203 produce factors at or near 1.0, with Bondy/modified variants yielding only 1.01–1.024. Double Exponential at age 143 (R²=0.323) shows poor fit quality. At age 203, double exponential improves (R²=0.729) but still produces only 1.0367. The observed data shows no meaningful tail development beyond age 143—later factors are predominantly 1.0. McClenahan's null tail correctly reflects the actuarial reality that this workers comp book is substantially developed by the selected starting age. Selection anchors to demonstrated closure in the triangle itself.</t>
        </is>
      </c>
      <c r="F49" s="37" t="inlineStr"/>
    </row>
    <row r="50"/>
    <row r="51">
      <c r="A51" s="30" t="inlineStr">
        <is>
          <t>User Selection</t>
        </is>
      </c>
      <c r="B51" s="31" t="inlineStr"/>
      <c r="C51" s="31" t="inlineStr"/>
      <c r="D51" s="31" t="inlineStr"/>
      <c r="E51" s="31" t="inlineStr"/>
      <c r="F51" s="31" t="inlineStr"/>
    </row>
  </sheetData>
  <mergeCells count="5">
    <mergeCell ref="A2:L2"/>
    <mergeCell ref="A46:F46"/>
    <mergeCell ref="A1:L1"/>
    <mergeCell ref="A5:Y5"/>
    <mergeCell ref="A34:O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5"/>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Paid Loss</t>
        </is>
      </c>
      <c r="B1" s="2" t="n"/>
      <c r="C1" s="2" t="n"/>
      <c r="D1" s="2" t="n"/>
      <c r="E1" s="2" t="n"/>
      <c r="F1" s="2" t="n"/>
      <c r="G1" s="2" t="n"/>
      <c r="H1" s="2" t="n"/>
      <c r="I1" s="2" t="n"/>
      <c r="J1" s="2" t="n"/>
      <c r="K1" s="2" t="n"/>
      <c r="L1" s="3" t="n"/>
    </row>
    <row r="2">
      <c r="A2" s="4" t="inlineStr">
        <is>
          <t>Paid loss tails typically longer than incurred</t>
        </is>
      </c>
    </row>
    <row r="3">
      <c r="A3" s="5" t="inlineStr">
        <is>
          <t>Max Observed Age:</t>
        </is>
      </c>
      <c r="B3" s="6" t="inlineStr">
        <is>
          <t>287</t>
        </is>
      </c>
      <c r="D3" s="5" t="inlineStr">
        <is>
          <t>Accident Years:</t>
        </is>
      </c>
      <c r="E3" s="6" t="n">
        <v>24</v>
      </c>
      <c r="G3" s="5" t="inlineStr">
        <is>
          <t>Closure % at Last Age:</t>
        </is>
      </c>
      <c r="H3" s="6" t="inlineStr">
        <is>
          <t>N/A</t>
        </is>
      </c>
      <c r="J3" s="5" t="inlineStr">
        <is>
          <t>Last Observed Avg LDF:</t>
        </is>
      </c>
      <c r="K3" s="6" t="inlineStr">
        <is>
          <t>1.0039</t>
        </is>
      </c>
    </row>
    <row r="4"/>
    <row r="5">
      <c r="A5" s="7"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8"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11" t="n"/>
      <c r="C7" s="12" t="n">
        <v>3.2124</v>
      </c>
      <c r="D7" s="12" t="n">
        <v>1.4758</v>
      </c>
      <c r="E7" s="12" t="n">
        <v>1.2363</v>
      </c>
      <c r="F7" s="12" t="n">
        <v>1.1639</v>
      </c>
      <c r="G7" s="12" t="n">
        <v>1.0268</v>
      </c>
      <c r="H7" s="12" t="n">
        <v>0.9903999999999999</v>
      </c>
      <c r="I7" s="12" t="n">
        <v>1.0135</v>
      </c>
      <c r="J7" s="12" t="n">
        <v>1.0097</v>
      </c>
      <c r="K7" s="12" t="n">
        <v>1.012</v>
      </c>
      <c r="L7" s="12" t="n">
        <v>1.0238</v>
      </c>
      <c r="M7" s="12" t="n">
        <v>1.024</v>
      </c>
      <c r="N7" s="12" t="n">
        <v>1.0163</v>
      </c>
      <c r="O7" s="12" t="n">
        <v>1.0254</v>
      </c>
      <c r="P7" s="12" t="n">
        <v>1.0215</v>
      </c>
      <c r="Q7" s="12" t="n">
        <v>1.0307</v>
      </c>
      <c r="R7" s="12" t="n">
        <v>1.0327</v>
      </c>
      <c r="S7" s="12" t="n">
        <v>1.027</v>
      </c>
      <c r="T7" s="12" t="n">
        <v>1.0383</v>
      </c>
      <c r="U7" s="12" t="n">
        <v>1</v>
      </c>
      <c r="V7" s="12" t="n">
        <v>1.0074</v>
      </c>
      <c r="W7" s="12" t="n">
        <v>1.0074</v>
      </c>
      <c r="X7" s="12" t="n">
        <v>1.0063</v>
      </c>
      <c r="Y7" s="12" t="n">
        <v>1.0039</v>
      </c>
    </row>
    <row r="8">
      <c r="A8" s="10" t="inlineStr">
        <is>
          <t>2002</t>
        </is>
      </c>
      <c r="B8" s="11" t="n"/>
      <c r="C8" s="12" t="n">
        <v>2.5494</v>
      </c>
      <c r="D8" s="12" t="n">
        <v>1.3395</v>
      </c>
      <c r="E8" s="12" t="n">
        <v>1.0803</v>
      </c>
      <c r="F8" s="12" t="n">
        <v>1.1252</v>
      </c>
      <c r="G8" s="12" t="n">
        <v>1.0932</v>
      </c>
      <c r="H8" s="12" t="n">
        <v>1.0226</v>
      </c>
      <c r="I8" s="12" t="n">
        <v>1.0177</v>
      </c>
      <c r="J8" s="12" t="n">
        <v>1.0248</v>
      </c>
      <c r="K8" s="12" t="n">
        <v>1.0119</v>
      </c>
      <c r="L8" s="12" t="n">
        <v>1.0176</v>
      </c>
      <c r="M8" s="12" t="n">
        <v>1.0188</v>
      </c>
      <c r="N8" s="12" t="n">
        <v>1.0229</v>
      </c>
      <c r="O8" s="12" t="n">
        <v>1.0255</v>
      </c>
      <c r="P8" s="12" t="n">
        <v>1.0211</v>
      </c>
      <c r="Q8" s="12" t="n">
        <v>1.0195</v>
      </c>
      <c r="R8" s="12" t="n">
        <v>1.0285</v>
      </c>
      <c r="S8" s="12" t="n">
        <v>1.0202</v>
      </c>
      <c r="T8" s="12" t="n">
        <v>1.0159</v>
      </c>
      <c r="U8" s="12" t="n">
        <v>1.0121</v>
      </c>
      <c r="V8" s="12" t="n">
        <v>1.0101</v>
      </c>
      <c r="W8" s="12" t="n">
        <v>1.0096</v>
      </c>
      <c r="X8" s="12" t="n">
        <v>1.009</v>
      </c>
      <c r="Y8" s="11" t="n"/>
    </row>
    <row r="9">
      <c r="A9" s="10" t="inlineStr">
        <is>
          <t>2003</t>
        </is>
      </c>
      <c r="B9" s="11" t="n"/>
      <c r="C9" s="12" t="n">
        <v>2.4837</v>
      </c>
      <c r="D9" s="12" t="n">
        <v>1.1544</v>
      </c>
      <c r="E9" s="12" t="n">
        <v>1.09</v>
      </c>
      <c r="F9" s="12" t="n">
        <v>1.157</v>
      </c>
      <c r="G9" s="12" t="n">
        <v>1.0498</v>
      </c>
      <c r="H9" s="12" t="n">
        <v>1.0015</v>
      </c>
      <c r="I9" s="12" t="n">
        <v>1.007</v>
      </c>
      <c r="J9" s="12" t="n">
        <v>0.9986</v>
      </c>
      <c r="K9" s="12" t="n">
        <v>1.0024</v>
      </c>
      <c r="L9" s="12" t="n">
        <v>0.9981</v>
      </c>
      <c r="M9" s="12" t="n">
        <v>1.0002</v>
      </c>
      <c r="N9" s="12" t="n">
        <v>1.0001</v>
      </c>
      <c r="O9" s="12" t="n">
        <v>1</v>
      </c>
      <c r="P9" s="12" t="n">
        <v>1</v>
      </c>
      <c r="Q9" s="12" t="n">
        <v>1</v>
      </c>
      <c r="R9" s="12" t="n">
        <v>1.0021</v>
      </c>
      <c r="S9" s="12" t="n">
        <v>1</v>
      </c>
      <c r="T9" s="12" t="n">
        <v>1</v>
      </c>
      <c r="U9" s="12" t="n">
        <v>1</v>
      </c>
      <c r="V9" s="12" t="n">
        <v>1</v>
      </c>
      <c r="W9" s="12" t="n">
        <v>1</v>
      </c>
      <c r="X9" s="11" t="n"/>
      <c r="Y9" s="11" t="n"/>
    </row>
    <row r="10">
      <c r="A10" s="10" t="inlineStr">
        <is>
          <t>2004</t>
        </is>
      </c>
      <c r="B10" s="11" t="n"/>
      <c r="C10" s="12" t="n">
        <v>2.4368</v>
      </c>
      <c r="D10" s="12" t="n">
        <v>1.2891</v>
      </c>
      <c r="E10" s="12" t="n">
        <v>1.1198</v>
      </c>
      <c r="F10" s="12" t="n">
        <v>1.1677</v>
      </c>
      <c r="G10" s="12" t="n">
        <v>1.0037</v>
      </c>
      <c r="H10" s="12" t="n">
        <v>1.0163</v>
      </c>
      <c r="I10" s="12" t="n">
        <v>1.0078</v>
      </c>
      <c r="J10" s="12" t="n">
        <v>1.0185</v>
      </c>
      <c r="K10" s="12" t="n">
        <v>0.9939</v>
      </c>
      <c r="L10" s="12" t="n">
        <v>1.0036</v>
      </c>
      <c r="M10" s="12" t="n">
        <v>1.0064</v>
      </c>
      <c r="N10" s="12" t="n">
        <v>1.0004</v>
      </c>
      <c r="O10" s="12" t="n">
        <v>1.0018</v>
      </c>
      <c r="P10" s="12" t="n">
        <v>1.0006</v>
      </c>
      <c r="Q10" s="12" t="n">
        <v>1.0095</v>
      </c>
      <c r="R10" s="12" t="n">
        <v>1</v>
      </c>
      <c r="S10" s="12" t="n">
        <v>1</v>
      </c>
      <c r="T10" s="12" t="n">
        <v>1</v>
      </c>
      <c r="U10" s="12" t="n">
        <v>1</v>
      </c>
      <c r="V10" s="12" t="n">
        <v>1</v>
      </c>
      <c r="W10" s="11" t="n"/>
      <c r="X10" s="11" t="n"/>
      <c r="Y10" s="11" t="n"/>
    </row>
    <row r="11">
      <c r="A11" s="10" t="inlineStr">
        <is>
          <t>2005</t>
        </is>
      </c>
      <c r="B11" s="11" t="n"/>
      <c r="C11" s="12" t="n">
        <v>2.0311</v>
      </c>
      <c r="D11" s="12" t="n">
        <v>1.2674</v>
      </c>
      <c r="E11" s="12" t="n">
        <v>1.0439</v>
      </c>
      <c r="F11" s="12" t="n">
        <v>1.0747</v>
      </c>
      <c r="G11" s="12" t="n">
        <v>1.0208</v>
      </c>
      <c r="H11" s="12" t="n">
        <v>1.0211</v>
      </c>
      <c r="I11" s="12" t="n">
        <v>1.0104</v>
      </c>
      <c r="J11" s="12" t="n">
        <v>1.0042</v>
      </c>
      <c r="K11" s="12" t="n">
        <v>1.03</v>
      </c>
      <c r="L11" s="12" t="n">
        <v>1.0284</v>
      </c>
      <c r="M11" s="12" t="n">
        <v>1.0203</v>
      </c>
      <c r="N11" s="12" t="n">
        <v>1.0327</v>
      </c>
      <c r="O11" s="12" t="n">
        <v>1.0189</v>
      </c>
      <c r="P11" s="12" t="n">
        <v>1.0301</v>
      </c>
      <c r="Q11" s="12" t="n">
        <v>1.008</v>
      </c>
      <c r="R11" s="12" t="n">
        <v>1.0193</v>
      </c>
      <c r="S11" s="12" t="n">
        <v>1.0017</v>
      </c>
      <c r="T11" s="12" t="n">
        <v>1</v>
      </c>
      <c r="U11" s="12" t="n">
        <v>1</v>
      </c>
      <c r="V11" s="11" t="n"/>
      <c r="W11" s="11" t="n"/>
      <c r="X11" s="11" t="n"/>
      <c r="Y11" s="11" t="n"/>
    </row>
    <row r="12">
      <c r="A12" s="10" t="inlineStr">
        <is>
          <t>2006</t>
        </is>
      </c>
      <c r="B12" s="11" t="n"/>
      <c r="C12" s="12" t="n">
        <v>2.4565</v>
      </c>
      <c r="D12" s="12" t="n">
        <v>1.2768</v>
      </c>
      <c r="E12" s="12" t="n">
        <v>1.0891</v>
      </c>
      <c r="F12" s="12" t="n">
        <v>1.0612</v>
      </c>
      <c r="G12" s="12" t="n">
        <v>1.0466</v>
      </c>
      <c r="H12" s="12" t="n">
        <v>1.0414</v>
      </c>
      <c r="I12" s="12" t="n">
        <v>1.0068</v>
      </c>
      <c r="J12" s="12" t="n">
        <v>1.0316</v>
      </c>
      <c r="K12" s="12" t="n">
        <v>1.041</v>
      </c>
      <c r="L12" s="12" t="n">
        <v>1.0922</v>
      </c>
      <c r="M12" s="12" t="n">
        <v>1.0276</v>
      </c>
      <c r="N12" s="12" t="n">
        <v>1.0104</v>
      </c>
      <c r="O12" s="12" t="n">
        <v>1.0187</v>
      </c>
      <c r="P12" s="12" t="n">
        <v>1.0068</v>
      </c>
      <c r="Q12" s="12" t="n">
        <v>1.0084</v>
      </c>
      <c r="R12" s="12" t="n">
        <v>1.0115</v>
      </c>
      <c r="S12" s="12" t="n">
        <v>1.0076</v>
      </c>
      <c r="T12" s="12" t="n">
        <v>1.0055</v>
      </c>
      <c r="U12" s="11" t="n"/>
      <c r="V12" s="11" t="n"/>
      <c r="W12" s="11" t="n"/>
      <c r="X12" s="11" t="n"/>
      <c r="Y12" s="11" t="n"/>
    </row>
    <row r="13">
      <c r="A13" s="10" t="inlineStr">
        <is>
          <t>2007</t>
        </is>
      </c>
      <c r="B13" s="11" t="n"/>
      <c r="C13" s="12" t="n">
        <v>2.1908</v>
      </c>
      <c r="D13" s="12" t="n">
        <v>1.2948</v>
      </c>
      <c r="E13" s="12" t="n">
        <v>1.2734</v>
      </c>
      <c r="F13" s="12" t="n">
        <v>1.1861</v>
      </c>
      <c r="G13" s="12" t="n">
        <v>1.2146</v>
      </c>
      <c r="H13" s="12" t="n">
        <v>1.1157</v>
      </c>
      <c r="I13" s="12" t="n">
        <v>1.0776</v>
      </c>
      <c r="J13" s="12" t="n">
        <v>1.0807</v>
      </c>
      <c r="K13" s="12" t="n">
        <v>1.0849</v>
      </c>
      <c r="L13" s="12" t="n">
        <v>1.0822</v>
      </c>
      <c r="M13" s="12" t="n">
        <v>1.05</v>
      </c>
      <c r="N13" s="12" t="n">
        <v>1.041</v>
      </c>
      <c r="O13" s="12" t="n">
        <v>1.0289</v>
      </c>
      <c r="P13" s="12" t="n">
        <v>1.0268</v>
      </c>
      <c r="Q13" s="12" t="n">
        <v>1.0291</v>
      </c>
      <c r="R13" s="12" t="n">
        <v>1.0063</v>
      </c>
      <c r="S13" s="12" t="n">
        <v>1.002</v>
      </c>
      <c r="T13" s="11" t="n"/>
      <c r="U13" s="11" t="n"/>
      <c r="V13" s="11" t="n"/>
      <c r="W13" s="11" t="n"/>
      <c r="X13" s="11" t="n"/>
      <c r="Y13" s="11" t="n"/>
    </row>
    <row r="14">
      <c r="A14" s="10" t="inlineStr">
        <is>
          <t>2008</t>
        </is>
      </c>
      <c r="B14" s="11" t="n"/>
      <c r="C14" s="12" t="n">
        <v>1.829</v>
      </c>
      <c r="D14" s="12" t="n">
        <v>1.345</v>
      </c>
      <c r="E14" s="12" t="n">
        <v>1.3665</v>
      </c>
      <c r="F14" s="12" t="n">
        <v>1.0349</v>
      </c>
      <c r="G14" s="12" t="n">
        <v>1.0308</v>
      </c>
      <c r="H14" s="12" t="n">
        <v>1.007</v>
      </c>
      <c r="I14" s="12" t="n">
        <v>1.0064</v>
      </c>
      <c r="J14" s="12" t="n">
        <v>1.0117</v>
      </c>
      <c r="K14" s="12" t="n">
        <v>1.0134</v>
      </c>
      <c r="L14" s="12" t="n">
        <v>1.0107</v>
      </c>
      <c r="M14" s="12" t="n">
        <v>1.0019</v>
      </c>
      <c r="N14" s="12" t="n">
        <v>1.0023</v>
      </c>
      <c r="O14" s="12" t="n">
        <v>1.0011</v>
      </c>
      <c r="P14" s="12" t="n">
        <v>1.0007</v>
      </c>
      <c r="Q14" s="12" t="n">
        <v>1.0026</v>
      </c>
      <c r="R14" s="12" t="n">
        <v>1.0264</v>
      </c>
      <c r="S14" s="11" t="n"/>
      <c r="T14" s="11" t="n"/>
      <c r="U14" s="11" t="n"/>
      <c r="V14" s="11" t="n"/>
      <c r="W14" s="11" t="n"/>
      <c r="X14" s="11" t="n"/>
      <c r="Y14" s="11" t="n"/>
    </row>
    <row r="15">
      <c r="A15" s="10" t="inlineStr">
        <is>
          <t>2009</t>
        </is>
      </c>
      <c r="B15" s="11" t="n"/>
      <c r="C15" s="12" t="n">
        <v>3.246</v>
      </c>
      <c r="D15" s="12" t="n">
        <v>1.0939</v>
      </c>
      <c r="E15" s="12" t="n">
        <v>1.0272</v>
      </c>
      <c r="F15" s="12" t="n">
        <v>1.073</v>
      </c>
      <c r="G15" s="12" t="n">
        <v>1.0515</v>
      </c>
      <c r="H15" s="12" t="n">
        <v>1.0301</v>
      </c>
      <c r="I15" s="12" t="n">
        <v>1.0504</v>
      </c>
      <c r="J15" s="12" t="n">
        <v>1.0367</v>
      </c>
      <c r="K15" s="12" t="n">
        <v>1.0147</v>
      </c>
      <c r="L15" s="12" t="n">
        <v>1.0094</v>
      </c>
      <c r="M15" s="12" t="n">
        <v>1.0305</v>
      </c>
      <c r="N15" s="12" t="n">
        <v>1.0497</v>
      </c>
      <c r="O15" s="12" t="n">
        <v>1</v>
      </c>
      <c r="P15" s="12" t="n">
        <v>1</v>
      </c>
      <c r="Q15" s="12" t="n">
        <v>1</v>
      </c>
      <c r="R15" s="11" t="n"/>
      <c r="S15" s="11" t="n"/>
      <c r="T15" s="11" t="n"/>
      <c r="U15" s="11" t="n"/>
      <c r="V15" s="11" t="n"/>
      <c r="W15" s="11" t="n"/>
      <c r="X15" s="11" t="n"/>
      <c r="Y15" s="11" t="n"/>
    </row>
    <row r="16">
      <c r="A16" s="10" t="inlineStr">
        <is>
          <t>2010</t>
        </is>
      </c>
      <c r="B16" s="11" t="n"/>
      <c r="C16" s="12" t="n">
        <v>2.7631</v>
      </c>
      <c r="D16" s="12" t="n">
        <v>1.3597</v>
      </c>
      <c r="E16" s="12" t="n">
        <v>1.1766</v>
      </c>
      <c r="F16" s="12" t="n">
        <v>1.0929</v>
      </c>
      <c r="G16" s="12" t="n">
        <v>1.0209</v>
      </c>
      <c r="H16" s="12" t="n">
        <v>1.0489</v>
      </c>
      <c r="I16" s="12" t="n">
        <v>1.0017</v>
      </c>
      <c r="J16" s="12" t="n">
        <v>1.0034</v>
      </c>
      <c r="K16" s="12" t="n">
        <v>1.0006</v>
      </c>
      <c r="L16" s="12" t="n">
        <v>1.0005</v>
      </c>
      <c r="M16" s="12" t="n">
        <v>1.0001</v>
      </c>
      <c r="N16" s="12" t="n">
        <v>1.0006</v>
      </c>
      <c r="O16" s="12" t="n">
        <v>1.0007</v>
      </c>
      <c r="P16" s="12" t="n">
        <v>1.006</v>
      </c>
      <c r="Q16" s="11" t="n"/>
      <c r="R16" s="11" t="n"/>
      <c r="S16" s="11" t="n"/>
      <c r="T16" s="11" t="n"/>
      <c r="U16" s="11" t="n"/>
      <c r="V16" s="11" t="n"/>
      <c r="W16" s="11" t="n"/>
      <c r="X16" s="11" t="n"/>
      <c r="Y16" s="11" t="n"/>
    </row>
    <row r="17">
      <c r="A17" s="10" t="inlineStr">
        <is>
          <t>2011</t>
        </is>
      </c>
      <c r="B17" s="11" t="n"/>
      <c r="C17" s="12" t="n">
        <v>2.3046</v>
      </c>
      <c r="D17" s="12" t="n">
        <v>1.5589</v>
      </c>
      <c r="E17" s="12" t="n">
        <v>1.0755</v>
      </c>
      <c r="F17" s="12" t="n">
        <v>1.0829</v>
      </c>
      <c r="G17" s="12" t="n">
        <v>1.0889</v>
      </c>
      <c r="H17" s="12" t="n">
        <v>1.0985</v>
      </c>
      <c r="I17" s="12" t="n">
        <v>1.002</v>
      </c>
      <c r="J17" s="12" t="n">
        <v>1.0046</v>
      </c>
      <c r="K17" s="12" t="n">
        <v>1.0077</v>
      </c>
      <c r="L17" s="12" t="n">
        <v>1.0052</v>
      </c>
      <c r="M17" s="12" t="n">
        <v>1.0103</v>
      </c>
      <c r="N17" s="12" t="n">
        <v>1.0052</v>
      </c>
      <c r="O17" s="12" t="n">
        <v>1.0032</v>
      </c>
      <c r="P17" s="11" t="n"/>
      <c r="Q17" s="11" t="n"/>
      <c r="R17" s="11" t="n"/>
      <c r="S17" s="11" t="n"/>
      <c r="T17" s="11" t="n"/>
      <c r="U17" s="11" t="n"/>
      <c r="V17" s="11" t="n"/>
      <c r="W17" s="11" t="n"/>
      <c r="X17" s="11" t="n"/>
      <c r="Y17" s="11" t="n"/>
    </row>
    <row r="18">
      <c r="A18" s="10" t="inlineStr">
        <is>
          <t>2012</t>
        </is>
      </c>
      <c r="B18" s="11" t="n"/>
      <c r="C18" s="12" t="n">
        <v>2.7856</v>
      </c>
      <c r="D18" s="12" t="n">
        <v>1.2596</v>
      </c>
      <c r="E18" s="12" t="n">
        <v>1.1904</v>
      </c>
      <c r="F18" s="12" t="n">
        <v>1.0101</v>
      </c>
      <c r="G18" s="12" t="n">
        <v>1.0065</v>
      </c>
      <c r="H18" s="12" t="n">
        <v>1.0106</v>
      </c>
      <c r="I18" s="12" t="n">
        <v>1.0394</v>
      </c>
      <c r="J18" s="12" t="n">
        <v>1.0315</v>
      </c>
      <c r="K18" s="12" t="n">
        <v>1.0046</v>
      </c>
      <c r="L18" s="12" t="n">
        <v>1.0297</v>
      </c>
      <c r="M18" s="12" t="n">
        <v>1.0565</v>
      </c>
      <c r="N18" s="12" t="n">
        <v>1.0425</v>
      </c>
      <c r="O18" s="11" t="n"/>
      <c r="P18" s="11" t="n"/>
      <c r="Q18" s="11" t="n"/>
      <c r="R18" s="11" t="n"/>
      <c r="S18" s="11" t="n"/>
      <c r="T18" s="11" t="n"/>
      <c r="U18" s="11" t="n"/>
      <c r="V18" s="11" t="n"/>
      <c r="W18" s="11" t="n"/>
      <c r="X18" s="11" t="n"/>
      <c r="Y18" s="11" t="n"/>
    </row>
    <row r="19">
      <c r="A19" s="10" t="inlineStr">
        <is>
          <t>2013</t>
        </is>
      </c>
      <c r="B19" s="11" t="n"/>
      <c r="C19" s="12" t="n">
        <v>2.3011</v>
      </c>
      <c r="D19" s="12" t="n">
        <v>1.1687</v>
      </c>
      <c r="E19" s="12" t="n">
        <v>1.097</v>
      </c>
      <c r="F19" s="12" t="n">
        <v>1.1858</v>
      </c>
      <c r="G19" s="12" t="n">
        <v>0.9974</v>
      </c>
      <c r="H19" s="12" t="n">
        <v>1.0005</v>
      </c>
      <c r="I19" s="12" t="n">
        <v>1</v>
      </c>
      <c r="J19" s="12" t="n">
        <v>1.0019</v>
      </c>
      <c r="K19" s="12" t="n">
        <v>1</v>
      </c>
      <c r="L19" s="12" t="n">
        <v>1</v>
      </c>
      <c r="M19" s="12" t="n">
        <v>1</v>
      </c>
      <c r="N19" s="11" t="n"/>
      <c r="O19" s="11" t="n"/>
      <c r="P19" s="11" t="n"/>
      <c r="Q19" s="11" t="n"/>
      <c r="R19" s="11" t="n"/>
      <c r="S19" s="11" t="n"/>
      <c r="T19" s="11" t="n"/>
      <c r="U19" s="11" t="n"/>
      <c r="V19" s="11" t="n"/>
      <c r="W19" s="11" t="n"/>
      <c r="X19" s="11" t="n"/>
      <c r="Y19" s="11" t="n"/>
    </row>
    <row r="20">
      <c r="A20" s="10" t="inlineStr">
        <is>
          <t>2014</t>
        </is>
      </c>
      <c r="B20" s="11" t="n"/>
      <c r="C20" s="12" t="n">
        <v>1.7931</v>
      </c>
      <c r="D20" s="12" t="n">
        <v>1.2548</v>
      </c>
      <c r="E20" s="12" t="n">
        <v>1.2734</v>
      </c>
      <c r="F20" s="12" t="n">
        <v>1.067</v>
      </c>
      <c r="G20" s="12" t="n">
        <v>1.0166</v>
      </c>
      <c r="H20" s="12" t="n">
        <v>1.0061</v>
      </c>
      <c r="I20" s="12" t="n">
        <v>1.003</v>
      </c>
      <c r="J20" s="12" t="n">
        <v>1.0063</v>
      </c>
      <c r="K20" s="12" t="n">
        <v>1.0616</v>
      </c>
      <c r="L20" s="12" t="n">
        <v>1.0075</v>
      </c>
      <c r="M20" s="11" t="n"/>
      <c r="N20" s="11" t="n"/>
      <c r="O20" s="11" t="n"/>
      <c r="P20" s="11" t="n"/>
      <c r="Q20" s="11" t="n"/>
      <c r="R20" s="11" t="n"/>
      <c r="S20" s="11" t="n"/>
      <c r="T20" s="11" t="n"/>
      <c r="U20" s="11" t="n"/>
      <c r="V20" s="11" t="n"/>
      <c r="W20" s="11" t="n"/>
      <c r="X20" s="11" t="n"/>
      <c r="Y20" s="11" t="n"/>
    </row>
    <row r="21">
      <c r="A21" s="10" t="inlineStr">
        <is>
          <t>2015</t>
        </is>
      </c>
      <c r="B21" s="11" t="n"/>
      <c r="C21" s="12" t="n">
        <v>2.2204</v>
      </c>
      <c r="D21" s="12" t="n">
        <v>1.6812</v>
      </c>
      <c r="E21" s="12" t="n">
        <v>1.4653</v>
      </c>
      <c r="F21" s="12" t="n">
        <v>1.0739</v>
      </c>
      <c r="G21" s="12" t="n">
        <v>1.1134</v>
      </c>
      <c r="H21" s="12" t="n">
        <v>1.1108</v>
      </c>
      <c r="I21" s="12" t="n">
        <v>1.0547</v>
      </c>
      <c r="J21" s="12" t="n">
        <v>1.0143</v>
      </c>
      <c r="K21" s="12" t="n">
        <v>1.1378</v>
      </c>
      <c r="L21" s="11" t="n"/>
      <c r="M21" s="11" t="n"/>
      <c r="N21" s="11" t="n"/>
      <c r="O21" s="11" t="n"/>
      <c r="P21" s="11" t="n"/>
      <c r="Q21" s="11" t="n"/>
      <c r="R21" s="11" t="n"/>
      <c r="S21" s="11" t="n"/>
      <c r="T21" s="11" t="n"/>
      <c r="U21" s="11" t="n"/>
      <c r="V21" s="11" t="n"/>
      <c r="W21" s="11" t="n"/>
      <c r="X21" s="11" t="n"/>
      <c r="Y21" s="11" t="n"/>
    </row>
    <row r="22">
      <c r="A22" s="10" t="inlineStr">
        <is>
          <t>2016</t>
        </is>
      </c>
      <c r="B22" s="11" t="n"/>
      <c r="C22" s="12" t="n">
        <v>3.3152</v>
      </c>
      <c r="D22" s="12" t="n">
        <v>1.4135</v>
      </c>
      <c r="E22" s="12" t="n">
        <v>1.1254</v>
      </c>
      <c r="F22" s="12" t="n">
        <v>1.0752</v>
      </c>
      <c r="G22" s="12" t="n">
        <v>1.1023</v>
      </c>
      <c r="H22" s="12" t="n">
        <v>1.1396</v>
      </c>
      <c r="I22" s="12" t="n">
        <v>1.0066</v>
      </c>
      <c r="J22" s="12" t="n">
        <v>1.0111</v>
      </c>
      <c r="K22" s="11" t="n"/>
      <c r="L22" s="11" t="n"/>
      <c r="M22" s="11" t="n"/>
      <c r="N22" s="11" t="n"/>
      <c r="O22" s="11" t="n"/>
      <c r="P22" s="11" t="n"/>
      <c r="Q22" s="11" t="n"/>
      <c r="R22" s="11" t="n"/>
      <c r="S22" s="11" t="n"/>
      <c r="T22" s="11" t="n"/>
      <c r="U22" s="11" t="n"/>
      <c r="V22" s="11" t="n"/>
      <c r="W22" s="11" t="n"/>
      <c r="X22" s="11" t="n"/>
      <c r="Y22" s="11" t="n"/>
    </row>
    <row r="23">
      <c r="A23" s="10" t="inlineStr">
        <is>
          <t>2017</t>
        </is>
      </c>
      <c r="B23" s="11" t="n"/>
      <c r="C23" s="12" t="n">
        <v>1.7371</v>
      </c>
      <c r="D23" s="12" t="n">
        <v>1.0775</v>
      </c>
      <c r="E23" s="12" t="n">
        <v>1.1277</v>
      </c>
      <c r="F23" s="12" t="n">
        <v>1.0874</v>
      </c>
      <c r="G23" s="12" t="n">
        <v>1.1075</v>
      </c>
      <c r="H23" s="12" t="n">
        <v>1.2914</v>
      </c>
      <c r="I23" s="12" t="n">
        <v>1.0911</v>
      </c>
      <c r="J23" s="11" t="n"/>
      <c r="K23" s="11" t="n"/>
      <c r="L23" s="11" t="n"/>
      <c r="M23" s="11" t="n"/>
      <c r="N23" s="11" t="n"/>
      <c r="O23" s="11" t="n"/>
      <c r="P23" s="11" t="n"/>
      <c r="Q23" s="11" t="n"/>
      <c r="R23" s="11" t="n"/>
      <c r="S23" s="11" t="n"/>
      <c r="T23" s="11" t="n"/>
      <c r="U23" s="11" t="n"/>
      <c r="V23" s="11" t="n"/>
      <c r="W23" s="11" t="n"/>
      <c r="X23" s="11" t="n"/>
      <c r="Y23" s="11" t="n"/>
    </row>
    <row r="24">
      <c r="A24" s="10" t="inlineStr">
        <is>
          <t>2018</t>
        </is>
      </c>
      <c r="B24" s="11" t="n"/>
      <c r="C24" s="12" t="n">
        <v>2.8751</v>
      </c>
      <c r="D24" s="12" t="n">
        <v>1.4839</v>
      </c>
      <c r="E24" s="12" t="n">
        <v>1.3735</v>
      </c>
      <c r="F24" s="12" t="n">
        <v>1.0575</v>
      </c>
      <c r="G24" s="12" t="n">
        <v>1.0563</v>
      </c>
      <c r="H24" s="12" t="n">
        <v>1.0595</v>
      </c>
      <c r="I24" s="11" t="n"/>
      <c r="J24" s="11" t="n"/>
      <c r="K24" s="11" t="n"/>
      <c r="L24" s="11" t="n"/>
      <c r="M24" s="11" t="n"/>
      <c r="N24" s="11" t="n"/>
      <c r="O24" s="11" t="n"/>
      <c r="P24" s="11" t="n"/>
      <c r="Q24" s="11" t="n"/>
      <c r="R24" s="11" t="n"/>
      <c r="S24" s="11" t="n"/>
      <c r="T24" s="11" t="n"/>
      <c r="U24" s="11" t="n"/>
      <c r="V24" s="11" t="n"/>
      <c r="W24" s="11" t="n"/>
      <c r="X24" s="11" t="n"/>
      <c r="Y24" s="11" t="n"/>
    </row>
    <row r="25">
      <c r="A25" s="10" t="inlineStr">
        <is>
          <t>2019</t>
        </is>
      </c>
      <c r="B25" s="11" t="n"/>
      <c r="C25" s="12" t="n">
        <v>2.6745</v>
      </c>
      <c r="D25" s="12" t="n">
        <v>1.7497</v>
      </c>
      <c r="E25" s="12" t="n">
        <v>1.1825</v>
      </c>
      <c r="F25" s="12" t="n">
        <v>1.2312</v>
      </c>
      <c r="G25" s="12" t="n">
        <v>1.2153</v>
      </c>
      <c r="H25" s="11" t="n"/>
      <c r="I25" s="11" t="n"/>
      <c r="J25" s="11" t="n"/>
      <c r="K25" s="11" t="n"/>
      <c r="L25" s="11" t="n"/>
      <c r="M25" s="11" t="n"/>
      <c r="N25" s="11" t="n"/>
      <c r="O25" s="11" t="n"/>
      <c r="P25" s="11" t="n"/>
      <c r="Q25" s="11" t="n"/>
      <c r="R25" s="11" t="n"/>
      <c r="S25" s="11" t="n"/>
      <c r="T25" s="11" t="n"/>
      <c r="U25" s="11" t="n"/>
      <c r="V25" s="11" t="n"/>
      <c r="W25" s="11" t="n"/>
      <c r="X25" s="11" t="n"/>
      <c r="Y25" s="11" t="n"/>
    </row>
    <row r="26">
      <c r="A26" s="10" t="inlineStr">
        <is>
          <t>2020</t>
        </is>
      </c>
      <c r="B26" s="11" t="n"/>
      <c r="C26" s="12" t="n">
        <v>2.5535</v>
      </c>
      <c r="D26" s="12" t="n">
        <v>1.1803</v>
      </c>
      <c r="E26" s="12" t="n">
        <v>1.121</v>
      </c>
      <c r="F26" s="12" t="n">
        <v>1.0105</v>
      </c>
      <c r="G26" s="11" t="n"/>
      <c r="H26" s="11" t="n"/>
      <c r="I26" s="11" t="n"/>
      <c r="J26" s="11" t="n"/>
      <c r="K26" s="11" t="n"/>
      <c r="L26" s="11" t="n"/>
      <c r="M26" s="11" t="n"/>
      <c r="N26" s="11" t="n"/>
      <c r="O26" s="11" t="n"/>
      <c r="P26" s="11" t="n"/>
      <c r="Q26" s="11" t="n"/>
      <c r="R26" s="11" t="n"/>
      <c r="S26" s="11" t="n"/>
      <c r="T26" s="11" t="n"/>
      <c r="U26" s="11" t="n"/>
      <c r="V26" s="11" t="n"/>
      <c r="W26" s="11" t="n"/>
      <c r="X26" s="11" t="n"/>
      <c r="Y26" s="11" t="n"/>
    </row>
    <row r="27">
      <c r="A27" s="10" t="inlineStr">
        <is>
          <t>2021</t>
        </is>
      </c>
      <c r="B27" s="11" t="n"/>
      <c r="C27" s="12" t="n">
        <v>1.9981</v>
      </c>
      <c r="D27" s="12" t="n">
        <v>1.6664</v>
      </c>
      <c r="E27" s="12" t="n">
        <v>1.0698</v>
      </c>
      <c r="F27" s="11" t="n"/>
      <c r="G27" s="11" t="n"/>
      <c r="H27" s="11" t="n"/>
      <c r="I27" s="11" t="n"/>
      <c r="J27" s="11" t="n"/>
      <c r="K27" s="11" t="n"/>
      <c r="L27" s="11" t="n"/>
      <c r="M27" s="11" t="n"/>
      <c r="N27" s="11" t="n"/>
      <c r="O27" s="11" t="n"/>
      <c r="P27" s="11" t="n"/>
      <c r="Q27" s="11" t="n"/>
      <c r="R27" s="11" t="n"/>
      <c r="S27" s="11" t="n"/>
      <c r="T27" s="11" t="n"/>
      <c r="U27" s="11" t="n"/>
      <c r="V27" s="11" t="n"/>
      <c r="W27" s="11" t="n"/>
      <c r="X27" s="11" t="n"/>
      <c r="Y27" s="11" t="n"/>
    </row>
    <row r="28">
      <c r="A28" s="10" t="inlineStr">
        <is>
          <t>2022</t>
        </is>
      </c>
      <c r="B28" s="11" t="n"/>
      <c r="C28" s="12" t="n">
        <v>2.4294</v>
      </c>
      <c r="D28" s="12" t="n">
        <v>1.0595</v>
      </c>
      <c r="E28" s="11" t="n"/>
      <c r="F28" s="11" t="n"/>
      <c r="G28" s="11" t="n"/>
      <c r="H28" s="11" t="n"/>
      <c r="I28" s="11" t="n"/>
      <c r="J28" s="11" t="n"/>
      <c r="K28" s="11" t="n"/>
      <c r="L28" s="11" t="n"/>
      <c r="M28" s="11" t="n"/>
      <c r="N28" s="11" t="n"/>
      <c r="O28" s="11" t="n"/>
      <c r="P28" s="11" t="n"/>
      <c r="Q28" s="11" t="n"/>
      <c r="R28" s="11" t="n"/>
      <c r="S28" s="11" t="n"/>
      <c r="T28" s="11" t="n"/>
      <c r="U28" s="11" t="n"/>
      <c r="V28" s="11" t="n"/>
      <c r="W28" s="11" t="n"/>
      <c r="X28" s="11" t="n"/>
      <c r="Y28" s="11" t="n"/>
    </row>
    <row r="29">
      <c r="A29" s="10" t="inlineStr">
        <is>
          <t>2023</t>
        </is>
      </c>
      <c r="B29" s="11" t="n"/>
      <c r="C29" s="12" t="n">
        <v>3.2653</v>
      </c>
      <c r="D29" s="11" t="n"/>
      <c r="E29" s="11" t="n"/>
      <c r="F29" s="11" t="n"/>
      <c r="G29" s="11" t="n"/>
      <c r="H29" s="11" t="n"/>
      <c r="I29" s="11" t="n"/>
      <c r="J29" s="11" t="n"/>
      <c r="K29" s="11" t="n"/>
      <c r="L29" s="11" t="n"/>
      <c r="M29" s="11" t="n"/>
      <c r="N29" s="11" t="n"/>
      <c r="O29" s="11" t="n"/>
      <c r="P29" s="11" t="n"/>
      <c r="Q29" s="11" t="n"/>
      <c r="R29" s="11" t="n"/>
      <c r="S29" s="11" t="n"/>
      <c r="T29" s="11" t="n"/>
      <c r="U29" s="11" t="n"/>
      <c r="V29" s="11" t="n"/>
      <c r="W29" s="11" t="n"/>
      <c r="X29" s="11" t="n"/>
      <c r="Y29" s="11" t="n"/>
    </row>
    <row r="30">
      <c r="A30" s="10" t="inlineStr">
        <is>
          <t>2024</t>
        </is>
      </c>
      <c r="B30" s="11" t="n"/>
      <c r="C30" s="11" t="n"/>
      <c r="D30" s="11" t="n"/>
      <c r="E30" s="11" t="n"/>
      <c r="F30" s="11" t="n"/>
      <c r="G30" s="11" t="n"/>
      <c r="H30" s="11" t="n"/>
      <c r="I30" s="11" t="n"/>
      <c r="J30" s="11" t="n"/>
      <c r="K30" s="11" t="n"/>
      <c r="L30" s="11" t="n"/>
      <c r="M30" s="11" t="n"/>
      <c r="N30" s="11" t="n"/>
      <c r="O30" s="11" t="n"/>
      <c r="P30" s="11" t="n"/>
      <c r="Q30" s="11" t="n"/>
      <c r="R30" s="11" t="n"/>
      <c r="S30" s="11" t="n"/>
      <c r="T30" s="11" t="n"/>
      <c r="U30" s="11" t="n"/>
      <c r="V30" s="11" t="n"/>
      <c r="W30" s="11" t="n"/>
      <c r="X30" s="11" t="n"/>
      <c r="Y30" s="11" t="n"/>
    </row>
    <row r="31">
      <c r="A31" s="13"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3"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7"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14" t="n">
        <v>143</v>
      </c>
      <c r="B36" s="15" t="inlineStr">
        <is>
          <t>N</t>
        </is>
      </c>
      <c r="C36" s="16" t="n">
        <v>0.01817996899513755</v>
      </c>
      <c r="D36" s="17" t="n">
        <v>6</v>
      </c>
      <c r="E36" s="15" t="inlineStr">
        <is>
          <t>bondy</t>
        </is>
      </c>
      <c r="F36" s="15" t="inlineStr"/>
      <c r="G36" s="16" t="n">
        <v>1.0039</v>
      </c>
      <c r="H36" s="16" t="n"/>
      <c r="I36" s="16" t="n"/>
      <c r="J36" s="16" t="n"/>
      <c r="K36" s="15" t="inlineStr">
        <is>
          <t>N</t>
        </is>
      </c>
      <c r="L36" s="18" t="n">
        <v>0.06228392439428904</v>
      </c>
      <c r="M36" s="15" t="inlineStr">
        <is>
          <t>Y</t>
        </is>
      </c>
      <c r="N36" s="19" t="n">
        <v>522894.7693890631</v>
      </c>
      <c r="O36" s="19" t="n">
        <v>958640.4105466083</v>
      </c>
    </row>
    <row r="37">
      <c r="A37" s="20" t="n">
        <v>143</v>
      </c>
      <c r="B37" s="21" t="inlineStr">
        <is>
          <t>N</t>
        </is>
      </c>
      <c r="C37" s="22" t="n">
        <v>0.01817996899513755</v>
      </c>
      <c r="D37" s="23" t="n">
        <v>6</v>
      </c>
      <c r="E37" s="21" t="inlineStr">
        <is>
          <t>exp_dev_product</t>
        </is>
      </c>
      <c r="F37" s="21" t="inlineStr">
        <is>
          <t>[0.011941365596704483, 0.8717942642959445]</t>
        </is>
      </c>
      <c r="G37" s="22" t="n">
        <v>1.018095619722987</v>
      </c>
      <c r="H37" s="22" t="n">
        <v>0.2308473328047094</v>
      </c>
      <c r="I37" s="22" t="n">
        <v>0.002004170803278808</v>
      </c>
      <c r="J37" s="22" t="n">
        <v>0.008158634403295523</v>
      </c>
      <c r="K37" s="21" t="inlineStr">
        <is>
          <t>Y</t>
        </is>
      </c>
      <c r="L37" s="24" t="n">
        <v>0.2843287039380108</v>
      </c>
      <c r="M37" s="21" t="inlineStr">
        <is>
          <t>N</t>
        </is>
      </c>
      <c r="N37" s="25" t="n">
        <v>515603.8871206492</v>
      </c>
      <c r="O37" s="25" t="n">
        <v>945273.7930545285</v>
      </c>
    </row>
    <row r="38">
      <c r="A38" s="20" t="n">
        <v>143</v>
      </c>
      <c r="B38" s="21" t="inlineStr">
        <is>
          <t>N</t>
        </is>
      </c>
      <c r="C38" s="22" t="n">
        <v>0.01817996899513755</v>
      </c>
      <c r="D38" s="23" t="n">
        <v>6</v>
      </c>
      <c r="E38" s="21" t="inlineStr">
        <is>
          <t>exp_dev_quick</t>
        </is>
      </c>
      <c r="F38" s="21" t="inlineStr">
        <is>
          <t>[0.011941365596704483, 0.8717942642959445]</t>
        </is>
      </c>
      <c r="G38" s="22" t="n">
        <v>1.031078396186502</v>
      </c>
      <c r="H38" s="22" t="n">
        <v>0.2308473328047094</v>
      </c>
      <c r="I38" s="22" t="n">
        <v>0.002004170803278808</v>
      </c>
      <c r="J38" s="22" t="n">
        <v>0.008158634403295523</v>
      </c>
      <c r="K38" s="21" t="inlineStr">
        <is>
          <t>Y</t>
        </is>
      </c>
      <c r="L38" s="24" t="n">
        <v>0.4812207520450426</v>
      </c>
      <c r="M38" s="21" t="inlineStr">
        <is>
          <t>N</t>
        </is>
      </c>
      <c r="N38" s="25" t="n">
        <v>509111.6843599677</v>
      </c>
      <c r="O38" s="25" t="n">
        <v>933371.4213266</v>
      </c>
    </row>
    <row r="39">
      <c r="A39" s="20" t="n">
        <v>143</v>
      </c>
      <c r="B39" s="21" t="inlineStr">
        <is>
          <t>N</t>
        </is>
      </c>
      <c r="C39" s="22" t="n">
        <v>0.01817996899513755</v>
      </c>
      <c r="D39" s="23" t="n">
        <v>6</v>
      </c>
      <c r="E39" s="21" t="inlineStr">
        <is>
          <t>exp_dev_quick_exact_last</t>
        </is>
      </c>
      <c r="F39" s="21" t="inlineStr">
        <is>
          <t>[0.011941365596704483, 0.8717942642959445]</t>
        </is>
      </c>
      <c r="G39" s="22" t="n">
        <v>1.045910828459935</v>
      </c>
      <c r="H39" s="22" t="n">
        <v>0.2308473328047094</v>
      </c>
      <c r="I39" s="22" t="n">
        <v>0.002004170803278808</v>
      </c>
      <c r="J39" s="22" t="n">
        <v>0.008158634403295523</v>
      </c>
      <c r="K39" s="21" t="inlineStr">
        <is>
          <t>Y</t>
        </is>
      </c>
      <c r="L39" s="24" t="n">
        <v>0.699270656982969</v>
      </c>
      <c r="M39" s="21" t="inlineStr">
        <is>
          <t>N</t>
        </is>
      </c>
      <c r="N39" s="25" t="n">
        <v>501891.7910646573</v>
      </c>
      <c r="O39" s="25" t="n">
        <v>920134.9502852112</v>
      </c>
    </row>
    <row r="40">
      <c r="A40" s="20" t="n">
        <v>143</v>
      </c>
      <c r="B40" s="21" t="inlineStr">
        <is>
          <t>N</t>
        </is>
      </c>
      <c r="C40" s="22" t="n">
        <v>0.01817996899513755</v>
      </c>
      <c r="D40" s="23" t="n">
        <v>6</v>
      </c>
      <c r="E40" s="21" t="inlineStr">
        <is>
          <t>mcclenahan</t>
        </is>
      </c>
      <c r="F40" s="21" t="inlineStr">
        <is>
          <t>{"r": 0.40152706}</t>
        </is>
      </c>
      <c r="G40" s="22" t="n">
        <v>1.000000000765223</v>
      </c>
      <c r="H40" s="22" t="n"/>
      <c r="I40" s="22" t="n"/>
      <c r="J40" s="22" t="n"/>
      <c r="K40" s="21" t="inlineStr">
        <is>
          <t>N</t>
        </is>
      </c>
      <c r="L40" s="24" t="n">
        <v>1.227609617860993e-08</v>
      </c>
      <c r="M40" s="21" t="inlineStr">
        <is>
          <t>Y</t>
        </is>
      </c>
      <c r="N40" s="25" t="n">
        <v>524934.0585879907</v>
      </c>
      <c r="O40" s="25" t="n">
        <v>962379.1074113175</v>
      </c>
    </row>
    <row r="41">
      <c r="A41" s="14" t="n">
        <v>143</v>
      </c>
      <c r="B41" s="15" t="inlineStr">
        <is>
          <t>N</t>
        </is>
      </c>
      <c r="C41" s="16" t="n">
        <v>0.01817996899513755</v>
      </c>
      <c r="D41" s="17" t="n">
        <v>6</v>
      </c>
      <c r="E41" s="15" t="inlineStr">
        <is>
          <t>modified_bondy_double_dev</t>
        </is>
      </c>
      <c r="F41" s="15" t="inlineStr"/>
      <c r="G41" s="16" t="n">
        <v>1.0078</v>
      </c>
      <c r="H41" s="16" t="n"/>
      <c r="I41" s="16" t="n"/>
      <c r="J41" s="16" t="n"/>
      <c r="K41" s="15" t="inlineStr">
        <is>
          <t>N</t>
        </is>
      </c>
      <c r="L41" s="18" t="n">
        <v>0.1240091542280136</v>
      </c>
      <c r="M41" s="15" t="inlineStr">
        <is>
          <t>N</t>
        </is>
      </c>
      <c r="N41" s="19" t="n">
        <v>520871.2631372064</v>
      </c>
      <c r="O41" s="19" t="n">
        <v>954930.6490848809</v>
      </c>
    </row>
    <row r="42">
      <c r="A42" s="14" t="n">
        <v>143</v>
      </c>
      <c r="B42" s="15" t="inlineStr">
        <is>
          <t>N</t>
        </is>
      </c>
      <c r="C42" s="16" t="n">
        <v>0.01817996899513755</v>
      </c>
      <c r="D42" s="17" t="n">
        <v>6</v>
      </c>
      <c r="E42" s="15" t="inlineStr">
        <is>
          <t>modified_bondy_square_ratio</t>
        </is>
      </c>
      <c r="F42" s="15" t="inlineStr"/>
      <c r="G42" s="16" t="n">
        <v>1.00781521</v>
      </c>
      <c r="H42" s="16" t="n"/>
      <c r="I42" s="16" t="n"/>
      <c r="J42" s="16" t="n"/>
      <c r="K42" s="15" t="inlineStr">
        <is>
          <t>N</t>
        </is>
      </c>
      <c r="L42" s="18" t="n">
        <v>0.1242487987507122</v>
      </c>
      <c r="M42" s="15" t="inlineStr">
        <is>
          <t>N</t>
        </is>
      </c>
      <c r="N42" s="19" t="n">
        <v>520863.4021207914</v>
      </c>
      <c r="O42" s="19" t="n">
        <v>954916.2372214496</v>
      </c>
    </row>
    <row r="43">
      <c r="A43" s="14" t="n">
        <v>203</v>
      </c>
      <c r="B43" s="15" t="inlineStr">
        <is>
          <t>N</t>
        </is>
      </c>
      <c r="C43" s="16" t="n">
        <v>0.01080918552262794</v>
      </c>
      <c r="D43" s="17" t="n">
        <v>3</v>
      </c>
      <c r="E43" s="15" t="inlineStr">
        <is>
          <t>bondy</t>
        </is>
      </c>
      <c r="F43" s="15" t="inlineStr"/>
      <c r="G43" s="16" t="n">
        <v>1.0039</v>
      </c>
      <c r="H43" s="16" t="n"/>
      <c r="I43" s="16" t="n"/>
      <c r="J43" s="16" t="n"/>
      <c r="K43" s="15" t="inlineStr">
        <is>
          <t>N</t>
        </is>
      </c>
      <c r="L43" s="18" t="n">
        <v>0.06228392439428904</v>
      </c>
      <c r="M43" s="15" t="inlineStr">
        <is>
          <t>Y</t>
        </is>
      </c>
      <c r="N43" s="19" t="n">
        <v>522894.7693890631</v>
      </c>
      <c r="O43" s="19" t="n">
        <v>958640.4105466083</v>
      </c>
    </row>
    <row r="44">
      <c r="A44" s="20" t="n">
        <v>203</v>
      </c>
      <c r="B44" s="21" t="inlineStr">
        <is>
          <t>N</t>
        </is>
      </c>
      <c r="C44" s="22" t="n">
        <v>0.01080918552262794</v>
      </c>
      <c r="D44" s="23" t="n">
        <v>3</v>
      </c>
      <c r="E44" s="21" t="inlineStr">
        <is>
          <t>double_exp</t>
        </is>
      </c>
      <c r="F44" s="21" t="inlineStr">
        <is>
          <t>[-6.0197845785918815, 0.24717142993689123, -0.016926013800853207]</t>
        </is>
      </c>
      <c r="G44" s="22" t="n">
        <v>1.045603069011225</v>
      </c>
      <c r="H44" s="22" t="n">
        <v>0.4657683173472149</v>
      </c>
      <c r="I44" s="22" t="n"/>
      <c r="J44" s="22" t="n">
        <v>0.0001301930542501879</v>
      </c>
      <c r="K44" s="21" t="inlineStr">
        <is>
          <t>N</t>
        </is>
      </c>
      <c r="L44" s="24" t="n">
        <v>0.6948187443854217</v>
      </c>
      <c r="M44" s="21" t="inlineStr">
        <is>
          <t>N</t>
        </is>
      </c>
      <c r="N44" s="25" t="n">
        <v>502039.5162822977</v>
      </c>
      <c r="O44" s="25" t="n">
        <v>920405.7798508778</v>
      </c>
    </row>
    <row r="45">
      <c r="A45" s="20" t="n">
        <v>203</v>
      </c>
      <c r="B45" s="21" t="inlineStr">
        <is>
          <t>N</t>
        </is>
      </c>
      <c r="C45" s="22" t="n">
        <v>0.01080918552262794</v>
      </c>
      <c r="D45" s="23" t="n">
        <v>3</v>
      </c>
      <c r="E45" s="21" t="inlineStr">
        <is>
          <t>mcclenahan</t>
        </is>
      </c>
      <c r="F45" s="21" t="inlineStr">
        <is>
          <t>{"r": 0.53879871}</t>
        </is>
      </c>
      <c r="G45" s="22" t="n">
        <v>1.000000658371182</v>
      </c>
      <c r="H45" s="22" t="n"/>
      <c r="I45" s="22" t="n"/>
      <c r="J45" s="22" t="n"/>
      <c r="K45" s="21" t="inlineStr">
        <is>
          <t>N</t>
        </is>
      </c>
      <c r="L45" s="24" t="n">
        <v>1.056192008174933e-05</v>
      </c>
      <c r="M45" s="21" t="inlineStr">
        <is>
          <t>Y</t>
        </is>
      </c>
      <c r="N45" s="25" t="n">
        <v>524933.7133884504</v>
      </c>
      <c r="O45" s="25" t="n">
        <v>962378.4745454863</v>
      </c>
    </row>
    <row r="46">
      <c r="A46" s="14" t="n">
        <v>203</v>
      </c>
      <c r="B46" s="15" t="inlineStr">
        <is>
          <t>N</t>
        </is>
      </c>
      <c r="C46" s="16" t="n">
        <v>0.01080918552262794</v>
      </c>
      <c r="D46" s="17" t="n">
        <v>3</v>
      </c>
      <c r="E46" s="15" t="inlineStr">
        <is>
          <t>modified_bondy_double_dev</t>
        </is>
      </c>
      <c r="F46" s="15" t="inlineStr"/>
      <c r="G46" s="16" t="n">
        <v>1.0078</v>
      </c>
      <c r="H46" s="16" t="n"/>
      <c r="I46" s="16" t="n"/>
      <c r="J46" s="16" t="n"/>
      <c r="K46" s="15" t="inlineStr">
        <is>
          <t>N</t>
        </is>
      </c>
      <c r="L46" s="18" t="n">
        <v>0.1240091542280136</v>
      </c>
      <c r="M46" s="15" t="inlineStr">
        <is>
          <t>N</t>
        </is>
      </c>
      <c r="N46" s="19" t="n">
        <v>520871.2631372064</v>
      </c>
      <c r="O46" s="19" t="n">
        <v>954930.6490848809</v>
      </c>
    </row>
    <row r="47">
      <c r="A47" s="14" t="n">
        <v>203</v>
      </c>
      <c r="B47" s="15" t="inlineStr">
        <is>
          <t>N</t>
        </is>
      </c>
      <c r="C47" s="16" t="n">
        <v>0.01080918552262794</v>
      </c>
      <c r="D47" s="17" t="n">
        <v>3</v>
      </c>
      <c r="E47" s="15" t="inlineStr">
        <is>
          <t>modified_bondy_square_ratio</t>
        </is>
      </c>
      <c r="F47" s="15" t="inlineStr"/>
      <c r="G47" s="16" t="n">
        <v>1.00781521</v>
      </c>
      <c r="H47" s="16" t="n"/>
      <c r="I47" s="16" t="n"/>
      <c r="J47" s="16" t="n"/>
      <c r="K47" s="15" t="inlineStr">
        <is>
          <t>N</t>
        </is>
      </c>
      <c r="L47" s="18" t="n">
        <v>0.1242487987507122</v>
      </c>
      <c r="M47" s="15" t="inlineStr">
        <is>
          <t>N</t>
        </is>
      </c>
      <c r="N47" s="19" t="n">
        <v>520863.4021207914</v>
      </c>
      <c r="O47" s="19" t="n">
        <v>954916.2372214496</v>
      </c>
    </row>
    <row r="48">
      <c r="A48" s="20" t="n">
        <v>203</v>
      </c>
      <c r="B48" s="21" t="inlineStr">
        <is>
          <t>N</t>
        </is>
      </c>
      <c r="C48" s="22" t="n">
        <v>0.01080918552262794</v>
      </c>
      <c r="D48" s="23" t="n">
        <v>3</v>
      </c>
      <c r="E48" s="21" t="inlineStr">
        <is>
          <t>skurnick</t>
        </is>
      </c>
      <c r="F48" s="21" t="inlineStr">
        <is>
          <t>{"r": 0.66153395, "A": 87530.41887367, "n": 6}</t>
        </is>
      </c>
      <c r="G48" s="22" t="n">
        <v>1.329127668281158</v>
      </c>
      <c r="H48" s="22" t="n">
        <v>0.7953061848048253</v>
      </c>
      <c r="I48" s="22" t="n"/>
      <c r="J48" s="22" t="n"/>
      <c r="K48" s="21" t="inlineStr">
        <is>
          <t>N</t>
        </is>
      </c>
      <c r="L48" s="24" t="n">
        <v>3.820774154146964</v>
      </c>
      <c r="M48" s="21" t="inlineStr">
        <is>
          <t>N</t>
        </is>
      </c>
      <c r="N48" s="25" t="n">
        <v>394946.3031407148</v>
      </c>
      <c r="O48" s="25" t="n">
        <v>724068.2224246487</v>
      </c>
    </row>
    <row r="49"/>
    <row r="50">
      <c r="A50" s="7" t="inlineStr">
        <is>
          <t>Tail Factor Selection</t>
        </is>
      </c>
      <c r="B50" s="2" t="n"/>
      <c r="C50" s="2" t="n"/>
      <c r="D50" s="2" t="n"/>
      <c r="E50" s="2" t="n"/>
      <c r="F50" s="3" t="n"/>
    </row>
    <row r="51">
      <c r="A51" s="9" t="inlineStr">
        <is>
          <t>Label</t>
        </is>
      </c>
      <c r="B51" s="9" t="inlineStr">
        <is>
          <t>Cutoff Age</t>
        </is>
      </c>
      <c r="C51" s="9" t="inlineStr">
        <is>
          <t>Tail Factor</t>
        </is>
      </c>
      <c r="D51" s="9" t="inlineStr">
        <is>
          <t>Method</t>
        </is>
      </c>
      <c r="E51" s="9" t="inlineStr">
        <is>
          <t>Reasoning</t>
        </is>
      </c>
      <c r="F51" s="9" t="inlineStr">
        <is>
          <t>Additional Notes</t>
        </is>
      </c>
    </row>
    <row r="52">
      <c r="A52" s="26" t="inlineStr">
        <is>
          <t>Rules-Based AI Selection</t>
        </is>
      </c>
      <c r="B52" s="32" t="n">
        <v>143</v>
      </c>
      <c r="C52" s="33" t="n">
        <v>1.0039</v>
      </c>
      <c r="D52" s="34" t="inlineStr">
        <is>
          <t>bondy</t>
        </is>
      </c>
      <c r="E52" s="34" t="inlineStr">
        <is>
          <t>Paid Loss triangle—longest tail expected among measures. Both starting ages fail monotonicity criteria (is_monotone_from_here=False, slope_sign_changes 6 and 3 at ages 143 and 203 respectively); structural breaks in paid cash flows are typical for long-tail workers compensation. Age 143 exponential methods (exp_dev_quick, exp_dev_quick_exact_last, exp_dev_product) all fail hard Gap Rule (gap_flag=True)—REJECTED. Age 203 double_exp passes Gap Rule (gap_flag=False) but produces material tail (pct_of_cdf=0.695%, r_squared=0.4658). Bondy (1.0039) selected at age 143: passes Gap Rule (gap_flag=False), immaterial tail (pct_of_cdf=0.062%, materiality_ok=True), stable by construction (no fit required), carries forward observed last factor. Materiality anchor applies strongly—tail is negligible. Reserve impact moderate (~600k range, comparable to double_exp alternatives). Bondy prioritizes simplicity and materiality for dollar measure with late-age volatility. While double_exp offers richer theoretical framework, Bondy's materiality anchor is superior and supports ASOP 43 principle of using simplest adequate method. This selection is most defensible for a dollar measure with structural breaks. ASOP 43 compliant.</t>
        </is>
      </c>
      <c r="F52" s="34" t="inlineStr"/>
    </row>
    <row r="53">
      <c r="A53" s="28" t="inlineStr">
        <is>
          <t>Open-Ended AI Selection</t>
        </is>
      </c>
      <c r="B53" s="35" t="n">
        <v>203</v>
      </c>
      <c r="C53" s="36" t="n">
        <v>1.0039</v>
      </c>
      <c r="D53" s="37" t="inlineStr">
        <is>
          <t>bondy</t>
        </is>
      </c>
      <c r="E53" s="37" t="inlineStr">
        <is>
          <t>Paid loss exhibits clean, rapid tail closure. At age 143: Bondy yields 1.0039 (materiality_ok=True, immaterial 0.062% of CDF); McClenahan produces 1.0000; exp_dev_quick_exact_last = 1.0459 with weak R²=0.231 and gap_flag=True. At age 203: Bondy again = 1.0039 (materiality_ok=True); double exponential = 1.0456 with improved R²=0.467 but loo_max=inf signals potential instability; McClenahan ≈ 1.0. CV at age 143 is only 0.018, indicating minimal remaining development. Observed factors show rapid decay—early ages drive the reserve build, tail factors are nearly flat. Bondy at age 203 is preferred: immaterial tail, consistent across both starting points, materiality_ok flag confirms defensibility, and avoids the fitting artifacts of exponential variants. Slight positive tail of 0.39% reasonably captures any minor tail uncertainty while remaining actuarially conservative.</t>
        </is>
      </c>
      <c r="F53" s="37" t="inlineStr"/>
    </row>
    <row r="54"/>
    <row r="55">
      <c r="A55" s="30" t="inlineStr">
        <is>
          <t>User Selection</t>
        </is>
      </c>
      <c r="B55" s="31" t="inlineStr"/>
      <c r="C55" s="31" t="inlineStr"/>
      <c r="D55" s="31" t="inlineStr"/>
      <c r="E55" s="31" t="inlineStr"/>
      <c r="F55" s="31" t="inlineStr"/>
    </row>
  </sheetData>
  <mergeCells count="5">
    <mergeCell ref="A2:L2"/>
    <mergeCell ref="A1:L1"/>
    <mergeCell ref="A5:Y5"/>
    <mergeCell ref="A50:F50"/>
    <mergeCell ref="A34:O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48"/>
  <sheetViews>
    <sheetView workbookViewId="0">
      <selection activeCell="A1" sqref="A1"/>
    </sheetView>
  </sheetViews>
  <sheetFormatPr baseColWidth="8" defaultRowHeight="15"/>
  <cols>
    <col width="30" customWidth="1" min="1" max="1"/>
    <col width="12" customWidth="1" min="2" max="2"/>
    <col width="12" customWidth="1" min="3" max="3"/>
    <col width="15" customWidth="1" min="4" max="4"/>
    <col width="25" customWidth="1" min="5" max="5"/>
    <col width="30" customWidth="1" min="6" max="6"/>
  </cols>
  <sheetData>
    <row r="1">
      <c r="A1" s="1" t="inlineStr">
        <is>
          <t>Reported Count</t>
        </is>
      </c>
      <c r="B1" s="2" t="n"/>
      <c r="C1" s="2" t="n"/>
      <c r="D1" s="2" t="n"/>
      <c r="E1" s="2" t="n"/>
      <c r="F1" s="2" t="n"/>
      <c r="G1" s="2" t="n"/>
      <c r="H1" s="2" t="n"/>
      <c r="I1" s="2" t="n"/>
      <c r="J1" s="2" t="n"/>
      <c r="K1" s="2" t="n"/>
      <c r="L1" s="3" t="n"/>
    </row>
    <row r="2">
      <c r="A2" s="4" t="inlineStr">
        <is>
          <t>Reported count tails similar to incurred loss</t>
        </is>
      </c>
    </row>
    <row r="3">
      <c r="A3" s="5" t="inlineStr">
        <is>
          <t>Max Observed Age:</t>
        </is>
      </c>
      <c r="B3" s="6" t="inlineStr">
        <is>
          <t>287</t>
        </is>
      </c>
      <c r="D3" s="5" t="inlineStr">
        <is>
          <t>Accident Years:</t>
        </is>
      </c>
      <c r="E3" s="6" t="n">
        <v>24</v>
      </c>
      <c r="G3" s="5" t="inlineStr">
        <is>
          <t>Closure % at Last Age:</t>
        </is>
      </c>
      <c r="H3" s="6" t="inlineStr">
        <is>
          <t>N/A</t>
        </is>
      </c>
      <c r="J3" s="5" t="inlineStr">
        <is>
          <t>Last Observed Avg LDF:</t>
        </is>
      </c>
      <c r="K3" s="6" t="inlineStr">
        <is>
          <t>1.0000</t>
        </is>
      </c>
    </row>
    <row r="4"/>
    <row r="5">
      <c r="A5" s="7" t="inlineStr">
        <is>
          <t>Observed Age-to-Age Factors</t>
        </is>
      </c>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3" t="n"/>
    </row>
    <row r="6">
      <c r="A6" s="8" t="inlineStr">
        <is>
          <t>Accident Year</t>
        </is>
      </c>
      <c r="B6" s="9" t="inlineStr">
        <is>
          <t>11</t>
        </is>
      </c>
      <c r="C6" s="9" t="inlineStr">
        <is>
          <t>23</t>
        </is>
      </c>
      <c r="D6" s="9" t="inlineStr">
        <is>
          <t>35</t>
        </is>
      </c>
      <c r="E6" s="9" t="inlineStr">
        <is>
          <t>47</t>
        </is>
      </c>
      <c r="F6" s="9" t="inlineStr">
        <is>
          <t>59</t>
        </is>
      </c>
      <c r="G6" s="9" t="inlineStr">
        <is>
          <t>71</t>
        </is>
      </c>
      <c r="H6" s="9" t="inlineStr">
        <is>
          <t>83</t>
        </is>
      </c>
      <c r="I6" s="9" t="inlineStr">
        <is>
          <t>95</t>
        </is>
      </c>
      <c r="J6" s="9" t="inlineStr">
        <is>
          <t>107</t>
        </is>
      </c>
      <c r="K6" s="9" t="inlineStr">
        <is>
          <t>119</t>
        </is>
      </c>
      <c r="L6" s="9" t="inlineStr">
        <is>
          <t>131</t>
        </is>
      </c>
      <c r="M6" s="9" t="inlineStr">
        <is>
          <t>143</t>
        </is>
      </c>
      <c r="N6" s="9" t="inlineStr">
        <is>
          <t>155</t>
        </is>
      </c>
      <c r="O6" s="9" t="inlineStr">
        <is>
          <t>167</t>
        </is>
      </c>
      <c r="P6" s="9" t="inlineStr">
        <is>
          <t>179</t>
        </is>
      </c>
      <c r="Q6" s="9" t="inlineStr">
        <is>
          <t>191</t>
        </is>
      </c>
      <c r="R6" s="9" t="inlineStr">
        <is>
          <t>203</t>
        </is>
      </c>
      <c r="S6" s="9" t="inlineStr">
        <is>
          <t>215</t>
        </is>
      </c>
      <c r="T6" s="9" t="inlineStr">
        <is>
          <t>227</t>
        </is>
      </c>
      <c r="U6" s="9" t="inlineStr">
        <is>
          <t>239</t>
        </is>
      </c>
      <c r="V6" s="9" t="inlineStr">
        <is>
          <t>251</t>
        </is>
      </c>
      <c r="W6" s="9" t="inlineStr">
        <is>
          <t>263</t>
        </is>
      </c>
      <c r="X6" s="9" t="inlineStr">
        <is>
          <t>275</t>
        </is>
      </c>
      <c r="Y6" s="9" t="inlineStr">
        <is>
          <t>287</t>
        </is>
      </c>
    </row>
    <row r="7">
      <c r="A7" s="10" t="inlineStr">
        <is>
          <t>2001</t>
        </is>
      </c>
      <c r="B7" s="11" t="n"/>
      <c r="C7" s="12" t="n">
        <v>1.0704</v>
      </c>
      <c r="D7" s="12" t="n">
        <v>1.0019</v>
      </c>
      <c r="E7" s="12" t="n">
        <v>1</v>
      </c>
      <c r="F7" s="12" t="n">
        <v>1</v>
      </c>
      <c r="G7" s="12" t="n">
        <v>1</v>
      </c>
      <c r="H7" s="12" t="n">
        <v>1.0251</v>
      </c>
      <c r="I7" s="12" t="n">
        <v>1</v>
      </c>
      <c r="J7" s="12" t="n">
        <v>1</v>
      </c>
      <c r="K7" s="12" t="n">
        <v>1</v>
      </c>
      <c r="L7" s="12" t="n">
        <v>1</v>
      </c>
      <c r="M7" s="12" t="n">
        <v>1</v>
      </c>
      <c r="N7" s="12" t="n">
        <v>1</v>
      </c>
      <c r="O7" s="12" t="n">
        <v>1</v>
      </c>
      <c r="P7" s="12" t="n">
        <v>1</v>
      </c>
      <c r="Q7" s="12" t="n">
        <v>1</v>
      </c>
      <c r="R7" s="12" t="n">
        <v>1</v>
      </c>
      <c r="S7" s="12" t="n">
        <v>1</v>
      </c>
      <c r="T7" s="12" t="n">
        <v>1</v>
      </c>
      <c r="U7" s="12" t="n">
        <v>1</v>
      </c>
      <c r="V7" s="12" t="n">
        <v>1</v>
      </c>
      <c r="W7" s="12" t="n">
        <v>1</v>
      </c>
      <c r="X7" s="12" t="n">
        <v>1</v>
      </c>
      <c r="Y7" s="12" t="n">
        <v>1</v>
      </c>
    </row>
    <row r="8">
      <c r="A8" s="10" t="inlineStr">
        <is>
          <t>2002</t>
        </is>
      </c>
      <c r="B8" s="11" t="n"/>
      <c r="C8" s="12" t="n">
        <v>1.0344</v>
      </c>
      <c r="D8" s="12" t="n">
        <v>1</v>
      </c>
      <c r="E8" s="12" t="n">
        <v>1</v>
      </c>
      <c r="F8" s="12" t="n">
        <v>1</v>
      </c>
      <c r="G8" s="12" t="n">
        <v>1.027</v>
      </c>
      <c r="H8" s="12" t="n">
        <v>1</v>
      </c>
      <c r="I8" s="12" t="n">
        <v>1</v>
      </c>
      <c r="J8" s="12" t="n">
        <v>1</v>
      </c>
      <c r="K8" s="12" t="n">
        <v>1</v>
      </c>
      <c r="L8" s="12" t="n">
        <v>1</v>
      </c>
      <c r="M8" s="12" t="n">
        <v>1</v>
      </c>
      <c r="N8" s="12" t="n">
        <v>1</v>
      </c>
      <c r="O8" s="12" t="n">
        <v>1</v>
      </c>
      <c r="P8" s="12" t="n">
        <v>1</v>
      </c>
      <c r="Q8" s="12" t="n">
        <v>1</v>
      </c>
      <c r="R8" s="12" t="n">
        <v>1</v>
      </c>
      <c r="S8" s="12" t="n">
        <v>1</v>
      </c>
      <c r="T8" s="12" t="n">
        <v>1</v>
      </c>
      <c r="U8" s="12" t="n">
        <v>1</v>
      </c>
      <c r="V8" s="12" t="n">
        <v>1</v>
      </c>
      <c r="W8" s="12" t="n">
        <v>1</v>
      </c>
      <c r="X8" s="12" t="n">
        <v>1</v>
      </c>
      <c r="Y8" s="11" t="n"/>
    </row>
    <row r="9">
      <c r="A9" s="10" t="inlineStr">
        <is>
          <t>2003</t>
        </is>
      </c>
      <c r="B9" s="11" t="n"/>
      <c r="C9" s="12" t="n">
        <v>1.0346</v>
      </c>
      <c r="D9" s="12" t="n">
        <v>1</v>
      </c>
      <c r="E9" s="12" t="n">
        <v>1</v>
      </c>
      <c r="F9" s="12" t="n">
        <v>0.9952</v>
      </c>
      <c r="G9" s="12" t="n">
        <v>1</v>
      </c>
      <c r="H9" s="12" t="n">
        <v>1.0024</v>
      </c>
      <c r="I9" s="12" t="n">
        <v>1</v>
      </c>
      <c r="J9" s="12" t="n">
        <v>1</v>
      </c>
      <c r="K9" s="12" t="n">
        <v>1</v>
      </c>
      <c r="L9" s="12" t="n">
        <v>1</v>
      </c>
      <c r="M9" s="12" t="n">
        <v>1</v>
      </c>
      <c r="N9" s="12" t="n">
        <v>1</v>
      </c>
      <c r="O9" s="12" t="n">
        <v>1</v>
      </c>
      <c r="P9" s="12" t="n">
        <v>1</v>
      </c>
      <c r="Q9" s="12" t="n">
        <v>1</v>
      </c>
      <c r="R9" s="12" t="n">
        <v>1</v>
      </c>
      <c r="S9" s="12" t="n">
        <v>1</v>
      </c>
      <c r="T9" s="12" t="n">
        <v>1</v>
      </c>
      <c r="U9" s="12" t="n">
        <v>1</v>
      </c>
      <c r="V9" s="12" t="n">
        <v>1</v>
      </c>
      <c r="W9" s="12" t="n">
        <v>1</v>
      </c>
      <c r="X9" s="11" t="n"/>
      <c r="Y9" s="11" t="n"/>
    </row>
    <row r="10">
      <c r="A10" s="10" t="inlineStr">
        <is>
          <t>2004</t>
        </is>
      </c>
      <c r="B10" s="11" t="n"/>
      <c r="C10" s="12" t="n">
        <v>1.0591</v>
      </c>
      <c r="D10" s="12" t="n">
        <v>1</v>
      </c>
      <c r="E10" s="12" t="n">
        <v>1.0041</v>
      </c>
      <c r="F10" s="12" t="n">
        <v>1.0021</v>
      </c>
      <c r="G10" s="12" t="n">
        <v>1</v>
      </c>
      <c r="H10" s="12" t="n">
        <v>1</v>
      </c>
      <c r="I10" s="12" t="n">
        <v>1</v>
      </c>
      <c r="J10" s="12" t="n">
        <v>1</v>
      </c>
      <c r="K10" s="12" t="n">
        <v>1</v>
      </c>
      <c r="L10" s="12" t="n">
        <v>1</v>
      </c>
      <c r="M10" s="12" t="n">
        <v>1</v>
      </c>
      <c r="N10" s="12" t="n">
        <v>1</v>
      </c>
      <c r="O10" s="12" t="n">
        <v>1</v>
      </c>
      <c r="P10" s="12" t="n">
        <v>1</v>
      </c>
      <c r="Q10" s="12" t="n">
        <v>1</v>
      </c>
      <c r="R10" s="12" t="n">
        <v>1</v>
      </c>
      <c r="S10" s="12" t="n">
        <v>1</v>
      </c>
      <c r="T10" s="12" t="n">
        <v>1</v>
      </c>
      <c r="U10" s="12" t="n">
        <v>1</v>
      </c>
      <c r="V10" s="12" t="n">
        <v>1</v>
      </c>
      <c r="W10" s="11" t="n"/>
      <c r="X10" s="11" t="n"/>
      <c r="Y10" s="11" t="n"/>
    </row>
    <row r="11">
      <c r="A11" s="10" t="inlineStr">
        <is>
          <t>2005</t>
        </is>
      </c>
      <c r="B11" s="11" t="n"/>
      <c r="C11" s="12" t="n">
        <v>1.0232</v>
      </c>
      <c r="D11" s="12" t="n">
        <v>1.0021</v>
      </c>
      <c r="E11" s="12" t="n">
        <v>0.9979</v>
      </c>
      <c r="F11" s="12" t="n">
        <v>1</v>
      </c>
      <c r="G11" s="12" t="n">
        <v>1</v>
      </c>
      <c r="H11" s="12" t="n">
        <v>1</v>
      </c>
      <c r="I11" s="12" t="n">
        <v>1</v>
      </c>
      <c r="J11" s="12" t="n">
        <v>1</v>
      </c>
      <c r="K11" s="12" t="n">
        <v>1</v>
      </c>
      <c r="L11" s="12" t="n">
        <v>1</v>
      </c>
      <c r="M11" s="12" t="n">
        <v>1</v>
      </c>
      <c r="N11" s="12" t="n">
        <v>1</v>
      </c>
      <c r="O11" s="12" t="n">
        <v>1</v>
      </c>
      <c r="P11" s="12" t="n">
        <v>1</v>
      </c>
      <c r="Q11" s="12" t="n">
        <v>1</v>
      </c>
      <c r="R11" s="12" t="n">
        <v>1</v>
      </c>
      <c r="S11" s="12" t="n">
        <v>1</v>
      </c>
      <c r="T11" s="12" t="n">
        <v>1</v>
      </c>
      <c r="U11" s="12" t="n">
        <v>1</v>
      </c>
      <c r="V11" s="11" t="n"/>
      <c r="W11" s="11" t="n"/>
      <c r="X11" s="11" t="n"/>
      <c r="Y11" s="11" t="n"/>
    </row>
    <row r="12">
      <c r="A12" s="10" t="inlineStr">
        <is>
          <t>2006</t>
        </is>
      </c>
      <c r="B12" s="11" t="n"/>
      <c r="C12" s="12" t="n">
        <v>1.0386</v>
      </c>
      <c r="D12" s="12" t="n">
        <v>1</v>
      </c>
      <c r="E12" s="12" t="n">
        <v>1</v>
      </c>
      <c r="F12" s="12" t="n">
        <v>1</v>
      </c>
      <c r="G12" s="12" t="n">
        <v>1</v>
      </c>
      <c r="H12" s="12" t="n">
        <v>1</v>
      </c>
      <c r="I12" s="12" t="n">
        <v>1</v>
      </c>
      <c r="J12" s="12" t="n">
        <v>1</v>
      </c>
      <c r="K12" s="12" t="n">
        <v>1</v>
      </c>
      <c r="L12" s="12" t="n">
        <v>1</v>
      </c>
      <c r="M12" s="12" t="n">
        <v>1</v>
      </c>
      <c r="N12" s="12" t="n">
        <v>1</v>
      </c>
      <c r="O12" s="12" t="n">
        <v>1</v>
      </c>
      <c r="P12" s="12" t="n">
        <v>1</v>
      </c>
      <c r="Q12" s="12" t="n">
        <v>1</v>
      </c>
      <c r="R12" s="12" t="n">
        <v>1</v>
      </c>
      <c r="S12" s="12" t="n">
        <v>1</v>
      </c>
      <c r="T12" s="12" t="n">
        <v>1</v>
      </c>
      <c r="U12" s="11" t="n"/>
      <c r="V12" s="11" t="n"/>
      <c r="W12" s="11" t="n"/>
      <c r="X12" s="11" t="n"/>
      <c r="Y12" s="11" t="n"/>
    </row>
    <row r="13">
      <c r="A13" s="10" t="inlineStr">
        <is>
          <t>2007</t>
        </is>
      </c>
      <c r="B13" s="11" t="n"/>
      <c r="C13" s="12" t="n">
        <v>1.0434</v>
      </c>
      <c r="D13" s="12" t="n">
        <v>1</v>
      </c>
      <c r="E13" s="12" t="n">
        <v>1</v>
      </c>
      <c r="F13" s="12" t="n">
        <v>1</v>
      </c>
      <c r="G13" s="12" t="n">
        <v>1</v>
      </c>
      <c r="H13" s="12" t="n">
        <v>1</v>
      </c>
      <c r="I13" s="12" t="n">
        <v>1</v>
      </c>
      <c r="J13" s="12" t="n">
        <v>1</v>
      </c>
      <c r="K13" s="12" t="n">
        <v>1</v>
      </c>
      <c r="L13" s="12" t="n">
        <v>1</v>
      </c>
      <c r="M13" s="12" t="n">
        <v>1</v>
      </c>
      <c r="N13" s="12" t="n">
        <v>1</v>
      </c>
      <c r="O13" s="12" t="n">
        <v>1</v>
      </c>
      <c r="P13" s="12" t="n">
        <v>1</v>
      </c>
      <c r="Q13" s="12" t="n">
        <v>1</v>
      </c>
      <c r="R13" s="12" t="n">
        <v>1</v>
      </c>
      <c r="S13" s="12" t="n">
        <v>1</v>
      </c>
      <c r="T13" s="11" t="n"/>
      <c r="U13" s="11" t="n"/>
      <c r="V13" s="11" t="n"/>
      <c r="W13" s="11" t="n"/>
      <c r="X13" s="11" t="n"/>
      <c r="Y13" s="11" t="n"/>
    </row>
    <row r="14">
      <c r="A14" s="10" t="inlineStr">
        <is>
          <t>2008</t>
        </is>
      </c>
      <c r="B14" s="11" t="n"/>
      <c r="C14" s="12" t="n">
        <v>1.0644</v>
      </c>
      <c r="D14" s="12" t="n">
        <v>1.004</v>
      </c>
      <c r="E14" s="12" t="n">
        <v>1</v>
      </c>
      <c r="F14" s="12" t="n">
        <v>1</v>
      </c>
      <c r="G14" s="12" t="n">
        <v>1</v>
      </c>
      <c r="H14" s="12" t="n">
        <v>1</v>
      </c>
      <c r="I14" s="12" t="n">
        <v>1</v>
      </c>
      <c r="J14" s="12" t="n">
        <v>1</v>
      </c>
      <c r="K14" s="12" t="n">
        <v>1</v>
      </c>
      <c r="L14" s="12" t="n">
        <v>1</v>
      </c>
      <c r="M14" s="12" t="n">
        <v>1</v>
      </c>
      <c r="N14" s="12" t="n">
        <v>1</v>
      </c>
      <c r="O14" s="12" t="n">
        <v>1</v>
      </c>
      <c r="P14" s="12" t="n">
        <v>1</v>
      </c>
      <c r="Q14" s="12" t="n">
        <v>1</v>
      </c>
      <c r="R14" s="12" t="n">
        <v>1</v>
      </c>
      <c r="S14" s="11" t="n"/>
      <c r="T14" s="11" t="n"/>
      <c r="U14" s="11" t="n"/>
      <c r="V14" s="11" t="n"/>
      <c r="W14" s="11" t="n"/>
      <c r="X14" s="11" t="n"/>
      <c r="Y14" s="11" t="n"/>
    </row>
    <row r="15">
      <c r="A15" s="10" t="inlineStr">
        <is>
          <t>2009</t>
        </is>
      </c>
      <c r="B15" s="11" t="n"/>
      <c r="C15" s="12" t="n">
        <v>1.0474</v>
      </c>
      <c r="D15" s="12" t="n">
        <v>1.0041</v>
      </c>
      <c r="E15" s="12" t="n">
        <v>1</v>
      </c>
      <c r="F15" s="12" t="n">
        <v>1</v>
      </c>
      <c r="G15" s="12" t="n">
        <v>1</v>
      </c>
      <c r="H15" s="12" t="n">
        <v>1</v>
      </c>
      <c r="I15" s="12" t="n">
        <v>1</v>
      </c>
      <c r="J15" s="12" t="n">
        <v>1</v>
      </c>
      <c r="K15" s="12" t="n">
        <v>1</v>
      </c>
      <c r="L15" s="12" t="n">
        <v>1</v>
      </c>
      <c r="M15" s="12" t="n">
        <v>1</v>
      </c>
      <c r="N15" s="12" t="n">
        <v>1</v>
      </c>
      <c r="O15" s="12" t="n">
        <v>1</v>
      </c>
      <c r="P15" s="12" t="n">
        <v>1</v>
      </c>
      <c r="Q15" s="12" t="n">
        <v>1</v>
      </c>
      <c r="R15" s="11" t="n"/>
      <c r="S15" s="11" t="n"/>
      <c r="T15" s="11" t="n"/>
      <c r="U15" s="11" t="n"/>
      <c r="V15" s="11" t="n"/>
      <c r="W15" s="11" t="n"/>
      <c r="X15" s="11" t="n"/>
      <c r="Y15" s="11" t="n"/>
    </row>
    <row r="16">
      <c r="A16" s="10" t="inlineStr">
        <is>
          <t>2010</t>
        </is>
      </c>
      <c r="B16" s="11" t="n"/>
      <c r="C16" s="12" t="n">
        <v>1.0457</v>
      </c>
      <c r="D16" s="12" t="n">
        <v>1</v>
      </c>
      <c r="E16" s="12" t="n">
        <v>1</v>
      </c>
      <c r="F16" s="12" t="n">
        <v>1</v>
      </c>
      <c r="G16" s="12" t="n">
        <v>1</v>
      </c>
      <c r="H16" s="12" t="n">
        <v>1</v>
      </c>
      <c r="I16" s="12" t="n">
        <v>1</v>
      </c>
      <c r="J16" s="12" t="n">
        <v>1</v>
      </c>
      <c r="K16" s="12" t="n">
        <v>1</v>
      </c>
      <c r="L16" s="12" t="n">
        <v>1</v>
      </c>
      <c r="M16" s="12" t="n">
        <v>1</v>
      </c>
      <c r="N16" s="12" t="n">
        <v>1</v>
      </c>
      <c r="O16" s="12" t="n">
        <v>1</v>
      </c>
      <c r="P16" s="12" t="n">
        <v>1</v>
      </c>
      <c r="Q16" s="11" t="n"/>
      <c r="R16" s="11" t="n"/>
      <c r="S16" s="11" t="n"/>
      <c r="T16" s="11" t="n"/>
      <c r="U16" s="11" t="n"/>
      <c r="V16" s="11" t="n"/>
      <c r="W16" s="11" t="n"/>
      <c r="X16" s="11" t="n"/>
      <c r="Y16" s="11" t="n"/>
    </row>
    <row r="17">
      <c r="A17" s="10" t="inlineStr">
        <is>
          <t>2011</t>
        </is>
      </c>
      <c r="B17" s="11" t="n"/>
      <c r="C17" s="12" t="n">
        <v>1</v>
      </c>
      <c r="D17" s="12" t="n">
        <v>1</v>
      </c>
      <c r="E17" s="12" t="n">
        <v>1</v>
      </c>
      <c r="F17" s="12" t="n">
        <v>1</v>
      </c>
      <c r="G17" s="12" t="n">
        <v>1</v>
      </c>
      <c r="H17" s="12" t="n">
        <v>1</v>
      </c>
      <c r="I17" s="12" t="n">
        <v>1</v>
      </c>
      <c r="J17" s="12" t="n">
        <v>1</v>
      </c>
      <c r="K17" s="12" t="n">
        <v>1</v>
      </c>
      <c r="L17" s="12" t="n">
        <v>1</v>
      </c>
      <c r="M17" s="12" t="n">
        <v>1</v>
      </c>
      <c r="N17" s="12" t="n">
        <v>1</v>
      </c>
      <c r="O17" s="12" t="n">
        <v>1</v>
      </c>
      <c r="P17" s="11" t="n"/>
      <c r="Q17" s="11" t="n"/>
      <c r="R17" s="11" t="n"/>
      <c r="S17" s="11" t="n"/>
      <c r="T17" s="11" t="n"/>
      <c r="U17" s="11" t="n"/>
      <c r="V17" s="11" t="n"/>
      <c r="W17" s="11" t="n"/>
      <c r="X17" s="11" t="n"/>
      <c r="Y17" s="11" t="n"/>
    </row>
    <row r="18">
      <c r="A18" s="10" t="inlineStr">
        <is>
          <t>2012</t>
        </is>
      </c>
      <c r="B18" s="11" t="n"/>
      <c r="C18" s="12" t="n">
        <v>1.0645</v>
      </c>
      <c r="D18" s="12" t="n">
        <v>1</v>
      </c>
      <c r="E18" s="12" t="n">
        <v>1</v>
      </c>
      <c r="F18" s="12" t="n">
        <v>1</v>
      </c>
      <c r="G18" s="12" t="n">
        <v>1</v>
      </c>
      <c r="H18" s="12" t="n">
        <v>1</v>
      </c>
      <c r="I18" s="12" t="n">
        <v>1</v>
      </c>
      <c r="J18" s="12" t="n">
        <v>1</v>
      </c>
      <c r="K18" s="12" t="n">
        <v>1</v>
      </c>
      <c r="L18" s="12" t="n">
        <v>1</v>
      </c>
      <c r="M18" s="12" t="n">
        <v>1</v>
      </c>
      <c r="N18" s="12" t="n">
        <v>1</v>
      </c>
      <c r="O18" s="11" t="n"/>
      <c r="P18" s="11" t="n"/>
      <c r="Q18" s="11" t="n"/>
      <c r="R18" s="11" t="n"/>
      <c r="S18" s="11" t="n"/>
      <c r="T18" s="11" t="n"/>
      <c r="U18" s="11" t="n"/>
      <c r="V18" s="11" t="n"/>
      <c r="W18" s="11" t="n"/>
      <c r="X18" s="11" t="n"/>
      <c r="Y18" s="11" t="n"/>
    </row>
    <row r="19">
      <c r="A19" s="10" t="inlineStr">
        <is>
          <t>2013</t>
        </is>
      </c>
      <c r="B19" s="11" t="n"/>
      <c r="C19" s="12" t="n">
        <v>1.028</v>
      </c>
      <c r="D19" s="12" t="n">
        <v>1</v>
      </c>
      <c r="E19" s="12" t="n">
        <v>1.0045</v>
      </c>
      <c r="F19" s="12" t="n">
        <v>1</v>
      </c>
      <c r="G19" s="12" t="n">
        <v>1</v>
      </c>
      <c r="H19" s="12" t="n">
        <v>1</v>
      </c>
      <c r="I19" s="12" t="n">
        <v>1</v>
      </c>
      <c r="J19" s="12" t="n">
        <v>1</v>
      </c>
      <c r="K19" s="12" t="n">
        <v>1</v>
      </c>
      <c r="L19" s="12" t="n">
        <v>1</v>
      </c>
      <c r="M19" s="12" t="n">
        <v>1</v>
      </c>
      <c r="N19" s="11" t="n"/>
      <c r="O19" s="11" t="n"/>
      <c r="P19" s="11" t="n"/>
      <c r="Q19" s="11" t="n"/>
      <c r="R19" s="11" t="n"/>
      <c r="S19" s="11" t="n"/>
      <c r="T19" s="11" t="n"/>
      <c r="U19" s="11" t="n"/>
      <c r="V19" s="11" t="n"/>
      <c r="W19" s="11" t="n"/>
      <c r="X19" s="11" t="n"/>
      <c r="Y19" s="11" t="n"/>
    </row>
    <row r="20">
      <c r="A20" s="10" t="inlineStr">
        <is>
          <t>2014</t>
        </is>
      </c>
      <c r="B20" s="11" t="n"/>
      <c r="C20" s="12" t="n">
        <v>1.0456</v>
      </c>
      <c r="D20" s="12" t="n">
        <v>1.0029</v>
      </c>
      <c r="E20" s="12" t="n">
        <v>1</v>
      </c>
      <c r="F20" s="12" t="n">
        <v>1</v>
      </c>
      <c r="G20" s="12" t="n">
        <v>1</v>
      </c>
      <c r="H20" s="12" t="n">
        <v>1</v>
      </c>
      <c r="I20" s="12" t="n">
        <v>1</v>
      </c>
      <c r="J20" s="12" t="n">
        <v>1</v>
      </c>
      <c r="K20" s="12" t="n">
        <v>1</v>
      </c>
      <c r="L20" s="12" t="n">
        <v>1</v>
      </c>
      <c r="M20" s="11" t="n"/>
      <c r="N20" s="11" t="n"/>
      <c r="O20" s="11" t="n"/>
      <c r="P20" s="11" t="n"/>
      <c r="Q20" s="11" t="n"/>
      <c r="R20" s="11" t="n"/>
      <c r="S20" s="11" t="n"/>
      <c r="T20" s="11" t="n"/>
      <c r="U20" s="11" t="n"/>
      <c r="V20" s="11" t="n"/>
      <c r="W20" s="11" t="n"/>
      <c r="X20" s="11" t="n"/>
      <c r="Y20" s="11" t="n"/>
    </row>
    <row r="21">
      <c r="A21" s="10" t="inlineStr">
        <is>
          <t>2015</t>
        </is>
      </c>
      <c r="B21" s="11" t="n"/>
      <c r="C21" s="12" t="n">
        <v>1.0328</v>
      </c>
      <c r="D21" s="12" t="n">
        <v>1.0159</v>
      </c>
      <c r="E21" s="12" t="n">
        <v>1</v>
      </c>
      <c r="F21" s="12" t="n">
        <v>1</v>
      </c>
      <c r="G21" s="12" t="n">
        <v>1</v>
      </c>
      <c r="H21" s="12" t="n">
        <v>1</v>
      </c>
      <c r="I21" s="12" t="n">
        <v>1</v>
      </c>
      <c r="J21" s="12" t="n">
        <v>1</v>
      </c>
      <c r="K21" s="12" t="n">
        <v>0.9883</v>
      </c>
      <c r="L21" s="11" t="n"/>
      <c r="M21" s="11" t="n"/>
      <c r="N21" s="11" t="n"/>
      <c r="O21" s="11" t="n"/>
      <c r="P21" s="11" t="n"/>
      <c r="Q21" s="11" t="n"/>
      <c r="R21" s="11" t="n"/>
      <c r="S21" s="11" t="n"/>
      <c r="T21" s="11" t="n"/>
      <c r="U21" s="11" t="n"/>
      <c r="V21" s="11" t="n"/>
      <c r="W21" s="11" t="n"/>
      <c r="X21" s="11" t="n"/>
      <c r="Y21" s="11" t="n"/>
    </row>
    <row r="22">
      <c r="A22" s="10" t="inlineStr">
        <is>
          <t>2016</t>
        </is>
      </c>
      <c r="B22" s="11" t="n"/>
      <c r="C22" s="12" t="n">
        <v>1.0802</v>
      </c>
      <c r="D22" s="12" t="n">
        <v>1.0459</v>
      </c>
      <c r="E22" s="12" t="n">
        <v>1</v>
      </c>
      <c r="F22" s="12" t="n">
        <v>1</v>
      </c>
      <c r="G22" s="12" t="n">
        <v>1</v>
      </c>
      <c r="H22" s="12" t="n">
        <v>1</v>
      </c>
      <c r="I22" s="12" t="n">
        <v>1</v>
      </c>
      <c r="J22" s="12" t="n">
        <v>1</v>
      </c>
      <c r="K22" s="11" t="n"/>
      <c r="L22" s="11" t="n"/>
      <c r="M22" s="11" t="n"/>
      <c r="N22" s="11" t="n"/>
      <c r="O22" s="11" t="n"/>
      <c r="P22" s="11" t="n"/>
      <c r="Q22" s="11" t="n"/>
      <c r="R22" s="11" t="n"/>
      <c r="S22" s="11" t="n"/>
      <c r="T22" s="11" t="n"/>
      <c r="U22" s="11" t="n"/>
      <c r="V22" s="11" t="n"/>
      <c r="W22" s="11" t="n"/>
      <c r="X22" s="11" t="n"/>
      <c r="Y22" s="11" t="n"/>
    </row>
    <row r="23">
      <c r="A23" s="10" t="inlineStr">
        <is>
          <t>2017</t>
        </is>
      </c>
      <c r="B23" s="11" t="n"/>
      <c r="C23" s="12" t="n">
        <v>1.1244</v>
      </c>
      <c r="D23" s="12" t="n">
        <v>1.0043</v>
      </c>
      <c r="E23" s="12" t="n">
        <v>1.0042</v>
      </c>
      <c r="F23" s="12" t="n">
        <v>0.9958</v>
      </c>
      <c r="G23" s="12" t="n">
        <v>1</v>
      </c>
      <c r="H23" s="12" t="n">
        <v>1</v>
      </c>
      <c r="I23" s="12" t="n">
        <v>0.9958</v>
      </c>
      <c r="J23" s="11" t="n"/>
      <c r="K23" s="11" t="n"/>
      <c r="L23" s="11" t="n"/>
      <c r="M23" s="11" t="n"/>
      <c r="N23" s="11" t="n"/>
      <c r="O23" s="11" t="n"/>
      <c r="P23" s="11" t="n"/>
      <c r="Q23" s="11" t="n"/>
      <c r="R23" s="11" t="n"/>
      <c r="S23" s="11" t="n"/>
      <c r="T23" s="11" t="n"/>
      <c r="U23" s="11" t="n"/>
      <c r="V23" s="11" t="n"/>
      <c r="W23" s="11" t="n"/>
      <c r="X23" s="11" t="n"/>
      <c r="Y23" s="11" t="n"/>
    </row>
    <row r="24">
      <c r="A24" s="10" t="inlineStr">
        <is>
          <t>2018</t>
        </is>
      </c>
      <c r="B24" s="11" t="n"/>
      <c r="C24" s="12" t="n">
        <v>1.1233</v>
      </c>
      <c r="D24" s="12" t="n">
        <v>1</v>
      </c>
      <c r="E24" s="12" t="n">
        <v>1</v>
      </c>
      <c r="F24" s="12" t="n">
        <v>1.0041</v>
      </c>
      <c r="G24" s="12" t="n">
        <v>1</v>
      </c>
      <c r="H24" s="12" t="n">
        <v>1</v>
      </c>
      <c r="I24" s="11" t="n"/>
      <c r="J24" s="11" t="n"/>
      <c r="K24" s="11" t="n"/>
      <c r="L24" s="11" t="n"/>
      <c r="M24" s="11" t="n"/>
      <c r="N24" s="11" t="n"/>
      <c r="O24" s="11" t="n"/>
      <c r="P24" s="11" t="n"/>
      <c r="Q24" s="11" t="n"/>
      <c r="R24" s="11" t="n"/>
      <c r="S24" s="11" t="n"/>
      <c r="T24" s="11" t="n"/>
      <c r="U24" s="11" t="n"/>
      <c r="V24" s="11" t="n"/>
      <c r="W24" s="11" t="n"/>
      <c r="X24" s="11" t="n"/>
      <c r="Y24" s="11" t="n"/>
    </row>
    <row r="25">
      <c r="A25" s="10" t="inlineStr">
        <is>
          <t>2019</t>
        </is>
      </c>
      <c r="B25" s="11" t="n"/>
      <c r="C25" s="12" t="n">
        <v>1.1429</v>
      </c>
      <c r="D25" s="12" t="n">
        <v>1</v>
      </c>
      <c r="E25" s="12" t="n">
        <v>1</v>
      </c>
      <c r="F25" s="12" t="n">
        <v>1</v>
      </c>
      <c r="G25" s="12" t="n">
        <v>0.9963</v>
      </c>
      <c r="H25" s="11" t="n"/>
      <c r="I25" s="11" t="n"/>
      <c r="J25" s="11" t="n"/>
      <c r="K25" s="11" t="n"/>
      <c r="L25" s="11" t="n"/>
      <c r="M25" s="11" t="n"/>
      <c r="N25" s="11" t="n"/>
      <c r="O25" s="11" t="n"/>
      <c r="P25" s="11" t="n"/>
      <c r="Q25" s="11" t="n"/>
      <c r="R25" s="11" t="n"/>
      <c r="S25" s="11" t="n"/>
      <c r="T25" s="11" t="n"/>
      <c r="U25" s="11" t="n"/>
      <c r="V25" s="11" t="n"/>
      <c r="W25" s="11" t="n"/>
      <c r="X25" s="11" t="n"/>
      <c r="Y25" s="11" t="n"/>
    </row>
    <row r="26">
      <c r="A26" s="10" t="inlineStr">
        <is>
          <t>2020</t>
        </is>
      </c>
      <c r="B26" s="11" t="n"/>
      <c r="C26" s="12" t="n">
        <v>1.0604</v>
      </c>
      <c r="D26" s="12" t="n">
        <v>1</v>
      </c>
      <c r="E26" s="12" t="n">
        <v>1</v>
      </c>
      <c r="F26" s="12" t="n">
        <v>1</v>
      </c>
      <c r="G26" s="11" t="n"/>
      <c r="H26" s="11" t="n"/>
      <c r="I26" s="11" t="n"/>
      <c r="J26" s="11" t="n"/>
      <c r="K26" s="11" t="n"/>
      <c r="L26" s="11" t="n"/>
      <c r="M26" s="11" t="n"/>
      <c r="N26" s="11" t="n"/>
      <c r="O26" s="11" t="n"/>
      <c r="P26" s="11" t="n"/>
      <c r="Q26" s="11" t="n"/>
      <c r="R26" s="11" t="n"/>
      <c r="S26" s="11" t="n"/>
      <c r="T26" s="11" t="n"/>
      <c r="U26" s="11" t="n"/>
      <c r="V26" s="11" t="n"/>
      <c r="W26" s="11" t="n"/>
      <c r="X26" s="11" t="n"/>
      <c r="Y26" s="11" t="n"/>
    </row>
    <row r="27">
      <c r="A27" s="10" t="inlineStr">
        <is>
          <t>2021</t>
        </is>
      </c>
      <c r="B27" s="11" t="n"/>
      <c r="C27" s="12" t="n">
        <v>1.1416</v>
      </c>
      <c r="D27" s="12" t="n">
        <v>1</v>
      </c>
      <c r="E27" s="12" t="n">
        <v>1</v>
      </c>
      <c r="F27" s="11" t="n"/>
      <c r="G27" s="11" t="n"/>
      <c r="H27" s="11" t="n"/>
      <c r="I27" s="11" t="n"/>
      <c r="J27" s="11" t="n"/>
      <c r="K27" s="11" t="n"/>
      <c r="L27" s="11" t="n"/>
      <c r="M27" s="11" t="n"/>
      <c r="N27" s="11" t="n"/>
      <c r="O27" s="11" t="n"/>
      <c r="P27" s="11" t="n"/>
      <c r="Q27" s="11" t="n"/>
      <c r="R27" s="11" t="n"/>
      <c r="S27" s="11" t="n"/>
      <c r="T27" s="11" t="n"/>
      <c r="U27" s="11" t="n"/>
      <c r="V27" s="11" t="n"/>
      <c r="W27" s="11" t="n"/>
      <c r="X27" s="11" t="n"/>
      <c r="Y27" s="11" t="n"/>
    </row>
    <row r="28">
      <c r="A28" s="10" t="inlineStr">
        <is>
          <t>2022</t>
        </is>
      </c>
      <c r="B28" s="11" t="n"/>
      <c r="C28" s="12" t="n">
        <v>1.1414</v>
      </c>
      <c r="D28" s="12" t="n">
        <v>1</v>
      </c>
      <c r="E28" s="11" t="n"/>
      <c r="F28" s="11" t="n"/>
      <c r="G28" s="11" t="n"/>
      <c r="H28" s="11" t="n"/>
      <c r="I28" s="11" t="n"/>
      <c r="J28" s="11" t="n"/>
      <c r="K28" s="11" t="n"/>
      <c r="L28" s="11" t="n"/>
      <c r="M28" s="11" t="n"/>
      <c r="N28" s="11" t="n"/>
      <c r="O28" s="11" t="n"/>
      <c r="P28" s="11" t="n"/>
      <c r="Q28" s="11" t="n"/>
      <c r="R28" s="11" t="n"/>
      <c r="S28" s="11" t="n"/>
      <c r="T28" s="11" t="n"/>
      <c r="U28" s="11" t="n"/>
      <c r="V28" s="11" t="n"/>
      <c r="W28" s="11" t="n"/>
      <c r="X28" s="11" t="n"/>
      <c r="Y28" s="11" t="n"/>
    </row>
    <row r="29">
      <c r="A29" s="10" t="inlineStr">
        <is>
          <t>2023</t>
        </is>
      </c>
      <c r="B29" s="11" t="n"/>
      <c r="C29" s="12" t="n">
        <v>1.1159</v>
      </c>
      <c r="D29" s="11" t="n"/>
      <c r="E29" s="11" t="n"/>
      <c r="F29" s="11" t="n"/>
      <c r="G29" s="11" t="n"/>
      <c r="H29" s="11" t="n"/>
      <c r="I29" s="11" t="n"/>
      <c r="J29" s="11" t="n"/>
      <c r="K29" s="11" t="n"/>
      <c r="L29" s="11" t="n"/>
      <c r="M29" s="11" t="n"/>
      <c r="N29" s="11" t="n"/>
      <c r="O29" s="11" t="n"/>
      <c r="P29" s="11" t="n"/>
      <c r="Q29" s="11" t="n"/>
      <c r="R29" s="11" t="n"/>
      <c r="S29" s="11" t="n"/>
      <c r="T29" s="11" t="n"/>
      <c r="U29" s="11" t="n"/>
      <c r="V29" s="11" t="n"/>
      <c r="W29" s="11" t="n"/>
      <c r="X29" s="11" t="n"/>
      <c r="Y29" s="11" t="n"/>
    </row>
    <row r="30">
      <c r="A30" s="10" t="inlineStr">
        <is>
          <t>2024</t>
        </is>
      </c>
      <c r="B30" s="11" t="n"/>
      <c r="C30" s="11" t="n"/>
      <c r="D30" s="11" t="n"/>
      <c r="E30" s="11" t="n"/>
      <c r="F30" s="11" t="n"/>
      <c r="G30" s="11" t="n"/>
      <c r="H30" s="11" t="n"/>
      <c r="I30" s="11" t="n"/>
      <c r="J30" s="11" t="n"/>
      <c r="K30" s="11" t="n"/>
      <c r="L30" s="11" t="n"/>
      <c r="M30" s="11" t="n"/>
      <c r="N30" s="11" t="n"/>
      <c r="O30" s="11" t="n"/>
      <c r="P30" s="11" t="n"/>
      <c r="Q30" s="11" t="n"/>
      <c r="R30" s="11" t="n"/>
      <c r="S30" s="11" t="n"/>
      <c r="T30" s="11" t="n"/>
      <c r="U30" s="11" t="n"/>
      <c r="V30" s="11" t="n"/>
      <c r="W30" s="11" t="n"/>
      <c r="X30" s="11" t="n"/>
      <c r="Y30" s="11" t="n"/>
    </row>
    <row r="31">
      <c r="A31" s="13" t="inlineStr">
        <is>
          <t>Average</t>
        </is>
      </c>
      <c r="B31" s="12">
        <f>IFERROR(AVERAGE(B7:B30),)</f>
        <v/>
      </c>
      <c r="C31" s="12">
        <f>IFERROR(AVERAGE(C7:C30),)</f>
        <v/>
      </c>
      <c r="D31" s="12">
        <f>IFERROR(AVERAGE(D7:D30),)</f>
        <v/>
      </c>
      <c r="E31" s="12">
        <f>IFERROR(AVERAGE(E7:E30),)</f>
        <v/>
      </c>
      <c r="F31" s="12">
        <f>IFERROR(AVERAGE(F7:F30),)</f>
        <v/>
      </c>
      <c r="G31" s="12">
        <f>IFERROR(AVERAGE(G7:G30),)</f>
        <v/>
      </c>
      <c r="H31" s="12">
        <f>IFERROR(AVERAGE(H7:H30),)</f>
        <v/>
      </c>
      <c r="I31" s="12">
        <f>IFERROR(AVERAGE(I7:I30),)</f>
        <v/>
      </c>
      <c r="J31" s="12">
        <f>IFERROR(AVERAGE(J7:J30),)</f>
        <v/>
      </c>
      <c r="K31" s="12">
        <f>IFERROR(AVERAGE(K7:K30),)</f>
        <v/>
      </c>
      <c r="L31" s="12">
        <f>IFERROR(AVERAGE(L7:L30),)</f>
        <v/>
      </c>
      <c r="M31" s="12">
        <f>IFERROR(AVERAGE(M7:M30),)</f>
        <v/>
      </c>
      <c r="N31" s="12">
        <f>IFERROR(AVERAGE(N7:N30),)</f>
        <v/>
      </c>
      <c r="O31" s="12">
        <f>IFERROR(AVERAGE(O7:O30),)</f>
        <v/>
      </c>
      <c r="P31" s="12">
        <f>IFERROR(AVERAGE(P7:P30),)</f>
        <v/>
      </c>
      <c r="Q31" s="12">
        <f>IFERROR(AVERAGE(Q7:Q30),)</f>
        <v/>
      </c>
      <c r="R31" s="12">
        <f>IFERROR(AVERAGE(R7:R30),)</f>
        <v/>
      </c>
      <c r="S31" s="12">
        <f>IFERROR(AVERAGE(S7:S30),)</f>
        <v/>
      </c>
      <c r="T31" s="12">
        <f>IFERROR(AVERAGE(T7:T30),)</f>
        <v/>
      </c>
      <c r="U31" s="12">
        <f>IFERROR(AVERAGE(U7:U30),)</f>
        <v/>
      </c>
      <c r="V31" s="12">
        <f>IFERROR(AVERAGE(V7:V30),)</f>
        <v/>
      </c>
      <c r="W31" s="12">
        <f>IFERROR(AVERAGE(W7:W30),)</f>
        <v/>
      </c>
      <c r="X31" s="12">
        <f>IFERROR(AVERAGE(X7:X30),)</f>
        <v/>
      </c>
      <c r="Y31" s="12">
        <f>IFERROR(AVERAGE(Y7:Y30),)</f>
        <v/>
      </c>
    </row>
    <row r="32">
      <c r="A32" s="13" t="inlineStr">
        <is>
          <t>CV</t>
        </is>
      </c>
      <c r="B32" s="12">
        <f>IFERROR(STDEV.S(B7:B30)/AVERAGE(B7:B30),)</f>
        <v/>
      </c>
      <c r="C32" s="12">
        <f>IFERROR(STDEV.S(C7:C30)/AVERAGE(C7:C30),)</f>
        <v/>
      </c>
      <c r="D32" s="12">
        <f>IFERROR(STDEV.S(D7:D30)/AVERAGE(D7:D30),)</f>
        <v/>
      </c>
      <c r="E32" s="12">
        <f>IFERROR(STDEV.S(E7:E30)/AVERAGE(E7:E30),)</f>
        <v/>
      </c>
      <c r="F32" s="12">
        <f>IFERROR(STDEV.S(F7:F30)/AVERAGE(F7:F30),)</f>
        <v/>
      </c>
      <c r="G32" s="12">
        <f>IFERROR(STDEV.S(G7:G30)/AVERAGE(G7:G30),)</f>
        <v/>
      </c>
      <c r="H32" s="12">
        <f>IFERROR(STDEV.S(H7:H30)/AVERAGE(H7:H30),)</f>
        <v/>
      </c>
      <c r="I32" s="12">
        <f>IFERROR(STDEV.S(I7:I30)/AVERAGE(I7:I30),)</f>
        <v/>
      </c>
      <c r="J32" s="12">
        <f>IFERROR(STDEV.S(J7:J30)/AVERAGE(J7:J30),)</f>
        <v/>
      </c>
      <c r="K32" s="12">
        <f>IFERROR(STDEV.S(K7:K30)/AVERAGE(K7:K30),)</f>
        <v/>
      </c>
      <c r="L32" s="12">
        <f>IFERROR(STDEV.S(L7:L30)/AVERAGE(L7:L30),)</f>
        <v/>
      </c>
      <c r="M32" s="12">
        <f>IFERROR(STDEV.S(M7:M30)/AVERAGE(M7:M30),)</f>
        <v/>
      </c>
      <c r="N32" s="12">
        <f>IFERROR(STDEV.S(N7:N30)/AVERAGE(N7:N30),)</f>
        <v/>
      </c>
      <c r="O32" s="12">
        <f>IFERROR(STDEV.S(O7:O30)/AVERAGE(O7:O30),)</f>
        <v/>
      </c>
      <c r="P32" s="12">
        <f>IFERROR(STDEV.S(P7:P30)/AVERAGE(P7:P30),)</f>
        <v/>
      </c>
      <c r="Q32" s="12">
        <f>IFERROR(STDEV.S(Q7:Q30)/AVERAGE(Q7:Q30),)</f>
        <v/>
      </c>
      <c r="R32" s="12">
        <f>IFERROR(STDEV.S(R7:R30)/AVERAGE(R7:R30),)</f>
        <v/>
      </c>
      <c r="S32" s="12">
        <f>IFERROR(STDEV.S(S7:S30)/AVERAGE(S7:S30),)</f>
        <v/>
      </c>
      <c r="T32" s="12">
        <f>IFERROR(STDEV.S(T7:T30)/AVERAGE(T7:T30),)</f>
        <v/>
      </c>
      <c r="U32" s="12">
        <f>IFERROR(STDEV.S(U7:U30)/AVERAGE(U7:U30),)</f>
        <v/>
      </c>
      <c r="V32" s="12">
        <f>IFERROR(STDEV.S(V7:V30)/AVERAGE(V7:V30),)</f>
        <v/>
      </c>
      <c r="W32" s="12">
        <f>IFERROR(STDEV.S(W7:W30)/AVERAGE(W7:W30),)</f>
        <v/>
      </c>
      <c r="X32" s="12">
        <f>IFERROR(STDEV.S(X7:X30)/AVERAGE(X7:X30),)</f>
        <v/>
      </c>
      <c r="Y32" s="12">
        <f>IFERROR(STDEV.S(Y7:Y30)/AVERAGE(Y7:Y30),)</f>
        <v/>
      </c>
    </row>
    <row r="33"/>
    <row r="34">
      <c r="A34" s="7" t="inlineStr">
        <is>
          <t>Scenario Comparison</t>
        </is>
      </c>
      <c r="B34" s="2" t="n"/>
      <c r="C34" s="2" t="n"/>
      <c r="D34" s="2" t="n"/>
      <c r="E34" s="2" t="n"/>
      <c r="F34" s="2" t="n"/>
      <c r="G34" s="2" t="n"/>
      <c r="H34" s="2" t="n"/>
      <c r="I34" s="2" t="n"/>
      <c r="J34" s="2" t="n"/>
      <c r="K34" s="2" t="n"/>
      <c r="L34" s="2" t="n"/>
      <c r="M34" s="2" t="n"/>
      <c r="N34" s="2" t="n"/>
      <c r="O34" s="3" t="n"/>
    </row>
    <row r="35">
      <c r="A35" s="9" t="inlineStr">
        <is>
          <t>Starting Age</t>
        </is>
      </c>
      <c r="B35" s="9" t="inlineStr">
        <is>
          <t>Monotone</t>
        </is>
      </c>
      <c r="C35" s="9" t="inlineStr">
        <is>
          <t>CV</t>
        </is>
      </c>
      <c r="D35" s="9" t="inlineStr">
        <is>
          <t>Slope Breaks</t>
        </is>
      </c>
      <c r="E35" s="9" t="inlineStr">
        <is>
          <t>Method</t>
        </is>
      </c>
      <c r="F35" s="9" t="inlineStr">
        <is>
          <t>Params</t>
        </is>
      </c>
      <c r="G35" s="9" t="inlineStr">
        <is>
          <t>Tail Factor</t>
        </is>
      </c>
      <c r="H35" s="9" t="inlineStr">
        <is>
          <t>R2</t>
        </is>
      </c>
      <c r="I35" s="9" t="inlineStr">
        <is>
          <t>LOO Std Dev</t>
        </is>
      </c>
      <c r="J35" s="9" t="inlineStr">
        <is>
          <t>Gap to Last</t>
        </is>
      </c>
      <c r="K35" s="9" t="inlineStr">
        <is>
          <t>Gap Flag</t>
        </is>
      </c>
      <c r="L35" s="9" t="inlineStr">
        <is>
          <t>% of CDF</t>
        </is>
      </c>
      <c r="M35" s="9" t="inlineStr">
        <is>
          <t>Materiality OK</t>
        </is>
      </c>
      <c r="N35" s="9" t="inlineStr">
        <is>
          <t>+10% Reserve Delta</t>
        </is>
      </c>
      <c r="O35" s="9" t="inlineStr">
        <is>
          <t>+20% Reserve Delta</t>
        </is>
      </c>
    </row>
    <row r="36">
      <c r="A36" s="14" t="n">
        <v>143</v>
      </c>
      <c r="B36" s="15" t="inlineStr">
        <is>
          <t>Y</t>
        </is>
      </c>
      <c r="C36" s="16" t="n">
        <v>0</v>
      </c>
      <c r="D36" s="17" t="n">
        <v>0</v>
      </c>
      <c r="E36" s="15" t="inlineStr">
        <is>
          <t>bondy</t>
        </is>
      </c>
      <c r="F36" s="15" t="inlineStr"/>
      <c r="G36" s="16" t="n">
        <v>1</v>
      </c>
      <c r="H36" s="16" t="n"/>
      <c r="I36" s="16" t="n"/>
      <c r="J36" s="16" t="n"/>
      <c r="K36" s="15" t="inlineStr">
        <is>
          <t>N</t>
        </is>
      </c>
      <c r="L36" s="18" t="n"/>
      <c r="M36" s="15" t="inlineStr">
        <is>
          <t>N</t>
        </is>
      </c>
      <c r="N36" s="19" t="n"/>
      <c r="O36" s="19" t="n"/>
    </row>
    <row r="37">
      <c r="A37" s="14" t="n">
        <v>143</v>
      </c>
      <c r="B37" s="15" t="inlineStr">
        <is>
          <t>Y</t>
        </is>
      </c>
      <c r="C37" s="16" t="n">
        <v>0</v>
      </c>
      <c r="D37" s="17" t="n">
        <v>0</v>
      </c>
      <c r="E37" s="15" t="inlineStr">
        <is>
          <t>modified_bondy_double_dev</t>
        </is>
      </c>
      <c r="F37" s="15" t="inlineStr"/>
      <c r="G37" s="16" t="n">
        <v>1</v>
      </c>
      <c r="H37" s="16" t="n"/>
      <c r="I37" s="16" t="n"/>
      <c r="J37" s="16" t="n"/>
      <c r="K37" s="15" t="inlineStr">
        <is>
          <t>N</t>
        </is>
      </c>
      <c r="L37" s="18" t="n"/>
      <c r="M37" s="15" t="inlineStr">
        <is>
          <t>N</t>
        </is>
      </c>
      <c r="N37" s="19" t="n"/>
      <c r="O37" s="19" t="n"/>
    </row>
    <row r="38">
      <c r="A38" s="14" t="n">
        <v>143</v>
      </c>
      <c r="B38" s="15" t="inlineStr">
        <is>
          <t>Y</t>
        </is>
      </c>
      <c r="C38" s="16" t="n">
        <v>0</v>
      </c>
      <c r="D38" s="17" t="n">
        <v>0</v>
      </c>
      <c r="E38" s="15" t="inlineStr">
        <is>
          <t>modified_bondy_square_ratio</t>
        </is>
      </c>
      <c r="F38" s="15" t="inlineStr"/>
      <c r="G38" s="16" t="n">
        <v>1</v>
      </c>
      <c r="H38" s="16" t="n"/>
      <c r="I38" s="16" t="n"/>
      <c r="J38" s="16" t="n"/>
      <c r="K38" s="15" t="inlineStr">
        <is>
          <t>N</t>
        </is>
      </c>
      <c r="L38" s="18" t="n"/>
      <c r="M38" s="15" t="inlineStr">
        <is>
          <t>N</t>
        </is>
      </c>
      <c r="N38" s="19" t="n"/>
      <c r="O38" s="19" t="n"/>
    </row>
    <row r="39">
      <c r="A39" s="14" t="n">
        <v>203</v>
      </c>
      <c r="B39" s="15" t="inlineStr">
        <is>
          <t>Y</t>
        </is>
      </c>
      <c r="C39" s="16" t="n">
        <v>0</v>
      </c>
      <c r="D39" s="17" t="n">
        <v>0</v>
      </c>
      <c r="E39" s="15" t="inlineStr">
        <is>
          <t>bondy</t>
        </is>
      </c>
      <c r="F39" s="15" t="inlineStr"/>
      <c r="G39" s="16" t="n">
        <v>1</v>
      </c>
      <c r="H39" s="16" t="n"/>
      <c r="I39" s="16" t="n"/>
      <c r="J39" s="16" t="n"/>
      <c r="K39" s="15" t="inlineStr">
        <is>
          <t>N</t>
        </is>
      </c>
      <c r="L39" s="18" t="n"/>
      <c r="M39" s="15" t="inlineStr">
        <is>
          <t>N</t>
        </is>
      </c>
      <c r="N39" s="19" t="n"/>
      <c r="O39" s="19" t="n"/>
    </row>
    <row r="40">
      <c r="A40" s="14" t="n">
        <v>203</v>
      </c>
      <c r="B40" s="15" t="inlineStr">
        <is>
          <t>Y</t>
        </is>
      </c>
      <c r="C40" s="16" t="n">
        <v>0</v>
      </c>
      <c r="D40" s="17" t="n">
        <v>0</v>
      </c>
      <c r="E40" s="15" t="inlineStr">
        <is>
          <t>modified_bondy_double_dev</t>
        </is>
      </c>
      <c r="F40" s="15" t="inlineStr"/>
      <c r="G40" s="16" t="n">
        <v>1</v>
      </c>
      <c r="H40" s="16" t="n"/>
      <c r="I40" s="16" t="n"/>
      <c r="J40" s="16" t="n"/>
      <c r="K40" s="15" t="inlineStr">
        <is>
          <t>N</t>
        </is>
      </c>
      <c r="L40" s="18" t="n"/>
      <c r="M40" s="15" t="inlineStr">
        <is>
          <t>N</t>
        </is>
      </c>
      <c r="N40" s="19" t="n"/>
      <c r="O40" s="19" t="n"/>
    </row>
    <row r="41">
      <c r="A41" s="14" t="n">
        <v>203</v>
      </c>
      <c r="B41" s="15" t="inlineStr">
        <is>
          <t>Y</t>
        </is>
      </c>
      <c r="C41" s="16" t="n">
        <v>0</v>
      </c>
      <c r="D41" s="17" t="n">
        <v>0</v>
      </c>
      <c r="E41" s="15" t="inlineStr">
        <is>
          <t>modified_bondy_square_ratio</t>
        </is>
      </c>
      <c r="F41" s="15" t="inlineStr"/>
      <c r="G41" s="16" t="n">
        <v>1</v>
      </c>
      <c r="H41" s="16" t="n"/>
      <c r="I41" s="16" t="n"/>
      <c r="J41" s="16" t="n"/>
      <c r="K41" s="15" t="inlineStr">
        <is>
          <t>N</t>
        </is>
      </c>
      <c r="L41" s="18" t="n"/>
      <c r="M41" s="15" t="inlineStr">
        <is>
          <t>N</t>
        </is>
      </c>
      <c r="N41" s="19" t="n"/>
      <c r="O41" s="19" t="n"/>
    </row>
    <row r="42"/>
    <row r="43">
      <c r="A43" s="7" t="inlineStr">
        <is>
          <t>Tail Factor Selection</t>
        </is>
      </c>
      <c r="B43" s="2" t="n"/>
      <c r="C43" s="2" t="n"/>
      <c r="D43" s="2" t="n"/>
      <c r="E43" s="2" t="n"/>
      <c r="F43" s="3" t="n"/>
    </row>
    <row r="44">
      <c r="A44" s="9" t="inlineStr">
        <is>
          <t>Label</t>
        </is>
      </c>
      <c r="B44" s="9" t="inlineStr">
        <is>
          <t>Cutoff Age</t>
        </is>
      </c>
      <c r="C44" s="9" t="inlineStr">
        <is>
          <t>Tail Factor</t>
        </is>
      </c>
      <c r="D44" s="9" t="inlineStr">
        <is>
          <t>Method</t>
        </is>
      </c>
      <c r="E44" s="9" t="inlineStr">
        <is>
          <t>Reasoning</t>
        </is>
      </c>
      <c r="F44" s="9" t="inlineStr">
        <is>
          <t>Additional Notes</t>
        </is>
      </c>
    </row>
    <row r="45">
      <c r="A45" s="26" t="inlineStr">
        <is>
          <t>Rules-Based AI Selection</t>
        </is>
      </c>
      <c r="B45" s="32" t="n">
        <v>143</v>
      </c>
      <c r="C45" s="33" t="n">
        <v>1</v>
      </c>
      <c r="D45" s="34" t="inlineStr">
        <is>
          <t>bondy</t>
        </is>
      </c>
      <c r="E45" s="34" t="inlineStr">
        <is>
          <t>Reported Count triangle—shortest tail expected. Bondy tail factor 1.0 selected at starting age 143. Criteria satisfied: is_monotone_from_here=True, cv=0.0, slope_sign_changes=0, n_factors_in_fit=12. Observed factor at age 143 is 1.0; Bondy carries forward this last finite factor. All reported count factors remain at 1.0 from age 143 onward—early closure evident in data. Gap_flag=False; no disconnection. Materiality anchor applies: pct_of_cdf is negligible (tail immaterial, &lt;0.1%). Closure anchor applies: all reported claims exhausted by mid-development. Reserve impact negligible; count triangle has fully closed by this age. This is the appropriate selection for a count measure with rapid closure. ASOP 43 compliant.</t>
        </is>
      </c>
      <c r="F45" s="34" t="inlineStr"/>
    </row>
    <row r="46">
      <c r="A46" s="28" t="inlineStr">
        <is>
          <t>Open-Ended AI Selection</t>
        </is>
      </c>
      <c r="B46" s="35" t="n">
        <v>143</v>
      </c>
      <c r="C46" s="36" t="n">
        <v>1</v>
      </c>
      <c r="D46" s="37" t="inlineStr">
        <is>
          <t>bondy</t>
        </is>
      </c>
      <c r="E46" s="37" t="inlineStr">
        <is>
          <t>Reported count triangle is fully developed by age 143. All scenarios (Bondy, modified_bondy variants) at both starting ages (143 and 203) produce tail_factor = 1.0 with is_monotone = True and cv = 0.0. Observed factors show the count development closes by age ~95, with all subsequent ages equal to 1.0. No curve fitting method produces meaningful tail development—the uniform 1.0 across all methods reflects complete closure of the count triangle. This is typical for workers comp claim counts, which materialize rapidly relative to claim amounts. Selection at age 143 captures the point of development completion, and the null tail factor of 1.0 is the only defensible choice. No further development should be projected beyond the observed data.</t>
        </is>
      </c>
      <c r="F46" s="37" t="inlineStr"/>
    </row>
    <row r="47"/>
    <row r="48">
      <c r="A48" s="30" t="inlineStr">
        <is>
          <t>User Selection</t>
        </is>
      </c>
      <c r="B48" s="31" t="inlineStr"/>
      <c r="C48" s="31" t="inlineStr"/>
      <c r="D48" s="31" t="inlineStr"/>
      <c r="E48" s="31" t="inlineStr"/>
      <c r="F48" s="31" t="inlineStr"/>
    </row>
  </sheetData>
  <mergeCells count="5">
    <mergeCell ref="A2:L2"/>
    <mergeCell ref="A1:L1"/>
    <mergeCell ref="A5:Y5"/>
    <mergeCell ref="A34:O34"/>
    <mergeCell ref="A43:F4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2026-04-27T12:45:49Z</dcterms:created>
  <dcterms:modified xmlns:dcterms="http://purl.org/dc/terms/" xmlns:xsi="http://www.w3.org/2001/XMLSchema-instance" xsi:type="dcterms:W3CDTF">2026-04-27T12:46:58Z</dcterms:modified>
</cp:coreProperties>
</file>