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curred Loss" sheetId="1" r:id="rId1"/>
    <sheet name="Paid Loss" sheetId="2" r:id="rId2"/>
    <sheet name="Reported Count" sheetId="3" r:id="rId3"/>
    <sheet name="Exposure" sheetId="4" r:id="rId4"/>
    <sheet name="Diagnostics" sheetId="5" r:id="rId5"/>
    <sheet name="CV &amp; Slopes" sheetId="6" r:id="rId6"/>
  </sheets>
  <calcPr calcId="124519" fullCalcOnLoad="1"/>
</workbook>
</file>

<file path=xl/sharedStrings.xml><?xml version="1.0" encoding="utf-8"?>
<sst xmlns="http://schemas.openxmlformats.org/spreadsheetml/2006/main" count="761" uniqueCount="105">
  <si>
    <t>Period</t>
  </si>
  <si>
    <t>11</t>
  </si>
  <si>
    <t>23</t>
  </si>
  <si>
    <t>35</t>
  </si>
  <si>
    <t>47</t>
  </si>
  <si>
    <t>59</t>
  </si>
  <si>
    <t>71</t>
  </si>
  <si>
    <t>83</t>
  </si>
  <si>
    <t>95</t>
  </si>
  <si>
    <t>107</t>
  </si>
  <si>
    <t>119</t>
  </si>
  <si>
    <t>131</t>
  </si>
  <si>
    <t>143</t>
  </si>
  <si>
    <t>155</t>
  </si>
  <si>
    <t>167</t>
  </si>
  <si>
    <t>179</t>
  </si>
  <si>
    <t>191</t>
  </si>
  <si>
    <t>203</t>
  </si>
  <si>
    <t>215</t>
  </si>
  <si>
    <t>227</t>
  </si>
  <si>
    <t>239</t>
  </si>
  <si>
    <t>251</t>
  </si>
  <si>
    <t>263</t>
  </si>
  <si>
    <t>275</t>
  </si>
  <si>
    <t>287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</si>
  <si>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</si>
  <si>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</si>
  <si>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</si>
  <si>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</si>
  <si>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</si>
  <si>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</si>
  <si>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</si>
  <si>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</si>
  <si>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</si>
  <si>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</si>
  <si>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</si>
  <si>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</si>
  <si>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</si>
  <si>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</si>
  <si>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</si>
  <si>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</si>
  <si>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</si>
  <si>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</si>
  <si>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</si>
  <si>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</si>
  <si>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</si>
  <si>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</si>
  <si>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</si>
  <si>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</si>
  <si>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11-23</t>
  </si>
  <si>
    <t>23-35</t>
  </si>
  <si>
    <t>35-47</t>
  </si>
  <si>
    <t>47-59</t>
  </si>
  <si>
    <t>59-71</t>
  </si>
  <si>
    <t>71-83</t>
  </si>
  <si>
    <t>83-95</t>
  </si>
  <si>
    <t>95-107</t>
  </si>
  <si>
    <t>107-119</t>
  </si>
  <si>
    <t>119-131</t>
  </si>
  <si>
    <t>131-143</t>
  </si>
  <si>
    <t>143-155</t>
  </si>
  <si>
    <t>155-167</t>
  </si>
  <si>
    <t>167-179</t>
  </si>
  <si>
    <t>179-191</t>
  </si>
  <si>
    <t>191-203</t>
  </si>
  <si>
    <t>203-215</t>
  </si>
  <si>
    <t>215-227</t>
  </si>
  <si>
    <t>227-239</t>
  </si>
  <si>
    <t>239-251</t>
  </si>
  <si>
    <t>251-263</t>
  </si>
  <si>
    <t>263-275</t>
  </si>
  <si>
    <t>275-287</t>
  </si>
  <si>
    <t>Metric</t>
  </si>
  <si>
    <t>Tail</t>
  </si>
  <si>
    <t>simple_all</t>
  </si>
  <si>
    <t>weighted_all</t>
  </si>
  <si>
    <t>exclude_high_low_all</t>
  </si>
  <si>
    <t>simple_3yr</t>
  </si>
  <si>
    <t>weighted_3yr</t>
  </si>
  <si>
    <t>exclude_high_low_3yr</t>
  </si>
  <si>
    <t>simple_5yr</t>
  </si>
  <si>
    <t>weighted_5yr</t>
  </si>
  <si>
    <t>exclude_high_low_5yr</t>
  </si>
  <si>
    <t>simple_10yr</t>
  </si>
  <si>
    <t>weighted_10yr</t>
  </si>
  <si>
    <t>exclude_high_low_10yr</t>
  </si>
  <si>
    <t>Rules-Based AI Selection</t>
  </si>
  <si>
    <t>Rules-Based AI Reasoning</t>
  </si>
  <si>
    <t>Open-Ended AI Selection</t>
  </si>
  <si>
    <t>Open-Ended AI Reasoning</t>
  </si>
  <si>
    <t>User Selection</t>
  </si>
  <si>
    <t>User Reasoning</t>
  </si>
  <si>
    <t>Exposure</t>
  </si>
  <si>
    <t>INCURRED SEVERITY</t>
  </si>
  <si>
    <t>PAID TO INCURRED</t>
  </si>
  <si>
    <t>INCREMENTAL INCURRED SEVERITY</t>
  </si>
  <si>
    <t>INCURRED LOSS</t>
  </si>
  <si>
    <t>cv_3yr</t>
  </si>
  <si>
    <t>cv_5yr</t>
  </si>
  <si>
    <t>cv_10yr</t>
  </si>
  <si>
    <t>slope_3yr</t>
  </si>
  <si>
    <t>slope_5yr</t>
  </si>
  <si>
    <t>slope_10yr</t>
  </si>
  <si>
    <t>PAID LOSS</t>
  </si>
  <si>
    <t>REPORTED COUNT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</si>
</sst>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0.0000"/>
    <numFmt numFmtId="166" formatCode="0.00%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9E1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right" vertical="center"/>
    </xf>
    <xf numFmtId="165" fontId="0" fillId="0" borderId="0" xfId="0" applyNumberFormat="1" applyAlignment="1">
      <alignment horizontal="right" vertical="center"/>
    </xf>
    <xf numFmtId="0" fontId="1" fillId="3" borderId="0" xfId="0" applyFont="1" applyFill="1" applyAlignment="1">
      <alignment horizontal="center"/>
    </xf>
    <xf numFmtId="165" fontId="0" fillId="3" borderId="0" xfId="0" applyNumberFormat="1" applyFill="1" applyAlignment="1">
      <alignment horizontal="right"/>
    </xf>
    <xf numFmtId="0" fontId="0" fillId="3" borderId="0" xfId="0" applyFill="1" applyAlignment="1">
      <alignment horizontal="left" wrapText="1"/>
    </xf>
    <xf numFmtId="0" fontId="1" fillId="4" borderId="0" xfId="0" applyFont="1" applyFill="1" applyAlignment="1">
      <alignment horizontal="center"/>
    </xf>
    <xf numFmtId="165" fontId="0" fillId="4" borderId="0" xfId="0" applyNumberFormat="1" applyFill="1" applyAlignment="1">
      <alignment horizontal="right"/>
    </xf>
    <xf numFmtId="0" fontId="0" fillId="4" borderId="0" xfId="0" applyFill="1" applyAlignment="1">
      <alignment horizontal="left" wrapText="1"/>
    </xf>
    <xf numFmtId="0" fontId="1" fillId="5" borderId="0" xfId="0" applyFont="1" applyFill="1" applyAlignment="1">
      <alignment horizontal="center"/>
    </xf>
    <xf numFmtId="165" fontId="0" fillId="5" borderId="0" xfId="0" applyNumberFormat="1" applyFill="1" applyAlignment="1">
      <alignment horizontal="right"/>
    </xf>
    <xf numFmtId="0" fontId="0" fillId="5" borderId="0" xfId="0" applyFill="1" applyAlignment="1">
      <alignment horizontal="left" wrapText="1"/>
    </xf>
    <xf numFmtId="0" fontId="1" fillId="6" borderId="0" xfId="0" applyFont="1" applyFill="1" applyAlignment="1">
      <alignment horizontal="left" vertical="center"/>
    </xf>
    <xf numFmtId="166" fontId="0" fillId="0" borderId="0" xfId="0" applyNumberForma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Y75"/>
  <sheetViews>
    <sheetView tabSelected="1" workbookViewId="0"/>
  </sheetViews>
  <sheetFormatPr defaultRowHeight="15"/>
  <cols>
    <col min="1" max="1" width="22.7109375" customWidth="1"/>
    <col min="2" max="25" width="12.7109375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2" t="s">
        <v>25</v>
      </c>
      <c r="B2" s="3">
        <v>567331.6692</v>
      </c>
      <c r="C2" s="3">
        <v>1554404.3456</v>
      </c>
      <c r="D2" s="3">
        <v>1902287.8544</v>
      </c>
      <c r="E2" s="3">
        <v>2093441.1516</v>
      </c>
      <c r="F2" s="3">
        <v>2250668.8524</v>
      </c>
      <c r="G2" s="3">
        <v>2402988.1558</v>
      </c>
      <c r="H2" s="3">
        <v>2397333.5643</v>
      </c>
      <c r="I2" s="3">
        <v>2419690.9269</v>
      </c>
      <c r="J2" s="3">
        <v>2437307.5869</v>
      </c>
      <c r="K2" s="3">
        <v>2457834.4795</v>
      </c>
      <c r="L2" s="3">
        <v>2510536.374</v>
      </c>
      <c r="M2" s="3">
        <v>2562761.5102</v>
      </c>
      <c r="N2" s="3">
        <v>2559991.01</v>
      </c>
      <c r="O2" s="3">
        <v>2618542.6253</v>
      </c>
      <c r="P2" s="3">
        <v>2663167.8948</v>
      </c>
      <c r="Q2" s="3">
        <v>2804776.81</v>
      </c>
      <c r="R2" s="3">
        <v>2871037.8848</v>
      </c>
      <c r="S2" s="3">
        <v>2959799.1689</v>
      </c>
      <c r="T2" s="3">
        <v>3012996.3884</v>
      </c>
      <c r="U2" s="3">
        <v>3012996.3884</v>
      </c>
      <c r="V2" s="3">
        <v>3083594.9884</v>
      </c>
      <c r="W2" s="3">
        <v>3126481.9884</v>
      </c>
      <c r="X2" s="3">
        <v>3126481.9884</v>
      </c>
      <c r="Y2" s="3">
        <v>3163773.6997</v>
      </c>
    </row>
    <row r="3" spans="1:25">
      <c r="A3" s="2" t="s">
        <v>26</v>
      </c>
      <c r="B3" s="3">
        <v>927838.4716</v>
      </c>
      <c r="C3" s="3">
        <v>1327207.494</v>
      </c>
      <c r="D3" s="3">
        <v>1342822.3208</v>
      </c>
      <c r="E3" s="3">
        <v>1604244.318</v>
      </c>
      <c r="F3" s="3">
        <v>1625395.9885</v>
      </c>
      <c r="G3" s="3">
        <v>1727293.4023</v>
      </c>
      <c r="H3" s="3">
        <v>1760101.2711</v>
      </c>
      <c r="I3" s="3">
        <v>1760466.7343</v>
      </c>
      <c r="J3" s="3">
        <v>1799039.5397</v>
      </c>
      <c r="K3" s="3">
        <v>1816376.1146</v>
      </c>
      <c r="L3" s="3">
        <v>1835002.2026</v>
      </c>
      <c r="M3" s="3">
        <v>1897241.704</v>
      </c>
      <c r="N3" s="3">
        <v>1899757.6006</v>
      </c>
      <c r="O3" s="3">
        <v>1975947.9264</v>
      </c>
      <c r="P3" s="3">
        <v>2028039.1364</v>
      </c>
      <c r="Q3" s="3">
        <v>2057884.5296</v>
      </c>
      <c r="R3" s="3">
        <v>2166744.7601</v>
      </c>
      <c r="S3" s="3">
        <v>2169205.7481</v>
      </c>
      <c r="T3" s="3">
        <v>2169205.7481</v>
      </c>
      <c r="U3" s="3">
        <v>2261092.7687</v>
      </c>
      <c r="V3" s="3">
        <v>2247056.6453</v>
      </c>
      <c r="W3" s="3">
        <v>2327733.7563</v>
      </c>
      <c r="X3" s="3">
        <v>2327733.7563</v>
      </c>
    </row>
    <row r="4" spans="1:25">
      <c r="A4" s="2" t="s">
        <v>27</v>
      </c>
      <c r="B4" s="3">
        <v>1009363.3596</v>
      </c>
      <c r="C4" s="3">
        <v>1458693.7576</v>
      </c>
      <c r="D4" s="3">
        <v>1578930.4312</v>
      </c>
      <c r="E4" s="3">
        <v>1876931.173</v>
      </c>
      <c r="F4" s="3">
        <v>1703633.0403</v>
      </c>
      <c r="G4" s="3">
        <v>1819224.3524</v>
      </c>
      <c r="H4" s="3">
        <v>1814195.5019</v>
      </c>
      <c r="I4" s="3">
        <v>1800500.416</v>
      </c>
      <c r="J4" s="3">
        <v>1797139.9227</v>
      </c>
      <c r="K4" s="3">
        <v>1801084.8669</v>
      </c>
      <c r="L4" s="3">
        <v>1797322.9116</v>
      </c>
      <c r="M4" s="3">
        <v>1783419.2233</v>
      </c>
      <c r="N4" s="3">
        <v>1774330.2012</v>
      </c>
      <c r="O4" s="3">
        <v>1774330.1088</v>
      </c>
      <c r="P4" s="3">
        <v>1774330.1088</v>
      </c>
      <c r="Q4" s="3">
        <v>1774330.1088</v>
      </c>
      <c r="R4" s="3">
        <v>1778091.5758</v>
      </c>
      <c r="S4" s="3">
        <v>1778091.5758</v>
      </c>
      <c r="T4" s="3">
        <v>1778091.5758</v>
      </c>
      <c r="U4" s="3">
        <v>1778091.5758</v>
      </c>
      <c r="V4" s="3">
        <v>1778091.5758</v>
      </c>
      <c r="W4" s="3">
        <v>1778091.5758</v>
      </c>
    </row>
    <row r="5" spans="1:25">
      <c r="A5" s="2" t="s">
        <v>28</v>
      </c>
      <c r="B5" s="3">
        <v>706990.2156</v>
      </c>
      <c r="C5" s="3">
        <v>807081.8756</v>
      </c>
      <c r="D5" s="3">
        <v>891146.7297</v>
      </c>
      <c r="E5" s="3">
        <v>933370.1028</v>
      </c>
      <c r="F5" s="3">
        <v>1055143.9785</v>
      </c>
      <c r="G5" s="3">
        <v>1061000.4688</v>
      </c>
      <c r="H5" s="3">
        <v>1080582.0132</v>
      </c>
      <c r="I5" s="3">
        <v>1088885.0684</v>
      </c>
      <c r="J5" s="3">
        <v>1114748.9381</v>
      </c>
      <c r="K5" s="3">
        <v>1104800.7904</v>
      </c>
      <c r="L5" s="3">
        <v>1130298.0224</v>
      </c>
      <c r="M5" s="3">
        <v>1117525.6932</v>
      </c>
      <c r="N5" s="3">
        <v>1117975.6768</v>
      </c>
      <c r="O5" s="3">
        <v>1118300.2984</v>
      </c>
      <c r="P5" s="3">
        <v>1118299.6782</v>
      </c>
      <c r="Q5" s="3">
        <v>1122581.0808</v>
      </c>
      <c r="R5" s="3">
        <v>1122581.0808</v>
      </c>
      <c r="S5" s="3">
        <v>1122581.0808</v>
      </c>
      <c r="T5" s="3">
        <v>1122581.0808</v>
      </c>
      <c r="U5" s="3">
        <v>1122614.7306</v>
      </c>
      <c r="V5" s="3">
        <v>1122614.7306</v>
      </c>
    </row>
    <row r="6" spans="1:25">
      <c r="A6" s="2" t="s">
        <v>29</v>
      </c>
      <c r="B6" s="3">
        <v>1249691.5508</v>
      </c>
      <c r="C6" s="3">
        <v>1628221.9514</v>
      </c>
      <c r="D6" s="3">
        <v>1779408.0616</v>
      </c>
      <c r="E6" s="3">
        <v>1735781.5973</v>
      </c>
      <c r="F6" s="3">
        <v>1800284.1468</v>
      </c>
      <c r="G6" s="3">
        <v>1829678.4347</v>
      </c>
      <c r="H6" s="3">
        <v>1866913.7991</v>
      </c>
      <c r="I6" s="3">
        <v>1877458.5247</v>
      </c>
      <c r="J6" s="3">
        <v>1901705.9108</v>
      </c>
      <c r="K6" s="3">
        <v>1953626.9848</v>
      </c>
      <c r="L6" s="3">
        <v>1976524.5916</v>
      </c>
      <c r="M6" s="3">
        <v>2212537.6908</v>
      </c>
      <c r="N6" s="3">
        <v>2212549.5672</v>
      </c>
      <c r="O6" s="3">
        <v>2171748.9472</v>
      </c>
      <c r="P6" s="3">
        <v>2193366.7399</v>
      </c>
      <c r="Q6" s="3">
        <v>2208705.4536</v>
      </c>
      <c r="R6" s="3">
        <v>2242149.1321</v>
      </c>
      <c r="S6" s="3">
        <v>2242149.1321</v>
      </c>
      <c r="T6" s="3">
        <v>2242149.1321</v>
      </c>
      <c r="U6" s="3">
        <v>2242149.1321</v>
      </c>
    </row>
    <row r="7" spans="1:25">
      <c r="A7" s="2" t="s">
        <v>30</v>
      </c>
      <c r="B7" s="3">
        <v>765985.3353</v>
      </c>
      <c r="C7" s="3">
        <v>1158099.949</v>
      </c>
      <c r="D7" s="3">
        <v>1006637.0924</v>
      </c>
      <c r="E7" s="3">
        <v>1076536.2516</v>
      </c>
      <c r="F7" s="3">
        <v>1086240.5108</v>
      </c>
      <c r="G7" s="3">
        <v>1141033.2455</v>
      </c>
      <c r="H7" s="3">
        <v>1191316.1021</v>
      </c>
      <c r="I7" s="3">
        <v>1169378.0556</v>
      </c>
      <c r="J7" s="3">
        <v>1199839.2137</v>
      </c>
      <c r="K7" s="3">
        <v>1244365.6452</v>
      </c>
      <c r="L7" s="3">
        <v>1347851.3164</v>
      </c>
      <c r="M7" s="3">
        <v>1428877.3956</v>
      </c>
      <c r="N7" s="3">
        <v>1468194.3366</v>
      </c>
      <c r="O7" s="3">
        <v>1484004.1739</v>
      </c>
      <c r="P7" s="3">
        <v>1484861.9139</v>
      </c>
      <c r="Q7" s="3">
        <v>1502016.7139</v>
      </c>
      <c r="R7" s="3">
        <v>1506635.3139</v>
      </c>
      <c r="S7" s="3">
        <v>1517636.7927</v>
      </c>
      <c r="T7" s="3">
        <v>1517636.7927</v>
      </c>
    </row>
    <row r="8" spans="1:25">
      <c r="A8" s="2" t="s">
        <v>31</v>
      </c>
      <c r="B8" s="3">
        <v>1724656.8811</v>
      </c>
      <c r="C8" s="3">
        <v>1877762.5606</v>
      </c>
      <c r="D8" s="3">
        <v>2045106.7768</v>
      </c>
      <c r="E8" s="3">
        <v>2291428.8419</v>
      </c>
      <c r="F8" s="3">
        <v>2554191.4604</v>
      </c>
      <c r="G8" s="3">
        <v>3049073.7774</v>
      </c>
      <c r="H8" s="3">
        <v>3243034.4444</v>
      </c>
      <c r="I8" s="3">
        <v>3598222.0844</v>
      </c>
      <c r="J8" s="3">
        <v>3855992.6032</v>
      </c>
      <c r="K8" s="3">
        <v>4247900.6072</v>
      </c>
      <c r="L8" s="3">
        <v>4378240.1384</v>
      </c>
      <c r="M8" s="3">
        <v>4504737.6146</v>
      </c>
      <c r="N8" s="3">
        <v>4577330.1566</v>
      </c>
      <c r="O8" s="3">
        <v>4581600.0523</v>
      </c>
      <c r="P8" s="3">
        <v>4781468.7005</v>
      </c>
      <c r="Q8" s="3">
        <v>4781468.7005</v>
      </c>
      <c r="R8" s="3">
        <v>4798643.3473</v>
      </c>
      <c r="S8" s="3">
        <v>4810774.6148</v>
      </c>
    </row>
    <row r="9" spans="1:25">
      <c r="A9" s="2" t="s">
        <v>32</v>
      </c>
      <c r="B9" s="3">
        <v>556352.8875</v>
      </c>
      <c r="C9" s="3">
        <v>770915.0442</v>
      </c>
      <c r="D9" s="3">
        <v>933165.8683</v>
      </c>
      <c r="E9" s="3">
        <v>1298006.7782</v>
      </c>
      <c r="F9" s="3">
        <v>1258119.1102</v>
      </c>
      <c r="G9" s="3">
        <v>1279315.2512</v>
      </c>
      <c r="H9" s="3">
        <v>1286243.9166</v>
      </c>
      <c r="I9" s="3">
        <v>1303173.6192</v>
      </c>
      <c r="J9" s="3">
        <v>1310621.4416</v>
      </c>
      <c r="K9" s="3">
        <v>1356059.2284</v>
      </c>
      <c r="L9" s="3">
        <v>1362732.0233</v>
      </c>
      <c r="M9" s="3">
        <v>1362957.0151</v>
      </c>
      <c r="N9" s="3">
        <v>1343109.2414</v>
      </c>
      <c r="O9" s="3">
        <v>1343439.1414</v>
      </c>
      <c r="P9" s="3">
        <v>1343439.1414</v>
      </c>
      <c r="Q9" s="3">
        <v>1350037.1414</v>
      </c>
      <c r="R9" s="3">
        <v>1378427.9395</v>
      </c>
    </row>
    <row r="10" spans="1:25">
      <c r="A10" s="2" t="s">
        <v>33</v>
      </c>
      <c r="B10" s="3">
        <v>357480.3922</v>
      </c>
      <c r="C10" s="3">
        <v>872537.4534</v>
      </c>
      <c r="D10" s="3">
        <v>822240.0416</v>
      </c>
      <c r="E10" s="3">
        <v>842753.923</v>
      </c>
      <c r="F10" s="3">
        <v>898761.0856</v>
      </c>
      <c r="G10" s="3">
        <v>944889.6302</v>
      </c>
      <c r="H10" s="3">
        <v>979272.5208000001</v>
      </c>
      <c r="I10" s="3">
        <v>1120353.596</v>
      </c>
      <c r="J10" s="3">
        <v>1120360.194</v>
      </c>
      <c r="K10" s="3">
        <v>1120361.8963</v>
      </c>
      <c r="L10" s="3">
        <v>1120361.8963</v>
      </c>
      <c r="M10" s="3">
        <v>1135537.2963</v>
      </c>
      <c r="N10" s="3">
        <v>1169581.0893</v>
      </c>
      <c r="O10" s="3">
        <v>1169581.0893</v>
      </c>
      <c r="P10" s="3">
        <v>1169581.0893</v>
      </c>
      <c r="Q10" s="3">
        <v>1169581.0893</v>
      </c>
    </row>
    <row r="11" spans="1:25">
      <c r="A11" s="2" t="s">
        <v>34</v>
      </c>
      <c r="B11" s="3">
        <v>360030.44</v>
      </c>
      <c r="C11" s="3">
        <v>730590.3643</v>
      </c>
      <c r="D11" s="3">
        <v>951322.0996</v>
      </c>
      <c r="E11" s="3">
        <v>1105337.8676</v>
      </c>
      <c r="F11" s="3">
        <v>1236185.7351</v>
      </c>
      <c r="G11" s="3">
        <v>1222899.712</v>
      </c>
      <c r="H11" s="3">
        <v>1271367.3004</v>
      </c>
      <c r="I11" s="3">
        <v>1272863.7268</v>
      </c>
      <c r="J11" s="3">
        <v>1266822.057</v>
      </c>
      <c r="K11" s="3">
        <v>1267621.5366</v>
      </c>
      <c r="L11" s="3">
        <v>1268616.515</v>
      </c>
      <c r="M11" s="3">
        <v>1268690.4126</v>
      </c>
      <c r="N11" s="3">
        <v>1270339.9126</v>
      </c>
      <c r="O11" s="3">
        <v>1270069.2627</v>
      </c>
      <c r="P11" s="3">
        <v>1277672.0721</v>
      </c>
    </row>
    <row r="12" spans="1:25">
      <c r="A12" s="2" t="s">
        <v>35</v>
      </c>
      <c r="B12" s="3">
        <v>454047.3346</v>
      </c>
      <c r="C12" s="3">
        <v>886919.7606</v>
      </c>
      <c r="D12" s="3">
        <v>1308017.8708</v>
      </c>
      <c r="E12" s="3">
        <v>1510353.973</v>
      </c>
      <c r="F12" s="3">
        <v>1611539.0668</v>
      </c>
      <c r="G12" s="3">
        <v>1740504.8944</v>
      </c>
      <c r="H12" s="3">
        <v>1836702.4148</v>
      </c>
      <c r="I12" s="3">
        <v>1836817.6951</v>
      </c>
      <c r="J12" s="3">
        <v>1862143.4583</v>
      </c>
      <c r="K12" s="3">
        <v>1869290.4119</v>
      </c>
      <c r="L12" s="3">
        <v>1921985.9327</v>
      </c>
      <c r="M12" s="3">
        <v>1916081.5804</v>
      </c>
      <c r="N12" s="3">
        <v>1916081.5804</v>
      </c>
      <c r="O12" s="3">
        <v>1916081.5804</v>
      </c>
    </row>
    <row r="13" spans="1:25">
      <c r="A13" s="2" t="s">
        <v>36</v>
      </c>
      <c r="B13" s="3">
        <v>335887.1044</v>
      </c>
      <c r="C13" s="3">
        <v>682490.522</v>
      </c>
      <c r="D13" s="3">
        <v>892010.9489</v>
      </c>
      <c r="E13" s="3">
        <v>969399.2736</v>
      </c>
      <c r="F13" s="3">
        <v>966369.472</v>
      </c>
      <c r="G13" s="3">
        <v>974833.3864</v>
      </c>
      <c r="H13" s="3">
        <v>978738.6634</v>
      </c>
      <c r="I13" s="3">
        <v>1029196.2086</v>
      </c>
      <c r="J13" s="3">
        <v>1086698.5968</v>
      </c>
      <c r="K13" s="3">
        <v>1148149.3733</v>
      </c>
      <c r="L13" s="3">
        <v>1156726.7733</v>
      </c>
      <c r="M13" s="3">
        <v>1363753.3805</v>
      </c>
      <c r="N13" s="3">
        <v>1363753.3805</v>
      </c>
    </row>
    <row r="14" spans="1:25">
      <c r="A14" s="2" t="s">
        <v>37</v>
      </c>
      <c r="B14" s="3">
        <v>279096.7196</v>
      </c>
      <c r="C14" s="3">
        <v>509656.1495</v>
      </c>
      <c r="D14" s="3">
        <v>554121.1536</v>
      </c>
      <c r="E14" s="3">
        <v>668048.8196</v>
      </c>
      <c r="F14" s="3">
        <v>708646.3136</v>
      </c>
      <c r="G14" s="3">
        <v>706804.6403</v>
      </c>
      <c r="H14" s="3">
        <v>707153.1202</v>
      </c>
      <c r="I14" s="3">
        <v>707153.1202</v>
      </c>
      <c r="J14" s="3">
        <v>708518.7743</v>
      </c>
      <c r="K14" s="3">
        <v>708518.7743</v>
      </c>
      <c r="L14" s="3">
        <v>708529.9909</v>
      </c>
      <c r="M14" s="3">
        <v>708529.9909</v>
      </c>
    </row>
    <row r="15" spans="1:25">
      <c r="A15" s="2" t="s">
        <v>38</v>
      </c>
      <c r="B15" s="3">
        <v>579453.8975</v>
      </c>
      <c r="C15" s="3">
        <v>791674.226</v>
      </c>
      <c r="D15" s="3">
        <v>1117488.7444</v>
      </c>
      <c r="E15" s="3">
        <v>1292116.6908</v>
      </c>
      <c r="F15" s="3">
        <v>1310589.9427</v>
      </c>
      <c r="G15" s="3">
        <v>1355751.9331</v>
      </c>
      <c r="H15" s="3">
        <v>1316935.0942</v>
      </c>
      <c r="I15" s="3">
        <v>1316935.0942</v>
      </c>
      <c r="J15" s="3">
        <v>1371038.6942</v>
      </c>
      <c r="K15" s="3">
        <v>1399322.0241</v>
      </c>
      <c r="L15" s="3">
        <v>1389603.6847</v>
      </c>
    </row>
    <row r="16" spans="1:25">
      <c r="A16" s="2" t="s">
        <v>39</v>
      </c>
      <c r="B16" s="3">
        <v>538066.9</v>
      </c>
      <c r="C16" s="3">
        <v>1068443.1712</v>
      </c>
      <c r="D16" s="3">
        <v>1605602.1864</v>
      </c>
      <c r="E16" s="3">
        <v>2133023.2398</v>
      </c>
      <c r="F16" s="3">
        <v>2358964.558</v>
      </c>
      <c r="G16" s="3">
        <v>2680270.1351</v>
      </c>
      <c r="H16" s="3">
        <v>3055333.4055</v>
      </c>
      <c r="I16" s="3">
        <v>3076051.1255</v>
      </c>
      <c r="J16" s="3">
        <v>3086205.1704</v>
      </c>
      <c r="K16" s="3">
        <v>3382963.2581</v>
      </c>
    </row>
    <row r="17" spans="1:24">
      <c r="A17" s="2" t="s">
        <v>40</v>
      </c>
      <c r="B17" s="3">
        <v>687801.912</v>
      </c>
      <c r="C17" s="3">
        <v>1285960.7568</v>
      </c>
      <c r="D17" s="3">
        <v>1733469.988</v>
      </c>
      <c r="E17" s="3">
        <v>1884267.6211</v>
      </c>
      <c r="F17" s="3">
        <v>2152415.9626</v>
      </c>
      <c r="G17" s="3">
        <v>2220417.4843</v>
      </c>
      <c r="H17" s="3">
        <v>2503620.4692</v>
      </c>
      <c r="I17" s="3">
        <v>2503024.6434</v>
      </c>
      <c r="J17" s="3">
        <v>2506323.6434</v>
      </c>
    </row>
    <row r="18" spans="1:24">
      <c r="A18" s="2" t="s">
        <v>41</v>
      </c>
      <c r="B18" s="3">
        <v>461326.8816</v>
      </c>
      <c r="C18" s="3">
        <v>614872.6873</v>
      </c>
      <c r="D18" s="3">
        <v>635999.2061</v>
      </c>
      <c r="E18" s="3">
        <v>832770.2121</v>
      </c>
      <c r="F18" s="3">
        <v>895289.4819</v>
      </c>
      <c r="G18" s="3">
        <v>1014108.2981</v>
      </c>
      <c r="H18" s="3">
        <v>1168952.8937</v>
      </c>
      <c r="I18" s="3">
        <v>1205811.8289</v>
      </c>
    </row>
    <row r="19" spans="1:24">
      <c r="A19" s="2" t="s">
        <v>42</v>
      </c>
      <c r="B19" s="3">
        <v>507983.8204</v>
      </c>
      <c r="C19" s="3">
        <v>1168067.9171</v>
      </c>
      <c r="D19" s="3">
        <v>1668858.2021</v>
      </c>
      <c r="E19" s="3">
        <v>2316819.635</v>
      </c>
      <c r="F19" s="3">
        <v>2303518.1066</v>
      </c>
      <c r="G19" s="3">
        <v>2333675.3477</v>
      </c>
      <c r="H19" s="3">
        <v>2395448.4233</v>
      </c>
    </row>
    <row r="20" spans="1:24">
      <c r="A20" s="2" t="s">
        <v>43</v>
      </c>
      <c r="B20" s="3">
        <v>407914.8312</v>
      </c>
      <c r="C20" s="3">
        <v>1124607.0627</v>
      </c>
      <c r="D20" s="3">
        <v>1740054.5413</v>
      </c>
      <c r="E20" s="3">
        <v>2000563.0454</v>
      </c>
      <c r="F20" s="3">
        <v>2127378.6904</v>
      </c>
      <c r="G20" s="3">
        <v>2599882.8743</v>
      </c>
    </row>
    <row r="21" spans="1:24">
      <c r="A21" s="2" t="s">
        <v>44</v>
      </c>
      <c r="B21" s="3">
        <v>522102.6035</v>
      </c>
      <c r="C21" s="3">
        <v>931915.5209999999</v>
      </c>
      <c r="D21" s="3">
        <v>916291.8001</v>
      </c>
      <c r="E21" s="3">
        <v>969468.3019</v>
      </c>
      <c r="F21" s="3">
        <v>978899.5095</v>
      </c>
    </row>
    <row r="22" spans="1:24">
      <c r="A22" s="2" t="s">
        <v>45</v>
      </c>
      <c r="B22" s="3">
        <v>549457.067</v>
      </c>
      <c r="C22" s="3">
        <v>800935.1524</v>
      </c>
      <c r="D22" s="3">
        <v>980316.7863</v>
      </c>
      <c r="E22" s="3">
        <v>1011313.2797</v>
      </c>
    </row>
    <row r="23" spans="1:24">
      <c r="A23" s="2" t="s">
        <v>46</v>
      </c>
      <c r="B23" s="3">
        <v>694623.0036000001</v>
      </c>
      <c r="C23" s="3">
        <v>851655.8786000001</v>
      </c>
      <c r="D23" s="3">
        <v>827416.1066000001</v>
      </c>
    </row>
    <row r="24" spans="1:24">
      <c r="A24" s="2" t="s">
        <v>47</v>
      </c>
      <c r="B24" s="3">
        <v>975000.3026000001</v>
      </c>
      <c r="C24" s="3">
        <v>1651756.6744</v>
      </c>
    </row>
    <row r="25" spans="1:24">
      <c r="A25" s="2" t="s">
        <v>48</v>
      </c>
      <c r="B25" s="3">
        <v>890155.2218000001</v>
      </c>
    </row>
    <row r="27" spans="1:24">
      <c r="A27" s="1" t="s">
        <v>0</v>
      </c>
      <c r="B27" s="1" t="s">
        <v>49</v>
      </c>
      <c r="C27" s="1" t="s">
        <v>50</v>
      </c>
      <c r="D27" s="1" t="s">
        <v>51</v>
      </c>
      <c r="E27" s="1" t="s">
        <v>52</v>
      </c>
      <c r="F27" s="1" t="s">
        <v>53</v>
      </c>
      <c r="G27" s="1" t="s">
        <v>54</v>
      </c>
      <c r="H27" s="1" t="s">
        <v>55</v>
      </c>
      <c r="I27" s="1" t="s">
        <v>56</v>
      </c>
      <c r="J27" s="1" t="s">
        <v>57</v>
      </c>
      <c r="K27" s="1" t="s">
        <v>58</v>
      </c>
      <c r="L27" s="1" t="s">
        <v>59</v>
      </c>
      <c r="M27" s="1" t="s">
        <v>60</v>
      </c>
      <c r="N27" s="1" t="s">
        <v>61</v>
      </c>
      <c r="O27" s="1" t="s">
        <v>62</v>
      </c>
      <c r="P27" s="1" t="s">
        <v>63</v>
      </c>
      <c r="Q27" s="1" t="s">
        <v>64</v>
      </c>
      <c r="R27" s="1" t="s">
        <v>65</v>
      </c>
      <c r="S27" s="1" t="s">
        <v>66</v>
      </c>
      <c r="T27" s="1" t="s">
        <v>67</v>
      </c>
      <c r="U27" s="1" t="s">
        <v>68</v>
      </c>
      <c r="V27" s="1" t="s">
        <v>69</v>
      </c>
      <c r="W27" s="1" t="s">
        <v>70</v>
      </c>
      <c r="X27" s="1" t="s">
        <v>71</v>
      </c>
    </row>
    <row r="28" spans="1:24">
      <c r="A28" s="2" t="s">
        <v>25</v>
      </c>
      <c r="B28" s="4">
        <f>IFERROR(IF(B2="","",B2/A2),"")</f>
        <v>2.7399</v>
      </c>
      <c r="C28" s="4">
        <f>IFERROR(IF(C2="","",C2/B2),"")</f>
        <v>1.2238</v>
      </c>
      <c r="D28" s="4">
        <f>IFERROR(IF(D2="","",D2/C2),"")</f>
        <v>1.1005</v>
      </c>
      <c r="E28" s="4">
        <f>IFERROR(IF(E2="","",E2/D2),"")</f>
        <v>1.0751</v>
      </c>
      <c r="F28" s="4">
        <f>IFERROR(IF(F2="","",F2/E2),"")</f>
        <v>1.0677</v>
      </c>
      <c r="G28" s="4">
        <f>IFERROR(IF(G2="","",G2/F2),"")</f>
        <v>0.9976</v>
      </c>
      <c r="H28" s="4">
        <f>IFERROR(IF(H2="","",H2/G2),"")</f>
        <v>1.0093</v>
      </c>
      <c r="I28" s="4">
        <f>IFERROR(IF(I2="","",I2/H2),"")</f>
        <v>1.0073</v>
      </c>
      <c r="J28" s="4">
        <f>IFERROR(IF(J2="","",J2/I2),"")</f>
        <v>1.0084</v>
      </c>
      <c r="K28" s="4">
        <f>IFERROR(IF(K2="","",K2/J2),"")</f>
        <v>1.0214</v>
      </c>
      <c r="L28" s="4">
        <f>IFERROR(IF(L2="","",L2/K2),"")</f>
        <v>1.0208</v>
      </c>
      <c r="M28" s="4">
        <f>IFERROR(IF(M2="","",M2/L2),"")</f>
        <v>0.9989</v>
      </c>
      <c r="N28" s="4">
        <f>IFERROR(IF(N2="","",N2/M2),"")</f>
        <v>1.0229</v>
      </c>
      <c r="O28" s="4">
        <f>IFERROR(IF(O2="","",O2/N2),"")</f>
        <v>1.017</v>
      </c>
      <c r="P28" s="4">
        <f>IFERROR(IF(P2="","",P2/O2),"")</f>
        <v>1.0532</v>
      </c>
      <c r="Q28" s="4">
        <f>IFERROR(IF(Q2="","",Q2/P2),"")</f>
        <v>1.0236</v>
      </c>
      <c r="R28" s="4">
        <f>IFERROR(IF(R2="","",R2/Q2),"")</f>
        <v>1.0309</v>
      </c>
      <c r="S28" s="4">
        <f>IFERROR(IF(S2="","",S2/R2),"")</f>
        <v>1.018</v>
      </c>
      <c r="T28" s="4">
        <f>IFERROR(IF(T2="","",T2/S2),"")</f>
        <v>1.0</v>
      </c>
      <c r="U28" s="4">
        <f>IFERROR(IF(U2="","",U2/T2),"")</f>
        <v>1.0234</v>
      </c>
      <c r="V28" s="4">
        <f>IFERROR(IF(V2="","",V2/U2),"")</f>
        <v>1.0139</v>
      </c>
      <c r="W28" s="4">
        <f>IFERROR(IF(W2="","",W2/V2),"")</f>
        <v>1.0</v>
      </c>
      <c r="X28" s="4">
        <f>IFERROR(IF(X2="","",X2/W2),"")</f>
        <v>1.0119</v>
      </c>
    </row>
    <row r="29" spans="1:24">
      <c r="A29" s="2" t="s">
        <v>26</v>
      </c>
      <c r="B29" s="4">
        <f>IFERROR(IF(B3="","",B3/A3),"")</f>
        <v>1.4304</v>
      </c>
      <c r="C29" s="4">
        <f>IFERROR(IF(C3="","",C3/B3),"")</f>
        <v>1.0118</v>
      </c>
      <c r="D29" s="4">
        <f>IFERROR(IF(D3="","",D3/C3),"")</f>
        <v>1.1947</v>
      </c>
      <c r="E29" s="4">
        <f>IFERROR(IF(E3="","",E3/D3),"")</f>
        <v>1.0132</v>
      </c>
      <c r="F29" s="4">
        <f>IFERROR(IF(F3="","",F3/E3),"")</f>
        <v>1.0627</v>
      </c>
      <c r="G29" s="4">
        <f>IFERROR(IF(G3="","",G3/F3),"")</f>
        <v>1.019</v>
      </c>
      <c r="H29" s="4">
        <f>IFERROR(IF(H3="","",H3/G3),"")</f>
        <v>1.0002</v>
      </c>
      <c r="I29" s="4">
        <f>IFERROR(IF(I3="","",I3/H3),"")</f>
        <v>1.0219</v>
      </c>
      <c r="J29" s="4">
        <f>IFERROR(IF(J3="","",J3/I3),"")</f>
        <v>1.0096</v>
      </c>
      <c r="K29" s="4">
        <f>IFERROR(IF(K3="","",K3/J3),"")</f>
        <v>1.0103</v>
      </c>
      <c r="L29" s="4">
        <f>IFERROR(IF(L3="","",L3/K3),"")</f>
        <v>1.0339</v>
      </c>
      <c r="M29" s="4">
        <f>IFERROR(IF(M3="","",M3/L3),"")</f>
        <v>1.0013</v>
      </c>
      <c r="N29" s="4">
        <f>IFERROR(IF(N3="","",N3/M3),"")</f>
        <v>1.0401</v>
      </c>
      <c r="O29" s="4">
        <f>IFERROR(IF(O3="","",O3/N3),"")</f>
        <v>1.0264</v>
      </c>
      <c r="P29" s="4">
        <f>IFERROR(IF(P3="","",P3/O3),"")</f>
        <v>1.0147</v>
      </c>
      <c r="Q29" s="4">
        <f>IFERROR(IF(Q3="","",Q3/P3),"")</f>
        <v>1.0529</v>
      </c>
      <c r="R29" s="4">
        <f>IFERROR(IF(R3="","",R3/Q3),"")</f>
        <v>1.0011</v>
      </c>
      <c r="S29" s="4">
        <f>IFERROR(IF(S3="","",S3/R3),"")</f>
        <v>1.0</v>
      </c>
      <c r="T29" s="4">
        <f>IFERROR(IF(T3="","",T3/S3),"")</f>
        <v>1.0424</v>
      </c>
      <c r="U29" s="4">
        <f>IFERROR(IF(U3="","",U3/T3),"")</f>
        <v>0.9938</v>
      </c>
      <c r="V29" s="4">
        <f>IFERROR(IF(V3="","",V3/U3),"")</f>
        <v>1.0359</v>
      </c>
      <c r="W29" s="4">
        <f>IFERROR(IF(W3="","",W3/V3),"")</f>
        <v>1.0</v>
      </c>
      <c r="X29" s="4">
        <f>IFERROR(IF(X3="","",X3/W3),"")</f>
        <v>0</v>
      </c>
    </row>
    <row r="30" spans="1:24">
      <c r="A30" s="2" t="s">
        <v>27</v>
      </c>
      <c r="B30" s="4">
        <f>IFERROR(IF(B4="","",B4/A4),"")</f>
        <v>1.4452</v>
      </c>
      <c r="C30" s="4">
        <f>IFERROR(IF(C4="","",C4/B4),"")</f>
        <v>1.0824</v>
      </c>
      <c r="D30" s="4">
        <f>IFERROR(IF(D4="","",D4/C4),"")</f>
        <v>1.1887</v>
      </c>
      <c r="E30" s="4">
        <f>IFERROR(IF(E4="","",E4/D4),"")</f>
        <v>0.9077</v>
      </c>
      <c r="F30" s="4">
        <f>IFERROR(IF(F4="","",F4/E4),"")</f>
        <v>1.0678</v>
      </c>
      <c r="G30" s="4">
        <f>IFERROR(IF(G4="","",G4/F4),"")</f>
        <v>0.9972</v>
      </c>
      <c r="H30" s="4">
        <f>IFERROR(IF(H4="","",H4/G4),"")</f>
        <v>0.9925</v>
      </c>
      <c r="I30" s="4">
        <f>IFERROR(IF(I4="","",I4/H4),"")</f>
        <v>0.9981</v>
      </c>
      <c r="J30" s="4">
        <f>IFERROR(IF(J4="","",J4/I4),"")</f>
        <v>1.0022</v>
      </c>
      <c r="K30" s="4">
        <f>IFERROR(IF(K4="","",K4/J4),"")</f>
        <v>0.9979</v>
      </c>
      <c r="L30" s="4">
        <f>IFERROR(IF(L4="","",L4/K4),"")</f>
        <v>0.9923</v>
      </c>
      <c r="M30" s="4">
        <f>IFERROR(IF(M4="","",M4/L4),"")</f>
        <v>0.9949</v>
      </c>
      <c r="N30" s="4">
        <f>IFERROR(IF(N4="","",N4/M4),"")</f>
        <v>1.0</v>
      </c>
      <c r="O30" s="4">
        <f>IFERROR(IF(O4="","",O4/N4),"")</f>
        <v>1.0</v>
      </c>
      <c r="P30" s="4">
        <f>IFERROR(IF(P4="","",P4/O4),"")</f>
        <v>1.0</v>
      </c>
      <c r="Q30" s="4">
        <f>IFERROR(IF(Q4="","",Q4/P4),"")</f>
        <v>1.0021</v>
      </c>
      <c r="R30" s="4">
        <f>IFERROR(IF(R4="","",R4/Q4),"")</f>
        <v>1.0</v>
      </c>
      <c r="S30" s="4">
        <f>IFERROR(IF(S4="","",S4/R4),"")</f>
        <v>1.0</v>
      </c>
      <c r="T30" s="4">
        <f>IFERROR(IF(T4="","",T4/S4),"")</f>
        <v>1.0</v>
      </c>
      <c r="U30" s="4">
        <f>IFERROR(IF(U4="","",U4/T4),"")</f>
        <v>1.0</v>
      </c>
      <c r="V30" s="4">
        <f>IFERROR(IF(V4="","",V4/U4),"")</f>
        <v>1.0</v>
      </c>
      <c r="W30" s="4">
        <f>IFERROR(IF(W4="","",W4/V4),"")</f>
        <v>0</v>
      </c>
      <c r="X30" s="4">
        <f>IFERROR(IF(X4="","",X4/W4),"")</f>
        <v>0</v>
      </c>
    </row>
    <row r="31" spans="1:24">
      <c r="A31" s="2" t="s">
        <v>28</v>
      </c>
      <c r="B31" s="4">
        <f>IFERROR(IF(B5="","",B5/A5),"")</f>
        <v>1.1416</v>
      </c>
      <c r="C31" s="4">
        <f>IFERROR(IF(C5="","",C5/B5),"")</f>
        <v>1.1042</v>
      </c>
      <c r="D31" s="4">
        <f>IFERROR(IF(D5="","",D5/C5),"")</f>
        <v>1.0474</v>
      </c>
      <c r="E31" s="4">
        <f>IFERROR(IF(E5="","",E5/D5),"")</f>
        <v>1.1305</v>
      </c>
      <c r="F31" s="4">
        <f>IFERROR(IF(F5="","",F5/E5),"")</f>
        <v>1.0056</v>
      </c>
      <c r="G31" s="4">
        <f>IFERROR(IF(G5="","",G5/F5),"")</f>
        <v>1.0185</v>
      </c>
      <c r="H31" s="4">
        <f>IFERROR(IF(H5="","",H5/G5),"")</f>
        <v>1.0077</v>
      </c>
      <c r="I31" s="4">
        <f>IFERROR(IF(I5="","",I5/H5),"")</f>
        <v>1.0238</v>
      </c>
      <c r="J31" s="4">
        <f>IFERROR(IF(J5="","",J5/I5),"")</f>
        <v>0.9911</v>
      </c>
      <c r="K31" s="4">
        <f>IFERROR(IF(K5="","",K5/J5),"")</f>
        <v>1.0231</v>
      </c>
      <c r="L31" s="4">
        <f>IFERROR(IF(L5="","",L5/K5),"")</f>
        <v>0.9887</v>
      </c>
      <c r="M31" s="4">
        <f>IFERROR(IF(M5="","",M5/L5),"")</f>
        <v>1.0004</v>
      </c>
      <c r="N31" s="4">
        <f>IFERROR(IF(N5="","",N5/M5),"")</f>
        <v>1.0003</v>
      </c>
      <c r="O31" s="4">
        <f>IFERROR(IF(O5="","",O5/N5),"")</f>
        <v>1.0</v>
      </c>
      <c r="P31" s="4">
        <f>IFERROR(IF(P5="","",P5/O5),"")</f>
        <v>1.0038</v>
      </c>
      <c r="Q31" s="4">
        <f>IFERROR(IF(Q5="","",Q5/P5),"")</f>
        <v>1.0</v>
      </c>
      <c r="R31" s="4">
        <f>IFERROR(IF(R5="","",R5/Q5),"")</f>
        <v>1.0</v>
      </c>
      <c r="S31" s="4">
        <f>IFERROR(IF(S5="","",S5/R5),"")</f>
        <v>1.0</v>
      </c>
      <c r="T31" s="4">
        <f>IFERROR(IF(T5="","",T5/S5),"")</f>
        <v>1.0</v>
      </c>
      <c r="U31" s="4">
        <f>IFERROR(IF(U5="","",U5/T5),"")</f>
        <v>1.0</v>
      </c>
      <c r="V31" s="4">
        <f>IFERROR(IF(V5="","",V5/U5),"")</f>
        <v>0</v>
      </c>
      <c r="W31" s="4">
        <f>IFERROR(IF(W5="","",W5/V5),"")</f>
        <v>0</v>
      </c>
      <c r="X31" s="4">
        <f>IFERROR(IF(X5="","",X5/W5),"")</f>
        <v>0</v>
      </c>
    </row>
    <row r="32" spans="1:24">
      <c r="A32" s="2" t="s">
        <v>29</v>
      </c>
      <c r="B32" s="4">
        <f>IFERROR(IF(B6="","",B6/A6),"")</f>
        <v>1.3029</v>
      </c>
      <c r="C32" s="4">
        <f>IFERROR(IF(C6="","",C6/B6),"")</f>
        <v>1.0929</v>
      </c>
      <c r="D32" s="4">
        <f>IFERROR(IF(D6="","",D6/C6),"")</f>
        <v>0.9755</v>
      </c>
      <c r="E32" s="4">
        <f>IFERROR(IF(E6="","",E6/D6),"")</f>
        <v>1.0372</v>
      </c>
      <c r="F32" s="4">
        <f>IFERROR(IF(F6="","",F6/E6),"")</f>
        <v>1.0163</v>
      </c>
      <c r="G32" s="4">
        <f>IFERROR(IF(G6="","",G6/F6),"")</f>
        <v>1.0204</v>
      </c>
      <c r="H32" s="4">
        <f>IFERROR(IF(H6="","",H6/G6),"")</f>
        <v>1.0056</v>
      </c>
      <c r="I32" s="4">
        <f>IFERROR(IF(I6="","",I6/H6),"")</f>
        <v>1.0129</v>
      </c>
      <c r="J32" s="4">
        <f>IFERROR(IF(J6="","",J6/I6),"")</f>
        <v>1.0273</v>
      </c>
      <c r="K32" s="4">
        <f>IFERROR(IF(K6="","",K6/J6),"")</f>
        <v>1.0117</v>
      </c>
      <c r="L32" s="4">
        <f>IFERROR(IF(L6="","",L6/K6),"")</f>
        <v>1.1194</v>
      </c>
      <c r="M32" s="4">
        <f>IFERROR(IF(M6="","",M6/L6),"")</f>
        <v>1.0</v>
      </c>
      <c r="N32" s="4">
        <f>IFERROR(IF(N6="","",N6/M6),"")</f>
        <v>0.9816</v>
      </c>
      <c r="O32" s="4">
        <f>IFERROR(IF(O6="","",O6/N6),"")</f>
        <v>1.01</v>
      </c>
      <c r="P32" s="4">
        <f>IFERROR(IF(P6="","",P6/O6),"")</f>
        <v>1.007</v>
      </c>
      <c r="Q32" s="4">
        <f>IFERROR(IF(Q6="","",Q6/P6),"")</f>
        <v>1.0151</v>
      </c>
      <c r="R32" s="4">
        <f>IFERROR(IF(R6="","",R6/Q6),"")</f>
        <v>1.0</v>
      </c>
      <c r="S32" s="4">
        <f>IFERROR(IF(S6="","",S6/R6),"")</f>
        <v>1.0</v>
      </c>
      <c r="T32" s="4">
        <f>IFERROR(IF(T6="","",T6/S6),"")</f>
        <v>1.0</v>
      </c>
      <c r="U32" s="4">
        <f>IFERROR(IF(U6="","",U6/T6),"")</f>
        <v>0</v>
      </c>
      <c r="V32" s="4">
        <f>IFERROR(IF(V6="","",V6/U6),"")</f>
        <v>0</v>
      </c>
      <c r="W32" s="4">
        <f>IFERROR(IF(W6="","",W6/V6),"")</f>
        <v>0</v>
      </c>
      <c r="X32" s="4">
        <f>IFERROR(IF(X6="","",X6/W6),"")</f>
        <v>0</v>
      </c>
    </row>
    <row r="33" spans="1:24">
      <c r="A33" s="2" t="s">
        <v>30</v>
      </c>
      <c r="B33" s="4">
        <f>IFERROR(IF(B7="","",B7/A7),"")</f>
        <v>1.5119</v>
      </c>
      <c r="C33" s="4">
        <f>IFERROR(IF(C7="","",C7/B7),"")</f>
        <v>0.8692</v>
      </c>
      <c r="D33" s="4">
        <f>IFERROR(IF(D7="","",D7/C7),"")</f>
        <v>1.0694</v>
      </c>
      <c r="E33" s="4">
        <f>IFERROR(IF(E7="","",E7/D7),"")</f>
        <v>1.009</v>
      </c>
      <c r="F33" s="4">
        <f>IFERROR(IF(F7="","",F7/E7),"")</f>
        <v>1.0504</v>
      </c>
      <c r="G33" s="4">
        <f>IFERROR(IF(G7="","",G7/F7),"")</f>
        <v>1.0441</v>
      </c>
      <c r="H33" s="4">
        <f>IFERROR(IF(H7="","",H7/G7),"")</f>
        <v>0.9816</v>
      </c>
      <c r="I33" s="4">
        <f>IFERROR(IF(I7="","",I7/H7),"")</f>
        <v>1.026</v>
      </c>
      <c r="J33" s="4">
        <f>IFERROR(IF(J7="","",J7/I7),"")</f>
        <v>1.0371</v>
      </c>
      <c r="K33" s="4">
        <f>IFERROR(IF(K7="","",K7/J7),"")</f>
        <v>1.0832</v>
      </c>
      <c r="L33" s="4">
        <f>IFERROR(IF(L7="","",L7/K7),"")</f>
        <v>1.0601</v>
      </c>
      <c r="M33" s="4">
        <f>IFERROR(IF(M7="","",M7/L7),"")</f>
        <v>1.0275</v>
      </c>
      <c r="N33" s="4">
        <f>IFERROR(IF(N7="","",N7/M7),"")</f>
        <v>1.0108</v>
      </c>
      <c r="O33" s="4">
        <f>IFERROR(IF(O7="","",O7/N7),"")</f>
        <v>1.0006</v>
      </c>
      <c r="P33" s="4">
        <f>IFERROR(IF(P7="","",P7/O7),"")</f>
        <v>1.0116</v>
      </c>
      <c r="Q33" s="4">
        <f>IFERROR(IF(Q7="","",Q7/P7),"")</f>
        <v>1.0031</v>
      </c>
      <c r="R33" s="4">
        <f>IFERROR(IF(R7="","",R7/Q7),"")</f>
        <v>1.0073</v>
      </c>
      <c r="S33" s="4">
        <f>IFERROR(IF(S7="","",S7/R7),"")</f>
        <v>1.0</v>
      </c>
      <c r="T33" s="4">
        <f>IFERROR(IF(T7="","",T7/S7),"")</f>
        <v>0</v>
      </c>
      <c r="U33" s="4">
        <f>IFERROR(IF(U7="","",U7/T7),"")</f>
        <v>0</v>
      </c>
      <c r="V33" s="4">
        <f>IFERROR(IF(V7="","",V7/U7),"")</f>
        <v>0</v>
      </c>
      <c r="W33" s="4">
        <f>IFERROR(IF(W7="","",W7/V7),"")</f>
        <v>0</v>
      </c>
      <c r="X33" s="4">
        <f>IFERROR(IF(X7="","",X7/W7),"")</f>
        <v>0</v>
      </c>
    </row>
    <row r="34" spans="1:24">
      <c r="A34" s="2" t="s">
        <v>31</v>
      </c>
      <c r="B34" s="4">
        <f>IFERROR(IF(B8="","",B8/A8),"")</f>
        <v>1.0888</v>
      </c>
      <c r="C34" s="4">
        <f>IFERROR(IF(C8="","",C8/B8),"")</f>
        <v>1.0891</v>
      </c>
      <c r="D34" s="4">
        <f>IFERROR(IF(D8="","",D8/C8),"")</f>
        <v>1.1204</v>
      </c>
      <c r="E34" s="4">
        <f>IFERROR(IF(E8="","",E8/D8),"")</f>
        <v>1.1147</v>
      </c>
      <c r="F34" s="4">
        <f>IFERROR(IF(F8="","",F8/E8),"")</f>
        <v>1.1938</v>
      </c>
      <c r="G34" s="4">
        <f>IFERROR(IF(G8="","",G8/F8),"")</f>
        <v>1.0636</v>
      </c>
      <c r="H34" s="4">
        <f>IFERROR(IF(H8="","",H8/G8),"")</f>
        <v>1.1095</v>
      </c>
      <c r="I34" s="4">
        <f>IFERROR(IF(I8="","",I8/H8),"")</f>
        <v>1.0716</v>
      </c>
      <c r="J34" s="4">
        <f>IFERROR(IF(J8="","",J8/I8),"")</f>
        <v>1.1016</v>
      </c>
      <c r="K34" s="4">
        <f>IFERROR(IF(K8="","",K8/J8),"")</f>
        <v>1.0307</v>
      </c>
      <c r="L34" s="4">
        <f>IFERROR(IF(L8="","",L8/K8),"")</f>
        <v>1.0289</v>
      </c>
      <c r="M34" s="4">
        <f>IFERROR(IF(M8="","",M8/L8),"")</f>
        <v>1.0161</v>
      </c>
      <c r="N34" s="4">
        <f>IFERROR(IF(N8="","",N8/M8),"")</f>
        <v>1.0009</v>
      </c>
      <c r="O34" s="4">
        <f>IFERROR(IF(O8="","",O8/N8),"")</f>
        <v>1.0436</v>
      </c>
      <c r="P34" s="4">
        <f>IFERROR(IF(P8="","",P8/O8),"")</f>
        <v>1.0</v>
      </c>
      <c r="Q34" s="4">
        <f>IFERROR(IF(Q8="","",Q8/P8),"")</f>
        <v>1.0036</v>
      </c>
      <c r="R34" s="4">
        <f>IFERROR(IF(R8="","",R8/Q8),"")</f>
        <v>1.0025</v>
      </c>
      <c r="S34" s="4">
        <f>IFERROR(IF(S8="","",S8/R8),"")</f>
        <v>0</v>
      </c>
      <c r="T34" s="4">
        <f>IFERROR(IF(T8="","",T8/S8),"")</f>
        <v>0</v>
      </c>
      <c r="U34" s="4">
        <f>IFERROR(IF(U8="","",U8/T8),"")</f>
        <v>0</v>
      </c>
      <c r="V34" s="4">
        <f>IFERROR(IF(V8="","",V8/U8),"")</f>
        <v>0</v>
      </c>
      <c r="W34" s="4">
        <f>IFERROR(IF(W8="","",W8/V8),"")</f>
        <v>0</v>
      </c>
      <c r="X34" s="4">
        <f>IFERROR(IF(X8="","",X8/W8),"")</f>
        <v>0</v>
      </c>
    </row>
    <row r="35" spans="1:24">
      <c r="A35" s="2" t="s">
        <v>32</v>
      </c>
      <c r="B35" s="4">
        <f>IFERROR(IF(B9="","",B9/A9),"")</f>
        <v>1.3857</v>
      </c>
      <c r="C35" s="4">
        <f>IFERROR(IF(C9="","",C9/B9),"")</f>
        <v>1.2105</v>
      </c>
      <c r="D35" s="4">
        <f>IFERROR(IF(D9="","",D9/C9),"")</f>
        <v>1.391</v>
      </c>
      <c r="E35" s="4">
        <f>IFERROR(IF(E9="","",E9/D9),"")</f>
        <v>0.9693</v>
      </c>
      <c r="F35" s="4">
        <f>IFERROR(IF(F9="","",F9/E9),"")</f>
        <v>1.0168</v>
      </c>
      <c r="G35" s="4">
        <f>IFERROR(IF(G9="","",G9/F9),"")</f>
        <v>1.0054</v>
      </c>
      <c r="H35" s="4">
        <f>IFERROR(IF(H9="","",H9/G9),"")</f>
        <v>1.0132</v>
      </c>
      <c r="I35" s="4">
        <f>IFERROR(IF(I9="","",I9/H9),"")</f>
        <v>1.0057</v>
      </c>
      <c r="J35" s="4">
        <f>IFERROR(IF(J9="","",J9/I9),"")</f>
        <v>1.0347</v>
      </c>
      <c r="K35" s="4">
        <f>IFERROR(IF(K9="","",K9/J9),"")</f>
        <v>1.0049</v>
      </c>
      <c r="L35" s="4">
        <f>IFERROR(IF(L9="","",L9/K9),"")</f>
        <v>1.0002</v>
      </c>
      <c r="M35" s="4">
        <f>IFERROR(IF(M9="","",M9/L9),"")</f>
        <v>0.9854</v>
      </c>
      <c r="N35" s="4">
        <f>IFERROR(IF(N9="","",N9/M9),"")</f>
        <v>1.0002</v>
      </c>
      <c r="O35" s="4">
        <f>IFERROR(IF(O9="","",O9/N9),"")</f>
        <v>1.0</v>
      </c>
      <c r="P35" s="4">
        <f>IFERROR(IF(P9="","",P9/O9),"")</f>
        <v>1.0049</v>
      </c>
      <c r="Q35" s="4">
        <f>IFERROR(IF(Q9="","",Q9/P9),"")</f>
        <v>1.021</v>
      </c>
      <c r="R35" s="4">
        <f>IFERROR(IF(R9="","",R9/Q9),"")</f>
        <v>0</v>
      </c>
      <c r="S35" s="4">
        <f>IFERROR(IF(S9="","",S9/R9),"")</f>
        <v>0</v>
      </c>
      <c r="T35" s="4">
        <f>IFERROR(IF(T9="","",T9/S9),"")</f>
        <v>0</v>
      </c>
      <c r="U35" s="4">
        <f>IFERROR(IF(U9="","",U9/T9),"")</f>
        <v>0</v>
      </c>
      <c r="V35" s="4">
        <f>IFERROR(IF(V9="","",V9/U9),"")</f>
        <v>0</v>
      </c>
      <c r="W35" s="4">
        <f>IFERROR(IF(W9="","",W9/V9),"")</f>
        <v>0</v>
      </c>
      <c r="X35" s="4">
        <f>IFERROR(IF(X9="","",X9/W9),"")</f>
        <v>0</v>
      </c>
    </row>
    <row r="36" spans="1:24">
      <c r="A36" s="2" t="s">
        <v>33</v>
      </c>
      <c r="B36" s="4">
        <f>IFERROR(IF(B10="","",B10/A10),"")</f>
        <v>2.4408</v>
      </c>
      <c r="C36" s="4">
        <f>IFERROR(IF(C10="","",C10/B10),"")</f>
        <v>0.9424</v>
      </c>
      <c r="D36" s="4">
        <f>IFERROR(IF(D10="","",D10/C10),"")</f>
        <v>1.0249</v>
      </c>
      <c r="E36" s="4">
        <f>IFERROR(IF(E10="","",E10/D10),"")</f>
        <v>1.0665</v>
      </c>
      <c r="F36" s="4">
        <f>IFERROR(IF(F10="","",F10/E10),"")</f>
        <v>1.0513</v>
      </c>
      <c r="G36" s="4">
        <f>IFERROR(IF(G10="","",G10/F10),"")</f>
        <v>1.0364</v>
      </c>
      <c r="H36" s="4">
        <f>IFERROR(IF(H10="","",H10/G10),"")</f>
        <v>1.1441</v>
      </c>
      <c r="I36" s="4">
        <f>IFERROR(IF(I10="","",I10/H10),"")</f>
        <v>1.0</v>
      </c>
      <c r="J36" s="4">
        <f>IFERROR(IF(J10="","",J10/I10),"")</f>
        <v>1.0</v>
      </c>
      <c r="K36" s="4">
        <f>IFERROR(IF(K10="","",K10/J10),"")</f>
        <v>1.0</v>
      </c>
      <c r="L36" s="4">
        <f>IFERROR(IF(L10="","",L10/K10),"")</f>
        <v>1.0135</v>
      </c>
      <c r="M36" s="4">
        <f>IFERROR(IF(M10="","",M10/L10),"")</f>
        <v>1.03</v>
      </c>
      <c r="N36" s="4">
        <f>IFERROR(IF(N10="","",N10/M10),"")</f>
        <v>1.0</v>
      </c>
      <c r="O36" s="4">
        <f>IFERROR(IF(O10="","",O10/N10),"")</f>
        <v>1.0</v>
      </c>
      <c r="P36" s="4">
        <f>IFERROR(IF(P10="","",P10/O10),"")</f>
        <v>1.0</v>
      </c>
      <c r="Q36" s="4">
        <f>IFERROR(IF(Q10="","",Q10/P10),"")</f>
        <v>0</v>
      </c>
      <c r="R36" s="4">
        <f>IFERROR(IF(R10="","",R10/Q10),"")</f>
        <v>0</v>
      </c>
      <c r="S36" s="4">
        <f>IFERROR(IF(S10="","",S10/R10),"")</f>
        <v>0</v>
      </c>
      <c r="T36" s="4">
        <f>IFERROR(IF(T10="","",T10/S10),"")</f>
        <v>0</v>
      </c>
      <c r="U36" s="4">
        <f>IFERROR(IF(U10="","",U10/T10),"")</f>
        <v>0</v>
      </c>
      <c r="V36" s="4">
        <f>IFERROR(IF(V10="","",V10/U10),"")</f>
        <v>0</v>
      </c>
      <c r="W36" s="4">
        <f>IFERROR(IF(W10="","",W10/V10),"")</f>
        <v>0</v>
      </c>
      <c r="X36" s="4">
        <f>IFERROR(IF(X10="","",X10/W10),"")</f>
        <v>0</v>
      </c>
    </row>
    <row r="37" spans="1:24">
      <c r="A37" s="2" t="s">
        <v>34</v>
      </c>
      <c r="B37" s="4">
        <f>IFERROR(IF(B11="","",B11/A11),"")</f>
        <v>2.0292</v>
      </c>
      <c r="C37" s="4">
        <f>IFERROR(IF(C11="","",C11/B11),"")</f>
        <v>1.3021</v>
      </c>
      <c r="D37" s="4">
        <f>IFERROR(IF(D11="","",D11/C11),"")</f>
        <v>1.1619</v>
      </c>
      <c r="E37" s="4">
        <f>IFERROR(IF(E11="","",E11/D11),"")</f>
        <v>1.1184</v>
      </c>
      <c r="F37" s="4">
        <f>IFERROR(IF(F11="","",F11/E11),"")</f>
        <v>0.9893</v>
      </c>
      <c r="G37" s="4">
        <f>IFERROR(IF(G11="","",G11/F11),"")</f>
        <v>1.0396</v>
      </c>
      <c r="H37" s="4">
        <f>IFERROR(IF(H11="","",H11/G11),"")</f>
        <v>1.0012</v>
      </c>
      <c r="I37" s="4">
        <f>IFERROR(IF(I11="","",I11/H11),"")</f>
        <v>0.9953</v>
      </c>
      <c r="J37" s="4">
        <f>IFERROR(IF(J11="","",J11/I11),"")</f>
        <v>1.0006</v>
      </c>
      <c r="K37" s="4">
        <f>IFERROR(IF(K11="","",K11/J11),"")</f>
        <v>1.0008</v>
      </c>
      <c r="L37" s="4">
        <f>IFERROR(IF(L11="","",L11/K11),"")</f>
        <v>1.0001</v>
      </c>
      <c r="M37" s="4">
        <f>IFERROR(IF(M11="","",M11/L11),"")</f>
        <v>1.0013</v>
      </c>
      <c r="N37" s="4">
        <f>IFERROR(IF(N11="","",N11/M11),"")</f>
        <v>0.9998</v>
      </c>
      <c r="O37" s="4">
        <f>IFERROR(IF(O11="","",O11/N11),"")</f>
        <v>1.006</v>
      </c>
      <c r="P37" s="4">
        <f>IFERROR(IF(P11="","",P11/O11),"")</f>
        <v>0</v>
      </c>
      <c r="Q37" s="4">
        <f>IFERROR(IF(Q11="","",Q11/P11),"")</f>
        <v>0</v>
      </c>
      <c r="R37" s="4">
        <f>IFERROR(IF(R11="","",R11/Q11),"")</f>
        <v>0</v>
      </c>
      <c r="S37" s="4">
        <f>IFERROR(IF(S11="","",S11/R11),"")</f>
        <v>0</v>
      </c>
      <c r="T37" s="4">
        <f>IFERROR(IF(T11="","",T11/S11),"")</f>
        <v>0</v>
      </c>
      <c r="U37" s="4">
        <f>IFERROR(IF(U11="","",U11/T11),"")</f>
        <v>0</v>
      </c>
      <c r="V37" s="4">
        <f>IFERROR(IF(V11="","",V11/U11),"")</f>
        <v>0</v>
      </c>
      <c r="W37" s="4">
        <f>IFERROR(IF(W11="","",W11/V11),"")</f>
        <v>0</v>
      </c>
      <c r="X37" s="4">
        <f>IFERROR(IF(X11="","",X11/W11),"")</f>
        <v>0</v>
      </c>
    </row>
    <row r="38" spans="1:24">
      <c r="A38" s="2" t="s">
        <v>35</v>
      </c>
      <c r="B38" s="4">
        <f>IFERROR(IF(B12="","",B12/A12),"")</f>
        <v>1.9534</v>
      </c>
      <c r="C38" s="4">
        <f>IFERROR(IF(C12="","",C12/B12),"")</f>
        <v>1.4748</v>
      </c>
      <c r="D38" s="4">
        <f>IFERROR(IF(D12="","",D12/C12),"")</f>
        <v>1.1547</v>
      </c>
      <c r="E38" s="4">
        <f>IFERROR(IF(E12="","",E12/D12),"")</f>
        <v>1.067</v>
      </c>
      <c r="F38" s="4">
        <f>IFERROR(IF(F12="","",F12/E12),"")</f>
        <v>1.08</v>
      </c>
      <c r="G38" s="4">
        <f>IFERROR(IF(G12="","",G12/F12),"")</f>
        <v>1.0553</v>
      </c>
      <c r="H38" s="4">
        <f>IFERROR(IF(H12="","",H12/G12),"")</f>
        <v>1.0001</v>
      </c>
      <c r="I38" s="4">
        <f>IFERROR(IF(I12="","",I12/H12),"")</f>
        <v>1.0138</v>
      </c>
      <c r="J38" s="4">
        <f>IFERROR(IF(J12="","",J12/I12),"")</f>
        <v>1.0038</v>
      </c>
      <c r="K38" s="4">
        <f>IFERROR(IF(K12="","",K12/J12),"")</f>
        <v>1.0282</v>
      </c>
      <c r="L38" s="4">
        <f>IFERROR(IF(L12="","",L12/K12),"")</f>
        <v>0.9969</v>
      </c>
      <c r="M38" s="4">
        <f>IFERROR(IF(M12="","",M12/L12),"")</f>
        <v>1.0</v>
      </c>
      <c r="N38" s="4">
        <f>IFERROR(IF(N12="","",N12/M12),"")</f>
        <v>1.0</v>
      </c>
      <c r="O38" s="4">
        <f>IFERROR(IF(O12="","",O12/N12),"")</f>
        <v>0</v>
      </c>
      <c r="P38" s="4">
        <f>IFERROR(IF(P12="","",P12/O12),"")</f>
        <v>0</v>
      </c>
      <c r="Q38" s="4">
        <f>IFERROR(IF(Q12="","",Q12/P12),"")</f>
        <v>0</v>
      </c>
      <c r="R38" s="4">
        <f>IFERROR(IF(R12="","",R12/Q12),"")</f>
        <v>0</v>
      </c>
      <c r="S38" s="4">
        <f>IFERROR(IF(S12="","",S12/R12),"")</f>
        <v>0</v>
      </c>
      <c r="T38" s="4">
        <f>IFERROR(IF(T12="","",T12/S12),"")</f>
        <v>0</v>
      </c>
      <c r="U38" s="4">
        <f>IFERROR(IF(U12="","",U12/T12),"")</f>
        <v>0</v>
      </c>
      <c r="V38" s="4">
        <f>IFERROR(IF(V12="","",V12/U12),"")</f>
        <v>0</v>
      </c>
      <c r="W38" s="4">
        <f>IFERROR(IF(W12="","",W12/V12),"")</f>
        <v>0</v>
      </c>
      <c r="X38" s="4">
        <f>IFERROR(IF(X12="","",X12/W12),"")</f>
        <v>0</v>
      </c>
    </row>
    <row r="39" spans="1:24">
      <c r="A39" s="2" t="s">
        <v>36</v>
      </c>
      <c r="B39" s="4">
        <f>IFERROR(IF(B13="","",B13/A13),"")</f>
        <v>2.0319</v>
      </c>
      <c r="C39" s="4">
        <f>IFERROR(IF(C13="","",C13/B13),"")</f>
        <v>1.307</v>
      </c>
      <c r="D39" s="4">
        <f>IFERROR(IF(D13="","",D13/C13),"")</f>
        <v>1.0868</v>
      </c>
      <c r="E39" s="4">
        <f>IFERROR(IF(E13="","",E13/D13),"")</f>
        <v>0.9969</v>
      </c>
      <c r="F39" s="4">
        <f>IFERROR(IF(F13="","",F13/E13),"")</f>
        <v>1.0088</v>
      </c>
      <c r="G39" s="4">
        <f>IFERROR(IF(G13="","",G13/F13),"")</f>
        <v>1.004</v>
      </c>
      <c r="H39" s="4">
        <f>IFERROR(IF(H13="","",H13/G13),"")</f>
        <v>1.0516</v>
      </c>
      <c r="I39" s="4">
        <f>IFERROR(IF(I13="","",I13/H13),"")</f>
        <v>1.0559</v>
      </c>
      <c r="J39" s="4">
        <f>IFERROR(IF(J13="","",J13/I13),"")</f>
        <v>1.0565</v>
      </c>
      <c r="K39" s="4">
        <f>IFERROR(IF(K13="","",K13/J13),"")</f>
        <v>1.0075</v>
      </c>
      <c r="L39" s="4">
        <f>IFERROR(IF(L13="","",L13/K13),"")</f>
        <v>1.179</v>
      </c>
      <c r="M39" s="4">
        <f>IFERROR(IF(M13="","",M13/L13),"")</f>
        <v>1.0</v>
      </c>
      <c r="N39" s="4">
        <f>IFERROR(IF(N13="","",N13/M13),"")</f>
        <v>0</v>
      </c>
      <c r="O39" s="4">
        <f>IFERROR(IF(O13="","",O13/N13),"")</f>
        <v>0</v>
      </c>
      <c r="P39" s="4">
        <f>IFERROR(IF(P13="","",P13/O13),"")</f>
        <v>0</v>
      </c>
      <c r="Q39" s="4">
        <f>IFERROR(IF(Q13="","",Q13/P13),"")</f>
        <v>0</v>
      </c>
      <c r="R39" s="4">
        <f>IFERROR(IF(R13="","",R13/Q13),"")</f>
        <v>0</v>
      </c>
      <c r="S39" s="4">
        <f>IFERROR(IF(S13="","",S13/R13),"")</f>
        <v>0</v>
      </c>
      <c r="T39" s="4">
        <f>IFERROR(IF(T13="","",T13/S13),"")</f>
        <v>0</v>
      </c>
      <c r="U39" s="4">
        <f>IFERROR(IF(U13="","",U13/T13),"")</f>
        <v>0</v>
      </c>
      <c r="V39" s="4">
        <f>IFERROR(IF(V13="","",V13/U13),"")</f>
        <v>0</v>
      </c>
      <c r="W39" s="4">
        <f>IFERROR(IF(W13="","",W13/V13),"")</f>
        <v>0</v>
      </c>
      <c r="X39" s="4">
        <f>IFERROR(IF(X13="","",X13/W13),"")</f>
        <v>0</v>
      </c>
    </row>
    <row r="40" spans="1:24">
      <c r="A40" s="2" t="s">
        <v>37</v>
      </c>
      <c r="B40" s="4">
        <f>IFERROR(IF(B14="","",B14/A14),"")</f>
        <v>1.8261</v>
      </c>
      <c r="C40" s="4">
        <f>IFERROR(IF(C14="","",C14/B14),"")</f>
        <v>1.0872</v>
      </c>
      <c r="D40" s="4">
        <f>IFERROR(IF(D14="","",D14/C14),"")</f>
        <v>1.2056</v>
      </c>
      <c r="E40" s="4">
        <f>IFERROR(IF(E14="","",E14/D14),"")</f>
        <v>1.0608</v>
      </c>
      <c r="F40" s="4">
        <f>IFERROR(IF(F14="","",F14/E14),"")</f>
        <v>0.9974</v>
      </c>
      <c r="G40" s="4">
        <f>IFERROR(IF(G14="","",G14/F14),"")</f>
        <v>1.0005</v>
      </c>
      <c r="H40" s="4">
        <f>IFERROR(IF(H14="","",H14/G14),"")</f>
        <v>1.0</v>
      </c>
      <c r="I40" s="4">
        <f>IFERROR(IF(I14="","",I14/H14),"")</f>
        <v>1.0019</v>
      </c>
      <c r="J40" s="4">
        <f>IFERROR(IF(J14="","",J14/I14),"")</f>
        <v>1.0</v>
      </c>
      <c r="K40" s="4">
        <f>IFERROR(IF(K14="","",K14/J14),"")</f>
        <v>1.0</v>
      </c>
      <c r="L40" s="4">
        <f>IFERROR(IF(L14="","",L14/K14),"")</f>
        <v>1.0</v>
      </c>
      <c r="M40" s="4">
        <f>IFERROR(IF(M14="","",M14/L14),"")</f>
        <v>0</v>
      </c>
      <c r="N40" s="4">
        <f>IFERROR(IF(N14="","",N14/M14),"")</f>
        <v>0</v>
      </c>
      <c r="O40" s="4">
        <f>IFERROR(IF(O14="","",O14/N14),"")</f>
        <v>0</v>
      </c>
      <c r="P40" s="4">
        <f>IFERROR(IF(P14="","",P14/O14),"")</f>
        <v>0</v>
      </c>
      <c r="Q40" s="4">
        <f>IFERROR(IF(Q14="","",Q14/P14),"")</f>
        <v>0</v>
      </c>
      <c r="R40" s="4">
        <f>IFERROR(IF(R14="","",R14/Q14),"")</f>
        <v>0</v>
      </c>
      <c r="S40" s="4">
        <f>IFERROR(IF(S14="","",S14/R14),"")</f>
        <v>0</v>
      </c>
      <c r="T40" s="4">
        <f>IFERROR(IF(T14="","",T14/S14),"")</f>
        <v>0</v>
      </c>
      <c r="U40" s="4">
        <f>IFERROR(IF(U14="","",U14/T14),"")</f>
        <v>0</v>
      </c>
      <c r="V40" s="4">
        <f>IFERROR(IF(V14="","",V14/U14),"")</f>
        <v>0</v>
      </c>
      <c r="W40" s="4">
        <f>IFERROR(IF(W14="","",W14/V14),"")</f>
        <v>0</v>
      </c>
      <c r="X40" s="4">
        <f>IFERROR(IF(X14="","",X14/W14),"")</f>
        <v>0</v>
      </c>
    </row>
    <row r="41" spans="1:24">
      <c r="A41" s="2" t="s">
        <v>38</v>
      </c>
      <c r="B41" s="4">
        <f>IFERROR(IF(B15="","",B15/A15),"")</f>
        <v>1.3662</v>
      </c>
      <c r="C41" s="4">
        <f>IFERROR(IF(C15="","",C15/B15),"")</f>
        <v>1.4116</v>
      </c>
      <c r="D41" s="4">
        <f>IFERROR(IF(D15="","",D15/C15),"")</f>
        <v>1.1563</v>
      </c>
      <c r="E41" s="4">
        <f>IFERROR(IF(E15="","",E15/D15),"")</f>
        <v>1.0143</v>
      </c>
      <c r="F41" s="4">
        <f>IFERROR(IF(F15="","",F15/E15),"")</f>
        <v>1.0345</v>
      </c>
      <c r="G41" s="4">
        <f>IFERROR(IF(G15="","",G15/F15),"")</f>
        <v>0.9714</v>
      </c>
      <c r="H41" s="4">
        <f>IFERROR(IF(H15="","",H15/G15),"")</f>
        <v>1.0</v>
      </c>
      <c r="I41" s="4">
        <f>IFERROR(IF(I15="","",I15/H15),"")</f>
        <v>1.0411</v>
      </c>
      <c r="J41" s="4">
        <f>IFERROR(IF(J15="","",J15/I15),"")</f>
        <v>1.0206</v>
      </c>
      <c r="K41" s="4">
        <f>IFERROR(IF(K15="","",K15/J15),"")</f>
        <v>0.9931</v>
      </c>
      <c r="L41" s="4">
        <f>IFERROR(IF(L15="","",L15/K15),"")</f>
        <v>0</v>
      </c>
      <c r="M41" s="4">
        <f>IFERROR(IF(M15="","",M15/L15),"")</f>
        <v>0</v>
      </c>
      <c r="N41" s="4">
        <f>IFERROR(IF(N15="","",N15/M15),"")</f>
        <v>0</v>
      </c>
      <c r="O41" s="4">
        <f>IFERROR(IF(O15="","",O15/N15),"")</f>
        <v>0</v>
      </c>
      <c r="P41" s="4">
        <f>IFERROR(IF(P15="","",P15/O15),"")</f>
        <v>0</v>
      </c>
      <c r="Q41" s="4">
        <f>IFERROR(IF(Q15="","",Q15/P15),"")</f>
        <v>0</v>
      </c>
      <c r="R41" s="4">
        <f>IFERROR(IF(R15="","",R15/Q15),"")</f>
        <v>0</v>
      </c>
      <c r="S41" s="4">
        <f>IFERROR(IF(S15="","",S15/R15),"")</f>
        <v>0</v>
      </c>
      <c r="T41" s="4">
        <f>IFERROR(IF(T15="","",T15/S15),"")</f>
        <v>0</v>
      </c>
      <c r="U41" s="4">
        <f>IFERROR(IF(U15="","",U15/T15),"")</f>
        <v>0</v>
      </c>
      <c r="V41" s="4">
        <f>IFERROR(IF(V15="","",V15/U15),"")</f>
        <v>0</v>
      </c>
      <c r="W41" s="4">
        <f>IFERROR(IF(W15="","",W15/V15),"")</f>
        <v>0</v>
      </c>
      <c r="X41" s="4">
        <f>IFERROR(IF(X15="","",X15/W15),"")</f>
        <v>0</v>
      </c>
    </row>
    <row r="42" spans="1:24">
      <c r="A42" s="2" t="s">
        <v>39</v>
      </c>
      <c r="B42" s="4">
        <f>IFERROR(IF(B16="","",B16/A16),"")</f>
        <v>1.9857</v>
      </c>
      <c r="C42" s="4">
        <f>IFERROR(IF(C16="","",C16/B16),"")</f>
        <v>1.5027</v>
      </c>
      <c r="D42" s="4">
        <f>IFERROR(IF(D16="","",D16/C16),"")</f>
        <v>1.3285</v>
      </c>
      <c r="E42" s="4">
        <f>IFERROR(IF(E16="","",E16/D16),"")</f>
        <v>1.1059</v>
      </c>
      <c r="F42" s="4">
        <f>IFERROR(IF(F16="","",F16/E16),"")</f>
        <v>1.1362</v>
      </c>
      <c r="G42" s="4">
        <f>IFERROR(IF(G16="","",G16/F16),"")</f>
        <v>1.1399</v>
      </c>
      <c r="H42" s="4">
        <f>IFERROR(IF(H16="","",H16/G16),"")</f>
        <v>1.0068</v>
      </c>
      <c r="I42" s="4">
        <f>IFERROR(IF(I16="","",I16/H16),"")</f>
        <v>1.0033</v>
      </c>
      <c r="J42" s="4">
        <f>IFERROR(IF(J16="","",J16/I16),"")</f>
        <v>1.0962</v>
      </c>
      <c r="K42" s="4">
        <f>IFERROR(IF(K16="","",K16/J16),"")</f>
        <v>0</v>
      </c>
      <c r="L42" s="4">
        <f>IFERROR(IF(L16="","",L16/K16),"")</f>
        <v>0</v>
      </c>
      <c r="M42" s="4">
        <f>IFERROR(IF(M16="","",M16/L16),"")</f>
        <v>0</v>
      </c>
      <c r="N42" s="4">
        <f>IFERROR(IF(N16="","",N16/M16),"")</f>
        <v>0</v>
      </c>
      <c r="O42" s="4">
        <f>IFERROR(IF(O16="","",O16/N16),"")</f>
        <v>0</v>
      </c>
      <c r="P42" s="4">
        <f>IFERROR(IF(P16="","",P16/O16),"")</f>
        <v>0</v>
      </c>
      <c r="Q42" s="4">
        <f>IFERROR(IF(Q16="","",Q16/P16),"")</f>
        <v>0</v>
      </c>
      <c r="R42" s="4">
        <f>IFERROR(IF(R16="","",R16/Q16),"")</f>
        <v>0</v>
      </c>
      <c r="S42" s="4">
        <f>IFERROR(IF(S16="","",S16/R16),"")</f>
        <v>0</v>
      </c>
      <c r="T42" s="4">
        <f>IFERROR(IF(T16="","",T16/S16),"")</f>
        <v>0</v>
      </c>
      <c r="U42" s="4">
        <f>IFERROR(IF(U16="","",U16/T16),"")</f>
        <v>0</v>
      </c>
      <c r="V42" s="4">
        <f>IFERROR(IF(V16="","",V16/U16),"")</f>
        <v>0</v>
      </c>
      <c r="W42" s="4">
        <f>IFERROR(IF(W16="","",W16/V16),"")</f>
        <v>0</v>
      </c>
      <c r="X42" s="4">
        <f>IFERROR(IF(X16="","",X16/W16),"")</f>
        <v>0</v>
      </c>
    </row>
    <row r="43" spans="1:24">
      <c r="A43" s="2" t="s">
        <v>40</v>
      </c>
      <c r="B43" s="4">
        <f>IFERROR(IF(B17="","",B17/A17),"")</f>
        <v>1.8697</v>
      </c>
      <c r="C43" s="4">
        <f>IFERROR(IF(C17="","",C17/B17),"")</f>
        <v>1.348</v>
      </c>
      <c r="D43" s="4">
        <f>IFERROR(IF(D17="","",D17/C17),"")</f>
        <v>1.087</v>
      </c>
      <c r="E43" s="4">
        <f>IFERROR(IF(E17="","",E17/D17),"")</f>
        <v>1.1423</v>
      </c>
      <c r="F43" s="4">
        <f>IFERROR(IF(F17="","",F17/E17),"")</f>
        <v>1.0316</v>
      </c>
      <c r="G43" s="4">
        <f>IFERROR(IF(G17="","",G17/F17),"")</f>
        <v>1.1275</v>
      </c>
      <c r="H43" s="4">
        <f>IFERROR(IF(H17="","",H17/G17),"")</f>
        <v>0.9998</v>
      </c>
      <c r="I43" s="4">
        <f>IFERROR(IF(I17="","",I17/H17),"")</f>
        <v>1.0013</v>
      </c>
      <c r="J43" s="4">
        <f>IFERROR(IF(J17="","",J17/I17),"")</f>
        <v>0</v>
      </c>
      <c r="K43" s="4">
        <f>IFERROR(IF(K17="","",K17/J17),"")</f>
        <v>0</v>
      </c>
      <c r="L43" s="4">
        <f>IFERROR(IF(L17="","",L17/K17),"")</f>
        <v>0</v>
      </c>
      <c r="M43" s="4">
        <f>IFERROR(IF(M17="","",M17/L17),"")</f>
        <v>0</v>
      </c>
      <c r="N43" s="4">
        <f>IFERROR(IF(N17="","",N17/M17),"")</f>
        <v>0</v>
      </c>
      <c r="O43" s="4">
        <f>IFERROR(IF(O17="","",O17/N17),"")</f>
        <v>0</v>
      </c>
      <c r="P43" s="4">
        <f>IFERROR(IF(P17="","",P17/O17),"")</f>
        <v>0</v>
      </c>
      <c r="Q43" s="4">
        <f>IFERROR(IF(Q17="","",Q17/P17),"")</f>
        <v>0</v>
      </c>
      <c r="R43" s="4">
        <f>IFERROR(IF(R17="","",R17/Q17),"")</f>
        <v>0</v>
      </c>
      <c r="S43" s="4">
        <f>IFERROR(IF(S17="","",S17/R17),"")</f>
        <v>0</v>
      </c>
      <c r="T43" s="4">
        <f>IFERROR(IF(T17="","",T17/S17),"")</f>
        <v>0</v>
      </c>
      <c r="U43" s="4">
        <f>IFERROR(IF(U17="","",U17/T17),"")</f>
        <v>0</v>
      </c>
      <c r="V43" s="4">
        <f>IFERROR(IF(V17="","",V17/U17),"")</f>
        <v>0</v>
      </c>
      <c r="W43" s="4">
        <f>IFERROR(IF(W17="","",W17/V17),"")</f>
        <v>0</v>
      </c>
      <c r="X43" s="4">
        <f>IFERROR(IF(X17="","",X17/W17),"")</f>
        <v>0</v>
      </c>
    </row>
    <row r="44" spans="1:24">
      <c r="A44" s="2" t="s">
        <v>41</v>
      </c>
      <c r="B44" s="4">
        <f>IFERROR(IF(B18="","",B18/A18),"")</f>
        <v>1.3328</v>
      </c>
      <c r="C44" s="4">
        <f>IFERROR(IF(C18="","",C18/B18),"")</f>
        <v>1.0344</v>
      </c>
      <c r="D44" s="4">
        <f>IFERROR(IF(D18="","",D18/C18),"")</f>
        <v>1.3094</v>
      </c>
      <c r="E44" s="4">
        <f>IFERROR(IF(E18="","",E18/D18),"")</f>
        <v>1.0751</v>
      </c>
      <c r="F44" s="4">
        <f>IFERROR(IF(F18="","",F18/E18),"")</f>
        <v>1.1327</v>
      </c>
      <c r="G44" s="4">
        <f>IFERROR(IF(G18="","",G18/F18),"")</f>
        <v>1.1527</v>
      </c>
      <c r="H44" s="4">
        <f>IFERROR(IF(H18="","",H18/G18),"")</f>
        <v>1.0315</v>
      </c>
      <c r="I44" s="4">
        <f>IFERROR(IF(I18="","",I18/H18),"")</f>
        <v>0</v>
      </c>
      <c r="J44" s="4">
        <f>IFERROR(IF(J18="","",J18/I18),"")</f>
        <v>0</v>
      </c>
      <c r="K44" s="4">
        <f>IFERROR(IF(K18="","",K18/J18),"")</f>
        <v>0</v>
      </c>
      <c r="L44" s="4">
        <f>IFERROR(IF(L18="","",L18/K18),"")</f>
        <v>0</v>
      </c>
      <c r="M44" s="4">
        <f>IFERROR(IF(M18="","",M18/L18),"")</f>
        <v>0</v>
      </c>
      <c r="N44" s="4">
        <f>IFERROR(IF(N18="","",N18/M18),"")</f>
        <v>0</v>
      </c>
      <c r="O44" s="4">
        <f>IFERROR(IF(O18="","",O18/N18),"")</f>
        <v>0</v>
      </c>
      <c r="P44" s="4">
        <f>IFERROR(IF(P18="","",P18/O18),"")</f>
        <v>0</v>
      </c>
      <c r="Q44" s="4">
        <f>IFERROR(IF(Q18="","",Q18/P18),"")</f>
        <v>0</v>
      </c>
      <c r="R44" s="4">
        <f>IFERROR(IF(R18="","",R18/Q18),"")</f>
        <v>0</v>
      </c>
      <c r="S44" s="4">
        <f>IFERROR(IF(S18="","",S18/R18),"")</f>
        <v>0</v>
      </c>
      <c r="T44" s="4">
        <f>IFERROR(IF(T18="","",T18/S18),"")</f>
        <v>0</v>
      </c>
      <c r="U44" s="4">
        <f>IFERROR(IF(U18="","",U18/T18),"")</f>
        <v>0</v>
      </c>
      <c r="V44" s="4">
        <f>IFERROR(IF(V18="","",V18/U18),"")</f>
        <v>0</v>
      </c>
      <c r="W44" s="4">
        <f>IFERROR(IF(W18="","",W18/V18),"")</f>
        <v>0</v>
      </c>
      <c r="X44" s="4">
        <f>IFERROR(IF(X18="","",X18/W18),"")</f>
        <v>0</v>
      </c>
    </row>
    <row r="45" spans="1:24">
      <c r="A45" s="2" t="s">
        <v>42</v>
      </c>
      <c r="B45" s="4">
        <f>IFERROR(IF(B19="","",B19/A19),"")</f>
        <v>2.2994</v>
      </c>
      <c r="C45" s="4">
        <f>IFERROR(IF(C19="","",C19/B19),"")</f>
        <v>1.4287</v>
      </c>
      <c r="D45" s="4">
        <f>IFERROR(IF(D19="","",D19/C19),"")</f>
        <v>1.3883</v>
      </c>
      <c r="E45" s="4">
        <f>IFERROR(IF(E19="","",E19/D19),"")</f>
        <v>0.9943</v>
      </c>
      <c r="F45" s="4">
        <f>IFERROR(IF(F19="","",F19/E19),"")</f>
        <v>1.0131</v>
      </c>
      <c r="G45" s="4">
        <f>IFERROR(IF(G19="","",G19/F19),"")</f>
        <v>1.0265</v>
      </c>
      <c r="H45" s="4">
        <f>IFERROR(IF(H19="","",H19/G19),"")</f>
        <v>0</v>
      </c>
      <c r="I45" s="4">
        <f>IFERROR(IF(I19="","",I19/H19),"")</f>
        <v>0</v>
      </c>
      <c r="J45" s="4">
        <f>IFERROR(IF(J19="","",J19/I19),"")</f>
        <v>0</v>
      </c>
      <c r="K45" s="4">
        <f>IFERROR(IF(K19="","",K19/J19),"")</f>
        <v>0</v>
      </c>
      <c r="L45" s="4">
        <f>IFERROR(IF(L19="","",L19/K19),"")</f>
        <v>0</v>
      </c>
      <c r="M45" s="4">
        <f>IFERROR(IF(M19="","",M19/L19),"")</f>
        <v>0</v>
      </c>
      <c r="N45" s="4">
        <f>IFERROR(IF(N19="","",N19/M19),"")</f>
        <v>0</v>
      </c>
      <c r="O45" s="4">
        <f>IFERROR(IF(O19="","",O19/N19),"")</f>
        <v>0</v>
      </c>
      <c r="P45" s="4">
        <f>IFERROR(IF(P19="","",P19/O19),"")</f>
        <v>0</v>
      </c>
      <c r="Q45" s="4">
        <f>IFERROR(IF(Q19="","",Q19/P19),"")</f>
        <v>0</v>
      </c>
      <c r="R45" s="4">
        <f>IFERROR(IF(R19="","",R19/Q19),"")</f>
        <v>0</v>
      </c>
      <c r="S45" s="4">
        <f>IFERROR(IF(S19="","",S19/R19),"")</f>
        <v>0</v>
      </c>
      <c r="T45" s="4">
        <f>IFERROR(IF(T19="","",T19/S19),"")</f>
        <v>0</v>
      </c>
      <c r="U45" s="4">
        <f>IFERROR(IF(U19="","",U19/T19),"")</f>
        <v>0</v>
      </c>
      <c r="V45" s="4">
        <f>IFERROR(IF(V19="","",V19/U19),"")</f>
        <v>0</v>
      </c>
      <c r="W45" s="4">
        <f>IFERROR(IF(W19="","",W19/V19),"")</f>
        <v>0</v>
      </c>
      <c r="X45" s="4">
        <f>IFERROR(IF(X19="","",X19/W19),"")</f>
        <v>0</v>
      </c>
    </row>
    <row r="46" spans="1:24">
      <c r="A46" s="2" t="s">
        <v>43</v>
      </c>
      <c r="B46" s="4">
        <f>IFERROR(IF(B20="","",B20/A20),"")</f>
        <v>2.757</v>
      </c>
      <c r="C46" s="4">
        <f>IFERROR(IF(C20="","",C20/B20),"")</f>
        <v>1.5473</v>
      </c>
      <c r="D46" s="4">
        <f>IFERROR(IF(D20="","",D20/C20),"")</f>
        <v>1.1497</v>
      </c>
      <c r="E46" s="4">
        <f>IFERROR(IF(E20="","",E20/D20),"")</f>
        <v>1.0634</v>
      </c>
      <c r="F46" s="4">
        <f>IFERROR(IF(F20="","",F20/E20),"")</f>
        <v>1.2221</v>
      </c>
      <c r="G46" s="4">
        <f>IFERROR(IF(G20="","",G20/F20),"")</f>
        <v>0</v>
      </c>
      <c r="H46" s="4">
        <f>IFERROR(IF(H20="","",H20/G20),"")</f>
        <v>0</v>
      </c>
      <c r="I46" s="4">
        <f>IFERROR(IF(I20="","",I20/H20),"")</f>
        <v>0</v>
      </c>
      <c r="J46" s="4">
        <f>IFERROR(IF(J20="","",J20/I20),"")</f>
        <v>0</v>
      </c>
      <c r="K46" s="4">
        <f>IFERROR(IF(K20="","",K20/J20),"")</f>
        <v>0</v>
      </c>
      <c r="L46" s="4">
        <f>IFERROR(IF(L20="","",L20/K20),"")</f>
        <v>0</v>
      </c>
      <c r="M46" s="4">
        <f>IFERROR(IF(M20="","",M20/L20),"")</f>
        <v>0</v>
      </c>
      <c r="N46" s="4">
        <f>IFERROR(IF(N20="","",N20/M20),"")</f>
        <v>0</v>
      </c>
      <c r="O46" s="4">
        <f>IFERROR(IF(O20="","",O20/N20),"")</f>
        <v>0</v>
      </c>
      <c r="P46" s="4">
        <f>IFERROR(IF(P20="","",P20/O20),"")</f>
        <v>0</v>
      </c>
      <c r="Q46" s="4">
        <f>IFERROR(IF(Q20="","",Q20/P20),"")</f>
        <v>0</v>
      </c>
      <c r="R46" s="4">
        <f>IFERROR(IF(R20="","",R20/Q20),"")</f>
        <v>0</v>
      </c>
      <c r="S46" s="4">
        <f>IFERROR(IF(S20="","",S20/R20),"")</f>
        <v>0</v>
      </c>
      <c r="T46" s="4">
        <f>IFERROR(IF(T20="","",T20/S20),"")</f>
        <v>0</v>
      </c>
      <c r="U46" s="4">
        <f>IFERROR(IF(U20="","",U20/T20),"")</f>
        <v>0</v>
      </c>
      <c r="V46" s="4">
        <f>IFERROR(IF(V20="","",V20/U20),"")</f>
        <v>0</v>
      </c>
      <c r="W46" s="4">
        <f>IFERROR(IF(W20="","",W20/V20),"")</f>
        <v>0</v>
      </c>
      <c r="X46" s="4">
        <f>IFERROR(IF(X20="","",X20/W20),"")</f>
        <v>0</v>
      </c>
    </row>
    <row r="47" spans="1:24">
      <c r="A47" s="2" t="s">
        <v>44</v>
      </c>
      <c r="B47" s="4">
        <f>IFERROR(IF(B21="","",B21/A21),"")</f>
        <v>1.7849</v>
      </c>
      <c r="C47" s="4">
        <f>IFERROR(IF(C21="","",C21/B21),"")</f>
        <v>0.9832</v>
      </c>
      <c r="D47" s="4">
        <f>IFERROR(IF(D21="","",D21/C21),"")</f>
        <v>1.058</v>
      </c>
      <c r="E47" s="4">
        <f>IFERROR(IF(E21="","",E21/D21),"")</f>
        <v>1.0097</v>
      </c>
      <c r="F47" s="4">
        <f>IFERROR(IF(F21="","",F21/E21),"")</f>
        <v>0</v>
      </c>
      <c r="G47" s="4">
        <f>IFERROR(IF(G21="","",G21/F21),"")</f>
        <v>0</v>
      </c>
      <c r="H47" s="4">
        <f>IFERROR(IF(H21="","",H21/G21),"")</f>
        <v>0</v>
      </c>
      <c r="I47" s="4">
        <f>IFERROR(IF(I21="","",I21/H21),"")</f>
        <v>0</v>
      </c>
      <c r="J47" s="4">
        <f>IFERROR(IF(J21="","",J21/I21),"")</f>
        <v>0</v>
      </c>
      <c r="K47" s="4">
        <f>IFERROR(IF(K21="","",K21/J21),"")</f>
        <v>0</v>
      </c>
      <c r="L47" s="4">
        <f>IFERROR(IF(L21="","",L21/K21),"")</f>
        <v>0</v>
      </c>
      <c r="M47" s="4">
        <f>IFERROR(IF(M21="","",M21/L21),"")</f>
        <v>0</v>
      </c>
      <c r="N47" s="4">
        <f>IFERROR(IF(N21="","",N21/M21),"")</f>
        <v>0</v>
      </c>
      <c r="O47" s="4">
        <f>IFERROR(IF(O21="","",O21/N21),"")</f>
        <v>0</v>
      </c>
      <c r="P47" s="4">
        <f>IFERROR(IF(P21="","",P21/O21),"")</f>
        <v>0</v>
      </c>
      <c r="Q47" s="4">
        <f>IFERROR(IF(Q21="","",Q21/P21),"")</f>
        <v>0</v>
      </c>
      <c r="R47" s="4">
        <f>IFERROR(IF(R21="","",R21/Q21),"")</f>
        <v>0</v>
      </c>
      <c r="S47" s="4">
        <f>IFERROR(IF(S21="","",S21/R21),"")</f>
        <v>0</v>
      </c>
      <c r="T47" s="4">
        <f>IFERROR(IF(T21="","",T21/S21),"")</f>
        <v>0</v>
      </c>
      <c r="U47" s="4">
        <f>IFERROR(IF(U21="","",U21/T21),"")</f>
        <v>0</v>
      </c>
      <c r="V47" s="4">
        <f>IFERROR(IF(V21="","",V21/U21),"")</f>
        <v>0</v>
      </c>
      <c r="W47" s="4">
        <f>IFERROR(IF(W21="","",W21/V21),"")</f>
        <v>0</v>
      </c>
      <c r="X47" s="4">
        <f>IFERROR(IF(X21="","",X21/W21),"")</f>
        <v>0</v>
      </c>
    </row>
    <row r="48" spans="1:24">
      <c r="A48" s="2" t="s">
        <v>45</v>
      </c>
      <c r="B48" s="4">
        <f>IFERROR(IF(B22="","",B22/A22),"")</f>
        <v>1.4577</v>
      </c>
      <c r="C48" s="4">
        <f>IFERROR(IF(C22="","",C22/B22),"")</f>
        <v>1.224</v>
      </c>
      <c r="D48" s="4">
        <f>IFERROR(IF(D22="","",D22/C22),"")</f>
        <v>1.0316</v>
      </c>
      <c r="E48" s="4">
        <f>IFERROR(IF(E22="","",E22/D22),"")</f>
        <v>0</v>
      </c>
      <c r="F48" s="4">
        <f>IFERROR(IF(F22="","",F22/E22),"")</f>
        <v>0</v>
      </c>
      <c r="G48" s="4">
        <f>IFERROR(IF(G22="","",G22/F22),"")</f>
        <v>0</v>
      </c>
      <c r="H48" s="4">
        <f>IFERROR(IF(H22="","",H22/G22),"")</f>
        <v>0</v>
      </c>
      <c r="I48" s="4">
        <f>IFERROR(IF(I22="","",I22/H22),"")</f>
        <v>0</v>
      </c>
      <c r="J48" s="4">
        <f>IFERROR(IF(J22="","",J22/I22),"")</f>
        <v>0</v>
      </c>
      <c r="K48" s="4">
        <f>IFERROR(IF(K22="","",K22/J22),"")</f>
        <v>0</v>
      </c>
      <c r="L48" s="4">
        <f>IFERROR(IF(L22="","",L22/K22),"")</f>
        <v>0</v>
      </c>
      <c r="M48" s="4">
        <f>IFERROR(IF(M22="","",M22/L22),"")</f>
        <v>0</v>
      </c>
      <c r="N48" s="4">
        <f>IFERROR(IF(N22="","",N22/M22),"")</f>
        <v>0</v>
      </c>
      <c r="O48" s="4">
        <f>IFERROR(IF(O22="","",O22/N22),"")</f>
        <v>0</v>
      </c>
      <c r="P48" s="4">
        <f>IFERROR(IF(P22="","",P22/O22),"")</f>
        <v>0</v>
      </c>
      <c r="Q48" s="4">
        <f>IFERROR(IF(Q22="","",Q22/P22),"")</f>
        <v>0</v>
      </c>
      <c r="R48" s="4">
        <f>IFERROR(IF(R22="","",R22/Q22),"")</f>
        <v>0</v>
      </c>
      <c r="S48" s="4">
        <f>IFERROR(IF(S22="","",S22/R22),"")</f>
        <v>0</v>
      </c>
      <c r="T48" s="4">
        <f>IFERROR(IF(T22="","",T22/S22),"")</f>
        <v>0</v>
      </c>
      <c r="U48" s="4">
        <f>IFERROR(IF(U22="","",U22/T22),"")</f>
        <v>0</v>
      </c>
      <c r="V48" s="4">
        <f>IFERROR(IF(V22="","",V22/U22),"")</f>
        <v>0</v>
      </c>
      <c r="W48" s="4">
        <f>IFERROR(IF(W22="","",W22/V22),"")</f>
        <v>0</v>
      </c>
      <c r="X48" s="4">
        <f>IFERROR(IF(X22="","",X22/W22),"")</f>
        <v>0</v>
      </c>
    </row>
    <row r="49" spans="1:25">
      <c r="A49" s="2" t="s">
        <v>46</v>
      </c>
      <c r="B49" s="4">
        <f>IFERROR(IF(B23="","",B23/A23),"")</f>
        <v>1.2261</v>
      </c>
      <c r="C49" s="4">
        <f>IFERROR(IF(C23="","",C23/B23),"")</f>
        <v>0.9715</v>
      </c>
      <c r="D49" s="4">
        <f>IFERROR(IF(D23="","",D23/C23),"")</f>
        <v>0</v>
      </c>
      <c r="E49" s="4">
        <f>IFERROR(IF(E23="","",E23/D23),"")</f>
        <v>0</v>
      </c>
      <c r="F49" s="4">
        <f>IFERROR(IF(F23="","",F23/E23),"")</f>
        <v>0</v>
      </c>
      <c r="G49" s="4">
        <f>IFERROR(IF(G23="","",G23/F23),"")</f>
        <v>0</v>
      </c>
      <c r="H49" s="4">
        <f>IFERROR(IF(H23="","",H23/G23),"")</f>
        <v>0</v>
      </c>
      <c r="I49" s="4">
        <f>IFERROR(IF(I23="","",I23/H23),"")</f>
        <v>0</v>
      </c>
      <c r="J49" s="4">
        <f>IFERROR(IF(J23="","",J23/I23),"")</f>
        <v>0</v>
      </c>
      <c r="K49" s="4">
        <f>IFERROR(IF(K23="","",K23/J23),"")</f>
        <v>0</v>
      </c>
      <c r="L49" s="4">
        <f>IFERROR(IF(L23="","",L23/K23),"")</f>
        <v>0</v>
      </c>
      <c r="M49" s="4">
        <f>IFERROR(IF(M23="","",M23/L23),"")</f>
        <v>0</v>
      </c>
      <c r="N49" s="4">
        <f>IFERROR(IF(N23="","",N23/M23),"")</f>
        <v>0</v>
      </c>
      <c r="O49" s="4">
        <f>IFERROR(IF(O23="","",O23/N23),"")</f>
        <v>0</v>
      </c>
      <c r="P49" s="4">
        <f>IFERROR(IF(P23="","",P23/O23),"")</f>
        <v>0</v>
      </c>
      <c r="Q49" s="4">
        <f>IFERROR(IF(Q23="","",Q23/P23),"")</f>
        <v>0</v>
      </c>
      <c r="R49" s="4">
        <f>IFERROR(IF(R23="","",R23/Q23),"")</f>
        <v>0</v>
      </c>
      <c r="S49" s="4">
        <f>IFERROR(IF(S23="","",S23/R23),"")</f>
        <v>0</v>
      </c>
      <c r="T49" s="4">
        <f>IFERROR(IF(T23="","",T23/S23),"")</f>
        <v>0</v>
      </c>
      <c r="U49" s="4">
        <f>IFERROR(IF(U23="","",U23/T23),"")</f>
        <v>0</v>
      </c>
      <c r="V49" s="4">
        <f>IFERROR(IF(V23="","",V23/U23),"")</f>
        <v>0</v>
      </c>
      <c r="W49" s="4">
        <f>IFERROR(IF(W23="","",W23/V23),"")</f>
        <v>0</v>
      </c>
      <c r="X49" s="4">
        <f>IFERROR(IF(X23="","",X23/W23),"")</f>
        <v>0</v>
      </c>
    </row>
    <row r="50" spans="1:25">
      <c r="A50" s="2" t="s">
        <v>47</v>
      </c>
      <c r="B50" s="4">
        <f>IFERROR(IF(B24="","",B24/A24),"")</f>
        <v>1.6941</v>
      </c>
      <c r="C50" s="4">
        <f>IFERROR(IF(C24="","",C24/B24),"")</f>
        <v>0</v>
      </c>
      <c r="D50" s="4">
        <f>IFERROR(IF(D24="","",D24/C24),"")</f>
        <v>0</v>
      </c>
      <c r="E50" s="4">
        <f>IFERROR(IF(E24="","",E24/D24),"")</f>
        <v>0</v>
      </c>
      <c r="F50" s="4">
        <f>IFERROR(IF(F24="","",F24/E24),"")</f>
        <v>0</v>
      </c>
      <c r="G50" s="4">
        <f>IFERROR(IF(G24="","",G24/F24),"")</f>
        <v>0</v>
      </c>
      <c r="H50" s="4">
        <f>IFERROR(IF(H24="","",H24/G24),"")</f>
        <v>0</v>
      </c>
      <c r="I50" s="4">
        <f>IFERROR(IF(I24="","",I24/H24),"")</f>
        <v>0</v>
      </c>
      <c r="J50" s="4">
        <f>IFERROR(IF(J24="","",J24/I24),"")</f>
        <v>0</v>
      </c>
      <c r="K50" s="4">
        <f>IFERROR(IF(K24="","",K24/J24),"")</f>
        <v>0</v>
      </c>
      <c r="L50" s="4">
        <f>IFERROR(IF(L24="","",L24/K24),"")</f>
        <v>0</v>
      </c>
      <c r="M50" s="4">
        <f>IFERROR(IF(M24="","",M24/L24),"")</f>
        <v>0</v>
      </c>
      <c r="N50" s="4">
        <f>IFERROR(IF(N24="","",N24/M24),"")</f>
        <v>0</v>
      </c>
      <c r="O50" s="4">
        <f>IFERROR(IF(O24="","",O24/N24),"")</f>
        <v>0</v>
      </c>
      <c r="P50" s="4">
        <f>IFERROR(IF(P24="","",P24/O24),"")</f>
        <v>0</v>
      </c>
      <c r="Q50" s="4">
        <f>IFERROR(IF(Q24="","",Q24/P24),"")</f>
        <v>0</v>
      </c>
      <c r="R50" s="4">
        <f>IFERROR(IF(R24="","",R24/Q24),"")</f>
        <v>0</v>
      </c>
      <c r="S50" s="4">
        <f>IFERROR(IF(S24="","",S24/R24),"")</f>
        <v>0</v>
      </c>
      <c r="T50" s="4">
        <f>IFERROR(IF(T24="","",T24/S24),"")</f>
        <v>0</v>
      </c>
      <c r="U50" s="4">
        <f>IFERROR(IF(U24="","",U24/T24),"")</f>
        <v>0</v>
      </c>
      <c r="V50" s="4">
        <f>IFERROR(IF(V24="","",V24/U24),"")</f>
        <v>0</v>
      </c>
      <c r="W50" s="4">
        <f>IFERROR(IF(W24="","",W24/V24),"")</f>
        <v>0</v>
      </c>
      <c r="X50" s="4">
        <f>IFERROR(IF(X24="","",X24/W24),"")</f>
        <v>0</v>
      </c>
    </row>
    <row r="51" spans="1:25">
      <c r="A51" s="2" t="s">
        <v>48</v>
      </c>
      <c r="B51" s="4">
        <f>IFERROR(IF(B25="","",B25/A25),"")</f>
        <v>0</v>
      </c>
      <c r="C51" s="4">
        <f>IFERROR(IF(C25="","",C25/B25),"")</f>
        <v>0</v>
      </c>
      <c r="D51" s="4">
        <f>IFERROR(IF(D25="","",D25/C25),"")</f>
        <v>0</v>
      </c>
      <c r="E51" s="4">
        <f>IFERROR(IF(E25="","",E25/D25),"")</f>
        <v>0</v>
      </c>
      <c r="F51" s="4">
        <f>IFERROR(IF(F25="","",F25/E25),"")</f>
        <v>0</v>
      </c>
      <c r="G51" s="4">
        <f>IFERROR(IF(G25="","",G25/F25),"")</f>
        <v>0</v>
      </c>
      <c r="H51" s="4">
        <f>IFERROR(IF(H25="","",H25/G25),"")</f>
        <v>0</v>
      </c>
      <c r="I51" s="4">
        <f>IFERROR(IF(I25="","",I25/H25),"")</f>
        <v>0</v>
      </c>
      <c r="J51" s="4">
        <f>IFERROR(IF(J25="","",J25/I25),"")</f>
        <v>0</v>
      </c>
      <c r="K51" s="4">
        <f>IFERROR(IF(K25="","",K25/J25),"")</f>
        <v>0</v>
      </c>
      <c r="L51" s="4">
        <f>IFERROR(IF(L25="","",L25/K25),"")</f>
        <v>0</v>
      </c>
      <c r="M51" s="4">
        <f>IFERROR(IF(M25="","",M25/L25),"")</f>
        <v>0</v>
      </c>
      <c r="N51" s="4">
        <f>IFERROR(IF(N25="","",N25/M25),"")</f>
        <v>0</v>
      </c>
      <c r="O51" s="4">
        <f>IFERROR(IF(O25="","",O25/N25),"")</f>
        <v>0</v>
      </c>
      <c r="P51" s="4">
        <f>IFERROR(IF(P25="","",P25/O25),"")</f>
        <v>0</v>
      </c>
      <c r="Q51" s="4">
        <f>IFERROR(IF(Q25="","",Q25/P25),"")</f>
        <v>0</v>
      </c>
      <c r="R51" s="4">
        <f>IFERROR(IF(R25="","",R25/Q25),"")</f>
        <v>0</v>
      </c>
      <c r="S51" s="4">
        <f>IFERROR(IF(S25="","",S25/R25),"")</f>
        <v>0</v>
      </c>
      <c r="T51" s="4">
        <f>IFERROR(IF(T25="","",T25/S25),"")</f>
        <v>0</v>
      </c>
      <c r="U51" s="4">
        <f>IFERROR(IF(U25="","",U25/T25),"")</f>
        <v>0</v>
      </c>
      <c r="V51" s="4">
        <f>IFERROR(IF(V25="","",V25/U25),"")</f>
        <v>0</v>
      </c>
      <c r="W51" s="4">
        <f>IFERROR(IF(W25="","",W25/V25),"")</f>
        <v>0</v>
      </c>
      <c r="X51" s="4">
        <f>IFERROR(IF(X25="","",X25/W25),"")</f>
        <v>0</v>
      </c>
    </row>
    <row r="53" spans="1:25">
      <c r="A53" s="1" t="s">
        <v>72</v>
      </c>
      <c r="B53" s="1" t="s">
        <v>49</v>
      </c>
      <c r="C53" s="1" t="s">
        <v>50</v>
      </c>
      <c r="D53" s="1" t="s">
        <v>51</v>
      </c>
      <c r="E53" s="1" t="s">
        <v>52</v>
      </c>
      <c r="F53" s="1" t="s">
        <v>53</v>
      </c>
      <c r="G53" s="1" t="s">
        <v>54</v>
      </c>
      <c r="H53" s="1" t="s">
        <v>55</v>
      </c>
      <c r="I53" s="1" t="s">
        <v>56</v>
      </c>
      <c r="J53" s="1" t="s">
        <v>57</v>
      </c>
      <c r="K53" s="1" t="s">
        <v>58</v>
      </c>
      <c r="L53" s="1" t="s">
        <v>59</v>
      </c>
      <c r="M53" s="1" t="s">
        <v>60</v>
      </c>
      <c r="N53" s="1" t="s">
        <v>61</v>
      </c>
      <c r="O53" s="1" t="s">
        <v>62</v>
      </c>
      <c r="P53" s="1" t="s">
        <v>63</v>
      </c>
      <c r="Q53" s="1" t="s">
        <v>64</v>
      </c>
      <c r="R53" s="1" t="s">
        <v>65</v>
      </c>
      <c r="S53" s="1" t="s">
        <v>66</v>
      </c>
      <c r="T53" s="1" t="s">
        <v>67</v>
      </c>
      <c r="U53" s="1" t="s">
        <v>68</v>
      </c>
      <c r="V53" s="1" t="s">
        <v>69</v>
      </c>
      <c r="W53" s="1" t="s">
        <v>70</v>
      </c>
      <c r="X53" s="1" t="s">
        <v>71</v>
      </c>
      <c r="Y53" s="1" t="s">
        <v>73</v>
      </c>
    </row>
    <row r="54" spans="1:25">
      <c r="A54" s="2" t="s">
        <v>74</v>
      </c>
      <c r="B54" s="4">
        <f>IFERROR(AVERAGE(B28:B51),AVERAGE(B28:B51))</f>
        <v>0</v>
      </c>
      <c r="C54" s="4">
        <f>IFERROR(AVERAGE(C28:C51),AVERAGE(C28:C51))</f>
        <v>0</v>
      </c>
      <c r="D54" s="4">
        <f>IFERROR(AVERAGE(D28:D51),AVERAGE(D28:D51))</f>
        <v>0</v>
      </c>
      <c r="E54" s="4">
        <f>IFERROR(AVERAGE(E28:E51),AVERAGE(E28:E51))</f>
        <v>0</v>
      </c>
      <c r="F54" s="4">
        <f>IFERROR(AVERAGE(F28:F51),AVERAGE(F28:F51))</f>
        <v>0</v>
      </c>
      <c r="G54" s="4">
        <f>IFERROR(AVERAGE(G28:G51),AVERAGE(G28:G51))</f>
        <v>0</v>
      </c>
      <c r="H54" s="4">
        <f>IFERROR(AVERAGE(H28:H51),AVERAGE(H28:H51))</f>
        <v>0</v>
      </c>
      <c r="I54" s="4">
        <f>IFERROR(AVERAGE(I28:I51),AVERAGE(I28:I51))</f>
        <v>0</v>
      </c>
      <c r="J54" s="4">
        <f>IFERROR(AVERAGE(J28:J51),AVERAGE(J28:J51))</f>
        <v>0</v>
      </c>
      <c r="K54" s="4">
        <f>IFERROR(AVERAGE(K28:K51),AVERAGE(K28:K51))</f>
        <v>0</v>
      </c>
      <c r="L54" s="4">
        <f>IFERROR(AVERAGE(L28:L51),AVERAGE(L28:L51))</f>
        <v>0</v>
      </c>
      <c r="M54" s="4">
        <f>IFERROR(AVERAGE(M28:M51),AVERAGE(M28:M51))</f>
        <v>0</v>
      </c>
      <c r="N54" s="4">
        <f>IFERROR(AVERAGE(N28:N51),AVERAGE(N28:N51))</f>
        <v>0</v>
      </c>
      <c r="O54" s="4">
        <f>IFERROR(AVERAGE(O28:O51),AVERAGE(O28:O51))</f>
        <v>0</v>
      </c>
      <c r="P54" s="4">
        <f>IFERROR(AVERAGE(P28:P51),AVERAGE(P28:P51))</f>
        <v>0</v>
      </c>
      <c r="Q54" s="4">
        <f>IFERROR(AVERAGE(Q28:Q51),AVERAGE(Q28:Q51))</f>
        <v>0</v>
      </c>
      <c r="R54" s="4">
        <f>IFERROR(AVERAGE(R28:R51),AVERAGE(R28:R51))</f>
        <v>0</v>
      </c>
      <c r="S54" s="4">
        <f>IFERROR(AVERAGE(S28:S51),AVERAGE(S28:S51))</f>
        <v>0</v>
      </c>
      <c r="T54" s="4">
        <f>IFERROR(AVERAGE(T28:T51),AVERAGE(T28:T51))</f>
        <v>0</v>
      </c>
      <c r="U54" s="4">
        <f>IFERROR(AVERAGE(U28:U51),AVERAGE(U28:U51))</f>
        <v>0</v>
      </c>
      <c r="V54" s="4">
        <f>IFERROR(AVERAGE(V28:V51),AVERAGE(V28:V51))</f>
        <v>0</v>
      </c>
      <c r="W54" s="4">
        <f>IFERROR(AVERAGE(W28:W51),AVERAGE(W28:W51))</f>
        <v>0</v>
      </c>
      <c r="X54" s="4">
        <f>IFERROR(AVERAGE(X28:X51),AVERAGE(X28:X51))</f>
        <v>0</v>
      </c>
    </row>
    <row r="55" spans="1:25">
      <c r="A55" s="2" t="s">
        <v>75</v>
      </c>
      <c r="B55" s="4">
        <f>IFERROR(SUMPRODUCT(B28:B51,B2:B25)/SUMPRODUCT((B28:B51&lt;&gt;"")*B2:B25),SUMPRODUCT(B28:B51,B2:B25)/SUMPRODUCT((B28:B51&lt;&gt;"")*B2:B25))</f>
        <v>0</v>
      </c>
      <c r="C55" s="4">
        <f>IFERROR(SUMPRODUCT(C28:C51,C2:C25)/SUMPRODUCT((C28:C51&lt;&gt;"")*C2:C25),SUMPRODUCT(C28:C51,C2:C25)/SUMPRODUCT((C28:C51&lt;&gt;"")*C2:C25))</f>
        <v>0</v>
      </c>
      <c r="D55" s="4">
        <f>IFERROR(SUMPRODUCT(D28:D51,D2:D25)/SUMPRODUCT((D28:D51&lt;&gt;"")*D2:D25),SUMPRODUCT(D28:D51,D2:D25)/SUMPRODUCT((D28:D51&lt;&gt;"")*D2:D25))</f>
        <v>0</v>
      </c>
      <c r="E55" s="4">
        <f>IFERROR(SUMPRODUCT(E28:E51,E2:E25)/SUMPRODUCT((E28:E51&lt;&gt;"")*E2:E25),SUMPRODUCT(E28:E51,E2:E25)/SUMPRODUCT((E28:E51&lt;&gt;"")*E2:E25))</f>
        <v>0</v>
      </c>
      <c r="F55" s="4">
        <f>IFERROR(SUMPRODUCT(F28:F51,F2:F25)/SUMPRODUCT((F28:F51&lt;&gt;"")*F2:F25),SUMPRODUCT(F28:F51,F2:F25)/SUMPRODUCT((F28:F51&lt;&gt;"")*F2:F25))</f>
        <v>0</v>
      </c>
      <c r="G55" s="4">
        <f>IFERROR(SUMPRODUCT(G28:G51,G2:G25)/SUMPRODUCT((G28:G51&lt;&gt;"")*G2:G25),SUMPRODUCT(G28:G51,G2:G25)/SUMPRODUCT((G28:G51&lt;&gt;"")*G2:G25))</f>
        <v>0</v>
      </c>
      <c r="H55" s="4">
        <f>IFERROR(SUMPRODUCT(H28:H51,H2:H25)/SUMPRODUCT((H28:H51&lt;&gt;"")*H2:H25),SUMPRODUCT(H28:H51,H2:H25)/SUMPRODUCT((H28:H51&lt;&gt;"")*H2:H25))</f>
        <v>0</v>
      </c>
      <c r="I55" s="4">
        <f>IFERROR(SUMPRODUCT(I28:I51,I2:I25)/SUMPRODUCT((I28:I51&lt;&gt;"")*I2:I25),SUMPRODUCT(I28:I51,I2:I25)/SUMPRODUCT((I28:I51&lt;&gt;"")*I2:I25))</f>
        <v>0</v>
      </c>
      <c r="J55" s="4">
        <f>IFERROR(SUMPRODUCT(J28:J51,J2:J25)/SUMPRODUCT((J28:J51&lt;&gt;"")*J2:J25),SUMPRODUCT(J28:J51,J2:J25)/SUMPRODUCT((J28:J51&lt;&gt;"")*J2:J25))</f>
        <v>0</v>
      </c>
      <c r="K55" s="4">
        <f>IFERROR(SUMPRODUCT(K28:K51,K2:K25)/SUMPRODUCT((K28:K51&lt;&gt;"")*K2:K25),SUMPRODUCT(K28:K51,K2:K25)/SUMPRODUCT((K28:K51&lt;&gt;"")*K2:K25))</f>
        <v>0</v>
      </c>
      <c r="L55" s="4">
        <f>IFERROR(SUMPRODUCT(L28:L51,L2:L25)/SUMPRODUCT((L28:L51&lt;&gt;"")*L2:L25),SUMPRODUCT(L28:L51,L2:L25)/SUMPRODUCT((L28:L51&lt;&gt;"")*L2:L25))</f>
        <v>0</v>
      </c>
      <c r="M55" s="4">
        <f>IFERROR(SUMPRODUCT(M28:M51,M2:M25)/SUMPRODUCT((M28:M51&lt;&gt;"")*M2:M25),SUMPRODUCT(M28:M51,M2:M25)/SUMPRODUCT((M28:M51&lt;&gt;"")*M2:M25))</f>
        <v>0</v>
      </c>
      <c r="N55" s="4">
        <f>IFERROR(SUMPRODUCT(N28:N51,N2:N25)/SUMPRODUCT((N28:N51&lt;&gt;"")*N2:N25),SUMPRODUCT(N28:N51,N2:N25)/SUMPRODUCT((N28:N51&lt;&gt;"")*N2:N25))</f>
        <v>0</v>
      </c>
      <c r="O55" s="4">
        <f>IFERROR(SUMPRODUCT(O28:O51,O2:O25)/SUMPRODUCT((O28:O51&lt;&gt;"")*O2:O25),SUMPRODUCT(O28:O51,O2:O25)/SUMPRODUCT((O28:O51&lt;&gt;"")*O2:O25))</f>
        <v>0</v>
      </c>
      <c r="P55" s="4">
        <f>IFERROR(SUMPRODUCT(P28:P51,P2:P25)/SUMPRODUCT((P28:P51&lt;&gt;"")*P2:P25),SUMPRODUCT(P28:P51,P2:P25)/SUMPRODUCT((P28:P51&lt;&gt;"")*P2:P25))</f>
        <v>0</v>
      </c>
      <c r="Q55" s="4">
        <f>IFERROR(SUMPRODUCT(Q28:Q51,Q2:Q25)/SUMPRODUCT((Q28:Q51&lt;&gt;"")*Q2:Q25),SUMPRODUCT(Q28:Q51,Q2:Q25)/SUMPRODUCT((Q28:Q51&lt;&gt;"")*Q2:Q25))</f>
        <v>0</v>
      </c>
      <c r="R55" s="4">
        <f>IFERROR(SUMPRODUCT(R28:R51,R2:R25)/SUMPRODUCT((R28:R51&lt;&gt;"")*R2:R25),SUMPRODUCT(R28:R51,R2:R25)/SUMPRODUCT((R28:R51&lt;&gt;"")*R2:R25))</f>
        <v>0</v>
      </c>
      <c r="S55" s="4">
        <f>IFERROR(SUMPRODUCT(S28:S51,S2:S25)/SUMPRODUCT((S28:S51&lt;&gt;"")*S2:S25),SUMPRODUCT(S28:S51,S2:S25)/SUMPRODUCT((S28:S51&lt;&gt;"")*S2:S25))</f>
        <v>0</v>
      </c>
      <c r="T55" s="4">
        <f>IFERROR(SUMPRODUCT(T28:T51,T2:T25)/SUMPRODUCT((T28:T51&lt;&gt;"")*T2:T25),SUMPRODUCT(T28:T51,T2:T25)/SUMPRODUCT((T28:T51&lt;&gt;"")*T2:T25))</f>
        <v>0</v>
      </c>
      <c r="U55" s="4">
        <f>IFERROR(SUMPRODUCT(U28:U51,U2:U25)/SUMPRODUCT((U28:U51&lt;&gt;"")*U2:U25),SUMPRODUCT(U28:U51,U2:U25)/SUMPRODUCT((U28:U51&lt;&gt;"")*U2:U25))</f>
        <v>0</v>
      </c>
      <c r="V55" s="4">
        <f>IFERROR(SUMPRODUCT(V28:V51,V2:V25)/SUMPRODUCT((V28:V51&lt;&gt;"")*V2:V25),SUMPRODUCT(V28:V51,V2:V25)/SUMPRODUCT((V28:V51&lt;&gt;"")*V2:V25))</f>
        <v>0</v>
      </c>
      <c r="W55" s="4">
        <f>IFERROR(SUMPRODUCT(W28:W51,W2:W25)/SUMPRODUCT((W28:W51&lt;&gt;"")*W2:W25),SUMPRODUCT(W28:W51,W2:W25)/SUMPRODUCT((W28:W51&lt;&gt;"")*W2:W25))</f>
        <v>0</v>
      </c>
      <c r="X55" s="4">
        <f>IFERROR(SUMPRODUCT(X28:X51,X2:X25)/SUMPRODUCT((X28:X51&lt;&gt;"")*X2:X25),SUMPRODUCT(X28:X51,X2:X25)/SUMPRODUCT((X28:X51&lt;&gt;"")*X2:X25))</f>
        <v>0</v>
      </c>
    </row>
    <row r="56" spans="1:25">
      <c r="A56" s="2" t="s">
        <v>76</v>
      </c>
      <c r="B56" s="4">
        <f>IFERROR(TRIMMEAN(B28:B51,2/COUNT(B28:B51)),AVERAGE(B28:B51))</f>
        <v>0</v>
      </c>
      <c r="C56" s="4">
        <f>IFERROR(TRIMMEAN(C28:C51,2/COUNT(C28:C51)),AVERAGE(C28:C51))</f>
        <v>0</v>
      </c>
      <c r="D56" s="4">
        <f>IFERROR(TRIMMEAN(D28:D51,2/COUNT(D28:D51)),AVERAGE(D28:D51))</f>
        <v>0</v>
      </c>
      <c r="E56" s="4">
        <f>IFERROR(TRIMMEAN(E28:E51,2/COUNT(E28:E51)),AVERAGE(E28:E51))</f>
        <v>0</v>
      </c>
      <c r="F56" s="4">
        <f>IFERROR(TRIMMEAN(F28:F51,2/COUNT(F28:F51)),AVERAGE(F28:F51))</f>
        <v>0</v>
      </c>
      <c r="G56" s="4">
        <f>IFERROR(TRIMMEAN(G28:G51,2/COUNT(G28:G51)),AVERAGE(G28:G51))</f>
        <v>0</v>
      </c>
      <c r="H56" s="4">
        <f>IFERROR(TRIMMEAN(H28:H51,2/COUNT(H28:H51)),AVERAGE(H28:H51))</f>
        <v>0</v>
      </c>
      <c r="I56" s="4">
        <f>IFERROR(TRIMMEAN(I28:I51,2/COUNT(I28:I51)),AVERAGE(I28:I51))</f>
        <v>0</v>
      </c>
      <c r="J56" s="4">
        <f>IFERROR(TRIMMEAN(J28:J51,2/COUNT(J28:J51)),AVERAGE(J28:J51))</f>
        <v>0</v>
      </c>
      <c r="K56" s="4">
        <f>IFERROR(TRIMMEAN(K28:K51,2/COUNT(K28:K51)),AVERAGE(K28:K51))</f>
        <v>0</v>
      </c>
      <c r="L56" s="4">
        <f>IFERROR(TRIMMEAN(L28:L51,2/COUNT(L28:L51)),AVERAGE(L28:L51))</f>
        <v>0</v>
      </c>
      <c r="M56" s="4">
        <f>IFERROR(TRIMMEAN(M28:M51,2/COUNT(M28:M51)),AVERAGE(M28:M51))</f>
        <v>0</v>
      </c>
      <c r="N56" s="4">
        <f>IFERROR(TRIMMEAN(N28:N51,2/COUNT(N28:N51)),AVERAGE(N28:N51))</f>
        <v>0</v>
      </c>
      <c r="O56" s="4">
        <f>IFERROR(TRIMMEAN(O28:O51,2/COUNT(O28:O51)),AVERAGE(O28:O51))</f>
        <v>0</v>
      </c>
      <c r="P56" s="4">
        <f>IFERROR(TRIMMEAN(P28:P51,2/COUNT(P28:P51)),AVERAGE(P28:P51))</f>
        <v>0</v>
      </c>
      <c r="Q56" s="4">
        <f>IFERROR(TRIMMEAN(Q28:Q51,2/COUNT(Q28:Q51)),AVERAGE(Q28:Q51))</f>
        <v>0</v>
      </c>
      <c r="R56" s="4">
        <f>IFERROR(TRIMMEAN(R28:R51,2/COUNT(R28:R51)),AVERAGE(R28:R51))</f>
        <v>0</v>
      </c>
      <c r="S56" s="4">
        <f>IFERROR(TRIMMEAN(S28:S51,2/COUNT(S28:S51)),AVERAGE(S28:S51))</f>
        <v>0</v>
      </c>
      <c r="T56" s="4">
        <f>IFERROR(TRIMMEAN(T28:T51,2/COUNT(T28:T51)),AVERAGE(T28:T51))</f>
        <v>0</v>
      </c>
      <c r="U56" s="4">
        <f>IFERROR(TRIMMEAN(U28:U51,2/COUNT(U28:U51)),AVERAGE(U28:U51))</f>
        <v>0</v>
      </c>
      <c r="V56" s="4">
        <f>IFERROR(TRIMMEAN(V28:V51,2/COUNT(V28:V51)),AVERAGE(V28:V51))</f>
        <v>0</v>
      </c>
      <c r="W56" s="4">
        <f>IFERROR(TRIMMEAN(W28:W51,2/COUNT(W28:W51)),AVERAGE(W28:W51))</f>
        <v>0</v>
      </c>
      <c r="X56" s="4">
        <f>IFERROR(TRIMMEAN(X28:X51,2/COUNT(X28:X51)),AVERAGE(X28:X51))</f>
        <v>0</v>
      </c>
    </row>
    <row r="57" spans="1:25">
      <c r="A57" s="2" t="s">
        <v>77</v>
      </c>
      <c r="B57" s="4">
        <f>IFERROR(AVERAGE(B49:B51),AVERAGE(B28:B51))</f>
        <v>0</v>
      </c>
      <c r="C57" s="4">
        <f>IFERROR(AVERAGE(C49:C51),AVERAGE(C28:C51))</f>
        <v>0</v>
      </c>
      <c r="D57" s="4">
        <f>IFERROR(AVERAGE(D49:D51),AVERAGE(D28:D51))</f>
        <v>0</v>
      </c>
      <c r="E57" s="4">
        <f>IFERROR(AVERAGE(E49:E51),AVERAGE(E28:E51))</f>
        <v>0</v>
      </c>
      <c r="F57" s="4">
        <f>IFERROR(AVERAGE(F49:F51),AVERAGE(F28:F51))</f>
        <v>0</v>
      </c>
      <c r="G57" s="4">
        <f>IFERROR(AVERAGE(G49:G51),AVERAGE(G28:G51))</f>
        <v>0</v>
      </c>
      <c r="H57" s="4">
        <f>IFERROR(AVERAGE(H49:H51),AVERAGE(H28:H51))</f>
        <v>0</v>
      </c>
      <c r="I57" s="4">
        <f>IFERROR(AVERAGE(I49:I51),AVERAGE(I28:I51))</f>
        <v>0</v>
      </c>
      <c r="J57" s="4">
        <f>IFERROR(AVERAGE(J49:J51),AVERAGE(J28:J51))</f>
        <v>0</v>
      </c>
      <c r="K57" s="4">
        <f>IFERROR(AVERAGE(K49:K51),AVERAGE(K28:K51))</f>
        <v>0</v>
      </c>
      <c r="L57" s="4">
        <f>IFERROR(AVERAGE(L49:L51),AVERAGE(L28:L51))</f>
        <v>0</v>
      </c>
      <c r="M57" s="4">
        <f>IFERROR(AVERAGE(M49:M51),AVERAGE(M28:M51))</f>
        <v>0</v>
      </c>
      <c r="N57" s="4">
        <f>IFERROR(AVERAGE(N49:N51),AVERAGE(N28:N51))</f>
        <v>0</v>
      </c>
      <c r="O57" s="4">
        <f>IFERROR(AVERAGE(O49:O51),AVERAGE(O28:O51))</f>
        <v>0</v>
      </c>
      <c r="P57" s="4">
        <f>IFERROR(AVERAGE(P49:P51),AVERAGE(P28:P51))</f>
        <v>0</v>
      </c>
      <c r="Q57" s="4">
        <f>IFERROR(AVERAGE(Q49:Q51),AVERAGE(Q28:Q51))</f>
        <v>0</v>
      </c>
      <c r="R57" s="4">
        <f>IFERROR(AVERAGE(R49:R51),AVERAGE(R28:R51))</f>
        <v>0</v>
      </c>
      <c r="S57" s="4">
        <f>IFERROR(AVERAGE(S49:S51),AVERAGE(S28:S51))</f>
        <v>0</v>
      </c>
      <c r="T57" s="4">
        <f>IFERROR(AVERAGE(T49:T51),AVERAGE(T28:T51))</f>
        <v>0</v>
      </c>
      <c r="U57" s="4">
        <f>IFERROR(AVERAGE(U49:U51),AVERAGE(U28:U51))</f>
        <v>0</v>
      </c>
      <c r="V57" s="4">
        <f>IFERROR(AVERAGE(V49:V51),AVERAGE(V28:V51))</f>
        <v>0</v>
      </c>
      <c r="W57" s="4">
        <f>IFERROR(AVERAGE(W49:W51),AVERAGE(W28:W51))</f>
        <v>0</v>
      </c>
      <c r="X57" s="4">
        <f>IFERROR(AVERAGE(X49:X51),AVERAGE(X28:X51))</f>
        <v>0</v>
      </c>
    </row>
    <row r="58" spans="1:25">
      <c r="A58" s="2" t="s">
        <v>78</v>
      </c>
      <c r="B58" s="4">
        <f>IFERROR(SUMPRODUCT(B49:B51,B23:B25)/SUMPRODUCT((B49:B51&lt;&gt;"")*B23:B25),SUMPRODUCT(B28:B51,B2:B25)/SUMPRODUCT((B28:B51&lt;&gt;"")*B2:B25))</f>
        <v>0</v>
      </c>
      <c r="C58" s="4">
        <f>IFERROR(SUMPRODUCT(C49:C51,C23:C25)/SUMPRODUCT((C49:C51&lt;&gt;"")*C23:C25),SUMPRODUCT(C28:C51,C2:C25)/SUMPRODUCT((C28:C51&lt;&gt;"")*C2:C25))</f>
        <v>0</v>
      </c>
      <c r="D58" s="4">
        <f>IFERROR(SUMPRODUCT(D49:D51,D23:D25)/SUMPRODUCT((D49:D51&lt;&gt;"")*D23:D25),SUMPRODUCT(D28:D51,D2:D25)/SUMPRODUCT((D28:D51&lt;&gt;"")*D2:D25))</f>
        <v>0</v>
      </c>
      <c r="E58" s="4">
        <f>IFERROR(SUMPRODUCT(E49:E51,E23:E25)/SUMPRODUCT((E49:E51&lt;&gt;"")*E23:E25),SUMPRODUCT(E28:E51,E2:E25)/SUMPRODUCT((E28:E51&lt;&gt;"")*E2:E25))</f>
        <v>0</v>
      </c>
      <c r="F58" s="4">
        <f>IFERROR(SUMPRODUCT(F49:F51,F23:F25)/SUMPRODUCT((F49:F51&lt;&gt;"")*F23:F25),SUMPRODUCT(F28:F51,F2:F25)/SUMPRODUCT((F28:F51&lt;&gt;"")*F2:F25))</f>
        <v>0</v>
      </c>
      <c r="G58" s="4">
        <f>IFERROR(SUMPRODUCT(G49:G51,G23:G25)/SUMPRODUCT((G49:G51&lt;&gt;"")*G23:G25),SUMPRODUCT(G28:G51,G2:G25)/SUMPRODUCT((G28:G51&lt;&gt;"")*G2:G25))</f>
        <v>0</v>
      </c>
      <c r="H58" s="4">
        <f>IFERROR(SUMPRODUCT(H49:H51,H23:H25)/SUMPRODUCT((H49:H51&lt;&gt;"")*H23:H25),SUMPRODUCT(H28:H51,H2:H25)/SUMPRODUCT((H28:H51&lt;&gt;"")*H2:H25))</f>
        <v>0</v>
      </c>
      <c r="I58" s="4">
        <f>IFERROR(SUMPRODUCT(I49:I51,I23:I25)/SUMPRODUCT((I49:I51&lt;&gt;"")*I23:I25),SUMPRODUCT(I28:I51,I2:I25)/SUMPRODUCT((I28:I51&lt;&gt;"")*I2:I25))</f>
        <v>0</v>
      </c>
      <c r="J58" s="4">
        <f>IFERROR(SUMPRODUCT(J49:J51,J23:J25)/SUMPRODUCT((J49:J51&lt;&gt;"")*J23:J25),SUMPRODUCT(J28:J51,J2:J25)/SUMPRODUCT((J28:J51&lt;&gt;"")*J2:J25))</f>
        <v>0</v>
      </c>
      <c r="K58" s="4">
        <f>IFERROR(SUMPRODUCT(K49:K51,K23:K25)/SUMPRODUCT((K49:K51&lt;&gt;"")*K23:K25),SUMPRODUCT(K28:K51,K2:K25)/SUMPRODUCT((K28:K51&lt;&gt;"")*K2:K25))</f>
        <v>0</v>
      </c>
      <c r="L58" s="4">
        <f>IFERROR(SUMPRODUCT(L49:L51,L23:L25)/SUMPRODUCT((L49:L51&lt;&gt;"")*L23:L25),SUMPRODUCT(L28:L51,L2:L25)/SUMPRODUCT((L28:L51&lt;&gt;"")*L2:L25))</f>
        <v>0</v>
      </c>
      <c r="M58" s="4">
        <f>IFERROR(SUMPRODUCT(M49:M51,M23:M25)/SUMPRODUCT((M49:M51&lt;&gt;"")*M23:M25),SUMPRODUCT(M28:M51,M2:M25)/SUMPRODUCT((M28:M51&lt;&gt;"")*M2:M25))</f>
        <v>0</v>
      </c>
      <c r="N58" s="4">
        <f>IFERROR(SUMPRODUCT(N49:N51,N23:N25)/SUMPRODUCT((N49:N51&lt;&gt;"")*N23:N25),SUMPRODUCT(N28:N51,N2:N25)/SUMPRODUCT((N28:N51&lt;&gt;"")*N2:N25))</f>
        <v>0</v>
      </c>
      <c r="O58" s="4">
        <f>IFERROR(SUMPRODUCT(O49:O51,O23:O25)/SUMPRODUCT((O49:O51&lt;&gt;"")*O23:O25),SUMPRODUCT(O28:O51,O2:O25)/SUMPRODUCT((O28:O51&lt;&gt;"")*O2:O25))</f>
        <v>0</v>
      </c>
      <c r="P58" s="4">
        <f>IFERROR(SUMPRODUCT(P49:P51,P23:P25)/SUMPRODUCT((P49:P51&lt;&gt;"")*P23:P25),SUMPRODUCT(P28:P51,P2:P25)/SUMPRODUCT((P28:P51&lt;&gt;"")*P2:P25))</f>
        <v>0</v>
      </c>
      <c r="Q58" s="4">
        <f>IFERROR(SUMPRODUCT(Q49:Q51,Q23:Q25)/SUMPRODUCT((Q49:Q51&lt;&gt;"")*Q23:Q25),SUMPRODUCT(Q28:Q51,Q2:Q25)/SUMPRODUCT((Q28:Q51&lt;&gt;"")*Q2:Q25))</f>
        <v>0</v>
      </c>
      <c r="R58" s="4">
        <f>IFERROR(SUMPRODUCT(R49:R51,R23:R25)/SUMPRODUCT((R49:R51&lt;&gt;"")*R23:R25),SUMPRODUCT(R28:R51,R2:R25)/SUMPRODUCT((R28:R51&lt;&gt;"")*R2:R25))</f>
        <v>0</v>
      </c>
      <c r="S58" s="4">
        <f>IFERROR(SUMPRODUCT(S49:S51,S23:S25)/SUMPRODUCT((S49:S51&lt;&gt;"")*S23:S25),SUMPRODUCT(S28:S51,S2:S25)/SUMPRODUCT((S28:S51&lt;&gt;"")*S2:S25))</f>
        <v>0</v>
      </c>
      <c r="T58" s="4">
        <f>IFERROR(SUMPRODUCT(T49:T51,T23:T25)/SUMPRODUCT((T49:T51&lt;&gt;"")*T23:T25),SUMPRODUCT(T28:T51,T2:T25)/SUMPRODUCT((T28:T51&lt;&gt;"")*T2:T25))</f>
        <v>0</v>
      </c>
      <c r="U58" s="4">
        <f>IFERROR(SUMPRODUCT(U49:U51,U23:U25)/SUMPRODUCT((U49:U51&lt;&gt;"")*U23:U25),SUMPRODUCT(U28:U51,U2:U25)/SUMPRODUCT((U28:U51&lt;&gt;"")*U2:U25))</f>
        <v>0</v>
      </c>
      <c r="V58" s="4">
        <f>IFERROR(SUMPRODUCT(V49:V51,V23:V25)/SUMPRODUCT((V49:V51&lt;&gt;"")*V23:V25),SUMPRODUCT(V28:V51,V2:V25)/SUMPRODUCT((V28:V51&lt;&gt;"")*V2:V25))</f>
        <v>0</v>
      </c>
      <c r="W58" s="4">
        <f>IFERROR(SUMPRODUCT(W49:W51,W23:W25)/SUMPRODUCT((W49:W51&lt;&gt;"")*W23:W25),SUMPRODUCT(W28:W51,W2:W25)/SUMPRODUCT((W28:W51&lt;&gt;"")*W2:W25))</f>
        <v>0</v>
      </c>
      <c r="X58" s="4">
        <f>IFERROR(SUMPRODUCT(X49:X51,X23:X25)/SUMPRODUCT((X49:X51&lt;&gt;"")*X23:X25),SUMPRODUCT(X28:X51,X2:X25)/SUMPRODUCT((X28:X51&lt;&gt;"")*X2:X25))</f>
        <v>0</v>
      </c>
    </row>
    <row r="59" spans="1:25">
      <c r="A59" s="2" t="s">
        <v>79</v>
      </c>
      <c r="B59" s="4">
        <f>IFERROR(TRIMMEAN(B49:B51,2/COUNT(B49:B51)),AVERAGE(B28:B51))</f>
        <v>0</v>
      </c>
      <c r="C59" s="4">
        <f>IFERROR(TRIMMEAN(C49:C51,2/COUNT(C49:C51)),AVERAGE(C28:C51))</f>
        <v>0</v>
      </c>
      <c r="D59" s="4">
        <f>IFERROR(TRIMMEAN(D49:D51,2/COUNT(D49:D51)),AVERAGE(D28:D51))</f>
        <v>0</v>
      </c>
      <c r="E59" s="4">
        <f>IFERROR(TRIMMEAN(E49:E51,2/COUNT(E49:E51)),AVERAGE(E28:E51))</f>
        <v>0</v>
      </c>
      <c r="F59" s="4">
        <f>IFERROR(TRIMMEAN(F49:F51,2/COUNT(F49:F51)),AVERAGE(F28:F51))</f>
        <v>0</v>
      </c>
      <c r="G59" s="4">
        <f>IFERROR(TRIMMEAN(G49:G51,2/COUNT(G49:G51)),AVERAGE(G28:G51))</f>
        <v>0</v>
      </c>
      <c r="H59" s="4">
        <f>IFERROR(TRIMMEAN(H49:H51,2/COUNT(H49:H51)),AVERAGE(H28:H51))</f>
        <v>0</v>
      </c>
      <c r="I59" s="4">
        <f>IFERROR(TRIMMEAN(I49:I51,2/COUNT(I49:I51)),AVERAGE(I28:I51))</f>
        <v>0</v>
      </c>
      <c r="J59" s="4">
        <f>IFERROR(TRIMMEAN(J49:J51,2/COUNT(J49:J51)),AVERAGE(J28:J51))</f>
        <v>0</v>
      </c>
      <c r="K59" s="4">
        <f>IFERROR(TRIMMEAN(K49:K51,2/COUNT(K49:K51)),AVERAGE(K28:K51))</f>
        <v>0</v>
      </c>
      <c r="L59" s="4">
        <f>IFERROR(TRIMMEAN(L49:L51,2/COUNT(L49:L51)),AVERAGE(L28:L51))</f>
        <v>0</v>
      </c>
      <c r="M59" s="4">
        <f>IFERROR(TRIMMEAN(M49:M51,2/COUNT(M49:M51)),AVERAGE(M28:M51))</f>
        <v>0</v>
      </c>
      <c r="N59" s="4">
        <f>IFERROR(TRIMMEAN(N49:N51,2/COUNT(N49:N51)),AVERAGE(N28:N51))</f>
        <v>0</v>
      </c>
      <c r="O59" s="4">
        <f>IFERROR(TRIMMEAN(O49:O51,2/COUNT(O49:O51)),AVERAGE(O28:O51))</f>
        <v>0</v>
      </c>
      <c r="P59" s="4">
        <f>IFERROR(TRIMMEAN(P49:P51,2/COUNT(P49:P51)),AVERAGE(P28:P51))</f>
        <v>0</v>
      </c>
      <c r="Q59" s="4">
        <f>IFERROR(TRIMMEAN(Q49:Q51,2/COUNT(Q49:Q51)),AVERAGE(Q28:Q51))</f>
        <v>0</v>
      </c>
      <c r="R59" s="4">
        <f>IFERROR(TRIMMEAN(R49:R51,2/COUNT(R49:R51)),AVERAGE(R28:R51))</f>
        <v>0</v>
      </c>
      <c r="S59" s="4">
        <f>IFERROR(TRIMMEAN(S49:S51,2/COUNT(S49:S51)),AVERAGE(S28:S51))</f>
        <v>0</v>
      </c>
      <c r="T59" s="4">
        <f>IFERROR(TRIMMEAN(T49:T51,2/COUNT(T49:T51)),AVERAGE(T28:T51))</f>
        <v>0</v>
      </c>
      <c r="U59" s="4">
        <f>IFERROR(TRIMMEAN(U49:U51,2/COUNT(U49:U51)),AVERAGE(U28:U51))</f>
        <v>0</v>
      </c>
      <c r="V59" s="4">
        <f>IFERROR(TRIMMEAN(V49:V51,2/COUNT(V49:V51)),AVERAGE(V28:V51))</f>
        <v>0</v>
      </c>
      <c r="W59" s="4">
        <f>IFERROR(TRIMMEAN(W49:W51,2/COUNT(W49:W51)),AVERAGE(W28:W51))</f>
        <v>0</v>
      </c>
      <c r="X59" s="4">
        <f>IFERROR(TRIMMEAN(X49:X51,2/COUNT(X49:X51)),AVERAGE(X28:X51))</f>
        <v>0</v>
      </c>
    </row>
    <row r="60" spans="1:25">
      <c r="A60" s="2" t="s">
        <v>80</v>
      </c>
      <c r="B60" s="4">
        <f>IFERROR(AVERAGE(B47:B51),AVERAGE(B28:B51))</f>
        <v>0</v>
      </c>
      <c r="C60" s="4">
        <f>IFERROR(AVERAGE(C47:C51),AVERAGE(C28:C51))</f>
        <v>0</v>
      </c>
      <c r="D60" s="4">
        <f>IFERROR(AVERAGE(D47:D51),AVERAGE(D28:D51))</f>
        <v>0</v>
      </c>
      <c r="E60" s="4">
        <f>IFERROR(AVERAGE(E47:E51),AVERAGE(E28:E51))</f>
        <v>0</v>
      </c>
      <c r="F60" s="4">
        <f>IFERROR(AVERAGE(F47:F51),AVERAGE(F28:F51))</f>
        <v>0</v>
      </c>
      <c r="G60" s="4">
        <f>IFERROR(AVERAGE(G47:G51),AVERAGE(G28:G51))</f>
        <v>0</v>
      </c>
      <c r="H60" s="4">
        <f>IFERROR(AVERAGE(H47:H51),AVERAGE(H28:H51))</f>
        <v>0</v>
      </c>
      <c r="I60" s="4">
        <f>IFERROR(AVERAGE(I47:I51),AVERAGE(I28:I51))</f>
        <v>0</v>
      </c>
      <c r="J60" s="4">
        <f>IFERROR(AVERAGE(J47:J51),AVERAGE(J28:J51))</f>
        <v>0</v>
      </c>
      <c r="K60" s="4">
        <f>IFERROR(AVERAGE(K47:K51),AVERAGE(K28:K51))</f>
        <v>0</v>
      </c>
      <c r="L60" s="4">
        <f>IFERROR(AVERAGE(L47:L51),AVERAGE(L28:L51))</f>
        <v>0</v>
      </c>
      <c r="M60" s="4">
        <f>IFERROR(AVERAGE(M47:M51),AVERAGE(M28:M51))</f>
        <v>0</v>
      </c>
      <c r="N60" s="4">
        <f>IFERROR(AVERAGE(N47:N51),AVERAGE(N28:N51))</f>
        <v>0</v>
      </c>
      <c r="O60" s="4">
        <f>IFERROR(AVERAGE(O47:O51),AVERAGE(O28:O51))</f>
        <v>0</v>
      </c>
      <c r="P60" s="4">
        <f>IFERROR(AVERAGE(P47:P51),AVERAGE(P28:P51))</f>
        <v>0</v>
      </c>
      <c r="Q60" s="4">
        <f>IFERROR(AVERAGE(Q47:Q51),AVERAGE(Q28:Q51))</f>
        <v>0</v>
      </c>
      <c r="R60" s="4">
        <f>IFERROR(AVERAGE(R47:R51),AVERAGE(R28:R51))</f>
        <v>0</v>
      </c>
      <c r="S60" s="4">
        <f>IFERROR(AVERAGE(S47:S51),AVERAGE(S28:S51))</f>
        <v>0</v>
      </c>
      <c r="T60" s="4">
        <f>IFERROR(AVERAGE(T47:T51),AVERAGE(T28:T51))</f>
        <v>0</v>
      </c>
      <c r="U60" s="4">
        <f>IFERROR(AVERAGE(U47:U51),AVERAGE(U28:U51))</f>
        <v>0</v>
      </c>
      <c r="V60" s="4">
        <f>IFERROR(AVERAGE(V47:V51),AVERAGE(V28:V51))</f>
        <v>0</v>
      </c>
      <c r="W60" s="4">
        <f>IFERROR(AVERAGE(W47:W51),AVERAGE(W28:W51))</f>
        <v>0</v>
      </c>
      <c r="X60" s="4">
        <f>IFERROR(AVERAGE(X47:X51),AVERAGE(X28:X51))</f>
        <v>0</v>
      </c>
    </row>
    <row r="61" spans="1:25">
      <c r="A61" s="2" t="s">
        <v>81</v>
      </c>
      <c r="B61" s="4">
        <f>IFERROR(SUMPRODUCT(B47:B51,B21:B25)/SUMPRODUCT((B47:B51&lt;&gt;"")*B21:B25),SUMPRODUCT(B28:B51,B2:B25)/SUMPRODUCT((B28:B51&lt;&gt;"")*B2:B25))</f>
        <v>0</v>
      </c>
      <c r="C61" s="4">
        <f>IFERROR(SUMPRODUCT(C47:C51,C21:C25)/SUMPRODUCT((C47:C51&lt;&gt;"")*C21:C25),SUMPRODUCT(C28:C51,C2:C25)/SUMPRODUCT((C28:C51&lt;&gt;"")*C2:C25))</f>
        <v>0</v>
      </c>
      <c r="D61" s="4">
        <f>IFERROR(SUMPRODUCT(D47:D51,D21:D25)/SUMPRODUCT((D47:D51&lt;&gt;"")*D21:D25),SUMPRODUCT(D28:D51,D2:D25)/SUMPRODUCT((D28:D51&lt;&gt;"")*D2:D25))</f>
        <v>0</v>
      </c>
      <c r="E61" s="4">
        <f>IFERROR(SUMPRODUCT(E47:E51,E21:E25)/SUMPRODUCT((E47:E51&lt;&gt;"")*E21:E25),SUMPRODUCT(E28:E51,E2:E25)/SUMPRODUCT((E28:E51&lt;&gt;"")*E2:E25))</f>
        <v>0</v>
      </c>
      <c r="F61" s="4">
        <f>IFERROR(SUMPRODUCT(F47:F51,F21:F25)/SUMPRODUCT((F47:F51&lt;&gt;"")*F21:F25),SUMPRODUCT(F28:F51,F2:F25)/SUMPRODUCT((F28:F51&lt;&gt;"")*F2:F25))</f>
        <v>0</v>
      </c>
      <c r="G61" s="4">
        <f>IFERROR(SUMPRODUCT(G47:G51,G21:G25)/SUMPRODUCT((G47:G51&lt;&gt;"")*G21:G25),SUMPRODUCT(G28:G51,G2:G25)/SUMPRODUCT((G28:G51&lt;&gt;"")*G2:G25))</f>
        <v>0</v>
      </c>
      <c r="H61" s="4">
        <f>IFERROR(SUMPRODUCT(H47:H51,H21:H25)/SUMPRODUCT((H47:H51&lt;&gt;"")*H21:H25),SUMPRODUCT(H28:H51,H2:H25)/SUMPRODUCT((H28:H51&lt;&gt;"")*H2:H25))</f>
        <v>0</v>
      </c>
      <c r="I61" s="4">
        <f>IFERROR(SUMPRODUCT(I47:I51,I21:I25)/SUMPRODUCT((I47:I51&lt;&gt;"")*I21:I25),SUMPRODUCT(I28:I51,I2:I25)/SUMPRODUCT((I28:I51&lt;&gt;"")*I2:I25))</f>
        <v>0</v>
      </c>
      <c r="J61" s="4">
        <f>IFERROR(SUMPRODUCT(J47:J51,J21:J25)/SUMPRODUCT((J47:J51&lt;&gt;"")*J21:J25),SUMPRODUCT(J28:J51,J2:J25)/SUMPRODUCT((J28:J51&lt;&gt;"")*J2:J25))</f>
        <v>0</v>
      </c>
      <c r="K61" s="4">
        <f>IFERROR(SUMPRODUCT(K47:K51,K21:K25)/SUMPRODUCT((K47:K51&lt;&gt;"")*K21:K25),SUMPRODUCT(K28:K51,K2:K25)/SUMPRODUCT((K28:K51&lt;&gt;"")*K2:K25))</f>
        <v>0</v>
      </c>
      <c r="L61" s="4">
        <f>IFERROR(SUMPRODUCT(L47:L51,L21:L25)/SUMPRODUCT((L47:L51&lt;&gt;"")*L21:L25),SUMPRODUCT(L28:L51,L2:L25)/SUMPRODUCT((L28:L51&lt;&gt;"")*L2:L25))</f>
        <v>0</v>
      </c>
      <c r="M61" s="4">
        <f>IFERROR(SUMPRODUCT(M47:M51,M21:M25)/SUMPRODUCT((M47:M51&lt;&gt;"")*M21:M25),SUMPRODUCT(M28:M51,M2:M25)/SUMPRODUCT((M28:M51&lt;&gt;"")*M2:M25))</f>
        <v>0</v>
      </c>
      <c r="N61" s="4">
        <f>IFERROR(SUMPRODUCT(N47:N51,N21:N25)/SUMPRODUCT((N47:N51&lt;&gt;"")*N21:N25),SUMPRODUCT(N28:N51,N2:N25)/SUMPRODUCT((N28:N51&lt;&gt;"")*N2:N25))</f>
        <v>0</v>
      </c>
      <c r="O61" s="4">
        <f>IFERROR(SUMPRODUCT(O47:O51,O21:O25)/SUMPRODUCT((O47:O51&lt;&gt;"")*O21:O25),SUMPRODUCT(O28:O51,O2:O25)/SUMPRODUCT((O28:O51&lt;&gt;"")*O2:O25))</f>
        <v>0</v>
      </c>
      <c r="P61" s="4">
        <f>IFERROR(SUMPRODUCT(P47:P51,P21:P25)/SUMPRODUCT((P47:P51&lt;&gt;"")*P21:P25),SUMPRODUCT(P28:P51,P2:P25)/SUMPRODUCT((P28:P51&lt;&gt;"")*P2:P25))</f>
        <v>0</v>
      </c>
      <c r="Q61" s="4">
        <f>IFERROR(SUMPRODUCT(Q47:Q51,Q21:Q25)/SUMPRODUCT((Q47:Q51&lt;&gt;"")*Q21:Q25),SUMPRODUCT(Q28:Q51,Q2:Q25)/SUMPRODUCT((Q28:Q51&lt;&gt;"")*Q2:Q25))</f>
        <v>0</v>
      </c>
      <c r="R61" s="4">
        <f>IFERROR(SUMPRODUCT(R47:R51,R21:R25)/SUMPRODUCT((R47:R51&lt;&gt;"")*R21:R25),SUMPRODUCT(R28:R51,R2:R25)/SUMPRODUCT((R28:R51&lt;&gt;"")*R2:R25))</f>
        <v>0</v>
      </c>
      <c r="S61" s="4">
        <f>IFERROR(SUMPRODUCT(S47:S51,S21:S25)/SUMPRODUCT((S47:S51&lt;&gt;"")*S21:S25),SUMPRODUCT(S28:S51,S2:S25)/SUMPRODUCT((S28:S51&lt;&gt;"")*S2:S25))</f>
        <v>0</v>
      </c>
      <c r="T61" s="4">
        <f>IFERROR(SUMPRODUCT(T47:T51,T21:T25)/SUMPRODUCT((T47:T51&lt;&gt;"")*T21:T25),SUMPRODUCT(T28:T51,T2:T25)/SUMPRODUCT((T28:T51&lt;&gt;"")*T2:T25))</f>
        <v>0</v>
      </c>
      <c r="U61" s="4">
        <f>IFERROR(SUMPRODUCT(U47:U51,U21:U25)/SUMPRODUCT((U47:U51&lt;&gt;"")*U21:U25),SUMPRODUCT(U28:U51,U2:U25)/SUMPRODUCT((U28:U51&lt;&gt;"")*U2:U25))</f>
        <v>0</v>
      </c>
      <c r="V61" s="4">
        <f>IFERROR(SUMPRODUCT(V47:V51,V21:V25)/SUMPRODUCT((V47:V51&lt;&gt;"")*V21:V25),SUMPRODUCT(V28:V51,V2:V25)/SUMPRODUCT((V28:V51&lt;&gt;"")*V2:V25))</f>
        <v>0</v>
      </c>
      <c r="W61" s="4">
        <f>IFERROR(SUMPRODUCT(W47:W51,W21:W25)/SUMPRODUCT((W47:W51&lt;&gt;"")*W21:W25),SUMPRODUCT(W28:W51,W2:W25)/SUMPRODUCT((W28:W51&lt;&gt;"")*W2:W25))</f>
        <v>0</v>
      </c>
      <c r="X61" s="4">
        <f>IFERROR(SUMPRODUCT(X47:X51,X21:X25)/SUMPRODUCT((X47:X51&lt;&gt;"")*X21:X25),SUMPRODUCT(X28:X51,X2:X25)/SUMPRODUCT((X28:X51&lt;&gt;"")*X2:X25))</f>
        <v>0</v>
      </c>
    </row>
    <row r="62" spans="1:25">
      <c r="A62" s="2" t="s">
        <v>82</v>
      </c>
      <c r="B62" s="4">
        <f>IFERROR(TRIMMEAN(B47:B51,2/COUNT(B47:B51)),AVERAGE(B28:B51))</f>
        <v>0</v>
      </c>
      <c r="C62" s="4">
        <f>IFERROR(TRIMMEAN(C47:C51,2/COUNT(C47:C51)),AVERAGE(C28:C51))</f>
        <v>0</v>
      </c>
      <c r="D62" s="4">
        <f>IFERROR(TRIMMEAN(D47:D51,2/COUNT(D47:D51)),AVERAGE(D28:D51))</f>
        <v>0</v>
      </c>
      <c r="E62" s="4">
        <f>IFERROR(TRIMMEAN(E47:E51,2/COUNT(E47:E51)),AVERAGE(E28:E51))</f>
        <v>0</v>
      </c>
      <c r="F62" s="4">
        <f>IFERROR(TRIMMEAN(F47:F51,2/COUNT(F47:F51)),AVERAGE(F28:F51))</f>
        <v>0</v>
      </c>
      <c r="G62" s="4">
        <f>IFERROR(TRIMMEAN(G47:G51,2/COUNT(G47:G51)),AVERAGE(G28:G51))</f>
        <v>0</v>
      </c>
      <c r="H62" s="4">
        <f>IFERROR(TRIMMEAN(H47:H51,2/COUNT(H47:H51)),AVERAGE(H28:H51))</f>
        <v>0</v>
      </c>
      <c r="I62" s="4">
        <f>IFERROR(TRIMMEAN(I47:I51,2/COUNT(I47:I51)),AVERAGE(I28:I51))</f>
        <v>0</v>
      </c>
      <c r="J62" s="4">
        <f>IFERROR(TRIMMEAN(J47:J51,2/COUNT(J47:J51)),AVERAGE(J28:J51))</f>
        <v>0</v>
      </c>
      <c r="K62" s="4">
        <f>IFERROR(TRIMMEAN(K47:K51,2/COUNT(K47:K51)),AVERAGE(K28:K51))</f>
        <v>0</v>
      </c>
      <c r="L62" s="4">
        <f>IFERROR(TRIMMEAN(L47:L51,2/COUNT(L47:L51)),AVERAGE(L28:L51))</f>
        <v>0</v>
      </c>
      <c r="M62" s="4">
        <f>IFERROR(TRIMMEAN(M47:M51,2/COUNT(M47:M51)),AVERAGE(M28:M51))</f>
        <v>0</v>
      </c>
      <c r="N62" s="4">
        <f>IFERROR(TRIMMEAN(N47:N51,2/COUNT(N47:N51)),AVERAGE(N28:N51))</f>
        <v>0</v>
      </c>
      <c r="O62" s="4">
        <f>IFERROR(TRIMMEAN(O47:O51,2/COUNT(O47:O51)),AVERAGE(O28:O51))</f>
        <v>0</v>
      </c>
      <c r="P62" s="4">
        <f>IFERROR(TRIMMEAN(P47:P51,2/COUNT(P47:P51)),AVERAGE(P28:P51))</f>
        <v>0</v>
      </c>
      <c r="Q62" s="4">
        <f>IFERROR(TRIMMEAN(Q47:Q51,2/COUNT(Q47:Q51)),AVERAGE(Q28:Q51))</f>
        <v>0</v>
      </c>
      <c r="R62" s="4">
        <f>IFERROR(TRIMMEAN(R47:R51,2/COUNT(R47:R51)),AVERAGE(R28:R51))</f>
        <v>0</v>
      </c>
      <c r="S62" s="4">
        <f>IFERROR(TRIMMEAN(S47:S51,2/COUNT(S47:S51)),AVERAGE(S28:S51))</f>
        <v>0</v>
      </c>
      <c r="T62" s="4">
        <f>IFERROR(TRIMMEAN(T47:T51,2/COUNT(T47:T51)),AVERAGE(T28:T51))</f>
        <v>0</v>
      </c>
      <c r="U62" s="4">
        <f>IFERROR(TRIMMEAN(U47:U51,2/COUNT(U47:U51)),AVERAGE(U28:U51))</f>
        <v>0</v>
      </c>
      <c r="V62" s="4">
        <f>IFERROR(TRIMMEAN(V47:V51,2/COUNT(V47:V51)),AVERAGE(V28:V51))</f>
        <v>0</v>
      </c>
      <c r="W62" s="4">
        <f>IFERROR(TRIMMEAN(W47:W51,2/COUNT(W47:W51)),AVERAGE(W28:W51))</f>
        <v>0</v>
      </c>
      <c r="X62" s="4">
        <f>IFERROR(TRIMMEAN(X47:X51,2/COUNT(X47:X51)),AVERAGE(X28:X51))</f>
        <v>0</v>
      </c>
    </row>
    <row r="63" spans="1:25">
      <c r="A63" s="2" t="s">
        <v>83</v>
      </c>
      <c r="B63" s="4">
        <f>IFERROR(AVERAGE(B42:B51),AVERAGE(B28:B51))</f>
        <v>0</v>
      </c>
      <c r="C63" s="4">
        <f>IFERROR(AVERAGE(C42:C51),AVERAGE(C28:C51))</f>
        <v>0</v>
      </c>
      <c r="D63" s="4">
        <f>IFERROR(AVERAGE(D42:D51),AVERAGE(D28:D51))</f>
        <v>0</v>
      </c>
      <c r="E63" s="4">
        <f>IFERROR(AVERAGE(E42:E51),AVERAGE(E28:E51))</f>
        <v>0</v>
      </c>
      <c r="F63" s="4">
        <f>IFERROR(AVERAGE(F42:F51),AVERAGE(F28:F51))</f>
        <v>0</v>
      </c>
      <c r="G63" s="4">
        <f>IFERROR(AVERAGE(G42:G51),AVERAGE(G28:G51))</f>
        <v>0</v>
      </c>
      <c r="H63" s="4">
        <f>IFERROR(AVERAGE(H42:H51),AVERAGE(H28:H51))</f>
        <v>0</v>
      </c>
      <c r="I63" s="4">
        <f>IFERROR(AVERAGE(I42:I51),AVERAGE(I28:I51))</f>
        <v>0</v>
      </c>
      <c r="J63" s="4">
        <f>IFERROR(AVERAGE(J42:J51),AVERAGE(J28:J51))</f>
        <v>0</v>
      </c>
      <c r="K63" s="4">
        <f>IFERROR(AVERAGE(K42:K51),AVERAGE(K28:K51))</f>
        <v>0</v>
      </c>
      <c r="L63" s="4">
        <f>IFERROR(AVERAGE(L42:L51),AVERAGE(L28:L51))</f>
        <v>0</v>
      </c>
      <c r="M63" s="4">
        <f>IFERROR(AVERAGE(M42:M51),AVERAGE(M28:M51))</f>
        <v>0</v>
      </c>
      <c r="N63" s="4">
        <f>IFERROR(AVERAGE(N42:N51),AVERAGE(N28:N51))</f>
        <v>0</v>
      </c>
      <c r="O63" s="4">
        <f>IFERROR(AVERAGE(O42:O51),AVERAGE(O28:O51))</f>
        <v>0</v>
      </c>
      <c r="P63" s="4">
        <f>IFERROR(AVERAGE(P42:P51),AVERAGE(P28:P51))</f>
        <v>0</v>
      </c>
      <c r="Q63" s="4">
        <f>IFERROR(AVERAGE(Q42:Q51),AVERAGE(Q28:Q51))</f>
        <v>0</v>
      </c>
      <c r="R63" s="4">
        <f>IFERROR(AVERAGE(R42:R51),AVERAGE(R28:R51))</f>
        <v>0</v>
      </c>
      <c r="S63" s="4">
        <f>IFERROR(AVERAGE(S42:S51),AVERAGE(S28:S51))</f>
        <v>0</v>
      </c>
      <c r="T63" s="4">
        <f>IFERROR(AVERAGE(T42:T51),AVERAGE(T28:T51))</f>
        <v>0</v>
      </c>
      <c r="U63" s="4">
        <f>IFERROR(AVERAGE(U42:U51),AVERAGE(U28:U51))</f>
        <v>0</v>
      </c>
      <c r="V63" s="4">
        <f>IFERROR(AVERAGE(V42:V51),AVERAGE(V28:V51))</f>
        <v>0</v>
      </c>
      <c r="W63" s="4">
        <f>IFERROR(AVERAGE(W42:W51),AVERAGE(W28:W51))</f>
        <v>0</v>
      </c>
      <c r="X63" s="4">
        <f>IFERROR(AVERAGE(X42:X51),AVERAGE(X28:X51))</f>
        <v>0</v>
      </c>
    </row>
    <row r="64" spans="1:25">
      <c r="A64" s="2" t="s">
        <v>84</v>
      </c>
      <c r="B64" s="4">
        <f>IFERROR(SUMPRODUCT(B42:B51,B16:B25)/SUMPRODUCT((B42:B51&lt;&gt;"")*B16:B25),SUMPRODUCT(B28:B51,B2:B25)/SUMPRODUCT((B28:B51&lt;&gt;"")*B2:B25))</f>
        <v>0</v>
      </c>
      <c r="C64" s="4">
        <f>IFERROR(SUMPRODUCT(C42:C51,C16:C25)/SUMPRODUCT((C42:C51&lt;&gt;"")*C16:C25),SUMPRODUCT(C28:C51,C2:C25)/SUMPRODUCT((C28:C51&lt;&gt;"")*C2:C25))</f>
        <v>0</v>
      </c>
      <c r="D64" s="4">
        <f>IFERROR(SUMPRODUCT(D42:D51,D16:D25)/SUMPRODUCT((D42:D51&lt;&gt;"")*D16:D25),SUMPRODUCT(D28:D51,D2:D25)/SUMPRODUCT((D28:D51&lt;&gt;"")*D2:D25))</f>
        <v>0</v>
      </c>
      <c r="E64" s="4">
        <f>IFERROR(SUMPRODUCT(E42:E51,E16:E25)/SUMPRODUCT((E42:E51&lt;&gt;"")*E16:E25),SUMPRODUCT(E28:E51,E2:E25)/SUMPRODUCT((E28:E51&lt;&gt;"")*E2:E25))</f>
        <v>0</v>
      </c>
      <c r="F64" s="4">
        <f>IFERROR(SUMPRODUCT(F42:F51,F16:F25)/SUMPRODUCT((F42:F51&lt;&gt;"")*F16:F25),SUMPRODUCT(F28:F51,F2:F25)/SUMPRODUCT((F28:F51&lt;&gt;"")*F2:F25))</f>
        <v>0</v>
      </c>
      <c r="G64" s="4">
        <f>IFERROR(SUMPRODUCT(G42:G51,G16:G25)/SUMPRODUCT((G42:G51&lt;&gt;"")*G16:G25),SUMPRODUCT(G28:G51,G2:G25)/SUMPRODUCT((G28:G51&lt;&gt;"")*G2:G25))</f>
        <v>0</v>
      </c>
      <c r="H64" s="4">
        <f>IFERROR(SUMPRODUCT(H42:H51,H16:H25)/SUMPRODUCT((H42:H51&lt;&gt;"")*H16:H25),SUMPRODUCT(H28:H51,H2:H25)/SUMPRODUCT((H28:H51&lt;&gt;"")*H2:H25))</f>
        <v>0</v>
      </c>
      <c r="I64" s="4">
        <f>IFERROR(SUMPRODUCT(I42:I51,I16:I25)/SUMPRODUCT((I42:I51&lt;&gt;"")*I16:I25),SUMPRODUCT(I28:I51,I2:I25)/SUMPRODUCT((I28:I51&lt;&gt;"")*I2:I25))</f>
        <v>0</v>
      </c>
      <c r="J64" s="4">
        <f>IFERROR(SUMPRODUCT(J42:J51,J16:J25)/SUMPRODUCT((J42:J51&lt;&gt;"")*J16:J25),SUMPRODUCT(J28:J51,J2:J25)/SUMPRODUCT((J28:J51&lt;&gt;"")*J2:J25))</f>
        <v>0</v>
      </c>
      <c r="K64" s="4">
        <f>IFERROR(SUMPRODUCT(K42:K51,K16:K25)/SUMPRODUCT((K42:K51&lt;&gt;"")*K16:K25),SUMPRODUCT(K28:K51,K2:K25)/SUMPRODUCT((K28:K51&lt;&gt;"")*K2:K25))</f>
        <v>0</v>
      </c>
      <c r="L64" s="4">
        <f>IFERROR(SUMPRODUCT(L42:L51,L16:L25)/SUMPRODUCT((L42:L51&lt;&gt;"")*L16:L25),SUMPRODUCT(L28:L51,L2:L25)/SUMPRODUCT((L28:L51&lt;&gt;"")*L2:L25))</f>
        <v>0</v>
      </c>
      <c r="M64" s="4">
        <f>IFERROR(SUMPRODUCT(M42:M51,M16:M25)/SUMPRODUCT((M42:M51&lt;&gt;"")*M16:M25),SUMPRODUCT(M28:M51,M2:M25)/SUMPRODUCT((M28:M51&lt;&gt;"")*M2:M25))</f>
        <v>0</v>
      </c>
      <c r="N64" s="4">
        <f>IFERROR(SUMPRODUCT(N42:N51,N16:N25)/SUMPRODUCT((N42:N51&lt;&gt;"")*N16:N25),SUMPRODUCT(N28:N51,N2:N25)/SUMPRODUCT((N28:N51&lt;&gt;"")*N2:N25))</f>
        <v>0</v>
      </c>
      <c r="O64" s="4">
        <f>IFERROR(SUMPRODUCT(O42:O51,O16:O25)/SUMPRODUCT((O42:O51&lt;&gt;"")*O16:O25),SUMPRODUCT(O28:O51,O2:O25)/SUMPRODUCT((O28:O51&lt;&gt;"")*O2:O25))</f>
        <v>0</v>
      </c>
      <c r="P64" s="4">
        <f>IFERROR(SUMPRODUCT(P42:P51,P16:P25)/SUMPRODUCT((P42:P51&lt;&gt;"")*P16:P25),SUMPRODUCT(P28:P51,P2:P25)/SUMPRODUCT((P28:P51&lt;&gt;"")*P2:P25))</f>
        <v>0</v>
      </c>
      <c r="Q64" s="4">
        <f>IFERROR(SUMPRODUCT(Q42:Q51,Q16:Q25)/SUMPRODUCT((Q42:Q51&lt;&gt;"")*Q16:Q25),SUMPRODUCT(Q28:Q51,Q2:Q25)/SUMPRODUCT((Q28:Q51&lt;&gt;"")*Q2:Q25))</f>
        <v>0</v>
      </c>
      <c r="R64" s="4">
        <f>IFERROR(SUMPRODUCT(R42:R51,R16:R25)/SUMPRODUCT((R42:R51&lt;&gt;"")*R16:R25),SUMPRODUCT(R28:R51,R2:R25)/SUMPRODUCT((R28:R51&lt;&gt;"")*R2:R25))</f>
        <v>0</v>
      </c>
      <c r="S64" s="4">
        <f>IFERROR(SUMPRODUCT(S42:S51,S16:S25)/SUMPRODUCT((S42:S51&lt;&gt;"")*S16:S25),SUMPRODUCT(S28:S51,S2:S25)/SUMPRODUCT((S28:S51&lt;&gt;"")*S2:S25))</f>
        <v>0</v>
      </c>
      <c r="T64" s="4">
        <f>IFERROR(SUMPRODUCT(T42:T51,T16:T25)/SUMPRODUCT((T42:T51&lt;&gt;"")*T16:T25),SUMPRODUCT(T28:T51,T2:T25)/SUMPRODUCT((T28:T51&lt;&gt;"")*T2:T25))</f>
        <v>0</v>
      </c>
      <c r="U64" s="4">
        <f>IFERROR(SUMPRODUCT(U42:U51,U16:U25)/SUMPRODUCT((U42:U51&lt;&gt;"")*U16:U25),SUMPRODUCT(U28:U51,U2:U25)/SUMPRODUCT((U28:U51&lt;&gt;"")*U2:U25))</f>
        <v>0</v>
      </c>
      <c r="V64" s="4">
        <f>IFERROR(SUMPRODUCT(V42:V51,V16:V25)/SUMPRODUCT((V42:V51&lt;&gt;"")*V16:V25),SUMPRODUCT(V28:V51,V2:V25)/SUMPRODUCT((V28:V51&lt;&gt;"")*V2:V25))</f>
        <v>0</v>
      </c>
      <c r="W64" s="4">
        <f>IFERROR(SUMPRODUCT(W42:W51,W16:W25)/SUMPRODUCT((W42:W51&lt;&gt;"")*W16:W25),SUMPRODUCT(W28:W51,W2:W25)/SUMPRODUCT((W28:W51&lt;&gt;"")*W2:W25))</f>
        <v>0</v>
      </c>
      <c r="X64" s="4">
        <f>IFERROR(SUMPRODUCT(X42:X51,X16:X25)/SUMPRODUCT((X42:X51&lt;&gt;"")*X16:X25),SUMPRODUCT(X28:X51,X2:X25)/SUMPRODUCT((X28:X51&lt;&gt;"")*X2:X25))</f>
        <v>0</v>
      </c>
    </row>
    <row r="65" spans="1:24">
      <c r="A65" s="2" t="s">
        <v>85</v>
      </c>
      <c r="B65" s="4">
        <f>IFERROR(TRIMMEAN(B42:B51,2/COUNT(B42:B51)),AVERAGE(B28:B51))</f>
        <v>0</v>
      </c>
      <c r="C65" s="4">
        <f>IFERROR(TRIMMEAN(C42:C51,2/COUNT(C42:C51)),AVERAGE(C28:C51))</f>
        <v>0</v>
      </c>
      <c r="D65" s="4">
        <f>IFERROR(TRIMMEAN(D42:D51,2/COUNT(D42:D51)),AVERAGE(D28:D51))</f>
        <v>0</v>
      </c>
      <c r="E65" s="4">
        <f>IFERROR(TRIMMEAN(E42:E51,2/COUNT(E42:E51)),AVERAGE(E28:E51))</f>
        <v>0</v>
      </c>
      <c r="F65" s="4">
        <f>IFERROR(TRIMMEAN(F42:F51,2/COUNT(F42:F51)),AVERAGE(F28:F51))</f>
        <v>0</v>
      </c>
      <c r="G65" s="4">
        <f>IFERROR(TRIMMEAN(G42:G51,2/COUNT(G42:G51)),AVERAGE(G28:G51))</f>
        <v>0</v>
      </c>
      <c r="H65" s="4">
        <f>IFERROR(TRIMMEAN(H42:H51,2/COUNT(H42:H51)),AVERAGE(H28:H51))</f>
        <v>0</v>
      </c>
      <c r="I65" s="4">
        <f>IFERROR(TRIMMEAN(I42:I51,2/COUNT(I42:I51)),AVERAGE(I28:I51))</f>
        <v>0</v>
      </c>
      <c r="J65" s="4">
        <f>IFERROR(TRIMMEAN(J42:J51,2/COUNT(J42:J51)),AVERAGE(J28:J51))</f>
        <v>0</v>
      </c>
      <c r="K65" s="4">
        <f>IFERROR(TRIMMEAN(K42:K51,2/COUNT(K42:K51)),AVERAGE(K28:K51))</f>
        <v>0</v>
      </c>
      <c r="L65" s="4">
        <f>IFERROR(TRIMMEAN(L42:L51,2/COUNT(L42:L51)),AVERAGE(L28:L51))</f>
        <v>0</v>
      </c>
      <c r="M65" s="4">
        <f>IFERROR(TRIMMEAN(M42:M51,2/COUNT(M42:M51)),AVERAGE(M28:M51))</f>
        <v>0</v>
      </c>
      <c r="N65" s="4">
        <f>IFERROR(TRIMMEAN(N42:N51,2/COUNT(N42:N51)),AVERAGE(N28:N51))</f>
        <v>0</v>
      </c>
      <c r="O65" s="4">
        <f>IFERROR(TRIMMEAN(O42:O51,2/COUNT(O42:O51)),AVERAGE(O28:O51))</f>
        <v>0</v>
      </c>
      <c r="P65" s="4">
        <f>IFERROR(TRIMMEAN(P42:P51,2/COUNT(P42:P51)),AVERAGE(P28:P51))</f>
        <v>0</v>
      </c>
      <c r="Q65" s="4">
        <f>IFERROR(TRIMMEAN(Q42:Q51,2/COUNT(Q42:Q51)),AVERAGE(Q28:Q51))</f>
        <v>0</v>
      </c>
      <c r="R65" s="4">
        <f>IFERROR(TRIMMEAN(R42:R51,2/COUNT(R42:R51)),AVERAGE(R28:R51))</f>
        <v>0</v>
      </c>
      <c r="S65" s="4">
        <f>IFERROR(TRIMMEAN(S42:S51,2/COUNT(S42:S51)),AVERAGE(S28:S51))</f>
        <v>0</v>
      </c>
      <c r="T65" s="4">
        <f>IFERROR(TRIMMEAN(T42:T51,2/COUNT(T42:T51)),AVERAGE(T28:T51))</f>
        <v>0</v>
      </c>
      <c r="U65" s="4">
        <f>IFERROR(TRIMMEAN(U42:U51,2/COUNT(U42:U51)),AVERAGE(U28:U51))</f>
        <v>0</v>
      </c>
      <c r="V65" s="4">
        <f>IFERROR(TRIMMEAN(V42:V51,2/COUNT(V42:V51)),AVERAGE(V28:V51))</f>
        <v>0</v>
      </c>
      <c r="W65" s="4">
        <f>IFERROR(TRIMMEAN(W42:W51,2/COUNT(W42:W51)),AVERAGE(W28:W51))</f>
        <v>0</v>
      </c>
      <c r="X65" s="4">
        <f>IFERROR(TRIMMEAN(X42:X51,2/COUNT(X42:X51)),AVERAGE(X28:X51))</f>
        <v>0</v>
      </c>
    </row>
    <row r="67" spans="1:24">
      <c r="A67" s="1"/>
      <c r="B67" s="1" t="s">
        <v>49</v>
      </c>
      <c r="C67" s="1" t="s">
        <v>50</v>
      </c>
      <c r="D67" s="1" t="s">
        <v>51</v>
      </c>
      <c r="E67" s="1" t="s">
        <v>52</v>
      </c>
      <c r="F67" s="1" t="s">
        <v>53</v>
      </c>
      <c r="G67" s="1" t="s">
        <v>54</v>
      </c>
      <c r="H67" s="1" t="s">
        <v>55</v>
      </c>
      <c r="I67" s="1" t="s">
        <v>56</v>
      </c>
      <c r="J67" s="1" t="s">
        <v>57</v>
      </c>
      <c r="K67" s="1" t="s">
        <v>58</v>
      </c>
      <c r="L67" s="1" t="s">
        <v>59</v>
      </c>
      <c r="M67" s="1" t="s">
        <v>60</v>
      </c>
      <c r="N67" s="1" t="s">
        <v>61</v>
      </c>
      <c r="O67" s="1" t="s">
        <v>62</v>
      </c>
      <c r="P67" s="1" t="s">
        <v>63</v>
      </c>
      <c r="Q67" s="1" t="s">
        <v>64</v>
      </c>
      <c r="R67" s="1" t="s">
        <v>65</v>
      </c>
      <c r="S67" s="1" t="s">
        <v>66</v>
      </c>
      <c r="T67" s="1" t="s">
        <v>67</v>
      </c>
      <c r="U67" s="1" t="s">
        <v>68</v>
      </c>
      <c r="V67" s="1" t="s">
        <v>69</v>
      </c>
      <c r="W67" s="1" t="s">
        <v>70</v>
      </c>
      <c r="X67" s="1" t="s">
        <v>71</v>
      </c>
    </row>
    <row r="68" spans="1:24">
      <c r="A68" s="5" t="s">
        <v>86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>
      <c r="A69" s="5" t="s">
        <v>87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1" spans="1:24">
      <c r="A71" s="8" t="s">
        <v>88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spans="1:24">
      <c r="A72" s="8" t="s">
        <v>89</v>
      </c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4" spans="1:24">
      <c r="A74" s="11" t="s">
        <v>90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spans="1:24">
      <c r="A75" s="11" t="s">
        <v>91</v>
      </c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Y75"/>
  <sheetViews>
    <sheetView workbookViewId="0"/>
  </sheetViews>
  <sheetFormatPr defaultRowHeight="15"/>
  <cols>
    <col min="1" max="1" width="22.7109375" customWidth="1"/>
    <col min="2" max="25" width="12.7109375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2" t="s">
        <v>25</v>
      </c>
      <c r="B2" s="3">
        <v>326044.1288</v>
      </c>
      <c r="C2" s="3">
        <v>1047371.7984</v>
      </c>
      <c r="D2" s="3">
        <v>1545726.656</v>
      </c>
      <c r="E2" s="3">
        <v>1910965.544</v>
      </c>
      <c r="F2" s="3">
        <v>2224220.1096</v>
      </c>
      <c r="G2" s="3">
        <v>2283775.9933</v>
      </c>
      <c r="H2" s="3">
        <v>2261772.9961</v>
      </c>
      <c r="I2" s="3">
        <v>2292314.1748</v>
      </c>
      <c r="J2" s="3">
        <v>2314545.3704</v>
      </c>
      <c r="K2" s="3">
        <v>2342384.5889</v>
      </c>
      <c r="L2" s="3">
        <v>2398200.0136</v>
      </c>
      <c r="M2" s="3">
        <v>2455705.4765</v>
      </c>
      <c r="N2" s="3">
        <v>2495723.8508</v>
      </c>
      <c r="O2" s="3">
        <v>2559116.709</v>
      </c>
      <c r="P2" s="3">
        <v>2614164.5488</v>
      </c>
      <c r="Q2" s="3">
        <v>2694350.0428</v>
      </c>
      <c r="R2" s="3">
        <v>2782412.2292</v>
      </c>
      <c r="S2" s="3">
        <v>2857646.1353</v>
      </c>
      <c r="T2" s="3">
        <v>2967071.854</v>
      </c>
      <c r="U2" s="3">
        <v>2967071.854</v>
      </c>
      <c r="V2" s="3">
        <v>2989162.0372</v>
      </c>
      <c r="W2" s="3">
        <v>3011385.8034</v>
      </c>
      <c r="X2" s="3">
        <v>3030381.2211</v>
      </c>
      <c r="Y2" s="3">
        <v>3042294.6623</v>
      </c>
    </row>
    <row r="3" spans="1:25">
      <c r="A3" s="2" t="s">
        <v>26</v>
      </c>
      <c r="B3" s="3">
        <v>357360.876</v>
      </c>
      <c r="C3" s="3">
        <v>911072.9536</v>
      </c>
      <c r="D3" s="3">
        <v>1220370.0388</v>
      </c>
      <c r="E3" s="3">
        <v>1318345.0604</v>
      </c>
      <c r="F3" s="3">
        <v>1483442.0638</v>
      </c>
      <c r="G3" s="3">
        <v>1621735.0882</v>
      </c>
      <c r="H3" s="3">
        <v>1658328.8102</v>
      </c>
      <c r="I3" s="3">
        <v>1687704.3334</v>
      </c>
      <c r="J3" s="3">
        <v>1729579.7281</v>
      </c>
      <c r="K3" s="3">
        <v>1750198.8871</v>
      </c>
      <c r="L3" s="3">
        <v>1780997.2031</v>
      </c>
      <c r="M3" s="3">
        <v>1814423.608</v>
      </c>
      <c r="N3" s="3">
        <v>1856047.2362</v>
      </c>
      <c r="O3" s="3">
        <v>1903391.04</v>
      </c>
      <c r="P3" s="3">
        <v>1943619.046</v>
      </c>
      <c r="Q3" s="3">
        <v>1981569.4224</v>
      </c>
      <c r="R3" s="3">
        <v>2038029.9204</v>
      </c>
      <c r="S3" s="3">
        <v>2079212.9737</v>
      </c>
      <c r="T3" s="3">
        <v>2112239.6718</v>
      </c>
      <c r="U3" s="3">
        <v>2137830.2787</v>
      </c>
      <c r="V3" s="3">
        <v>2159388.4123</v>
      </c>
      <c r="W3" s="3">
        <v>2180051.1446</v>
      </c>
      <c r="X3" s="3">
        <v>2199646.2281</v>
      </c>
    </row>
    <row r="4" spans="1:25">
      <c r="A4" s="2" t="s">
        <v>27</v>
      </c>
      <c r="B4" s="3">
        <v>463735.1516</v>
      </c>
      <c r="C4" s="3">
        <v>1151781.1896</v>
      </c>
      <c r="D4" s="3">
        <v>1329665.9088</v>
      </c>
      <c r="E4" s="3">
        <v>1449345.2757</v>
      </c>
      <c r="F4" s="3">
        <v>1676909.3456</v>
      </c>
      <c r="G4" s="3">
        <v>1760385.6185</v>
      </c>
      <c r="H4" s="3">
        <v>1763038.7139</v>
      </c>
      <c r="I4" s="3">
        <v>1775400.1197</v>
      </c>
      <c r="J4" s="3">
        <v>1772848.0925</v>
      </c>
      <c r="K4" s="3">
        <v>1777183.1896</v>
      </c>
      <c r="L4" s="3">
        <v>1773811.5984</v>
      </c>
      <c r="M4" s="3">
        <v>1774200.3262</v>
      </c>
      <c r="N4" s="3">
        <v>1774330.2012</v>
      </c>
      <c r="O4" s="3">
        <v>1774330.7158</v>
      </c>
      <c r="P4" s="3">
        <v>1774330.7158</v>
      </c>
      <c r="Q4" s="3">
        <v>1774330.1088</v>
      </c>
      <c r="R4" s="3">
        <v>1778091.5758</v>
      </c>
      <c r="S4" s="3">
        <v>1778091.5758</v>
      </c>
      <c r="T4" s="3">
        <v>1778091.5758</v>
      </c>
      <c r="U4" s="3">
        <v>1778091.5758</v>
      </c>
      <c r="V4" s="3">
        <v>1778091.5758</v>
      </c>
      <c r="W4" s="3">
        <v>1778091.5758</v>
      </c>
    </row>
    <row r="5" spans="1:25">
      <c r="A5" s="2" t="s">
        <v>28</v>
      </c>
      <c r="B5" s="3">
        <v>256887.8516</v>
      </c>
      <c r="C5" s="3">
        <v>625982.6108</v>
      </c>
      <c r="D5" s="3">
        <v>806963.7318</v>
      </c>
      <c r="E5" s="3">
        <v>903626.9918</v>
      </c>
      <c r="F5" s="3">
        <v>1055143.9785</v>
      </c>
      <c r="G5" s="3">
        <v>1059021.0952</v>
      </c>
      <c r="H5" s="3">
        <v>1076244.8971</v>
      </c>
      <c r="I5" s="3">
        <v>1084642.2245</v>
      </c>
      <c r="J5" s="3">
        <v>1104688.4001</v>
      </c>
      <c r="K5" s="3">
        <v>1097915.1176</v>
      </c>
      <c r="L5" s="3">
        <v>1101856.2482</v>
      </c>
      <c r="M5" s="3">
        <v>1108902.1072</v>
      </c>
      <c r="N5" s="3">
        <v>1109362.6476</v>
      </c>
      <c r="O5" s="3">
        <v>1111377.6768</v>
      </c>
      <c r="P5" s="3">
        <v>1112023.7134</v>
      </c>
      <c r="Q5" s="3">
        <v>1122581.0808</v>
      </c>
      <c r="R5" s="3">
        <v>1122581.0808</v>
      </c>
      <c r="S5" s="3">
        <v>1122581.0808</v>
      </c>
      <c r="T5" s="3">
        <v>1122581.0808</v>
      </c>
      <c r="U5" s="3">
        <v>1122614.7306</v>
      </c>
      <c r="V5" s="3">
        <v>1122614.7306</v>
      </c>
    </row>
    <row r="6" spans="1:25">
      <c r="A6" s="2" t="s">
        <v>29</v>
      </c>
      <c r="B6" s="3">
        <v>608992.7608</v>
      </c>
      <c r="C6" s="3">
        <v>1236895.4952</v>
      </c>
      <c r="D6" s="3">
        <v>1567631.4222</v>
      </c>
      <c r="E6" s="3">
        <v>1636425.4164</v>
      </c>
      <c r="F6" s="3">
        <v>1758637.9007</v>
      </c>
      <c r="G6" s="3">
        <v>1795133.3653</v>
      </c>
      <c r="H6" s="3">
        <v>1833000.6993</v>
      </c>
      <c r="I6" s="3">
        <v>1852087.552</v>
      </c>
      <c r="J6" s="3">
        <v>1859809.9304</v>
      </c>
      <c r="K6" s="3">
        <v>1915619.628</v>
      </c>
      <c r="L6" s="3">
        <v>1970034.7988</v>
      </c>
      <c r="M6" s="3">
        <v>2009947.4204</v>
      </c>
      <c r="N6" s="3">
        <v>2075716.2844</v>
      </c>
      <c r="O6" s="3">
        <v>2114878.8058</v>
      </c>
      <c r="P6" s="3">
        <v>2178586.6261</v>
      </c>
      <c r="Q6" s="3">
        <v>2195933.5863</v>
      </c>
      <c r="R6" s="3">
        <v>2238397.7073</v>
      </c>
      <c r="S6" s="3">
        <v>2242149.1321</v>
      </c>
      <c r="T6" s="3">
        <v>2242149.1321</v>
      </c>
      <c r="U6" s="3">
        <v>2242149.1321</v>
      </c>
    </row>
    <row r="7" spans="1:25">
      <c r="A7" s="2" t="s">
        <v>30</v>
      </c>
      <c r="B7" s="3">
        <v>284786.4257</v>
      </c>
      <c r="C7" s="3">
        <v>699582.2055</v>
      </c>
      <c r="D7" s="3">
        <v>893260.3462</v>
      </c>
      <c r="E7" s="3">
        <v>972843.9706</v>
      </c>
      <c r="F7" s="3">
        <v>1032368.8569</v>
      </c>
      <c r="G7" s="3">
        <v>1080435.6828</v>
      </c>
      <c r="H7" s="3">
        <v>1125111.9944</v>
      </c>
      <c r="I7" s="3">
        <v>1132751.238</v>
      </c>
      <c r="J7" s="3">
        <v>1168539.0935</v>
      </c>
      <c r="K7" s="3">
        <v>1216433.672</v>
      </c>
      <c r="L7" s="3">
        <v>1328624.7444</v>
      </c>
      <c r="M7" s="3">
        <v>1365342.6144</v>
      </c>
      <c r="N7" s="3">
        <v>1379576.1499</v>
      </c>
      <c r="O7" s="3">
        <v>1405359.4184</v>
      </c>
      <c r="P7" s="3">
        <v>1414931.5329</v>
      </c>
      <c r="Q7" s="3">
        <v>1426750.1344</v>
      </c>
      <c r="R7" s="3">
        <v>1443114.7447</v>
      </c>
      <c r="S7" s="3">
        <v>1454133.0748</v>
      </c>
      <c r="T7" s="3">
        <v>1462141.0279</v>
      </c>
    </row>
    <row r="8" spans="1:25">
      <c r="A8" s="2" t="s">
        <v>31</v>
      </c>
      <c r="B8" s="3">
        <v>503577.874</v>
      </c>
      <c r="C8" s="3">
        <v>1103237.7506</v>
      </c>
      <c r="D8" s="3">
        <v>1428526.0389</v>
      </c>
      <c r="E8" s="3">
        <v>1819136.8101</v>
      </c>
      <c r="F8" s="3">
        <v>2157661.0559</v>
      </c>
      <c r="G8" s="3">
        <v>2620801.9125</v>
      </c>
      <c r="H8" s="3">
        <v>2924146.5064</v>
      </c>
      <c r="I8" s="3">
        <v>3151184.5969</v>
      </c>
      <c r="J8" s="3">
        <v>3405400.6676</v>
      </c>
      <c r="K8" s="3">
        <v>3694439.2536</v>
      </c>
      <c r="L8" s="3">
        <v>3998197.9776</v>
      </c>
      <c r="M8" s="3">
        <v>4198107.2299</v>
      </c>
      <c r="N8" s="3">
        <v>4370392.0813</v>
      </c>
      <c r="O8" s="3">
        <v>4496731.0472</v>
      </c>
      <c r="P8" s="3">
        <v>4617311.0543</v>
      </c>
      <c r="Q8" s="3">
        <v>4751466.0901</v>
      </c>
      <c r="R8" s="3">
        <v>4781329.5223</v>
      </c>
      <c r="S8" s="3">
        <v>4790693.1532</v>
      </c>
    </row>
    <row r="9" spans="1:25">
      <c r="A9" s="2" t="s">
        <v>32</v>
      </c>
      <c r="B9" s="3">
        <v>353516.7624</v>
      </c>
      <c r="C9" s="3">
        <v>646575.048</v>
      </c>
      <c r="D9" s="3">
        <v>869637.4344</v>
      </c>
      <c r="E9" s="3">
        <v>1188355.7378</v>
      </c>
      <c r="F9" s="3">
        <v>1229852.5392</v>
      </c>
      <c r="G9" s="3">
        <v>1267751.5964</v>
      </c>
      <c r="H9" s="3">
        <v>1276615.5211</v>
      </c>
      <c r="I9" s="3">
        <v>1284777.0756</v>
      </c>
      <c r="J9" s="3">
        <v>1299869.3408</v>
      </c>
      <c r="K9" s="3">
        <v>1317293.3392</v>
      </c>
      <c r="L9" s="3">
        <v>1331381.9562</v>
      </c>
      <c r="M9" s="3">
        <v>1333966.5248</v>
      </c>
      <c r="N9" s="3">
        <v>1337060.2082</v>
      </c>
      <c r="O9" s="3">
        <v>1338579.3845</v>
      </c>
      <c r="P9" s="3">
        <v>1339456.8657</v>
      </c>
      <c r="Q9" s="3">
        <v>1343001.2058</v>
      </c>
      <c r="R9" s="3">
        <v>1378427.9395</v>
      </c>
    </row>
    <row r="10" spans="1:25">
      <c r="A10" s="2" t="s">
        <v>33</v>
      </c>
      <c r="B10" s="3">
        <v>228667.6382</v>
      </c>
      <c r="C10" s="3">
        <v>742247.3016</v>
      </c>
      <c r="D10" s="3">
        <v>811950.8169</v>
      </c>
      <c r="E10" s="3">
        <v>834061.9289000001</v>
      </c>
      <c r="F10" s="3">
        <v>894984.3904</v>
      </c>
      <c r="G10" s="3">
        <v>941084.9331</v>
      </c>
      <c r="H10" s="3">
        <v>969391.356</v>
      </c>
      <c r="I10" s="3">
        <v>1018256.144</v>
      </c>
      <c r="J10" s="3">
        <v>1055610.0612</v>
      </c>
      <c r="K10" s="3">
        <v>1071106.0052</v>
      </c>
      <c r="L10" s="3">
        <v>1081182.3785</v>
      </c>
      <c r="M10" s="3">
        <v>1114205.6456</v>
      </c>
      <c r="N10" s="3">
        <v>1169581.0893</v>
      </c>
      <c r="O10" s="3">
        <v>1169581.0893</v>
      </c>
      <c r="P10" s="3">
        <v>1169581.0893</v>
      </c>
      <c r="Q10" s="3">
        <v>1169581.0893</v>
      </c>
    </row>
    <row r="11" spans="1:25">
      <c r="A11" s="2" t="s">
        <v>34</v>
      </c>
      <c r="B11" s="3">
        <v>243623.1532</v>
      </c>
      <c r="C11" s="3">
        <v>673150.5647</v>
      </c>
      <c r="D11" s="3">
        <v>915252.7733999999</v>
      </c>
      <c r="E11" s="3">
        <v>1076920.2816</v>
      </c>
      <c r="F11" s="3">
        <v>1176984.3356</v>
      </c>
      <c r="G11" s="3">
        <v>1201535.388</v>
      </c>
      <c r="H11" s="3">
        <v>1260309.0524</v>
      </c>
      <c r="I11" s="3">
        <v>1262502.2276</v>
      </c>
      <c r="J11" s="3">
        <v>1266822.057</v>
      </c>
      <c r="K11" s="3">
        <v>1267621.5366</v>
      </c>
      <c r="L11" s="3">
        <v>1268264.0499</v>
      </c>
      <c r="M11" s="3">
        <v>1268337.9475</v>
      </c>
      <c r="N11" s="3">
        <v>1269144.7773</v>
      </c>
      <c r="O11" s="3">
        <v>1270069.2627</v>
      </c>
      <c r="P11" s="3">
        <v>1277672.0721</v>
      </c>
    </row>
    <row r="12" spans="1:25">
      <c r="A12" s="2" t="s">
        <v>35</v>
      </c>
      <c r="B12" s="3">
        <v>364078.0359</v>
      </c>
      <c r="C12" s="3">
        <v>839046.0318</v>
      </c>
      <c r="D12" s="3">
        <v>1308017.8708</v>
      </c>
      <c r="E12" s="3">
        <v>1406826.3913</v>
      </c>
      <c r="F12" s="3">
        <v>1523414.8592</v>
      </c>
      <c r="G12" s="3">
        <v>1658815.0564</v>
      </c>
      <c r="H12" s="3">
        <v>1822167.0208</v>
      </c>
      <c r="I12" s="3">
        <v>1825756.0557</v>
      </c>
      <c r="J12" s="3">
        <v>1834064.2045</v>
      </c>
      <c r="K12" s="3">
        <v>1848125.5322</v>
      </c>
      <c r="L12" s="3">
        <v>1857745.403</v>
      </c>
      <c r="M12" s="3">
        <v>1876941.6374</v>
      </c>
      <c r="N12" s="3">
        <v>1886612.5767</v>
      </c>
      <c r="O12" s="3">
        <v>1892658.2977</v>
      </c>
    </row>
    <row r="13" spans="1:25">
      <c r="A13" s="2" t="s">
        <v>36</v>
      </c>
      <c r="B13" s="3">
        <v>227809.9905</v>
      </c>
      <c r="C13" s="3">
        <v>634577.1655999999</v>
      </c>
      <c r="D13" s="3">
        <v>799343.7148</v>
      </c>
      <c r="E13" s="3">
        <v>951570.1580000001</v>
      </c>
      <c r="F13" s="3">
        <v>961178.1655999999</v>
      </c>
      <c r="G13" s="3">
        <v>967435.7088</v>
      </c>
      <c r="H13" s="3">
        <v>977662.0018</v>
      </c>
      <c r="I13" s="3">
        <v>1016181.6668</v>
      </c>
      <c r="J13" s="3">
        <v>1048240.5835</v>
      </c>
      <c r="K13" s="3">
        <v>1053040.6285</v>
      </c>
      <c r="L13" s="3">
        <v>1084319.7934</v>
      </c>
      <c r="M13" s="3">
        <v>1145575.5199</v>
      </c>
      <c r="N13" s="3">
        <v>1194236.8783</v>
      </c>
    </row>
    <row r="14" spans="1:25">
      <c r="A14" s="2" t="s">
        <v>37</v>
      </c>
      <c r="B14" s="3">
        <v>202558.6</v>
      </c>
      <c r="C14" s="3">
        <v>466110.2601</v>
      </c>
      <c r="D14" s="3">
        <v>544741.4368</v>
      </c>
      <c r="E14" s="3">
        <v>597598.0148</v>
      </c>
      <c r="F14" s="3">
        <v>708646.3136</v>
      </c>
      <c r="G14" s="3">
        <v>706804.6403</v>
      </c>
      <c r="H14" s="3">
        <v>707153.1202</v>
      </c>
      <c r="I14" s="3">
        <v>707153.1202</v>
      </c>
      <c r="J14" s="3">
        <v>708518.7743</v>
      </c>
      <c r="K14" s="3">
        <v>708518.7743</v>
      </c>
      <c r="L14" s="3">
        <v>708529.9909</v>
      </c>
      <c r="M14" s="3">
        <v>708529.9909</v>
      </c>
    </row>
    <row r="15" spans="1:25">
      <c r="A15" s="2" t="s">
        <v>38</v>
      </c>
      <c r="B15" s="3">
        <v>411721.1514</v>
      </c>
      <c r="C15" s="3">
        <v>738237.024</v>
      </c>
      <c r="D15" s="3">
        <v>926318.2924</v>
      </c>
      <c r="E15" s="3">
        <v>1179532.3776</v>
      </c>
      <c r="F15" s="3">
        <v>1258547.8747</v>
      </c>
      <c r="G15" s="3">
        <v>1279437.0107</v>
      </c>
      <c r="H15" s="3">
        <v>1287255.5747</v>
      </c>
      <c r="I15" s="3">
        <v>1291077.2419</v>
      </c>
      <c r="J15" s="3">
        <v>1299245.6846</v>
      </c>
      <c r="K15" s="3">
        <v>1379318.0229</v>
      </c>
      <c r="L15" s="3">
        <v>1389603.6847</v>
      </c>
    </row>
    <row r="16" spans="1:25">
      <c r="A16" s="2" t="s">
        <v>39</v>
      </c>
      <c r="B16" s="3">
        <v>380424.8448</v>
      </c>
      <c r="C16" s="3">
        <v>844695.754</v>
      </c>
      <c r="D16" s="3">
        <v>1420142.9632</v>
      </c>
      <c r="E16" s="3">
        <v>2080874.3633</v>
      </c>
      <c r="F16" s="3">
        <v>2234622.0018</v>
      </c>
      <c r="G16" s="3">
        <v>2488067.8351</v>
      </c>
      <c r="H16" s="3">
        <v>2763681.6553</v>
      </c>
      <c r="I16" s="3">
        <v>2914940.4622</v>
      </c>
      <c r="J16" s="3">
        <v>2956733.3158</v>
      </c>
      <c r="K16" s="3">
        <v>3364231.2985</v>
      </c>
    </row>
    <row r="17" spans="1:24">
      <c r="A17" s="2" t="s">
        <v>40</v>
      </c>
      <c r="B17" s="3">
        <v>339622.8128</v>
      </c>
      <c r="C17" s="3">
        <v>1125902.514</v>
      </c>
      <c r="D17" s="3">
        <v>1591493.1288</v>
      </c>
      <c r="E17" s="3">
        <v>1791123.5232</v>
      </c>
      <c r="F17" s="3">
        <v>1925889.9033</v>
      </c>
      <c r="G17" s="3">
        <v>2122828.5116</v>
      </c>
      <c r="H17" s="3">
        <v>2419166.3463</v>
      </c>
      <c r="I17" s="3">
        <v>2435189.8136</v>
      </c>
      <c r="J17" s="3">
        <v>2462208.6764</v>
      </c>
    </row>
    <row r="18" spans="1:24">
      <c r="A18" s="2" t="s">
        <v>41</v>
      </c>
      <c r="B18" s="3">
        <v>336652.3932</v>
      </c>
      <c r="C18" s="3">
        <v>584790.2939</v>
      </c>
      <c r="D18" s="3">
        <v>630127.1445000001</v>
      </c>
      <c r="E18" s="3">
        <v>710567.1893</v>
      </c>
      <c r="F18" s="3">
        <v>772675.5753</v>
      </c>
      <c r="G18" s="3">
        <v>855730.1436</v>
      </c>
      <c r="H18" s="3">
        <v>1105087.777</v>
      </c>
      <c r="I18" s="3">
        <v>1205811.8289</v>
      </c>
    </row>
    <row r="19" spans="1:24">
      <c r="A19" s="2" t="s">
        <v>42</v>
      </c>
      <c r="B19" s="3">
        <v>345419.169</v>
      </c>
      <c r="C19" s="3">
        <v>993120.1128999999</v>
      </c>
      <c r="D19" s="3">
        <v>1473722.3521</v>
      </c>
      <c r="E19" s="3">
        <v>2024103.1787</v>
      </c>
      <c r="F19" s="3">
        <v>2140405.0822</v>
      </c>
      <c r="G19" s="3">
        <v>2260849.3157</v>
      </c>
      <c r="H19" s="3">
        <v>2395448.4233</v>
      </c>
    </row>
    <row r="20" spans="1:24">
      <c r="A20" s="2" t="s">
        <v>43</v>
      </c>
      <c r="B20" s="3">
        <v>289279.8617</v>
      </c>
      <c r="C20" s="3">
        <v>773667.7694</v>
      </c>
      <c r="D20" s="3">
        <v>1353683.4733</v>
      </c>
      <c r="E20" s="3">
        <v>1600695.7816</v>
      </c>
      <c r="F20" s="3">
        <v>1970840.4806</v>
      </c>
      <c r="G20" s="3">
        <v>2395189.8345</v>
      </c>
    </row>
    <row r="21" spans="1:24">
      <c r="A21" s="2" t="s">
        <v>44</v>
      </c>
      <c r="B21" s="3">
        <v>285916.1353</v>
      </c>
      <c r="C21" s="3">
        <v>730087.9662</v>
      </c>
      <c r="D21" s="3">
        <v>861703.8541</v>
      </c>
      <c r="E21" s="3">
        <v>965936.0494</v>
      </c>
      <c r="F21" s="3">
        <v>976050.8626</v>
      </c>
    </row>
    <row r="22" spans="1:24">
      <c r="A22" s="2" t="s">
        <v>45</v>
      </c>
      <c r="B22" s="3">
        <v>273712.105</v>
      </c>
      <c r="C22" s="3">
        <v>546911.8753</v>
      </c>
      <c r="D22" s="3">
        <v>911379.2328</v>
      </c>
      <c r="E22" s="3">
        <v>974979.4133</v>
      </c>
    </row>
    <row r="23" spans="1:24">
      <c r="A23" s="2" t="s">
        <v>46</v>
      </c>
      <c r="B23" s="3">
        <v>307340.8838</v>
      </c>
      <c r="C23" s="3">
        <v>746644.5651</v>
      </c>
      <c r="D23" s="3">
        <v>791103.7101</v>
      </c>
    </row>
    <row r="24" spans="1:24">
      <c r="A24" s="2" t="s">
        <v>47</v>
      </c>
      <c r="B24" s="3">
        <v>367267.232</v>
      </c>
      <c r="C24" s="3">
        <v>1199242.0684</v>
      </c>
    </row>
    <row r="25" spans="1:24">
      <c r="A25" s="2" t="s">
        <v>48</v>
      </c>
      <c r="B25" s="3">
        <v>355247.7609</v>
      </c>
    </row>
    <row r="27" spans="1:24">
      <c r="A27" s="1" t="s">
        <v>0</v>
      </c>
      <c r="B27" s="1" t="s">
        <v>49</v>
      </c>
      <c r="C27" s="1" t="s">
        <v>50</v>
      </c>
      <c r="D27" s="1" t="s">
        <v>51</v>
      </c>
      <c r="E27" s="1" t="s">
        <v>52</v>
      </c>
      <c r="F27" s="1" t="s">
        <v>53</v>
      </c>
      <c r="G27" s="1" t="s">
        <v>54</v>
      </c>
      <c r="H27" s="1" t="s">
        <v>55</v>
      </c>
      <c r="I27" s="1" t="s">
        <v>56</v>
      </c>
      <c r="J27" s="1" t="s">
        <v>57</v>
      </c>
      <c r="K27" s="1" t="s">
        <v>58</v>
      </c>
      <c r="L27" s="1" t="s">
        <v>59</v>
      </c>
      <c r="M27" s="1" t="s">
        <v>60</v>
      </c>
      <c r="N27" s="1" t="s">
        <v>61</v>
      </c>
      <c r="O27" s="1" t="s">
        <v>62</v>
      </c>
      <c r="P27" s="1" t="s">
        <v>63</v>
      </c>
      <c r="Q27" s="1" t="s">
        <v>64</v>
      </c>
      <c r="R27" s="1" t="s">
        <v>65</v>
      </c>
      <c r="S27" s="1" t="s">
        <v>66</v>
      </c>
      <c r="T27" s="1" t="s">
        <v>67</v>
      </c>
      <c r="U27" s="1" t="s">
        <v>68</v>
      </c>
      <c r="V27" s="1" t="s">
        <v>69</v>
      </c>
      <c r="W27" s="1" t="s">
        <v>70</v>
      </c>
      <c r="X27" s="1" t="s">
        <v>71</v>
      </c>
    </row>
    <row r="28" spans="1:24">
      <c r="A28" s="2" t="s">
        <v>25</v>
      </c>
      <c r="B28" s="4">
        <f>IFERROR(IF(B2="","",B2/A2),"")</f>
        <v>3.2124</v>
      </c>
      <c r="C28" s="4">
        <f>IFERROR(IF(C2="","",C2/B2),"")</f>
        <v>1.4758</v>
      </c>
      <c r="D28" s="4">
        <f>IFERROR(IF(D2="","",D2/C2),"")</f>
        <v>1.2363</v>
      </c>
      <c r="E28" s="4">
        <f>IFERROR(IF(E2="","",E2/D2),"")</f>
        <v>1.1639</v>
      </c>
      <c r="F28" s="4">
        <f>IFERROR(IF(F2="","",F2/E2),"")</f>
        <v>1.0268</v>
      </c>
      <c r="G28" s="4">
        <f>IFERROR(IF(G2="","",G2/F2),"")</f>
        <v>0.9904</v>
      </c>
      <c r="H28" s="4">
        <f>IFERROR(IF(H2="","",H2/G2),"")</f>
        <v>1.0135</v>
      </c>
      <c r="I28" s="4">
        <f>IFERROR(IF(I2="","",I2/H2),"")</f>
        <v>1.0097</v>
      </c>
      <c r="J28" s="4">
        <f>IFERROR(IF(J2="","",J2/I2),"")</f>
        <v>1.012</v>
      </c>
      <c r="K28" s="4">
        <f>IFERROR(IF(K2="","",K2/J2),"")</f>
        <v>1.0238</v>
      </c>
      <c r="L28" s="4">
        <f>IFERROR(IF(L2="","",L2/K2),"")</f>
        <v>1.024</v>
      </c>
      <c r="M28" s="4">
        <f>IFERROR(IF(M2="","",M2/L2),"")</f>
        <v>1.0163</v>
      </c>
      <c r="N28" s="4">
        <f>IFERROR(IF(N2="","",N2/M2),"")</f>
        <v>1.0254</v>
      </c>
      <c r="O28" s="4">
        <f>IFERROR(IF(O2="","",O2/N2),"")</f>
        <v>1.0215</v>
      </c>
      <c r="P28" s="4">
        <f>IFERROR(IF(P2="","",P2/O2),"")</f>
        <v>1.0307</v>
      </c>
      <c r="Q28" s="4">
        <f>IFERROR(IF(Q2="","",Q2/P2),"")</f>
        <v>1.0327</v>
      </c>
      <c r="R28" s="4">
        <f>IFERROR(IF(R2="","",R2/Q2),"")</f>
        <v>1.027</v>
      </c>
      <c r="S28" s="4">
        <f>IFERROR(IF(S2="","",S2/R2),"")</f>
        <v>1.0383</v>
      </c>
      <c r="T28" s="4">
        <f>IFERROR(IF(T2="","",T2/S2),"")</f>
        <v>1.0</v>
      </c>
      <c r="U28" s="4">
        <f>IFERROR(IF(U2="","",U2/T2),"")</f>
        <v>1.0074</v>
      </c>
      <c r="V28" s="4">
        <f>IFERROR(IF(V2="","",V2/U2),"")</f>
        <v>1.0074</v>
      </c>
      <c r="W28" s="4">
        <f>IFERROR(IF(W2="","",W2/V2),"")</f>
        <v>1.0063</v>
      </c>
      <c r="X28" s="4">
        <f>IFERROR(IF(X2="","",X2/W2),"")</f>
        <v>1.0039</v>
      </c>
    </row>
    <row r="29" spans="1:24">
      <c r="A29" s="2" t="s">
        <v>26</v>
      </c>
      <c r="B29" s="4">
        <f>IFERROR(IF(B3="","",B3/A3),"")</f>
        <v>2.5494</v>
      </c>
      <c r="C29" s="4">
        <f>IFERROR(IF(C3="","",C3/B3),"")</f>
        <v>1.3395</v>
      </c>
      <c r="D29" s="4">
        <f>IFERROR(IF(D3="","",D3/C3),"")</f>
        <v>1.0803</v>
      </c>
      <c r="E29" s="4">
        <f>IFERROR(IF(E3="","",E3/D3),"")</f>
        <v>1.1252</v>
      </c>
      <c r="F29" s="4">
        <f>IFERROR(IF(F3="","",F3/E3),"")</f>
        <v>1.0932</v>
      </c>
      <c r="G29" s="4">
        <f>IFERROR(IF(G3="","",G3/F3),"")</f>
        <v>1.0226</v>
      </c>
      <c r="H29" s="4">
        <f>IFERROR(IF(H3="","",H3/G3),"")</f>
        <v>1.0177</v>
      </c>
      <c r="I29" s="4">
        <f>IFERROR(IF(I3="","",I3/H3),"")</f>
        <v>1.0248</v>
      </c>
      <c r="J29" s="4">
        <f>IFERROR(IF(J3="","",J3/I3),"")</f>
        <v>1.0119</v>
      </c>
      <c r="K29" s="4">
        <f>IFERROR(IF(K3="","",K3/J3),"")</f>
        <v>1.0176</v>
      </c>
      <c r="L29" s="4">
        <f>IFERROR(IF(L3="","",L3/K3),"")</f>
        <v>1.0188</v>
      </c>
      <c r="M29" s="4">
        <f>IFERROR(IF(M3="","",M3/L3),"")</f>
        <v>1.0229</v>
      </c>
      <c r="N29" s="4">
        <f>IFERROR(IF(N3="","",N3/M3),"")</f>
        <v>1.0255</v>
      </c>
      <c r="O29" s="4">
        <f>IFERROR(IF(O3="","",O3/N3),"")</f>
        <v>1.0211</v>
      </c>
      <c r="P29" s="4">
        <f>IFERROR(IF(P3="","",P3/O3),"")</f>
        <v>1.0195</v>
      </c>
      <c r="Q29" s="4">
        <f>IFERROR(IF(Q3="","",Q3/P3),"")</f>
        <v>1.0285</v>
      </c>
      <c r="R29" s="4">
        <f>IFERROR(IF(R3="","",R3/Q3),"")</f>
        <v>1.0202</v>
      </c>
      <c r="S29" s="4">
        <f>IFERROR(IF(S3="","",S3/R3),"")</f>
        <v>1.0159</v>
      </c>
      <c r="T29" s="4">
        <f>IFERROR(IF(T3="","",T3/S3),"")</f>
        <v>1.0121</v>
      </c>
      <c r="U29" s="4">
        <f>IFERROR(IF(U3="","",U3/T3),"")</f>
        <v>1.0101</v>
      </c>
      <c r="V29" s="4">
        <f>IFERROR(IF(V3="","",V3/U3),"")</f>
        <v>1.0096</v>
      </c>
      <c r="W29" s="4">
        <f>IFERROR(IF(W3="","",W3/V3),"")</f>
        <v>1.009</v>
      </c>
      <c r="X29" s="4">
        <f>IFERROR(IF(X3="","",X3/W3),"")</f>
        <v>0</v>
      </c>
    </row>
    <row r="30" spans="1:24">
      <c r="A30" s="2" t="s">
        <v>27</v>
      </c>
      <c r="B30" s="4">
        <f>IFERROR(IF(B4="","",B4/A4),"")</f>
        <v>2.4837</v>
      </c>
      <c r="C30" s="4">
        <f>IFERROR(IF(C4="","",C4/B4),"")</f>
        <v>1.1544</v>
      </c>
      <c r="D30" s="4">
        <f>IFERROR(IF(D4="","",D4/C4),"")</f>
        <v>1.09</v>
      </c>
      <c r="E30" s="4">
        <f>IFERROR(IF(E4="","",E4/D4),"")</f>
        <v>1.157</v>
      </c>
      <c r="F30" s="4">
        <f>IFERROR(IF(F4="","",F4/E4),"")</f>
        <v>1.0498</v>
      </c>
      <c r="G30" s="4">
        <f>IFERROR(IF(G4="","",G4/F4),"")</f>
        <v>1.0015</v>
      </c>
      <c r="H30" s="4">
        <f>IFERROR(IF(H4="","",H4/G4),"")</f>
        <v>1.007</v>
      </c>
      <c r="I30" s="4">
        <f>IFERROR(IF(I4="","",I4/H4),"")</f>
        <v>0.9986</v>
      </c>
      <c r="J30" s="4">
        <f>IFERROR(IF(J4="","",J4/I4),"")</f>
        <v>1.0024</v>
      </c>
      <c r="K30" s="4">
        <f>IFERROR(IF(K4="","",K4/J4),"")</f>
        <v>0.9981</v>
      </c>
      <c r="L30" s="4">
        <f>IFERROR(IF(L4="","",L4/K4),"")</f>
        <v>1.0002</v>
      </c>
      <c r="M30" s="4">
        <f>IFERROR(IF(M4="","",M4/L4),"")</f>
        <v>1.0001</v>
      </c>
      <c r="N30" s="4">
        <f>IFERROR(IF(N4="","",N4/M4),"")</f>
        <v>1.0</v>
      </c>
      <c r="O30" s="4">
        <f>IFERROR(IF(O4="","",O4/N4),"")</f>
        <v>1.0</v>
      </c>
      <c r="P30" s="4">
        <f>IFERROR(IF(P4="","",P4/O4),"")</f>
        <v>1.0</v>
      </c>
      <c r="Q30" s="4">
        <f>IFERROR(IF(Q4="","",Q4/P4),"")</f>
        <v>1.0021</v>
      </c>
      <c r="R30" s="4">
        <f>IFERROR(IF(R4="","",R4/Q4),"")</f>
        <v>1.0</v>
      </c>
      <c r="S30" s="4">
        <f>IFERROR(IF(S4="","",S4/R4),"")</f>
        <v>1.0</v>
      </c>
      <c r="T30" s="4">
        <f>IFERROR(IF(T4="","",T4/S4),"")</f>
        <v>1.0</v>
      </c>
      <c r="U30" s="4">
        <f>IFERROR(IF(U4="","",U4/T4),"")</f>
        <v>1.0</v>
      </c>
      <c r="V30" s="4">
        <f>IFERROR(IF(V4="","",V4/U4),"")</f>
        <v>1.0</v>
      </c>
      <c r="W30" s="4">
        <f>IFERROR(IF(W4="","",W4/V4),"")</f>
        <v>0</v>
      </c>
      <c r="X30" s="4">
        <f>IFERROR(IF(X4="","",X4/W4),"")</f>
        <v>0</v>
      </c>
    </row>
    <row r="31" spans="1:24">
      <c r="A31" s="2" t="s">
        <v>28</v>
      </c>
      <c r="B31" s="4">
        <f>IFERROR(IF(B5="","",B5/A5),"")</f>
        <v>2.4368</v>
      </c>
      <c r="C31" s="4">
        <f>IFERROR(IF(C5="","",C5/B5),"")</f>
        <v>1.2891</v>
      </c>
      <c r="D31" s="4">
        <f>IFERROR(IF(D5="","",D5/C5),"")</f>
        <v>1.1198</v>
      </c>
      <c r="E31" s="4">
        <f>IFERROR(IF(E5="","",E5/D5),"")</f>
        <v>1.1677</v>
      </c>
      <c r="F31" s="4">
        <f>IFERROR(IF(F5="","",F5/E5),"")</f>
        <v>1.0037</v>
      </c>
      <c r="G31" s="4">
        <f>IFERROR(IF(G5="","",G5/F5),"")</f>
        <v>1.0163</v>
      </c>
      <c r="H31" s="4">
        <f>IFERROR(IF(H5="","",H5/G5),"")</f>
        <v>1.0078</v>
      </c>
      <c r="I31" s="4">
        <f>IFERROR(IF(I5="","",I5/H5),"")</f>
        <v>1.0185</v>
      </c>
      <c r="J31" s="4">
        <f>IFERROR(IF(J5="","",J5/I5),"")</f>
        <v>0.9939</v>
      </c>
      <c r="K31" s="4">
        <f>IFERROR(IF(K5="","",K5/J5),"")</f>
        <v>1.0036</v>
      </c>
      <c r="L31" s="4">
        <f>IFERROR(IF(L5="","",L5/K5),"")</f>
        <v>1.0064</v>
      </c>
      <c r="M31" s="4">
        <f>IFERROR(IF(M5="","",M5/L5),"")</f>
        <v>1.0004</v>
      </c>
      <c r="N31" s="4">
        <f>IFERROR(IF(N5="","",N5/M5),"")</f>
        <v>1.0018</v>
      </c>
      <c r="O31" s="4">
        <f>IFERROR(IF(O5="","",O5/N5),"")</f>
        <v>1.0006</v>
      </c>
      <c r="P31" s="4">
        <f>IFERROR(IF(P5="","",P5/O5),"")</f>
        <v>1.0095</v>
      </c>
      <c r="Q31" s="4">
        <f>IFERROR(IF(Q5="","",Q5/P5),"")</f>
        <v>1.0</v>
      </c>
      <c r="R31" s="4">
        <f>IFERROR(IF(R5="","",R5/Q5),"")</f>
        <v>1.0</v>
      </c>
      <c r="S31" s="4">
        <f>IFERROR(IF(S5="","",S5/R5),"")</f>
        <v>1.0</v>
      </c>
      <c r="T31" s="4">
        <f>IFERROR(IF(T5="","",T5/S5),"")</f>
        <v>1.0</v>
      </c>
      <c r="U31" s="4">
        <f>IFERROR(IF(U5="","",U5/T5),"")</f>
        <v>1.0</v>
      </c>
      <c r="V31" s="4">
        <f>IFERROR(IF(V5="","",V5/U5),"")</f>
        <v>0</v>
      </c>
      <c r="W31" s="4">
        <f>IFERROR(IF(W5="","",W5/V5),"")</f>
        <v>0</v>
      </c>
      <c r="X31" s="4">
        <f>IFERROR(IF(X5="","",X5/W5),"")</f>
        <v>0</v>
      </c>
    </row>
    <row r="32" spans="1:24">
      <c r="A32" s="2" t="s">
        <v>29</v>
      </c>
      <c r="B32" s="4">
        <f>IFERROR(IF(B6="","",B6/A6),"")</f>
        <v>2.0311</v>
      </c>
      <c r="C32" s="4">
        <f>IFERROR(IF(C6="","",C6/B6),"")</f>
        <v>1.2674</v>
      </c>
      <c r="D32" s="4">
        <f>IFERROR(IF(D6="","",D6/C6),"")</f>
        <v>1.0439</v>
      </c>
      <c r="E32" s="4">
        <f>IFERROR(IF(E6="","",E6/D6),"")</f>
        <v>1.0747</v>
      </c>
      <c r="F32" s="4">
        <f>IFERROR(IF(F6="","",F6/E6),"")</f>
        <v>1.0208</v>
      </c>
      <c r="G32" s="4">
        <f>IFERROR(IF(G6="","",G6/F6),"")</f>
        <v>1.0211</v>
      </c>
      <c r="H32" s="4">
        <f>IFERROR(IF(H6="","",H6/G6),"")</f>
        <v>1.0104</v>
      </c>
      <c r="I32" s="4">
        <f>IFERROR(IF(I6="","",I6/H6),"")</f>
        <v>1.0042</v>
      </c>
      <c r="J32" s="4">
        <f>IFERROR(IF(J6="","",J6/I6),"")</f>
        <v>1.03</v>
      </c>
      <c r="K32" s="4">
        <f>IFERROR(IF(K6="","",K6/J6),"")</f>
        <v>1.0284</v>
      </c>
      <c r="L32" s="4">
        <f>IFERROR(IF(L6="","",L6/K6),"")</f>
        <v>1.0203</v>
      </c>
      <c r="M32" s="4">
        <f>IFERROR(IF(M6="","",M6/L6),"")</f>
        <v>1.0327</v>
      </c>
      <c r="N32" s="4">
        <f>IFERROR(IF(N6="","",N6/M6),"")</f>
        <v>1.0189</v>
      </c>
      <c r="O32" s="4">
        <f>IFERROR(IF(O6="","",O6/N6),"")</f>
        <v>1.0301</v>
      </c>
      <c r="P32" s="4">
        <f>IFERROR(IF(P6="","",P6/O6),"")</f>
        <v>1.008</v>
      </c>
      <c r="Q32" s="4">
        <f>IFERROR(IF(Q6="","",Q6/P6),"")</f>
        <v>1.0193</v>
      </c>
      <c r="R32" s="4">
        <f>IFERROR(IF(R6="","",R6/Q6),"")</f>
        <v>1.0017</v>
      </c>
      <c r="S32" s="4">
        <f>IFERROR(IF(S6="","",S6/R6),"")</f>
        <v>1.0</v>
      </c>
      <c r="T32" s="4">
        <f>IFERROR(IF(T6="","",T6/S6),"")</f>
        <v>1.0</v>
      </c>
      <c r="U32" s="4">
        <f>IFERROR(IF(U6="","",U6/T6),"")</f>
        <v>0</v>
      </c>
      <c r="V32" s="4">
        <f>IFERROR(IF(V6="","",V6/U6),"")</f>
        <v>0</v>
      </c>
      <c r="W32" s="4">
        <f>IFERROR(IF(W6="","",W6/V6),"")</f>
        <v>0</v>
      </c>
      <c r="X32" s="4">
        <f>IFERROR(IF(X6="","",X6/W6),"")</f>
        <v>0</v>
      </c>
    </row>
    <row r="33" spans="1:24">
      <c r="A33" s="2" t="s">
        <v>30</v>
      </c>
      <c r="B33" s="4">
        <f>IFERROR(IF(B7="","",B7/A7),"")</f>
        <v>2.4565</v>
      </c>
      <c r="C33" s="4">
        <f>IFERROR(IF(C7="","",C7/B7),"")</f>
        <v>1.2768</v>
      </c>
      <c r="D33" s="4">
        <f>IFERROR(IF(D7="","",D7/C7),"")</f>
        <v>1.0891</v>
      </c>
      <c r="E33" s="4">
        <f>IFERROR(IF(E7="","",E7/D7),"")</f>
        <v>1.0612</v>
      </c>
      <c r="F33" s="4">
        <f>IFERROR(IF(F7="","",F7/E7),"")</f>
        <v>1.0466</v>
      </c>
      <c r="G33" s="4">
        <f>IFERROR(IF(G7="","",G7/F7),"")</f>
        <v>1.0414</v>
      </c>
      <c r="H33" s="4">
        <f>IFERROR(IF(H7="","",H7/G7),"")</f>
        <v>1.0068</v>
      </c>
      <c r="I33" s="4">
        <f>IFERROR(IF(I7="","",I7/H7),"")</f>
        <v>1.0316</v>
      </c>
      <c r="J33" s="4">
        <f>IFERROR(IF(J7="","",J7/I7),"")</f>
        <v>1.041</v>
      </c>
      <c r="K33" s="4">
        <f>IFERROR(IF(K7="","",K7/J7),"")</f>
        <v>1.0922</v>
      </c>
      <c r="L33" s="4">
        <f>IFERROR(IF(L7="","",L7/K7),"")</f>
        <v>1.0276</v>
      </c>
      <c r="M33" s="4">
        <f>IFERROR(IF(M7="","",M7/L7),"")</f>
        <v>1.0104</v>
      </c>
      <c r="N33" s="4">
        <f>IFERROR(IF(N7="","",N7/M7),"")</f>
        <v>1.0187</v>
      </c>
      <c r="O33" s="4">
        <f>IFERROR(IF(O7="","",O7/N7),"")</f>
        <v>1.0068</v>
      </c>
      <c r="P33" s="4">
        <f>IFERROR(IF(P7="","",P7/O7),"")</f>
        <v>1.0084</v>
      </c>
      <c r="Q33" s="4">
        <f>IFERROR(IF(Q7="","",Q7/P7),"")</f>
        <v>1.0115</v>
      </c>
      <c r="R33" s="4">
        <f>IFERROR(IF(R7="","",R7/Q7),"")</f>
        <v>1.0076</v>
      </c>
      <c r="S33" s="4">
        <f>IFERROR(IF(S7="","",S7/R7),"")</f>
        <v>1.0055</v>
      </c>
      <c r="T33" s="4">
        <f>IFERROR(IF(T7="","",T7/S7),"")</f>
        <v>0</v>
      </c>
      <c r="U33" s="4">
        <f>IFERROR(IF(U7="","",U7/T7),"")</f>
        <v>0</v>
      </c>
      <c r="V33" s="4">
        <f>IFERROR(IF(V7="","",V7/U7),"")</f>
        <v>0</v>
      </c>
      <c r="W33" s="4">
        <f>IFERROR(IF(W7="","",W7/V7),"")</f>
        <v>0</v>
      </c>
      <c r="X33" s="4">
        <f>IFERROR(IF(X7="","",X7/W7),"")</f>
        <v>0</v>
      </c>
    </row>
    <row r="34" spans="1:24">
      <c r="A34" s="2" t="s">
        <v>31</v>
      </c>
      <c r="B34" s="4">
        <f>IFERROR(IF(B8="","",B8/A8),"")</f>
        <v>2.1908</v>
      </c>
      <c r="C34" s="4">
        <f>IFERROR(IF(C8="","",C8/B8),"")</f>
        <v>1.2948</v>
      </c>
      <c r="D34" s="4">
        <f>IFERROR(IF(D8="","",D8/C8),"")</f>
        <v>1.2734</v>
      </c>
      <c r="E34" s="4">
        <f>IFERROR(IF(E8="","",E8/D8),"")</f>
        <v>1.1861</v>
      </c>
      <c r="F34" s="4">
        <f>IFERROR(IF(F8="","",F8/E8),"")</f>
        <v>1.2146</v>
      </c>
      <c r="G34" s="4">
        <f>IFERROR(IF(G8="","",G8/F8),"")</f>
        <v>1.1157</v>
      </c>
      <c r="H34" s="4">
        <f>IFERROR(IF(H8="","",H8/G8),"")</f>
        <v>1.0776</v>
      </c>
      <c r="I34" s="4">
        <f>IFERROR(IF(I8="","",I8/H8),"")</f>
        <v>1.0807</v>
      </c>
      <c r="J34" s="4">
        <f>IFERROR(IF(J8="","",J8/I8),"")</f>
        <v>1.0849</v>
      </c>
      <c r="K34" s="4">
        <f>IFERROR(IF(K8="","",K8/J8),"")</f>
        <v>1.0822</v>
      </c>
      <c r="L34" s="4">
        <f>IFERROR(IF(L8="","",L8/K8),"")</f>
        <v>1.05</v>
      </c>
      <c r="M34" s="4">
        <f>IFERROR(IF(M8="","",M8/L8),"")</f>
        <v>1.041</v>
      </c>
      <c r="N34" s="4">
        <f>IFERROR(IF(N8="","",N8/M8),"")</f>
        <v>1.0289</v>
      </c>
      <c r="O34" s="4">
        <f>IFERROR(IF(O8="","",O8/N8),"")</f>
        <v>1.0268</v>
      </c>
      <c r="P34" s="4">
        <f>IFERROR(IF(P8="","",P8/O8),"")</f>
        <v>1.0291</v>
      </c>
      <c r="Q34" s="4">
        <f>IFERROR(IF(Q8="","",Q8/P8),"")</f>
        <v>1.0063</v>
      </c>
      <c r="R34" s="4">
        <f>IFERROR(IF(R8="","",R8/Q8),"")</f>
        <v>1.002</v>
      </c>
      <c r="S34" s="4">
        <f>IFERROR(IF(S8="","",S8/R8),"")</f>
        <v>0</v>
      </c>
      <c r="T34" s="4">
        <f>IFERROR(IF(T8="","",T8/S8),"")</f>
        <v>0</v>
      </c>
      <c r="U34" s="4">
        <f>IFERROR(IF(U8="","",U8/T8),"")</f>
        <v>0</v>
      </c>
      <c r="V34" s="4">
        <f>IFERROR(IF(V8="","",V8/U8),"")</f>
        <v>0</v>
      </c>
      <c r="W34" s="4">
        <f>IFERROR(IF(W8="","",W8/V8),"")</f>
        <v>0</v>
      </c>
      <c r="X34" s="4">
        <f>IFERROR(IF(X8="","",X8/W8),"")</f>
        <v>0</v>
      </c>
    </row>
    <row r="35" spans="1:24">
      <c r="A35" s="2" t="s">
        <v>32</v>
      </c>
      <c r="B35" s="4">
        <f>IFERROR(IF(B9="","",B9/A9),"")</f>
        <v>1.829</v>
      </c>
      <c r="C35" s="4">
        <f>IFERROR(IF(C9="","",C9/B9),"")</f>
        <v>1.345</v>
      </c>
      <c r="D35" s="4">
        <f>IFERROR(IF(D9="","",D9/C9),"")</f>
        <v>1.3665</v>
      </c>
      <c r="E35" s="4">
        <f>IFERROR(IF(E9="","",E9/D9),"")</f>
        <v>1.0349</v>
      </c>
      <c r="F35" s="4">
        <f>IFERROR(IF(F9="","",F9/E9),"")</f>
        <v>1.0308</v>
      </c>
      <c r="G35" s="4">
        <f>IFERROR(IF(G9="","",G9/F9),"")</f>
        <v>1.007</v>
      </c>
      <c r="H35" s="4">
        <f>IFERROR(IF(H9="","",H9/G9),"")</f>
        <v>1.0064</v>
      </c>
      <c r="I35" s="4">
        <f>IFERROR(IF(I9="","",I9/H9),"")</f>
        <v>1.0117</v>
      </c>
      <c r="J35" s="4">
        <f>IFERROR(IF(J9="","",J9/I9),"")</f>
        <v>1.0134</v>
      </c>
      <c r="K35" s="4">
        <f>IFERROR(IF(K9="","",K9/J9),"")</f>
        <v>1.0107</v>
      </c>
      <c r="L35" s="4">
        <f>IFERROR(IF(L9="","",L9/K9),"")</f>
        <v>1.0019</v>
      </c>
      <c r="M35" s="4">
        <f>IFERROR(IF(M9="","",M9/L9),"")</f>
        <v>1.0023</v>
      </c>
      <c r="N35" s="4">
        <f>IFERROR(IF(N9="","",N9/M9),"")</f>
        <v>1.0011</v>
      </c>
      <c r="O35" s="4">
        <f>IFERROR(IF(O9="","",O9/N9),"")</f>
        <v>1.0007</v>
      </c>
      <c r="P35" s="4">
        <f>IFERROR(IF(P9="","",P9/O9),"")</f>
        <v>1.0026</v>
      </c>
      <c r="Q35" s="4">
        <f>IFERROR(IF(Q9="","",Q9/P9),"")</f>
        <v>1.0264</v>
      </c>
      <c r="R35" s="4">
        <f>IFERROR(IF(R9="","",R9/Q9),"")</f>
        <v>0</v>
      </c>
      <c r="S35" s="4">
        <f>IFERROR(IF(S9="","",S9/R9),"")</f>
        <v>0</v>
      </c>
      <c r="T35" s="4">
        <f>IFERROR(IF(T9="","",T9/S9),"")</f>
        <v>0</v>
      </c>
      <c r="U35" s="4">
        <f>IFERROR(IF(U9="","",U9/T9),"")</f>
        <v>0</v>
      </c>
      <c r="V35" s="4">
        <f>IFERROR(IF(V9="","",V9/U9),"")</f>
        <v>0</v>
      </c>
      <c r="W35" s="4">
        <f>IFERROR(IF(W9="","",W9/V9),"")</f>
        <v>0</v>
      </c>
      <c r="X35" s="4">
        <f>IFERROR(IF(X9="","",X9/W9),"")</f>
        <v>0</v>
      </c>
    </row>
    <row r="36" spans="1:24">
      <c r="A36" s="2" t="s">
        <v>33</v>
      </c>
      <c r="B36" s="4">
        <f>IFERROR(IF(B10="","",B10/A10),"")</f>
        <v>3.246</v>
      </c>
      <c r="C36" s="4">
        <f>IFERROR(IF(C10="","",C10/B10),"")</f>
        <v>1.0939</v>
      </c>
      <c r="D36" s="4">
        <f>IFERROR(IF(D10="","",D10/C10),"")</f>
        <v>1.0272</v>
      </c>
      <c r="E36" s="4">
        <f>IFERROR(IF(E10="","",E10/D10),"")</f>
        <v>1.073</v>
      </c>
      <c r="F36" s="4">
        <f>IFERROR(IF(F10="","",F10/E10),"")</f>
        <v>1.0515</v>
      </c>
      <c r="G36" s="4">
        <f>IFERROR(IF(G10="","",G10/F10),"")</f>
        <v>1.0301</v>
      </c>
      <c r="H36" s="4">
        <f>IFERROR(IF(H10="","",H10/G10),"")</f>
        <v>1.0504</v>
      </c>
      <c r="I36" s="4">
        <f>IFERROR(IF(I10="","",I10/H10),"")</f>
        <v>1.0367</v>
      </c>
      <c r="J36" s="4">
        <f>IFERROR(IF(J10="","",J10/I10),"")</f>
        <v>1.0147</v>
      </c>
      <c r="K36" s="4">
        <f>IFERROR(IF(K10="","",K10/J10),"")</f>
        <v>1.0094</v>
      </c>
      <c r="L36" s="4">
        <f>IFERROR(IF(L10="","",L10/K10),"")</f>
        <v>1.0305</v>
      </c>
      <c r="M36" s="4">
        <f>IFERROR(IF(M10="","",M10/L10),"")</f>
        <v>1.0497</v>
      </c>
      <c r="N36" s="4">
        <f>IFERROR(IF(N10="","",N10/M10),"")</f>
        <v>1.0</v>
      </c>
      <c r="O36" s="4">
        <f>IFERROR(IF(O10="","",O10/N10),"")</f>
        <v>1.0</v>
      </c>
      <c r="P36" s="4">
        <f>IFERROR(IF(P10="","",P10/O10),"")</f>
        <v>1.0</v>
      </c>
      <c r="Q36" s="4">
        <f>IFERROR(IF(Q10="","",Q10/P10),"")</f>
        <v>0</v>
      </c>
      <c r="R36" s="4">
        <f>IFERROR(IF(R10="","",R10/Q10),"")</f>
        <v>0</v>
      </c>
      <c r="S36" s="4">
        <f>IFERROR(IF(S10="","",S10/R10),"")</f>
        <v>0</v>
      </c>
      <c r="T36" s="4">
        <f>IFERROR(IF(T10="","",T10/S10),"")</f>
        <v>0</v>
      </c>
      <c r="U36" s="4">
        <f>IFERROR(IF(U10="","",U10/T10),"")</f>
        <v>0</v>
      </c>
      <c r="V36" s="4">
        <f>IFERROR(IF(V10="","",V10/U10),"")</f>
        <v>0</v>
      </c>
      <c r="W36" s="4">
        <f>IFERROR(IF(W10="","",W10/V10),"")</f>
        <v>0</v>
      </c>
      <c r="X36" s="4">
        <f>IFERROR(IF(X10="","",X10/W10),"")</f>
        <v>0</v>
      </c>
    </row>
    <row r="37" spans="1:24">
      <c r="A37" s="2" t="s">
        <v>34</v>
      </c>
      <c r="B37" s="4">
        <f>IFERROR(IF(B11="","",B11/A11),"")</f>
        <v>2.7631</v>
      </c>
      <c r="C37" s="4">
        <f>IFERROR(IF(C11="","",C11/B11),"")</f>
        <v>1.3597</v>
      </c>
      <c r="D37" s="4">
        <f>IFERROR(IF(D11="","",D11/C11),"")</f>
        <v>1.1766</v>
      </c>
      <c r="E37" s="4">
        <f>IFERROR(IF(E11="","",E11/D11),"")</f>
        <v>1.0929</v>
      </c>
      <c r="F37" s="4">
        <f>IFERROR(IF(F11="","",F11/E11),"")</f>
        <v>1.0209</v>
      </c>
      <c r="G37" s="4">
        <f>IFERROR(IF(G11="","",G11/F11),"")</f>
        <v>1.0489</v>
      </c>
      <c r="H37" s="4">
        <f>IFERROR(IF(H11="","",H11/G11),"")</f>
        <v>1.0017</v>
      </c>
      <c r="I37" s="4">
        <f>IFERROR(IF(I11="","",I11/H11),"")</f>
        <v>1.0034</v>
      </c>
      <c r="J37" s="4">
        <f>IFERROR(IF(J11="","",J11/I11),"")</f>
        <v>1.0006</v>
      </c>
      <c r="K37" s="4">
        <f>IFERROR(IF(K11="","",K11/J11),"")</f>
        <v>1.0005</v>
      </c>
      <c r="L37" s="4">
        <f>IFERROR(IF(L11="","",L11/K11),"")</f>
        <v>1.0001</v>
      </c>
      <c r="M37" s="4">
        <f>IFERROR(IF(M11="","",M11/L11),"")</f>
        <v>1.0006</v>
      </c>
      <c r="N37" s="4">
        <f>IFERROR(IF(N11="","",N11/M11),"")</f>
        <v>1.0007</v>
      </c>
      <c r="O37" s="4">
        <f>IFERROR(IF(O11="","",O11/N11),"")</f>
        <v>1.006</v>
      </c>
      <c r="P37" s="4">
        <f>IFERROR(IF(P11="","",P11/O11),"")</f>
        <v>0</v>
      </c>
      <c r="Q37" s="4">
        <f>IFERROR(IF(Q11="","",Q11/P11),"")</f>
        <v>0</v>
      </c>
      <c r="R37" s="4">
        <f>IFERROR(IF(R11="","",R11/Q11),"")</f>
        <v>0</v>
      </c>
      <c r="S37" s="4">
        <f>IFERROR(IF(S11="","",S11/R11),"")</f>
        <v>0</v>
      </c>
      <c r="T37" s="4">
        <f>IFERROR(IF(T11="","",T11/S11),"")</f>
        <v>0</v>
      </c>
      <c r="U37" s="4">
        <f>IFERROR(IF(U11="","",U11/T11),"")</f>
        <v>0</v>
      </c>
      <c r="V37" s="4">
        <f>IFERROR(IF(V11="","",V11/U11),"")</f>
        <v>0</v>
      </c>
      <c r="W37" s="4">
        <f>IFERROR(IF(W11="","",W11/V11),"")</f>
        <v>0</v>
      </c>
      <c r="X37" s="4">
        <f>IFERROR(IF(X11="","",X11/W11),"")</f>
        <v>0</v>
      </c>
    </row>
    <row r="38" spans="1:24">
      <c r="A38" s="2" t="s">
        <v>35</v>
      </c>
      <c r="B38" s="4">
        <f>IFERROR(IF(B12="","",B12/A12),"")</f>
        <v>2.3046</v>
      </c>
      <c r="C38" s="4">
        <f>IFERROR(IF(C12="","",C12/B12),"")</f>
        <v>1.5589</v>
      </c>
      <c r="D38" s="4">
        <f>IFERROR(IF(D12="","",D12/C12),"")</f>
        <v>1.0755</v>
      </c>
      <c r="E38" s="4">
        <f>IFERROR(IF(E12="","",E12/D12),"")</f>
        <v>1.0829</v>
      </c>
      <c r="F38" s="4">
        <f>IFERROR(IF(F12="","",F12/E12),"")</f>
        <v>1.0889</v>
      </c>
      <c r="G38" s="4">
        <f>IFERROR(IF(G12="","",G12/F12),"")</f>
        <v>1.0985</v>
      </c>
      <c r="H38" s="4">
        <f>IFERROR(IF(H12="","",H12/G12),"")</f>
        <v>1.002</v>
      </c>
      <c r="I38" s="4">
        <f>IFERROR(IF(I12="","",I12/H12),"")</f>
        <v>1.0046</v>
      </c>
      <c r="J38" s="4">
        <f>IFERROR(IF(J12="","",J12/I12),"")</f>
        <v>1.0077</v>
      </c>
      <c r="K38" s="4">
        <f>IFERROR(IF(K12="","",K12/J12),"")</f>
        <v>1.0052</v>
      </c>
      <c r="L38" s="4">
        <f>IFERROR(IF(L12="","",L12/K12),"")</f>
        <v>1.0103</v>
      </c>
      <c r="M38" s="4">
        <f>IFERROR(IF(M12="","",M12/L12),"")</f>
        <v>1.0052</v>
      </c>
      <c r="N38" s="4">
        <f>IFERROR(IF(N12="","",N12/M12),"")</f>
        <v>1.0032</v>
      </c>
      <c r="O38" s="4">
        <f>IFERROR(IF(O12="","",O12/N12),"")</f>
        <v>0</v>
      </c>
      <c r="P38" s="4">
        <f>IFERROR(IF(P12="","",P12/O12),"")</f>
        <v>0</v>
      </c>
      <c r="Q38" s="4">
        <f>IFERROR(IF(Q12="","",Q12/P12),"")</f>
        <v>0</v>
      </c>
      <c r="R38" s="4">
        <f>IFERROR(IF(R12="","",R12/Q12),"")</f>
        <v>0</v>
      </c>
      <c r="S38" s="4">
        <f>IFERROR(IF(S12="","",S12/R12),"")</f>
        <v>0</v>
      </c>
      <c r="T38" s="4">
        <f>IFERROR(IF(T12="","",T12/S12),"")</f>
        <v>0</v>
      </c>
      <c r="U38" s="4">
        <f>IFERROR(IF(U12="","",U12/T12),"")</f>
        <v>0</v>
      </c>
      <c r="V38" s="4">
        <f>IFERROR(IF(V12="","",V12/U12),"")</f>
        <v>0</v>
      </c>
      <c r="W38" s="4">
        <f>IFERROR(IF(W12="","",W12/V12),"")</f>
        <v>0</v>
      </c>
      <c r="X38" s="4">
        <f>IFERROR(IF(X12="","",X12/W12),"")</f>
        <v>0</v>
      </c>
    </row>
    <row r="39" spans="1:24">
      <c r="A39" s="2" t="s">
        <v>36</v>
      </c>
      <c r="B39" s="4">
        <f>IFERROR(IF(B13="","",B13/A13),"")</f>
        <v>2.7856</v>
      </c>
      <c r="C39" s="4">
        <f>IFERROR(IF(C13="","",C13/B13),"")</f>
        <v>1.2596</v>
      </c>
      <c r="D39" s="4">
        <f>IFERROR(IF(D13="","",D13/C13),"")</f>
        <v>1.1904</v>
      </c>
      <c r="E39" s="4">
        <f>IFERROR(IF(E13="","",E13/D13),"")</f>
        <v>1.0101</v>
      </c>
      <c r="F39" s="4">
        <f>IFERROR(IF(F13="","",F13/E13),"")</f>
        <v>1.0065</v>
      </c>
      <c r="G39" s="4">
        <f>IFERROR(IF(G13="","",G13/F13),"")</f>
        <v>1.0106</v>
      </c>
      <c r="H39" s="4">
        <f>IFERROR(IF(H13="","",H13/G13),"")</f>
        <v>1.0394</v>
      </c>
      <c r="I39" s="4">
        <f>IFERROR(IF(I13="","",I13/H13),"")</f>
        <v>1.0315</v>
      </c>
      <c r="J39" s="4">
        <f>IFERROR(IF(J13="","",J13/I13),"")</f>
        <v>1.0046</v>
      </c>
      <c r="K39" s="4">
        <f>IFERROR(IF(K13="","",K13/J13),"")</f>
        <v>1.0297</v>
      </c>
      <c r="L39" s="4">
        <f>IFERROR(IF(L13="","",L13/K13),"")</f>
        <v>1.0565</v>
      </c>
      <c r="M39" s="4">
        <f>IFERROR(IF(M13="","",M13/L13),"")</f>
        <v>1.0425</v>
      </c>
      <c r="N39" s="4">
        <f>IFERROR(IF(N13="","",N13/M13),"")</f>
        <v>0</v>
      </c>
      <c r="O39" s="4">
        <f>IFERROR(IF(O13="","",O13/N13),"")</f>
        <v>0</v>
      </c>
      <c r="P39" s="4">
        <f>IFERROR(IF(P13="","",P13/O13),"")</f>
        <v>0</v>
      </c>
      <c r="Q39" s="4">
        <f>IFERROR(IF(Q13="","",Q13/P13),"")</f>
        <v>0</v>
      </c>
      <c r="R39" s="4">
        <f>IFERROR(IF(R13="","",R13/Q13),"")</f>
        <v>0</v>
      </c>
      <c r="S39" s="4">
        <f>IFERROR(IF(S13="","",S13/R13),"")</f>
        <v>0</v>
      </c>
      <c r="T39" s="4">
        <f>IFERROR(IF(T13="","",T13/S13),"")</f>
        <v>0</v>
      </c>
      <c r="U39" s="4">
        <f>IFERROR(IF(U13="","",U13/T13),"")</f>
        <v>0</v>
      </c>
      <c r="V39" s="4">
        <f>IFERROR(IF(V13="","",V13/U13),"")</f>
        <v>0</v>
      </c>
      <c r="W39" s="4">
        <f>IFERROR(IF(W13="","",W13/V13),"")</f>
        <v>0</v>
      </c>
      <c r="X39" s="4">
        <f>IFERROR(IF(X13="","",X13/W13),"")</f>
        <v>0</v>
      </c>
    </row>
    <row r="40" spans="1:24">
      <c r="A40" s="2" t="s">
        <v>37</v>
      </c>
      <c r="B40" s="4">
        <f>IFERROR(IF(B14="","",B14/A14),"")</f>
        <v>2.3011</v>
      </c>
      <c r="C40" s="4">
        <f>IFERROR(IF(C14="","",C14/B14),"")</f>
        <v>1.1687</v>
      </c>
      <c r="D40" s="4">
        <f>IFERROR(IF(D14="","",D14/C14),"")</f>
        <v>1.097</v>
      </c>
      <c r="E40" s="4">
        <f>IFERROR(IF(E14="","",E14/D14),"")</f>
        <v>1.1858</v>
      </c>
      <c r="F40" s="4">
        <f>IFERROR(IF(F14="","",F14/E14),"")</f>
        <v>0.9974</v>
      </c>
      <c r="G40" s="4">
        <f>IFERROR(IF(G14="","",G14/F14),"")</f>
        <v>1.0005</v>
      </c>
      <c r="H40" s="4">
        <f>IFERROR(IF(H14="","",H14/G14),"")</f>
        <v>1.0</v>
      </c>
      <c r="I40" s="4">
        <f>IFERROR(IF(I14="","",I14/H14),"")</f>
        <v>1.0019</v>
      </c>
      <c r="J40" s="4">
        <f>IFERROR(IF(J14="","",J14/I14),"")</f>
        <v>1.0</v>
      </c>
      <c r="K40" s="4">
        <f>IFERROR(IF(K14="","",K14/J14),"")</f>
        <v>1.0</v>
      </c>
      <c r="L40" s="4">
        <f>IFERROR(IF(L14="","",L14/K14),"")</f>
        <v>1.0</v>
      </c>
      <c r="M40" s="4">
        <f>IFERROR(IF(M14="","",M14/L14),"")</f>
        <v>0</v>
      </c>
      <c r="N40" s="4">
        <f>IFERROR(IF(N14="","",N14/M14),"")</f>
        <v>0</v>
      </c>
      <c r="O40" s="4">
        <f>IFERROR(IF(O14="","",O14/N14),"")</f>
        <v>0</v>
      </c>
      <c r="P40" s="4">
        <f>IFERROR(IF(P14="","",P14/O14),"")</f>
        <v>0</v>
      </c>
      <c r="Q40" s="4">
        <f>IFERROR(IF(Q14="","",Q14/P14),"")</f>
        <v>0</v>
      </c>
      <c r="R40" s="4">
        <f>IFERROR(IF(R14="","",R14/Q14),"")</f>
        <v>0</v>
      </c>
      <c r="S40" s="4">
        <f>IFERROR(IF(S14="","",S14/R14),"")</f>
        <v>0</v>
      </c>
      <c r="T40" s="4">
        <f>IFERROR(IF(T14="","",T14/S14),"")</f>
        <v>0</v>
      </c>
      <c r="U40" s="4">
        <f>IFERROR(IF(U14="","",U14/T14),"")</f>
        <v>0</v>
      </c>
      <c r="V40" s="4">
        <f>IFERROR(IF(V14="","",V14/U14),"")</f>
        <v>0</v>
      </c>
      <c r="W40" s="4">
        <f>IFERROR(IF(W14="","",W14/V14),"")</f>
        <v>0</v>
      </c>
      <c r="X40" s="4">
        <f>IFERROR(IF(X14="","",X14/W14),"")</f>
        <v>0</v>
      </c>
    </row>
    <row r="41" spans="1:24">
      <c r="A41" s="2" t="s">
        <v>38</v>
      </c>
      <c r="B41" s="4">
        <f>IFERROR(IF(B15="","",B15/A15),"")</f>
        <v>1.7931</v>
      </c>
      <c r="C41" s="4">
        <f>IFERROR(IF(C15="","",C15/B15),"")</f>
        <v>1.2548</v>
      </c>
      <c r="D41" s="4">
        <f>IFERROR(IF(D15="","",D15/C15),"")</f>
        <v>1.2734</v>
      </c>
      <c r="E41" s="4">
        <f>IFERROR(IF(E15="","",E15/D15),"")</f>
        <v>1.067</v>
      </c>
      <c r="F41" s="4">
        <f>IFERROR(IF(F15="","",F15/E15),"")</f>
        <v>1.0166</v>
      </c>
      <c r="G41" s="4">
        <f>IFERROR(IF(G15="","",G15/F15),"")</f>
        <v>1.0061</v>
      </c>
      <c r="H41" s="4">
        <f>IFERROR(IF(H15="","",H15/G15),"")</f>
        <v>1.003</v>
      </c>
      <c r="I41" s="4">
        <f>IFERROR(IF(I15="","",I15/H15),"")</f>
        <v>1.0063</v>
      </c>
      <c r="J41" s="4">
        <f>IFERROR(IF(J15="","",J15/I15),"")</f>
        <v>1.0616</v>
      </c>
      <c r="K41" s="4">
        <f>IFERROR(IF(K15="","",K15/J15),"")</f>
        <v>1.0075</v>
      </c>
      <c r="L41" s="4">
        <f>IFERROR(IF(L15="","",L15/K15),"")</f>
        <v>0</v>
      </c>
      <c r="M41" s="4">
        <f>IFERROR(IF(M15="","",M15/L15),"")</f>
        <v>0</v>
      </c>
      <c r="N41" s="4">
        <f>IFERROR(IF(N15="","",N15/M15),"")</f>
        <v>0</v>
      </c>
      <c r="O41" s="4">
        <f>IFERROR(IF(O15="","",O15/N15),"")</f>
        <v>0</v>
      </c>
      <c r="P41" s="4">
        <f>IFERROR(IF(P15="","",P15/O15),"")</f>
        <v>0</v>
      </c>
      <c r="Q41" s="4">
        <f>IFERROR(IF(Q15="","",Q15/P15),"")</f>
        <v>0</v>
      </c>
      <c r="R41" s="4">
        <f>IFERROR(IF(R15="","",R15/Q15),"")</f>
        <v>0</v>
      </c>
      <c r="S41" s="4">
        <f>IFERROR(IF(S15="","",S15/R15),"")</f>
        <v>0</v>
      </c>
      <c r="T41" s="4">
        <f>IFERROR(IF(T15="","",T15/S15),"")</f>
        <v>0</v>
      </c>
      <c r="U41" s="4">
        <f>IFERROR(IF(U15="","",U15/T15),"")</f>
        <v>0</v>
      </c>
      <c r="V41" s="4">
        <f>IFERROR(IF(V15="","",V15/U15),"")</f>
        <v>0</v>
      </c>
      <c r="W41" s="4">
        <f>IFERROR(IF(W15="","",W15/V15),"")</f>
        <v>0</v>
      </c>
      <c r="X41" s="4">
        <f>IFERROR(IF(X15="","",X15/W15),"")</f>
        <v>0</v>
      </c>
    </row>
    <row r="42" spans="1:24">
      <c r="A42" s="2" t="s">
        <v>39</v>
      </c>
      <c r="B42" s="4">
        <f>IFERROR(IF(B16="","",B16/A16),"")</f>
        <v>2.2204</v>
      </c>
      <c r="C42" s="4">
        <f>IFERROR(IF(C16="","",C16/B16),"")</f>
        <v>1.6812</v>
      </c>
      <c r="D42" s="4">
        <f>IFERROR(IF(D16="","",D16/C16),"")</f>
        <v>1.4653</v>
      </c>
      <c r="E42" s="4">
        <f>IFERROR(IF(E16="","",E16/D16),"")</f>
        <v>1.0739</v>
      </c>
      <c r="F42" s="4">
        <f>IFERROR(IF(F16="","",F16/E16),"")</f>
        <v>1.1134</v>
      </c>
      <c r="G42" s="4">
        <f>IFERROR(IF(G16="","",G16/F16),"")</f>
        <v>1.1108</v>
      </c>
      <c r="H42" s="4">
        <f>IFERROR(IF(H16="","",H16/G16),"")</f>
        <v>1.0547</v>
      </c>
      <c r="I42" s="4">
        <f>IFERROR(IF(I16="","",I16/H16),"")</f>
        <v>1.0143</v>
      </c>
      <c r="J42" s="4">
        <f>IFERROR(IF(J16="","",J16/I16),"")</f>
        <v>1.1378</v>
      </c>
      <c r="K42" s="4">
        <f>IFERROR(IF(K16="","",K16/J16),"")</f>
        <v>0</v>
      </c>
      <c r="L42" s="4">
        <f>IFERROR(IF(L16="","",L16/K16),"")</f>
        <v>0</v>
      </c>
      <c r="M42" s="4">
        <f>IFERROR(IF(M16="","",M16/L16),"")</f>
        <v>0</v>
      </c>
      <c r="N42" s="4">
        <f>IFERROR(IF(N16="","",N16/M16),"")</f>
        <v>0</v>
      </c>
      <c r="O42" s="4">
        <f>IFERROR(IF(O16="","",O16/N16),"")</f>
        <v>0</v>
      </c>
      <c r="P42" s="4">
        <f>IFERROR(IF(P16="","",P16/O16),"")</f>
        <v>0</v>
      </c>
      <c r="Q42" s="4">
        <f>IFERROR(IF(Q16="","",Q16/P16),"")</f>
        <v>0</v>
      </c>
      <c r="R42" s="4">
        <f>IFERROR(IF(R16="","",R16/Q16),"")</f>
        <v>0</v>
      </c>
      <c r="S42" s="4">
        <f>IFERROR(IF(S16="","",S16/R16),"")</f>
        <v>0</v>
      </c>
      <c r="T42" s="4">
        <f>IFERROR(IF(T16="","",T16/S16),"")</f>
        <v>0</v>
      </c>
      <c r="U42" s="4">
        <f>IFERROR(IF(U16="","",U16/T16),"")</f>
        <v>0</v>
      </c>
      <c r="V42" s="4">
        <f>IFERROR(IF(V16="","",V16/U16),"")</f>
        <v>0</v>
      </c>
      <c r="W42" s="4">
        <f>IFERROR(IF(W16="","",W16/V16),"")</f>
        <v>0</v>
      </c>
      <c r="X42" s="4">
        <f>IFERROR(IF(X16="","",X16/W16),"")</f>
        <v>0</v>
      </c>
    </row>
    <row r="43" spans="1:24">
      <c r="A43" s="2" t="s">
        <v>40</v>
      </c>
      <c r="B43" s="4">
        <f>IFERROR(IF(B17="","",B17/A17),"")</f>
        <v>3.3152</v>
      </c>
      <c r="C43" s="4">
        <f>IFERROR(IF(C17="","",C17/B17),"")</f>
        <v>1.4135</v>
      </c>
      <c r="D43" s="4">
        <f>IFERROR(IF(D17="","",D17/C17),"")</f>
        <v>1.1254</v>
      </c>
      <c r="E43" s="4">
        <f>IFERROR(IF(E17="","",E17/D17),"")</f>
        <v>1.0752</v>
      </c>
      <c r="F43" s="4">
        <f>IFERROR(IF(F17="","",F17/E17),"")</f>
        <v>1.1023</v>
      </c>
      <c r="G43" s="4">
        <f>IFERROR(IF(G17="","",G17/F17),"")</f>
        <v>1.1396</v>
      </c>
      <c r="H43" s="4">
        <f>IFERROR(IF(H17="","",H17/G17),"")</f>
        <v>1.0066</v>
      </c>
      <c r="I43" s="4">
        <f>IFERROR(IF(I17="","",I17/H17),"")</f>
        <v>1.0111</v>
      </c>
      <c r="J43" s="4">
        <f>IFERROR(IF(J17="","",J17/I17),"")</f>
        <v>0</v>
      </c>
      <c r="K43" s="4">
        <f>IFERROR(IF(K17="","",K17/J17),"")</f>
        <v>0</v>
      </c>
      <c r="L43" s="4">
        <f>IFERROR(IF(L17="","",L17/K17),"")</f>
        <v>0</v>
      </c>
      <c r="M43" s="4">
        <f>IFERROR(IF(M17="","",M17/L17),"")</f>
        <v>0</v>
      </c>
      <c r="N43" s="4">
        <f>IFERROR(IF(N17="","",N17/M17),"")</f>
        <v>0</v>
      </c>
      <c r="O43" s="4">
        <f>IFERROR(IF(O17="","",O17/N17),"")</f>
        <v>0</v>
      </c>
      <c r="P43" s="4">
        <f>IFERROR(IF(P17="","",P17/O17),"")</f>
        <v>0</v>
      </c>
      <c r="Q43" s="4">
        <f>IFERROR(IF(Q17="","",Q17/P17),"")</f>
        <v>0</v>
      </c>
      <c r="R43" s="4">
        <f>IFERROR(IF(R17="","",R17/Q17),"")</f>
        <v>0</v>
      </c>
      <c r="S43" s="4">
        <f>IFERROR(IF(S17="","",S17/R17),"")</f>
        <v>0</v>
      </c>
      <c r="T43" s="4">
        <f>IFERROR(IF(T17="","",T17/S17),"")</f>
        <v>0</v>
      </c>
      <c r="U43" s="4">
        <f>IFERROR(IF(U17="","",U17/T17),"")</f>
        <v>0</v>
      </c>
      <c r="V43" s="4">
        <f>IFERROR(IF(V17="","",V17/U17),"")</f>
        <v>0</v>
      </c>
      <c r="W43" s="4">
        <f>IFERROR(IF(W17="","",W17/V17),"")</f>
        <v>0</v>
      </c>
      <c r="X43" s="4">
        <f>IFERROR(IF(X17="","",X17/W17),"")</f>
        <v>0</v>
      </c>
    </row>
    <row r="44" spans="1:24">
      <c r="A44" s="2" t="s">
        <v>41</v>
      </c>
      <c r="B44" s="4">
        <f>IFERROR(IF(B18="","",B18/A18),"")</f>
        <v>1.7371</v>
      </c>
      <c r="C44" s="4">
        <f>IFERROR(IF(C18="","",C18/B18),"")</f>
        <v>1.0775</v>
      </c>
      <c r="D44" s="4">
        <f>IFERROR(IF(D18="","",D18/C18),"")</f>
        <v>1.1277</v>
      </c>
      <c r="E44" s="4">
        <f>IFERROR(IF(E18="","",E18/D18),"")</f>
        <v>1.0874</v>
      </c>
      <c r="F44" s="4">
        <f>IFERROR(IF(F18="","",F18/E18),"")</f>
        <v>1.1075</v>
      </c>
      <c r="G44" s="4">
        <f>IFERROR(IF(G18="","",G18/F18),"")</f>
        <v>1.2914</v>
      </c>
      <c r="H44" s="4">
        <f>IFERROR(IF(H18="","",H18/G18),"")</f>
        <v>1.0911</v>
      </c>
      <c r="I44" s="4">
        <f>IFERROR(IF(I18="","",I18/H18),"")</f>
        <v>0</v>
      </c>
      <c r="J44" s="4">
        <f>IFERROR(IF(J18="","",J18/I18),"")</f>
        <v>0</v>
      </c>
      <c r="K44" s="4">
        <f>IFERROR(IF(K18="","",K18/J18),"")</f>
        <v>0</v>
      </c>
      <c r="L44" s="4">
        <f>IFERROR(IF(L18="","",L18/K18),"")</f>
        <v>0</v>
      </c>
      <c r="M44" s="4">
        <f>IFERROR(IF(M18="","",M18/L18),"")</f>
        <v>0</v>
      </c>
      <c r="N44" s="4">
        <f>IFERROR(IF(N18="","",N18/M18),"")</f>
        <v>0</v>
      </c>
      <c r="O44" s="4">
        <f>IFERROR(IF(O18="","",O18/N18),"")</f>
        <v>0</v>
      </c>
      <c r="P44" s="4">
        <f>IFERROR(IF(P18="","",P18/O18),"")</f>
        <v>0</v>
      </c>
      <c r="Q44" s="4">
        <f>IFERROR(IF(Q18="","",Q18/P18),"")</f>
        <v>0</v>
      </c>
      <c r="R44" s="4">
        <f>IFERROR(IF(R18="","",R18/Q18),"")</f>
        <v>0</v>
      </c>
      <c r="S44" s="4">
        <f>IFERROR(IF(S18="","",S18/R18),"")</f>
        <v>0</v>
      </c>
      <c r="T44" s="4">
        <f>IFERROR(IF(T18="","",T18/S18),"")</f>
        <v>0</v>
      </c>
      <c r="U44" s="4">
        <f>IFERROR(IF(U18="","",U18/T18),"")</f>
        <v>0</v>
      </c>
      <c r="V44" s="4">
        <f>IFERROR(IF(V18="","",V18/U18),"")</f>
        <v>0</v>
      </c>
      <c r="W44" s="4">
        <f>IFERROR(IF(W18="","",W18/V18),"")</f>
        <v>0</v>
      </c>
      <c r="X44" s="4">
        <f>IFERROR(IF(X18="","",X18/W18),"")</f>
        <v>0</v>
      </c>
    </row>
    <row r="45" spans="1:24">
      <c r="A45" s="2" t="s">
        <v>42</v>
      </c>
      <c r="B45" s="4">
        <f>IFERROR(IF(B19="","",B19/A19),"")</f>
        <v>2.8751</v>
      </c>
      <c r="C45" s="4">
        <f>IFERROR(IF(C19="","",C19/B19),"")</f>
        <v>1.4839</v>
      </c>
      <c r="D45" s="4">
        <f>IFERROR(IF(D19="","",D19/C19),"")</f>
        <v>1.3735</v>
      </c>
      <c r="E45" s="4">
        <f>IFERROR(IF(E19="","",E19/D19),"")</f>
        <v>1.0575</v>
      </c>
      <c r="F45" s="4">
        <f>IFERROR(IF(F19="","",F19/E19),"")</f>
        <v>1.0563</v>
      </c>
      <c r="G45" s="4">
        <f>IFERROR(IF(G19="","",G19/F19),"")</f>
        <v>1.0595</v>
      </c>
      <c r="H45" s="4">
        <f>IFERROR(IF(H19="","",H19/G19),"")</f>
        <v>0</v>
      </c>
      <c r="I45" s="4">
        <f>IFERROR(IF(I19="","",I19/H19),"")</f>
        <v>0</v>
      </c>
      <c r="J45" s="4">
        <f>IFERROR(IF(J19="","",J19/I19),"")</f>
        <v>0</v>
      </c>
      <c r="K45" s="4">
        <f>IFERROR(IF(K19="","",K19/J19),"")</f>
        <v>0</v>
      </c>
      <c r="L45" s="4">
        <f>IFERROR(IF(L19="","",L19/K19),"")</f>
        <v>0</v>
      </c>
      <c r="M45" s="4">
        <f>IFERROR(IF(M19="","",M19/L19),"")</f>
        <v>0</v>
      </c>
      <c r="N45" s="4">
        <f>IFERROR(IF(N19="","",N19/M19),"")</f>
        <v>0</v>
      </c>
      <c r="O45" s="4">
        <f>IFERROR(IF(O19="","",O19/N19),"")</f>
        <v>0</v>
      </c>
      <c r="P45" s="4">
        <f>IFERROR(IF(P19="","",P19/O19),"")</f>
        <v>0</v>
      </c>
      <c r="Q45" s="4">
        <f>IFERROR(IF(Q19="","",Q19/P19),"")</f>
        <v>0</v>
      </c>
      <c r="R45" s="4">
        <f>IFERROR(IF(R19="","",R19/Q19),"")</f>
        <v>0</v>
      </c>
      <c r="S45" s="4">
        <f>IFERROR(IF(S19="","",S19/R19),"")</f>
        <v>0</v>
      </c>
      <c r="T45" s="4">
        <f>IFERROR(IF(T19="","",T19/S19),"")</f>
        <v>0</v>
      </c>
      <c r="U45" s="4">
        <f>IFERROR(IF(U19="","",U19/T19),"")</f>
        <v>0</v>
      </c>
      <c r="V45" s="4">
        <f>IFERROR(IF(V19="","",V19/U19),"")</f>
        <v>0</v>
      </c>
      <c r="W45" s="4">
        <f>IFERROR(IF(W19="","",W19/V19),"")</f>
        <v>0</v>
      </c>
      <c r="X45" s="4">
        <f>IFERROR(IF(X19="","",X19/W19),"")</f>
        <v>0</v>
      </c>
    </row>
    <row r="46" spans="1:24">
      <c r="A46" s="2" t="s">
        <v>43</v>
      </c>
      <c r="B46" s="4">
        <f>IFERROR(IF(B20="","",B20/A20),"")</f>
        <v>2.6745</v>
      </c>
      <c r="C46" s="4">
        <f>IFERROR(IF(C20="","",C20/B20),"")</f>
        <v>1.7497</v>
      </c>
      <c r="D46" s="4">
        <f>IFERROR(IF(D20="","",D20/C20),"")</f>
        <v>1.1825</v>
      </c>
      <c r="E46" s="4">
        <f>IFERROR(IF(E20="","",E20/D20),"")</f>
        <v>1.2312</v>
      </c>
      <c r="F46" s="4">
        <f>IFERROR(IF(F20="","",F20/E20),"")</f>
        <v>1.2153</v>
      </c>
      <c r="G46" s="4">
        <f>IFERROR(IF(G20="","",G20/F20),"")</f>
        <v>0</v>
      </c>
      <c r="H46" s="4">
        <f>IFERROR(IF(H20="","",H20/G20),"")</f>
        <v>0</v>
      </c>
      <c r="I46" s="4">
        <f>IFERROR(IF(I20="","",I20/H20),"")</f>
        <v>0</v>
      </c>
      <c r="J46" s="4">
        <f>IFERROR(IF(J20="","",J20/I20),"")</f>
        <v>0</v>
      </c>
      <c r="K46" s="4">
        <f>IFERROR(IF(K20="","",K20/J20),"")</f>
        <v>0</v>
      </c>
      <c r="L46" s="4">
        <f>IFERROR(IF(L20="","",L20/K20),"")</f>
        <v>0</v>
      </c>
      <c r="M46" s="4">
        <f>IFERROR(IF(M20="","",M20/L20),"")</f>
        <v>0</v>
      </c>
      <c r="N46" s="4">
        <f>IFERROR(IF(N20="","",N20/M20),"")</f>
        <v>0</v>
      </c>
      <c r="O46" s="4">
        <f>IFERROR(IF(O20="","",O20/N20),"")</f>
        <v>0</v>
      </c>
      <c r="P46" s="4">
        <f>IFERROR(IF(P20="","",P20/O20),"")</f>
        <v>0</v>
      </c>
      <c r="Q46" s="4">
        <f>IFERROR(IF(Q20="","",Q20/P20),"")</f>
        <v>0</v>
      </c>
      <c r="R46" s="4">
        <f>IFERROR(IF(R20="","",R20/Q20),"")</f>
        <v>0</v>
      </c>
      <c r="S46" s="4">
        <f>IFERROR(IF(S20="","",S20/R20),"")</f>
        <v>0</v>
      </c>
      <c r="T46" s="4">
        <f>IFERROR(IF(T20="","",T20/S20),"")</f>
        <v>0</v>
      </c>
      <c r="U46" s="4">
        <f>IFERROR(IF(U20="","",U20/T20),"")</f>
        <v>0</v>
      </c>
      <c r="V46" s="4">
        <f>IFERROR(IF(V20="","",V20/U20),"")</f>
        <v>0</v>
      </c>
      <c r="W46" s="4">
        <f>IFERROR(IF(W20="","",W20/V20),"")</f>
        <v>0</v>
      </c>
      <c r="X46" s="4">
        <f>IFERROR(IF(X20="","",X20/W20),"")</f>
        <v>0</v>
      </c>
    </row>
    <row r="47" spans="1:24">
      <c r="A47" s="2" t="s">
        <v>44</v>
      </c>
      <c r="B47" s="4">
        <f>IFERROR(IF(B21="","",B21/A21),"")</f>
        <v>2.5535</v>
      </c>
      <c r="C47" s="4">
        <f>IFERROR(IF(C21="","",C21/B21),"")</f>
        <v>1.1803</v>
      </c>
      <c r="D47" s="4">
        <f>IFERROR(IF(D21="","",D21/C21),"")</f>
        <v>1.121</v>
      </c>
      <c r="E47" s="4">
        <f>IFERROR(IF(E21="","",E21/D21),"")</f>
        <v>1.0105</v>
      </c>
      <c r="F47" s="4">
        <f>IFERROR(IF(F21="","",F21/E21),"")</f>
        <v>0</v>
      </c>
      <c r="G47" s="4">
        <f>IFERROR(IF(G21="","",G21/F21),"")</f>
        <v>0</v>
      </c>
      <c r="H47" s="4">
        <f>IFERROR(IF(H21="","",H21/G21),"")</f>
        <v>0</v>
      </c>
      <c r="I47" s="4">
        <f>IFERROR(IF(I21="","",I21/H21),"")</f>
        <v>0</v>
      </c>
      <c r="J47" s="4">
        <f>IFERROR(IF(J21="","",J21/I21),"")</f>
        <v>0</v>
      </c>
      <c r="K47" s="4">
        <f>IFERROR(IF(K21="","",K21/J21),"")</f>
        <v>0</v>
      </c>
      <c r="L47" s="4">
        <f>IFERROR(IF(L21="","",L21/K21),"")</f>
        <v>0</v>
      </c>
      <c r="M47" s="4">
        <f>IFERROR(IF(M21="","",M21/L21),"")</f>
        <v>0</v>
      </c>
      <c r="N47" s="4">
        <f>IFERROR(IF(N21="","",N21/M21),"")</f>
        <v>0</v>
      </c>
      <c r="O47" s="4">
        <f>IFERROR(IF(O21="","",O21/N21),"")</f>
        <v>0</v>
      </c>
      <c r="P47" s="4">
        <f>IFERROR(IF(P21="","",P21/O21),"")</f>
        <v>0</v>
      </c>
      <c r="Q47" s="4">
        <f>IFERROR(IF(Q21="","",Q21/P21),"")</f>
        <v>0</v>
      </c>
      <c r="R47" s="4">
        <f>IFERROR(IF(R21="","",R21/Q21),"")</f>
        <v>0</v>
      </c>
      <c r="S47" s="4">
        <f>IFERROR(IF(S21="","",S21/R21),"")</f>
        <v>0</v>
      </c>
      <c r="T47" s="4">
        <f>IFERROR(IF(T21="","",T21/S21),"")</f>
        <v>0</v>
      </c>
      <c r="U47" s="4">
        <f>IFERROR(IF(U21="","",U21/T21),"")</f>
        <v>0</v>
      </c>
      <c r="V47" s="4">
        <f>IFERROR(IF(V21="","",V21/U21),"")</f>
        <v>0</v>
      </c>
      <c r="W47" s="4">
        <f>IFERROR(IF(W21="","",W21/V21),"")</f>
        <v>0</v>
      </c>
      <c r="X47" s="4">
        <f>IFERROR(IF(X21="","",X21/W21),"")</f>
        <v>0</v>
      </c>
    </row>
    <row r="48" spans="1:24">
      <c r="A48" s="2" t="s">
        <v>45</v>
      </c>
      <c r="B48" s="4">
        <f>IFERROR(IF(B22="","",B22/A22),"")</f>
        <v>1.9981</v>
      </c>
      <c r="C48" s="4">
        <f>IFERROR(IF(C22="","",C22/B22),"")</f>
        <v>1.6664</v>
      </c>
      <c r="D48" s="4">
        <f>IFERROR(IF(D22="","",D22/C22),"")</f>
        <v>1.0698</v>
      </c>
      <c r="E48" s="4">
        <f>IFERROR(IF(E22="","",E22/D22),"")</f>
        <v>0</v>
      </c>
      <c r="F48" s="4">
        <f>IFERROR(IF(F22="","",F22/E22),"")</f>
        <v>0</v>
      </c>
      <c r="G48" s="4">
        <f>IFERROR(IF(G22="","",G22/F22),"")</f>
        <v>0</v>
      </c>
      <c r="H48" s="4">
        <f>IFERROR(IF(H22="","",H22/G22),"")</f>
        <v>0</v>
      </c>
      <c r="I48" s="4">
        <f>IFERROR(IF(I22="","",I22/H22),"")</f>
        <v>0</v>
      </c>
      <c r="J48" s="4">
        <f>IFERROR(IF(J22="","",J22/I22),"")</f>
        <v>0</v>
      </c>
      <c r="K48" s="4">
        <f>IFERROR(IF(K22="","",K22/J22),"")</f>
        <v>0</v>
      </c>
      <c r="L48" s="4">
        <f>IFERROR(IF(L22="","",L22/K22),"")</f>
        <v>0</v>
      </c>
      <c r="M48" s="4">
        <f>IFERROR(IF(M22="","",M22/L22),"")</f>
        <v>0</v>
      </c>
      <c r="N48" s="4">
        <f>IFERROR(IF(N22="","",N22/M22),"")</f>
        <v>0</v>
      </c>
      <c r="O48" s="4">
        <f>IFERROR(IF(O22="","",O22/N22),"")</f>
        <v>0</v>
      </c>
      <c r="P48" s="4">
        <f>IFERROR(IF(P22="","",P22/O22),"")</f>
        <v>0</v>
      </c>
      <c r="Q48" s="4">
        <f>IFERROR(IF(Q22="","",Q22/P22),"")</f>
        <v>0</v>
      </c>
      <c r="R48" s="4">
        <f>IFERROR(IF(R22="","",R22/Q22),"")</f>
        <v>0</v>
      </c>
      <c r="S48" s="4">
        <f>IFERROR(IF(S22="","",S22/R22),"")</f>
        <v>0</v>
      </c>
      <c r="T48" s="4">
        <f>IFERROR(IF(T22="","",T22/S22),"")</f>
        <v>0</v>
      </c>
      <c r="U48" s="4">
        <f>IFERROR(IF(U22="","",U22/T22),"")</f>
        <v>0</v>
      </c>
      <c r="V48" s="4">
        <f>IFERROR(IF(V22="","",V22/U22),"")</f>
        <v>0</v>
      </c>
      <c r="W48" s="4">
        <f>IFERROR(IF(W22="","",W22/V22),"")</f>
        <v>0</v>
      </c>
      <c r="X48" s="4">
        <f>IFERROR(IF(X22="","",X22/W22),"")</f>
        <v>0</v>
      </c>
    </row>
    <row r="49" spans="1:25">
      <c r="A49" s="2" t="s">
        <v>46</v>
      </c>
      <c r="B49" s="4">
        <f>IFERROR(IF(B23="","",B23/A23),"")</f>
        <v>2.4294</v>
      </c>
      <c r="C49" s="4">
        <f>IFERROR(IF(C23="","",C23/B23),"")</f>
        <v>1.0595</v>
      </c>
      <c r="D49" s="4">
        <f>IFERROR(IF(D23="","",D23/C23),"")</f>
        <v>0</v>
      </c>
      <c r="E49" s="4">
        <f>IFERROR(IF(E23="","",E23/D23),"")</f>
        <v>0</v>
      </c>
      <c r="F49" s="4">
        <f>IFERROR(IF(F23="","",F23/E23),"")</f>
        <v>0</v>
      </c>
      <c r="G49" s="4">
        <f>IFERROR(IF(G23="","",G23/F23),"")</f>
        <v>0</v>
      </c>
      <c r="H49" s="4">
        <f>IFERROR(IF(H23="","",H23/G23),"")</f>
        <v>0</v>
      </c>
      <c r="I49" s="4">
        <f>IFERROR(IF(I23="","",I23/H23),"")</f>
        <v>0</v>
      </c>
      <c r="J49" s="4">
        <f>IFERROR(IF(J23="","",J23/I23),"")</f>
        <v>0</v>
      </c>
      <c r="K49" s="4">
        <f>IFERROR(IF(K23="","",K23/J23),"")</f>
        <v>0</v>
      </c>
      <c r="L49" s="4">
        <f>IFERROR(IF(L23="","",L23/K23),"")</f>
        <v>0</v>
      </c>
      <c r="M49" s="4">
        <f>IFERROR(IF(M23="","",M23/L23),"")</f>
        <v>0</v>
      </c>
      <c r="N49" s="4">
        <f>IFERROR(IF(N23="","",N23/M23),"")</f>
        <v>0</v>
      </c>
      <c r="O49" s="4">
        <f>IFERROR(IF(O23="","",O23/N23),"")</f>
        <v>0</v>
      </c>
      <c r="P49" s="4">
        <f>IFERROR(IF(P23="","",P23/O23),"")</f>
        <v>0</v>
      </c>
      <c r="Q49" s="4">
        <f>IFERROR(IF(Q23="","",Q23/P23),"")</f>
        <v>0</v>
      </c>
      <c r="R49" s="4">
        <f>IFERROR(IF(R23="","",R23/Q23),"")</f>
        <v>0</v>
      </c>
      <c r="S49" s="4">
        <f>IFERROR(IF(S23="","",S23/R23),"")</f>
        <v>0</v>
      </c>
      <c r="T49" s="4">
        <f>IFERROR(IF(T23="","",T23/S23),"")</f>
        <v>0</v>
      </c>
      <c r="U49" s="4">
        <f>IFERROR(IF(U23="","",U23/T23),"")</f>
        <v>0</v>
      </c>
      <c r="V49" s="4">
        <f>IFERROR(IF(V23="","",V23/U23),"")</f>
        <v>0</v>
      </c>
      <c r="W49" s="4">
        <f>IFERROR(IF(W23="","",W23/V23),"")</f>
        <v>0</v>
      </c>
      <c r="X49" s="4">
        <f>IFERROR(IF(X23="","",X23/W23),"")</f>
        <v>0</v>
      </c>
    </row>
    <row r="50" spans="1:25">
      <c r="A50" s="2" t="s">
        <v>47</v>
      </c>
      <c r="B50" s="4">
        <f>IFERROR(IF(B24="","",B24/A24),"")</f>
        <v>3.2653</v>
      </c>
      <c r="C50" s="4">
        <f>IFERROR(IF(C24="","",C24/B24),"")</f>
        <v>0</v>
      </c>
      <c r="D50" s="4">
        <f>IFERROR(IF(D24="","",D24/C24),"")</f>
        <v>0</v>
      </c>
      <c r="E50" s="4">
        <f>IFERROR(IF(E24="","",E24/D24),"")</f>
        <v>0</v>
      </c>
      <c r="F50" s="4">
        <f>IFERROR(IF(F24="","",F24/E24),"")</f>
        <v>0</v>
      </c>
      <c r="G50" s="4">
        <f>IFERROR(IF(G24="","",G24/F24),"")</f>
        <v>0</v>
      </c>
      <c r="H50" s="4">
        <f>IFERROR(IF(H24="","",H24/G24),"")</f>
        <v>0</v>
      </c>
      <c r="I50" s="4">
        <f>IFERROR(IF(I24="","",I24/H24),"")</f>
        <v>0</v>
      </c>
      <c r="J50" s="4">
        <f>IFERROR(IF(J24="","",J24/I24),"")</f>
        <v>0</v>
      </c>
      <c r="K50" s="4">
        <f>IFERROR(IF(K24="","",K24/J24),"")</f>
        <v>0</v>
      </c>
      <c r="L50" s="4">
        <f>IFERROR(IF(L24="","",L24/K24),"")</f>
        <v>0</v>
      </c>
      <c r="M50" s="4">
        <f>IFERROR(IF(M24="","",M24/L24),"")</f>
        <v>0</v>
      </c>
      <c r="N50" s="4">
        <f>IFERROR(IF(N24="","",N24/M24),"")</f>
        <v>0</v>
      </c>
      <c r="O50" s="4">
        <f>IFERROR(IF(O24="","",O24/N24),"")</f>
        <v>0</v>
      </c>
      <c r="P50" s="4">
        <f>IFERROR(IF(P24="","",P24/O24),"")</f>
        <v>0</v>
      </c>
      <c r="Q50" s="4">
        <f>IFERROR(IF(Q24="","",Q24/P24),"")</f>
        <v>0</v>
      </c>
      <c r="R50" s="4">
        <f>IFERROR(IF(R24="","",R24/Q24),"")</f>
        <v>0</v>
      </c>
      <c r="S50" s="4">
        <f>IFERROR(IF(S24="","",S24/R24),"")</f>
        <v>0</v>
      </c>
      <c r="T50" s="4">
        <f>IFERROR(IF(T24="","",T24/S24),"")</f>
        <v>0</v>
      </c>
      <c r="U50" s="4">
        <f>IFERROR(IF(U24="","",U24/T24),"")</f>
        <v>0</v>
      </c>
      <c r="V50" s="4">
        <f>IFERROR(IF(V24="","",V24/U24),"")</f>
        <v>0</v>
      </c>
      <c r="W50" s="4">
        <f>IFERROR(IF(W24="","",W24/V24),"")</f>
        <v>0</v>
      </c>
      <c r="X50" s="4">
        <f>IFERROR(IF(X24="","",X24/W24),"")</f>
        <v>0</v>
      </c>
    </row>
    <row r="51" spans="1:25">
      <c r="A51" s="2" t="s">
        <v>48</v>
      </c>
      <c r="B51" s="4">
        <f>IFERROR(IF(B25="","",B25/A25),"")</f>
        <v>0</v>
      </c>
      <c r="C51" s="4">
        <f>IFERROR(IF(C25="","",C25/B25),"")</f>
        <v>0</v>
      </c>
      <c r="D51" s="4">
        <f>IFERROR(IF(D25="","",D25/C25),"")</f>
        <v>0</v>
      </c>
      <c r="E51" s="4">
        <f>IFERROR(IF(E25="","",E25/D25),"")</f>
        <v>0</v>
      </c>
      <c r="F51" s="4">
        <f>IFERROR(IF(F25="","",F25/E25),"")</f>
        <v>0</v>
      </c>
      <c r="G51" s="4">
        <f>IFERROR(IF(G25="","",G25/F25),"")</f>
        <v>0</v>
      </c>
      <c r="H51" s="4">
        <f>IFERROR(IF(H25="","",H25/G25),"")</f>
        <v>0</v>
      </c>
      <c r="I51" s="4">
        <f>IFERROR(IF(I25="","",I25/H25),"")</f>
        <v>0</v>
      </c>
      <c r="J51" s="4">
        <f>IFERROR(IF(J25="","",J25/I25),"")</f>
        <v>0</v>
      </c>
      <c r="K51" s="4">
        <f>IFERROR(IF(K25="","",K25/J25),"")</f>
        <v>0</v>
      </c>
      <c r="L51" s="4">
        <f>IFERROR(IF(L25="","",L25/K25),"")</f>
        <v>0</v>
      </c>
      <c r="M51" s="4">
        <f>IFERROR(IF(M25="","",M25/L25),"")</f>
        <v>0</v>
      </c>
      <c r="N51" s="4">
        <f>IFERROR(IF(N25="","",N25/M25),"")</f>
        <v>0</v>
      </c>
      <c r="O51" s="4">
        <f>IFERROR(IF(O25="","",O25/N25),"")</f>
        <v>0</v>
      </c>
      <c r="P51" s="4">
        <f>IFERROR(IF(P25="","",P25/O25),"")</f>
        <v>0</v>
      </c>
      <c r="Q51" s="4">
        <f>IFERROR(IF(Q25="","",Q25/P25),"")</f>
        <v>0</v>
      </c>
      <c r="R51" s="4">
        <f>IFERROR(IF(R25="","",R25/Q25),"")</f>
        <v>0</v>
      </c>
      <c r="S51" s="4">
        <f>IFERROR(IF(S25="","",S25/R25),"")</f>
        <v>0</v>
      </c>
      <c r="T51" s="4">
        <f>IFERROR(IF(T25="","",T25/S25),"")</f>
        <v>0</v>
      </c>
      <c r="U51" s="4">
        <f>IFERROR(IF(U25="","",U25/T25),"")</f>
        <v>0</v>
      </c>
      <c r="V51" s="4">
        <f>IFERROR(IF(V25="","",V25/U25),"")</f>
        <v>0</v>
      </c>
      <c r="W51" s="4">
        <f>IFERROR(IF(W25="","",W25/V25),"")</f>
        <v>0</v>
      </c>
      <c r="X51" s="4">
        <f>IFERROR(IF(X25="","",X25/W25),"")</f>
        <v>0</v>
      </c>
    </row>
    <row r="53" spans="1:25">
      <c r="A53" s="1" t="s">
        <v>72</v>
      </c>
      <c r="B53" s="1" t="s">
        <v>49</v>
      </c>
      <c r="C53" s="1" t="s">
        <v>50</v>
      </c>
      <c r="D53" s="1" t="s">
        <v>51</v>
      </c>
      <c r="E53" s="1" t="s">
        <v>52</v>
      </c>
      <c r="F53" s="1" t="s">
        <v>53</v>
      </c>
      <c r="G53" s="1" t="s">
        <v>54</v>
      </c>
      <c r="H53" s="1" t="s">
        <v>55</v>
      </c>
      <c r="I53" s="1" t="s">
        <v>56</v>
      </c>
      <c r="J53" s="1" t="s">
        <v>57</v>
      </c>
      <c r="K53" s="1" t="s">
        <v>58</v>
      </c>
      <c r="L53" s="1" t="s">
        <v>59</v>
      </c>
      <c r="M53" s="1" t="s">
        <v>60</v>
      </c>
      <c r="N53" s="1" t="s">
        <v>61</v>
      </c>
      <c r="O53" s="1" t="s">
        <v>62</v>
      </c>
      <c r="P53" s="1" t="s">
        <v>63</v>
      </c>
      <c r="Q53" s="1" t="s">
        <v>64</v>
      </c>
      <c r="R53" s="1" t="s">
        <v>65</v>
      </c>
      <c r="S53" s="1" t="s">
        <v>66</v>
      </c>
      <c r="T53" s="1" t="s">
        <v>67</v>
      </c>
      <c r="U53" s="1" t="s">
        <v>68</v>
      </c>
      <c r="V53" s="1" t="s">
        <v>69</v>
      </c>
      <c r="W53" s="1" t="s">
        <v>70</v>
      </c>
      <c r="X53" s="1" t="s">
        <v>71</v>
      </c>
      <c r="Y53" s="1" t="s">
        <v>73</v>
      </c>
    </row>
    <row r="54" spans="1:25">
      <c r="A54" s="2" t="s">
        <v>74</v>
      </c>
      <c r="B54" s="4">
        <f>IFERROR(AVERAGE(B28:B51),AVERAGE(B28:B51))</f>
        <v>0</v>
      </c>
      <c r="C54" s="4">
        <f>IFERROR(AVERAGE(C28:C51),AVERAGE(C28:C51))</f>
        <v>0</v>
      </c>
      <c r="D54" s="4">
        <f>IFERROR(AVERAGE(D28:D51),AVERAGE(D28:D51))</f>
        <v>0</v>
      </c>
      <c r="E54" s="4">
        <f>IFERROR(AVERAGE(E28:E51),AVERAGE(E28:E51))</f>
        <v>0</v>
      </c>
      <c r="F54" s="4">
        <f>IFERROR(AVERAGE(F28:F51),AVERAGE(F28:F51))</f>
        <v>0</v>
      </c>
      <c r="G54" s="4">
        <f>IFERROR(AVERAGE(G28:G51),AVERAGE(G28:G51))</f>
        <v>0</v>
      </c>
      <c r="H54" s="4">
        <f>IFERROR(AVERAGE(H28:H51),AVERAGE(H28:H51))</f>
        <v>0</v>
      </c>
      <c r="I54" s="4">
        <f>IFERROR(AVERAGE(I28:I51),AVERAGE(I28:I51))</f>
        <v>0</v>
      </c>
      <c r="J54" s="4">
        <f>IFERROR(AVERAGE(J28:J51),AVERAGE(J28:J51))</f>
        <v>0</v>
      </c>
      <c r="K54" s="4">
        <f>IFERROR(AVERAGE(K28:K51),AVERAGE(K28:K51))</f>
        <v>0</v>
      </c>
      <c r="L54" s="4">
        <f>IFERROR(AVERAGE(L28:L51),AVERAGE(L28:L51))</f>
        <v>0</v>
      </c>
      <c r="M54" s="4">
        <f>IFERROR(AVERAGE(M28:M51),AVERAGE(M28:M51))</f>
        <v>0</v>
      </c>
      <c r="N54" s="4">
        <f>IFERROR(AVERAGE(N28:N51),AVERAGE(N28:N51))</f>
        <v>0</v>
      </c>
      <c r="O54" s="4">
        <f>IFERROR(AVERAGE(O28:O51),AVERAGE(O28:O51))</f>
        <v>0</v>
      </c>
      <c r="P54" s="4">
        <f>IFERROR(AVERAGE(P28:P51),AVERAGE(P28:P51))</f>
        <v>0</v>
      </c>
      <c r="Q54" s="4">
        <f>IFERROR(AVERAGE(Q28:Q51),AVERAGE(Q28:Q51))</f>
        <v>0</v>
      </c>
      <c r="R54" s="4">
        <f>IFERROR(AVERAGE(R28:R51),AVERAGE(R28:R51))</f>
        <v>0</v>
      </c>
      <c r="S54" s="4">
        <f>IFERROR(AVERAGE(S28:S51),AVERAGE(S28:S51))</f>
        <v>0</v>
      </c>
      <c r="T54" s="4">
        <f>IFERROR(AVERAGE(T28:T51),AVERAGE(T28:T51))</f>
        <v>0</v>
      </c>
      <c r="U54" s="4">
        <f>IFERROR(AVERAGE(U28:U51),AVERAGE(U28:U51))</f>
        <v>0</v>
      </c>
      <c r="V54" s="4">
        <f>IFERROR(AVERAGE(V28:V51),AVERAGE(V28:V51))</f>
        <v>0</v>
      </c>
      <c r="W54" s="4">
        <f>IFERROR(AVERAGE(W28:W51),AVERAGE(W28:W51))</f>
        <v>0</v>
      </c>
      <c r="X54" s="4">
        <f>IFERROR(AVERAGE(X28:X51),AVERAGE(X28:X51))</f>
        <v>0</v>
      </c>
    </row>
    <row r="55" spans="1:25">
      <c r="A55" s="2" t="s">
        <v>75</v>
      </c>
      <c r="B55" s="4">
        <f>IFERROR(SUMPRODUCT(B28:B51,B2:B25)/SUMPRODUCT((B28:B51&lt;&gt;"")*B2:B25),SUMPRODUCT(B28:B51,B2:B25)/SUMPRODUCT((B28:B51&lt;&gt;"")*B2:B25))</f>
        <v>0</v>
      </c>
      <c r="C55" s="4">
        <f>IFERROR(SUMPRODUCT(C28:C51,C2:C25)/SUMPRODUCT((C28:C51&lt;&gt;"")*C2:C25),SUMPRODUCT(C28:C51,C2:C25)/SUMPRODUCT((C28:C51&lt;&gt;"")*C2:C25))</f>
        <v>0</v>
      </c>
      <c r="D55" s="4">
        <f>IFERROR(SUMPRODUCT(D28:D51,D2:D25)/SUMPRODUCT((D28:D51&lt;&gt;"")*D2:D25),SUMPRODUCT(D28:D51,D2:D25)/SUMPRODUCT((D28:D51&lt;&gt;"")*D2:D25))</f>
        <v>0</v>
      </c>
      <c r="E55" s="4">
        <f>IFERROR(SUMPRODUCT(E28:E51,E2:E25)/SUMPRODUCT((E28:E51&lt;&gt;"")*E2:E25),SUMPRODUCT(E28:E51,E2:E25)/SUMPRODUCT((E28:E51&lt;&gt;"")*E2:E25))</f>
        <v>0</v>
      </c>
      <c r="F55" s="4">
        <f>IFERROR(SUMPRODUCT(F28:F51,F2:F25)/SUMPRODUCT((F28:F51&lt;&gt;"")*F2:F25),SUMPRODUCT(F28:F51,F2:F25)/SUMPRODUCT((F28:F51&lt;&gt;"")*F2:F25))</f>
        <v>0</v>
      </c>
      <c r="G55" s="4">
        <f>IFERROR(SUMPRODUCT(G28:G51,G2:G25)/SUMPRODUCT((G28:G51&lt;&gt;"")*G2:G25),SUMPRODUCT(G28:G51,G2:G25)/SUMPRODUCT((G28:G51&lt;&gt;"")*G2:G25))</f>
        <v>0</v>
      </c>
      <c r="H55" s="4">
        <f>IFERROR(SUMPRODUCT(H28:H51,H2:H25)/SUMPRODUCT((H28:H51&lt;&gt;"")*H2:H25),SUMPRODUCT(H28:H51,H2:H25)/SUMPRODUCT((H28:H51&lt;&gt;"")*H2:H25))</f>
        <v>0</v>
      </c>
      <c r="I55" s="4">
        <f>IFERROR(SUMPRODUCT(I28:I51,I2:I25)/SUMPRODUCT((I28:I51&lt;&gt;"")*I2:I25),SUMPRODUCT(I28:I51,I2:I25)/SUMPRODUCT((I28:I51&lt;&gt;"")*I2:I25))</f>
        <v>0</v>
      </c>
      <c r="J55" s="4">
        <f>IFERROR(SUMPRODUCT(J28:J51,J2:J25)/SUMPRODUCT((J28:J51&lt;&gt;"")*J2:J25),SUMPRODUCT(J28:J51,J2:J25)/SUMPRODUCT((J28:J51&lt;&gt;"")*J2:J25))</f>
        <v>0</v>
      </c>
      <c r="K55" s="4">
        <f>IFERROR(SUMPRODUCT(K28:K51,K2:K25)/SUMPRODUCT((K28:K51&lt;&gt;"")*K2:K25),SUMPRODUCT(K28:K51,K2:K25)/SUMPRODUCT((K28:K51&lt;&gt;"")*K2:K25))</f>
        <v>0</v>
      </c>
      <c r="L55" s="4">
        <f>IFERROR(SUMPRODUCT(L28:L51,L2:L25)/SUMPRODUCT((L28:L51&lt;&gt;"")*L2:L25),SUMPRODUCT(L28:L51,L2:L25)/SUMPRODUCT((L28:L51&lt;&gt;"")*L2:L25))</f>
        <v>0</v>
      </c>
      <c r="M55" s="4">
        <f>IFERROR(SUMPRODUCT(M28:M51,M2:M25)/SUMPRODUCT((M28:M51&lt;&gt;"")*M2:M25),SUMPRODUCT(M28:M51,M2:M25)/SUMPRODUCT((M28:M51&lt;&gt;"")*M2:M25))</f>
        <v>0</v>
      </c>
      <c r="N55" s="4">
        <f>IFERROR(SUMPRODUCT(N28:N51,N2:N25)/SUMPRODUCT((N28:N51&lt;&gt;"")*N2:N25),SUMPRODUCT(N28:N51,N2:N25)/SUMPRODUCT((N28:N51&lt;&gt;"")*N2:N25))</f>
        <v>0</v>
      </c>
      <c r="O55" s="4">
        <f>IFERROR(SUMPRODUCT(O28:O51,O2:O25)/SUMPRODUCT((O28:O51&lt;&gt;"")*O2:O25),SUMPRODUCT(O28:O51,O2:O25)/SUMPRODUCT((O28:O51&lt;&gt;"")*O2:O25))</f>
        <v>0</v>
      </c>
      <c r="P55" s="4">
        <f>IFERROR(SUMPRODUCT(P28:P51,P2:P25)/SUMPRODUCT((P28:P51&lt;&gt;"")*P2:P25),SUMPRODUCT(P28:P51,P2:P25)/SUMPRODUCT((P28:P51&lt;&gt;"")*P2:P25))</f>
        <v>0</v>
      </c>
      <c r="Q55" s="4">
        <f>IFERROR(SUMPRODUCT(Q28:Q51,Q2:Q25)/SUMPRODUCT((Q28:Q51&lt;&gt;"")*Q2:Q25),SUMPRODUCT(Q28:Q51,Q2:Q25)/SUMPRODUCT((Q28:Q51&lt;&gt;"")*Q2:Q25))</f>
        <v>0</v>
      </c>
      <c r="R55" s="4">
        <f>IFERROR(SUMPRODUCT(R28:R51,R2:R25)/SUMPRODUCT((R28:R51&lt;&gt;"")*R2:R25),SUMPRODUCT(R28:R51,R2:R25)/SUMPRODUCT((R28:R51&lt;&gt;"")*R2:R25))</f>
        <v>0</v>
      </c>
      <c r="S55" s="4">
        <f>IFERROR(SUMPRODUCT(S28:S51,S2:S25)/SUMPRODUCT((S28:S51&lt;&gt;"")*S2:S25),SUMPRODUCT(S28:S51,S2:S25)/SUMPRODUCT((S28:S51&lt;&gt;"")*S2:S25))</f>
        <v>0</v>
      </c>
      <c r="T55" s="4">
        <f>IFERROR(SUMPRODUCT(T28:T51,T2:T25)/SUMPRODUCT((T28:T51&lt;&gt;"")*T2:T25),SUMPRODUCT(T28:T51,T2:T25)/SUMPRODUCT((T28:T51&lt;&gt;"")*T2:T25))</f>
        <v>0</v>
      </c>
      <c r="U55" s="4">
        <f>IFERROR(SUMPRODUCT(U28:U51,U2:U25)/SUMPRODUCT((U28:U51&lt;&gt;"")*U2:U25),SUMPRODUCT(U28:U51,U2:U25)/SUMPRODUCT((U28:U51&lt;&gt;"")*U2:U25))</f>
        <v>0</v>
      </c>
      <c r="V55" s="4">
        <f>IFERROR(SUMPRODUCT(V28:V51,V2:V25)/SUMPRODUCT((V28:V51&lt;&gt;"")*V2:V25),SUMPRODUCT(V28:V51,V2:V25)/SUMPRODUCT((V28:V51&lt;&gt;"")*V2:V25))</f>
        <v>0</v>
      </c>
      <c r="W55" s="4">
        <f>IFERROR(SUMPRODUCT(W28:W51,W2:W25)/SUMPRODUCT((W28:W51&lt;&gt;"")*W2:W25),SUMPRODUCT(W28:W51,W2:W25)/SUMPRODUCT((W28:W51&lt;&gt;"")*W2:W25))</f>
        <v>0</v>
      </c>
      <c r="X55" s="4">
        <f>IFERROR(SUMPRODUCT(X28:X51,X2:X25)/SUMPRODUCT((X28:X51&lt;&gt;"")*X2:X25),SUMPRODUCT(X28:X51,X2:X25)/SUMPRODUCT((X28:X51&lt;&gt;"")*X2:X25))</f>
        <v>0</v>
      </c>
    </row>
    <row r="56" spans="1:25">
      <c r="A56" s="2" t="s">
        <v>76</v>
      </c>
      <c r="B56" s="4">
        <f>IFERROR(TRIMMEAN(B28:B51,2/COUNT(B28:B51)),AVERAGE(B28:B51))</f>
        <v>0</v>
      </c>
      <c r="C56" s="4">
        <f>IFERROR(TRIMMEAN(C28:C51,2/COUNT(C28:C51)),AVERAGE(C28:C51))</f>
        <v>0</v>
      </c>
      <c r="D56" s="4">
        <f>IFERROR(TRIMMEAN(D28:D51,2/COUNT(D28:D51)),AVERAGE(D28:D51))</f>
        <v>0</v>
      </c>
      <c r="E56" s="4">
        <f>IFERROR(TRIMMEAN(E28:E51,2/COUNT(E28:E51)),AVERAGE(E28:E51))</f>
        <v>0</v>
      </c>
      <c r="F56" s="4">
        <f>IFERROR(TRIMMEAN(F28:F51,2/COUNT(F28:F51)),AVERAGE(F28:F51))</f>
        <v>0</v>
      </c>
      <c r="G56" s="4">
        <f>IFERROR(TRIMMEAN(G28:G51,2/COUNT(G28:G51)),AVERAGE(G28:G51))</f>
        <v>0</v>
      </c>
      <c r="H56" s="4">
        <f>IFERROR(TRIMMEAN(H28:H51,2/COUNT(H28:H51)),AVERAGE(H28:H51))</f>
        <v>0</v>
      </c>
      <c r="I56" s="4">
        <f>IFERROR(TRIMMEAN(I28:I51,2/COUNT(I28:I51)),AVERAGE(I28:I51))</f>
        <v>0</v>
      </c>
      <c r="J56" s="4">
        <f>IFERROR(TRIMMEAN(J28:J51,2/COUNT(J28:J51)),AVERAGE(J28:J51))</f>
        <v>0</v>
      </c>
      <c r="K56" s="4">
        <f>IFERROR(TRIMMEAN(K28:K51,2/COUNT(K28:K51)),AVERAGE(K28:K51))</f>
        <v>0</v>
      </c>
      <c r="L56" s="4">
        <f>IFERROR(TRIMMEAN(L28:L51,2/COUNT(L28:L51)),AVERAGE(L28:L51))</f>
        <v>0</v>
      </c>
      <c r="M56" s="4">
        <f>IFERROR(TRIMMEAN(M28:M51,2/COUNT(M28:M51)),AVERAGE(M28:M51))</f>
        <v>0</v>
      </c>
      <c r="N56" s="4">
        <f>IFERROR(TRIMMEAN(N28:N51,2/COUNT(N28:N51)),AVERAGE(N28:N51))</f>
        <v>0</v>
      </c>
      <c r="O56" s="4">
        <f>IFERROR(TRIMMEAN(O28:O51,2/COUNT(O28:O51)),AVERAGE(O28:O51))</f>
        <v>0</v>
      </c>
      <c r="P56" s="4">
        <f>IFERROR(TRIMMEAN(P28:P51,2/COUNT(P28:P51)),AVERAGE(P28:P51))</f>
        <v>0</v>
      </c>
      <c r="Q56" s="4">
        <f>IFERROR(TRIMMEAN(Q28:Q51,2/COUNT(Q28:Q51)),AVERAGE(Q28:Q51))</f>
        <v>0</v>
      </c>
      <c r="R56" s="4">
        <f>IFERROR(TRIMMEAN(R28:R51,2/COUNT(R28:R51)),AVERAGE(R28:R51))</f>
        <v>0</v>
      </c>
      <c r="S56" s="4">
        <f>IFERROR(TRIMMEAN(S28:S51,2/COUNT(S28:S51)),AVERAGE(S28:S51))</f>
        <v>0</v>
      </c>
      <c r="T56" s="4">
        <f>IFERROR(TRIMMEAN(T28:T51,2/COUNT(T28:T51)),AVERAGE(T28:T51))</f>
        <v>0</v>
      </c>
      <c r="U56" s="4">
        <f>IFERROR(TRIMMEAN(U28:U51,2/COUNT(U28:U51)),AVERAGE(U28:U51))</f>
        <v>0</v>
      </c>
      <c r="V56" s="4">
        <f>IFERROR(TRIMMEAN(V28:V51,2/COUNT(V28:V51)),AVERAGE(V28:V51))</f>
        <v>0</v>
      </c>
      <c r="W56" s="4">
        <f>IFERROR(TRIMMEAN(W28:W51,2/COUNT(W28:W51)),AVERAGE(W28:W51))</f>
        <v>0</v>
      </c>
      <c r="X56" s="4">
        <f>IFERROR(TRIMMEAN(X28:X51,2/COUNT(X28:X51)),AVERAGE(X28:X51))</f>
        <v>0</v>
      </c>
    </row>
    <row r="57" spans="1:25">
      <c r="A57" s="2" t="s">
        <v>77</v>
      </c>
      <c r="B57" s="4">
        <f>IFERROR(AVERAGE(B49:B51),AVERAGE(B28:B51))</f>
        <v>0</v>
      </c>
      <c r="C57" s="4">
        <f>IFERROR(AVERAGE(C49:C51),AVERAGE(C28:C51))</f>
        <v>0</v>
      </c>
      <c r="D57" s="4">
        <f>IFERROR(AVERAGE(D49:D51),AVERAGE(D28:D51))</f>
        <v>0</v>
      </c>
      <c r="E57" s="4">
        <f>IFERROR(AVERAGE(E49:E51),AVERAGE(E28:E51))</f>
        <v>0</v>
      </c>
      <c r="F57" s="4">
        <f>IFERROR(AVERAGE(F49:F51),AVERAGE(F28:F51))</f>
        <v>0</v>
      </c>
      <c r="G57" s="4">
        <f>IFERROR(AVERAGE(G49:G51),AVERAGE(G28:G51))</f>
        <v>0</v>
      </c>
      <c r="H57" s="4">
        <f>IFERROR(AVERAGE(H49:H51),AVERAGE(H28:H51))</f>
        <v>0</v>
      </c>
      <c r="I57" s="4">
        <f>IFERROR(AVERAGE(I49:I51),AVERAGE(I28:I51))</f>
        <v>0</v>
      </c>
      <c r="J57" s="4">
        <f>IFERROR(AVERAGE(J49:J51),AVERAGE(J28:J51))</f>
        <v>0</v>
      </c>
      <c r="K57" s="4">
        <f>IFERROR(AVERAGE(K49:K51),AVERAGE(K28:K51))</f>
        <v>0</v>
      </c>
      <c r="L57" s="4">
        <f>IFERROR(AVERAGE(L49:L51),AVERAGE(L28:L51))</f>
        <v>0</v>
      </c>
      <c r="M57" s="4">
        <f>IFERROR(AVERAGE(M49:M51),AVERAGE(M28:M51))</f>
        <v>0</v>
      </c>
      <c r="N57" s="4">
        <f>IFERROR(AVERAGE(N49:N51),AVERAGE(N28:N51))</f>
        <v>0</v>
      </c>
      <c r="O57" s="4">
        <f>IFERROR(AVERAGE(O49:O51),AVERAGE(O28:O51))</f>
        <v>0</v>
      </c>
      <c r="P57" s="4">
        <f>IFERROR(AVERAGE(P49:P51),AVERAGE(P28:P51))</f>
        <v>0</v>
      </c>
      <c r="Q57" s="4">
        <f>IFERROR(AVERAGE(Q49:Q51),AVERAGE(Q28:Q51))</f>
        <v>0</v>
      </c>
      <c r="R57" s="4">
        <f>IFERROR(AVERAGE(R49:R51),AVERAGE(R28:R51))</f>
        <v>0</v>
      </c>
      <c r="S57" s="4">
        <f>IFERROR(AVERAGE(S49:S51),AVERAGE(S28:S51))</f>
        <v>0</v>
      </c>
      <c r="T57" s="4">
        <f>IFERROR(AVERAGE(T49:T51),AVERAGE(T28:T51))</f>
        <v>0</v>
      </c>
      <c r="U57" s="4">
        <f>IFERROR(AVERAGE(U49:U51),AVERAGE(U28:U51))</f>
        <v>0</v>
      </c>
      <c r="V57" s="4">
        <f>IFERROR(AVERAGE(V49:V51),AVERAGE(V28:V51))</f>
        <v>0</v>
      </c>
      <c r="W57" s="4">
        <f>IFERROR(AVERAGE(W49:W51),AVERAGE(W28:W51))</f>
        <v>0</v>
      </c>
      <c r="X57" s="4">
        <f>IFERROR(AVERAGE(X49:X51),AVERAGE(X28:X51))</f>
        <v>0</v>
      </c>
    </row>
    <row r="58" spans="1:25">
      <c r="A58" s="2" t="s">
        <v>78</v>
      </c>
      <c r="B58" s="4">
        <f>IFERROR(SUMPRODUCT(B49:B51,B23:B25)/SUMPRODUCT((B49:B51&lt;&gt;"")*B23:B25),SUMPRODUCT(B28:B51,B2:B25)/SUMPRODUCT((B28:B51&lt;&gt;"")*B2:B25))</f>
        <v>0</v>
      </c>
      <c r="C58" s="4">
        <f>IFERROR(SUMPRODUCT(C49:C51,C23:C25)/SUMPRODUCT((C49:C51&lt;&gt;"")*C23:C25),SUMPRODUCT(C28:C51,C2:C25)/SUMPRODUCT((C28:C51&lt;&gt;"")*C2:C25))</f>
        <v>0</v>
      </c>
      <c r="D58" s="4">
        <f>IFERROR(SUMPRODUCT(D49:D51,D23:D25)/SUMPRODUCT((D49:D51&lt;&gt;"")*D23:D25),SUMPRODUCT(D28:D51,D2:D25)/SUMPRODUCT((D28:D51&lt;&gt;"")*D2:D25))</f>
        <v>0</v>
      </c>
      <c r="E58" s="4">
        <f>IFERROR(SUMPRODUCT(E49:E51,E23:E25)/SUMPRODUCT((E49:E51&lt;&gt;"")*E23:E25),SUMPRODUCT(E28:E51,E2:E25)/SUMPRODUCT((E28:E51&lt;&gt;"")*E2:E25))</f>
        <v>0</v>
      </c>
      <c r="F58" s="4">
        <f>IFERROR(SUMPRODUCT(F49:F51,F23:F25)/SUMPRODUCT((F49:F51&lt;&gt;"")*F23:F25),SUMPRODUCT(F28:F51,F2:F25)/SUMPRODUCT((F28:F51&lt;&gt;"")*F2:F25))</f>
        <v>0</v>
      </c>
      <c r="G58" s="4">
        <f>IFERROR(SUMPRODUCT(G49:G51,G23:G25)/SUMPRODUCT((G49:G51&lt;&gt;"")*G23:G25),SUMPRODUCT(G28:G51,G2:G25)/SUMPRODUCT((G28:G51&lt;&gt;"")*G2:G25))</f>
        <v>0</v>
      </c>
      <c r="H58" s="4">
        <f>IFERROR(SUMPRODUCT(H49:H51,H23:H25)/SUMPRODUCT((H49:H51&lt;&gt;"")*H23:H25),SUMPRODUCT(H28:H51,H2:H25)/SUMPRODUCT((H28:H51&lt;&gt;"")*H2:H25))</f>
        <v>0</v>
      </c>
      <c r="I58" s="4">
        <f>IFERROR(SUMPRODUCT(I49:I51,I23:I25)/SUMPRODUCT((I49:I51&lt;&gt;"")*I23:I25),SUMPRODUCT(I28:I51,I2:I25)/SUMPRODUCT((I28:I51&lt;&gt;"")*I2:I25))</f>
        <v>0</v>
      </c>
      <c r="J58" s="4">
        <f>IFERROR(SUMPRODUCT(J49:J51,J23:J25)/SUMPRODUCT((J49:J51&lt;&gt;"")*J23:J25),SUMPRODUCT(J28:J51,J2:J25)/SUMPRODUCT((J28:J51&lt;&gt;"")*J2:J25))</f>
        <v>0</v>
      </c>
      <c r="K58" s="4">
        <f>IFERROR(SUMPRODUCT(K49:K51,K23:K25)/SUMPRODUCT((K49:K51&lt;&gt;"")*K23:K25),SUMPRODUCT(K28:K51,K2:K25)/SUMPRODUCT((K28:K51&lt;&gt;"")*K2:K25))</f>
        <v>0</v>
      </c>
      <c r="L58" s="4">
        <f>IFERROR(SUMPRODUCT(L49:L51,L23:L25)/SUMPRODUCT((L49:L51&lt;&gt;"")*L23:L25),SUMPRODUCT(L28:L51,L2:L25)/SUMPRODUCT((L28:L51&lt;&gt;"")*L2:L25))</f>
        <v>0</v>
      </c>
      <c r="M58" s="4">
        <f>IFERROR(SUMPRODUCT(M49:M51,M23:M25)/SUMPRODUCT((M49:M51&lt;&gt;"")*M23:M25),SUMPRODUCT(M28:M51,M2:M25)/SUMPRODUCT((M28:M51&lt;&gt;"")*M2:M25))</f>
        <v>0</v>
      </c>
      <c r="N58" s="4">
        <f>IFERROR(SUMPRODUCT(N49:N51,N23:N25)/SUMPRODUCT((N49:N51&lt;&gt;"")*N23:N25),SUMPRODUCT(N28:N51,N2:N25)/SUMPRODUCT((N28:N51&lt;&gt;"")*N2:N25))</f>
        <v>0</v>
      </c>
      <c r="O58" s="4">
        <f>IFERROR(SUMPRODUCT(O49:O51,O23:O25)/SUMPRODUCT((O49:O51&lt;&gt;"")*O23:O25),SUMPRODUCT(O28:O51,O2:O25)/SUMPRODUCT((O28:O51&lt;&gt;"")*O2:O25))</f>
        <v>0</v>
      </c>
      <c r="P58" s="4">
        <f>IFERROR(SUMPRODUCT(P49:P51,P23:P25)/SUMPRODUCT((P49:P51&lt;&gt;"")*P23:P25),SUMPRODUCT(P28:P51,P2:P25)/SUMPRODUCT((P28:P51&lt;&gt;"")*P2:P25))</f>
        <v>0</v>
      </c>
      <c r="Q58" s="4">
        <f>IFERROR(SUMPRODUCT(Q49:Q51,Q23:Q25)/SUMPRODUCT((Q49:Q51&lt;&gt;"")*Q23:Q25),SUMPRODUCT(Q28:Q51,Q2:Q25)/SUMPRODUCT((Q28:Q51&lt;&gt;"")*Q2:Q25))</f>
        <v>0</v>
      </c>
      <c r="R58" s="4">
        <f>IFERROR(SUMPRODUCT(R49:R51,R23:R25)/SUMPRODUCT((R49:R51&lt;&gt;"")*R23:R25),SUMPRODUCT(R28:R51,R2:R25)/SUMPRODUCT((R28:R51&lt;&gt;"")*R2:R25))</f>
        <v>0</v>
      </c>
      <c r="S58" s="4">
        <f>IFERROR(SUMPRODUCT(S49:S51,S23:S25)/SUMPRODUCT((S49:S51&lt;&gt;"")*S23:S25),SUMPRODUCT(S28:S51,S2:S25)/SUMPRODUCT((S28:S51&lt;&gt;"")*S2:S25))</f>
        <v>0</v>
      </c>
      <c r="T58" s="4">
        <f>IFERROR(SUMPRODUCT(T49:T51,T23:T25)/SUMPRODUCT((T49:T51&lt;&gt;"")*T23:T25),SUMPRODUCT(T28:T51,T2:T25)/SUMPRODUCT((T28:T51&lt;&gt;"")*T2:T25))</f>
        <v>0</v>
      </c>
      <c r="U58" s="4">
        <f>IFERROR(SUMPRODUCT(U49:U51,U23:U25)/SUMPRODUCT((U49:U51&lt;&gt;"")*U23:U25),SUMPRODUCT(U28:U51,U2:U25)/SUMPRODUCT((U28:U51&lt;&gt;"")*U2:U25))</f>
        <v>0</v>
      </c>
      <c r="V58" s="4">
        <f>IFERROR(SUMPRODUCT(V49:V51,V23:V25)/SUMPRODUCT((V49:V51&lt;&gt;"")*V23:V25),SUMPRODUCT(V28:V51,V2:V25)/SUMPRODUCT((V28:V51&lt;&gt;"")*V2:V25))</f>
        <v>0</v>
      </c>
      <c r="W58" s="4">
        <f>IFERROR(SUMPRODUCT(W49:W51,W23:W25)/SUMPRODUCT((W49:W51&lt;&gt;"")*W23:W25),SUMPRODUCT(W28:W51,W2:W25)/SUMPRODUCT((W28:W51&lt;&gt;"")*W2:W25))</f>
        <v>0</v>
      </c>
      <c r="X58" s="4">
        <f>IFERROR(SUMPRODUCT(X49:X51,X23:X25)/SUMPRODUCT((X49:X51&lt;&gt;"")*X23:X25),SUMPRODUCT(X28:X51,X2:X25)/SUMPRODUCT((X28:X51&lt;&gt;"")*X2:X25))</f>
        <v>0</v>
      </c>
    </row>
    <row r="59" spans="1:25">
      <c r="A59" s="2" t="s">
        <v>79</v>
      </c>
      <c r="B59" s="4">
        <f>IFERROR(TRIMMEAN(B49:B51,2/COUNT(B49:B51)),AVERAGE(B28:B51))</f>
        <v>0</v>
      </c>
      <c r="C59" s="4">
        <f>IFERROR(TRIMMEAN(C49:C51,2/COUNT(C49:C51)),AVERAGE(C28:C51))</f>
        <v>0</v>
      </c>
      <c r="D59" s="4">
        <f>IFERROR(TRIMMEAN(D49:D51,2/COUNT(D49:D51)),AVERAGE(D28:D51))</f>
        <v>0</v>
      </c>
      <c r="E59" s="4">
        <f>IFERROR(TRIMMEAN(E49:E51,2/COUNT(E49:E51)),AVERAGE(E28:E51))</f>
        <v>0</v>
      </c>
      <c r="F59" s="4">
        <f>IFERROR(TRIMMEAN(F49:F51,2/COUNT(F49:F51)),AVERAGE(F28:F51))</f>
        <v>0</v>
      </c>
      <c r="G59" s="4">
        <f>IFERROR(TRIMMEAN(G49:G51,2/COUNT(G49:G51)),AVERAGE(G28:G51))</f>
        <v>0</v>
      </c>
      <c r="H59" s="4">
        <f>IFERROR(TRIMMEAN(H49:H51,2/COUNT(H49:H51)),AVERAGE(H28:H51))</f>
        <v>0</v>
      </c>
      <c r="I59" s="4">
        <f>IFERROR(TRIMMEAN(I49:I51,2/COUNT(I49:I51)),AVERAGE(I28:I51))</f>
        <v>0</v>
      </c>
      <c r="J59" s="4">
        <f>IFERROR(TRIMMEAN(J49:J51,2/COUNT(J49:J51)),AVERAGE(J28:J51))</f>
        <v>0</v>
      </c>
      <c r="K59" s="4">
        <f>IFERROR(TRIMMEAN(K49:K51,2/COUNT(K49:K51)),AVERAGE(K28:K51))</f>
        <v>0</v>
      </c>
      <c r="L59" s="4">
        <f>IFERROR(TRIMMEAN(L49:L51,2/COUNT(L49:L51)),AVERAGE(L28:L51))</f>
        <v>0</v>
      </c>
      <c r="M59" s="4">
        <f>IFERROR(TRIMMEAN(M49:M51,2/COUNT(M49:M51)),AVERAGE(M28:M51))</f>
        <v>0</v>
      </c>
      <c r="N59" s="4">
        <f>IFERROR(TRIMMEAN(N49:N51,2/COUNT(N49:N51)),AVERAGE(N28:N51))</f>
        <v>0</v>
      </c>
      <c r="O59" s="4">
        <f>IFERROR(TRIMMEAN(O49:O51,2/COUNT(O49:O51)),AVERAGE(O28:O51))</f>
        <v>0</v>
      </c>
      <c r="P59" s="4">
        <f>IFERROR(TRIMMEAN(P49:P51,2/COUNT(P49:P51)),AVERAGE(P28:P51))</f>
        <v>0</v>
      </c>
      <c r="Q59" s="4">
        <f>IFERROR(TRIMMEAN(Q49:Q51,2/COUNT(Q49:Q51)),AVERAGE(Q28:Q51))</f>
        <v>0</v>
      </c>
      <c r="R59" s="4">
        <f>IFERROR(TRIMMEAN(R49:R51,2/COUNT(R49:R51)),AVERAGE(R28:R51))</f>
        <v>0</v>
      </c>
      <c r="S59" s="4">
        <f>IFERROR(TRIMMEAN(S49:S51,2/COUNT(S49:S51)),AVERAGE(S28:S51))</f>
        <v>0</v>
      </c>
      <c r="T59" s="4">
        <f>IFERROR(TRIMMEAN(T49:T51,2/COUNT(T49:T51)),AVERAGE(T28:T51))</f>
        <v>0</v>
      </c>
      <c r="U59" s="4">
        <f>IFERROR(TRIMMEAN(U49:U51,2/COUNT(U49:U51)),AVERAGE(U28:U51))</f>
        <v>0</v>
      </c>
      <c r="V59" s="4">
        <f>IFERROR(TRIMMEAN(V49:V51,2/COUNT(V49:V51)),AVERAGE(V28:V51))</f>
        <v>0</v>
      </c>
      <c r="W59" s="4">
        <f>IFERROR(TRIMMEAN(W49:W51,2/COUNT(W49:W51)),AVERAGE(W28:W51))</f>
        <v>0</v>
      </c>
      <c r="X59" s="4">
        <f>IFERROR(TRIMMEAN(X49:X51,2/COUNT(X49:X51)),AVERAGE(X28:X51))</f>
        <v>0</v>
      </c>
    </row>
    <row r="60" spans="1:25">
      <c r="A60" s="2" t="s">
        <v>80</v>
      </c>
      <c r="B60" s="4">
        <f>IFERROR(AVERAGE(B47:B51),AVERAGE(B28:B51))</f>
        <v>0</v>
      </c>
      <c r="C60" s="4">
        <f>IFERROR(AVERAGE(C47:C51),AVERAGE(C28:C51))</f>
        <v>0</v>
      </c>
      <c r="D60" s="4">
        <f>IFERROR(AVERAGE(D47:D51),AVERAGE(D28:D51))</f>
        <v>0</v>
      </c>
      <c r="E60" s="4">
        <f>IFERROR(AVERAGE(E47:E51),AVERAGE(E28:E51))</f>
        <v>0</v>
      </c>
      <c r="F60" s="4">
        <f>IFERROR(AVERAGE(F47:F51),AVERAGE(F28:F51))</f>
        <v>0</v>
      </c>
      <c r="G60" s="4">
        <f>IFERROR(AVERAGE(G47:G51),AVERAGE(G28:G51))</f>
        <v>0</v>
      </c>
      <c r="H60" s="4">
        <f>IFERROR(AVERAGE(H47:H51),AVERAGE(H28:H51))</f>
        <v>0</v>
      </c>
      <c r="I60" s="4">
        <f>IFERROR(AVERAGE(I47:I51),AVERAGE(I28:I51))</f>
        <v>0</v>
      </c>
      <c r="J60" s="4">
        <f>IFERROR(AVERAGE(J47:J51),AVERAGE(J28:J51))</f>
        <v>0</v>
      </c>
      <c r="K60" s="4">
        <f>IFERROR(AVERAGE(K47:K51),AVERAGE(K28:K51))</f>
        <v>0</v>
      </c>
      <c r="L60" s="4">
        <f>IFERROR(AVERAGE(L47:L51),AVERAGE(L28:L51))</f>
        <v>0</v>
      </c>
      <c r="M60" s="4">
        <f>IFERROR(AVERAGE(M47:M51),AVERAGE(M28:M51))</f>
        <v>0</v>
      </c>
      <c r="N60" s="4">
        <f>IFERROR(AVERAGE(N47:N51),AVERAGE(N28:N51))</f>
        <v>0</v>
      </c>
      <c r="O60" s="4">
        <f>IFERROR(AVERAGE(O47:O51),AVERAGE(O28:O51))</f>
        <v>0</v>
      </c>
      <c r="P60" s="4">
        <f>IFERROR(AVERAGE(P47:P51),AVERAGE(P28:P51))</f>
        <v>0</v>
      </c>
      <c r="Q60" s="4">
        <f>IFERROR(AVERAGE(Q47:Q51),AVERAGE(Q28:Q51))</f>
        <v>0</v>
      </c>
      <c r="R60" s="4">
        <f>IFERROR(AVERAGE(R47:R51),AVERAGE(R28:R51))</f>
        <v>0</v>
      </c>
      <c r="S60" s="4">
        <f>IFERROR(AVERAGE(S47:S51),AVERAGE(S28:S51))</f>
        <v>0</v>
      </c>
      <c r="T60" s="4">
        <f>IFERROR(AVERAGE(T47:T51),AVERAGE(T28:T51))</f>
        <v>0</v>
      </c>
      <c r="U60" s="4">
        <f>IFERROR(AVERAGE(U47:U51),AVERAGE(U28:U51))</f>
        <v>0</v>
      </c>
      <c r="V60" s="4">
        <f>IFERROR(AVERAGE(V47:V51),AVERAGE(V28:V51))</f>
        <v>0</v>
      </c>
      <c r="W60" s="4">
        <f>IFERROR(AVERAGE(W47:W51),AVERAGE(W28:W51))</f>
        <v>0</v>
      </c>
      <c r="X60" s="4">
        <f>IFERROR(AVERAGE(X47:X51),AVERAGE(X28:X51))</f>
        <v>0</v>
      </c>
    </row>
    <row r="61" spans="1:25">
      <c r="A61" s="2" t="s">
        <v>81</v>
      </c>
      <c r="B61" s="4">
        <f>IFERROR(SUMPRODUCT(B47:B51,B21:B25)/SUMPRODUCT((B47:B51&lt;&gt;"")*B21:B25),SUMPRODUCT(B28:B51,B2:B25)/SUMPRODUCT((B28:B51&lt;&gt;"")*B2:B25))</f>
        <v>0</v>
      </c>
      <c r="C61" s="4">
        <f>IFERROR(SUMPRODUCT(C47:C51,C21:C25)/SUMPRODUCT((C47:C51&lt;&gt;"")*C21:C25),SUMPRODUCT(C28:C51,C2:C25)/SUMPRODUCT((C28:C51&lt;&gt;"")*C2:C25))</f>
        <v>0</v>
      </c>
      <c r="D61" s="4">
        <f>IFERROR(SUMPRODUCT(D47:D51,D21:D25)/SUMPRODUCT((D47:D51&lt;&gt;"")*D21:D25),SUMPRODUCT(D28:D51,D2:D25)/SUMPRODUCT((D28:D51&lt;&gt;"")*D2:D25))</f>
        <v>0</v>
      </c>
      <c r="E61" s="4">
        <f>IFERROR(SUMPRODUCT(E47:E51,E21:E25)/SUMPRODUCT((E47:E51&lt;&gt;"")*E21:E25),SUMPRODUCT(E28:E51,E2:E25)/SUMPRODUCT((E28:E51&lt;&gt;"")*E2:E25))</f>
        <v>0</v>
      </c>
      <c r="F61" s="4">
        <f>IFERROR(SUMPRODUCT(F47:F51,F21:F25)/SUMPRODUCT((F47:F51&lt;&gt;"")*F21:F25),SUMPRODUCT(F28:F51,F2:F25)/SUMPRODUCT((F28:F51&lt;&gt;"")*F2:F25))</f>
        <v>0</v>
      </c>
      <c r="G61" s="4">
        <f>IFERROR(SUMPRODUCT(G47:G51,G21:G25)/SUMPRODUCT((G47:G51&lt;&gt;"")*G21:G25),SUMPRODUCT(G28:G51,G2:G25)/SUMPRODUCT((G28:G51&lt;&gt;"")*G2:G25))</f>
        <v>0</v>
      </c>
      <c r="H61" s="4">
        <f>IFERROR(SUMPRODUCT(H47:H51,H21:H25)/SUMPRODUCT((H47:H51&lt;&gt;"")*H21:H25),SUMPRODUCT(H28:H51,H2:H25)/SUMPRODUCT((H28:H51&lt;&gt;"")*H2:H25))</f>
        <v>0</v>
      </c>
      <c r="I61" s="4">
        <f>IFERROR(SUMPRODUCT(I47:I51,I21:I25)/SUMPRODUCT((I47:I51&lt;&gt;"")*I21:I25),SUMPRODUCT(I28:I51,I2:I25)/SUMPRODUCT((I28:I51&lt;&gt;"")*I2:I25))</f>
        <v>0</v>
      </c>
      <c r="J61" s="4">
        <f>IFERROR(SUMPRODUCT(J47:J51,J21:J25)/SUMPRODUCT((J47:J51&lt;&gt;"")*J21:J25),SUMPRODUCT(J28:J51,J2:J25)/SUMPRODUCT((J28:J51&lt;&gt;"")*J2:J25))</f>
        <v>0</v>
      </c>
      <c r="K61" s="4">
        <f>IFERROR(SUMPRODUCT(K47:K51,K21:K25)/SUMPRODUCT((K47:K51&lt;&gt;"")*K21:K25),SUMPRODUCT(K28:K51,K2:K25)/SUMPRODUCT((K28:K51&lt;&gt;"")*K2:K25))</f>
        <v>0</v>
      </c>
      <c r="L61" s="4">
        <f>IFERROR(SUMPRODUCT(L47:L51,L21:L25)/SUMPRODUCT((L47:L51&lt;&gt;"")*L21:L25),SUMPRODUCT(L28:L51,L2:L25)/SUMPRODUCT((L28:L51&lt;&gt;"")*L2:L25))</f>
        <v>0</v>
      </c>
      <c r="M61" s="4">
        <f>IFERROR(SUMPRODUCT(M47:M51,M21:M25)/SUMPRODUCT((M47:M51&lt;&gt;"")*M21:M25),SUMPRODUCT(M28:M51,M2:M25)/SUMPRODUCT((M28:M51&lt;&gt;"")*M2:M25))</f>
        <v>0</v>
      </c>
      <c r="N61" s="4">
        <f>IFERROR(SUMPRODUCT(N47:N51,N21:N25)/SUMPRODUCT((N47:N51&lt;&gt;"")*N21:N25),SUMPRODUCT(N28:N51,N2:N25)/SUMPRODUCT((N28:N51&lt;&gt;"")*N2:N25))</f>
        <v>0</v>
      </c>
      <c r="O61" s="4">
        <f>IFERROR(SUMPRODUCT(O47:O51,O21:O25)/SUMPRODUCT((O47:O51&lt;&gt;"")*O21:O25),SUMPRODUCT(O28:O51,O2:O25)/SUMPRODUCT((O28:O51&lt;&gt;"")*O2:O25))</f>
        <v>0</v>
      </c>
      <c r="P61" s="4">
        <f>IFERROR(SUMPRODUCT(P47:P51,P21:P25)/SUMPRODUCT((P47:P51&lt;&gt;"")*P21:P25),SUMPRODUCT(P28:P51,P2:P25)/SUMPRODUCT((P28:P51&lt;&gt;"")*P2:P25))</f>
        <v>0</v>
      </c>
      <c r="Q61" s="4">
        <f>IFERROR(SUMPRODUCT(Q47:Q51,Q21:Q25)/SUMPRODUCT((Q47:Q51&lt;&gt;"")*Q21:Q25),SUMPRODUCT(Q28:Q51,Q2:Q25)/SUMPRODUCT((Q28:Q51&lt;&gt;"")*Q2:Q25))</f>
        <v>0</v>
      </c>
      <c r="R61" s="4">
        <f>IFERROR(SUMPRODUCT(R47:R51,R21:R25)/SUMPRODUCT((R47:R51&lt;&gt;"")*R21:R25),SUMPRODUCT(R28:R51,R2:R25)/SUMPRODUCT((R28:R51&lt;&gt;"")*R2:R25))</f>
        <v>0</v>
      </c>
      <c r="S61" s="4">
        <f>IFERROR(SUMPRODUCT(S47:S51,S21:S25)/SUMPRODUCT((S47:S51&lt;&gt;"")*S21:S25),SUMPRODUCT(S28:S51,S2:S25)/SUMPRODUCT((S28:S51&lt;&gt;"")*S2:S25))</f>
        <v>0</v>
      </c>
      <c r="T61" s="4">
        <f>IFERROR(SUMPRODUCT(T47:T51,T21:T25)/SUMPRODUCT((T47:T51&lt;&gt;"")*T21:T25),SUMPRODUCT(T28:T51,T2:T25)/SUMPRODUCT((T28:T51&lt;&gt;"")*T2:T25))</f>
        <v>0</v>
      </c>
      <c r="U61" s="4">
        <f>IFERROR(SUMPRODUCT(U47:U51,U21:U25)/SUMPRODUCT((U47:U51&lt;&gt;"")*U21:U25),SUMPRODUCT(U28:U51,U2:U25)/SUMPRODUCT((U28:U51&lt;&gt;"")*U2:U25))</f>
        <v>0</v>
      </c>
      <c r="V61" s="4">
        <f>IFERROR(SUMPRODUCT(V47:V51,V21:V25)/SUMPRODUCT((V47:V51&lt;&gt;"")*V21:V25),SUMPRODUCT(V28:V51,V2:V25)/SUMPRODUCT((V28:V51&lt;&gt;"")*V2:V25))</f>
        <v>0</v>
      </c>
      <c r="W61" s="4">
        <f>IFERROR(SUMPRODUCT(W47:W51,W21:W25)/SUMPRODUCT((W47:W51&lt;&gt;"")*W21:W25),SUMPRODUCT(W28:W51,W2:W25)/SUMPRODUCT((W28:W51&lt;&gt;"")*W2:W25))</f>
        <v>0</v>
      </c>
      <c r="X61" s="4">
        <f>IFERROR(SUMPRODUCT(X47:X51,X21:X25)/SUMPRODUCT((X47:X51&lt;&gt;"")*X21:X25),SUMPRODUCT(X28:X51,X2:X25)/SUMPRODUCT((X28:X51&lt;&gt;"")*X2:X25))</f>
        <v>0</v>
      </c>
    </row>
    <row r="62" spans="1:25">
      <c r="A62" s="2" t="s">
        <v>82</v>
      </c>
      <c r="B62" s="4">
        <f>IFERROR(TRIMMEAN(B47:B51,2/COUNT(B47:B51)),AVERAGE(B28:B51))</f>
        <v>0</v>
      </c>
      <c r="C62" s="4">
        <f>IFERROR(TRIMMEAN(C47:C51,2/COUNT(C47:C51)),AVERAGE(C28:C51))</f>
        <v>0</v>
      </c>
      <c r="D62" s="4">
        <f>IFERROR(TRIMMEAN(D47:D51,2/COUNT(D47:D51)),AVERAGE(D28:D51))</f>
        <v>0</v>
      </c>
      <c r="E62" s="4">
        <f>IFERROR(TRIMMEAN(E47:E51,2/COUNT(E47:E51)),AVERAGE(E28:E51))</f>
        <v>0</v>
      </c>
      <c r="F62" s="4">
        <f>IFERROR(TRIMMEAN(F47:F51,2/COUNT(F47:F51)),AVERAGE(F28:F51))</f>
        <v>0</v>
      </c>
      <c r="G62" s="4">
        <f>IFERROR(TRIMMEAN(G47:G51,2/COUNT(G47:G51)),AVERAGE(G28:G51))</f>
        <v>0</v>
      </c>
      <c r="H62" s="4">
        <f>IFERROR(TRIMMEAN(H47:H51,2/COUNT(H47:H51)),AVERAGE(H28:H51))</f>
        <v>0</v>
      </c>
      <c r="I62" s="4">
        <f>IFERROR(TRIMMEAN(I47:I51,2/COUNT(I47:I51)),AVERAGE(I28:I51))</f>
        <v>0</v>
      </c>
      <c r="J62" s="4">
        <f>IFERROR(TRIMMEAN(J47:J51,2/COUNT(J47:J51)),AVERAGE(J28:J51))</f>
        <v>0</v>
      </c>
      <c r="K62" s="4">
        <f>IFERROR(TRIMMEAN(K47:K51,2/COUNT(K47:K51)),AVERAGE(K28:K51))</f>
        <v>0</v>
      </c>
      <c r="L62" s="4">
        <f>IFERROR(TRIMMEAN(L47:L51,2/COUNT(L47:L51)),AVERAGE(L28:L51))</f>
        <v>0</v>
      </c>
      <c r="M62" s="4">
        <f>IFERROR(TRIMMEAN(M47:M51,2/COUNT(M47:M51)),AVERAGE(M28:M51))</f>
        <v>0</v>
      </c>
      <c r="N62" s="4">
        <f>IFERROR(TRIMMEAN(N47:N51,2/COUNT(N47:N51)),AVERAGE(N28:N51))</f>
        <v>0</v>
      </c>
      <c r="O62" s="4">
        <f>IFERROR(TRIMMEAN(O47:O51,2/COUNT(O47:O51)),AVERAGE(O28:O51))</f>
        <v>0</v>
      </c>
      <c r="P62" s="4">
        <f>IFERROR(TRIMMEAN(P47:P51,2/COUNT(P47:P51)),AVERAGE(P28:P51))</f>
        <v>0</v>
      </c>
      <c r="Q62" s="4">
        <f>IFERROR(TRIMMEAN(Q47:Q51,2/COUNT(Q47:Q51)),AVERAGE(Q28:Q51))</f>
        <v>0</v>
      </c>
      <c r="R62" s="4">
        <f>IFERROR(TRIMMEAN(R47:R51,2/COUNT(R47:R51)),AVERAGE(R28:R51))</f>
        <v>0</v>
      </c>
      <c r="S62" s="4">
        <f>IFERROR(TRIMMEAN(S47:S51,2/COUNT(S47:S51)),AVERAGE(S28:S51))</f>
        <v>0</v>
      </c>
      <c r="T62" s="4">
        <f>IFERROR(TRIMMEAN(T47:T51,2/COUNT(T47:T51)),AVERAGE(T28:T51))</f>
        <v>0</v>
      </c>
      <c r="U62" s="4">
        <f>IFERROR(TRIMMEAN(U47:U51,2/COUNT(U47:U51)),AVERAGE(U28:U51))</f>
        <v>0</v>
      </c>
      <c r="V62" s="4">
        <f>IFERROR(TRIMMEAN(V47:V51,2/COUNT(V47:V51)),AVERAGE(V28:V51))</f>
        <v>0</v>
      </c>
      <c r="W62" s="4">
        <f>IFERROR(TRIMMEAN(W47:W51,2/COUNT(W47:W51)),AVERAGE(W28:W51))</f>
        <v>0</v>
      </c>
      <c r="X62" s="4">
        <f>IFERROR(TRIMMEAN(X47:X51,2/COUNT(X47:X51)),AVERAGE(X28:X51))</f>
        <v>0</v>
      </c>
    </row>
    <row r="63" spans="1:25">
      <c r="A63" s="2" t="s">
        <v>83</v>
      </c>
      <c r="B63" s="4">
        <f>IFERROR(AVERAGE(B42:B51),AVERAGE(B28:B51))</f>
        <v>0</v>
      </c>
      <c r="C63" s="4">
        <f>IFERROR(AVERAGE(C42:C51),AVERAGE(C28:C51))</f>
        <v>0</v>
      </c>
      <c r="D63" s="4">
        <f>IFERROR(AVERAGE(D42:D51),AVERAGE(D28:D51))</f>
        <v>0</v>
      </c>
      <c r="E63" s="4">
        <f>IFERROR(AVERAGE(E42:E51),AVERAGE(E28:E51))</f>
        <v>0</v>
      </c>
      <c r="F63" s="4">
        <f>IFERROR(AVERAGE(F42:F51),AVERAGE(F28:F51))</f>
        <v>0</v>
      </c>
      <c r="G63" s="4">
        <f>IFERROR(AVERAGE(G42:G51),AVERAGE(G28:G51))</f>
        <v>0</v>
      </c>
      <c r="H63" s="4">
        <f>IFERROR(AVERAGE(H42:H51),AVERAGE(H28:H51))</f>
        <v>0</v>
      </c>
      <c r="I63" s="4">
        <f>IFERROR(AVERAGE(I42:I51),AVERAGE(I28:I51))</f>
        <v>0</v>
      </c>
      <c r="J63" s="4">
        <f>IFERROR(AVERAGE(J42:J51),AVERAGE(J28:J51))</f>
        <v>0</v>
      </c>
      <c r="K63" s="4">
        <f>IFERROR(AVERAGE(K42:K51),AVERAGE(K28:K51))</f>
        <v>0</v>
      </c>
      <c r="L63" s="4">
        <f>IFERROR(AVERAGE(L42:L51),AVERAGE(L28:L51))</f>
        <v>0</v>
      </c>
      <c r="M63" s="4">
        <f>IFERROR(AVERAGE(M42:M51),AVERAGE(M28:M51))</f>
        <v>0</v>
      </c>
      <c r="N63" s="4">
        <f>IFERROR(AVERAGE(N42:N51),AVERAGE(N28:N51))</f>
        <v>0</v>
      </c>
      <c r="O63" s="4">
        <f>IFERROR(AVERAGE(O42:O51),AVERAGE(O28:O51))</f>
        <v>0</v>
      </c>
      <c r="P63" s="4">
        <f>IFERROR(AVERAGE(P42:P51),AVERAGE(P28:P51))</f>
        <v>0</v>
      </c>
      <c r="Q63" s="4">
        <f>IFERROR(AVERAGE(Q42:Q51),AVERAGE(Q28:Q51))</f>
        <v>0</v>
      </c>
      <c r="R63" s="4">
        <f>IFERROR(AVERAGE(R42:R51),AVERAGE(R28:R51))</f>
        <v>0</v>
      </c>
      <c r="S63" s="4">
        <f>IFERROR(AVERAGE(S42:S51),AVERAGE(S28:S51))</f>
        <v>0</v>
      </c>
      <c r="T63" s="4">
        <f>IFERROR(AVERAGE(T42:T51),AVERAGE(T28:T51))</f>
        <v>0</v>
      </c>
      <c r="U63" s="4">
        <f>IFERROR(AVERAGE(U42:U51),AVERAGE(U28:U51))</f>
        <v>0</v>
      </c>
      <c r="V63" s="4">
        <f>IFERROR(AVERAGE(V42:V51),AVERAGE(V28:V51))</f>
        <v>0</v>
      </c>
      <c r="W63" s="4">
        <f>IFERROR(AVERAGE(W42:W51),AVERAGE(W28:W51))</f>
        <v>0</v>
      </c>
      <c r="X63" s="4">
        <f>IFERROR(AVERAGE(X42:X51),AVERAGE(X28:X51))</f>
        <v>0</v>
      </c>
    </row>
    <row r="64" spans="1:25">
      <c r="A64" s="2" t="s">
        <v>84</v>
      </c>
      <c r="B64" s="4">
        <f>IFERROR(SUMPRODUCT(B42:B51,B16:B25)/SUMPRODUCT((B42:B51&lt;&gt;"")*B16:B25),SUMPRODUCT(B28:B51,B2:B25)/SUMPRODUCT((B28:B51&lt;&gt;"")*B2:B25))</f>
        <v>0</v>
      </c>
      <c r="C64" s="4">
        <f>IFERROR(SUMPRODUCT(C42:C51,C16:C25)/SUMPRODUCT((C42:C51&lt;&gt;"")*C16:C25),SUMPRODUCT(C28:C51,C2:C25)/SUMPRODUCT((C28:C51&lt;&gt;"")*C2:C25))</f>
        <v>0</v>
      </c>
      <c r="D64" s="4">
        <f>IFERROR(SUMPRODUCT(D42:D51,D16:D25)/SUMPRODUCT((D42:D51&lt;&gt;"")*D16:D25),SUMPRODUCT(D28:D51,D2:D25)/SUMPRODUCT((D28:D51&lt;&gt;"")*D2:D25))</f>
        <v>0</v>
      </c>
      <c r="E64" s="4">
        <f>IFERROR(SUMPRODUCT(E42:E51,E16:E25)/SUMPRODUCT((E42:E51&lt;&gt;"")*E16:E25),SUMPRODUCT(E28:E51,E2:E25)/SUMPRODUCT((E28:E51&lt;&gt;"")*E2:E25))</f>
        <v>0</v>
      </c>
      <c r="F64" s="4">
        <f>IFERROR(SUMPRODUCT(F42:F51,F16:F25)/SUMPRODUCT((F42:F51&lt;&gt;"")*F16:F25),SUMPRODUCT(F28:F51,F2:F25)/SUMPRODUCT((F28:F51&lt;&gt;"")*F2:F25))</f>
        <v>0</v>
      </c>
      <c r="G64" s="4">
        <f>IFERROR(SUMPRODUCT(G42:G51,G16:G25)/SUMPRODUCT((G42:G51&lt;&gt;"")*G16:G25),SUMPRODUCT(G28:G51,G2:G25)/SUMPRODUCT((G28:G51&lt;&gt;"")*G2:G25))</f>
        <v>0</v>
      </c>
      <c r="H64" s="4">
        <f>IFERROR(SUMPRODUCT(H42:H51,H16:H25)/SUMPRODUCT((H42:H51&lt;&gt;"")*H16:H25),SUMPRODUCT(H28:H51,H2:H25)/SUMPRODUCT((H28:H51&lt;&gt;"")*H2:H25))</f>
        <v>0</v>
      </c>
      <c r="I64" s="4">
        <f>IFERROR(SUMPRODUCT(I42:I51,I16:I25)/SUMPRODUCT((I42:I51&lt;&gt;"")*I16:I25),SUMPRODUCT(I28:I51,I2:I25)/SUMPRODUCT((I28:I51&lt;&gt;"")*I2:I25))</f>
        <v>0</v>
      </c>
      <c r="J64" s="4">
        <f>IFERROR(SUMPRODUCT(J42:J51,J16:J25)/SUMPRODUCT((J42:J51&lt;&gt;"")*J16:J25),SUMPRODUCT(J28:J51,J2:J25)/SUMPRODUCT((J28:J51&lt;&gt;"")*J2:J25))</f>
        <v>0</v>
      </c>
      <c r="K64" s="4">
        <f>IFERROR(SUMPRODUCT(K42:K51,K16:K25)/SUMPRODUCT((K42:K51&lt;&gt;"")*K16:K25),SUMPRODUCT(K28:K51,K2:K25)/SUMPRODUCT((K28:K51&lt;&gt;"")*K2:K25))</f>
        <v>0</v>
      </c>
      <c r="L64" s="4">
        <f>IFERROR(SUMPRODUCT(L42:L51,L16:L25)/SUMPRODUCT((L42:L51&lt;&gt;"")*L16:L25),SUMPRODUCT(L28:L51,L2:L25)/SUMPRODUCT((L28:L51&lt;&gt;"")*L2:L25))</f>
        <v>0</v>
      </c>
      <c r="M64" s="4">
        <f>IFERROR(SUMPRODUCT(M42:M51,M16:M25)/SUMPRODUCT((M42:M51&lt;&gt;"")*M16:M25),SUMPRODUCT(M28:M51,M2:M25)/SUMPRODUCT((M28:M51&lt;&gt;"")*M2:M25))</f>
        <v>0</v>
      </c>
      <c r="N64" s="4">
        <f>IFERROR(SUMPRODUCT(N42:N51,N16:N25)/SUMPRODUCT((N42:N51&lt;&gt;"")*N16:N25),SUMPRODUCT(N28:N51,N2:N25)/SUMPRODUCT((N28:N51&lt;&gt;"")*N2:N25))</f>
        <v>0</v>
      </c>
      <c r="O64" s="4">
        <f>IFERROR(SUMPRODUCT(O42:O51,O16:O25)/SUMPRODUCT((O42:O51&lt;&gt;"")*O16:O25),SUMPRODUCT(O28:O51,O2:O25)/SUMPRODUCT((O28:O51&lt;&gt;"")*O2:O25))</f>
        <v>0</v>
      </c>
      <c r="P64" s="4">
        <f>IFERROR(SUMPRODUCT(P42:P51,P16:P25)/SUMPRODUCT((P42:P51&lt;&gt;"")*P16:P25),SUMPRODUCT(P28:P51,P2:P25)/SUMPRODUCT((P28:P51&lt;&gt;"")*P2:P25))</f>
        <v>0</v>
      </c>
      <c r="Q64" s="4">
        <f>IFERROR(SUMPRODUCT(Q42:Q51,Q16:Q25)/SUMPRODUCT((Q42:Q51&lt;&gt;"")*Q16:Q25),SUMPRODUCT(Q28:Q51,Q2:Q25)/SUMPRODUCT((Q28:Q51&lt;&gt;"")*Q2:Q25))</f>
        <v>0</v>
      </c>
      <c r="R64" s="4">
        <f>IFERROR(SUMPRODUCT(R42:R51,R16:R25)/SUMPRODUCT((R42:R51&lt;&gt;"")*R16:R25),SUMPRODUCT(R28:R51,R2:R25)/SUMPRODUCT((R28:R51&lt;&gt;"")*R2:R25))</f>
        <v>0</v>
      </c>
      <c r="S64" s="4">
        <f>IFERROR(SUMPRODUCT(S42:S51,S16:S25)/SUMPRODUCT((S42:S51&lt;&gt;"")*S16:S25),SUMPRODUCT(S28:S51,S2:S25)/SUMPRODUCT((S28:S51&lt;&gt;"")*S2:S25))</f>
        <v>0</v>
      </c>
      <c r="T64" s="4">
        <f>IFERROR(SUMPRODUCT(T42:T51,T16:T25)/SUMPRODUCT((T42:T51&lt;&gt;"")*T16:T25),SUMPRODUCT(T28:T51,T2:T25)/SUMPRODUCT((T28:T51&lt;&gt;"")*T2:T25))</f>
        <v>0</v>
      </c>
      <c r="U64" s="4">
        <f>IFERROR(SUMPRODUCT(U42:U51,U16:U25)/SUMPRODUCT((U42:U51&lt;&gt;"")*U16:U25),SUMPRODUCT(U28:U51,U2:U25)/SUMPRODUCT((U28:U51&lt;&gt;"")*U2:U25))</f>
        <v>0</v>
      </c>
      <c r="V64" s="4">
        <f>IFERROR(SUMPRODUCT(V42:V51,V16:V25)/SUMPRODUCT((V42:V51&lt;&gt;"")*V16:V25),SUMPRODUCT(V28:V51,V2:V25)/SUMPRODUCT((V28:V51&lt;&gt;"")*V2:V25))</f>
        <v>0</v>
      </c>
      <c r="W64" s="4">
        <f>IFERROR(SUMPRODUCT(W42:W51,W16:W25)/SUMPRODUCT((W42:W51&lt;&gt;"")*W16:W25),SUMPRODUCT(W28:W51,W2:W25)/SUMPRODUCT((W28:W51&lt;&gt;"")*W2:W25))</f>
        <v>0</v>
      </c>
      <c r="X64" s="4">
        <f>IFERROR(SUMPRODUCT(X42:X51,X16:X25)/SUMPRODUCT((X42:X51&lt;&gt;"")*X16:X25),SUMPRODUCT(X28:X51,X2:X25)/SUMPRODUCT((X28:X51&lt;&gt;"")*X2:X25))</f>
        <v>0</v>
      </c>
    </row>
    <row r="65" spans="1:24">
      <c r="A65" s="2" t="s">
        <v>85</v>
      </c>
      <c r="B65" s="4">
        <f>IFERROR(TRIMMEAN(B42:B51,2/COUNT(B42:B51)),AVERAGE(B28:B51))</f>
        <v>0</v>
      </c>
      <c r="C65" s="4">
        <f>IFERROR(TRIMMEAN(C42:C51,2/COUNT(C42:C51)),AVERAGE(C28:C51))</f>
        <v>0</v>
      </c>
      <c r="D65" s="4">
        <f>IFERROR(TRIMMEAN(D42:D51,2/COUNT(D42:D51)),AVERAGE(D28:D51))</f>
        <v>0</v>
      </c>
      <c r="E65" s="4">
        <f>IFERROR(TRIMMEAN(E42:E51,2/COUNT(E42:E51)),AVERAGE(E28:E51))</f>
        <v>0</v>
      </c>
      <c r="F65" s="4">
        <f>IFERROR(TRIMMEAN(F42:F51,2/COUNT(F42:F51)),AVERAGE(F28:F51))</f>
        <v>0</v>
      </c>
      <c r="G65" s="4">
        <f>IFERROR(TRIMMEAN(G42:G51,2/COUNT(G42:G51)),AVERAGE(G28:G51))</f>
        <v>0</v>
      </c>
      <c r="H65" s="4">
        <f>IFERROR(TRIMMEAN(H42:H51,2/COUNT(H42:H51)),AVERAGE(H28:H51))</f>
        <v>0</v>
      </c>
      <c r="I65" s="4">
        <f>IFERROR(TRIMMEAN(I42:I51,2/COUNT(I42:I51)),AVERAGE(I28:I51))</f>
        <v>0</v>
      </c>
      <c r="J65" s="4">
        <f>IFERROR(TRIMMEAN(J42:J51,2/COUNT(J42:J51)),AVERAGE(J28:J51))</f>
        <v>0</v>
      </c>
      <c r="K65" s="4">
        <f>IFERROR(TRIMMEAN(K42:K51,2/COUNT(K42:K51)),AVERAGE(K28:K51))</f>
        <v>0</v>
      </c>
      <c r="L65" s="4">
        <f>IFERROR(TRIMMEAN(L42:L51,2/COUNT(L42:L51)),AVERAGE(L28:L51))</f>
        <v>0</v>
      </c>
      <c r="M65" s="4">
        <f>IFERROR(TRIMMEAN(M42:M51,2/COUNT(M42:M51)),AVERAGE(M28:M51))</f>
        <v>0</v>
      </c>
      <c r="N65" s="4">
        <f>IFERROR(TRIMMEAN(N42:N51,2/COUNT(N42:N51)),AVERAGE(N28:N51))</f>
        <v>0</v>
      </c>
      <c r="O65" s="4">
        <f>IFERROR(TRIMMEAN(O42:O51,2/COUNT(O42:O51)),AVERAGE(O28:O51))</f>
        <v>0</v>
      </c>
      <c r="P65" s="4">
        <f>IFERROR(TRIMMEAN(P42:P51,2/COUNT(P42:P51)),AVERAGE(P28:P51))</f>
        <v>0</v>
      </c>
      <c r="Q65" s="4">
        <f>IFERROR(TRIMMEAN(Q42:Q51,2/COUNT(Q42:Q51)),AVERAGE(Q28:Q51))</f>
        <v>0</v>
      </c>
      <c r="R65" s="4">
        <f>IFERROR(TRIMMEAN(R42:R51,2/COUNT(R42:R51)),AVERAGE(R28:R51))</f>
        <v>0</v>
      </c>
      <c r="S65" s="4">
        <f>IFERROR(TRIMMEAN(S42:S51,2/COUNT(S42:S51)),AVERAGE(S28:S51))</f>
        <v>0</v>
      </c>
      <c r="T65" s="4">
        <f>IFERROR(TRIMMEAN(T42:T51,2/COUNT(T42:T51)),AVERAGE(T28:T51))</f>
        <v>0</v>
      </c>
      <c r="U65" s="4">
        <f>IFERROR(TRIMMEAN(U42:U51,2/COUNT(U42:U51)),AVERAGE(U28:U51))</f>
        <v>0</v>
      </c>
      <c r="V65" s="4">
        <f>IFERROR(TRIMMEAN(V42:V51,2/COUNT(V42:V51)),AVERAGE(V28:V51))</f>
        <v>0</v>
      </c>
      <c r="W65" s="4">
        <f>IFERROR(TRIMMEAN(W42:W51,2/COUNT(W42:W51)),AVERAGE(W28:W51))</f>
        <v>0</v>
      </c>
      <c r="X65" s="4">
        <f>IFERROR(TRIMMEAN(X42:X51,2/COUNT(X42:X51)),AVERAGE(X28:X51))</f>
        <v>0</v>
      </c>
    </row>
    <row r="67" spans="1:24">
      <c r="A67" s="1"/>
      <c r="B67" s="1" t="s">
        <v>49</v>
      </c>
      <c r="C67" s="1" t="s">
        <v>50</v>
      </c>
      <c r="D67" s="1" t="s">
        <v>51</v>
      </c>
      <c r="E67" s="1" t="s">
        <v>52</v>
      </c>
      <c r="F67" s="1" t="s">
        <v>53</v>
      </c>
      <c r="G67" s="1" t="s">
        <v>54</v>
      </c>
      <c r="H67" s="1" t="s">
        <v>55</v>
      </c>
      <c r="I67" s="1" t="s">
        <v>56</v>
      </c>
      <c r="J67" s="1" t="s">
        <v>57</v>
      </c>
      <c r="K67" s="1" t="s">
        <v>58</v>
      </c>
      <c r="L67" s="1" t="s">
        <v>59</v>
      </c>
      <c r="M67" s="1" t="s">
        <v>60</v>
      </c>
      <c r="N67" s="1" t="s">
        <v>61</v>
      </c>
      <c r="O67" s="1" t="s">
        <v>62</v>
      </c>
      <c r="P67" s="1" t="s">
        <v>63</v>
      </c>
      <c r="Q67" s="1" t="s">
        <v>64</v>
      </c>
      <c r="R67" s="1" t="s">
        <v>65</v>
      </c>
      <c r="S67" s="1" t="s">
        <v>66</v>
      </c>
      <c r="T67" s="1" t="s">
        <v>67</v>
      </c>
      <c r="U67" s="1" t="s">
        <v>68</v>
      </c>
      <c r="V67" s="1" t="s">
        <v>69</v>
      </c>
      <c r="W67" s="1" t="s">
        <v>70</v>
      </c>
      <c r="X67" s="1" t="s">
        <v>71</v>
      </c>
    </row>
    <row r="68" spans="1:24">
      <c r="A68" s="5" t="s">
        <v>86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>
      <c r="A69" s="5" t="s">
        <v>87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1" spans="1:24">
      <c r="A71" s="8" t="s">
        <v>88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spans="1:24">
      <c r="A72" s="8" t="s">
        <v>89</v>
      </c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4" spans="1:24">
      <c r="A74" s="11" t="s">
        <v>90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spans="1:24">
      <c r="A75" s="11" t="s">
        <v>91</v>
      </c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Y75"/>
  <sheetViews>
    <sheetView workbookViewId="0"/>
  </sheetViews>
  <sheetFormatPr defaultRowHeight="15"/>
  <cols>
    <col min="1" max="1" width="22.7109375" customWidth="1"/>
    <col min="2" max="25" width="12.7109375" customWidth="1"/>
  </cols>
  <sheetData>
    <row r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>
      <c r="A2" s="2" t="s">
        <v>25</v>
      </c>
      <c r="B2" s="3">
        <v>637.3668</v>
      </c>
      <c r="C2" s="3">
        <v>682.2332</v>
      </c>
      <c r="D2" s="3">
        <v>683.5528</v>
      </c>
      <c r="E2" s="3">
        <v>683.5528</v>
      </c>
      <c r="F2" s="3">
        <v>683.5528</v>
      </c>
      <c r="G2" s="3">
        <v>683.5528</v>
      </c>
      <c r="H2" s="3">
        <v>700.7076</v>
      </c>
      <c r="I2" s="3">
        <v>700.7076</v>
      </c>
      <c r="J2" s="3">
        <v>700.7076</v>
      </c>
      <c r="K2" s="3">
        <v>700.7076</v>
      </c>
      <c r="L2" s="3">
        <v>700.7076</v>
      </c>
      <c r="M2" s="3">
        <v>700.7076</v>
      </c>
      <c r="N2" s="3">
        <v>700.7076</v>
      </c>
      <c r="O2" s="3">
        <v>700.7076</v>
      </c>
      <c r="P2" s="3">
        <v>700.7076</v>
      </c>
      <c r="Q2" s="3">
        <v>700.7076</v>
      </c>
      <c r="R2" s="3">
        <v>700.7076</v>
      </c>
      <c r="S2" s="3">
        <v>700.7076</v>
      </c>
      <c r="T2" s="3">
        <v>700.7076</v>
      </c>
      <c r="U2" s="3">
        <v>700.7076</v>
      </c>
      <c r="V2" s="3">
        <v>700.7076</v>
      </c>
      <c r="W2" s="3">
        <v>700.7076</v>
      </c>
      <c r="X2" s="3">
        <v>700.7076</v>
      </c>
      <c r="Y2" s="3">
        <v>700.7076</v>
      </c>
    </row>
    <row r="3" spans="1:25">
      <c r="A3" s="2" t="s">
        <v>26</v>
      </c>
      <c r="B3" s="3">
        <v>613.614</v>
      </c>
      <c r="C3" s="3">
        <v>634.7276000000001</v>
      </c>
      <c r="D3" s="3">
        <v>634.7276000000001</v>
      </c>
      <c r="E3" s="3">
        <v>634.7276000000001</v>
      </c>
      <c r="F3" s="3">
        <v>634.7276000000001</v>
      </c>
      <c r="G3" s="3">
        <v>651.8824</v>
      </c>
      <c r="H3" s="3">
        <v>651.8824</v>
      </c>
      <c r="I3" s="3">
        <v>651.8824</v>
      </c>
      <c r="J3" s="3">
        <v>651.8824</v>
      </c>
      <c r="K3" s="3">
        <v>651.8824</v>
      </c>
      <c r="L3" s="3">
        <v>651.8824</v>
      </c>
      <c r="M3" s="3">
        <v>651.8824</v>
      </c>
      <c r="N3" s="3">
        <v>651.8824</v>
      </c>
      <c r="O3" s="3">
        <v>651.8824</v>
      </c>
      <c r="P3" s="3">
        <v>651.8824</v>
      </c>
      <c r="Q3" s="3">
        <v>651.8824</v>
      </c>
      <c r="R3" s="3">
        <v>651.8824</v>
      </c>
      <c r="S3" s="3">
        <v>651.8824</v>
      </c>
      <c r="T3" s="3">
        <v>651.8824</v>
      </c>
      <c r="U3" s="3">
        <v>651.8824</v>
      </c>
      <c r="V3" s="3">
        <v>651.8824</v>
      </c>
      <c r="W3" s="3">
        <v>651.8824</v>
      </c>
      <c r="X3" s="3">
        <v>651.8824</v>
      </c>
    </row>
    <row r="4" spans="1:25">
      <c r="A4" s="2" t="s">
        <v>27</v>
      </c>
      <c r="B4" s="3">
        <v>534.438</v>
      </c>
      <c r="C4" s="3">
        <v>552.9124</v>
      </c>
      <c r="D4" s="3">
        <v>552.9124</v>
      </c>
      <c r="E4" s="3">
        <v>552.9124</v>
      </c>
      <c r="F4" s="3">
        <v>550.2732</v>
      </c>
      <c r="G4" s="3">
        <v>550.2732</v>
      </c>
      <c r="H4" s="3">
        <v>551.5928</v>
      </c>
      <c r="I4" s="3">
        <v>551.5928</v>
      </c>
      <c r="J4" s="3">
        <v>551.5928</v>
      </c>
      <c r="K4" s="3">
        <v>551.5928</v>
      </c>
      <c r="L4" s="3">
        <v>551.5928</v>
      </c>
      <c r="M4" s="3">
        <v>551.5928</v>
      </c>
      <c r="N4" s="3">
        <v>551.5928</v>
      </c>
      <c r="O4" s="3">
        <v>551.5928</v>
      </c>
      <c r="P4" s="3">
        <v>551.5928</v>
      </c>
      <c r="Q4" s="3">
        <v>551.5928</v>
      </c>
      <c r="R4" s="3">
        <v>551.5928</v>
      </c>
      <c r="S4" s="3">
        <v>551.5928</v>
      </c>
      <c r="T4" s="3">
        <v>551.5928</v>
      </c>
      <c r="U4" s="3">
        <v>551.5928</v>
      </c>
      <c r="V4" s="3">
        <v>551.5928</v>
      </c>
      <c r="W4" s="3">
        <v>551.5928</v>
      </c>
    </row>
    <row r="5" spans="1:25">
      <c r="A5" s="2" t="s">
        <v>28</v>
      </c>
      <c r="B5" s="3">
        <v>603.0572</v>
      </c>
      <c r="C5" s="3">
        <v>638.6864</v>
      </c>
      <c r="D5" s="3">
        <v>638.6864</v>
      </c>
      <c r="E5" s="3">
        <v>641.3256</v>
      </c>
      <c r="F5" s="3">
        <v>642.6452</v>
      </c>
      <c r="G5" s="3">
        <v>642.6452</v>
      </c>
      <c r="H5" s="3">
        <v>642.6452</v>
      </c>
      <c r="I5" s="3">
        <v>642.6452</v>
      </c>
      <c r="J5" s="3">
        <v>642.6452</v>
      </c>
      <c r="K5" s="3">
        <v>642.6452</v>
      </c>
      <c r="L5" s="3">
        <v>642.6452</v>
      </c>
      <c r="M5" s="3">
        <v>642.6452</v>
      </c>
      <c r="N5" s="3">
        <v>642.6452</v>
      </c>
      <c r="O5" s="3">
        <v>642.6452</v>
      </c>
      <c r="P5" s="3">
        <v>642.6452</v>
      </c>
      <c r="Q5" s="3">
        <v>642.6452</v>
      </c>
      <c r="R5" s="3">
        <v>642.6452</v>
      </c>
      <c r="S5" s="3">
        <v>642.6452</v>
      </c>
      <c r="T5" s="3">
        <v>642.6452</v>
      </c>
      <c r="U5" s="3">
        <v>642.6452</v>
      </c>
      <c r="V5" s="3">
        <v>642.6452</v>
      </c>
    </row>
    <row r="6" spans="1:25">
      <c r="A6" s="2" t="s">
        <v>29</v>
      </c>
      <c r="B6" s="3">
        <v>626.8099999999999</v>
      </c>
      <c r="C6" s="3">
        <v>641.3256</v>
      </c>
      <c r="D6" s="3">
        <v>642.6452</v>
      </c>
      <c r="E6" s="3">
        <v>641.3256</v>
      </c>
      <c r="F6" s="3">
        <v>641.3256</v>
      </c>
      <c r="G6" s="3">
        <v>641.3256</v>
      </c>
      <c r="H6" s="3">
        <v>641.3256</v>
      </c>
      <c r="I6" s="3">
        <v>641.3256</v>
      </c>
      <c r="J6" s="3">
        <v>641.3256</v>
      </c>
      <c r="K6" s="3">
        <v>641.3256</v>
      </c>
      <c r="L6" s="3">
        <v>641.3256</v>
      </c>
      <c r="M6" s="3">
        <v>641.3256</v>
      </c>
      <c r="N6" s="3">
        <v>641.3256</v>
      </c>
      <c r="O6" s="3">
        <v>641.3256</v>
      </c>
      <c r="P6" s="3">
        <v>641.3256</v>
      </c>
      <c r="Q6" s="3">
        <v>641.3256</v>
      </c>
      <c r="R6" s="3">
        <v>641.3256</v>
      </c>
      <c r="S6" s="3">
        <v>641.3256</v>
      </c>
      <c r="T6" s="3">
        <v>641.3256</v>
      </c>
      <c r="U6" s="3">
        <v>641.3256</v>
      </c>
    </row>
    <row r="7" spans="1:25">
      <c r="A7" s="2" t="s">
        <v>30</v>
      </c>
      <c r="B7" s="3">
        <v>479.0148</v>
      </c>
      <c r="C7" s="3">
        <v>497.4892</v>
      </c>
      <c r="D7" s="3">
        <v>497.4892</v>
      </c>
      <c r="E7" s="3">
        <v>497.4892</v>
      </c>
      <c r="F7" s="3">
        <v>497.4892</v>
      </c>
      <c r="G7" s="3">
        <v>497.4892</v>
      </c>
      <c r="H7" s="3">
        <v>497.4892</v>
      </c>
      <c r="I7" s="3">
        <v>497.4892</v>
      </c>
      <c r="J7" s="3">
        <v>497.4892</v>
      </c>
      <c r="K7" s="3">
        <v>497.4892</v>
      </c>
      <c r="L7" s="3">
        <v>497.4892</v>
      </c>
      <c r="M7" s="3">
        <v>497.4892</v>
      </c>
      <c r="N7" s="3">
        <v>497.4892</v>
      </c>
      <c r="O7" s="3">
        <v>497.4892</v>
      </c>
      <c r="P7" s="3">
        <v>497.4892</v>
      </c>
      <c r="Q7" s="3">
        <v>497.4892</v>
      </c>
      <c r="R7" s="3">
        <v>497.4892</v>
      </c>
      <c r="S7" s="3">
        <v>497.4892</v>
      </c>
      <c r="T7" s="3">
        <v>497.4892</v>
      </c>
    </row>
    <row r="8" spans="1:25">
      <c r="A8" s="2" t="s">
        <v>31</v>
      </c>
      <c r="B8" s="3">
        <v>456.5816</v>
      </c>
      <c r="C8" s="3">
        <v>476.3756</v>
      </c>
      <c r="D8" s="3">
        <v>476.3756</v>
      </c>
      <c r="E8" s="3">
        <v>476.3756</v>
      </c>
      <c r="F8" s="3">
        <v>476.3756</v>
      </c>
      <c r="G8" s="3">
        <v>476.3756</v>
      </c>
      <c r="H8" s="3">
        <v>476.3756</v>
      </c>
      <c r="I8" s="3">
        <v>476.3756</v>
      </c>
      <c r="J8" s="3">
        <v>476.3756</v>
      </c>
      <c r="K8" s="3">
        <v>476.3756</v>
      </c>
      <c r="L8" s="3">
        <v>476.3756</v>
      </c>
      <c r="M8" s="3">
        <v>476.3756</v>
      </c>
      <c r="N8" s="3">
        <v>476.3756</v>
      </c>
      <c r="O8" s="3">
        <v>476.3756</v>
      </c>
      <c r="P8" s="3">
        <v>476.3756</v>
      </c>
      <c r="Q8" s="3">
        <v>476.3756</v>
      </c>
      <c r="R8" s="3">
        <v>476.3756</v>
      </c>
      <c r="S8" s="3">
        <v>476.3756</v>
      </c>
    </row>
    <row r="9" spans="1:25">
      <c r="A9" s="2" t="s">
        <v>32</v>
      </c>
      <c r="B9" s="3">
        <v>307.4668</v>
      </c>
      <c r="C9" s="3">
        <v>327.2608</v>
      </c>
      <c r="D9" s="3">
        <v>328.5804</v>
      </c>
      <c r="E9" s="3">
        <v>328.5804</v>
      </c>
      <c r="F9" s="3">
        <v>328.5804</v>
      </c>
      <c r="G9" s="3">
        <v>328.5804</v>
      </c>
      <c r="H9" s="3">
        <v>328.5804</v>
      </c>
      <c r="I9" s="3">
        <v>328.5804</v>
      </c>
      <c r="J9" s="3">
        <v>328.5804</v>
      </c>
      <c r="K9" s="3">
        <v>328.5804</v>
      </c>
      <c r="L9" s="3">
        <v>328.5804</v>
      </c>
      <c r="M9" s="3">
        <v>328.5804</v>
      </c>
      <c r="N9" s="3">
        <v>328.5804</v>
      </c>
      <c r="O9" s="3">
        <v>328.5804</v>
      </c>
      <c r="P9" s="3">
        <v>328.5804</v>
      </c>
      <c r="Q9" s="3">
        <v>328.5804</v>
      </c>
      <c r="R9" s="3">
        <v>328.5804</v>
      </c>
    </row>
    <row r="10" spans="1:25">
      <c r="A10" s="2" t="s">
        <v>33</v>
      </c>
      <c r="B10" s="3">
        <v>306.1472</v>
      </c>
      <c r="C10" s="3">
        <v>320.6628</v>
      </c>
      <c r="D10" s="3">
        <v>321.9824</v>
      </c>
      <c r="E10" s="3">
        <v>321.9824</v>
      </c>
      <c r="F10" s="3">
        <v>321.9824</v>
      </c>
      <c r="G10" s="3">
        <v>321.9824</v>
      </c>
      <c r="H10" s="3">
        <v>321.9824</v>
      </c>
      <c r="I10" s="3">
        <v>321.9824</v>
      </c>
      <c r="J10" s="3">
        <v>321.9824</v>
      </c>
      <c r="K10" s="3">
        <v>321.9824</v>
      </c>
      <c r="L10" s="3">
        <v>321.9824</v>
      </c>
      <c r="M10" s="3">
        <v>321.9824</v>
      </c>
      <c r="N10" s="3">
        <v>321.9824</v>
      </c>
      <c r="O10" s="3">
        <v>321.9824</v>
      </c>
      <c r="P10" s="3">
        <v>321.9824</v>
      </c>
      <c r="Q10" s="3">
        <v>321.9824</v>
      </c>
    </row>
    <row r="11" spans="1:25">
      <c r="A11" s="2" t="s">
        <v>34</v>
      </c>
      <c r="B11" s="3">
        <v>259.9612</v>
      </c>
      <c r="C11" s="3">
        <v>271.8376</v>
      </c>
      <c r="D11" s="3">
        <v>271.8376</v>
      </c>
      <c r="E11" s="3">
        <v>271.8376</v>
      </c>
      <c r="F11" s="3">
        <v>271.8376</v>
      </c>
      <c r="G11" s="3">
        <v>271.8376</v>
      </c>
      <c r="H11" s="3">
        <v>271.8376</v>
      </c>
      <c r="I11" s="3">
        <v>271.8376</v>
      </c>
      <c r="J11" s="3">
        <v>271.8376</v>
      </c>
      <c r="K11" s="3">
        <v>271.8376</v>
      </c>
      <c r="L11" s="3">
        <v>271.8376</v>
      </c>
      <c r="M11" s="3">
        <v>271.8376</v>
      </c>
      <c r="N11" s="3">
        <v>271.8376</v>
      </c>
      <c r="O11" s="3">
        <v>271.8376</v>
      </c>
      <c r="P11" s="3">
        <v>271.8376</v>
      </c>
    </row>
    <row r="12" spans="1:25">
      <c r="A12" s="2" t="s">
        <v>35</v>
      </c>
      <c r="B12" s="3">
        <v>345.7352</v>
      </c>
      <c r="C12" s="3">
        <v>345.7352</v>
      </c>
      <c r="D12" s="3">
        <v>345.7352</v>
      </c>
      <c r="E12" s="3">
        <v>345.7352</v>
      </c>
      <c r="F12" s="3">
        <v>345.7352</v>
      </c>
      <c r="G12" s="3">
        <v>345.7352</v>
      </c>
      <c r="H12" s="3">
        <v>345.7352</v>
      </c>
      <c r="I12" s="3">
        <v>345.7352</v>
      </c>
      <c r="J12" s="3">
        <v>345.7352</v>
      </c>
      <c r="K12" s="3">
        <v>345.7352</v>
      </c>
      <c r="L12" s="3">
        <v>345.7352</v>
      </c>
      <c r="M12" s="3">
        <v>345.7352</v>
      </c>
      <c r="N12" s="3">
        <v>345.7352</v>
      </c>
      <c r="O12" s="3">
        <v>345.7352</v>
      </c>
    </row>
    <row r="13" spans="1:25">
      <c r="A13" s="2" t="s">
        <v>36</v>
      </c>
      <c r="B13" s="3">
        <v>245.4456</v>
      </c>
      <c r="C13" s="3">
        <v>261.2808</v>
      </c>
      <c r="D13" s="3">
        <v>261.2808</v>
      </c>
      <c r="E13" s="3">
        <v>261.2808</v>
      </c>
      <c r="F13" s="3">
        <v>261.2808</v>
      </c>
      <c r="G13" s="3">
        <v>261.2808</v>
      </c>
      <c r="H13" s="3">
        <v>261.2808</v>
      </c>
      <c r="I13" s="3">
        <v>261.2808</v>
      </c>
      <c r="J13" s="3">
        <v>261.2808</v>
      </c>
      <c r="K13" s="3">
        <v>261.2808</v>
      </c>
      <c r="L13" s="3">
        <v>261.2808</v>
      </c>
      <c r="M13" s="3">
        <v>261.2808</v>
      </c>
      <c r="N13" s="3">
        <v>261.2808</v>
      </c>
    </row>
    <row r="14" spans="1:25">
      <c r="A14" s="2" t="s">
        <v>37</v>
      </c>
      <c r="B14" s="3">
        <v>282.3944</v>
      </c>
      <c r="C14" s="3">
        <v>290.312</v>
      </c>
      <c r="D14" s="3">
        <v>290.312</v>
      </c>
      <c r="E14" s="3">
        <v>291.6316</v>
      </c>
      <c r="F14" s="3">
        <v>291.6316</v>
      </c>
      <c r="G14" s="3">
        <v>291.6316</v>
      </c>
      <c r="H14" s="3">
        <v>291.6316</v>
      </c>
      <c r="I14" s="3">
        <v>291.6316</v>
      </c>
      <c r="J14" s="3">
        <v>291.6316</v>
      </c>
      <c r="K14" s="3">
        <v>291.6316</v>
      </c>
      <c r="L14" s="3">
        <v>291.6316</v>
      </c>
      <c r="M14" s="3">
        <v>291.6316</v>
      </c>
    </row>
    <row r="15" spans="1:25">
      <c r="A15" s="2" t="s">
        <v>38</v>
      </c>
      <c r="B15" s="3">
        <v>434.1484</v>
      </c>
      <c r="C15" s="3">
        <v>453.9424</v>
      </c>
      <c r="D15" s="3">
        <v>455.262</v>
      </c>
      <c r="E15" s="3">
        <v>455.262</v>
      </c>
      <c r="F15" s="3">
        <v>455.262</v>
      </c>
      <c r="G15" s="3">
        <v>455.262</v>
      </c>
      <c r="H15" s="3">
        <v>455.262</v>
      </c>
      <c r="I15" s="3">
        <v>455.262</v>
      </c>
      <c r="J15" s="3">
        <v>455.262</v>
      </c>
      <c r="K15" s="3">
        <v>455.262</v>
      </c>
      <c r="L15" s="3">
        <v>455.262</v>
      </c>
    </row>
    <row r="16" spans="1:25">
      <c r="A16" s="2" t="s">
        <v>39</v>
      </c>
      <c r="B16" s="3">
        <v>321.9824</v>
      </c>
      <c r="C16" s="3">
        <v>332.5392</v>
      </c>
      <c r="D16" s="3">
        <v>337.8176</v>
      </c>
      <c r="E16" s="3">
        <v>337.8176</v>
      </c>
      <c r="F16" s="3">
        <v>337.8176</v>
      </c>
      <c r="G16" s="3">
        <v>337.8176</v>
      </c>
      <c r="H16" s="3">
        <v>337.8176</v>
      </c>
      <c r="I16" s="3">
        <v>337.8176</v>
      </c>
      <c r="J16" s="3">
        <v>337.8176</v>
      </c>
      <c r="K16" s="3">
        <v>333.8588</v>
      </c>
    </row>
    <row r="17" spans="1:24">
      <c r="A17" s="2" t="s">
        <v>40</v>
      </c>
      <c r="B17" s="3">
        <v>345.7352</v>
      </c>
      <c r="C17" s="3">
        <v>373.4468</v>
      </c>
      <c r="D17" s="3">
        <v>390.6016</v>
      </c>
      <c r="E17" s="3">
        <v>390.6016</v>
      </c>
      <c r="F17" s="3">
        <v>390.6016</v>
      </c>
      <c r="G17" s="3">
        <v>390.6016</v>
      </c>
      <c r="H17" s="3">
        <v>390.6016</v>
      </c>
      <c r="I17" s="3">
        <v>390.6016</v>
      </c>
      <c r="J17" s="3">
        <v>390.6016</v>
      </c>
    </row>
    <row r="18" spans="1:24">
      <c r="A18" s="2" t="s">
        <v>41</v>
      </c>
      <c r="B18" s="3">
        <v>275.7964</v>
      </c>
      <c r="C18" s="3">
        <v>310.106</v>
      </c>
      <c r="D18" s="3">
        <v>311.4256</v>
      </c>
      <c r="E18" s="3">
        <v>312.7452</v>
      </c>
      <c r="F18" s="3">
        <v>311.4256</v>
      </c>
      <c r="G18" s="3">
        <v>311.4256</v>
      </c>
      <c r="H18" s="3">
        <v>311.4256</v>
      </c>
      <c r="I18" s="3">
        <v>310.106</v>
      </c>
    </row>
    <row r="19" spans="1:24">
      <c r="A19" s="2" t="s">
        <v>42</v>
      </c>
      <c r="B19" s="3">
        <v>288.9924</v>
      </c>
      <c r="C19" s="3">
        <v>324.6216</v>
      </c>
      <c r="D19" s="3">
        <v>324.6216</v>
      </c>
      <c r="E19" s="3">
        <v>324.6216</v>
      </c>
      <c r="F19" s="3">
        <v>325.9412</v>
      </c>
      <c r="G19" s="3">
        <v>325.9412</v>
      </c>
      <c r="H19" s="3">
        <v>325.9412</v>
      </c>
    </row>
    <row r="20" spans="1:24">
      <c r="A20" s="2" t="s">
        <v>43</v>
      </c>
      <c r="B20" s="3">
        <v>314.0648</v>
      </c>
      <c r="C20" s="3">
        <v>358.9312</v>
      </c>
      <c r="D20" s="3">
        <v>358.9312</v>
      </c>
      <c r="E20" s="3">
        <v>358.9312</v>
      </c>
      <c r="F20" s="3">
        <v>358.9312</v>
      </c>
      <c r="G20" s="3">
        <v>357.6116</v>
      </c>
    </row>
    <row r="21" spans="1:24">
      <c r="A21" s="2" t="s">
        <v>44</v>
      </c>
      <c r="B21" s="3">
        <v>349.694</v>
      </c>
      <c r="C21" s="3">
        <v>370.8076</v>
      </c>
      <c r="D21" s="3">
        <v>370.8076</v>
      </c>
      <c r="E21" s="3">
        <v>370.8076</v>
      </c>
      <c r="F21" s="3">
        <v>370.8076</v>
      </c>
    </row>
    <row r="22" spans="1:24">
      <c r="A22" s="2" t="s">
        <v>45</v>
      </c>
      <c r="B22" s="3">
        <v>288.9924</v>
      </c>
      <c r="C22" s="3">
        <v>329.9</v>
      </c>
      <c r="D22" s="3">
        <v>329.9</v>
      </c>
      <c r="E22" s="3">
        <v>329.9</v>
      </c>
    </row>
    <row r="23" spans="1:24">
      <c r="A23" s="2" t="s">
        <v>46</v>
      </c>
      <c r="B23" s="3">
        <v>261.2808</v>
      </c>
      <c r="C23" s="3">
        <v>298.2296</v>
      </c>
      <c r="D23" s="3">
        <v>298.2296</v>
      </c>
    </row>
    <row r="24" spans="1:24">
      <c r="A24" s="2" t="s">
        <v>47</v>
      </c>
      <c r="B24" s="3">
        <v>273.1572</v>
      </c>
      <c r="C24" s="3">
        <v>304.8276</v>
      </c>
    </row>
    <row r="25" spans="1:24">
      <c r="A25" s="2" t="s">
        <v>48</v>
      </c>
      <c r="B25" s="3">
        <v>256.0024</v>
      </c>
    </row>
    <row r="27" spans="1:24">
      <c r="A27" s="1" t="s">
        <v>0</v>
      </c>
      <c r="B27" s="1" t="s">
        <v>49</v>
      </c>
      <c r="C27" s="1" t="s">
        <v>50</v>
      </c>
      <c r="D27" s="1" t="s">
        <v>51</v>
      </c>
      <c r="E27" s="1" t="s">
        <v>52</v>
      </c>
      <c r="F27" s="1" t="s">
        <v>53</v>
      </c>
      <c r="G27" s="1" t="s">
        <v>54</v>
      </c>
      <c r="H27" s="1" t="s">
        <v>55</v>
      </c>
      <c r="I27" s="1" t="s">
        <v>56</v>
      </c>
      <c r="J27" s="1" t="s">
        <v>57</v>
      </c>
      <c r="K27" s="1" t="s">
        <v>58</v>
      </c>
      <c r="L27" s="1" t="s">
        <v>59</v>
      </c>
      <c r="M27" s="1" t="s">
        <v>60</v>
      </c>
      <c r="N27" s="1" t="s">
        <v>61</v>
      </c>
      <c r="O27" s="1" t="s">
        <v>62</v>
      </c>
      <c r="P27" s="1" t="s">
        <v>63</v>
      </c>
      <c r="Q27" s="1" t="s">
        <v>64</v>
      </c>
      <c r="R27" s="1" t="s">
        <v>65</v>
      </c>
      <c r="S27" s="1" t="s">
        <v>66</v>
      </c>
      <c r="T27" s="1" t="s">
        <v>67</v>
      </c>
      <c r="U27" s="1" t="s">
        <v>68</v>
      </c>
      <c r="V27" s="1" t="s">
        <v>69</v>
      </c>
      <c r="W27" s="1" t="s">
        <v>70</v>
      </c>
      <c r="X27" s="1" t="s">
        <v>71</v>
      </c>
    </row>
    <row r="28" spans="1:24">
      <c r="A28" s="2" t="s">
        <v>25</v>
      </c>
      <c r="B28" s="4">
        <f>IFERROR(IF(B2="","",B2/A2),"")</f>
        <v>1.0704</v>
      </c>
      <c r="C28" s="4">
        <f>IFERROR(IF(C2="","",C2/B2),"")</f>
        <v>1.0019</v>
      </c>
      <c r="D28" s="4">
        <f>IFERROR(IF(D2="","",D2/C2),"")</f>
        <v>1.0</v>
      </c>
      <c r="E28" s="4">
        <f>IFERROR(IF(E2="","",E2/D2),"")</f>
        <v>1.0</v>
      </c>
      <c r="F28" s="4">
        <f>IFERROR(IF(F2="","",F2/E2),"")</f>
        <v>1.0</v>
      </c>
      <c r="G28" s="4">
        <f>IFERROR(IF(G2="","",G2/F2),"")</f>
        <v>1.0251</v>
      </c>
      <c r="H28" s="4">
        <f>IFERROR(IF(H2="","",H2/G2),"")</f>
        <v>1.0</v>
      </c>
      <c r="I28" s="4">
        <f>IFERROR(IF(I2="","",I2/H2),"")</f>
        <v>1.0</v>
      </c>
      <c r="J28" s="4">
        <f>IFERROR(IF(J2="","",J2/I2),"")</f>
        <v>1.0</v>
      </c>
      <c r="K28" s="4">
        <f>IFERROR(IF(K2="","",K2/J2),"")</f>
        <v>1.0</v>
      </c>
      <c r="L28" s="4">
        <f>IFERROR(IF(L2="","",L2/K2),"")</f>
        <v>1.0</v>
      </c>
      <c r="M28" s="4">
        <f>IFERROR(IF(M2="","",M2/L2),"")</f>
        <v>1.0</v>
      </c>
      <c r="N28" s="4">
        <f>IFERROR(IF(N2="","",N2/M2),"")</f>
        <v>1.0</v>
      </c>
      <c r="O28" s="4">
        <f>IFERROR(IF(O2="","",O2/N2),"")</f>
        <v>1.0</v>
      </c>
      <c r="P28" s="4">
        <f>IFERROR(IF(P2="","",P2/O2),"")</f>
        <v>1.0</v>
      </c>
      <c r="Q28" s="4">
        <f>IFERROR(IF(Q2="","",Q2/P2),"")</f>
        <v>1.0</v>
      </c>
      <c r="R28" s="4">
        <f>IFERROR(IF(R2="","",R2/Q2),"")</f>
        <v>1.0</v>
      </c>
      <c r="S28" s="4">
        <f>IFERROR(IF(S2="","",S2/R2),"")</f>
        <v>1.0</v>
      </c>
      <c r="T28" s="4">
        <f>IFERROR(IF(T2="","",T2/S2),"")</f>
        <v>1.0</v>
      </c>
      <c r="U28" s="4">
        <f>IFERROR(IF(U2="","",U2/T2),"")</f>
        <v>1.0</v>
      </c>
      <c r="V28" s="4">
        <f>IFERROR(IF(V2="","",V2/U2),"")</f>
        <v>1.0</v>
      </c>
      <c r="W28" s="4">
        <f>IFERROR(IF(W2="","",W2/V2),"")</f>
        <v>1.0</v>
      </c>
      <c r="X28" s="4">
        <f>IFERROR(IF(X2="","",X2/W2),"")</f>
        <v>1.0</v>
      </c>
    </row>
    <row r="29" spans="1:24">
      <c r="A29" s="2" t="s">
        <v>26</v>
      </c>
      <c r="B29" s="4">
        <f>IFERROR(IF(B3="","",B3/A3),"")</f>
        <v>1.0344</v>
      </c>
      <c r="C29" s="4">
        <f>IFERROR(IF(C3="","",C3/B3),"")</f>
        <v>1.0</v>
      </c>
      <c r="D29" s="4">
        <f>IFERROR(IF(D3="","",D3/C3),"")</f>
        <v>1.0</v>
      </c>
      <c r="E29" s="4">
        <f>IFERROR(IF(E3="","",E3/D3),"")</f>
        <v>1.0</v>
      </c>
      <c r="F29" s="4">
        <f>IFERROR(IF(F3="","",F3/E3),"")</f>
        <v>1.027</v>
      </c>
      <c r="G29" s="4">
        <f>IFERROR(IF(G3="","",G3/F3),"")</f>
        <v>1.0</v>
      </c>
      <c r="H29" s="4">
        <f>IFERROR(IF(H3="","",H3/G3),"")</f>
        <v>1.0</v>
      </c>
      <c r="I29" s="4">
        <f>IFERROR(IF(I3="","",I3/H3),"")</f>
        <v>1.0</v>
      </c>
      <c r="J29" s="4">
        <f>IFERROR(IF(J3="","",J3/I3),"")</f>
        <v>1.0</v>
      </c>
      <c r="K29" s="4">
        <f>IFERROR(IF(K3="","",K3/J3),"")</f>
        <v>1.0</v>
      </c>
      <c r="L29" s="4">
        <f>IFERROR(IF(L3="","",L3/K3),"")</f>
        <v>1.0</v>
      </c>
      <c r="M29" s="4">
        <f>IFERROR(IF(M3="","",M3/L3),"")</f>
        <v>1.0</v>
      </c>
      <c r="N29" s="4">
        <f>IFERROR(IF(N3="","",N3/M3),"")</f>
        <v>1.0</v>
      </c>
      <c r="O29" s="4">
        <f>IFERROR(IF(O3="","",O3/N3),"")</f>
        <v>1.0</v>
      </c>
      <c r="P29" s="4">
        <f>IFERROR(IF(P3="","",P3/O3),"")</f>
        <v>1.0</v>
      </c>
      <c r="Q29" s="4">
        <f>IFERROR(IF(Q3="","",Q3/P3),"")</f>
        <v>1.0</v>
      </c>
      <c r="R29" s="4">
        <f>IFERROR(IF(R3="","",R3/Q3),"")</f>
        <v>1.0</v>
      </c>
      <c r="S29" s="4">
        <f>IFERROR(IF(S3="","",S3/R3),"")</f>
        <v>1.0</v>
      </c>
      <c r="T29" s="4">
        <f>IFERROR(IF(T3="","",T3/S3),"")</f>
        <v>1.0</v>
      </c>
      <c r="U29" s="4">
        <f>IFERROR(IF(U3="","",U3/T3),"")</f>
        <v>1.0</v>
      </c>
      <c r="V29" s="4">
        <f>IFERROR(IF(V3="","",V3/U3),"")</f>
        <v>1.0</v>
      </c>
      <c r="W29" s="4">
        <f>IFERROR(IF(W3="","",W3/V3),"")</f>
        <v>1.0</v>
      </c>
      <c r="X29" s="4">
        <f>IFERROR(IF(X3="","",X3/W3),"")</f>
        <v>0</v>
      </c>
    </row>
    <row r="30" spans="1:24">
      <c r="A30" s="2" t="s">
        <v>27</v>
      </c>
      <c r="B30" s="4">
        <f>IFERROR(IF(B4="","",B4/A4),"")</f>
        <v>1.0346</v>
      </c>
      <c r="C30" s="4">
        <f>IFERROR(IF(C4="","",C4/B4),"")</f>
        <v>1.0</v>
      </c>
      <c r="D30" s="4">
        <f>IFERROR(IF(D4="","",D4/C4),"")</f>
        <v>1.0</v>
      </c>
      <c r="E30" s="4">
        <f>IFERROR(IF(E4="","",E4/D4),"")</f>
        <v>0.9952</v>
      </c>
      <c r="F30" s="4">
        <f>IFERROR(IF(F4="","",F4/E4),"")</f>
        <v>1.0</v>
      </c>
      <c r="G30" s="4">
        <f>IFERROR(IF(G4="","",G4/F4),"")</f>
        <v>1.0024</v>
      </c>
      <c r="H30" s="4">
        <f>IFERROR(IF(H4="","",H4/G4),"")</f>
        <v>1.0</v>
      </c>
      <c r="I30" s="4">
        <f>IFERROR(IF(I4="","",I4/H4),"")</f>
        <v>1.0</v>
      </c>
      <c r="J30" s="4">
        <f>IFERROR(IF(J4="","",J4/I4),"")</f>
        <v>1.0</v>
      </c>
      <c r="K30" s="4">
        <f>IFERROR(IF(K4="","",K4/J4),"")</f>
        <v>1.0</v>
      </c>
      <c r="L30" s="4">
        <f>IFERROR(IF(L4="","",L4/K4),"")</f>
        <v>1.0</v>
      </c>
      <c r="M30" s="4">
        <f>IFERROR(IF(M4="","",M4/L4),"")</f>
        <v>1.0</v>
      </c>
      <c r="N30" s="4">
        <f>IFERROR(IF(N4="","",N4/M4),"")</f>
        <v>1.0</v>
      </c>
      <c r="O30" s="4">
        <f>IFERROR(IF(O4="","",O4/N4),"")</f>
        <v>1.0</v>
      </c>
      <c r="P30" s="4">
        <f>IFERROR(IF(P4="","",P4/O4),"")</f>
        <v>1.0</v>
      </c>
      <c r="Q30" s="4">
        <f>IFERROR(IF(Q4="","",Q4/P4),"")</f>
        <v>1.0</v>
      </c>
      <c r="R30" s="4">
        <f>IFERROR(IF(R4="","",R4/Q4),"")</f>
        <v>1.0</v>
      </c>
      <c r="S30" s="4">
        <f>IFERROR(IF(S4="","",S4/R4),"")</f>
        <v>1.0</v>
      </c>
      <c r="T30" s="4">
        <f>IFERROR(IF(T4="","",T4/S4),"")</f>
        <v>1.0</v>
      </c>
      <c r="U30" s="4">
        <f>IFERROR(IF(U4="","",U4/T4),"")</f>
        <v>1.0</v>
      </c>
      <c r="V30" s="4">
        <f>IFERROR(IF(V4="","",V4/U4),"")</f>
        <v>1.0</v>
      </c>
      <c r="W30" s="4">
        <f>IFERROR(IF(W4="","",W4/V4),"")</f>
        <v>0</v>
      </c>
      <c r="X30" s="4">
        <f>IFERROR(IF(X4="","",X4/W4),"")</f>
        <v>0</v>
      </c>
    </row>
    <row r="31" spans="1:24">
      <c r="A31" s="2" t="s">
        <v>28</v>
      </c>
      <c r="B31" s="4">
        <f>IFERROR(IF(B5="","",B5/A5),"")</f>
        <v>1.0591</v>
      </c>
      <c r="C31" s="4">
        <f>IFERROR(IF(C5="","",C5/B5),"")</f>
        <v>1.0</v>
      </c>
      <c r="D31" s="4">
        <f>IFERROR(IF(D5="","",D5/C5),"")</f>
        <v>1.0041</v>
      </c>
      <c r="E31" s="4">
        <f>IFERROR(IF(E5="","",E5/D5),"")</f>
        <v>1.0021</v>
      </c>
      <c r="F31" s="4">
        <f>IFERROR(IF(F5="","",F5/E5),"")</f>
        <v>1.0</v>
      </c>
      <c r="G31" s="4">
        <f>IFERROR(IF(G5="","",G5/F5),"")</f>
        <v>1.0</v>
      </c>
      <c r="H31" s="4">
        <f>IFERROR(IF(H5="","",H5/G5),"")</f>
        <v>1.0</v>
      </c>
      <c r="I31" s="4">
        <f>IFERROR(IF(I5="","",I5/H5),"")</f>
        <v>1.0</v>
      </c>
      <c r="J31" s="4">
        <f>IFERROR(IF(J5="","",J5/I5),"")</f>
        <v>1.0</v>
      </c>
      <c r="K31" s="4">
        <f>IFERROR(IF(K5="","",K5/J5),"")</f>
        <v>1.0</v>
      </c>
      <c r="L31" s="4">
        <f>IFERROR(IF(L5="","",L5/K5),"")</f>
        <v>1.0</v>
      </c>
      <c r="M31" s="4">
        <f>IFERROR(IF(M5="","",M5/L5),"")</f>
        <v>1.0</v>
      </c>
      <c r="N31" s="4">
        <f>IFERROR(IF(N5="","",N5/M5),"")</f>
        <v>1.0</v>
      </c>
      <c r="O31" s="4">
        <f>IFERROR(IF(O5="","",O5/N5),"")</f>
        <v>1.0</v>
      </c>
      <c r="P31" s="4">
        <f>IFERROR(IF(P5="","",P5/O5),"")</f>
        <v>1.0</v>
      </c>
      <c r="Q31" s="4">
        <f>IFERROR(IF(Q5="","",Q5/P5),"")</f>
        <v>1.0</v>
      </c>
      <c r="R31" s="4">
        <f>IFERROR(IF(R5="","",R5/Q5),"")</f>
        <v>1.0</v>
      </c>
      <c r="S31" s="4">
        <f>IFERROR(IF(S5="","",S5/R5),"")</f>
        <v>1.0</v>
      </c>
      <c r="T31" s="4">
        <f>IFERROR(IF(T5="","",T5/S5),"")</f>
        <v>1.0</v>
      </c>
      <c r="U31" s="4">
        <f>IFERROR(IF(U5="","",U5/T5),"")</f>
        <v>1.0</v>
      </c>
      <c r="V31" s="4">
        <f>IFERROR(IF(V5="","",V5/U5),"")</f>
        <v>0</v>
      </c>
      <c r="W31" s="4">
        <f>IFERROR(IF(W5="","",W5/V5),"")</f>
        <v>0</v>
      </c>
      <c r="X31" s="4">
        <f>IFERROR(IF(X5="","",X5/W5),"")</f>
        <v>0</v>
      </c>
    </row>
    <row r="32" spans="1:24">
      <c r="A32" s="2" t="s">
        <v>29</v>
      </c>
      <c r="B32" s="4">
        <f>IFERROR(IF(B6="","",B6/A6),"")</f>
        <v>1.0232</v>
      </c>
      <c r="C32" s="4">
        <f>IFERROR(IF(C6="","",C6/B6),"")</f>
        <v>1.0021</v>
      </c>
      <c r="D32" s="4">
        <f>IFERROR(IF(D6="","",D6/C6),"")</f>
        <v>0.9979</v>
      </c>
      <c r="E32" s="4">
        <f>IFERROR(IF(E6="","",E6/D6),"")</f>
        <v>1.0</v>
      </c>
      <c r="F32" s="4">
        <f>IFERROR(IF(F6="","",F6/E6),"")</f>
        <v>1.0</v>
      </c>
      <c r="G32" s="4">
        <f>IFERROR(IF(G6="","",G6/F6),"")</f>
        <v>1.0</v>
      </c>
      <c r="H32" s="4">
        <f>IFERROR(IF(H6="","",H6/G6),"")</f>
        <v>1.0</v>
      </c>
      <c r="I32" s="4">
        <f>IFERROR(IF(I6="","",I6/H6),"")</f>
        <v>1.0</v>
      </c>
      <c r="J32" s="4">
        <f>IFERROR(IF(J6="","",J6/I6),"")</f>
        <v>1.0</v>
      </c>
      <c r="K32" s="4">
        <f>IFERROR(IF(K6="","",K6/J6),"")</f>
        <v>1.0</v>
      </c>
      <c r="L32" s="4">
        <f>IFERROR(IF(L6="","",L6/K6),"")</f>
        <v>1.0</v>
      </c>
      <c r="M32" s="4">
        <f>IFERROR(IF(M6="","",M6/L6),"")</f>
        <v>1.0</v>
      </c>
      <c r="N32" s="4">
        <f>IFERROR(IF(N6="","",N6/M6),"")</f>
        <v>1.0</v>
      </c>
      <c r="O32" s="4">
        <f>IFERROR(IF(O6="","",O6/N6),"")</f>
        <v>1.0</v>
      </c>
      <c r="P32" s="4">
        <f>IFERROR(IF(P6="","",P6/O6),"")</f>
        <v>1.0</v>
      </c>
      <c r="Q32" s="4">
        <f>IFERROR(IF(Q6="","",Q6/P6),"")</f>
        <v>1.0</v>
      </c>
      <c r="R32" s="4">
        <f>IFERROR(IF(R6="","",R6/Q6),"")</f>
        <v>1.0</v>
      </c>
      <c r="S32" s="4">
        <f>IFERROR(IF(S6="","",S6/R6),"")</f>
        <v>1.0</v>
      </c>
      <c r="T32" s="4">
        <f>IFERROR(IF(T6="","",T6/S6),"")</f>
        <v>1.0</v>
      </c>
      <c r="U32" s="4">
        <f>IFERROR(IF(U6="","",U6/T6),"")</f>
        <v>0</v>
      </c>
      <c r="V32" s="4">
        <f>IFERROR(IF(V6="","",V6/U6),"")</f>
        <v>0</v>
      </c>
      <c r="W32" s="4">
        <f>IFERROR(IF(W6="","",W6/V6),"")</f>
        <v>0</v>
      </c>
      <c r="X32" s="4">
        <f>IFERROR(IF(X6="","",X6/W6),"")</f>
        <v>0</v>
      </c>
    </row>
    <row r="33" spans="1:24">
      <c r="A33" s="2" t="s">
        <v>30</v>
      </c>
      <c r="B33" s="4">
        <f>IFERROR(IF(B7="","",B7/A7),"")</f>
        <v>1.0386</v>
      </c>
      <c r="C33" s="4">
        <f>IFERROR(IF(C7="","",C7/B7),"")</f>
        <v>1.0</v>
      </c>
      <c r="D33" s="4">
        <f>IFERROR(IF(D7="","",D7/C7),"")</f>
        <v>1.0</v>
      </c>
      <c r="E33" s="4">
        <f>IFERROR(IF(E7="","",E7/D7),"")</f>
        <v>1.0</v>
      </c>
      <c r="F33" s="4">
        <f>IFERROR(IF(F7="","",F7/E7),"")</f>
        <v>1.0</v>
      </c>
      <c r="G33" s="4">
        <f>IFERROR(IF(G7="","",G7/F7),"")</f>
        <v>1.0</v>
      </c>
      <c r="H33" s="4">
        <f>IFERROR(IF(H7="","",H7/G7),"")</f>
        <v>1.0</v>
      </c>
      <c r="I33" s="4">
        <f>IFERROR(IF(I7="","",I7/H7),"")</f>
        <v>1.0</v>
      </c>
      <c r="J33" s="4">
        <f>IFERROR(IF(J7="","",J7/I7),"")</f>
        <v>1.0</v>
      </c>
      <c r="K33" s="4">
        <f>IFERROR(IF(K7="","",K7/J7),"")</f>
        <v>1.0</v>
      </c>
      <c r="L33" s="4">
        <f>IFERROR(IF(L7="","",L7/K7),"")</f>
        <v>1.0</v>
      </c>
      <c r="M33" s="4">
        <f>IFERROR(IF(M7="","",M7/L7),"")</f>
        <v>1.0</v>
      </c>
      <c r="N33" s="4">
        <f>IFERROR(IF(N7="","",N7/M7),"")</f>
        <v>1.0</v>
      </c>
      <c r="O33" s="4">
        <f>IFERROR(IF(O7="","",O7/N7),"")</f>
        <v>1.0</v>
      </c>
      <c r="P33" s="4">
        <f>IFERROR(IF(P7="","",P7/O7),"")</f>
        <v>1.0</v>
      </c>
      <c r="Q33" s="4">
        <f>IFERROR(IF(Q7="","",Q7/P7),"")</f>
        <v>1.0</v>
      </c>
      <c r="R33" s="4">
        <f>IFERROR(IF(R7="","",R7/Q7),"")</f>
        <v>1.0</v>
      </c>
      <c r="S33" s="4">
        <f>IFERROR(IF(S7="","",S7/R7),"")</f>
        <v>1.0</v>
      </c>
      <c r="T33" s="4">
        <f>IFERROR(IF(T7="","",T7/S7),"")</f>
        <v>0</v>
      </c>
      <c r="U33" s="4">
        <f>IFERROR(IF(U7="","",U7/T7),"")</f>
        <v>0</v>
      </c>
      <c r="V33" s="4">
        <f>IFERROR(IF(V7="","",V7/U7),"")</f>
        <v>0</v>
      </c>
      <c r="W33" s="4">
        <f>IFERROR(IF(W7="","",W7/V7),"")</f>
        <v>0</v>
      </c>
      <c r="X33" s="4">
        <f>IFERROR(IF(X7="","",X7/W7),"")</f>
        <v>0</v>
      </c>
    </row>
    <row r="34" spans="1:24">
      <c r="A34" s="2" t="s">
        <v>31</v>
      </c>
      <c r="B34" s="4">
        <f>IFERROR(IF(B8="","",B8/A8),"")</f>
        <v>1.0434</v>
      </c>
      <c r="C34" s="4">
        <f>IFERROR(IF(C8="","",C8/B8),"")</f>
        <v>1.0</v>
      </c>
      <c r="D34" s="4">
        <f>IFERROR(IF(D8="","",D8/C8),"")</f>
        <v>1.0</v>
      </c>
      <c r="E34" s="4">
        <f>IFERROR(IF(E8="","",E8/D8),"")</f>
        <v>1.0</v>
      </c>
      <c r="F34" s="4">
        <f>IFERROR(IF(F8="","",F8/E8),"")</f>
        <v>1.0</v>
      </c>
      <c r="G34" s="4">
        <f>IFERROR(IF(G8="","",G8/F8),"")</f>
        <v>1.0</v>
      </c>
      <c r="H34" s="4">
        <f>IFERROR(IF(H8="","",H8/G8),"")</f>
        <v>1.0</v>
      </c>
      <c r="I34" s="4">
        <f>IFERROR(IF(I8="","",I8/H8),"")</f>
        <v>1.0</v>
      </c>
      <c r="J34" s="4">
        <f>IFERROR(IF(J8="","",J8/I8),"")</f>
        <v>1.0</v>
      </c>
      <c r="K34" s="4">
        <f>IFERROR(IF(K8="","",K8/J8),"")</f>
        <v>1.0</v>
      </c>
      <c r="L34" s="4">
        <f>IFERROR(IF(L8="","",L8/K8),"")</f>
        <v>1.0</v>
      </c>
      <c r="M34" s="4">
        <f>IFERROR(IF(M8="","",M8/L8),"")</f>
        <v>1.0</v>
      </c>
      <c r="N34" s="4">
        <f>IFERROR(IF(N8="","",N8/M8),"")</f>
        <v>1.0</v>
      </c>
      <c r="O34" s="4">
        <f>IFERROR(IF(O8="","",O8/N8),"")</f>
        <v>1.0</v>
      </c>
      <c r="P34" s="4">
        <f>IFERROR(IF(P8="","",P8/O8),"")</f>
        <v>1.0</v>
      </c>
      <c r="Q34" s="4">
        <f>IFERROR(IF(Q8="","",Q8/P8),"")</f>
        <v>1.0</v>
      </c>
      <c r="R34" s="4">
        <f>IFERROR(IF(R8="","",R8/Q8),"")</f>
        <v>1.0</v>
      </c>
      <c r="S34" s="4">
        <f>IFERROR(IF(S8="","",S8/R8),"")</f>
        <v>0</v>
      </c>
      <c r="T34" s="4">
        <f>IFERROR(IF(T8="","",T8/S8),"")</f>
        <v>0</v>
      </c>
      <c r="U34" s="4">
        <f>IFERROR(IF(U8="","",U8/T8),"")</f>
        <v>0</v>
      </c>
      <c r="V34" s="4">
        <f>IFERROR(IF(V8="","",V8/U8),"")</f>
        <v>0</v>
      </c>
      <c r="W34" s="4">
        <f>IFERROR(IF(W8="","",W8/V8),"")</f>
        <v>0</v>
      </c>
      <c r="X34" s="4">
        <f>IFERROR(IF(X8="","",X8/W8),"")</f>
        <v>0</v>
      </c>
    </row>
    <row r="35" spans="1:24">
      <c r="A35" s="2" t="s">
        <v>32</v>
      </c>
      <c r="B35" s="4">
        <f>IFERROR(IF(B9="","",B9/A9),"")</f>
        <v>1.0644</v>
      </c>
      <c r="C35" s="4">
        <f>IFERROR(IF(C9="","",C9/B9),"")</f>
        <v>1.004</v>
      </c>
      <c r="D35" s="4">
        <f>IFERROR(IF(D9="","",D9/C9),"")</f>
        <v>1.0</v>
      </c>
      <c r="E35" s="4">
        <f>IFERROR(IF(E9="","",E9/D9),"")</f>
        <v>1.0</v>
      </c>
      <c r="F35" s="4">
        <f>IFERROR(IF(F9="","",F9/E9),"")</f>
        <v>1.0</v>
      </c>
      <c r="G35" s="4">
        <f>IFERROR(IF(G9="","",G9/F9),"")</f>
        <v>1.0</v>
      </c>
      <c r="H35" s="4">
        <f>IFERROR(IF(H9="","",H9/G9),"")</f>
        <v>1.0</v>
      </c>
      <c r="I35" s="4">
        <f>IFERROR(IF(I9="","",I9/H9),"")</f>
        <v>1.0</v>
      </c>
      <c r="J35" s="4">
        <f>IFERROR(IF(J9="","",J9/I9),"")</f>
        <v>1.0</v>
      </c>
      <c r="K35" s="4">
        <f>IFERROR(IF(K9="","",K9/J9),"")</f>
        <v>1.0</v>
      </c>
      <c r="L35" s="4">
        <f>IFERROR(IF(L9="","",L9/K9),"")</f>
        <v>1.0</v>
      </c>
      <c r="M35" s="4">
        <f>IFERROR(IF(M9="","",M9/L9),"")</f>
        <v>1.0</v>
      </c>
      <c r="N35" s="4">
        <f>IFERROR(IF(N9="","",N9/M9),"")</f>
        <v>1.0</v>
      </c>
      <c r="O35" s="4">
        <f>IFERROR(IF(O9="","",O9/N9),"")</f>
        <v>1.0</v>
      </c>
      <c r="P35" s="4">
        <f>IFERROR(IF(P9="","",P9/O9),"")</f>
        <v>1.0</v>
      </c>
      <c r="Q35" s="4">
        <f>IFERROR(IF(Q9="","",Q9/P9),"")</f>
        <v>1.0</v>
      </c>
      <c r="R35" s="4">
        <f>IFERROR(IF(R9="","",R9/Q9),"")</f>
        <v>0</v>
      </c>
      <c r="S35" s="4">
        <f>IFERROR(IF(S9="","",S9/R9),"")</f>
        <v>0</v>
      </c>
      <c r="T35" s="4">
        <f>IFERROR(IF(T9="","",T9/S9),"")</f>
        <v>0</v>
      </c>
      <c r="U35" s="4">
        <f>IFERROR(IF(U9="","",U9/T9),"")</f>
        <v>0</v>
      </c>
      <c r="V35" s="4">
        <f>IFERROR(IF(V9="","",V9/U9),"")</f>
        <v>0</v>
      </c>
      <c r="W35" s="4">
        <f>IFERROR(IF(W9="","",W9/V9),"")</f>
        <v>0</v>
      </c>
      <c r="X35" s="4">
        <f>IFERROR(IF(X9="","",X9/W9),"")</f>
        <v>0</v>
      </c>
    </row>
    <row r="36" spans="1:24">
      <c r="A36" s="2" t="s">
        <v>33</v>
      </c>
      <c r="B36" s="4">
        <f>IFERROR(IF(B10="","",B10/A10),"")</f>
        <v>1.0474</v>
      </c>
      <c r="C36" s="4">
        <f>IFERROR(IF(C10="","",C10/B10),"")</f>
        <v>1.0041</v>
      </c>
      <c r="D36" s="4">
        <f>IFERROR(IF(D10="","",D10/C10),"")</f>
        <v>1.0</v>
      </c>
      <c r="E36" s="4">
        <f>IFERROR(IF(E10="","",E10/D10),"")</f>
        <v>1.0</v>
      </c>
      <c r="F36" s="4">
        <f>IFERROR(IF(F10="","",F10/E10),"")</f>
        <v>1.0</v>
      </c>
      <c r="G36" s="4">
        <f>IFERROR(IF(G10="","",G10/F10),"")</f>
        <v>1.0</v>
      </c>
      <c r="H36" s="4">
        <f>IFERROR(IF(H10="","",H10/G10),"")</f>
        <v>1.0</v>
      </c>
      <c r="I36" s="4">
        <f>IFERROR(IF(I10="","",I10/H10),"")</f>
        <v>1.0</v>
      </c>
      <c r="J36" s="4">
        <f>IFERROR(IF(J10="","",J10/I10),"")</f>
        <v>1.0</v>
      </c>
      <c r="K36" s="4">
        <f>IFERROR(IF(K10="","",K10/J10),"")</f>
        <v>1.0</v>
      </c>
      <c r="L36" s="4">
        <f>IFERROR(IF(L10="","",L10/K10),"")</f>
        <v>1.0</v>
      </c>
      <c r="M36" s="4">
        <f>IFERROR(IF(M10="","",M10/L10),"")</f>
        <v>1.0</v>
      </c>
      <c r="N36" s="4">
        <f>IFERROR(IF(N10="","",N10/M10),"")</f>
        <v>1.0</v>
      </c>
      <c r="O36" s="4">
        <f>IFERROR(IF(O10="","",O10/N10),"")</f>
        <v>1.0</v>
      </c>
      <c r="P36" s="4">
        <f>IFERROR(IF(P10="","",P10/O10),"")</f>
        <v>1.0</v>
      </c>
      <c r="Q36" s="4">
        <f>IFERROR(IF(Q10="","",Q10/P10),"")</f>
        <v>0</v>
      </c>
      <c r="R36" s="4">
        <f>IFERROR(IF(R10="","",R10/Q10),"")</f>
        <v>0</v>
      </c>
      <c r="S36" s="4">
        <f>IFERROR(IF(S10="","",S10/R10),"")</f>
        <v>0</v>
      </c>
      <c r="T36" s="4">
        <f>IFERROR(IF(T10="","",T10/S10),"")</f>
        <v>0</v>
      </c>
      <c r="U36" s="4">
        <f>IFERROR(IF(U10="","",U10/T10),"")</f>
        <v>0</v>
      </c>
      <c r="V36" s="4">
        <f>IFERROR(IF(V10="","",V10/U10),"")</f>
        <v>0</v>
      </c>
      <c r="W36" s="4">
        <f>IFERROR(IF(W10="","",W10/V10),"")</f>
        <v>0</v>
      </c>
      <c r="X36" s="4">
        <f>IFERROR(IF(X10="","",X10/W10),"")</f>
        <v>0</v>
      </c>
    </row>
    <row r="37" spans="1:24">
      <c r="A37" s="2" t="s">
        <v>34</v>
      </c>
      <c r="B37" s="4">
        <f>IFERROR(IF(B11="","",B11/A11),"")</f>
        <v>1.0457</v>
      </c>
      <c r="C37" s="4">
        <f>IFERROR(IF(C11="","",C11/B11),"")</f>
        <v>1.0</v>
      </c>
      <c r="D37" s="4">
        <f>IFERROR(IF(D11="","",D11/C11),"")</f>
        <v>1.0</v>
      </c>
      <c r="E37" s="4">
        <f>IFERROR(IF(E11="","",E11/D11),"")</f>
        <v>1.0</v>
      </c>
      <c r="F37" s="4">
        <f>IFERROR(IF(F11="","",F11/E11),"")</f>
        <v>1.0</v>
      </c>
      <c r="G37" s="4">
        <f>IFERROR(IF(G11="","",G11/F11),"")</f>
        <v>1.0</v>
      </c>
      <c r="H37" s="4">
        <f>IFERROR(IF(H11="","",H11/G11),"")</f>
        <v>1.0</v>
      </c>
      <c r="I37" s="4">
        <f>IFERROR(IF(I11="","",I11/H11),"")</f>
        <v>1.0</v>
      </c>
      <c r="J37" s="4">
        <f>IFERROR(IF(J11="","",J11/I11),"")</f>
        <v>1.0</v>
      </c>
      <c r="K37" s="4">
        <f>IFERROR(IF(K11="","",K11/J11),"")</f>
        <v>1.0</v>
      </c>
      <c r="L37" s="4">
        <f>IFERROR(IF(L11="","",L11/K11),"")</f>
        <v>1.0</v>
      </c>
      <c r="M37" s="4">
        <f>IFERROR(IF(M11="","",M11/L11),"")</f>
        <v>1.0</v>
      </c>
      <c r="N37" s="4">
        <f>IFERROR(IF(N11="","",N11/M11),"")</f>
        <v>1.0</v>
      </c>
      <c r="O37" s="4">
        <f>IFERROR(IF(O11="","",O11/N11),"")</f>
        <v>1.0</v>
      </c>
      <c r="P37" s="4">
        <f>IFERROR(IF(P11="","",P11/O11),"")</f>
        <v>0</v>
      </c>
      <c r="Q37" s="4">
        <f>IFERROR(IF(Q11="","",Q11/P11),"")</f>
        <v>0</v>
      </c>
      <c r="R37" s="4">
        <f>IFERROR(IF(R11="","",R11/Q11),"")</f>
        <v>0</v>
      </c>
      <c r="S37" s="4">
        <f>IFERROR(IF(S11="","",S11/R11),"")</f>
        <v>0</v>
      </c>
      <c r="T37" s="4">
        <f>IFERROR(IF(T11="","",T11/S11),"")</f>
        <v>0</v>
      </c>
      <c r="U37" s="4">
        <f>IFERROR(IF(U11="","",U11/T11),"")</f>
        <v>0</v>
      </c>
      <c r="V37" s="4">
        <f>IFERROR(IF(V11="","",V11/U11),"")</f>
        <v>0</v>
      </c>
      <c r="W37" s="4">
        <f>IFERROR(IF(W11="","",W11/V11),"")</f>
        <v>0</v>
      </c>
      <c r="X37" s="4">
        <f>IFERROR(IF(X11="","",X11/W11),"")</f>
        <v>0</v>
      </c>
    </row>
    <row r="38" spans="1:24">
      <c r="A38" s="2" t="s">
        <v>35</v>
      </c>
      <c r="B38" s="4">
        <f>IFERROR(IF(B12="","",B12/A12),"")</f>
        <v>1.0</v>
      </c>
      <c r="C38" s="4">
        <f>IFERROR(IF(C12="","",C12/B12),"")</f>
        <v>1.0</v>
      </c>
      <c r="D38" s="4">
        <f>IFERROR(IF(D12="","",D12/C12),"")</f>
        <v>1.0</v>
      </c>
      <c r="E38" s="4">
        <f>IFERROR(IF(E12="","",E12/D12),"")</f>
        <v>1.0</v>
      </c>
      <c r="F38" s="4">
        <f>IFERROR(IF(F12="","",F12/E12),"")</f>
        <v>1.0</v>
      </c>
      <c r="G38" s="4">
        <f>IFERROR(IF(G12="","",G12/F12),"")</f>
        <v>1.0</v>
      </c>
      <c r="H38" s="4">
        <f>IFERROR(IF(H12="","",H12/G12),"")</f>
        <v>1.0</v>
      </c>
      <c r="I38" s="4">
        <f>IFERROR(IF(I12="","",I12/H12),"")</f>
        <v>1.0</v>
      </c>
      <c r="J38" s="4">
        <f>IFERROR(IF(J12="","",J12/I12),"")</f>
        <v>1.0</v>
      </c>
      <c r="K38" s="4">
        <f>IFERROR(IF(K12="","",K12/J12),"")</f>
        <v>1.0</v>
      </c>
      <c r="L38" s="4">
        <f>IFERROR(IF(L12="","",L12/K12),"")</f>
        <v>1.0</v>
      </c>
      <c r="M38" s="4">
        <f>IFERROR(IF(M12="","",M12/L12),"")</f>
        <v>1.0</v>
      </c>
      <c r="N38" s="4">
        <f>IFERROR(IF(N12="","",N12/M12),"")</f>
        <v>1.0</v>
      </c>
      <c r="O38" s="4">
        <f>IFERROR(IF(O12="","",O12/N12),"")</f>
        <v>0</v>
      </c>
      <c r="P38" s="4">
        <f>IFERROR(IF(P12="","",P12/O12),"")</f>
        <v>0</v>
      </c>
      <c r="Q38" s="4">
        <f>IFERROR(IF(Q12="","",Q12/P12),"")</f>
        <v>0</v>
      </c>
      <c r="R38" s="4">
        <f>IFERROR(IF(R12="","",R12/Q12),"")</f>
        <v>0</v>
      </c>
      <c r="S38" s="4">
        <f>IFERROR(IF(S12="","",S12/R12),"")</f>
        <v>0</v>
      </c>
      <c r="T38" s="4">
        <f>IFERROR(IF(T12="","",T12/S12),"")</f>
        <v>0</v>
      </c>
      <c r="U38" s="4">
        <f>IFERROR(IF(U12="","",U12/T12),"")</f>
        <v>0</v>
      </c>
      <c r="V38" s="4">
        <f>IFERROR(IF(V12="","",V12/U12),"")</f>
        <v>0</v>
      </c>
      <c r="W38" s="4">
        <f>IFERROR(IF(W12="","",W12/V12),"")</f>
        <v>0</v>
      </c>
      <c r="X38" s="4">
        <f>IFERROR(IF(X12="","",X12/W12),"")</f>
        <v>0</v>
      </c>
    </row>
    <row r="39" spans="1:24">
      <c r="A39" s="2" t="s">
        <v>36</v>
      </c>
      <c r="B39" s="4">
        <f>IFERROR(IF(B13="","",B13/A13),"")</f>
        <v>1.0645</v>
      </c>
      <c r="C39" s="4">
        <f>IFERROR(IF(C13="","",C13/B13),"")</f>
        <v>1.0</v>
      </c>
      <c r="D39" s="4">
        <f>IFERROR(IF(D13="","",D13/C13),"")</f>
        <v>1.0</v>
      </c>
      <c r="E39" s="4">
        <f>IFERROR(IF(E13="","",E13/D13),"")</f>
        <v>1.0</v>
      </c>
      <c r="F39" s="4">
        <f>IFERROR(IF(F13="","",F13/E13),"")</f>
        <v>1.0</v>
      </c>
      <c r="G39" s="4">
        <f>IFERROR(IF(G13="","",G13/F13),"")</f>
        <v>1.0</v>
      </c>
      <c r="H39" s="4">
        <f>IFERROR(IF(H13="","",H13/G13),"")</f>
        <v>1.0</v>
      </c>
      <c r="I39" s="4">
        <f>IFERROR(IF(I13="","",I13/H13),"")</f>
        <v>1.0</v>
      </c>
      <c r="J39" s="4">
        <f>IFERROR(IF(J13="","",J13/I13),"")</f>
        <v>1.0</v>
      </c>
      <c r="K39" s="4">
        <f>IFERROR(IF(K13="","",K13/J13),"")</f>
        <v>1.0</v>
      </c>
      <c r="L39" s="4">
        <f>IFERROR(IF(L13="","",L13/K13),"")</f>
        <v>1.0</v>
      </c>
      <c r="M39" s="4">
        <f>IFERROR(IF(M13="","",M13/L13),"")</f>
        <v>1.0</v>
      </c>
      <c r="N39" s="4">
        <f>IFERROR(IF(N13="","",N13/M13),"")</f>
        <v>0</v>
      </c>
      <c r="O39" s="4">
        <f>IFERROR(IF(O13="","",O13/N13),"")</f>
        <v>0</v>
      </c>
      <c r="P39" s="4">
        <f>IFERROR(IF(P13="","",P13/O13),"")</f>
        <v>0</v>
      </c>
      <c r="Q39" s="4">
        <f>IFERROR(IF(Q13="","",Q13/P13),"")</f>
        <v>0</v>
      </c>
      <c r="R39" s="4">
        <f>IFERROR(IF(R13="","",R13/Q13),"")</f>
        <v>0</v>
      </c>
      <c r="S39" s="4">
        <f>IFERROR(IF(S13="","",S13/R13),"")</f>
        <v>0</v>
      </c>
      <c r="T39" s="4">
        <f>IFERROR(IF(T13="","",T13/S13),"")</f>
        <v>0</v>
      </c>
      <c r="U39" s="4">
        <f>IFERROR(IF(U13="","",U13/T13),"")</f>
        <v>0</v>
      </c>
      <c r="V39" s="4">
        <f>IFERROR(IF(V13="","",V13/U13),"")</f>
        <v>0</v>
      </c>
      <c r="W39" s="4">
        <f>IFERROR(IF(W13="","",W13/V13),"")</f>
        <v>0</v>
      </c>
      <c r="X39" s="4">
        <f>IFERROR(IF(X13="","",X13/W13),"")</f>
        <v>0</v>
      </c>
    </row>
    <row r="40" spans="1:24">
      <c r="A40" s="2" t="s">
        <v>37</v>
      </c>
      <c r="B40" s="4">
        <f>IFERROR(IF(B14="","",B14/A14),"")</f>
        <v>1.028</v>
      </c>
      <c r="C40" s="4">
        <f>IFERROR(IF(C14="","",C14/B14),"")</f>
        <v>1.0</v>
      </c>
      <c r="D40" s="4">
        <f>IFERROR(IF(D14="","",D14/C14),"")</f>
        <v>1.0045</v>
      </c>
      <c r="E40" s="4">
        <f>IFERROR(IF(E14="","",E14/D14),"")</f>
        <v>1.0</v>
      </c>
      <c r="F40" s="4">
        <f>IFERROR(IF(F14="","",F14/E14),"")</f>
        <v>1.0</v>
      </c>
      <c r="G40" s="4">
        <f>IFERROR(IF(G14="","",G14/F14),"")</f>
        <v>1.0</v>
      </c>
      <c r="H40" s="4">
        <f>IFERROR(IF(H14="","",H14/G14),"")</f>
        <v>1.0</v>
      </c>
      <c r="I40" s="4">
        <f>IFERROR(IF(I14="","",I14/H14),"")</f>
        <v>1.0</v>
      </c>
      <c r="J40" s="4">
        <f>IFERROR(IF(J14="","",J14/I14),"")</f>
        <v>1.0</v>
      </c>
      <c r="K40" s="4">
        <f>IFERROR(IF(K14="","",K14/J14),"")</f>
        <v>1.0</v>
      </c>
      <c r="L40" s="4">
        <f>IFERROR(IF(L14="","",L14/K14),"")</f>
        <v>1.0</v>
      </c>
      <c r="M40" s="4">
        <f>IFERROR(IF(M14="","",M14/L14),"")</f>
        <v>0</v>
      </c>
      <c r="N40" s="4">
        <f>IFERROR(IF(N14="","",N14/M14),"")</f>
        <v>0</v>
      </c>
      <c r="O40" s="4">
        <f>IFERROR(IF(O14="","",O14/N14),"")</f>
        <v>0</v>
      </c>
      <c r="P40" s="4">
        <f>IFERROR(IF(P14="","",P14/O14),"")</f>
        <v>0</v>
      </c>
      <c r="Q40" s="4">
        <f>IFERROR(IF(Q14="","",Q14/P14),"")</f>
        <v>0</v>
      </c>
      <c r="R40" s="4">
        <f>IFERROR(IF(R14="","",R14/Q14),"")</f>
        <v>0</v>
      </c>
      <c r="S40" s="4">
        <f>IFERROR(IF(S14="","",S14/R14),"")</f>
        <v>0</v>
      </c>
      <c r="T40" s="4">
        <f>IFERROR(IF(T14="","",T14/S14),"")</f>
        <v>0</v>
      </c>
      <c r="U40" s="4">
        <f>IFERROR(IF(U14="","",U14/T14),"")</f>
        <v>0</v>
      </c>
      <c r="V40" s="4">
        <f>IFERROR(IF(V14="","",V14/U14),"")</f>
        <v>0</v>
      </c>
      <c r="W40" s="4">
        <f>IFERROR(IF(W14="","",W14/V14),"")</f>
        <v>0</v>
      </c>
      <c r="X40" s="4">
        <f>IFERROR(IF(X14="","",X14/W14),"")</f>
        <v>0</v>
      </c>
    </row>
    <row r="41" spans="1:24">
      <c r="A41" s="2" t="s">
        <v>38</v>
      </c>
      <c r="B41" s="4">
        <f>IFERROR(IF(B15="","",B15/A15),"")</f>
        <v>1.0456</v>
      </c>
      <c r="C41" s="4">
        <f>IFERROR(IF(C15="","",C15/B15),"")</f>
        <v>1.0029</v>
      </c>
      <c r="D41" s="4">
        <f>IFERROR(IF(D15="","",D15/C15),"")</f>
        <v>1.0</v>
      </c>
      <c r="E41" s="4">
        <f>IFERROR(IF(E15="","",E15/D15),"")</f>
        <v>1.0</v>
      </c>
      <c r="F41" s="4">
        <f>IFERROR(IF(F15="","",F15/E15),"")</f>
        <v>1.0</v>
      </c>
      <c r="G41" s="4">
        <f>IFERROR(IF(G15="","",G15/F15),"")</f>
        <v>1.0</v>
      </c>
      <c r="H41" s="4">
        <f>IFERROR(IF(H15="","",H15/G15),"")</f>
        <v>1.0</v>
      </c>
      <c r="I41" s="4">
        <f>IFERROR(IF(I15="","",I15/H15),"")</f>
        <v>1.0</v>
      </c>
      <c r="J41" s="4">
        <f>IFERROR(IF(J15="","",J15/I15),"")</f>
        <v>1.0</v>
      </c>
      <c r="K41" s="4">
        <f>IFERROR(IF(K15="","",K15/J15),"")</f>
        <v>1.0</v>
      </c>
      <c r="L41" s="4">
        <f>IFERROR(IF(L15="","",L15/K15),"")</f>
        <v>0</v>
      </c>
      <c r="M41" s="4">
        <f>IFERROR(IF(M15="","",M15/L15),"")</f>
        <v>0</v>
      </c>
      <c r="N41" s="4">
        <f>IFERROR(IF(N15="","",N15/M15),"")</f>
        <v>0</v>
      </c>
      <c r="O41" s="4">
        <f>IFERROR(IF(O15="","",O15/N15),"")</f>
        <v>0</v>
      </c>
      <c r="P41" s="4">
        <f>IFERROR(IF(P15="","",P15/O15),"")</f>
        <v>0</v>
      </c>
      <c r="Q41" s="4">
        <f>IFERROR(IF(Q15="","",Q15/P15),"")</f>
        <v>0</v>
      </c>
      <c r="R41" s="4">
        <f>IFERROR(IF(R15="","",R15/Q15),"")</f>
        <v>0</v>
      </c>
      <c r="S41" s="4">
        <f>IFERROR(IF(S15="","",S15/R15),"")</f>
        <v>0</v>
      </c>
      <c r="T41" s="4">
        <f>IFERROR(IF(T15="","",T15/S15),"")</f>
        <v>0</v>
      </c>
      <c r="U41" s="4">
        <f>IFERROR(IF(U15="","",U15/T15),"")</f>
        <v>0</v>
      </c>
      <c r="V41" s="4">
        <f>IFERROR(IF(V15="","",V15/U15),"")</f>
        <v>0</v>
      </c>
      <c r="W41" s="4">
        <f>IFERROR(IF(W15="","",W15/V15),"")</f>
        <v>0</v>
      </c>
      <c r="X41" s="4">
        <f>IFERROR(IF(X15="","",X15/W15),"")</f>
        <v>0</v>
      </c>
    </row>
    <row r="42" spans="1:24">
      <c r="A42" s="2" t="s">
        <v>39</v>
      </c>
      <c r="B42" s="4">
        <f>IFERROR(IF(B16="","",B16/A16),"")</f>
        <v>1.0328</v>
      </c>
      <c r="C42" s="4">
        <f>IFERROR(IF(C16="","",C16/B16),"")</f>
        <v>1.0159</v>
      </c>
      <c r="D42" s="4">
        <f>IFERROR(IF(D16="","",D16/C16),"")</f>
        <v>1.0</v>
      </c>
      <c r="E42" s="4">
        <f>IFERROR(IF(E16="","",E16/D16),"")</f>
        <v>1.0</v>
      </c>
      <c r="F42" s="4">
        <f>IFERROR(IF(F16="","",F16/E16),"")</f>
        <v>1.0</v>
      </c>
      <c r="G42" s="4">
        <f>IFERROR(IF(G16="","",G16/F16),"")</f>
        <v>1.0</v>
      </c>
      <c r="H42" s="4">
        <f>IFERROR(IF(H16="","",H16/G16),"")</f>
        <v>1.0</v>
      </c>
      <c r="I42" s="4">
        <f>IFERROR(IF(I16="","",I16/H16),"")</f>
        <v>1.0</v>
      </c>
      <c r="J42" s="4">
        <f>IFERROR(IF(J16="","",J16/I16),"")</f>
        <v>0.9883</v>
      </c>
      <c r="K42" s="4">
        <f>IFERROR(IF(K16="","",K16/J16),"")</f>
        <v>0</v>
      </c>
      <c r="L42" s="4">
        <f>IFERROR(IF(L16="","",L16/K16),"")</f>
        <v>0</v>
      </c>
      <c r="M42" s="4">
        <f>IFERROR(IF(M16="","",M16/L16),"")</f>
        <v>0</v>
      </c>
      <c r="N42" s="4">
        <f>IFERROR(IF(N16="","",N16/M16),"")</f>
        <v>0</v>
      </c>
      <c r="O42" s="4">
        <f>IFERROR(IF(O16="","",O16/N16),"")</f>
        <v>0</v>
      </c>
      <c r="P42" s="4">
        <f>IFERROR(IF(P16="","",P16/O16),"")</f>
        <v>0</v>
      </c>
      <c r="Q42" s="4">
        <f>IFERROR(IF(Q16="","",Q16/P16),"")</f>
        <v>0</v>
      </c>
      <c r="R42" s="4">
        <f>IFERROR(IF(R16="","",R16/Q16),"")</f>
        <v>0</v>
      </c>
      <c r="S42" s="4">
        <f>IFERROR(IF(S16="","",S16/R16),"")</f>
        <v>0</v>
      </c>
      <c r="T42" s="4">
        <f>IFERROR(IF(T16="","",T16/S16),"")</f>
        <v>0</v>
      </c>
      <c r="U42" s="4">
        <f>IFERROR(IF(U16="","",U16/T16),"")</f>
        <v>0</v>
      </c>
      <c r="V42" s="4">
        <f>IFERROR(IF(V16="","",V16/U16),"")</f>
        <v>0</v>
      </c>
      <c r="W42" s="4">
        <f>IFERROR(IF(W16="","",W16/V16),"")</f>
        <v>0</v>
      </c>
      <c r="X42" s="4">
        <f>IFERROR(IF(X16="","",X16/W16),"")</f>
        <v>0</v>
      </c>
    </row>
    <row r="43" spans="1:24">
      <c r="A43" s="2" t="s">
        <v>40</v>
      </c>
      <c r="B43" s="4">
        <f>IFERROR(IF(B17="","",B17/A17),"")</f>
        <v>1.0802</v>
      </c>
      <c r="C43" s="4">
        <f>IFERROR(IF(C17="","",C17/B17),"")</f>
        <v>1.0459</v>
      </c>
      <c r="D43" s="4">
        <f>IFERROR(IF(D17="","",D17/C17),"")</f>
        <v>1.0</v>
      </c>
      <c r="E43" s="4">
        <f>IFERROR(IF(E17="","",E17/D17),"")</f>
        <v>1.0</v>
      </c>
      <c r="F43" s="4">
        <f>IFERROR(IF(F17="","",F17/E17),"")</f>
        <v>1.0</v>
      </c>
      <c r="G43" s="4">
        <f>IFERROR(IF(G17="","",G17/F17),"")</f>
        <v>1.0</v>
      </c>
      <c r="H43" s="4">
        <f>IFERROR(IF(H17="","",H17/G17),"")</f>
        <v>1.0</v>
      </c>
      <c r="I43" s="4">
        <f>IFERROR(IF(I17="","",I17/H17),"")</f>
        <v>1.0</v>
      </c>
      <c r="J43" s="4">
        <f>IFERROR(IF(J17="","",J17/I17),"")</f>
        <v>0</v>
      </c>
      <c r="K43" s="4">
        <f>IFERROR(IF(K17="","",K17/J17),"")</f>
        <v>0</v>
      </c>
      <c r="L43" s="4">
        <f>IFERROR(IF(L17="","",L17/K17),"")</f>
        <v>0</v>
      </c>
      <c r="M43" s="4">
        <f>IFERROR(IF(M17="","",M17/L17),"")</f>
        <v>0</v>
      </c>
      <c r="N43" s="4">
        <f>IFERROR(IF(N17="","",N17/M17),"")</f>
        <v>0</v>
      </c>
      <c r="O43" s="4">
        <f>IFERROR(IF(O17="","",O17/N17),"")</f>
        <v>0</v>
      </c>
      <c r="P43" s="4">
        <f>IFERROR(IF(P17="","",P17/O17),"")</f>
        <v>0</v>
      </c>
      <c r="Q43" s="4">
        <f>IFERROR(IF(Q17="","",Q17/P17),"")</f>
        <v>0</v>
      </c>
      <c r="R43" s="4">
        <f>IFERROR(IF(R17="","",R17/Q17),"")</f>
        <v>0</v>
      </c>
      <c r="S43" s="4">
        <f>IFERROR(IF(S17="","",S17/R17),"")</f>
        <v>0</v>
      </c>
      <c r="T43" s="4">
        <f>IFERROR(IF(T17="","",T17/S17),"")</f>
        <v>0</v>
      </c>
      <c r="U43" s="4">
        <f>IFERROR(IF(U17="","",U17/T17),"")</f>
        <v>0</v>
      </c>
      <c r="V43" s="4">
        <f>IFERROR(IF(V17="","",V17/U17),"")</f>
        <v>0</v>
      </c>
      <c r="W43" s="4">
        <f>IFERROR(IF(W17="","",W17/V17),"")</f>
        <v>0</v>
      </c>
      <c r="X43" s="4">
        <f>IFERROR(IF(X17="","",X17/W17),"")</f>
        <v>0</v>
      </c>
    </row>
    <row r="44" spans="1:24">
      <c r="A44" s="2" t="s">
        <v>41</v>
      </c>
      <c r="B44" s="4">
        <f>IFERROR(IF(B18="","",B18/A18),"")</f>
        <v>1.1244</v>
      </c>
      <c r="C44" s="4">
        <f>IFERROR(IF(C18="","",C18/B18),"")</f>
        <v>1.0043</v>
      </c>
      <c r="D44" s="4">
        <f>IFERROR(IF(D18="","",D18/C18),"")</f>
        <v>1.0042</v>
      </c>
      <c r="E44" s="4">
        <f>IFERROR(IF(E18="","",E18/D18),"")</f>
        <v>0.9958</v>
      </c>
      <c r="F44" s="4">
        <f>IFERROR(IF(F18="","",F18/E18),"")</f>
        <v>1.0</v>
      </c>
      <c r="G44" s="4">
        <f>IFERROR(IF(G18="","",G18/F18),"")</f>
        <v>1.0</v>
      </c>
      <c r="H44" s="4">
        <f>IFERROR(IF(H18="","",H18/G18),"")</f>
        <v>0.9958</v>
      </c>
      <c r="I44" s="4">
        <f>IFERROR(IF(I18="","",I18/H18),"")</f>
        <v>0</v>
      </c>
      <c r="J44" s="4">
        <f>IFERROR(IF(J18="","",J18/I18),"")</f>
        <v>0</v>
      </c>
      <c r="K44" s="4">
        <f>IFERROR(IF(K18="","",K18/J18),"")</f>
        <v>0</v>
      </c>
      <c r="L44" s="4">
        <f>IFERROR(IF(L18="","",L18/K18),"")</f>
        <v>0</v>
      </c>
      <c r="M44" s="4">
        <f>IFERROR(IF(M18="","",M18/L18),"")</f>
        <v>0</v>
      </c>
      <c r="N44" s="4">
        <f>IFERROR(IF(N18="","",N18/M18),"")</f>
        <v>0</v>
      </c>
      <c r="O44" s="4">
        <f>IFERROR(IF(O18="","",O18/N18),"")</f>
        <v>0</v>
      </c>
      <c r="P44" s="4">
        <f>IFERROR(IF(P18="","",P18/O18),"")</f>
        <v>0</v>
      </c>
      <c r="Q44" s="4">
        <f>IFERROR(IF(Q18="","",Q18/P18),"")</f>
        <v>0</v>
      </c>
      <c r="R44" s="4">
        <f>IFERROR(IF(R18="","",R18/Q18),"")</f>
        <v>0</v>
      </c>
      <c r="S44" s="4">
        <f>IFERROR(IF(S18="","",S18/R18),"")</f>
        <v>0</v>
      </c>
      <c r="T44" s="4">
        <f>IFERROR(IF(T18="","",T18/S18),"")</f>
        <v>0</v>
      </c>
      <c r="U44" s="4">
        <f>IFERROR(IF(U18="","",U18/T18),"")</f>
        <v>0</v>
      </c>
      <c r="V44" s="4">
        <f>IFERROR(IF(V18="","",V18/U18),"")</f>
        <v>0</v>
      </c>
      <c r="W44" s="4">
        <f>IFERROR(IF(W18="","",W18/V18),"")</f>
        <v>0</v>
      </c>
      <c r="X44" s="4">
        <f>IFERROR(IF(X18="","",X18/W18),"")</f>
        <v>0</v>
      </c>
    </row>
    <row r="45" spans="1:24">
      <c r="A45" s="2" t="s">
        <v>42</v>
      </c>
      <c r="B45" s="4">
        <f>IFERROR(IF(B19="","",B19/A19),"")</f>
        <v>1.1233</v>
      </c>
      <c r="C45" s="4">
        <f>IFERROR(IF(C19="","",C19/B19),"")</f>
        <v>1.0</v>
      </c>
      <c r="D45" s="4">
        <f>IFERROR(IF(D19="","",D19/C19),"")</f>
        <v>1.0</v>
      </c>
      <c r="E45" s="4">
        <f>IFERROR(IF(E19="","",E19/D19),"")</f>
        <v>1.0041</v>
      </c>
      <c r="F45" s="4">
        <f>IFERROR(IF(F19="","",F19/E19),"")</f>
        <v>1.0</v>
      </c>
      <c r="G45" s="4">
        <f>IFERROR(IF(G19="","",G19/F19),"")</f>
        <v>1.0</v>
      </c>
      <c r="H45" s="4">
        <f>IFERROR(IF(H19="","",H19/G19),"")</f>
        <v>0</v>
      </c>
      <c r="I45" s="4">
        <f>IFERROR(IF(I19="","",I19/H19),"")</f>
        <v>0</v>
      </c>
      <c r="J45" s="4">
        <f>IFERROR(IF(J19="","",J19/I19),"")</f>
        <v>0</v>
      </c>
      <c r="K45" s="4">
        <f>IFERROR(IF(K19="","",K19/J19),"")</f>
        <v>0</v>
      </c>
      <c r="L45" s="4">
        <f>IFERROR(IF(L19="","",L19/K19),"")</f>
        <v>0</v>
      </c>
      <c r="M45" s="4">
        <f>IFERROR(IF(M19="","",M19/L19),"")</f>
        <v>0</v>
      </c>
      <c r="N45" s="4">
        <f>IFERROR(IF(N19="","",N19/M19),"")</f>
        <v>0</v>
      </c>
      <c r="O45" s="4">
        <f>IFERROR(IF(O19="","",O19/N19),"")</f>
        <v>0</v>
      </c>
      <c r="P45" s="4">
        <f>IFERROR(IF(P19="","",P19/O19),"")</f>
        <v>0</v>
      </c>
      <c r="Q45" s="4">
        <f>IFERROR(IF(Q19="","",Q19/P19),"")</f>
        <v>0</v>
      </c>
      <c r="R45" s="4">
        <f>IFERROR(IF(R19="","",R19/Q19),"")</f>
        <v>0</v>
      </c>
      <c r="S45" s="4">
        <f>IFERROR(IF(S19="","",S19/R19),"")</f>
        <v>0</v>
      </c>
      <c r="T45" s="4">
        <f>IFERROR(IF(T19="","",T19/S19),"")</f>
        <v>0</v>
      </c>
      <c r="U45" s="4">
        <f>IFERROR(IF(U19="","",U19/T19),"")</f>
        <v>0</v>
      </c>
      <c r="V45" s="4">
        <f>IFERROR(IF(V19="","",V19/U19),"")</f>
        <v>0</v>
      </c>
      <c r="W45" s="4">
        <f>IFERROR(IF(W19="","",W19/V19),"")</f>
        <v>0</v>
      </c>
      <c r="X45" s="4">
        <f>IFERROR(IF(X19="","",X19/W19),"")</f>
        <v>0</v>
      </c>
    </row>
    <row r="46" spans="1:24">
      <c r="A46" s="2" t="s">
        <v>43</v>
      </c>
      <c r="B46" s="4">
        <f>IFERROR(IF(B20="","",B20/A20),"")</f>
        <v>1.1429</v>
      </c>
      <c r="C46" s="4">
        <f>IFERROR(IF(C20="","",C20/B20),"")</f>
        <v>1.0</v>
      </c>
      <c r="D46" s="4">
        <f>IFERROR(IF(D20="","",D20/C20),"")</f>
        <v>1.0</v>
      </c>
      <c r="E46" s="4">
        <f>IFERROR(IF(E20="","",E20/D20),"")</f>
        <v>1.0</v>
      </c>
      <c r="F46" s="4">
        <f>IFERROR(IF(F20="","",F20/E20),"")</f>
        <v>0.9963</v>
      </c>
      <c r="G46" s="4">
        <f>IFERROR(IF(G20="","",G20/F20),"")</f>
        <v>0</v>
      </c>
      <c r="H46" s="4">
        <f>IFERROR(IF(H20="","",H20/G20),"")</f>
        <v>0</v>
      </c>
      <c r="I46" s="4">
        <f>IFERROR(IF(I20="","",I20/H20),"")</f>
        <v>0</v>
      </c>
      <c r="J46" s="4">
        <f>IFERROR(IF(J20="","",J20/I20),"")</f>
        <v>0</v>
      </c>
      <c r="K46" s="4">
        <f>IFERROR(IF(K20="","",K20/J20),"")</f>
        <v>0</v>
      </c>
      <c r="L46" s="4">
        <f>IFERROR(IF(L20="","",L20/K20),"")</f>
        <v>0</v>
      </c>
      <c r="M46" s="4">
        <f>IFERROR(IF(M20="","",M20/L20),"")</f>
        <v>0</v>
      </c>
      <c r="N46" s="4">
        <f>IFERROR(IF(N20="","",N20/M20),"")</f>
        <v>0</v>
      </c>
      <c r="O46" s="4">
        <f>IFERROR(IF(O20="","",O20/N20),"")</f>
        <v>0</v>
      </c>
      <c r="P46" s="4">
        <f>IFERROR(IF(P20="","",P20/O20),"")</f>
        <v>0</v>
      </c>
      <c r="Q46" s="4">
        <f>IFERROR(IF(Q20="","",Q20/P20),"")</f>
        <v>0</v>
      </c>
      <c r="R46" s="4">
        <f>IFERROR(IF(R20="","",R20/Q20),"")</f>
        <v>0</v>
      </c>
      <c r="S46" s="4">
        <f>IFERROR(IF(S20="","",S20/R20),"")</f>
        <v>0</v>
      </c>
      <c r="T46" s="4">
        <f>IFERROR(IF(T20="","",T20/S20),"")</f>
        <v>0</v>
      </c>
      <c r="U46" s="4">
        <f>IFERROR(IF(U20="","",U20/T20),"")</f>
        <v>0</v>
      </c>
      <c r="V46" s="4">
        <f>IFERROR(IF(V20="","",V20/U20),"")</f>
        <v>0</v>
      </c>
      <c r="W46" s="4">
        <f>IFERROR(IF(W20="","",W20/V20),"")</f>
        <v>0</v>
      </c>
      <c r="X46" s="4">
        <f>IFERROR(IF(X20="","",X20/W20),"")</f>
        <v>0</v>
      </c>
    </row>
    <row r="47" spans="1:24">
      <c r="A47" s="2" t="s">
        <v>44</v>
      </c>
      <c r="B47" s="4">
        <f>IFERROR(IF(B21="","",B21/A21),"")</f>
        <v>1.0604</v>
      </c>
      <c r="C47" s="4">
        <f>IFERROR(IF(C21="","",C21/B21),"")</f>
        <v>1.0</v>
      </c>
      <c r="D47" s="4">
        <f>IFERROR(IF(D21="","",D21/C21),"")</f>
        <v>1.0</v>
      </c>
      <c r="E47" s="4">
        <f>IFERROR(IF(E21="","",E21/D21),"")</f>
        <v>1.0</v>
      </c>
      <c r="F47" s="4">
        <f>IFERROR(IF(F21="","",F21/E21),"")</f>
        <v>0</v>
      </c>
      <c r="G47" s="4">
        <f>IFERROR(IF(G21="","",G21/F21),"")</f>
        <v>0</v>
      </c>
      <c r="H47" s="4">
        <f>IFERROR(IF(H21="","",H21/G21),"")</f>
        <v>0</v>
      </c>
      <c r="I47" s="4">
        <f>IFERROR(IF(I21="","",I21/H21),"")</f>
        <v>0</v>
      </c>
      <c r="J47" s="4">
        <f>IFERROR(IF(J21="","",J21/I21),"")</f>
        <v>0</v>
      </c>
      <c r="K47" s="4">
        <f>IFERROR(IF(K21="","",K21/J21),"")</f>
        <v>0</v>
      </c>
      <c r="L47" s="4">
        <f>IFERROR(IF(L21="","",L21/K21),"")</f>
        <v>0</v>
      </c>
      <c r="M47" s="4">
        <f>IFERROR(IF(M21="","",M21/L21),"")</f>
        <v>0</v>
      </c>
      <c r="N47" s="4">
        <f>IFERROR(IF(N21="","",N21/M21),"")</f>
        <v>0</v>
      </c>
      <c r="O47" s="4">
        <f>IFERROR(IF(O21="","",O21/N21),"")</f>
        <v>0</v>
      </c>
      <c r="P47" s="4">
        <f>IFERROR(IF(P21="","",P21/O21),"")</f>
        <v>0</v>
      </c>
      <c r="Q47" s="4">
        <f>IFERROR(IF(Q21="","",Q21/P21),"")</f>
        <v>0</v>
      </c>
      <c r="R47" s="4">
        <f>IFERROR(IF(R21="","",R21/Q21),"")</f>
        <v>0</v>
      </c>
      <c r="S47" s="4">
        <f>IFERROR(IF(S21="","",S21/R21),"")</f>
        <v>0</v>
      </c>
      <c r="T47" s="4">
        <f>IFERROR(IF(T21="","",T21/S21),"")</f>
        <v>0</v>
      </c>
      <c r="U47" s="4">
        <f>IFERROR(IF(U21="","",U21/T21),"")</f>
        <v>0</v>
      </c>
      <c r="V47" s="4">
        <f>IFERROR(IF(V21="","",V21/U21),"")</f>
        <v>0</v>
      </c>
      <c r="W47" s="4">
        <f>IFERROR(IF(W21="","",W21/V21),"")</f>
        <v>0</v>
      </c>
      <c r="X47" s="4">
        <f>IFERROR(IF(X21="","",X21/W21),"")</f>
        <v>0</v>
      </c>
    </row>
    <row r="48" spans="1:24">
      <c r="A48" s="2" t="s">
        <v>45</v>
      </c>
      <c r="B48" s="4">
        <f>IFERROR(IF(B22="","",B22/A22),"")</f>
        <v>1.1416</v>
      </c>
      <c r="C48" s="4">
        <f>IFERROR(IF(C22="","",C22/B22),"")</f>
        <v>1.0</v>
      </c>
      <c r="D48" s="4">
        <f>IFERROR(IF(D22="","",D22/C22),"")</f>
        <v>1.0</v>
      </c>
      <c r="E48" s="4">
        <f>IFERROR(IF(E22="","",E22/D22),"")</f>
        <v>0</v>
      </c>
      <c r="F48" s="4">
        <f>IFERROR(IF(F22="","",F22/E22),"")</f>
        <v>0</v>
      </c>
      <c r="G48" s="4">
        <f>IFERROR(IF(G22="","",G22/F22),"")</f>
        <v>0</v>
      </c>
      <c r="H48" s="4">
        <f>IFERROR(IF(H22="","",H22/G22),"")</f>
        <v>0</v>
      </c>
      <c r="I48" s="4">
        <f>IFERROR(IF(I22="","",I22/H22),"")</f>
        <v>0</v>
      </c>
      <c r="J48" s="4">
        <f>IFERROR(IF(J22="","",J22/I22),"")</f>
        <v>0</v>
      </c>
      <c r="K48" s="4">
        <f>IFERROR(IF(K22="","",K22/J22),"")</f>
        <v>0</v>
      </c>
      <c r="L48" s="4">
        <f>IFERROR(IF(L22="","",L22/K22),"")</f>
        <v>0</v>
      </c>
      <c r="M48" s="4">
        <f>IFERROR(IF(M22="","",M22/L22),"")</f>
        <v>0</v>
      </c>
      <c r="N48" s="4">
        <f>IFERROR(IF(N22="","",N22/M22),"")</f>
        <v>0</v>
      </c>
      <c r="O48" s="4">
        <f>IFERROR(IF(O22="","",O22/N22),"")</f>
        <v>0</v>
      </c>
      <c r="P48" s="4">
        <f>IFERROR(IF(P22="","",P22/O22),"")</f>
        <v>0</v>
      </c>
      <c r="Q48" s="4">
        <f>IFERROR(IF(Q22="","",Q22/P22),"")</f>
        <v>0</v>
      </c>
      <c r="R48" s="4">
        <f>IFERROR(IF(R22="","",R22/Q22),"")</f>
        <v>0</v>
      </c>
      <c r="S48" s="4">
        <f>IFERROR(IF(S22="","",S22/R22),"")</f>
        <v>0</v>
      </c>
      <c r="T48" s="4">
        <f>IFERROR(IF(T22="","",T22/S22),"")</f>
        <v>0</v>
      </c>
      <c r="U48" s="4">
        <f>IFERROR(IF(U22="","",U22/T22),"")</f>
        <v>0</v>
      </c>
      <c r="V48" s="4">
        <f>IFERROR(IF(V22="","",V22/U22),"")</f>
        <v>0</v>
      </c>
      <c r="W48" s="4">
        <f>IFERROR(IF(W22="","",W22/V22),"")</f>
        <v>0</v>
      </c>
      <c r="X48" s="4">
        <f>IFERROR(IF(X22="","",X22/W22),"")</f>
        <v>0</v>
      </c>
    </row>
    <row r="49" spans="1:25">
      <c r="A49" s="2" t="s">
        <v>46</v>
      </c>
      <c r="B49" s="4">
        <f>IFERROR(IF(B23="","",B23/A23),"")</f>
        <v>1.1414</v>
      </c>
      <c r="C49" s="4">
        <f>IFERROR(IF(C23="","",C23/B23),"")</f>
        <v>1.0</v>
      </c>
      <c r="D49" s="4">
        <f>IFERROR(IF(D23="","",D23/C23),"")</f>
        <v>0</v>
      </c>
      <c r="E49" s="4">
        <f>IFERROR(IF(E23="","",E23/D23),"")</f>
        <v>0</v>
      </c>
      <c r="F49" s="4">
        <f>IFERROR(IF(F23="","",F23/E23),"")</f>
        <v>0</v>
      </c>
      <c r="G49" s="4">
        <f>IFERROR(IF(G23="","",G23/F23),"")</f>
        <v>0</v>
      </c>
      <c r="H49" s="4">
        <f>IFERROR(IF(H23="","",H23/G23),"")</f>
        <v>0</v>
      </c>
      <c r="I49" s="4">
        <f>IFERROR(IF(I23="","",I23/H23),"")</f>
        <v>0</v>
      </c>
      <c r="J49" s="4">
        <f>IFERROR(IF(J23="","",J23/I23),"")</f>
        <v>0</v>
      </c>
      <c r="K49" s="4">
        <f>IFERROR(IF(K23="","",K23/J23),"")</f>
        <v>0</v>
      </c>
      <c r="L49" s="4">
        <f>IFERROR(IF(L23="","",L23/K23),"")</f>
        <v>0</v>
      </c>
      <c r="M49" s="4">
        <f>IFERROR(IF(M23="","",M23/L23),"")</f>
        <v>0</v>
      </c>
      <c r="N49" s="4">
        <f>IFERROR(IF(N23="","",N23/M23),"")</f>
        <v>0</v>
      </c>
      <c r="O49" s="4">
        <f>IFERROR(IF(O23="","",O23/N23),"")</f>
        <v>0</v>
      </c>
      <c r="P49" s="4">
        <f>IFERROR(IF(P23="","",P23/O23),"")</f>
        <v>0</v>
      </c>
      <c r="Q49" s="4">
        <f>IFERROR(IF(Q23="","",Q23/P23),"")</f>
        <v>0</v>
      </c>
      <c r="R49" s="4">
        <f>IFERROR(IF(R23="","",R23/Q23),"")</f>
        <v>0</v>
      </c>
      <c r="S49" s="4">
        <f>IFERROR(IF(S23="","",S23/R23),"")</f>
        <v>0</v>
      </c>
      <c r="T49" s="4">
        <f>IFERROR(IF(T23="","",T23/S23),"")</f>
        <v>0</v>
      </c>
      <c r="U49" s="4">
        <f>IFERROR(IF(U23="","",U23/T23),"")</f>
        <v>0</v>
      </c>
      <c r="V49" s="4">
        <f>IFERROR(IF(V23="","",V23/U23),"")</f>
        <v>0</v>
      </c>
      <c r="W49" s="4">
        <f>IFERROR(IF(W23="","",W23/V23),"")</f>
        <v>0</v>
      </c>
      <c r="X49" s="4">
        <f>IFERROR(IF(X23="","",X23/W23),"")</f>
        <v>0</v>
      </c>
    </row>
    <row r="50" spans="1:25">
      <c r="A50" s="2" t="s">
        <v>47</v>
      </c>
      <c r="B50" s="4">
        <f>IFERROR(IF(B24="","",B24/A24),"")</f>
        <v>1.1159</v>
      </c>
      <c r="C50" s="4">
        <f>IFERROR(IF(C24="","",C24/B24),"")</f>
        <v>0</v>
      </c>
      <c r="D50" s="4">
        <f>IFERROR(IF(D24="","",D24/C24),"")</f>
        <v>0</v>
      </c>
      <c r="E50" s="4">
        <f>IFERROR(IF(E24="","",E24/D24),"")</f>
        <v>0</v>
      </c>
      <c r="F50" s="4">
        <f>IFERROR(IF(F24="","",F24/E24),"")</f>
        <v>0</v>
      </c>
      <c r="G50" s="4">
        <f>IFERROR(IF(G24="","",G24/F24),"")</f>
        <v>0</v>
      </c>
      <c r="H50" s="4">
        <f>IFERROR(IF(H24="","",H24/G24),"")</f>
        <v>0</v>
      </c>
      <c r="I50" s="4">
        <f>IFERROR(IF(I24="","",I24/H24),"")</f>
        <v>0</v>
      </c>
      <c r="J50" s="4">
        <f>IFERROR(IF(J24="","",J24/I24),"")</f>
        <v>0</v>
      </c>
      <c r="K50" s="4">
        <f>IFERROR(IF(K24="","",K24/J24),"")</f>
        <v>0</v>
      </c>
      <c r="L50" s="4">
        <f>IFERROR(IF(L24="","",L24/K24),"")</f>
        <v>0</v>
      </c>
      <c r="M50" s="4">
        <f>IFERROR(IF(M24="","",M24/L24),"")</f>
        <v>0</v>
      </c>
      <c r="N50" s="4">
        <f>IFERROR(IF(N24="","",N24/M24),"")</f>
        <v>0</v>
      </c>
      <c r="O50" s="4">
        <f>IFERROR(IF(O24="","",O24/N24),"")</f>
        <v>0</v>
      </c>
      <c r="P50" s="4">
        <f>IFERROR(IF(P24="","",P24/O24),"")</f>
        <v>0</v>
      </c>
      <c r="Q50" s="4">
        <f>IFERROR(IF(Q24="","",Q24/P24),"")</f>
        <v>0</v>
      </c>
      <c r="R50" s="4">
        <f>IFERROR(IF(R24="","",R24/Q24),"")</f>
        <v>0</v>
      </c>
      <c r="S50" s="4">
        <f>IFERROR(IF(S24="","",S24/R24),"")</f>
        <v>0</v>
      </c>
      <c r="T50" s="4">
        <f>IFERROR(IF(T24="","",T24/S24),"")</f>
        <v>0</v>
      </c>
      <c r="U50" s="4">
        <f>IFERROR(IF(U24="","",U24/T24),"")</f>
        <v>0</v>
      </c>
      <c r="V50" s="4">
        <f>IFERROR(IF(V24="","",V24/U24),"")</f>
        <v>0</v>
      </c>
      <c r="W50" s="4">
        <f>IFERROR(IF(W24="","",W24/V24),"")</f>
        <v>0</v>
      </c>
      <c r="X50" s="4">
        <f>IFERROR(IF(X24="","",X24/W24),"")</f>
        <v>0</v>
      </c>
    </row>
    <row r="51" spans="1:25">
      <c r="A51" s="2" t="s">
        <v>48</v>
      </c>
      <c r="B51" s="4">
        <f>IFERROR(IF(B25="","",B25/A25),"")</f>
        <v>0</v>
      </c>
      <c r="C51" s="4">
        <f>IFERROR(IF(C25="","",C25/B25),"")</f>
        <v>0</v>
      </c>
      <c r="D51" s="4">
        <f>IFERROR(IF(D25="","",D25/C25),"")</f>
        <v>0</v>
      </c>
      <c r="E51" s="4">
        <f>IFERROR(IF(E25="","",E25/D25),"")</f>
        <v>0</v>
      </c>
      <c r="F51" s="4">
        <f>IFERROR(IF(F25="","",F25/E25),"")</f>
        <v>0</v>
      </c>
      <c r="G51" s="4">
        <f>IFERROR(IF(G25="","",G25/F25),"")</f>
        <v>0</v>
      </c>
      <c r="H51" s="4">
        <f>IFERROR(IF(H25="","",H25/G25),"")</f>
        <v>0</v>
      </c>
      <c r="I51" s="4">
        <f>IFERROR(IF(I25="","",I25/H25),"")</f>
        <v>0</v>
      </c>
      <c r="J51" s="4">
        <f>IFERROR(IF(J25="","",J25/I25),"")</f>
        <v>0</v>
      </c>
      <c r="K51" s="4">
        <f>IFERROR(IF(K25="","",K25/J25),"")</f>
        <v>0</v>
      </c>
      <c r="L51" s="4">
        <f>IFERROR(IF(L25="","",L25/K25),"")</f>
        <v>0</v>
      </c>
      <c r="M51" s="4">
        <f>IFERROR(IF(M25="","",M25/L25),"")</f>
        <v>0</v>
      </c>
      <c r="N51" s="4">
        <f>IFERROR(IF(N25="","",N25/M25),"")</f>
        <v>0</v>
      </c>
      <c r="O51" s="4">
        <f>IFERROR(IF(O25="","",O25/N25),"")</f>
        <v>0</v>
      </c>
      <c r="P51" s="4">
        <f>IFERROR(IF(P25="","",P25/O25),"")</f>
        <v>0</v>
      </c>
      <c r="Q51" s="4">
        <f>IFERROR(IF(Q25="","",Q25/P25),"")</f>
        <v>0</v>
      </c>
      <c r="R51" s="4">
        <f>IFERROR(IF(R25="","",R25/Q25),"")</f>
        <v>0</v>
      </c>
      <c r="S51" s="4">
        <f>IFERROR(IF(S25="","",S25/R25),"")</f>
        <v>0</v>
      </c>
      <c r="T51" s="4">
        <f>IFERROR(IF(T25="","",T25/S25),"")</f>
        <v>0</v>
      </c>
      <c r="U51" s="4">
        <f>IFERROR(IF(U25="","",U25/T25),"")</f>
        <v>0</v>
      </c>
      <c r="V51" s="4">
        <f>IFERROR(IF(V25="","",V25/U25),"")</f>
        <v>0</v>
      </c>
      <c r="W51" s="4">
        <f>IFERROR(IF(W25="","",W25/V25),"")</f>
        <v>0</v>
      </c>
      <c r="X51" s="4">
        <f>IFERROR(IF(X25="","",X25/W25),"")</f>
        <v>0</v>
      </c>
    </row>
    <row r="53" spans="1:25">
      <c r="A53" s="1" t="s">
        <v>72</v>
      </c>
      <c r="B53" s="1" t="s">
        <v>49</v>
      </c>
      <c r="C53" s="1" t="s">
        <v>50</v>
      </c>
      <c r="D53" s="1" t="s">
        <v>51</v>
      </c>
      <c r="E53" s="1" t="s">
        <v>52</v>
      </c>
      <c r="F53" s="1" t="s">
        <v>53</v>
      </c>
      <c r="G53" s="1" t="s">
        <v>54</v>
      </c>
      <c r="H53" s="1" t="s">
        <v>55</v>
      </c>
      <c r="I53" s="1" t="s">
        <v>56</v>
      </c>
      <c r="J53" s="1" t="s">
        <v>57</v>
      </c>
      <c r="K53" s="1" t="s">
        <v>58</v>
      </c>
      <c r="L53" s="1" t="s">
        <v>59</v>
      </c>
      <c r="M53" s="1" t="s">
        <v>60</v>
      </c>
      <c r="N53" s="1" t="s">
        <v>61</v>
      </c>
      <c r="O53" s="1" t="s">
        <v>62</v>
      </c>
      <c r="P53" s="1" t="s">
        <v>63</v>
      </c>
      <c r="Q53" s="1" t="s">
        <v>64</v>
      </c>
      <c r="R53" s="1" t="s">
        <v>65</v>
      </c>
      <c r="S53" s="1" t="s">
        <v>66</v>
      </c>
      <c r="T53" s="1" t="s">
        <v>67</v>
      </c>
      <c r="U53" s="1" t="s">
        <v>68</v>
      </c>
      <c r="V53" s="1" t="s">
        <v>69</v>
      </c>
      <c r="W53" s="1" t="s">
        <v>70</v>
      </c>
      <c r="X53" s="1" t="s">
        <v>71</v>
      </c>
      <c r="Y53" s="1" t="s">
        <v>73</v>
      </c>
    </row>
    <row r="54" spans="1:25">
      <c r="A54" s="2" t="s">
        <v>74</v>
      </c>
      <c r="B54" s="4">
        <f>IFERROR(AVERAGE(B28:B51),AVERAGE(B28:B51))</f>
        <v>0</v>
      </c>
      <c r="C54" s="4">
        <f>IFERROR(AVERAGE(C28:C51),AVERAGE(C28:C51))</f>
        <v>0</v>
      </c>
      <c r="D54" s="4">
        <f>IFERROR(AVERAGE(D28:D51),AVERAGE(D28:D51))</f>
        <v>0</v>
      </c>
      <c r="E54" s="4">
        <f>IFERROR(AVERAGE(E28:E51),AVERAGE(E28:E51))</f>
        <v>0</v>
      </c>
      <c r="F54" s="4">
        <f>IFERROR(AVERAGE(F28:F51),AVERAGE(F28:F51))</f>
        <v>0</v>
      </c>
      <c r="G54" s="4">
        <f>IFERROR(AVERAGE(G28:G51),AVERAGE(G28:G51))</f>
        <v>0</v>
      </c>
      <c r="H54" s="4">
        <f>IFERROR(AVERAGE(H28:H51),AVERAGE(H28:H51))</f>
        <v>0</v>
      </c>
      <c r="I54" s="4">
        <f>IFERROR(AVERAGE(I28:I51),AVERAGE(I28:I51))</f>
        <v>0</v>
      </c>
      <c r="J54" s="4">
        <f>IFERROR(AVERAGE(J28:J51),AVERAGE(J28:J51))</f>
        <v>0</v>
      </c>
      <c r="K54" s="4">
        <f>IFERROR(AVERAGE(K28:K51),AVERAGE(K28:K51))</f>
        <v>0</v>
      </c>
      <c r="L54" s="4">
        <f>IFERROR(AVERAGE(L28:L51),AVERAGE(L28:L51))</f>
        <v>0</v>
      </c>
      <c r="M54" s="4">
        <f>IFERROR(AVERAGE(M28:M51),AVERAGE(M28:M51))</f>
        <v>0</v>
      </c>
      <c r="N54" s="4">
        <f>IFERROR(AVERAGE(N28:N51),AVERAGE(N28:N51))</f>
        <v>0</v>
      </c>
      <c r="O54" s="4">
        <f>IFERROR(AVERAGE(O28:O51),AVERAGE(O28:O51))</f>
        <v>0</v>
      </c>
      <c r="P54" s="4">
        <f>IFERROR(AVERAGE(P28:P51),AVERAGE(P28:P51))</f>
        <v>0</v>
      </c>
      <c r="Q54" s="4">
        <f>IFERROR(AVERAGE(Q28:Q51),AVERAGE(Q28:Q51))</f>
        <v>0</v>
      </c>
      <c r="R54" s="4">
        <f>IFERROR(AVERAGE(R28:R51),AVERAGE(R28:R51))</f>
        <v>0</v>
      </c>
      <c r="S54" s="4">
        <f>IFERROR(AVERAGE(S28:S51),AVERAGE(S28:S51))</f>
        <v>0</v>
      </c>
      <c r="T54" s="4">
        <f>IFERROR(AVERAGE(T28:T51),AVERAGE(T28:T51))</f>
        <v>0</v>
      </c>
      <c r="U54" s="4">
        <f>IFERROR(AVERAGE(U28:U51),AVERAGE(U28:U51))</f>
        <v>0</v>
      </c>
      <c r="V54" s="4">
        <f>IFERROR(AVERAGE(V28:V51),AVERAGE(V28:V51))</f>
        <v>0</v>
      </c>
      <c r="W54" s="4">
        <f>IFERROR(AVERAGE(W28:W51),AVERAGE(W28:W51))</f>
        <v>0</v>
      </c>
      <c r="X54" s="4">
        <f>IFERROR(AVERAGE(X28:X51),AVERAGE(X28:X51))</f>
        <v>0</v>
      </c>
    </row>
    <row r="55" spans="1:25">
      <c r="A55" s="2" t="s">
        <v>75</v>
      </c>
      <c r="B55" s="4">
        <f>IFERROR(SUMPRODUCT(B28:B51,B2:B25)/SUMPRODUCT((B28:B51&lt;&gt;"")*B2:B25),SUMPRODUCT(B28:B51,B2:B25)/SUMPRODUCT((B28:B51&lt;&gt;"")*B2:B25))</f>
        <v>0</v>
      </c>
      <c r="C55" s="4">
        <f>IFERROR(SUMPRODUCT(C28:C51,C2:C25)/SUMPRODUCT((C28:C51&lt;&gt;"")*C2:C25),SUMPRODUCT(C28:C51,C2:C25)/SUMPRODUCT((C28:C51&lt;&gt;"")*C2:C25))</f>
        <v>0</v>
      </c>
      <c r="D55" s="4">
        <f>IFERROR(SUMPRODUCT(D28:D51,D2:D25)/SUMPRODUCT((D28:D51&lt;&gt;"")*D2:D25),SUMPRODUCT(D28:D51,D2:D25)/SUMPRODUCT((D28:D51&lt;&gt;"")*D2:D25))</f>
        <v>0</v>
      </c>
      <c r="E55" s="4">
        <f>IFERROR(SUMPRODUCT(E28:E51,E2:E25)/SUMPRODUCT((E28:E51&lt;&gt;"")*E2:E25),SUMPRODUCT(E28:E51,E2:E25)/SUMPRODUCT((E28:E51&lt;&gt;"")*E2:E25))</f>
        <v>0</v>
      </c>
      <c r="F55" s="4">
        <f>IFERROR(SUMPRODUCT(F28:F51,F2:F25)/SUMPRODUCT((F28:F51&lt;&gt;"")*F2:F25),SUMPRODUCT(F28:F51,F2:F25)/SUMPRODUCT((F28:F51&lt;&gt;"")*F2:F25))</f>
        <v>0</v>
      </c>
      <c r="G55" s="4">
        <f>IFERROR(SUMPRODUCT(G28:G51,G2:G25)/SUMPRODUCT((G28:G51&lt;&gt;"")*G2:G25),SUMPRODUCT(G28:G51,G2:G25)/SUMPRODUCT((G28:G51&lt;&gt;"")*G2:G25))</f>
        <v>0</v>
      </c>
      <c r="H55" s="4">
        <f>IFERROR(SUMPRODUCT(H28:H51,H2:H25)/SUMPRODUCT((H28:H51&lt;&gt;"")*H2:H25),SUMPRODUCT(H28:H51,H2:H25)/SUMPRODUCT((H28:H51&lt;&gt;"")*H2:H25))</f>
        <v>0</v>
      </c>
      <c r="I55" s="4">
        <f>IFERROR(SUMPRODUCT(I28:I51,I2:I25)/SUMPRODUCT((I28:I51&lt;&gt;"")*I2:I25),SUMPRODUCT(I28:I51,I2:I25)/SUMPRODUCT((I28:I51&lt;&gt;"")*I2:I25))</f>
        <v>0</v>
      </c>
      <c r="J55" s="4">
        <f>IFERROR(SUMPRODUCT(J28:J51,J2:J25)/SUMPRODUCT((J28:J51&lt;&gt;"")*J2:J25),SUMPRODUCT(J28:J51,J2:J25)/SUMPRODUCT((J28:J51&lt;&gt;"")*J2:J25))</f>
        <v>0</v>
      </c>
      <c r="K55" s="4">
        <f>IFERROR(SUMPRODUCT(K28:K51,K2:K25)/SUMPRODUCT((K28:K51&lt;&gt;"")*K2:K25),SUMPRODUCT(K28:K51,K2:K25)/SUMPRODUCT((K28:K51&lt;&gt;"")*K2:K25))</f>
        <v>0</v>
      </c>
      <c r="L55" s="4">
        <f>IFERROR(SUMPRODUCT(L28:L51,L2:L25)/SUMPRODUCT((L28:L51&lt;&gt;"")*L2:L25),SUMPRODUCT(L28:L51,L2:L25)/SUMPRODUCT((L28:L51&lt;&gt;"")*L2:L25))</f>
        <v>0</v>
      </c>
      <c r="M55" s="4">
        <f>IFERROR(SUMPRODUCT(M28:M51,M2:M25)/SUMPRODUCT((M28:M51&lt;&gt;"")*M2:M25),SUMPRODUCT(M28:M51,M2:M25)/SUMPRODUCT((M28:M51&lt;&gt;"")*M2:M25))</f>
        <v>0</v>
      </c>
      <c r="N55" s="4">
        <f>IFERROR(SUMPRODUCT(N28:N51,N2:N25)/SUMPRODUCT((N28:N51&lt;&gt;"")*N2:N25),SUMPRODUCT(N28:N51,N2:N25)/SUMPRODUCT((N28:N51&lt;&gt;"")*N2:N25))</f>
        <v>0</v>
      </c>
      <c r="O55" s="4">
        <f>IFERROR(SUMPRODUCT(O28:O51,O2:O25)/SUMPRODUCT((O28:O51&lt;&gt;"")*O2:O25),SUMPRODUCT(O28:O51,O2:O25)/SUMPRODUCT((O28:O51&lt;&gt;"")*O2:O25))</f>
        <v>0</v>
      </c>
      <c r="P55" s="4">
        <f>IFERROR(SUMPRODUCT(P28:P51,P2:P25)/SUMPRODUCT((P28:P51&lt;&gt;"")*P2:P25),SUMPRODUCT(P28:P51,P2:P25)/SUMPRODUCT((P28:P51&lt;&gt;"")*P2:P25))</f>
        <v>0</v>
      </c>
      <c r="Q55" s="4">
        <f>IFERROR(SUMPRODUCT(Q28:Q51,Q2:Q25)/SUMPRODUCT((Q28:Q51&lt;&gt;"")*Q2:Q25),SUMPRODUCT(Q28:Q51,Q2:Q25)/SUMPRODUCT((Q28:Q51&lt;&gt;"")*Q2:Q25))</f>
        <v>0</v>
      </c>
      <c r="R55" s="4">
        <f>IFERROR(SUMPRODUCT(R28:R51,R2:R25)/SUMPRODUCT((R28:R51&lt;&gt;"")*R2:R25),SUMPRODUCT(R28:R51,R2:R25)/SUMPRODUCT((R28:R51&lt;&gt;"")*R2:R25))</f>
        <v>0</v>
      </c>
      <c r="S55" s="4">
        <f>IFERROR(SUMPRODUCT(S28:S51,S2:S25)/SUMPRODUCT((S28:S51&lt;&gt;"")*S2:S25),SUMPRODUCT(S28:S51,S2:S25)/SUMPRODUCT((S28:S51&lt;&gt;"")*S2:S25))</f>
        <v>0</v>
      </c>
      <c r="T55" s="4">
        <f>IFERROR(SUMPRODUCT(T28:T51,T2:T25)/SUMPRODUCT((T28:T51&lt;&gt;"")*T2:T25),SUMPRODUCT(T28:T51,T2:T25)/SUMPRODUCT((T28:T51&lt;&gt;"")*T2:T25))</f>
        <v>0</v>
      </c>
      <c r="U55" s="4">
        <f>IFERROR(SUMPRODUCT(U28:U51,U2:U25)/SUMPRODUCT((U28:U51&lt;&gt;"")*U2:U25),SUMPRODUCT(U28:U51,U2:U25)/SUMPRODUCT((U28:U51&lt;&gt;"")*U2:U25))</f>
        <v>0</v>
      </c>
      <c r="V55" s="4">
        <f>IFERROR(SUMPRODUCT(V28:V51,V2:V25)/SUMPRODUCT((V28:V51&lt;&gt;"")*V2:V25),SUMPRODUCT(V28:V51,V2:V25)/SUMPRODUCT((V28:V51&lt;&gt;"")*V2:V25))</f>
        <v>0</v>
      </c>
      <c r="W55" s="4">
        <f>IFERROR(SUMPRODUCT(W28:W51,W2:W25)/SUMPRODUCT((W28:W51&lt;&gt;"")*W2:W25),SUMPRODUCT(W28:W51,W2:W25)/SUMPRODUCT((W28:W51&lt;&gt;"")*W2:W25))</f>
        <v>0</v>
      </c>
      <c r="X55" s="4">
        <f>IFERROR(SUMPRODUCT(X28:X51,X2:X25)/SUMPRODUCT((X28:X51&lt;&gt;"")*X2:X25),SUMPRODUCT(X28:X51,X2:X25)/SUMPRODUCT((X28:X51&lt;&gt;"")*X2:X25))</f>
        <v>0</v>
      </c>
    </row>
    <row r="56" spans="1:25">
      <c r="A56" s="2" t="s">
        <v>76</v>
      </c>
      <c r="B56" s="4">
        <f>IFERROR(TRIMMEAN(B28:B51,2/COUNT(B28:B51)),AVERAGE(B28:B51))</f>
        <v>0</v>
      </c>
      <c r="C56" s="4">
        <f>IFERROR(TRIMMEAN(C28:C51,2/COUNT(C28:C51)),AVERAGE(C28:C51))</f>
        <v>0</v>
      </c>
      <c r="D56" s="4">
        <f>IFERROR(TRIMMEAN(D28:D51,2/COUNT(D28:D51)),AVERAGE(D28:D51))</f>
        <v>0</v>
      </c>
      <c r="E56" s="4">
        <f>IFERROR(TRIMMEAN(E28:E51,2/COUNT(E28:E51)),AVERAGE(E28:E51))</f>
        <v>0</v>
      </c>
      <c r="F56" s="4">
        <f>IFERROR(TRIMMEAN(F28:F51,2/COUNT(F28:F51)),AVERAGE(F28:F51))</f>
        <v>0</v>
      </c>
      <c r="G56" s="4">
        <f>IFERROR(TRIMMEAN(G28:G51,2/COUNT(G28:G51)),AVERAGE(G28:G51))</f>
        <v>0</v>
      </c>
      <c r="H56" s="4">
        <f>IFERROR(TRIMMEAN(H28:H51,2/COUNT(H28:H51)),AVERAGE(H28:H51))</f>
        <v>0</v>
      </c>
      <c r="I56" s="4">
        <f>IFERROR(TRIMMEAN(I28:I51,2/COUNT(I28:I51)),AVERAGE(I28:I51))</f>
        <v>0</v>
      </c>
      <c r="J56" s="4">
        <f>IFERROR(TRIMMEAN(J28:J51,2/COUNT(J28:J51)),AVERAGE(J28:J51))</f>
        <v>0</v>
      </c>
      <c r="K56" s="4">
        <f>IFERROR(TRIMMEAN(K28:K51,2/COUNT(K28:K51)),AVERAGE(K28:K51))</f>
        <v>0</v>
      </c>
      <c r="L56" s="4">
        <f>IFERROR(TRIMMEAN(L28:L51,2/COUNT(L28:L51)),AVERAGE(L28:L51))</f>
        <v>0</v>
      </c>
      <c r="M56" s="4">
        <f>IFERROR(TRIMMEAN(M28:M51,2/COUNT(M28:M51)),AVERAGE(M28:M51))</f>
        <v>0</v>
      </c>
      <c r="N56" s="4">
        <f>IFERROR(TRIMMEAN(N28:N51,2/COUNT(N28:N51)),AVERAGE(N28:N51))</f>
        <v>0</v>
      </c>
      <c r="O56" s="4">
        <f>IFERROR(TRIMMEAN(O28:O51,2/COUNT(O28:O51)),AVERAGE(O28:O51))</f>
        <v>0</v>
      </c>
      <c r="P56" s="4">
        <f>IFERROR(TRIMMEAN(P28:P51,2/COUNT(P28:P51)),AVERAGE(P28:P51))</f>
        <v>0</v>
      </c>
      <c r="Q56" s="4">
        <f>IFERROR(TRIMMEAN(Q28:Q51,2/COUNT(Q28:Q51)),AVERAGE(Q28:Q51))</f>
        <v>0</v>
      </c>
      <c r="R56" s="4">
        <f>IFERROR(TRIMMEAN(R28:R51,2/COUNT(R28:R51)),AVERAGE(R28:R51))</f>
        <v>0</v>
      </c>
      <c r="S56" s="4">
        <f>IFERROR(TRIMMEAN(S28:S51,2/COUNT(S28:S51)),AVERAGE(S28:S51))</f>
        <v>0</v>
      </c>
      <c r="T56" s="4">
        <f>IFERROR(TRIMMEAN(T28:T51,2/COUNT(T28:T51)),AVERAGE(T28:T51))</f>
        <v>0</v>
      </c>
      <c r="U56" s="4">
        <f>IFERROR(TRIMMEAN(U28:U51,2/COUNT(U28:U51)),AVERAGE(U28:U51))</f>
        <v>0</v>
      </c>
      <c r="V56" s="4">
        <f>IFERROR(TRIMMEAN(V28:V51,2/COUNT(V28:V51)),AVERAGE(V28:V51))</f>
        <v>0</v>
      </c>
      <c r="W56" s="4">
        <f>IFERROR(TRIMMEAN(W28:W51,2/COUNT(W28:W51)),AVERAGE(W28:W51))</f>
        <v>0</v>
      </c>
      <c r="X56" s="4">
        <f>IFERROR(TRIMMEAN(X28:X51,2/COUNT(X28:X51)),AVERAGE(X28:X51))</f>
        <v>0</v>
      </c>
    </row>
    <row r="57" spans="1:25">
      <c r="A57" s="2" t="s">
        <v>77</v>
      </c>
      <c r="B57" s="4">
        <f>IFERROR(AVERAGE(B49:B51),AVERAGE(B28:B51))</f>
        <v>0</v>
      </c>
      <c r="C57" s="4">
        <f>IFERROR(AVERAGE(C49:C51),AVERAGE(C28:C51))</f>
        <v>0</v>
      </c>
      <c r="D57" s="4">
        <f>IFERROR(AVERAGE(D49:D51),AVERAGE(D28:D51))</f>
        <v>0</v>
      </c>
      <c r="E57" s="4">
        <f>IFERROR(AVERAGE(E49:E51),AVERAGE(E28:E51))</f>
        <v>0</v>
      </c>
      <c r="F57" s="4">
        <f>IFERROR(AVERAGE(F49:F51),AVERAGE(F28:F51))</f>
        <v>0</v>
      </c>
      <c r="G57" s="4">
        <f>IFERROR(AVERAGE(G49:G51),AVERAGE(G28:G51))</f>
        <v>0</v>
      </c>
      <c r="H57" s="4">
        <f>IFERROR(AVERAGE(H49:H51),AVERAGE(H28:H51))</f>
        <v>0</v>
      </c>
      <c r="I57" s="4">
        <f>IFERROR(AVERAGE(I49:I51),AVERAGE(I28:I51))</f>
        <v>0</v>
      </c>
      <c r="J57" s="4">
        <f>IFERROR(AVERAGE(J49:J51),AVERAGE(J28:J51))</f>
        <v>0</v>
      </c>
      <c r="K57" s="4">
        <f>IFERROR(AVERAGE(K49:K51),AVERAGE(K28:K51))</f>
        <v>0</v>
      </c>
      <c r="L57" s="4">
        <f>IFERROR(AVERAGE(L49:L51),AVERAGE(L28:L51))</f>
        <v>0</v>
      </c>
      <c r="M57" s="4">
        <f>IFERROR(AVERAGE(M49:M51),AVERAGE(M28:M51))</f>
        <v>0</v>
      </c>
      <c r="N57" s="4">
        <f>IFERROR(AVERAGE(N49:N51),AVERAGE(N28:N51))</f>
        <v>0</v>
      </c>
      <c r="O57" s="4">
        <f>IFERROR(AVERAGE(O49:O51),AVERAGE(O28:O51))</f>
        <v>0</v>
      </c>
      <c r="P57" s="4">
        <f>IFERROR(AVERAGE(P49:P51),AVERAGE(P28:P51))</f>
        <v>0</v>
      </c>
      <c r="Q57" s="4">
        <f>IFERROR(AVERAGE(Q49:Q51),AVERAGE(Q28:Q51))</f>
        <v>0</v>
      </c>
      <c r="R57" s="4">
        <f>IFERROR(AVERAGE(R49:R51),AVERAGE(R28:R51))</f>
        <v>0</v>
      </c>
      <c r="S57" s="4">
        <f>IFERROR(AVERAGE(S49:S51),AVERAGE(S28:S51))</f>
        <v>0</v>
      </c>
      <c r="T57" s="4">
        <f>IFERROR(AVERAGE(T49:T51),AVERAGE(T28:T51))</f>
        <v>0</v>
      </c>
      <c r="U57" s="4">
        <f>IFERROR(AVERAGE(U49:U51),AVERAGE(U28:U51))</f>
        <v>0</v>
      </c>
      <c r="V57" s="4">
        <f>IFERROR(AVERAGE(V49:V51),AVERAGE(V28:V51))</f>
        <v>0</v>
      </c>
      <c r="W57" s="4">
        <f>IFERROR(AVERAGE(W49:W51),AVERAGE(W28:W51))</f>
        <v>0</v>
      </c>
      <c r="X57" s="4">
        <f>IFERROR(AVERAGE(X49:X51),AVERAGE(X28:X51))</f>
        <v>0</v>
      </c>
    </row>
    <row r="58" spans="1:25">
      <c r="A58" s="2" t="s">
        <v>78</v>
      </c>
      <c r="B58" s="4">
        <f>IFERROR(SUMPRODUCT(B49:B51,B23:B25)/SUMPRODUCT((B49:B51&lt;&gt;"")*B23:B25),SUMPRODUCT(B28:B51,B2:B25)/SUMPRODUCT((B28:B51&lt;&gt;"")*B2:B25))</f>
        <v>0</v>
      </c>
      <c r="C58" s="4">
        <f>IFERROR(SUMPRODUCT(C49:C51,C23:C25)/SUMPRODUCT((C49:C51&lt;&gt;"")*C23:C25),SUMPRODUCT(C28:C51,C2:C25)/SUMPRODUCT((C28:C51&lt;&gt;"")*C2:C25))</f>
        <v>0</v>
      </c>
      <c r="D58" s="4">
        <f>IFERROR(SUMPRODUCT(D49:D51,D23:D25)/SUMPRODUCT((D49:D51&lt;&gt;"")*D23:D25),SUMPRODUCT(D28:D51,D2:D25)/SUMPRODUCT((D28:D51&lt;&gt;"")*D2:D25))</f>
        <v>0</v>
      </c>
      <c r="E58" s="4">
        <f>IFERROR(SUMPRODUCT(E49:E51,E23:E25)/SUMPRODUCT((E49:E51&lt;&gt;"")*E23:E25),SUMPRODUCT(E28:E51,E2:E25)/SUMPRODUCT((E28:E51&lt;&gt;"")*E2:E25))</f>
        <v>0</v>
      </c>
      <c r="F58" s="4">
        <f>IFERROR(SUMPRODUCT(F49:F51,F23:F25)/SUMPRODUCT((F49:F51&lt;&gt;"")*F23:F25),SUMPRODUCT(F28:F51,F2:F25)/SUMPRODUCT((F28:F51&lt;&gt;"")*F2:F25))</f>
        <v>0</v>
      </c>
      <c r="G58" s="4">
        <f>IFERROR(SUMPRODUCT(G49:G51,G23:G25)/SUMPRODUCT((G49:G51&lt;&gt;"")*G23:G25),SUMPRODUCT(G28:G51,G2:G25)/SUMPRODUCT((G28:G51&lt;&gt;"")*G2:G25))</f>
        <v>0</v>
      </c>
      <c r="H58" s="4">
        <f>IFERROR(SUMPRODUCT(H49:H51,H23:H25)/SUMPRODUCT((H49:H51&lt;&gt;"")*H23:H25),SUMPRODUCT(H28:H51,H2:H25)/SUMPRODUCT((H28:H51&lt;&gt;"")*H2:H25))</f>
        <v>0</v>
      </c>
      <c r="I58" s="4">
        <f>IFERROR(SUMPRODUCT(I49:I51,I23:I25)/SUMPRODUCT((I49:I51&lt;&gt;"")*I23:I25),SUMPRODUCT(I28:I51,I2:I25)/SUMPRODUCT((I28:I51&lt;&gt;"")*I2:I25))</f>
        <v>0</v>
      </c>
      <c r="J58" s="4">
        <f>IFERROR(SUMPRODUCT(J49:J51,J23:J25)/SUMPRODUCT((J49:J51&lt;&gt;"")*J23:J25),SUMPRODUCT(J28:J51,J2:J25)/SUMPRODUCT((J28:J51&lt;&gt;"")*J2:J25))</f>
        <v>0</v>
      </c>
      <c r="K58" s="4">
        <f>IFERROR(SUMPRODUCT(K49:K51,K23:K25)/SUMPRODUCT((K49:K51&lt;&gt;"")*K23:K25),SUMPRODUCT(K28:K51,K2:K25)/SUMPRODUCT((K28:K51&lt;&gt;"")*K2:K25))</f>
        <v>0</v>
      </c>
      <c r="L58" s="4">
        <f>IFERROR(SUMPRODUCT(L49:L51,L23:L25)/SUMPRODUCT((L49:L51&lt;&gt;"")*L23:L25),SUMPRODUCT(L28:L51,L2:L25)/SUMPRODUCT((L28:L51&lt;&gt;"")*L2:L25))</f>
        <v>0</v>
      </c>
      <c r="M58" s="4">
        <f>IFERROR(SUMPRODUCT(M49:M51,M23:M25)/SUMPRODUCT((M49:M51&lt;&gt;"")*M23:M25),SUMPRODUCT(M28:M51,M2:M25)/SUMPRODUCT((M28:M51&lt;&gt;"")*M2:M25))</f>
        <v>0</v>
      </c>
      <c r="N58" s="4">
        <f>IFERROR(SUMPRODUCT(N49:N51,N23:N25)/SUMPRODUCT((N49:N51&lt;&gt;"")*N23:N25),SUMPRODUCT(N28:N51,N2:N25)/SUMPRODUCT((N28:N51&lt;&gt;"")*N2:N25))</f>
        <v>0</v>
      </c>
      <c r="O58" s="4">
        <f>IFERROR(SUMPRODUCT(O49:O51,O23:O25)/SUMPRODUCT((O49:O51&lt;&gt;"")*O23:O25),SUMPRODUCT(O28:O51,O2:O25)/SUMPRODUCT((O28:O51&lt;&gt;"")*O2:O25))</f>
        <v>0</v>
      </c>
      <c r="P58" s="4">
        <f>IFERROR(SUMPRODUCT(P49:P51,P23:P25)/SUMPRODUCT((P49:P51&lt;&gt;"")*P23:P25),SUMPRODUCT(P28:P51,P2:P25)/SUMPRODUCT((P28:P51&lt;&gt;"")*P2:P25))</f>
        <v>0</v>
      </c>
      <c r="Q58" s="4">
        <f>IFERROR(SUMPRODUCT(Q49:Q51,Q23:Q25)/SUMPRODUCT((Q49:Q51&lt;&gt;"")*Q23:Q25),SUMPRODUCT(Q28:Q51,Q2:Q25)/SUMPRODUCT((Q28:Q51&lt;&gt;"")*Q2:Q25))</f>
        <v>0</v>
      </c>
      <c r="R58" s="4">
        <f>IFERROR(SUMPRODUCT(R49:R51,R23:R25)/SUMPRODUCT((R49:R51&lt;&gt;"")*R23:R25),SUMPRODUCT(R28:R51,R2:R25)/SUMPRODUCT((R28:R51&lt;&gt;"")*R2:R25))</f>
        <v>0</v>
      </c>
      <c r="S58" s="4">
        <f>IFERROR(SUMPRODUCT(S49:S51,S23:S25)/SUMPRODUCT((S49:S51&lt;&gt;"")*S23:S25),SUMPRODUCT(S28:S51,S2:S25)/SUMPRODUCT((S28:S51&lt;&gt;"")*S2:S25))</f>
        <v>0</v>
      </c>
      <c r="T58" s="4">
        <f>IFERROR(SUMPRODUCT(T49:T51,T23:T25)/SUMPRODUCT((T49:T51&lt;&gt;"")*T23:T25),SUMPRODUCT(T28:T51,T2:T25)/SUMPRODUCT((T28:T51&lt;&gt;"")*T2:T25))</f>
        <v>0</v>
      </c>
      <c r="U58" s="4">
        <f>IFERROR(SUMPRODUCT(U49:U51,U23:U25)/SUMPRODUCT((U49:U51&lt;&gt;"")*U23:U25),SUMPRODUCT(U28:U51,U2:U25)/SUMPRODUCT((U28:U51&lt;&gt;"")*U2:U25))</f>
        <v>0</v>
      </c>
      <c r="V58" s="4">
        <f>IFERROR(SUMPRODUCT(V49:V51,V23:V25)/SUMPRODUCT((V49:V51&lt;&gt;"")*V23:V25),SUMPRODUCT(V28:V51,V2:V25)/SUMPRODUCT((V28:V51&lt;&gt;"")*V2:V25))</f>
        <v>0</v>
      </c>
      <c r="W58" s="4">
        <f>IFERROR(SUMPRODUCT(W49:W51,W23:W25)/SUMPRODUCT((W49:W51&lt;&gt;"")*W23:W25),SUMPRODUCT(W28:W51,W2:W25)/SUMPRODUCT((W28:W51&lt;&gt;"")*W2:W25))</f>
        <v>0</v>
      </c>
      <c r="X58" s="4">
        <f>IFERROR(SUMPRODUCT(X49:X51,X23:X25)/SUMPRODUCT((X49:X51&lt;&gt;"")*X23:X25),SUMPRODUCT(X28:X51,X2:X25)/SUMPRODUCT((X28:X51&lt;&gt;"")*X2:X25))</f>
        <v>0</v>
      </c>
    </row>
    <row r="59" spans="1:25">
      <c r="A59" s="2" t="s">
        <v>79</v>
      </c>
      <c r="B59" s="4">
        <f>IFERROR(TRIMMEAN(B49:B51,2/COUNT(B49:B51)),AVERAGE(B28:B51))</f>
        <v>0</v>
      </c>
      <c r="C59" s="4">
        <f>IFERROR(TRIMMEAN(C49:C51,2/COUNT(C49:C51)),AVERAGE(C28:C51))</f>
        <v>0</v>
      </c>
      <c r="D59" s="4">
        <f>IFERROR(TRIMMEAN(D49:D51,2/COUNT(D49:D51)),AVERAGE(D28:D51))</f>
        <v>0</v>
      </c>
      <c r="E59" s="4">
        <f>IFERROR(TRIMMEAN(E49:E51,2/COUNT(E49:E51)),AVERAGE(E28:E51))</f>
        <v>0</v>
      </c>
      <c r="F59" s="4">
        <f>IFERROR(TRIMMEAN(F49:F51,2/COUNT(F49:F51)),AVERAGE(F28:F51))</f>
        <v>0</v>
      </c>
      <c r="G59" s="4">
        <f>IFERROR(TRIMMEAN(G49:G51,2/COUNT(G49:G51)),AVERAGE(G28:G51))</f>
        <v>0</v>
      </c>
      <c r="H59" s="4">
        <f>IFERROR(TRIMMEAN(H49:H51,2/COUNT(H49:H51)),AVERAGE(H28:H51))</f>
        <v>0</v>
      </c>
      <c r="I59" s="4">
        <f>IFERROR(TRIMMEAN(I49:I51,2/COUNT(I49:I51)),AVERAGE(I28:I51))</f>
        <v>0</v>
      </c>
      <c r="J59" s="4">
        <f>IFERROR(TRIMMEAN(J49:J51,2/COUNT(J49:J51)),AVERAGE(J28:J51))</f>
        <v>0</v>
      </c>
      <c r="K59" s="4">
        <f>IFERROR(TRIMMEAN(K49:K51,2/COUNT(K49:K51)),AVERAGE(K28:K51))</f>
        <v>0</v>
      </c>
      <c r="L59" s="4">
        <f>IFERROR(TRIMMEAN(L49:L51,2/COUNT(L49:L51)),AVERAGE(L28:L51))</f>
        <v>0</v>
      </c>
      <c r="M59" s="4">
        <f>IFERROR(TRIMMEAN(M49:M51,2/COUNT(M49:M51)),AVERAGE(M28:M51))</f>
        <v>0</v>
      </c>
      <c r="N59" s="4">
        <f>IFERROR(TRIMMEAN(N49:N51,2/COUNT(N49:N51)),AVERAGE(N28:N51))</f>
        <v>0</v>
      </c>
      <c r="O59" s="4">
        <f>IFERROR(TRIMMEAN(O49:O51,2/COUNT(O49:O51)),AVERAGE(O28:O51))</f>
        <v>0</v>
      </c>
      <c r="P59" s="4">
        <f>IFERROR(TRIMMEAN(P49:P51,2/COUNT(P49:P51)),AVERAGE(P28:P51))</f>
        <v>0</v>
      </c>
      <c r="Q59" s="4">
        <f>IFERROR(TRIMMEAN(Q49:Q51,2/COUNT(Q49:Q51)),AVERAGE(Q28:Q51))</f>
        <v>0</v>
      </c>
      <c r="R59" s="4">
        <f>IFERROR(TRIMMEAN(R49:R51,2/COUNT(R49:R51)),AVERAGE(R28:R51))</f>
        <v>0</v>
      </c>
      <c r="S59" s="4">
        <f>IFERROR(TRIMMEAN(S49:S51,2/COUNT(S49:S51)),AVERAGE(S28:S51))</f>
        <v>0</v>
      </c>
      <c r="T59" s="4">
        <f>IFERROR(TRIMMEAN(T49:T51,2/COUNT(T49:T51)),AVERAGE(T28:T51))</f>
        <v>0</v>
      </c>
      <c r="U59" s="4">
        <f>IFERROR(TRIMMEAN(U49:U51,2/COUNT(U49:U51)),AVERAGE(U28:U51))</f>
        <v>0</v>
      </c>
      <c r="V59" s="4">
        <f>IFERROR(TRIMMEAN(V49:V51,2/COUNT(V49:V51)),AVERAGE(V28:V51))</f>
        <v>0</v>
      </c>
      <c r="W59" s="4">
        <f>IFERROR(TRIMMEAN(W49:W51,2/COUNT(W49:W51)),AVERAGE(W28:W51))</f>
        <v>0</v>
      </c>
      <c r="X59" s="4">
        <f>IFERROR(TRIMMEAN(X49:X51,2/COUNT(X49:X51)),AVERAGE(X28:X51))</f>
        <v>0</v>
      </c>
    </row>
    <row r="60" spans="1:25">
      <c r="A60" s="2" t="s">
        <v>80</v>
      </c>
      <c r="B60" s="4">
        <f>IFERROR(AVERAGE(B47:B51),AVERAGE(B28:B51))</f>
        <v>0</v>
      </c>
      <c r="C60" s="4">
        <f>IFERROR(AVERAGE(C47:C51),AVERAGE(C28:C51))</f>
        <v>0</v>
      </c>
      <c r="D60" s="4">
        <f>IFERROR(AVERAGE(D47:D51),AVERAGE(D28:D51))</f>
        <v>0</v>
      </c>
      <c r="E60" s="4">
        <f>IFERROR(AVERAGE(E47:E51),AVERAGE(E28:E51))</f>
        <v>0</v>
      </c>
      <c r="F60" s="4">
        <f>IFERROR(AVERAGE(F47:F51),AVERAGE(F28:F51))</f>
        <v>0</v>
      </c>
      <c r="G60" s="4">
        <f>IFERROR(AVERAGE(G47:G51),AVERAGE(G28:G51))</f>
        <v>0</v>
      </c>
      <c r="H60" s="4">
        <f>IFERROR(AVERAGE(H47:H51),AVERAGE(H28:H51))</f>
        <v>0</v>
      </c>
      <c r="I60" s="4">
        <f>IFERROR(AVERAGE(I47:I51),AVERAGE(I28:I51))</f>
        <v>0</v>
      </c>
      <c r="J60" s="4">
        <f>IFERROR(AVERAGE(J47:J51),AVERAGE(J28:J51))</f>
        <v>0</v>
      </c>
      <c r="K60" s="4">
        <f>IFERROR(AVERAGE(K47:K51),AVERAGE(K28:K51))</f>
        <v>0</v>
      </c>
      <c r="L60" s="4">
        <f>IFERROR(AVERAGE(L47:L51),AVERAGE(L28:L51))</f>
        <v>0</v>
      </c>
      <c r="M60" s="4">
        <f>IFERROR(AVERAGE(M47:M51),AVERAGE(M28:M51))</f>
        <v>0</v>
      </c>
      <c r="N60" s="4">
        <f>IFERROR(AVERAGE(N47:N51),AVERAGE(N28:N51))</f>
        <v>0</v>
      </c>
      <c r="O60" s="4">
        <f>IFERROR(AVERAGE(O47:O51),AVERAGE(O28:O51))</f>
        <v>0</v>
      </c>
      <c r="P60" s="4">
        <f>IFERROR(AVERAGE(P47:P51),AVERAGE(P28:P51))</f>
        <v>0</v>
      </c>
      <c r="Q60" s="4">
        <f>IFERROR(AVERAGE(Q47:Q51),AVERAGE(Q28:Q51))</f>
        <v>0</v>
      </c>
      <c r="R60" s="4">
        <f>IFERROR(AVERAGE(R47:R51),AVERAGE(R28:R51))</f>
        <v>0</v>
      </c>
      <c r="S60" s="4">
        <f>IFERROR(AVERAGE(S47:S51),AVERAGE(S28:S51))</f>
        <v>0</v>
      </c>
      <c r="T60" s="4">
        <f>IFERROR(AVERAGE(T47:T51),AVERAGE(T28:T51))</f>
        <v>0</v>
      </c>
      <c r="U60" s="4">
        <f>IFERROR(AVERAGE(U47:U51),AVERAGE(U28:U51))</f>
        <v>0</v>
      </c>
      <c r="V60" s="4">
        <f>IFERROR(AVERAGE(V47:V51),AVERAGE(V28:V51))</f>
        <v>0</v>
      </c>
      <c r="W60" s="4">
        <f>IFERROR(AVERAGE(W47:W51),AVERAGE(W28:W51))</f>
        <v>0</v>
      </c>
      <c r="X60" s="4">
        <f>IFERROR(AVERAGE(X47:X51),AVERAGE(X28:X51))</f>
        <v>0</v>
      </c>
    </row>
    <row r="61" spans="1:25">
      <c r="A61" s="2" t="s">
        <v>81</v>
      </c>
      <c r="B61" s="4">
        <f>IFERROR(SUMPRODUCT(B47:B51,B21:B25)/SUMPRODUCT((B47:B51&lt;&gt;"")*B21:B25),SUMPRODUCT(B28:B51,B2:B25)/SUMPRODUCT((B28:B51&lt;&gt;"")*B2:B25))</f>
        <v>0</v>
      </c>
      <c r="C61" s="4">
        <f>IFERROR(SUMPRODUCT(C47:C51,C21:C25)/SUMPRODUCT((C47:C51&lt;&gt;"")*C21:C25),SUMPRODUCT(C28:C51,C2:C25)/SUMPRODUCT((C28:C51&lt;&gt;"")*C2:C25))</f>
        <v>0</v>
      </c>
      <c r="D61" s="4">
        <f>IFERROR(SUMPRODUCT(D47:D51,D21:D25)/SUMPRODUCT((D47:D51&lt;&gt;"")*D21:D25),SUMPRODUCT(D28:D51,D2:D25)/SUMPRODUCT((D28:D51&lt;&gt;"")*D2:D25))</f>
        <v>0</v>
      </c>
      <c r="E61" s="4">
        <f>IFERROR(SUMPRODUCT(E47:E51,E21:E25)/SUMPRODUCT((E47:E51&lt;&gt;"")*E21:E25),SUMPRODUCT(E28:E51,E2:E25)/SUMPRODUCT((E28:E51&lt;&gt;"")*E2:E25))</f>
        <v>0</v>
      </c>
      <c r="F61" s="4">
        <f>IFERROR(SUMPRODUCT(F47:F51,F21:F25)/SUMPRODUCT((F47:F51&lt;&gt;"")*F21:F25),SUMPRODUCT(F28:F51,F2:F25)/SUMPRODUCT((F28:F51&lt;&gt;"")*F2:F25))</f>
        <v>0</v>
      </c>
      <c r="G61" s="4">
        <f>IFERROR(SUMPRODUCT(G47:G51,G21:G25)/SUMPRODUCT((G47:G51&lt;&gt;"")*G21:G25),SUMPRODUCT(G28:G51,G2:G25)/SUMPRODUCT((G28:G51&lt;&gt;"")*G2:G25))</f>
        <v>0</v>
      </c>
      <c r="H61" s="4">
        <f>IFERROR(SUMPRODUCT(H47:H51,H21:H25)/SUMPRODUCT((H47:H51&lt;&gt;"")*H21:H25),SUMPRODUCT(H28:H51,H2:H25)/SUMPRODUCT((H28:H51&lt;&gt;"")*H2:H25))</f>
        <v>0</v>
      </c>
      <c r="I61" s="4">
        <f>IFERROR(SUMPRODUCT(I47:I51,I21:I25)/SUMPRODUCT((I47:I51&lt;&gt;"")*I21:I25),SUMPRODUCT(I28:I51,I2:I25)/SUMPRODUCT((I28:I51&lt;&gt;"")*I2:I25))</f>
        <v>0</v>
      </c>
      <c r="J61" s="4">
        <f>IFERROR(SUMPRODUCT(J47:J51,J21:J25)/SUMPRODUCT((J47:J51&lt;&gt;"")*J21:J25),SUMPRODUCT(J28:J51,J2:J25)/SUMPRODUCT((J28:J51&lt;&gt;"")*J2:J25))</f>
        <v>0</v>
      </c>
      <c r="K61" s="4">
        <f>IFERROR(SUMPRODUCT(K47:K51,K21:K25)/SUMPRODUCT((K47:K51&lt;&gt;"")*K21:K25),SUMPRODUCT(K28:K51,K2:K25)/SUMPRODUCT((K28:K51&lt;&gt;"")*K2:K25))</f>
        <v>0</v>
      </c>
      <c r="L61" s="4">
        <f>IFERROR(SUMPRODUCT(L47:L51,L21:L25)/SUMPRODUCT((L47:L51&lt;&gt;"")*L21:L25),SUMPRODUCT(L28:L51,L2:L25)/SUMPRODUCT((L28:L51&lt;&gt;"")*L2:L25))</f>
        <v>0</v>
      </c>
      <c r="M61" s="4">
        <f>IFERROR(SUMPRODUCT(M47:M51,M21:M25)/SUMPRODUCT((M47:M51&lt;&gt;"")*M21:M25),SUMPRODUCT(M28:M51,M2:M25)/SUMPRODUCT((M28:M51&lt;&gt;"")*M2:M25))</f>
        <v>0</v>
      </c>
      <c r="N61" s="4">
        <f>IFERROR(SUMPRODUCT(N47:N51,N21:N25)/SUMPRODUCT((N47:N51&lt;&gt;"")*N21:N25),SUMPRODUCT(N28:N51,N2:N25)/SUMPRODUCT((N28:N51&lt;&gt;"")*N2:N25))</f>
        <v>0</v>
      </c>
      <c r="O61" s="4">
        <f>IFERROR(SUMPRODUCT(O47:O51,O21:O25)/SUMPRODUCT((O47:O51&lt;&gt;"")*O21:O25),SUMPRODUCT(O28:O51,O2:O25)/SUMPRODUCT((O28:O51&lt;&gt;"")*O2:O25))</f>
        <v>0</v>
      </c>
      <c r="P61" s="4">
        <f>IFERROR(SUMPRODUCT(P47:P51,P21:P25)/SUMPRODUCT((P47:P51&lt;&gt;"")*P21:P25),SUMPRODUCT(P28:P51,P2:P25)/SUMPRODUCT((P28:P51&lt;&gt;"")*P2:P25))</f>
        <v>0</v>
      </c>
      <c r="Q61" s="4">
        <f>IFERROR(SUMPRODUCT(Q47:Q51,Q21:Q25)/SUMPRODUCT((Q47:Q51&lt;&gt;"")*Q21:Q25),SUMPRODUCT(Q28:Q51,Q2:Q25)/SUMPRODUCT((Q28:Q51&lt;&gt;"")*Q2:Q25))</f>
        <v>0</v>
      </c>
      <c r="R61" s="4">
        <f>IFERROR(SUMPRODUCT(R47:R51,R21:R25)/SUMPRODUCT((R47:R51&lt;&gt;"")*R21:R25),SUMPRODUCT(R28:R51,R2:R25)/SUMPRODUCT((R28:R51&lt;&gt;"")*R2:R25))</f>
        <v>0</v>
      </c>
      <c r="S61" s="4">
        <f>IFERROR(SUMPRODUCT(S47:S51,S21:S25)/SUMPRODUCT((S47:S51&lt;&gt;"")*S21:S25),SUMPRODUCT(S28:S51,S2:S25)/SUMPRODUCT((S28:S51&lt;&gt;"")*S2:S25))</f>
        <v>0</v>
      </c>
      <c r="T61" s="4">
        <f>IFERROR(SUMPRODUCT(T47:T51,T21:T25)/SUMPRODUCT((T47:T51&lt;&gt;"")*T21:T25),SUMPRODUCT(T28:T51,T2:T25)/SUMPRODUCT((T28:T51&lt;&gt;"")*T2:T25))</f>
        <v>0</v>
      </c>
      <c r="U61" s="4">
        <f>IFERROR(SUMPRODUCT(U47:U51,U21:U25)/SUMPRODUCT((U47:U51&lt;&gt;"")*U21:U25),SUMPRODUCT(U28:U51,U2:U25)/SUMPRODUCT((U28:U51&lt;&gt;"")*U2:U25))</f>
        <v>0</v>
      </c>
      <c r="V61" s="4">
        <f>IFERROR(SUMPRODUCT(V47:V51,V21:V25)/SUMPRODUCT((V47:V51&lt;&gt;"")*V21:V25),SUMPRODUCT(V28:V51,V2:V25)/SUMPRODUCT((V28:V51&lt;&gt;"")*V2:V25))</f>
        <v>0</v>
      </c>
      <c r="W61" s="4">
        <f>IFERROR(SUMPRODUCT(W47:W51,W21:W25)/SUMPRODUCT((W47:W51&lt;&gt;"")*W21:W25),SUMPRODUCT(W28:W51,W2:W25)/SUMPRODUCT((W28:W51&lt;&gt;"")*W2:W25))</f>
        <v>0</v>
      </c>
      <c r="X61" s="4">
        <f>IFERROR(SUMPRODUCT(X47:X51,X21:X25)/SUMPRODUCT((X47:X51&lt;&gt;"")*X21:X25),SUMPRODUCT(X28:X51,X2:X25)/SUMPRODUCT((X28:X51&lt;&gt;"")*X2:X25))</f>
        <v>0</v>
      </c>
    </row>
    <row r="62" spans="1:25">
      <c r="A62" s="2" t="s">
        <v>82</v>
      </c>
      <c r="B62" s="4">
        <f>IFERROR(TRIMMEAN(B47:B51,2/COUNT(B47:B51)),AVERAGE(B28:B51))</f>
        <v>0</v>
      </c>
      <c r="C62" s="4">
        <f>IFERROR(TRIMMEAN(C47:C51,2/COUNT(C47:C51)),AVERAGE(C28:C51))</f>
        <v>0</v>
      </c>
      <c r="D62" s="4">
        <f>IFERROR(TRIMMEAN(D47:D51,2/COUNT(D47:D51)),AVERAGE(D28:D51))</f>
        <v>0</v>
      </c>
      <c r="E62" s="4">
        <f>IFERROR(TRIMMEAN(E47:E51,2/COUNT(E47:E51)),AVERAGE(E28:E51))</f>
        <v>0</v>
      </c>
      <c r="F62" s="4">
        <f>IFERROR(TRIMMEAN(F47:F51,2/COUNT(F47:F51)),AVERAGE(F28:F51))</f>
        <v>0</v>
      </c>
      <c r="G62" s="4">
        <f>IFERROR(TRIMMEAN(G47:G51,2/COUNT(G47:G51)),AVERAGE(G28:G51))</f>
        <v>0</v>
      </c>
      <c r="H62" s="4">
        <f>IFERROR(TRIMMEAN(H47:H51,2/COUNT(H47:H51)),AVERAGE(H28:H51))</f>
        <v>0</v>
      </c>
      <c r="I62" s="4">
        <f>IFERROR(TRIMMEAN(I47:I51,2/COUNT(I47:I51)),AVERAGE(I28:I51))</f>
        <v>0</v>
      </c>
      <c r="J62" s="4">
        <f>IFERROR(TRIMMEAN(J47:J51,2/COUNT(J47:J51)),AVERAGE(J28:J51))</f>
        <v>0</v>
      </c>
      <c r="K62" s="4">
        <f>IFERROR(TRIMMEAN(K47:K51,2/COUNT(K47:K51)),AVERAGE(K28:K51))</f>
        <v>0</v>
      </c>
      <c r="L62" s="4">
        <f>IFERROR(TRIMMEAN(L47:L51,2/COUNT(L47:L51)),AVERAGE(L28:L51))</f>
        <v>0</v>
      </c>
      <c r="M62" s="4">
        <f>IFERROR(TRIMMEAN(M47:M51,2/COUNT(M47:M51)),AVERAGE(M28:M51))</f>
        <v>0</v>
      </c>
      <c r="N62" s="4">
        <f>IFERROR(TRIMMEAN(N47:N51,2/COUNT(N47:N51)),AVERAGE(N28:N51))</f>
        <v>0</v>
      </c>
      <c r="O62" s="4">
        <f>IFERROR(TRIMMEAN(O47:O51,2/COUNT(O47:O51)),AVERAGE(O28:O51))</f>
        <v>0</v>
      </c>
      <c r="P62" s="4">
        <f>IFERROR(TRIMMEAN(P47:P51,2/COUNT(P47:P51)),AVERAGE(P28:P51))</f>
        <v>0</v>
      </c>
      <c r="Q62" s="4">
        <f>IFERROR(TRIMMEAN(Q47:Q51,2/COUNT(Q47:Q51)),AVERAGE(Q28:Q51))</f>
        <v>0</v>
      </c>
      <c r="R62" s="4">
        <f>IFERROR(TRIMMEAN(R47:R51,2/COUNT(R47:R51)),AVERAGE(R28:R51))</f>
        <v>0</v>
      </c>
      <c r="S62" s="4">
        <f>IFERROR(TRIMMEAN(S47:S51,2/COUNT(S47:S51)),AVERAGE(S28:S51))</f>
        <v>0</v>
      </c>
      <c r="T62" s="4">
        <f>IFERROR(TRIMMEAN(T47:T51,2/COUNT(T47:T51)),AVERAGE(T28:T51))</f>
        <v>0</v>
      </c>
      <c r="U62" s="4">
        <f>IFERROR(TRIMMEAN(U47:U51,2/COUNT(U47:U51)),AVERAGE(U28:U51))</f>
        <v>0</v>
      </c>
      <c r="V62" s="4">
        <f>IFERROR(TRIMMEAN(V47:V51,2/COUNT(V47:V51)),AVERAGE(V28:V51))</f>
        <v>0</v>
      </c>
      <c r="W62" s="4">
        <f>IFERROR(TRIMMEAN(W47:W51,2/COUNT(W47:W51)),AVERAGE(W28:W51))</f>
        <v>0</v>
      </c>
      <c r="X62" s="4">
        <f>IFERROR(TRIMMEAN(X47:X51,2/COUNT(X47:X51)),AVERAGE(X28:X51))</f>
        <v>0</v>
      </c>
    </row>
    <row r="63" spans="1:25">
      <c r="A63" s="2" t="s">
        <v>83</v>
      </c>
      <c r="B63" s="4">
        <f>IFERROR(AVERAGE(B42:B51),AVERAGE(B28:B51))</f>
        <v>0</v>
      </c>
      <c r="C63" s="4">
        <f>IFERROR(AVERAGE(C42:C51),AVERAGE(C28:C51))</f>
        <v>0</v>
      </c>
      <c r="D63" s="4">
        <f>IFERROR(AVERAGE(D42:D51),AVERAGE(D28:D51))</f>
        <v>0</v>
      </c>
      <c r="E63" s="4">
        <f>IFERROR(AVERAGE(E42:E51),AVERAGE(E28:E51))</f>
        <v>0</v>
      </c>
      <c r="F63" s="4">
        <f>IFERROR(AVERAGE(F42:F51),AVERAGE(F28:F51))</f>
        <v>0</v>
      </c>
      <c r="G63" s="4">
        <f>IFERROR(AVERAGE(G42:G51),AVERAGE(G28:G51))</f>
        <v>0</v>
      </c>
      <c r="H63" s="4">
        <f>IFERROR(AVERAGE(H42:H51),AVERAGE(H28:H51))</f>
        <v>0</v>
      </c>
      <c r="I63" s="4">
        <f>IFERROR(AVERAGE(I42:I51),AVERAGE(I28:I51))</f>
        <v>0</v>
      </c>
      <c r="J63" s="4">
        <f>IFERROR(AVERAGE(J42:J51),AVERAGE(J28:J51))</f>
        <v>0</v>
      </c>
      <c r="K63" s="4">
        <f>IFERROR(AVERAGE(K42:K51),AVERAGE(K28:K51))</f>
        <v>0</v>
      </c>
      <c r="L63" s="4">
        <f>IFERROR(AVERAGE(L42:L51),AVERAGE(L28:L51))</f>
        <v>0</v>
      </c>
      <c r="M63" s="4">
        <f>IFERROR(AVERAGE(M42:M51),AVERAGE(M28:M51))</f>
        <v>0</v>
      </c>
      <c r="N63" s="4">
        <f>IFERROR(AVERAGE(N42:N51),AVERAGE(N28:N51))</f>
        <v>0</v>
      </c>
      <c r="O63" s="4">
        <f>IFERROR(AVERAGE(O42:O51),AVERAGE(O28:O51))</f>
        <v>0</v>
      </c>
      <c r="P63" s="4">
        <f>IFERROR(AVERAGE(P42:P51),AVERAGE(P28:P51))</f>
        <v>0</v>
      </c>
      <c r="Q63" s="4">
        <f>IFERROR(AVERAGE(Q42:Q51),AVERAGE(Q28:Q51))</f>
        <v>0</v>
      </c>
      <c r="R63" s="4">
        <f>IFERROR(AVERAGE(R42:R51),AVERAGE(R28:R51))</f>
        <v>0</v>
      </c>
      <c r="S63" s="4">
        <f>IFERROR(AVERAGE(S42:S51),AVERAGE(S28:S51))</f>
        <v>0</v>
      </c>
      <c r="T63" s="4">
        <f>IFERROR(AVERAGE(T42:T51),AVERAGE(T28:T51))</f>
        <v>0</v>
      </c>
      <c r="U63" s="4">
        <f>IFERROR(AVERAGE(U42:U51),AVERAGE(U28:U51))</f>
        <v>0</v>
      </c>
      <c r="V63" s="4">
        <f>IFERROR(AVERAGE(V42:V51),AVERAGE(V28:V51))</f>
        <v>0</v>
      </c>
      <c r="W63" s="4">
        <f>IFERROR(AVERAGE(W42:W51),AVERAGE(W28:W51))</f>
        <v>0</v>
      </c>
      <c r="X63" s="4">
        <f>IFERROR(AVERAGE(X42:X51),AVERAGE(X28:X51))</f>
        <v>0</v>
      </c>
    </row>
    <row r="64" spans="1:25">
      <c r="A64" s="2" t="s">
        <v>84</v>
      </c>
      <c r="B64" s="4">
        <f>IFERROR(SUMPRODUCT(B42:B51,B16:B25)/SUMPRODUCT((B42:B51&lt;&gt;"")*B16:B25),SUMPRODUCT(B28:B51,B2:B25)/SUMPRODUCT((B28:B51&lt;&gt;"")*B2:B25))</f>
        <v>0</v>
      </c>
      <c r="C64" s="4">
        <f>IFERROR(SUMPRODUCT(C42:C51,C16:C25)/SUMPRODUCT((C42:C51&lt;&gt;"")*C16:C25),SUMPRODUCT(C28:C51,C2:C25)/SUMPRODUCT((C28:C51&lt;&gt;"")*C2:C25))</f>
        <v>0</v>
      </c>
      <c r="D64" s="4">
        <f>IFERROR(SUMPRODUCT(D42:D51,D16:D25)/SUMPRODUCT((D42:D51&lt;&gt;"")*D16:D25),SUMPRODUCT(D28:D51,D2:D25)/SUMPRODUCT((D28:D51&lt;&gt;"")*D2:D25))</f>
        <v>0</v>
      </c>
      <c r="E64" s="4">
        <f>IFERROR(SUMPRODUCT(E42:E51,E16:E25)/SUMPRODUCT((E42:E51&lt;&gt;"")*E16:E25),SUMPRODUCT(E28:E51,E2:E25)/SUMPRODUCT((E28:E51&lt;&gt;"")*E2:E25))</f>
        <v>0</v>
      </c>
      <c r="F64" s="4">
        <f>IFERROR(SUMPRODUCT(F42:F51,F16:F25)/SUMPRODUCT((F42:F51&lt;&gt;"")*F16:F25),SUMPRODUCT(F28:F51,F2:F25)/SUMPRODUCT((F28:F51&lt;&gt;"")*F2:F25))</f>
        <v>0</v>
      </c>
      <c r="G64" s="4">
        <f>IFERROR(SUMPRODUCT(G42:G51,G16:G25)/SUMPRODUCT((G42:G51&lt;&gt;"")*G16:G25),SUMPRODUCT(G28:G51,G2:G25)/SUMPRODUCT((G28:G51&lt;&gt;"")*G2:G25))</f>
        <v>0</v>
      </c>
      <c r="H64" s="4">
        <f>IFERROR(SUMPRODUCT(H42:H51,H16:H25)/SUMPRODUCT((H42:H51&lt;&gt;"")*H16:H25),SUMPRODUCT(H28:H51,H2:H25)/SUMPRODUCT((H28:H51&lt;&gt;"")*H2:H25))</f>
        <v>0</v>
      </c>
      <c r="I64" s="4">
        <f>IFERROR(SUMPRODUCT(I42:I51,I16:I25)/SUMPRODUCT((I42:I51&lt;&gt;"")*I16:I25),SUMPRODUCT(I28:I51,I2:I25)/SUMPRODUCT((I28:I51&lt;&gt;"")*I2:I25))</f>
        <v>0</v>
      </c>
      <c r="J64" s="4">
        <f>IFERROR(SUMPRODUCT(J42:J51,J16:J25)/SUMPRODUCT((J42:J51&lt;&gt;"")*J16:J25),SUMPRODUCT(J28:J51,J2:J25)/SUMPRODUCT((J28:J51&lt;&gt;"")*J2:J25))</f>
        <v>0</v>
      </c>
      <c r="K64" s="4">
        <f>IFERROR(SUMPRODUCT(K42:K51,K16:K25)/SUMPRODUCT((K42:K51&lt;&gt;"")*K16:K25),SUMPRODUCT(K28:K51,K2:K25)/SUMPRODUCT((K28:K51&lt;&gt;"")*K2:K25))</f>
        <v>0</v>
      </c>
      <c r="L64" s="4">
        <f>IFERROR(SUMPRODUCT(L42:L51,L16:L25)/SUMPRODUCT((L42:L51&lt;&gt;"")*L16:L25),SUMPRODUCT(L28:L51,L2:L25)/SUMPRODUCT((L28:L51&lt;&gt;"")*L2:L25))</f>
        <v>0</v>
      </c>
      <c r="M64" s="4">
        <f>IFERROR(SUMPRODUCT(M42:M51,M16:M25)/SUMPRODUCT((M42:M51&lt;&gt;"")*M16:M25),SUMPRODUCT(M28:M51,M2:M25)/SUMPRODUCT((M28:M51&lt;&gt;"")*M2:M25))</f>
        <v>0</v>
      </c>
      <c r="N64" s="4">
        <f>IFERROR(SUMPRODUCT(N42:N51,N16:N25)/SUMPRODUCT((N42:N51&lt;&gt;"")*N16:N25),SUMPRODUCT(N28:N51,N2:N25)/SUMPRODUCT((N28:N51&lt;&gt;"")*N2:N25))</f>
        <v>0</v>
      </c>
      <c r="O64" s="4">
        <f>IFERROR(SUMPRODUCT(O42:O51,O16:O25)/SUMPRODUCT((O42:O51&lt;&gt;"")*O16:O25),SUMPRODUCT(O28:O51,O2:O25)/SUMPRODUCT((O28:O51&lt;&gt;"")*O2:O25))</f>
        <v>0</v>
      </c>
      <c r="P64" s="4">
        <f>IFERROR(SUMPRODUCT(P42:P51,P16:P25)/SUMPRODUCT((P42:P51&lt;&gt;"")*P16:P25),SUMPRODUCT(P28:P51,P2:P25)/SUMPRODUCT((P28:P51&lt;&gt;"")*P2:P25))</f>
        <v>0</v>
      </c>
      <c r="Q64" s="4">
        <f>IFERROR(SUMPRODUCT(Q42:Q51,Q16:Q25)/SUMPRODUCT((Q42:Q51&lt;&gt;"")*Q16:Q25),SUMPRODUCT(Q28:Q51,Q2:Q25)/SUMPRODUCT((Q28:Q51&lt;&gt;"")*Q2:Q25))</f>
        <v>0</v>
      </c>
      <c r="R64" s="4">
        <f>IFERROR(SUMPRODUCT(R42:R51,R16:R25)/SUMPRODUCT((R42:R51&lt;&gt;"")*R16:R25),SUMPRODUCT(R28:R51,R2:R25)/SUMPRODUCT((R28:R51&lt;&gt;"")*R2:R25))</f>
        <v>0</v>
      </c>
      <c r="S64" s="4">
        <f>IFERROR(SUMPRODUCT(S42:S51,S16:S25)/SUMPRODUCT((S42:S51&lt;&gt;"")*S16:S25),SUMPRODUCT(S28:S51,S2:S25)/SUMPRODUCT((S28:S51&lt;&gt;"")*S2:S25))</f>
        <v>0</v>
      </c>
      <c r="T64" s="4">
        <f>IFERROR(SUMPRODUCT(T42:T51,T16:T25)/SUMPRODUCT((T42:T51&lt;&gt;"")*T16:T25),SUMPRODUCT(T28:T51,T2:T25)/SUMPRODUCT((T28:T51&lt;&gt;"")*T2:T25))</f>
        <v>0</v>
      </c>
      <c r="U64" s="4">
        <f>IFERROR(SUMPRODUCT(U42:U51,U16:U25)/SUMPRODUCT((U42:U51&lt;&gt;"")*U16:U25),SUMPRODUCT(U28:U51,U2:U25)/SUMPRODUCT((U28:U51&lt;&gt;"")*U2:U25))</f>
        <v>0</v>
      </c>
      <c r="V64" s="4">
        <f>IFERROR(SUMPRODUCT(V42:V51,V16:V25)/SUMPRODUCT((V42:V51&lt;&gt;"")*V16:V25),SUMPRODUCT(V28:V51,V2:V25)/SUMPRODUCT((V28:V51&lt;&gt;"")*V2:V25))</f>
        <v>0</v>
      </c>
      <c r="W64" s="4">
        <f>IFERROR(SUMPRODUCT(W42:W51,W16:W25)/SUMPRODUCT((W42:W51&lt;&gt;"")*W16:W25),SUMPRODUCT(W28:W51,W2:W25)/SUMPRODUCT((W28:W51&lt;&gt;"")*W2:W25))</f>
        <v>0</v>
      </c>
      <c r="X64" s="4">
        <f>IFERROR(SUMPRODUCT(X42:X51,X16:X25)/SUMPRODUCT((X42:X51&lt;&gt;"")*X16:X25),SUMPRODUCT(X28:X51,X2:X25)/SUMPRODUCT((X28:X51&lt;&gt;"")*X2:X25))</f>
        <v>0</v>
      </c>
    </row>
    <row r="65" spans="1:24">
      <c r="A65" s="2" t="s">
        <v>85</v>
      </c>
      <c r="B65" s="4">
        <f>IFERROR(TRIMMEAN(B42:B51,2/COUNT(B42:B51)),AVERAGE(B28:B51))</f>
        <v>0</v>
      </c>
      <c r="C65" s="4">
        <f>IFERROR(TRIMMEAN(C42:C51,2/COUNT(C42:C51)),AVERAGE(C28:C51))</f>
        <v>0</v>
      </c>
      <c r="D65" s="4">
        <f>IFERROR(TRIMMEAN(D42:D51,2/COUNT(D42:D51)),AVERAGE(D28:D51))</f>
        <v>0</v>
      </c>
      <c r="E65" s="4">
        <f>IFERROR(TRIMMEAN(E42:E51,2/COUNT(E42:E51)),AVERAGE(E28:E51))</f>
        <v>0</v>
      </c>
      <c r="F65" s="4">
        <f>IFERROR(TRIMMEAN(F42:F51,2/COUNT(F42:F51)),AVERAGE(F28:F51))</f>
        <v>0</v>
      </c>
      <c r="G65" s="4">
        <f>IFERROR(TRIMMEAN(G42:G51,2/COUNT(G42:G51)),AVERAGE(G28:G51))</f>
        <v>0</v>
      </c>
      <c r="H65" s="4">
        <f>IFERROR(TRIMMEAN(H42:H51,2/COUNT(H42:H51)),AVERAGE(H28:H51))</f>
        <v>0</v>
      </c>
      <c r="I65" s="4">
        <f>IFERROR(TRIMMEAN(I42:I51,2/COUNT(I42:I51)),AVERAGE(I28:I51))</f>
        <v>0</v>
      </c>
      <c r="J65" s="4">
        <f>IFERROR(TRIMMEAN(J42:J51,2/COUNT(J42:J51)),AVERAGE(J28:J51))</f>
        <v>0</v>
      </c>
      <c r="K65" s="4">
        <f>IFERROR(TRIMMEAN(K42:K51,2/COUNT(K42:K51)),AVERAGE(K28:K51))</f>
        <v>0</v>
      </c>
      <c r="L65" s="4">
        <f>IFERROR(TRIMMEAN(L42:L51,2/COUNT(L42:L51)),AVERAGE(L28:L51))</f>
        <v>0</v>
      </c>
      <c r="M65" s="4">
        <f>IFERROR(TRIMMEAN(M42:M51,2/COUNT(M42:M51)),AVERAGE(M28:M51))</f>
        <v>0</v>
      </c>
      <c r="N65" s="4">
        <f>IFERROR(TRIMMEAN(N42:N51,2/COUNT(N42:N51)),AVERAGE(N28:N51))</f>
        <v>0</v>
      </c>
      <c r="O65" s="4">
        <f>IFERROR(TRIMMEAN(O42:O51,2/COUNT(O42:O51)),AVERAGE(O28:O51))</f>
        <v>0</v>
      </c>
      <c r="P65" s="4">
        <f>IFERROR(TRIMMEAN(P42:P51,2/COUNT(P42:P51)),AVERAGE(P28:P51))</f>
        <v>0</v>
      </c>
      <c r="Q65" s="4">
        <f>IFERROR(TRIMMEAN(Q42:Q51,2/COUNT(Q42:Q51)),AVERAGE(Q28:Q51))</f>
        <v>0</v>
      </c>
      <c r="R65" s="4">
        <f>IFERROR(TRIMMEAN(R42:R51,2/COUNT(R42:R51)),AVERAGE(R28:R51))</f>
        <v>0</v>
      </c>
      <c r="S65" s="4">
        <f>IFERROR(TRIMMEAN(S42:S51,2/COUNT(S42:S51)),AVERAGE(S28:S51))</f>
        <v>0</v>
      </c>
      <c r="T65" s="4">
        <f>IFERROR(TRIMMEAN(T42:T51,2/COUNT(T42:T51)),AVERAGE(T28:T51))</f>
        <v>0</v>
      </c>
      <c r="U65" s="4">
        <f>IFERROR(TRIMMEAN(U42:U51,2/COUNT(U42:U51)),AVERAGE(U28:U51))</f>
        <v>0</v>
      </c>
      <c r="V65" s="4">
        <f>IFERROR(TRIMMEAN(V42:V51,2/COUNT(V42:V51)),AVERAGE(V28:V51))</f>
        <v>0</v>
      </c>
      <c r="W65" s="4">
        <f>IFERROR(TRIMMEAN(W42:W51,2/COUNT(W42:W51)),AVERAGE(W28:W51))</f>
        <v>0</v>
      </c>
      <c r="X65" s="4">
        <f>IFERROR(TRIMMEAN(X42:X51,2/COUNT(X42:X51)),AVERAGE(X28:X51))</f>
        <v>0</v>
      </c>
    </row>
    <row r="67" spans="1:24">
      <c r="A67" s="1"/>
      <c r="B67" s="1" t="s">
        <v>49</v>
      </c>
      <c r="C67" s="1" t="s">
        <v>50</v>
      </c>
      <c r="D67" s="1" t="s">
        <v>51</v>
      </c>
      <c r="E67" s="1" t="s">
        <v>52</v>
      </c>
      <c r="F67" s="1" t="s">
        <v>53</v>
      </c>
      <c r="G67" s="1" t="s">
        <v>54</v>
      </c>
      <c r="H67" s="1" t="s">
        <v>55</v>
      </c>
      <c r="I67" s="1" t="s">
        <v>56</v>
      </c>
      <c r="J67" s="1" t="s">
        <v>57</v>
      </c>
      <c r="K67" s="1" t="s">
        <v>58</v>
      </c>
      <c r="L67" s="1" t="s">
        <v>59</v>
      </c>
      <c r="M67" s="1" t="s">
        <v>60</v>
      </c>
      <c r="N67" s="1" t="s">
        <v>61</v>
      </c>
      <c r="O67" s="1" t="s">
        <v>62</v>
      </c>
      <c r="P67" s="1" t="s">
        <v>63</v>
      </c>
      <c r="Q67" s="1" t="s">
        <v>64</v>
      </c>
      <c r="R67" s="1" t="s">
        <v>65</v>
      </c>
      <c r="S67" s="1" t="s">
        <v>66</v>
      </c>
      <c r="T67" s="1" t="s">
        <v>67</v>
      </c>
      <c r="U67" s="1" t="s">
        <v>68</v>
      </c>
      <c r="V67" s="1" t="s">
        <v>69</v>
      </c>
      <c r="W67" s="1" t="s">
        <v>70</v>
      </c>
      <c r="X67" s="1" t="s">
        <v>71</v>
      </c>
    </row>
    <row r="68" spans="1:24">
      <c r="A68" s="5" t="s">
        <v>86</v>
      </c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</row>
    <row r="69" spans="1:24">
      <c r="A69" s="5" t="s">
        <v>87</v>
      </c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1" spans="1:24">
      <c r="A71" s="8" t="s">
        <v>88</v>
      </c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</row>
    <row r="72" spans="1:24">
      <c r="A72" s="8" t="s">
        <v>89</v>
      </c>
      <c r="B72" s="10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</row>
    <row r="74" spans="1:24">
      <c r="A74" s="11" t="s">
        <v>90</v>
      </c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</row>
    <row r="75" spans="1:24">
      <c r="A75" s="11" t="s">
        <v>91</v>
      </c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25"/>
  <sheetViews>
    <sheetView workbookViewId="0"/>
  </sheetViews>
  <sheetFormatPr defaultRowHeight="15"/>
  <cols>
    <col min="1" max="1" width="22.7109375" customWidth="1"/>
    <col min="2" max="2" width="18.7109375" customWidth="1"/>
  </cols>
  <sheetData>
    <row r="1" spans="1:2">
      <c r="A1" s="1" t="s">
        <v>0</v>
      </c>
      <c r="B1" s="1" t="s">
        <v>92</v>
      </c>
    </row>
    <row r="2" spans="1:2">
      <c r="A2" s="2" t="s">
        <v>25</v>
      </c>
      <c r="B2" s="3">
        <v>316377369.9688</v>
      </c>
    </row>
    <row r="3" spans="1:2">
      <c r="A3" s="2" t="s">
        <v>26</v>
      </c>
      <c r="B3" s="3">
        <v>322704917.4</v>
      </c>
    </row>
    <row r="4" spans="1:2">
      <c r="A4" s="2" t="s">
        <v>27</v>
      </c>
      <c r="B4" s="3">
        <v>329159015.7</v>
      </c>
    </row>
    <row r="5" spans="1:2">
      <c r="A5" s="2" t="s">
        <v>28</v>
      </c>
      <c r="B5" s="3">
        <v>335742196</v>
      </c>
    </row>
    <row r="6" spans="1:2">
      <c r="A6" s="2" t="s">
        <v>29</v>
      </c>
      <c r="B6" s="3">
        <v>342457040</v>
      </c>
    </row>
    <row r="7" spans="1:2">
      <c r="A7" s="2" t="s">
        <v>30</v>
      </c>
      <c r="B7" s="3">
        <v>349306180.7</v>
      </c>
    </row>
    <row r="8" spans="1:2">
      <c r="A8" s="2" t="s">
        <v>31</v>
      </c>
      <c r="B8" s="3">
        <v>356292304.4</v>
      </c>
    </row>
    <row r="9" spans="1:2">
      <c r="A9" s="2" t="s">
        <v>32</v>
      </c>
      <c r="B9" s="3">
        <v>363418150.5</v>
      </c>
    </row>
    <row r="10" spans="1:2">
      <c r="A10" s="2" t="s">
        <v>33</v>
      </c>
      <c r="B10" s="3">
        <v>370686513.5</v>
      </c>
    </row>
    <row r="11" spans="1:2">
      <c r="A11" s="2" t="s">
        <v>34</v>
      </c>
      <c r="B11" s="3">
        <v>378100243.7</v>
      </c>
    </row>
    <row r="12" spans="1:2">
      <c r="A12" s="2" t="s">
        <v>35</v>
      </c>
      <c r="B12" s="3">
        <v>385662248.6</v>
      </c>
    </row>
    <row r="13" spans="1:2">
      <c r="A13" s="2" t="s">
        <v>36</v>
      </c>
      <c r="B13" s="3">
        <v>393375493.6</v>
      </c>
    </row>
    <row r="14" spans="1:2">
      <c r="A14" s="2" t="s">
        <v>37</v>
      </c>
      <c r="B14" s="3">
        <v>401243003.4</v>
      </c>
    </row>
    <row r="15" spans="1:2">
      <c r="A15" s="2" t="s">
        <v>38</v>
      </c>
      <c r="B15" s="3">
        <v>409267863.5</v>
      </c>
    </row>
    <row r="16" spans="1:2">
      <c r="A16" s="2" t="s">
        <v>39</v>
      </c>
      <c r="B16" s="3">
        <v>417453220.8</v>
      </c>
    </row>
    <row r="17" spans="1:2">
      <c r="A17" s="2" t="s">
        <v>40</v>
      </c>
      <c r="B17" s="3">
        <v>425802285.2</v>
      </c>
    </row>
    <row r="18" spans="1:2">
      <c r="A18" s="2" t="s">
        <v>41</v>
      </c>
      <c r="B18" s="3">
        <v>434318330.9</v>
      </c>
    </row>
    <row r="19" spans="1:2">
      <c r="A19" s="2" t="s">
        <v>42</v>
      </c>
      <c r="B19" s="3">
        <v>443004697.5</v>
      </c>
    </row>
    <row r="20" spans="1:2">
      <c r="A20" s="2" t="s">
        <v>43</v>
      </c>
      <c r="B20" s="3">
        <v>451864791.5</v>
      </c>
    </row>
    <row r="21" spans="1:2">
      <c r="A21" s="2" t="s">
        <v>44</v>
      </c>
      <c r="B21" s="3">
        <v>460902087.3</v>
      </c>
    </row>
    <row r="22" spans="1:2">
      <c r="A22" s="2" t="s">
        <v>45</v>
      </c>
      <c r="B22" s="3">
        <v>470120129.1</v>
      </c>
    </row>
    <row r="23" spans="1:2">
      <c r="A23" s="2" t="s">
        <v>46</v>
      </c>
      <c r="B23" s="3">
        <v>479522531.6</v>
      </c>
    </row>
    <row r="24" spans="1:2">
      <c r="A24" s="2" t="s">
        <v>47</v>
      </c>
      <c r="B24" s="3">
        <v>489112982.3</v>
      </c>
    </row>
    <row r="25" spans="1:2">
      <c r="A25" s="2" t="s">
        <v>48</v>
      </c>
      <c r="B25" s="3">
        <v>498895241.9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Y80"/>
  <sheetViews>
    <sheetView workbookViewId="0"/>
  </sheetViews>
  <sheetFormatPr defaultRowHeight="15"/>
  <cols>
    <col min="1" max="1" width="22.7109375" customWidth="1"/>
    <col min="2" max="25" width="12.7109375" customWidth="1"/>
  </cols>
  <sheetData>
    <row r="1" spans="1:25">
      <c r="A1" s="14" t="s">
        <v>93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</row>
    <row r="3" spans="1:25">
      <c r="A3" s="2" t="s">
        <v>25</v>
      </c>
      <c r="B3" s="3">
        <f>IFERROR('Incurred Loss'!B2/'Reported Count'!B2,"")</f>
        <v>0</v>
      </c>
      <c r="C3" s="3">
        <f>IFERROR('Incurred Loss'!C2/'Reported Count'!C2,"")</f>
        <v>0</v>
      </c>
      <c r="D3" s="3">
        <f>IFERROR('Incurred Loss'!D2/'Reported Count'!D2,"")</f>
        <v>0</v>
      </c>
      <c r="E3" s="3">
        <f>IFERROR('Incurred Loss'!E2/'Reported Count'!E2,"")</f>
        <v>0</v>
      </c>
      <c r="F3" s="3">
        <f>IFERROR('Incurred Loss'!F2/'Reported Count'!F2,"")</f>
        <v>0</v>
      </c>
      <c r="G3" s="3">
        <f>IFERROR('Incurred Loss'!G2/'Reported Count'!G2,"")</f>
        <v>0</v>
      </c>
      <c r="H3" s="3">
        <f>IFERROR('Incurred Loss'!H2/'Reported Count'!H2,"")</f>
        <v>0</v>
      </c>
      <c r="I3" s="3">
        <f>IFERROR('Incurred Loss'!I2/'Reported Count'!I2,"")</f>
        <v>0</v>
      </c>
      <c r="J3" s="3">
        <f>IFERROR('Incurred Loss'!J2/'Reported Count'!J2,"")</f>
        <v>0</v>
      </c>
      <c r="K3" s="3">
        <f>IFERROR('Incurred Loss'!K2/'Reported Count'!K2,"")</f>
        <v>0</v>
      </c>
      <c r="L3" s="3">
        <f>IFERROR('Incurred Loss'!L2/'Reported Count'!L2,"")</f>
        <v>0</v>
      </c>
      <c r="M3" s="3">
        <f>IFERROR('Incurred Loss'!M2/'Reported Count'!M2,"")</f>
        <v>0</v>
      </c>
      <c r="N3" s="3">
        <f>IFERROR('Incurred Loss'!N2/'Reported Count'!N2,"")</f>
        <v>0</v>
      </c>
      <c r="O3" s="3">
        <f>IFERROR('Incurred Loss'!O2/'Reported Count'!O2,"")</f>
        <v>0</v>
      </c>
      <c r="P3" s="3">
        <f>IFERROR('Incurred Loss'!P2/'Reported Count'!P2,"")</f>
        <v>0</v>
      </c>
      <c r="Q3" s="3">
        <f>IFERROR('Incurred Loss'!Q2/'Reported Count'!Q2,"")</f>
        <v>0</v>
      </c>
      <c r="R3" s="3">
        <f>IFERROR('Incurred Loss'!R2/'Reported Count'!R2,"")</f>
        <v>0</v>
      </c>
      <c r="S3" s="3">
        <f>IFERROR('Incurred Loss'!S2/'Reported Count'!S2,"")</f>
        <v>0</v>
      </c>
      <c r="T3" s="3">
        <f>IFERROR('Incurred Loss'!T2/'Reported Count'!T2,"")</f>
        <v>0</v>
      </c>
      <c r="U3" s="3">
        <f>IFERROR('Incurred Loss'!U2/'Reported Count'!U2,"")</f>
        <v>0</v>
      </c>
      <c r="V3" s="3">
        <f>IFERROR('Incurred Loss'!V2/'Reported Count'!V2,"")</f>
        <v>0</v>
      </c>
      <c r="W3" s="3">
        <f>IFERROR('Incurred Loss'!W2/'Reported Count'!W2,"")</f>
        <v>0</v>
      </c>
      <c r="X3" s="3">
        <f>IFERROR('Incurred Loss'!X2/'Reported Count'!X2,"")</f>
        <v>0</v>
      </c>
      <c r="Y3" s="3">
        <f>IFERROR('Incurred Loss'!Y2/'Reported Count'!Y2,"")</f>
        <v>0</v>
      </c>
    </row>
    <row r="4" spans="1:25">
      <c r="A4" s="2" t="s">
        <v>26</v>
      </c>
      <c r="B4" s="3">
        <f>IFERROR('Incurred Loss'!B3/'Reported Count'!B3,"")</f>
        <v>0</v>
      </c>
      <c r="C4" s="3">
        <f>IFERROR('Incurred Loss'!C3/'Reported Count'!C3,"")</f>
        <v>0</v>
      </c>
      <c r="D4" s="3">
        <f>IFERROR('Incurred Loss'!D3/'Reported Count'!D3,"")</f>
        <v>0</v>
      </c>
      <c r="E4" s="3">
        <f>IFERROR('Incurred Loss'!E3/'Reported Count'!E3,"")</f>
        <v>0</v>
      </c>
      <c r="F4" s="3">
        <f>IFERROR('Incurred Loss'!F3/'Reported Count'!F3,"")</f>
        <v>0</v>
      </c>
      <c r="G4" s="3">
        <f>IFERROR('Incurred Loss'!G3/'Reported Count'!G3,"")</f>
        <v>0</v>
      </c>
      <c r="H4" s="3">
        <f>IFERROR('Incurred Loss'!H3/'Reported Count'!H3,"")</f>
        <v>0</v>
      </c>
      <c r="I4" s="3">
        <f>IFERROR('Incurred Loss'!I3/'Reported Count'!I3,"")</f>
        <v>0</v>
      </c>
      <c r="J4" s="3">
        <f>IFERROR('Incurred Loss'!J3/'Reported Count'!J3,"")</f>
        <v>0</v>
      </c>
      <c r="K4" s="3">
        <f>IFERROR('Incurred Loss'!K3/'Reported Count'!K3,"")</f>
        <v>0</v>
      </c>
      <c r="L4" s="3">
        <f>IFERROR('Incurred Loss'!L3/'Reported Count'!L3,"")</f>
        <v>0</v>
      </c>
      <c r="M4" s="3">
        <f>IFERROR('Incurred Loss'!M3/'Reported Count'!M3,"")</f>
        <v>0</v>
      </c>
      <c r="N4" s="3">
        <f>IFERROR('Incurred Loss'!N3/'Reported Count'!N3,"")</f>
        <v>0</v>
      </c>
      <c r="O4" s="3">
        <f>IFERROR('Incurred Loss'!O3/'Reported Count'!O3,"")</f>
        <v>0</v>
      </c>
      <c r="P4" s="3">
        <f>IFERROR('Incurred Loss'!P3/'Reported Count'!P3,"")</f>
        <v>0</v>
      </c>
      <c r="Q4" s="3">
        <f>IFERROR('Incurred Loss'!Q3/'Reported Count'!Q3,"")</f>
        <v>0</v>
      </c>
      <c r="R4" s="3">
        <f>IFERROR('Incurred Loss'!R3/'Reported Count'!R3,"")</f>
        <v>0</v>
      </c>
      <c r="S4" s="3">
        <f>IFERROR('Incurred Loss'!S3/'Reported Count'!S3,"")</f>
        <v>0</v>
      </c>
      <c r="T4" s="3">
        <f>IFERROR('Incurred Loss'!T3/'Reported Count'!T3,"")</f>
        <v>0</v>
      </c>
      <c r="U4" s="3">
        <f>IFERROR('Incurred Loss'!U3/'Reported Count'!U3,"")</f>
        <v>0</v>
      </c>
      <c r="V4" s="3">
        <f>IFERROR('Incurred Loss'!V3/'Reported Count'!V3,"")</f>
        <v>0</v>
      </c>
      <c r="W4" s="3">
        <f>IFERROR('Incurred Loss'!W3/'Reported Count'!W3,"")</f>
        <v>0</v>
      </c>
      <c r="X4" s="3">
        <f>IFERROR('Incurred Loss'!X3/'Reported Count'!X3,"")</f>
        <v>0</v>
      </c>
      <c r="Y4" s="3">
        <f>IFERROR('Incurred Loss'!Y3/'Reported Count'!Y3,"")</f>
        <v>0</v>
      </c>
    </row>
    <row r="5" spans="1:25">
      <c r="A5" s="2" t="s">
        <v>27</v>
      </c>
      <c r="B5" s="3">
        <f>IFERROR('Incurred Loss'!B4/'Reported Count'!B4,"")</f>
        <v>0</v>
      </c>
      <c r="C5" s="3">
        <f>IFERROR('Incurred Loss'!C4/'Reported Count'!C4,"")</f>
        <v>0</v>
      </c>
      <c r="D5" s="3">
        <f>IFERROR('Incurred Loss'!D4/'Reported Count'!D4,"")</f>
        <v>0</v>
      </c>
      <c r="E5" s="3">
        <f>IFERROR('Incurred Loss'!E4/'Reported Count'!E4,"")</f>
        <v>0</v>
      </c>
      <c r="F5" s="3">
        <f>IFERROR('Incurred Loss'!F4/'Reported Count'!F4,"")</f>
        <v>0</v>
      </c>
      <c r="G5" s="3">
        <f>IFERROR('Incurred Loss'!G4/'Reported Count'!G4,"")</f>
        <v>0</v>
      </c>
      <c r="H5" s="3">
        <f>IFERROR('Incurred Loss'!H4/'Reported Count'!H4,"")</f>
        <v>0</v>
      </c>
      <c r="I5" s="3">
        <f>IFERROR('Incurred Loss'!I4/'Reported Count'!I4,"")</f>
        <v>0</v>
      </c>
      <c r="J5" s="3">
        <f>IFERROR('Incurred Loss'!J4/'Reported Count'!J4,"")</f>
        <v>0</v>
      </c>
      <c r="K5" s="3">
        <f>IFERROR('Incurred Loss'!K4/'Reported Count'!K4,"")</f>
        <v>0</v>
      </c>
      <c r="L5" s="3">
        <f>IFERROR('Incurred Loss'!L4/'Reported Count'!L4,"")</f>
        <v>0</v>
      </c>
      <c r="M5" s="3">
        <f>IFERROR('Incurred Loss'!M4/'Reported Count'!M4,"")</f>
        <v>0</v>
      </c>
      <c r="N5" s="3">
        <f>IFERROR('Incurred Loss'!N4/'Reported Count'!N4,"")</f>
        <v>0</v>
      </c>
      <c r="O5" s="3">
        <f>IFERROR('Incurred Loss'!O4/'Reported Count'!O4,"")</f>
        <v>0</v>
      </c>
      <c r="P5" s="3">
        <f>IFERROR('Incurred Loss'!P4/'Reported Count'!P4,"")</f>
        <v>0</v>
      </c>
      <c r="Q5" s="3">
        <f>IFERROR('Incurred Loss'!Q4/'Reported Count'!Q4,"")</f>
        <v>0</v>
      </c>
      <c r="R5" s="3">
        <f>IFERROR('Incurred Loss'!R4/'Reported Count'!R4,"")</f>
        <v>0</v>
      </c>
      <c r="S5" s="3">
        <f>IFERROR('Incurred Loss'!S4/'Reported Count'!S4,"")</f>
        <v>0</v>
      </c>
      <c r="T5" s="3">
        <f>IFERROR('Incurred Loss'!T4/'Reported Count'!T4,"")</f>
        <v>0</v>
      </c>
      <c r="U5" s="3">
        <f>IFERROR('Incurred Loss'!U4/'Reported Count'!U4,"")</f>
        <v>0</v>
      </c>
      <c r="V5" s="3">
        <f>IFERROR('Incurred Loss'!V4/'Reported Count'!V4,"")</f>
        <v>0</v>
      </c>
      <c r="W5" s="3">
        <f>IFERROR('Incurred Loss'!W4/'Reported Count'!W4,"")</f>
        <v>0</v>
      </c>
      <c r="X5" s="3">
        <f>IFERROR('Incurred Loss'!X4/'Reported Count'!X4,"")</f>
        <v>0</v>
      </c>
      <c r="Y5" s="3">
        <f>IFERROR('Incurred Loss'!Y4/'Reported Count'!Y4,"")</f>
        <v>0</v>
      </c>
    </row>
    <row r="6" spans="1:25">
      <c r="A6" s="2" t="s">
        <v>28</v>
      </c>
      <c r="B6" s="3">
        <f>IFERROR('Incurred Loss'!B5/'Reported Count'!B5,"")</f>
        <v>0</v>
      </c>
      <c r="C6" s="3">
        <f>IFERROR('Incurred Loss'!C5/'Reported Count'!C5,"")</f>
        <v>0</v>
      </c>
      <c r="D6" s="3">
        <f>IFERROR('Incurred Loss'!D5/'Reported Count'!D5,"")</f>
        <v>0</v>
      </c>
      <c r="E6" s="3">
        <f>IFERROR('Incurred Loss'!E5/'Reported Count'!E5,"")</f>
        <v>0</v>
      </c>
      <c r="F6" s="3">
        <f>IFERROR('Incurred Loss'!F5/'Reported Count'!F5,"")</f>
        <v>0</v>
      </c>
      <c r="G6" s="3">
        <f>IFERROR('Incurred Loss'!G5/'Reported Count'!G5,"")</f>
        <v>0</v>
      </c>
      <c r="H6" s="3">
        <f>IFERROR('Incurred Loss'!H5/'Reported Count'!H5,"")</f>
        <v>0</v>
      </c>
      <c r="I6" s="3">
        <f>IFERROR('Incurred Loss'!I5/'Reported Count'!I5,"")</f>
        <v>0</v>
      </c>
      <c r="J6" s="3">
        <f>IFERROR('Incurred Loss'!J5/'Reported Count'!J5,"")</f>
        <v>0</v>
      </c>
      <c r="K6" s="3">
        <f>IFERROR('Incurred Loss'!K5/'Reported Count'!K5,"")</f>
        <v>0</v>
      </c>
      <c r="L6" s="3">
        <f>IFERROR('Incurred Loss'!L5/'Reported Count'!L5,"")</f>
        <v>0</v>
      </c>
      <c r="M6" s="3">
        <f>IFERROR('Incurred Loss'!M5/'Reported Count'!M5,"")</f>
        <v>0</v>
      </c>
      <c r="N6" s="3">
        <f>IFERROR('Incurred Loss'!N5/'Reported Count'!N5,"")</f>
        <v>0</v>
      </c>
      <c r="O6" s="3">
        <f>IFERROR('Incurred Loss'!O5/'Reported Count'!O5,"")</f>
        <v>0</v>
      </c>
      <c r="P6" s="3">
        <f>IFERROR('Incurred Loss'!P5/'Reported Count'!P5,"")</f>
        <v>0</v>
      </c>
      <c r="Q6" s="3">
        <f>IFERROR('Incurred Loss'!Q5/'Reported Count'!Q5,"")</f>
        <v>0</v>
      </c>
      <c r="R6" s="3">
        <f>IFERROR('Incurred Loss'!R5/'Reported Count'!R5,"")</f>
        <v>0</v>
      </c>
      <c r="S6" s="3">
        <f>IFERROR('Incurred Loss'!S5/'Reported Count'!S5,"")</f>
        <v>0</v>
      </c>
      <c r="T6" s="3">
        <f>IFERROR('Incurred Loss'!T5/'Reported Count'!T5,"")</f>
        <v>0</v>
      </c>
      <c r="U6" s="3">
        <f>IFERROR('Incurred Loss'!U5/'Reported Count'!U5,"")</f>
        <v>0</v>
      </c>
      <c r="V6" s="3">
        <f>IFERROR('Incurred Loss'!V5/'Reported Count'!V5,"")</f>
        <v>0</v>
      </c>
      <c r="W6" s="3">
        <f>IFERROR('Incurred Loss'!W5/'Reported Count'!W5,"")</f>
        <v>0</v>
      </c>
      <c r="X6" s="3">
        <f>IFERROR('Incurred Loss'!X5/'Reported Count'!X5,"")</f>
        <v>0</v>
      </c>
      <c r="Y6" s="3">
        <f>IFERROR('Incurred Loss'!Y5/'Reported Count'!Y5,"")</f>
        <v>0</v>
      </c>
    </row>
    <row r="7" spans="1:25">
      <c r="A7" s="2" t="s">
        <v>29</v>
      </c>
      <c r="B7" s="3">
        <f>IFERROR('Incurred Loss'!B6/'Reported Count'!B6,"")</f>
        <v>0</v>
      </c>
      <c r="C7" s="3">
        <f>IFERROR('Incurred Loss'!C6/'Reported Count'!C6,"")</f>
        <v>0</v>
      </c>
      <c r="D7" s="3">
        <f>IFERROR('Incurred Loss'!D6/'Reported Count'!D6,"")</f>
        <v>0</v>
      </c>
      <c r="E7" s="3">
        <f>IFERROR('Incurred Loss'!E6/'Reported Count'!E6,"")</f>
        <v>0</v>
      </c>
      <c r="F7" s="3">
        <f>IFERROR('Incurred Loss'!F6/'Reported Count'!F6,"")</f>
        <v>0</v>
      </c>
      <c r="G7" s="3">
        <f>IFERROR('Incurred Loss'!G6/'Reported Count'!G6,"")</f>
        <v>0</v>
      </c>
      <c r="H7" s="3">
        <f>IFERROR('Incurred Loss'!H6/'Reported Count'!H6,"")</f>
        <v>0</v>
      </c>
      <c r="I7" s="3">
        <f>IFERROR('Incurred Loss'!I6/'Reported Count'!I6,"")</f>
        <v>0</v>
      </c>
      <c r="J7" s="3">
        <f>IFERROR('Incurred Loss'!J6/'Reported Count'!J6,"")</f>
        <v>0</v>
      </c>
      <c r="K7" s="3">
        <f>IFERROR('Incurred Loss'!K6/'Reported Count'!K6,"")</f>
        <v>0</v>
      </c>
      <c r="L7" s="3">
        <f>IFERROR('Incurred Loss'!L6/'Reported Count'!L6,"")</f>
        <v>0</v>
      </c>
      <c r="M7" s="3">
        <f>IFERROR('Incurred Loss'!M6/'Reported Count'!M6,"")</f>
        <v>0</v>
      </c>
      <c r="N7" s="3">
        <f>IFERROR('Incurred Loss'!N6/'Reported Count'!N6,"")</f>
        <v>0</v>
      </c>
      <c r="O7" s="3">
        <f>IFERROR('Incurred Loss'!O6/'Reported Count'!O6,"")</f>
        <v>0</v>
      </c>
      <c r="P7" s="3">
        <f>IFERROR('Incurred Loss'!P6/'Reported Count'!P6,"")</f>
        <v>0</v>
      </c>
      <c r="Q7" s="3">
        <f>IFERROR('Incurred Loss'!Q6/'Reported Count'!Q6,"")</f>
        <v>0</v>
      </c>
      <c r="R7" s="3">
        <f>IFERROR('Incurred Loss'!R6/'Reported Count'!R6,"")</f>
        <v>0</v>
      </c>
      <c r="S7" s="3">
        <f>IFERROR('Incurred Loss'!S6/'Reported Count'!S6,"")</f>
        <v>0</v>
      </c>
      <c r="T7" s="3">
        <f>IFERROR('Incurred Loss'!T6/'Reported Count'!T6,"")</f>
        <v>0</v>
      </c>
      <c r="U7" s="3">
        <f>IFERROR('Incurred Loss'!U6/'Reported Count'!U6,"")</f>
        <v>0</v>
      </c>
      <c r="V7" s="3">
        <f>IFERROR('Incurred Loss'!V6/'Reported Count'!V6,"")</f>
        <v>0</v>
      </c>
      <c r="W7" s="3">
        <f>IFERROR('Incurred Loss'!W6/'Reported Count'!W6,"")</f>
        <v>0</v>
      </c>
      <c r="X7" s="3">
        <f>IFERROR('Incurred Loss'!X6/'Reported Count'!X6,"")</f>
        <v>0</v>
      </c>
      <c r="Y7" s="3">
        <f>IFERROR('Incurred Loss'!Y6/'Reported Count'!Y6,"")</f>
        <v>0</v>
      </c>
    </row>
    <row r="8" spans="1:25">
      <c r="A8" s="2" t="s">
        <v>30</v>
      </c>
      <c r="B8" s="3">
        <f>IFERROR('Incurred Loss'!B7/'Reported Count'!B7,"")</f>
        <v>0</v>
      </c>
      <c r="C8" s="3">
        <f>IFERROR('Incurred Loss'!C7/'Reported Count'!C7,"")</f>
        <v>0</v>
      </c>
      <c r="D8" s="3">
        <f>IFERROR('Incurred Loss'!D7/'Reported Count'!D7,"")</f>
        <v>0</v>
      </c>
      <c r="E8" s="3">
        <f>IFERROR('Incurred Loss'!E7/'Reported Count'!E7,"")</f>
        <v>0</v>
      </c>
      <c r="F8" s="3">
        <f>IFERROR('Incurred Loss'!F7/'Reported Count'!F7,"")</f>
        <v>0</v>
      </c>
      <c r="G8" s="3">
        <f>IFERROR('Incurred Loss'!G7/'Reported Count'!G7,"")</f>
        <v>0</v>
      </c>
      <c r="H8" s="3">
        <f>IFERROR('Incurred Loss'!H7/'Reported Count'!H7,"")</f>
        <v>0</v>
      </c>
      <c r="I8" s="3">
        <f>IFERROR('Incurred Loss'!I7/'Reported Count'!I7,"")</f>
        <v>0</v>
      </c>
      <c r="J8" s="3">
        <f>IFERROR('Incurred Loss'!J7/'Reported Count'!J7,"")</f>
        <v>0</v>
      </c>
      <c r="K8" s="3">
        <f>IFERROR('Incurred Loss'!K7/'Reported Count'!K7,"")</f>
        <v>0</v>
      </c>
      <c r="L8" s="3">
        <f>IFERROR('Incurred Loss'!L7/'Reported Count'!L7,"")</f>
        <v>0</v>
      </c>
      <c r="M8" s="3">
        <f>IFERROR('Incurred Loss'!M7/'Reported Count'!M7,"")</f>
        <v>0</v>
      </c>
      <c r="N8" s="3">
        <f>IFERROR('Incurred Loss'!N7/'Reported Count'!N7,"")</f>
        <v>0</v>
      </c>
      <c r="O8" s="3">
        <f>IFERROR('Incurred Loss'!O7/'Reported Count'!O7,"")</f>
        <v>0</v>
      </c>
      <c r="P8" s="3">
        <f>IFERROR('Incurred Loss'!P7/'Reported Count'!P7,"")</f>
        <v>0</v>
      </c>
      <c r="Q8" s="3">
        <f>IFERROR('Incurred Loss'!Q7/'Reported Count'!Q7,"")</f>
        <v>0</v>
      </c>
      <c r="R8" s="3">
        <f>IFERROR('Incurred Loss'!R7/'Reported Count'!R7,"")</f>
        <v>0</v>
      </c>
      <c r="S8" s="3">
        <f>IFERROR('Incurred Loss'!S7/'Reported Count'!S7,"")</f>
        <v>0</v>
      </c>
      <c r="T8" s="3">
        <f>IFERROR('Incurred Loss'!T7/'Reported Count'!T7,"")</f>
        <v>0</v>
      </c>
      <c r="U8" s="3">
        <f>IFERROR('Incurred Loss'!U7/'Reported Count'!U7,"")</f>
        <v>0</v>
      </c>
      <c r="V8" s="3">
        <f>IFERROR('Incurred Loss'!V7/'Reported Count'!V7,"")</f>
        <v>0</v>
      </c>
      <c r="W8" s="3">
        <f>IFERROR('Incurred Loss'!W7/'Reported Count'!W7,"")</f>
        <v>0</v>
      </c>
      <c r="X8" s="3">
        <f>IFERROR('Incurred Loss'!X7/'Reported Count'!X7,"")</f>
        <v>0</v>
      </c>
      <c r="Y8" s="3">
        <f>IFERROR('Incurred Loss'!Y7/'Reported Count'!Y7,"")</f>
        <v>0</v>
      </c>
    </row>
    <row r="9" spans="1:25">
      <c r="A9" s="2" t="s">
        <v>31</v>
      </c>
      <c r="B9" s="3">
        <f>IFERROR('Incurred Loss'!B8/'Reported Count'!B8,"")</f>
        <v>0</v>
      </c>
      <c r="C9" s="3">
        <f>IFERROR('Incurred Loss'!C8/'Reported Count'!C8,"")</f>
        <v>0</v>
      </c>
      <c r="D9" s="3">
        <f>IFERROR('Incurred Loss'!D8/'Reported Count'!D8,"")</f>
        <v>0</v>
      </c>
      <c r="E9" s="3">
        <f>IFERROR('Incurred Loss'!E8/'Reported Count'!E8,"")</f>
        <v>0</v>
      </c>
      <c r="F9" s="3">
        <f>IFERROR('Incurred Loss'!F8/'Reported Count'!F8,"")</f>
        <v>0</v>
      </c>
      <c r="G9" s="3">
        <f>IFERROR('Incurred Loss'!G8/'Reported Count'!G8,"")</f>
        <v>0</v>
      </c>
      <c r="H9" s="3">
        <f>IFERROR('Incurred Loss'!H8/'Reported Count'!H8,"")</f>
        <v>0</v>
      </c>
      <c r="I9" s="3">
        <f>IFERROR('Incurred Loss'!I8/'Reported Count'!I8,"")</f>
        <v>0</v>
      </c>
      <c r="J9" s="3">
        <f>IFERROR('Incurred Loss'!J8/'Reported Count'!J8,"")</f>
        <v>0</v>
      </c>
      <c r="K9" s="3">
        <f>IFERROR('Incurred Loss'!K8/'Reported Count'!K8,"")</f>
        <v>0</v>
      </c>
      <c r="L9" s="3">
        <f>IFERROR('Incurred Loss'!L8/'Reported Count'!L8,"")</f>
        <v>0</v>
      </c>
      <c r="M9" s="3">
        <f>IFERROR('Incurred Loss'!M8/'Reported Count'!M8,"")</f>
        <v>0</v>
      </c>
      <c r="N9" s="3">
        <f>IFERROR('Incurred Loss'!N8/'Reported Count'!N8,"")</f>
        <v>0</v>
      </c>
      <c r="O9" s="3">
        <f>IFERROR('Incurred Loss'!O8/'Reported Count'!O8,"")</f>
        <v>0</v>
      </c>
      <c r="P9" s="3">
        <f>IFERROR('Incurred Loss'!P8/'Reported Count'!P8,"")</f>
        <v>0</v>
      </c>
      <c r="Q9" s="3">
        <f>IFERROR('Incurred Loss'!Q8/'Reported Count'!Q8,"")</f>
        <v>0</v>
      </c>
      <c r="R9" s="3">
        <f>IFERROR('Incurred Loss'!R8/'Reported Count'!R8,"")</f>
        <v>0</v>
      </c>
      <c r="S9" s="3">
        <f>IFERROR('Incurred Loss'!S8/'Reported Count'!S8,"")</f>
        <v>0</v>
      </c>
      <c r="T9" s="3">
        <f>IFERROR('Incurred Loss'!T8/'Reported Count'!T8,"")</f>
        <v>0</v>
      </c>
      <c r="U9" s="3">
        <f>IFERROR('Incurred Loss'!U8/'Reported Count'!U8,"")</f>
        <v>0</v>
      </c>
      <c r="V9" s="3">
        <f>IFERROR('Incurred Loss'!V8/'Reported Count'!V8,"")</f>
        <v>0</v>
      </c>
      <c r="W9" s="3">
        <f>IFERROR('Incurred Loss'!W8/'Reported Count'!W8,"")</f>
        <v>0</v>
      </c>
      <c r="X9" s="3">
        <f>IFERROR('Incurred Loss'!X8/'Reported Count'!X8,"")</f>
        <v>0</v>
      </c>
      <c r="Y9" s="3">
        <f>IFERROR('Incurred Loss'!Y8/'Reported Count'!Y8,"")</f>
        <v>0</v>
      </c>
    </row>
    <row r="10" spans="1:25">
      <c r="A10" s="2" t="s">
        <v>32</v>
      </c>
      <c r="B10" s="3">
        <f>IFERROR('Incurred Loss'!B9/'Reported Count'!B9,"")</f>
        <v>0</v>
      </c>
      <c r="C10" s="3">
        <f>IFERROR('Incurred Loss'!C9/'Reported Count'!C9,"")</f>
        <v>0</v>
      </c>
      <c r="D10" s="3">
        <f>IFERROR('Incurred Loss'!D9/'Reported Count'!D9,"")</f>
        <v>0</v>
      </c>
      <c r="E10" s="3">
        <f>IFERROR('Incurred Loss'!E9/'Reported Count'!E9,"")</f>
        <v>0</v>
      </c>
      <c r="F10" s="3">
        <f>IFERROR('Incurred Loss'!F9/'Reported Count'!F9,"")</f>
        <v>0</v>
      </c>
      <c r="G10" s="3">
        <f>IFERROR('Incurred Loss'!G9/'Reported Count'!G9,"")</f>
        <v>0</v>
      </c>
      <c r="H10" s="3">
        <f>IFERROR('Incurred Loss'!H9/'Reported Count'!H9,"")</f>
        <v>0</v>
      </c>
      <c r="I10" s="3">
        <f>IFERROR('Incurred Loss'!I9/'Reported Count'!I9,"")</f>
        <v>0</v>
      </c>
      <c r="J10" s="3">
        <f>IFERROR('Incurred Loss'!J9/'Reported Count'!J9,"")</f>
        <v>0</v>
      </c>
      <c r="K10" s="3">
        <f>IFERROR('Incurred Loss'!K9/'Reported Count'!K9,"")</f>
        <v>0</v>
      </c>
      <c r="L10" s="3">
        <f>IFERROR('Incurred Loss'!L9/'Reported Count'!L9,"")</f>
        <v>0</v>
      </c>
      <c r="M10" s="3">
        <f>IFERROR('Incurred Loss'!M9/'Reported Count'!M9,"")</f>
        <v>0</v>
      </c>
      <c r="N10" s="3">
        <f>IFERROR('Incurred Loss'!N9/'Reported Count'!N9,"")</f>
        <v>0</v>
      </c>
      <c r="O10" s="3">
        <f>IFERROR('Incurred Loss'!O9/'Reported Count'!O9,"")</f>
        <v>0</v>
      </c>
      <c r="P10" s="3">
        <f>IFERROR('Incurred Loss'!P9/'Reported Count'!P9,"")</f>
        <v>0</v>
      </c>
      <c r="Q10" s="3">
        <f>IFERROR('Incurred Loss'!Q9/'Reported Count'!Q9,"")</f>
        <v>0</v>
      </c>
      <c r="R10" s="3">
        <f>IFERROR('Incurred Loss'!R9/'Reported Count'!R9,"")</f>
        <v>0</v>
      </c>
      <c r="S10" s="3">
        <f>IFERROR('Incurred Loss'!S9/'Reported Count'!S9,"")</f>
        <v>0</v>
      </c>
      <c r="T10" s="3">
        <f>IFERROR('Incurred Loss'!T9/'Reported Count'!T9,"")</f>
        <v>0</v>
      </c>
      <c r="U10" s="3">
        <f>IFERROR('Incurred Loss'!U9/'Reported Count'!U9,"")</f>
        <v>0</v>
      </c>
      <c r="V10" s="3">
        <f>IFERROR('Incurred Loss'!V9/'Reported Count'!V9,"")</f>
        <v>0</v>
      </c>
      <c r="W10" s="3">
        <f>IFERROR('Incurred Loss'!W9/'Reported Count'!W9,"")</f>
        <v>0</v>
      </c>
      <c r="X10" s="3">
        <f>IFERROR('Incurred Loss'!X9/'Reported Count'!X9,"")</f>
        <v>0</v>
      </c>
      <c r="Y10" s="3">
        <f>IFERROR('Incurred Loss'!Y9/'Reported Count'!Y9,"")</f>
        <v>0</v>
      </c>
    </row>
    <row r="11" spans="1:25">
      <c r="A11" s="2" t="s">
        <v>33</v>
      </c>
      <c r="B11" s="3">
        <f>IFERROR('Incurred Loss'!B10/'Reported Count'!B10,"")</f>
        <v>0</v>
      </c>
      <c r="C11" s="3">
        <f>IFERROR('Incurred Loss'!C10/'Reported Count'!C10,"")</f>
        <v>0</v>
      </c>
      <c r="D11" s="3">
        <f>IFERROR('Incurred Loss'!D10/'Reported Count'!D10,"")</f>
        <v>0</v>
      </c>
      <c r="E11" s="3">
        <f>IFERROR('Incurred Loss'!E10/'Reported Count'!E10,"")</f>
        <v>0</v>
      </c>
      <c r="F11" s="3">
        <f>IFERROR('Incurred Loss'!F10/'Reported Count'!F10,"")</f>
        <v>0</v>
      </c>
      <c r="G11" s="3">
        <f>IFERROR('Incurred Loss'!G10/'Reported Count'!G10,"")</f>
        <v>0</v>
      </c>
      <c r="H11" s="3">
        <f>IFERROR('Incurred Loss'!H10/'Reported Count'!H10,"")</f>
        <v>0</v>
      </c>
      <c r="I11" s="3">
        <f>IFERROR('Incurred Loss'!I10/'Reported Count'!I10,"")</f>
        <v>0</v>
      </c>
      <c r="J11" s="3">
        <f>IFERROR('Incurred Loss'!J10/'Reported Count'!J10,"")</f>
        <v>0</v>
      </c>
      <c r="K11" s="3">
        <f>IFERROR('Incurred Loss'!K10/'Reported Count'!K10,"")</f>
        <v>0</v>
      </c>
      <c r="L11" s="3">
        <f>IFERROR('Incurred Loss'!L10/'Reported Count'!L10,"")</f>
        <v>0</v>
      </c>
      <c r="M11" s="3">
        <f>IFERROR('Incurred Loss'!M10/'Reported Count'!M10,"")</f>
        <v>0</v>
      </c>
      <c r="N11" s="3">
        <f>IFERROR('Incurred Loss'!N10/'Reported Count'!N10,"")</f>
        <v>0</v>
      </c>
      <c r="O11" s="3">
        <f>IFERROR('Incurred Loss'!O10/'Reported Count'!O10,"")</f>
        <v>0</v>
      </c>
      <c r="P11" s="3">
        <f>IFERROR('Incurred Loss'!P10/'Reported Count'!P10,"")</f>
        <v>0</v>
      </c>
      <c r="Q11" s="3">
        <f>IFERROR('Incurred Loss'!Q10/'Reported Count'!Q10,"")</f>
        <v>0</v>
      </c>
      <c r="R11" s="3">
        <f>IFERROR('Incurred Loss'!R10/'Reported Count'!R10,"")</f>
        <v>0</v>
      </c>
      <c r="S11" s="3">
        <f>IFERROR('Incurred Loss'!S10/'Reported Count'!S10,"")</f>
        <v>0</v>
      </c>
      <c r="T11" s="3">
        <f>IFERROR('Incurred Loss'!T10/'Reported Count'!T10,"")</f>
        <v>0</v>
      </c>
      <c r="U11" s="3">
        <f>IFERROR('Incurred Loss'!U10/'Reported Count'!U10,"")</f>
        <v>0</v>
      </c>
      <c r="V11" s="3">
        <f>IFERROR('Incurred Loss'!V10/'Reported Count'!V10,"")</f>
        <v>0</v>
      </c>
      <c r="W11" s="3">
        <f>IFERROR('Incurred Loss'!W10/'Reported Count'!W10,"")</f>
        <v>0</v>
      </c>
      <c r="X11" s="3">
        <f>IFERROR('Incurred Loss'!X10/'Reported Count'!X10,"")</f>
        <v>0</v>
      </c>
      <c r="Y11" s="3">
        <f>IFERROR('Incurred Loss'!Y10/'Reported Count'!Y10,"")</f>
        <v>0</v>
      </c>
    </row>
    <row r="12" spans="1:25">
      <c r="A12" s="2" t="s">
        <v>34</v>
      </c>
      <c r="B12" s="3">
        <f>IFERROR('Incurred Loss'!B11/'Reported Count'!B11,"")</f>
        <v>0</v>
      </c>
      <c r="C12" s="3">
        <f>IFERROR('Incurred Loss'!C11/'Reported Count'!C11,"")</f>
        <v>0</v>
      </c>
      <c r="D12" s="3">
        <f>IFERROR('Incurred Loss'!D11/'Reported Count'!D11,"")</f>
        <v>0</v>
      </c>
      <c r="E12" s="3">
        <f>IFERROR('Incurred Loss'!E11/'Reported Count'!E11,"")</f>
        <v>0</v>
      </c>
      <c r="F12" s="3">
        <f>IFERROR('Incurred Loss'!F11/'Reported Count'!F11,"")</f>
        <v>0</v>
      </c>
      <c r="G12" s="3">
        <f>IFERROR('Incurred Loss'!G11/'Reported Count'!G11,"")</f>
        <v>0</v>
      </c>
      <c r="H12" s="3">
        <f>IFERROR('Incurred Loss'!H11/'Reported Count'!H11,"")</f>
        <v>0</v>
      </c>
      <c r="I12" s="3">
        <f>IFERROR('Incurred Loss'!I11/'Reported Count'!I11,"")</f>
        <v>0</v>
      </c>
      <c r="J12" s="3">
        <f>IFERROR('Incurred Loss'!J11/'Reported Count'!J11,"")</f>
        <v>0</v>
      </c>
      <c r="K12" s="3">
        <f>IFERROR('Incurred Loss'!K11/'Reported Count'!K11,"")</f>
        <v>0</v>
      </c>
      <c r="L12" s="3">
        <f>IFERROR('Incurred Loss'!L11/'Reported Count'!L11,"")</f>
        <v>0</v>
      </c>
      <c r="M12" s="3">
        <f>IFERROR('Incurred Loss'!M11/'Reported Count'!M11,"")</f>
        <v>0</v>
      </c>
      <c r="N12" s="3">
        <f>IFERROR('Incurred Loss'!N11/'Reported Count'!N11,"")</f>
        <v>0</v>
      </c>
      <c r="O12" s="3">
        <f>IFERROR('Incurred Loss'!O11/'Reported Count'!O11,"")</f>
        <v>0</v>
      </c>
      <c r="P12" s="3">
        <f>IFERROR('Incurred Loss'!P11/'Reported Count'!P11,"")</f>
        <v>0</v>
      </c>
      <c r="Q12" s="3">
        <f>IFERROR('Incurred Loss'!Q11/'Reported Count'!Q11,"")</f>
        <v>0</v>
      </c>
      <c r="R12" s="3">
        <f>IFERROR('Incurred Loss'!R11/'Reported Count'!R11,"")</f>
        <v>0</v>
      </c>
      <c r="S12" s="3">
        <f>IFERROR('Incurred Loss'!S11/'Reported Count'!S11,"")</f>
        <v>0</v>
      </c>
      <c r="T12" s="3">
        <f>IFERROR('Incurred Loss'!T11/'Reported Count'!T11,"")</f>
        <v>0</v>
      </c>
      <c r="U12" s="3">
        <f>IFERROR('Incurred Loss'!U11/'Reported Count'!U11,"")</f>
        <v>0</v>
      </c>
      <c r="V12" s="3">
        <f>IFERROR('Incurred Loss'!V11/'Reported Count'!V11,"")</f>
        <v>0</v>
      </c>
      <c r="W12" s="3">
        <f>IFERROR('Incurred Loss'!W11/'Reported Count'!W11,"")</f>
        <v>0</v>
      </c>
      <c r="X12" s="3">
        <f>IFERROR('Incurred Loss'!X11/'Reported Count'!X11,"")</f>
        <v>0</v>
      </c>
      <c r="Y12" s="3">
        <f>IFERROR('Incurred Loss'!Y11/'Reported Count'!Y11,"")</f>
        <v>0</v>
      </c>
    </row>
    <row r="13" spans="1:25">
      <c r="A13" s="2" t="s">
        <v>35</v>
      </c>
      <c r="B13" s="3">
        <f>IFERROR('Incurred Loss'!B12/'Reported Count'!B12,"")</f>
        <v>0</v>
      </c>
      <c r="C13" s="3">
        <f>IFERROR('Incurred Loss'!C12/'Reported Count'!C12,"")</f>
        <v>0</v>
      </c>
      <c r="D13" s="3">
        <f>IFERROR('Incurred Loss'!D12/'Reported Count'!D12,"")</f>
        <v>0</v>
      </c>
      <c r="E13" s="3">
        <f>IFERROR('Incurred Loss'!E12/'Reported Count'!E12,"")</f>
        <v>0</v>
      </c>
      <c r="F13" s="3">
        <f>IFERROR('Incurred Loss'!F12/'Reported Count'!F12,"")</f>
        <v>0</v>
      </c>
      <c r="G13" s="3">
        <f>IFERROR('Incurred Loss'!G12/'Reported Count'!G12,"")</f>
        <v>0</v>
      </c>
      <c r="H13" s="3">
        <f>IFERROR('Incurred Loss'!H12/'Reported Count'!H12,"")</f>
        <v>0</v>
      </c>
      <c r="I13" s="3">
        <f>IFERROR('Incurred Loss'!I12/'Reported Count'!I12,"")</f>
        <v>0</v>
      </c>
      <c r="J13" s="3">
        <f>IFERROR('Incurred Loss'!J12/'Reported Count'!J12,"")</f>
        <v>0</v>
      </c>
      <c r="K13" s="3">
        <f>IFERROR('Incurred Loss'!K12/'Reported Count'!K12,"")</f>
        <v>0</v>
      </c>
      <c r="L13" s="3">
        <f>IFERROR('Incurred Loss'!L12/'Reported Count'!L12,"")</f>
        <v>0</v>
      </c>
      <c r="M13" s="3">
        <f>IFERROR('Incurred Loss'!M12/'Reported Count'!M12,"")</f>
        <v>0</v>
      </c>
      <c r="N13" s="3">
        <f>IFERROR('Incurred Loss'!N12/'Reported Count'!N12,"")</f>
        <v>0</v>
      </c>
      <c r="O13" s="3">
        <f>IFERROR('Incurred Loss'!O12/'Reported Count'!O12,"")</f>
        <v>0</v>
      </c>
      <c r="P13" s="3">
        <f>IFERROR('Incurred Loss'!P12/'Reported Count'!P12,"")</f>
        <v>0</v>
      </c>
      <c r="Q13" s="3">
        <f>IFERROR('Incurred Loss'!Q12/'Reported Count'!Q12,"")</f>
        <v>0</v>
      </c>
      <c r="R13" s="3">
        <f>IFERROR('Incurred Loss'!R12/'Reported Count'!R12,"")</f>
        <v>0</v>
      </c>
      <c r="S13" s="3">
        <f>IFERROR('Incurred Loss'!S12/'Reported Count'!S12,"")</f>
        <v>0</v>
      </c>
      <c r="T13" s="3">
        <f>IFERROR('Incurred Loss'!T12/'Reported Count'!T12,"")</f>
        <v>0</v>
      </c>
      <c r="U13" s="3">
        <f>IFERROR('Incurred Loss'!U12/'Reported Count'!U12,"")</f>
        <v>0</v>
      </c>
      <c r="V13" s="3">
        <f>IFERROR('Incurred Loss'!V12/'Reported Count'!V12,"")</f>
        <v>0</v>
      </c>
      <c r="W13" s="3">
        <f>IFERROR('Incurred Loss'!W12/'Reported Count'!W12,"")</f>
        <v>0</v>
      </c>
      <c r="X13" s="3">
        <f>IFERROR('Incurred Loss'!X12/'Reported Count'!X12,"")</f>
        <v>0</v>
      </c>
      <c r="Y13" s="3">
        <f>IFERROR('Incurred Loss'!Y12/'Reported Count'!Y12,"")</f>
        <v>0</v>
      </c>
    </row>
    <row r="14" spans="1:25">
      <c r="A14" s="2" t="s">
        <v>36</v>
      </c>
      <c r="B14" s="3">
        <f>IFERROR('Incurred Loss'!B13/'Reported Count'!B13,"")</f>
        <v>0</v>
      </c>
      <c r="C14" s="3">
        <f>IFERROR('Incurred Loss'!C13/'Reported Count'!C13,"")</f>
        <v>0</v>
      </c>
      <c r="D14" s="3">
        <f>IFERROR('Incurred Loss'!D13/'Reported Count'!D13,"")</f>
        <v>0</v>
      </c>
      <c r="E14" s="3">
        <f>IFERROR('Incurred Loss'!E13/'Reported Count'!E13,"")</f>
        <v>0</v>
      </c>
      <c r="F14" s="3">
        <f>IFERROR('Incurred Loss'!F13/'Reported Count'!F13,"")</f>
        <v>0</v>
      </c>
      <c r="G14" s="3">
        <f>IFERROR('Incurred Loss'!G13/'Reported Count'!G13,"")</f>
        <v>0</v>
      </c>
      <c r="H14" s="3">
        <f>IFERROR('Incurred Loss'!H13/'Reported Count'!H13,"")</f>
        <v>0</v>
      </c>
      <c r="I14" s="3">
        <f>IFERROR('Incurred Loss'!I13/'Reported Count'!I13,"")</f>
        <v>0</v>
      </c>
      <c r="J14" s="3">
        <f>IFERROR('Incurred Loss'!J13/'Reported Count'!J13,"")</f>
        <v>0</v>
      </c>
      <c r="K14" s="3">
        <f>IFERROR('Incurred Loss'!K13/'Reported Count'!K13,"")</f>
        <v>0</v>
      </c>
      <c r="L14" s="3">
        <f>IFERROR('Incurred Loss'!L13/'Reported Count'!L13,"")</f>
        <v>0</v>
      </c>
      <c r="M14" s="3">
        <f>IFERROR('Incurred Loss'!M13/'Reported Count'!M13,"")</f>
        <v>0</v>
      </c>
      <c r="N14" s="3">
        <f>IFERROR('Incurred Loss'!N13/'Reported Count'!N13,"")</f>
        <v>0</v>
      </c>
      <c r="O14" s="3">
        <f>IFERROR('Incurred Loss'!O13/'Reported Count'!O13,"")</f>
        <v>0</v>
      </c>
      <c r="P14" s="3">
        <f>IFERROR('Incurred Loss'!P13/'Reported Count'!P13,"")</f>
        <v>0</v>
      </c>
      <c r="Q14" s="3">
        <f>IFERROR('Incurred Loss'!Q13/'Reported Count'!Q13,"")</f>
        <v>0</v>
      </c>
      <c r="R14" s="3">
        <f>IFERROR('Incurred Loss'!R13/'Reported Count'!R13,"")</f>
        <v>0</v>
      </c>
      <c r="S14" s="3">
        <f>IFERROR('Incurred Loss'!S13/'Reported Count'!S13,"")</f>
        <v>0</v>
      </c>
      <c r="T14" s="3">
        <f>IFERROR('Incurred Loss'!T13/'Reported Count'!T13,"")</f>
        <v>0</v>
      </c>
      <c r="U14" s="3">
        <f>IFERROR('Incurred Loss'!U13/'Reported Count'!U13,"")</f>
        <v>0</v>
      </c>
      <c r="V14" s="3">
        <f>IFERROR('Incurred Loss'!V13/'Reported Count'!V13,"")</f>
        <v>0</v>
      </c>
      <c r="W14" s="3">
        <f>IFERROR('Incurred Loss'!W13/'Reported Count'!W13,"")</f>
        <v>0</v>
      </c>
      <c r="X14" s="3">
        <f>IFERROR('Incurred Loss'!X13/'Reported Count'!X13,"")</f>
        <v>0</v>
      </c>
      <c r="Y14" s="3">
        <f>IFERROR('Incurred Loss'!Y13/'Reported Count'!Y13,"")</f>
        <v>0</v>
      </c>
    </row>
    <row r="15" spans="1:25">
      <c r="A15" s="2" t="s">
        <v>37</v>
      </c>
      <c r="B15" s="3">
        <f>IFERROR('Incurred Loss'!B14/'Reported Count'!B14,"")</f>
        <v>0</v>
      </c>
      <c r="C15" s="3">
        <f>IFERROR('Incurred Loss'!C14/'Reported Count'!C14,"")</f>
        <v>0</v>
      </c>
      <c r="D15" s="3">
        <f>IFERROR('Incurred Loss'!D14/'Reported Count'!D14,"")</f>
        <v>0</v>
      </c>
      <c r="E15" s="3">
        <f>IFERROR('Incurred Loss'!E14/'Reported Count'!E14,"")</f>
        <v>0</v>
      </c>
      <c r="F15" s="3">
        <f>IFERROR('Incurred Loss'!F14/'Reported Count'!F14,"")</f>
        <v>0</v>
      </c>
      <c r="G15" s="3">
        <f>IFERROR('Incurred Loss'!G14/'Reported Count'!G14,"")</f>
        <v>0</v>
      </c>
      <c r="H15" s="3">
        <f>IFERROR('Incurred Loss'!H14/'Reported Count'!H14,"")</f>
        <v>0</v>
      </c>
      <c r="I15" s="3">
        <f>IFERROR('Incurred Loss'!I14/'Reported Count'!I14,"")</f>
        <v>0</v>
      </c>
      <c r="J15" s="3">
        <f>IFERROR('Incurred Loss'!J14/'Reported Count'!J14,"")</f>
        <v>0</v>
      </c>
      <c r="K15" s="3">
        <f>IFERROR('Incurred Loss'!K14/'Reported Count'!K14,"")</f>
        <v>0</v>
      </c>
      <c r="L15" s="3">
        <f>IFERROR('Incurred Loss'!L14/'Reported Count'!L14,"")</f>
        <v>0</v>
      </c>
      <c r="M15" s="3">
        <f>IFERROR('Incurred Loss'!M14/'Reported Count'!M14,"")</f>
        <v>0</v>
      </c>
      <c r="N15" s="3">
        <f>IFERROR('Incurred Loss'!N14/'Reported Count'!N14,"")</f>
        <v>0</v>
      </c>
      <c r="O15" s="3">
        <f>IFERROR('Incurred Loss'!O14/'Reported Count'!O14,"")</f>
        <v>0</v>
      </c>
      <c r="P15" s="3">
        <f>IFERROR('Incurred Loss'!P14/'Reported Count'!P14,"")</f>
        <v>0</v>
      </c>
      <c r="Q15" s="3">
        <f>IFERROR('Incurred Loss'!Q14/'Reported Count'!Q14,"")</f>
        <v>0</v>
      </c>
      <c r="R15" s="3">
        <f>IFERROR('Incurred Loss'!R14/'Reported Count'!R14,"")</f>
        <v>0</v>
      </c>
      <c r="S15" s="3">
        <f>IFERROR('Incurred Loss'!S14/'Reported Count'!S14,"")</f>
        <v>0</v>
      </c>
      <c r="T15" s="3">
        <f>IFERROR('Incurred Loss'!T14/'Reported Count'!T14,"")</f>
        <v>0</v>
      </c>
      <c r="U15" s="3">
        <f>IFERROR('Incurred Loss'!U14/'Reported Count'!U14,"")</f>
        <v>0</v>
      </c>
      <c r="V15" s="3">
        <f>IFERROR('Incurred Loss'!V14/'Reported Count'!V14,"")</f>
        <v>0</v>
      </c>
      <c r="W15" s="3">
        <f>IFERROR('Incurred Loss'!W14/'Reported Count'!W14,"")</f>
        <v>0</v>
      </c>
      <c r="X15" s="3">
        <f>IFERROR('Incurred Loss'!X14/'Reported Count'!X14,"")</f>
        <v>0</v>
      </c>
      <c r="Y15" s="3">
        <f>IFERROR('Incurred Loss'!Y14/'Reported Count'!Y14,"")</f>
        <v>0</v>
      </c>
    </row>
    <row r="16" spans="1:25">
      <c r="A16" s="2" t="s">
        <v>38</v>
      </c>
      <c r="B16" s="3">
        <f>IFERROR('Incurred Loss'!B15/'Reported Count'!B15,"")</f>
        <v>0</v>
      </c>
      <c r="C16" s="3">
        <f>IFERROR('Incurred Loss'!C15/'Reported Count'!C15,"")</f>
        <v>0</v>
      </c>
      <c r="D16" s="3">
        <f>IFERROR('Incurred Loss'!D15/'Reported Count'!D15,"")</f>
        <v>0</v>
      </c>
      <c r="E16" s="3">
        <f>IFERROR('Incurred Loss'!E15/'Reported Count'!E15,"")</f>
        <v>0</v>
      </c>
      <c r="F16" s="3">
        <f>IFERROR('Incurred Loss'!F15/'Reported Count'!F15,"")</f>
        <v>0</v>
      </c>
      <c r="G16" s="3">
        <f>IFERROR('Incurred Loss'!G15/'Reported Count'!G15,"")</f>
        <v>0</v>
      </c>
      <c r="H16" s="3">
        <f>IFERROR('Incurred Loss'!H15/'Reported Count'!H15,"")</f>
        <v>0</v>
      </c>
      <c r="I16" s="3">
        <f>IFERROR('Incurred Loss'!I15/'Reported Count'!I15,"")</f>
        <v>0</v>
      </c>
      <c r="J16" s="3">
        <f>IFERROR('Incurred Loss'!J15/'Reported Count'!J15,"")</f>
        <v>0</v>
      </c>
      <c r="K16" s="3">
        <f>IFERROR('Incurred Loss'!K15/'Reported Count'!K15,"")</f>
        <v>0</v>
      </c>
      <c r="L16" s="3">
        <f>IFERROR('Incurred Loss'!L15/'Reported Count'!L15,"")</f>
        <v>0</v>
      </c>
      <c r="M16" s="3">
        <f>IFERROR('Incurred Loss'!M15/'Reported Count'!M15,"")</f>
        <v>0</v>
      </c>
      <c r="N16" s="3">
        <f>IFERROR('Incurred Loss'!N15/'Reported Count'!N15,"")</f>
        <v>0</v>
      </c>
      <c r="O16" s="3">
        <f>IFERROR('Incurred Loss'!O15/'Reported Count'!O15,"")</f>
        <v>0</v>
      </c>
      <c r="P16" s="3">
        <f>IFERROR('Incurred Loss'!P15/'Reported Count'!P15,"")</f>
        <v>0</v>
      </c>
      <c r="Q16" s="3">
        <f>IFERROR('Incurred Loss'!Q15/'Reported Count'!Q15,"")</f>
        <v>0</v>
      </c>
      <c r="R16" s="3">
        <f>IFERROR('Incurred Loss'!R15/'Reported Count'!R15,"")</f>
        <v>0</v>
      </c>
      <c r="S16" s="3">
        <f>IFERROR('Incurred Loss'!S15/'Reported Count'!S15,"")</f>
        <v>0</v>
      </c>
      <c r="T16" s="3">
        <f>IFERROR('Incurred Loss'!T15/'Reported Count'!T15,"")</f>
        <v>0</v>
      </c>
      <c r="U16" s="3">
        <f>IFERROR('Incurred Loss'!U15/'Reported Count'!U15,"")</f>
        <v>0</v>
      </c>
      <c r="V16" s="3">
        <f>IFERROR('Incurred Loss'!V15/'Reported Count'!V15,"")</f>
        <v>0</v>
      </c>
      <c r="W16" s="3">
        <f>IFERROR('Incurred Loss'!W15/'Reported Count'!W15,"")</f>
        <v>0</v>
      </c>
      <c r="X16" s="3">
        <f>IFERROR('Incurred Loss'!X15/'Reported Count'!X15,"")</f>
        <v>0</v>
      </c>
      <c r="Y16" s="3">
        <f>IFERROR('Incurred Loss'!Y15/'Reported Count'!Y15,"")</f>
        <v>0</v>
      </c>
    </row>
    <row r="17" spans="1:25">
      <c r="A17" s="2" t="s">
        <v>39</v>
      </c>
      <c r="B17" s="3">
        <f>IFERROR('Incurred Loss'!B16/'Reported Count'!B16,"")</f>
        <v>0</v>
      </c>
      <c r="C17" s="3">
        <f>IFERROR('Incurred Loss'!C16/'Reported Count'!C16,"")</f>
        <v>0</v>
      </c>
      <c r="D17" s="3">
        <f>IFERROR('Incurred Loss'!D16/'Reported Count'!D16,"")</f>
        <v>0</v>
      </c>
      <c r="E17" s="3">
        <f>IFERROR('Incurred Loss'!E16/'Reported Count'!E16,"")</f>
        <v>0</v>
      </c>
      <c r="F17" s="3">
        <f>IFERROR('Incurred Loss'!F16/'Reported Count'!F16,"")</f>
        <v>0</v>
      </c>
      <c r="G17" s="3">
        <f>IFERROR('Incurred Loss'!G16/'Reported Count'!G16,"")</f>
        <v>0</v>
      </c>
      <c r="H17" s="3">
        <f>IFERROR('Incurred Loss'!H16/'Reported Count'!H16,"")</f>
        <v>0</v>
      </c>
      <c r="I17" s="3">
        <f>IFERROR('Incurred Loss'!I16/'Reported Count'!I16,"")</f>
        <v>0</v>
      </c>
      <c r="J17" s="3">
        <f>IFERROR('Incurred Loss'!J16/'Reported Count'!J16,"")</f>
        <v>0</v>
      </c>
      <c r="K17" s="3">
        <f>IFERROR('Incurred Loss'!K16/'Reported Count'!K16,"")</f>
        <v>0</v>
      </c>
      <c r="L17" s="3">
        <f>IFERROR('Incurred Loss'!L16/'Reported Count'!L16,"")</f>
        <v>0</v>
      </c>
      <c r="M17" s="3">
        <f>IFERROR('Incurred Loss'!M16/'Reported Count'!M16,"")</f>
        <v>0</v>
      </c>
      <c r="N17" s="3">
        <f>IFERROR('Incurred Loss'!N16/'Reported Count'!N16,"")</f>
        <v>0</v>
      </c>
      <c r="O17" s="3">
        <f>IFERROR('Incurred Loss'!O16/'Reported Count'!O16,"")</f>
        <v>0</v>
      </c>
      <c r="P17" s="3">
        <f>IFERROR('Incurred Loss'!P16/'Reported Count'!P16,"")</f>
        <v>0</v>
      </c>
      <c r="Q17" s="3">
        <f>IFERROR('Incurred Loss'!Q16/'Reported Count'!Q16,"")</f>
        <v>0</v>
      </c>
      <c r="R17" s="3">
        <f>IFERROR('Incurred Loss'!R16/'Reported Count'!R16,"")</f>
        <v>0</v>
      </c>
      <c r="S17" s="3">
        <f>IFERROR('Incurred Loss'!S16/'Reported Count'!S16,"")</f>
        <v>0</v>
      </c>
      <c r="T17" s="3">
        <f>IFERROR('Incurred Loss'!T16/'Reported Count'!T16,"")</f>
        <v>0</v>
      </c>
      <c r="U17" s="3">
        <f>IFERROR('Incurred Loss'!U16/'Reported Count'!U16,"")</f>
        <v>0</v>
      </c>
      <c r="V17" s="3">
        <f>IFERROR('Incurred Loss'!V16/'Reported Count'!V16,"")</f>
        <v>0</v>
      </c>
      <c r="W17" s="3">
        <f>IFERROR('Incurred Loss'!W16/'Reported Count'!W16,"")</f>
        <v>0</v>
      </c>
      <c r="X17" s="3">
        <f>IFERROR('Incurred Loss'!X16/'Reported Count'!X16,"")</f>
        <v>0</v>
      </c>
      <c r="Y17" s="3">
        <f>IFERROR('Incurred Loss'!Y16/'Reported Count'!Y16,"")</f>
        <v>0</v>
      </c>
    </row>
    <row r="18" spans="1:25">
      <c r="A18" s="2" t="s">
        <v>40</v>
      </c>
      <c r="B18" s="3">
        <f>IFERROR('Incurred Loss'!B17/'Reported Count'!B17,"")</f>
        <v>0</v>
      </c>
      <c r="C18" s="3">
        <f>IFERROR('Incurred Loss'!C17/'Reported Count'!C17,"")</f>
        <v>0</v>
      </c>
      <c r="D18" s="3">
        <f>IFERROR('Incurred Loss'!D17/'Reported Count'!D17,"")</f>
        <v>0</v>
      </c>
      <c r="E18" s="3">
        <f>IFERROR('Incurred Loss'!E17/'Reported Count'!E17,"")</f>
        <v>0</v>
      </c>
      <c r="F18" s="3">
        <f>IFERROR('Incurred Loss'!F17/'Reported Count'!F17,"")</f>
        <v>0</v>
      </c>
      <c r="G18" s="3">
        <f>IFERROR('Incurred Loss'!G17/'Reported Count'!G17,"")</f>
        <v>0</v>
      </c>
      <c r="H18" s="3">
        <f>IFERROR('Incurred Loss'!H17/'Reported Count'!H17,"")</f>
        <v>0</v>
      </c>
      <c r="I18" s="3">
        <f>IFERROR('Incurred Loss'!I17/'Reported Count'!I17,"")</f>
        <v>0</v>
      </c>
      <c r="J18" s="3">
        <f>IFERROR('Incurred Loss'!J17/'Reported Count'!J17,"")</f>
        <v>0</v>
      </c>
      <c r="K18" s="3">
        <f>IFERROR('Incurred Loss'!K17/'Reported Count'!K17,"")</f>
        <v>0</v>
      </c>
      <c r="L18" s="3">
        <f>IFERROR('Incurred Loss'!L17/'Reported Count'!L17,"")</f>
        <v>0</v>
      </c>
      <c r="M18" s="3">
        <f>IFERROR('Incurred Loss'!M17/'Reported Count'!M17,"")</f>
        <v>0</v>
      </c>
      <c r="N18" s="3">
        <f>IFERROR('Incurred Loss'!N17/'Reported Count'!N17,"")</f>
        <v>0</v>
      </c>
      <c r="O18" s="3">
        <f>IFERROR('Incurred Loss'!O17/'Reported Count'!O17,"")</f>
        <v>0</v>
      </c>
      <c r="P18" s="3">
        <f>IFERROR('Incurred Loss'!P17/'Reported Count'!P17,"")</f>
        <v>0</v>
      </c>
      <c r="Q18" s="3">
        <f>IFERROR('Incurred Loss'!Q17/'Reported Count'!Q17,"")</f>
        <v>0</v>
      </c>
      <c r="R18" s="3">
        <f>IFERROR('Incurred Loss'!R17/'Reported Count'!R17,"")</f>
        <v>0</v>
      </c>
      <c r="S18" s="3">
        <f>IFERROR('Incurred Loss'!S17/'Reported Count'!S17,"")</f>
        <v>0</v>
      </c>
      <c r="T18" s="3">
        <f>IFERROR('Incurred Loss'!T17/'Reported Count'!T17,"")</f>
        <v>0</v>
      </c>
      <c r="U18" s="3">
        <f>IFERROR('Incurred Loss'!U17/'Reported Count'!U17,"")</f>
        <v>0</v>
      </c>
      <c r="V18" s="3">
        <f>IFERROR('Incurred Loss'!V17/'Reported Count'!V17,"")</f>
        <v>0</v>
      </c>
      <c r="W18" s="3">
        <f>IFERROR('Incurred Loss'!W17/'Reported Count'!W17,"")</f>
        <v>0</v>
      </c>
      <c r="X18" s="3">
        <f>IFERROR('Incurred Loss'!X17/'Reported Count'!X17,"")</f>
        <v>0</v>
      </c>
      <c r="Y18" s="3">
        <f>IFERROR('Incurred Loss'!Y17/'Reported Count'!Y17,"")</f>
        <v>0</v>
      </c>
    </row>
    <row r="19" spans="1:25">
      <c r="A19" s="2" t="s">
        <v>41</v>
      </c>
      <c r="B19" s="3">
        <f>IFERROR('Incurred Loss'!B18/'Reported Count'!B18,"")</f>
        <v>0</v>
      </c>
      <c r="C19" s="3">
        <f>IFERROR('Incurred Loss'!C18/'Reported Count'!C18,"")</f>
        <v>0</v>
      </c>
      <c r="D19" s="3">
        <f>IFERROR('Incurred Loss'!D18/'Reported Count'!D18,"")</f>
        <v>0</v>
      </c>
      <c r="E19" s="3">
        <f>IFERROR('Incurred Loss'!E18/'Reported Count'!E18,"")</f>
        <v>0</v>
      </c>
      <c r="F19" s="3">
        <f>IFERROR('Incurred Loss'!F18/'Reported Count'!F18,"")</f>
        <v>0</v>
      </c>
      <c r="G19" s="3">
        <f>IFERROR('Incurred Loss'!G18/'Reported Count'!G18,"")</f>
        <v>0</v>
      </c>
      <c r="H19" s="3">
        <f>IFERROR('Incurred Loss'!H18/'Reported Count'!H18,"")</f>
        <v>0</v>
      </c>
      <c r="I19" s="3">
        <f>IFERROR('Incurred Loss'!I18/'Reported Count'!I18,"")</f>
        <v>0</v>
      </c>
      <c r="J19" s="3">
        <f>IFERROR('Incurred Loss'!J18/'Reported Count'!J18,"")</f>
        <v>0</v>
      </c>
      <c r="K19" s="3">
        <f>IFERROR('Incurred Loss'!K18/'Reported Count'!K18,"")</f>
        <v>0</v>
      </c>
      <c r="L19" s="3">
        <f>IFERROR('Incurred Loss'!L18/'Reported Count'!L18,"")</f>
        <v>0</v>
      </c>
      <c r="M19" s="3">
        <f>IFERROR('Incurred Loss'!M18/'Reported Count'!M18,"")</f>
        <v>0</v>
      </c>
      <c r="N19" s="3">
        <f>IFERROR('Incurred Loss'!N18/'Reported Count'!N18,"")</f>
        <v>0</v>
      </c>
      <c r="O19" s="3">
        <f>IFERROR('Incurred Loss'!O18/'Reported Count'!O18,"")</f>
        <v>0</v>
      </c>
      <c r="P19" s="3">
        <f>IFERROR('Incurred Loss'!P18/'Reported Count'!P18,"")</f>
        <v>0</v>
      </c>
      <c r="Q19" s="3">
        <f>IFERROR('Incurred Loss'!Q18/'Reported Count'!Q18,"")</f>
        <v>0</v>
      </c>
      <c r="R19" s="3">
        <f>IFERROR('Incurred Loss'!R18/'Reported Count'!R18,"")</f>
        <v>0</v>
      </c>
      <c r="S19" s="3">
        <f>IFERROR('Incurred Loss'!S18/'Reported Count'!S18,"")</f>
        <v>0</v>
      </c>
      <c r="T19" s="3">
        <f>IFERROR('Incurred Loss'!T18/'Reported Count'!T18,"")</f>
        <v>0</v>
      </c>
      <c r="U19" s="3">
        <f>IFERROR('Incurred Loss'!U18/'Reported Count'!U18,"")</f>
        <v>0</v>
      </c>
      <c r="V19" s="3">
        <f>IFERROR('Incurred Loss'!V18/'Reported Count'!V18,"")</f>
        <v>0</v>
      </c>
      <c r="W19" s="3">
        <f>IFERROR('Incurred Loss'!W18/'Reported Count'!W18,"")</f>
        <v>0</v>
      </c>
      <c r="X19" s="3">
        <f>IFERROR('Incurred Loss'!X18/'Reported Count'!X18,"")</f>
        <v>0</v>
      </c>
      <c r="Y19" s="3">
        <f>IFERROR('Incurred Loss'!Y18/'Reported Count'!Y18,"")</f>
        <v>0</v>
      </c>
    </row>
    <row r="20" spans="1:25">
      <c r="A20" s="2" t="s">
        <v>42</v>
      </c>
      <c r="B20" s="3">
        <f>IFERROR('Incurred Loss'!B19/'Reported Count'!B19,"")</f>
        <v>0</v>
      </c>
      <c r="C20" s="3">
        <f>IFERROR('Incurred Loss'!C19/'Reported Count'!C19,"")</f>
        <v>0</v>
      </c>
      <c r="D20" s="3">
        <f>IFERROR('Incurred Loss'!D19/'Reported Count'!D19,"")</f>
        <v>0</v>
      </c>
      <c r="E20" s="3">
        <f>IFERROR('Incurred Loss'!E19/'Reported Count'!E19,"")</f>
        <v>0</v>
      </c>
      <c r="F20" s="3">
        <f>IFERROR('Incurred Loss'!F19/'Reported Count'!F19,"")</f>
        <v>0</v>
      </c>
      <c r="G20" s="3">
        <f>IFERROR('Incurred Loss'!G19/'Reported Count'!G19,"")</f>
        <v>0</v>
      </c>
      <c r="H20" s="3">
        <f>IFERROR('Incurred Loss'!H19/'Reported Count'!H19,"")</f>
        <v>0</v>
      </c>
      <c r="I20" s="3">
        <f>IFERROR('Incurred Loss'!I19/'Reported Count'!I19,"")</f>
        <v>0</v>
      </c>
      <c r="J20" s="3">
        <f>IFERROR('Incurred Loss'!J19/'Reported Count'!J19,"")</f>
        <v>0</v>
      </c>
      <c r="K20" s="3">
        <f>IFERROR('Incurred Loss'!K19/'Reported Count'!K19,"")</f>
        <v>0</v>
      </c>
      <c r="L20" s="3">
        <f>IFERROR('Incurred Loss'!L19/'Reported Count'!L19,"")</f>
        <v>0</v>
      </c>
      <c r="M20" s="3">
        <f>IFERROR('Incurred Loss'!M19/'Reported Count'!M19,"")</f>
        <v>0</v>
      </c>
      <c r="N20" s="3">
        <f>IFERROR('Incurred Loss'!N19/'Reported Count'!N19,"")</f>
        <v>0</v>
      </c>
      <c r="O20" s="3">
        <f>IFERROR('Incurred Loss'!O19/'Reported Count'!O19,"")</f>
        <v>0</v>
      </c>
      <c r="P20" s="3">
        <f>IFERROR('Incurred Loss'!P19/'Reported Count'!P19,"")</f>
        <v>0</v>
      </c>
      <c r="Q20" s="3">
        <f>IFERROR('Incurred Loss'!Q19/'Reported Count'!Q19,"")</f>
        <v>0</v>
      </c>
      <c r="R20" s="3">
        <f>IFERROR('Incurred Loss'!R19/'Reported Count'!R19,"")</f>
        <v>0</v>
      </c>
      <c r="S20" s="3">
        <f>IFERROR('Incurred Loss'!S19/'Reported Count'!S19,"")</f>
        <v>0</v>
      </c>
      <c r="T20" s="3">
        <f>IFERROR('Incurred Loss'!T19/'Reported Count'!T19,"")</f>
        <v>0</v>
      </c>
      <c r="U20" s="3">
        <f>IFERROR('Incurred Loss'!U19/'Reported Count'!U19,"")</f>
        <v>0</v>
      </c>
      <c r="V20" s="3">
        <f>IFERROR('Incurred Loss'!V19/'Reported Count'!V19,"")</f>
        <v>0</v>
      </c>
      <c r="W20" s="3">
        <f>IFERROR('Incurred Loss'!W19/'Reported Count'!W19,"")</f>
        <v>0</v>
      </c>
      <c r="X20" s="3">
        <f>IFERROR('Incurred Loss'!X19/'Reported Count'!X19,"")</f>
        <v>0</v>
      </c>
      <c r="Y20" s="3">
        <f>IFERROR('Incurred Loss'!Y19/'Reported Count'!Y19,"")</f>
        <v>0</v>
      </c>
    </row>
    <row r="21" spans="1:25">
      <c r="A21" s="2" t="s">
        <v>43</v>
      </c>
      <c r="B21" s="3">
        <f>IFERROR('Incurred Loss'!B20/'Reported Count'!B20,"")</f>
        <v>0</v>
      </c>
      <c r="C21" s="3">
        <f>IFERROR('Incurred Loss'!C20/'Reported Count'!C20,"")</f>
        <v>0</v>
      </c>
      <c r="D21" s="3">
        <f>IFERROR('Incurred Loss'!D20/'Reported Count'!D20,"")</f>
        <v>0</v>
      </c>
      <c r="E21" s="3">
        <f>IFERROR('Incurred Loss'!E20/'Reported Count'!E20,"")</f>
        <v>0</v>
      </c>
      <c r="F21" s="3">
        <f>IFERROR('Incurred Loss'!F20/'Reported Count'!F20,"")</f>
        <v>0</v>
      </c>
      <c r="G21" s="3">
        <f>IFERROR('Incurred Loss'!G20/'Reported Count'!G20,"")</f>
        <v>0</v>
      </c>
      <c r="H21" s="3">
        <f>IFERROR('Incurred Loss'!H20/'Reported Count'!H20,"")</f>
        <v>0</v>
      </c>
      <c r="I21" s="3">
        <f>IFERROR('Incurred Loss'!I20/'Reported Count'!I20,"")</f>
        <v>0</v>
      </c>
      <c r="J21" s="3">
        <f>IFERROR('Incurred Loss'!J20/'Reported Count'!J20,"")</f>
        <v>0</v>
      </c>
      <c r="K21" s="3">
        <f>IFERROR('Incurred Loss'!K20/'Reported Count'!K20,"")</f>
        <v>0</v>
      </c>
      <c r="L21" s="3">
        <f>IFERROR('Incurred Loss'!L20/'Reported Count'!L20,"")</f>
        <v>0</v>
      </c>
      <c r="M21" s="3">
        <f>IFERROR('Incurred Loss'!M20/'Reported Count'!M20,"")</f>
        <v>0</v>
      </c>
      <c r="N21" s="3">
        <f>IFERROR('Incurred Loss'!N20/'Reported Count'!N20,"")</f>
        <v>0</v>
      </c>
      <c r="O21" s="3">
        <f>IFERROR('Incurred Loss'!O20/'Reported Count'!O20,"")</f>
        <v>0</v>
      </c>
      <c r="P21" s="3">
        <f>IFERROR('Incurred Loss'!P20/'Reported Count'!P20,"")</f>
        <v>0</v>
      </c>
      <c r="Q21" s="3">
        <f>IFERROR('Incurred Loss'!Q20/'Reported Count'!Q20,"")</f>
        <v>0</v>
      </c>
      <c r="R21" s="3">
        <f>IFERROR('Incurred Loss'!R20/'Reported Count'!R20,"")</f>
        <v>0</v>
      </c>
      <c r="S21" s="3">
        <f>IFERROR('Incurred Loss'!S20/'Reported Count'!S20,"")</f>
        <v>0</v>
      </c>
      <c r="T21" s="3">
        <f>IFERROR('Incurred Loss'!T20/'Reported Count'!T20,"")</f>
        <v>0</v>
      </c>
      <c r="U21" s="3">
        <f>IFERROR('Incurred Loss'!U20/'Reported Count'!U20,"")</f>
        <v>0</v>
      </c>
      <c r="V21" s="3">
        <f>IFERROR('Incurred Loss'!V20/'Reported Count'!V20,"")</f>
        <v>0</v>
      </c>
      <c r="W21" s="3">
        <f>IFERROR('Incurred Loss'!W20/'Reported Count'!W20,"")</f>
        <v>0</v>
      </c>
      <c r="X21" s="3">
        <f>IFERROR('Incurred Loss'!X20/'Reported Count'!X20,"")</f>
        <v>0</v>
      </c>
      <c r="Y21" s="3">
        <f>IFERROR('Incurred Loss'!Y20/'Reported Count'!Y20,"")</f>
        <v>0</v>
      </c>
    </row>
    <row r="22" spans="1:25">
      <c r="A22" s="2" t="s">
        <v>44</v>
      </c>
      <c r="B22" s="3">
        <f>IFERROR('Incurred Loss'!B21/'Reported Count'!B21,"")</f>
        <v>0</v>
      </c>
      <c r="C22" s="3">
        <f>IFERROR('Incurred Loss'!C21/'Reported Count'!C21,"")</f>
        <v>0</v>
      </c>
      <c r="D22" s="3">
        <f>IFERROR('Incurred Loss'!D21/'Reported Count'!D21,"")</f>
        <v>0</v>
      </c>
      <c r="E22" s="3">
        <f>IFERROR('Incurred Loss'!E21/'Reported Count'!E21,"")</f>
        <v>0</v>
      </c>
      <c r="F22" s="3">
        <f>IFERROR('Incurred Loss'!F21/'Reported Count'!F21,"")</f>
        <v>0</v>
      </c>
      <c r="G22" s="3">
        <f>IFERROR('Incurred Loss'!G21/'Reported Count'!G21,"")</f>
        <v>0</v>
      </c>
      <c r="H22" s="3">
        <f>IFERROR('Incurred Loss'!H21/'Reported Count'!H21,"")</f>
        <v>0</v>
      </c>
      <c r="I22" s="3">
        <f>IFERROR('Incurred Loss'!I21/'Reported Count'!I21,"")</f>
        <v>0</v>
      </c>
      <c r="J22" s="3">
        <f>IFERROR('Incurred Loss'!J21/'Reported Count'!J21,"")</f>
        <v>0</v>
      </c>
      <c r="K22" s="3">
        <f>IFERROR('Incurred Loss'!K21/'Reported Count'!K21,"")</f>
        <v>0</v>
      </c>
      <c r="L22" s="3">
        <f>IFERROR('Incurred Loss'!L21/'Reported Count'!L21,"")</f>
        <v>0</v>
      </c>
      <c r="M22" s="3">
        <f>IFERROR('Incurred Loss'!M21/'Reported Count'!M21,"")</f>
        <v>0</v>
      </c>
      <c r="N22" s="3">
        <f>IFERROR('Incurred Loss'!N21/'Reported Count'!N21,"")</f>
        <v>0</v>
      </c>
      <c r="O22" s="3">
        <f>IFERROR('Incurred Loss'!O21/'Reported Count'!O21,"")</f>
        <v>0</v>
      </c>
      <c r="P22" s="3">
        <f>IFERROR('Incurred Loss'!P21/'Reported Count'!P21,"")</f>
        <v>0</v>
      </c>
      <c r="Q22" s="3">
        <f>IFERROR('Incurred Loss'!Q21/'Reported Count'!Q21,"")</f>
        <v>0</v>
      </c>
      <c r="R22" s="3">
        <f>IFERROR('Incurred Loss'!R21/'Reported Count'!R21,"")</f>
        <v>0</v>
      </c>
      <c r="S22" s="3">
        <f>IFERROR('Incurred Loss'!S21/'Reported Count'!S21,"")</f>
        <v>0</v>
      </c>
      <c r="T22" s="3">
        <f>IFERROR('Incurred Loss'!T21/'Reported Count'!T21,"")</f>
        <v>0</v>
      </c>
      <c r="U22" s="3">
        <f>IFERROR('Incurred Loss'!U21/'Reported Count'!U21,"")</f>
        <v>0</v>
      </c>
      <c r="V22" s="3">
        <f>IFERROR('Incurred Loss'!V21/'Reported Count'!V21,"")</f>
        <v>0</v>
      </c>
      <c r="W22" s="3">
        <f>IFERROR('Incurred Loss'!W21/'Reported Count'!W21,"")</f>
        <v>0</v>
      </c>
      <c r="X22" s="3">
        <f>IFERROR('Incurred Loss'!X21/'Reported Count'!X21,"")</f>
        <v>0</v>
      </c>
      <c r="Y22" s="3">
        <f>IFERROR('Incurred Loss'!Y21/'Reported Count'!Y21,"")</f>
        <v>0</v>
      </c>
    </row>
    <row r="23" spans="1:25">
      <c r="A23" s="2" t="s">
        <v>45</v>
      </c>
      <c r="B23" s="3">
        <f>IFERROR('Incurred Loss'!B22/'Reported Count'!B22,"")</f>
        <v>0</v>
      </c>
      <c r="C23" s="3">
        <f>IFERROR('Incurred Loss'!C22/'Reported Count'!C22,"")</f>
        <v>0</v>
      </c>
      <c r="D23" s="3">
        <f>IFERROR('Incurred Loss'!D22/'Reported Count'!D22,"")</f>
        <v>0</v>
      </c>
      <c r="E23" s="3">
        <f>IFERROR('Incurred Loss'!E22/'Reported Count'!E22,"")</f>
        <v>0</v>
      </c>
      <c r="F23" s="3">
        <f>IFERROR('Incurred Loss'!F22/'Reported Count'!F22,"")</f>
        <v>0</v>
      </c>
      <c r="G23" s="3">
        <f>IFERROR('Incurred Loss'!G22/'Reported Count'!G22,"")</f>
        <v>0</v>
      </c>
      <c r="H23" s="3">
        <f>IFERROR('Incurred Loss'!H22/'Reported Count'!H22,"")</f>
        <v>0</v>
      </c>
      <c r="I23" s="3">
        <f>IFERROR('Incurred Loss'!I22/'Reported Count'!I22,"")</f>
        <v>0</v>
      </c>
      <c r="J23" s="3">
        <f>IFERROR('Incurred Loss'!J22/'Reported Count'!J22,"")</f>
        <v>0</v>
      </c>
      <c r="K23" s="3">
        <f>IFERROR('Incurred Loss'!K22/'Reported Count'!K22,"")</f>
        <v>0</v>
      </c>
      <c r="L23" s="3">
        <f>IFERROR('Incurred Loss'!L22/'Reported Count'!L22,"")</f>
        <v>0</v>
      </c>
      <c r="M23" s="3">
        <f>IFERROR('Incurred Loss'!M22/'Reported Count'!M22,"")</f>
        <v>0</v>
      </c>
      <c r="N23" s="3">
        <f>IFERROR('Incurred Loss'!N22/'Reported Count'!N22,"")</f>
        <v>0</v>
      </c>
      <c r="O23" s="3">
        <f>IFERROR('Incurred Loss'!O22/'Reported Count'!O22,"")</f>
        <v>0</v>
      </c>
      <c r="P23" s="3">
        <f>IFERROR('Incurred Loss'!P22/'Reported Count'!P22,"")</f>
        <v>0</v>
      </c>
      <c r="Q23" s="3">
        <f>IFERROR('Incurred Loss'!Q22/'Reported Count'!Q22,"")</f>
        <v>0</v>
      </c>
      <c r="R23" s="3">
        <f>IFERROR('Incurred Loss'!R22/'Reported Count'!R22,"")</f>
        <v>0</v>
      </c>
      <c r="S23" s="3">
        <f>IFERROR('Incurred Loss'!S22/'Reported Count'!S22,"")</f>
        <v>0</v>
      </c>
      <c r="T23" s="3">
        <f>IFERROR('Incurred Loss'!T22/'Reported Count'!T22,"")</f>
        <v>0</v>
      </c>
      <c r="U23" s="3">
        <f>IFERROR('Incurred Loss'!U22/'Reported Count'!U22,"")</f>
        <v>0</v>
      </c>
      <c r="V23" s="3">
        <f>IFERROR('Incurred Loss'!V22/'Reported Count'!V22,"")</f>
        <v>0</v>
      </c>
      <c r="W23" s="3">
        <f>IFERROR('Incurred Loss'!W22/'Reported Count'!W22,"")</f>
        <v>0</v>
      </c>
      <c r="X23" s="3">
        <f>IFERROR('Incurred Loss'!X22/'Reported Count'!X22,"")</f>
        <v>0</v>
      </c>
      <c r="Y23" s="3">
        <f>IFERROR('Incurred Loss'!Y22/'Reported Count'!Y22,"")</f>
        <v>0</v>
      </c>
    </row>
    <row r="24" spans="1:25">
      <c r="A24" s="2" t="s">
        <v>46</v>
      </c>
      <c r="B24" s="3">
        <f>IFERROR('Incurred Loss'!B23/'Reported Count'!B23,"")</f>
        <v>0</v>
      </c>
      <c r="C24" s="3">
        <f>IFERROR('Incurred Loss'!C23/'Reported Count'!C23,"")</f>
        <v>0</v>
      </c>
      <c r="D24" s="3">
        <f>IFERROR('Incurred Loss'!D23/'Reported Count'!D23,"")</f>
        <v>0</v>
      </c>
      <c r="E24" s="3">
        <f>IFERROR('Incurred Loss'!E23/'Reported Count'!E23,"")</f>
        <v>0</v>
      </c>
      <c r="F24" s="3">
        <f>IFERROR('Incurred Loss'!F23/'Reported Count'!F23,"")</f>
        <v>0</v>
      </c>
      <c r="G24" s="3">
        <f>IFERROR('Incurred Loss'!G23/'Reported Count'!G23,"")</f>
        <v>0</v>
      </c>
      <c r="H24" s="3">
        <f>IFERROR('Incurred Loss'!H23/'Reported Count'!H23,"")</f>
        <v>0</v>
      </c>
      <c r="I24" s="3">
        <f>IFERROR('Incurred Loss'!I23/'Reported Count'!I23,"")</f>
        <v>0</v>
      </c>
      <c r="J24" s="3">
        <f>IFERROR('Incurred Loss'!J23/'Reported Count'!J23,"")</f>
        <v>0</v>
      </c>
      <c r="K24" s="3">
        <f>IFERROR('Incurred Loss'!K23/'Reported Count'!K23,"")</f>
        <v>0</v>
      </c>
      <c r="L24" s="3">
        <f>IFERROR('Incurred Loss'!L23/'Reported Count'!L23,"")</f>
        <v>0</v>
      </c>
      <c r="M24" s="3">
        <f>IFERROR('Incurred Loss'!M23/'Reported Count'!M23,"")</f>
        <v>0</v>
      </c>
      <c r="N24" s="3">
        <f>IFERROR('Incurred Loss'!N23/'Reported Count'!N23,"")</f>
        <v>0</v>
      </c>
      <c r="O24" s="3">
        <f>IFERROR('Incurred Loss'!O23/'Reported Count'!O23,"")</f>
        <v>0</v>
      </c>
      <c r="P24" s="3">
        <f>IFERROR('Incurred Loss'!P23/'Reported Count'!P23,"")</f>
        <v>0</v>
      </c>
      <c r="Q24" s="3">
        <f>IFERROR('Incurred Loss'!Q23/'Reported Count'!Q23,"")</f>
        <v>0</v>
      </c>
      <c r="R24" s="3">
        <f>IFERROR('Incurred Loss'!R23/'Reported Count'!R23,"")</f>
        <v>0</v>
      </c>
      <c r="S24" s="3">
        <f>IFERROR('Incurred Loss'!S23/'Reported Count'!S23,"")</f>
        <v>0</v>
      </c>
      <c r="T24" s="3">
        <f>IFERROR('Incurred Loss'!T23/'Reported Count'!T23,"")</f>
        <v>0</v>
      </c>
      <c r="U24" s="3">
        <f>IFERROR('Incurred Loss'!U23/'Reported Count'!U23,"")</f>
        <v>0</v>
      </c>
      <c r="V24" s="3">
        <f>IFERROR('Incurred Loss'!V23/'Reported Count'!V23,"")</f>
        <v>0</v>
      </c>
      <c r="W24" s="3">
        <f>IFERROR('Incurred Loss'!W23/'Reported Count'!W23,"")</f>
        <v>0</v>
      </c>
      <c r="X24" s="3">
        <f>IFERROR('Incurred Loss'!X23/'Reported Count'!X23,"")</f>
        <v>0</v>
      </c>
      <c r="Y24" s="3">
        <f>IFERROR('Incurred Loss'!Y23/'Reported Count'!Y23,"")</f>
        <v>0</v>
      </c>
    </row>
    <row r="25" spans="1:25">
      <c r="A25" s="2" t="s">
        <v>47</v>
      </c>
      <c r="B25" s="3">
        <f>IFERROR('Incurred Loss'!B24/'Reported Count'!B24,"")</f>
        <v>0</v>
      </c>
      <c r="C25" s="3">
        <f>IFERROR('Incurred Loss'!C24/'Reported Count'!C24,"")</f>
        <v>0</v>
      </c>
      <c r="D25" s="3">
        <f>IFERROR('Incurred Loss'!D24/'Reported Count'!D24,"")</f>
        <v>0</v>
      </c>
      <c r="E25" s="3">
        <f>IFERROR('Incurred Loss'!E24/'Reported Count'!E24,"")</f>
        <v>0</v>
      </c>
      <c r="F25" s="3">
        <f>IFERROR('Incurred Loss'!F24/'Reported Count'!F24,"")</f>
        <v>0</v>
      </c>
      <c r="G25" s="3">
        <f>IFERROR('Incurred Loss'!G24/'Reported Count'!G24,"")</f>
        <v>0</v>
      </c>
      <c r="H25" s="3">
        <f>IFERROR('Incurred Loss'!H24/'Reported Count'!H24,"")</f>
        <v>0</v>
      </c>
      <c r="I25" s="3">
        <f>IFERROR('Incurred Loss'!I24/'Reported Count'!I24,"")</f>
        <v>0</v>
      </c>
      <c r="J25" s="3">
        <f>IFERROR('Incurred Loss'!J24/'Reported Count'!J24,"")</f>
        <v>0</v>
      </c>
      <c r="K25" s="3">
        <f>IFERROR('Incurred Loss'!K24/'Reported Count'!K24,"")</f>
        <v>0</v>
      </c>
      <c r="L25" s="3">
        <f>IFERROR('Incurred Loss'!L24/'Reported Count'!L24,"")</f>
        <v>0</v>
      </c>
      <c r="M25" s="3">
        <f>IFERROR('Incurred Loss'!M24/'Reported Count'!M24,"")</f>
        <v>0</v>
      </c>
      <c r="N25" s="3">
        <f>IFERROR('Incurred Loss'!N24/'Reported Count'!N24,"")</f>
        <v>0</v>
      </c>
      <c r="O25" s="3">
        <f>IFERROR('Incurred Loss'!O24/'Reported Count'!O24,"")</f>
        <v>0</v>
      </c>
      <c r="P25" s="3">
        <f>IFERROR('Incurred Loss'!P24/'Reported Count'!P24,"")</f>
        <v>0</v>
      </c>
      <c r="Q25" s="3">
        <f>IFERROR('Incurred Loss'!Q24/'Reported Count'!Q24,"")</f>
        <v>0</v>
      </c>
      <c r="R25" s="3">
        <f>IFERROR('Incurred Loss'!R24/'Reported Count'!R24,"")</f>
        <v>0</v>
      </c>
      <c r="S25" s="3">
        <f>IFERROR('Incurred Loss'!S24/'Reported Count'!S24,"")</f>
        <v>0</v>
      </c>
      <c r="T25" s="3">
        <f>IFERROR('Incurred Loss'!T24/'Reported Count'!T24,"")</f>
        <v>0</v>
      </c>
      <c r="U25" s="3">
        <f>IFERROR('Incurred Loss'!U24/'Reported Count'!U24,"")</f>
        <v>0</v>
      </c>
      <c r="V25" s="3">
        <f>IFERROR('Incurred Loss'!V24/'Reported Count'!V24,"")</f>
        <v>0</v>
      </c>
      <c r="W25" s="3">
        <f>IFERROR('Incurred Loss'!W24/'Reported Count'!W24,"")</f>
        <v>0</v>
      </c>
      <c r="X25" s="3">
        <f>IFERROR('Incurred Loss'!X24/'Reported Count'!X24,"")</f>
        <v>0</v>
      </c>
      <c r="Y25" s="3">
        <f>IFERROR('Incurred Loss'!Y24/'Reported Count'!Y24,"")</f>
        <v>0</v>
      </c>
    </row>
    <row r="26" spans="1:25">
      <c r="A26" s="2" t="s">
        <v>48</v>
      </c>
      <c r="B26" s="3">
        <f>IFERROR('Incurred Loss'!B25/'Reported Count'!B25,"")</f>
        <v>0</v>
      </c>
      <c r="C26" s="3">
        <f>IFERROR('Incurred Loss'!C25/'Reported Count'!C25,"")</f>
        <v>0</v>
      </c>
      <c r="D26" s="3">
        <f>IFERROR('Incurred Loss'!D25/'Reported Count'!D25,"")</f>
        <v>0</v>
      </c>
      <c r="E26" s="3">
        <f>IFERROR('Incurred Loss'!E25/'Reported Count'!E25,"")</f>
        <v>0</v>
      </c>
      <c r="F26" s="3">
        <f>IFERROR('Incurred Loss'!F25/'Reported Count'!F25,"")</f>
        <v>0</v>
      </c>
      <c r="G26" s="3">
        <f>IFERROR('Incurred Loss'!G25/'Reported Count'!G25,"")</f>
        <v>0</v>
      </c>
      <c r="H26" s="3">
        <f>IFERROR('Incurred Loss'!H25/'Reported Count'!H25,"")</f>
        <v>0</v>
      </c>
      <c r="I26" s="3">
        <f>IFERROR('Incurred Loss'!I25/'Reported Count'!I25,"")</f>
        <v>0</v>
      </c>
      <c r="J26" s="3">
        <f>IFERROR('Incurred Loss'!J25/'Reported Count'!J25,"")</f>
        <v>0</v>
      </c>
      <c r="K26" s="3">
        <f>IFERROR('Incurred Loss'!K25/'Reported Count'!K25,"")</f>
        <v>0</v>
      </c>
      <c r="L26" s="3">
        <f>IFERROR('Incurred Loss'!L25/'Reported Count'!L25,"")</f>
        <v>0</v>
      </c>
      <c r="M26" s="3">
        <f>IFERROR('Incurred Loss'!M25/'Reported Count'!M25,"")</f>
        <v>0</v>
      </c>
      <c r="N26" s="3">
        <f>IFERROR('Incurred Loss'!N25/'Reported Count'!N25,"")</f>
        <v>0</v>
      </c>
      <c r="O26" s="3">
        <f>IFERROR('Incurred Loss'!O25/'Reported Count'!O25,"")</f>
        <v>0</v>
      </c>
      <c r="P26" s="3">
        <f>IFERROR('Incurred Loss'!P25/'Reported Count'!P25,"")</f>
        <v>0</v>
      </c>
      <c r="Q26" s="3">
        <f>IFERROR('Incurred Loss'!Q25/'Reported Count'!Q25,"")</f>
        <v>0</v>
      </c>
      <c r="R26" s="3">
        <f>IFERROR('Incurred Loss'!R25/'Reported Count'!R25,"")</f>
        <v>0</v>
      </c>
      <c r="S26" s="3">
        <f>IFERROR('Incurred Loss'!S25/'Reported Count'!S25,"")</f>
        <v>0</v>
      </c>
      <c r="T26" s="3">
        <f>IFERROR('Incurred Loss'!T25/'Reported Count'!T25,"")</f>
        <v>0</v>
      </c>
      <c r="U26" s="3">
        <f>IFERROR('Incurred Loss'!U25/'Reported Count'!U25,"")</f>
        <v>0</v>
      </c>
      <c r="V26" s="3">
        <f>IFERROR('Incurred Loss'!V25/'Reported Count'!V25,"")</f>
        <v>0</v>
      </c>
      <c r="W26" s="3">
        <f>IFERROR('Incurred Loss'!W25/'Reported Count'!W25,"")</f>
        <v>0</v>
      </c>
      <c r="X26" s="3">
        <f>IFERROR('Incurred Loss'!X25/'Reported Count'!X25,"")</f>
        <v>0</v>
      </c>
      <c r="Y26" s="3">
        <f>IFERROR('Incurred Loss'!Y25/'Reported Count'!Y25,"")</f>
        <v>0</v>
      </c>
    </row>
    <row r="28" spans="1:25">
      <c r="A28" s="14" t="s">
        <v>94</v>
      </c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</row>
    <row r="29" spans="1:25">
      <c r="A29" s="1" t="s">
        <v>0</v>
      </c>
      <c r="B29" s="1" t="s">
        <v>1</v>
      </c>
      <c r="C29" s="1" t="s">
        <v>2</v>
      </c>
      <c r="D29" s="1" t="s">
        <v>3</v>
      </c>
      <c r="E29" s="1" t="s">
        <v>4</v>
      </c>
      <c r="F29" s="1" t="s">
        <v>5</v>
      </c>
      <c r="G29" s="1" t="s">
        <v>6</v>
      </c>
      <c r="H29" s="1" t="s">
        <v>7</v>
      </c>
      <c r="I29" s="1" t="s">
        <v>8</v>
      </c>
      <c r="J29" s="1" t="s">
        <v>9</v>
      </c>
      <c r="K29" s="1" t="s">
        <v>10</v>
      </c>
      <c r="L29" s="1" t="s">
        <v>11</v>
      </c>
      <c r="M29" s="1" t="s">
        <v>12</v>
      </c>
      <c r="N29" s="1" t="s">
        <v>13</v>
      </c>
      <c r="O29" s="1" t="s">
        <v>14</v>
      </c>
      <c r="P29" s="1" t="s">
        <v>15</v>
      </c>
      <c r="Q29" s="1" t="s">
        <v>16</v>
      </c>
      <c r="R29" s="1" t="s">
        <v>17</v>
      </c>
      <c r="S29" s="1" t="s">
        <v>18</v>
      </c>
      <c r="T29" s="1" t="s">
        <v>19</v>
      </c>
      <c r="U29" s="1" t="s">
        <v>20</v>
      </c>
      <c r="V29" s="1" t="s">
        <v>21</v>
      </c>
      <c r="W29" s="1" t="s">
        <v>22</v>
      </c>
      <c r="X29" s="1" t="s">
        <v>23</v>
      </c>
      <c r="Y29" s="1" t="s">
        <v>24</v>
      </c>
    </row>
    <row r="30" spans="1:25">
      <c r="A30" s="2" t="s">
        <v>25</v>
      </c>
      <c r="B30" s="15">
        <f>IFERROR('Paid Loss'!B2/'Incurred Loss'!B2,"")</f>
        <v>0</v>
      </c>
      <c r="C30" s="15">
        <f>IFERROR('Paid Loss'!C2/'Incurred Loss'!C2,"")</f>
        <v>0</v>
      </c>
      <c r="D30" s="15">
        <f>IFERROR('Paid Loss'!D2/'Incurred Loss'!D2,"")</f>
        <v>0</v>
      </c>
      <c r="E30" s="15">
        <f>IFERROR('Paid Loss'!E2/'Incurred Loss'!E2,"")</f>
        <v>0</v>
      </c>
      <c r="F30" s="15">
        <f>IFERROR('Paid Loss'!F2/'Incurred Loss'!F2,"")</f>
        <v>0</v>
      </c>
      <c r="G30" s="15">
        <f>IFERROR('Paid Loss'!G2/'Incurred Loss'!G2,"")</f>
        <v>0</v>
      </c>
      <c r="H30" s="15">
        <f>IFERROR('Paid Loss'!H2/'Incurred Loss'!H2,"")</f>
        <v>0</v>
      </c>
      <c r="I30" s="15">
        <f>IFERROR('Paid Loss'!I2/'Incurred Loss'!I2,"")</f>
        <v>0</v>
      </c>
      <c r="J30" s="15">
        <f>IFERROR('Paid Loss'!J2/'Incurred Loss'!J2,"")</f>
        <v>0</v>
      </c>
      <c r="K30" s="15">
        <f>IFERROR('Paid Loss'!K2/'Incurred Loss'!K2,"")</f>
        <v>0</v>
      </c>
      <c r="L30" s="15">
        <f>IFERROR('Paid Loss'!L2/'Incurred Loss'!L2,"")</f>
        <v>0</v>
      </c>
      <c r="M30" s="15">
        <f>IFERROR('Paid Loss'!M2/'Incurred Loss'!M2,"")</f>
        <v>0</v>
      </c>
      <c r="N30" s="15">
        <f>IFERROR('Paid Loss'!N2/'Incurred Loss'!N2,"")</f>
        <v>0</v>
      </c>
      <c r="O30" s="15">
        <f>IFERROR('Paid Loss'!O2/'Incurred Loss'!O2,"")</f>
        <v>0</v>
      </c>
      <c r="P30" s="15">
        <f>IFERROR('Paid Loss'!P2/'Incurred Loss'!P2,"")</f>
        <v>0</v>
      </c>
      <c r="Q30" s="15">
        <f>IFERROR('Paid Loss'!Q2/'Incurred Loss'!Q2,"")</f>
        <v>0</v>
      </c>
      <c r="R30" s="15">
        <f>IFERROR('Paid Loss'!R2/'Incurred Loss'!R2,"")</f>
        <v>0</v>
      </c>
      <c r="S30" s="15">
        <f>IFERROR('Paid Loss'!S2/'Incurred Loss'!S2,"")</f>
        <v>0</v>
      </c>
      <c r="T30" s="15">
        <f>IFERROR('Paid Loss'!T2/'Incurred Loss'!T2,"")</f>
        <v>0</v>
      </c>
      <c r="U30" s="15">
        <f>IFERROR('Paid Loss'!U2/'Incurred Loss'!U2,"")</f>
        <v>0</v>
      </c>
      <c r="V30" s="15">
        <f>IFERROR('Paid Loss'!V2/'Incurred Loss'!V2,"")</f>
        <v>0</v>
      </c>
      <c r="W30" s="15">
        <f>IFERROR('Paid Loss'!W2/'Incurred Loss'!W2,"")</f>
        <v>0</v>
      </c>
      <c r="X30" s="15">
        <f>IFERROR('Paid Loss'!X2/'Incurred Loss'!X2,"")</f>
        <v>0</v>
      </c>
      <c r="Y30" s="15">
        <f>IFERROR('Paid Loss'!Y2/'Incurred Loss'!Y2,"")</f>
        <v>0</v>
      </c>
    </row>
    <row r="31" spans="1:25">
      <c r="A31" s="2" t="s">
        <v>26</v>
      </c>
      <c r="B31" s="15">
        <f>IFERROR('Paid Loss'!B3/'Incurred Loss'!B3,"")</f>
        <v>0</v>
      </c>
      <c r="C31" s="15">
        <f>IFERROR('Paid Loss'!C3/'Incurred Loss'!C3,"")</f>
        <v>0</v>
      </c>
      <c r="D31" s="15">
        <f>IFERROR('Paid Loss'!D3/'Incurred Loss'!D3,"")</f>
        <v>0</v>
      </c>
      <c r="E31" s="15">
        <f>IFERROR('Paid Loss'!E3/'Incurred Loss'!E3,"")</f>
        <v>0</v>
      </c>
      <c r="F31" s="15">
        <f>IFERROR('Paid Loss'!F3/'Incurred Loss'!F3,"")</f>
        <v>0</v>
      </c>
      <c r="G31" s="15">
        <f>IFERROR('Paid Loss'!G3/'Incurred Loss'!G3,"")</f>
        <v>0</v>
      </c>
      <c r="H31" s="15">
        <f>IFERROR('Paid Loss'!H3/'Incurred Loss'!H3,"")</f>
        <v>0</v>
      </c>
      <c r="I31" s="15">
        <f>IFERROR('Paid Loss'!I3/'Incurred Loss'!I3,"")</f>
        <v>0</v>
      </c>
      <c r="J31" s="15">
        <f>IFERROR('Paid Loss'!J3/'Incurred Loss'!J3,"")</f>
        <v>0</v>
      </c>
      <c r="K31" s="15">
        <f>IFERROR('Paid Loss'!K3/'Incurred Loss'!K3,"")</f>
        <v>0</v>
      </c>
      <c r="L31" s="15">
        <f>IFERROR('Paid Loss'!L3/'Incurred Loss'!L3,"")</f>
        <v>0</v>
      </c>
      <c r="M31" s="15">
        <f>IFERROR('Paid Loss'!M3/'Incurred Loss'!M3,"")</f>
        <v>0</v>
      </c>
      <c r="N31" s="15">
        <f>IFERROR('Paid Loss'!N3/'Incurred Loss'!N3,"")</f>
        <v>0</v>
      </c>
      <c r="O31" s="15">
        <f>IFERROR('Paid Loss'!O3/'Incurred Loss'!O3,"")</f>
        <v>0</v>
      </c>
      <c r="P31" s="15">
        <f>IFERROR('Paid Loss'!P3/'Incurred Loss'!P3,"")</f>
        <v>0</v>
      </c>
      <c r="Q31" s="15">
        <f>IFERROR('Paid Loss'!Q3/'Incurred Loss'!Q3,"")</f>
        <v>0</v>
      </c>
      <c r="R31" s="15">
        <f>IFERROR('Paid Loss'!R3/'Incurred Loss'!R3,"")</f>
        <v>0</v>
      </c>
      <c r="S31" s="15">
        <f>IFERROR('Paid Loss'!S3/'Incurred Loss'!S3,"")</f>
        <v>0</v>
      </c>
      <c r="T31" s="15">
        <f>IFERROR('Paid Loss'!T3/'Incurred Loss'!T3,"")</f>
        <v>0</v>
      </c>
      <c r="U31" s="15">
        <f>IFERROR('Paid Loss'!U3/'Incurred Loss'!U3,"")</f>
        <v>0</v>
      </c>
      <c r="V31" s="15">
        <f>IFERROR('Paid Loss'!V3/'Incurred Loss'!V3,"")</f>
        <v>0</v>
      </c>
      <c r="W31" s="15">
        <f>IFERROR('Paid Loss'!W3/'Incurred Loss'!W3,"")</f>
        <v>0</v>
      </c>
      <c r="X31" s="15">
        <f>IFERROR('Paid Loss'!X3/'Incurred Loss'!X3,"")</f>
        <v>0</v>
      </c>
      <c r="Y31" s="15">
        <f>IFERROR('Paid Loss'!Y3/'Incurred Loss'!Y3,"")</f>
        <v>0</v>
      </c>
    </row>
    <row r="32" spans="1:25">
      <c r="A32" s="2" t="s">
        <v>27</v>
      </c>
      <c r="B32" s="15">
        <f>IFERROR('Paid Loss'!B4/'Incurred Loss'!B4,"")</f>
        <v>0</v>
      </c>
      <c r="C32" s="15">
        <f>IFERROR('Paid Loss'!C4/'Incurred Loss'!C4,"")</f>
        <v>0</v>
      </c>
      <c r="D32" s="15">
        <f>IFERROR('Paid Loss'!D4/'Incurred Loss'!D4,"")</f>
        <v>0</v>
      </c>
      <c r="E32" s="15">
        <f>IFERROR('Paid Loss'!E4/'Incurred Loss'!E4,"")</f>
        <v>0</v>
      </c>
      <c r="F32" s="15">
        <f>IFERROR('Paid Loss'!F4/'Incurred Loss'!F4,"")</f>
        <v>0</v>
      </c>
      <c r="G32" s="15">
        <f>IFERROR('Paid Loss'!G4/'Incurred Loss'!G4,"")</f>
        <v>0</v>
      </c>
      <c r="H32" s="15">
        <f>IFERROR('Paid Loss'!H4/'Incurred Loss'!H4,"")</f>
        <v>0</v>
      </c>
      <c r="I32" s="15">
        <f>IFERROR('Paid Loss'!I4/'Incurred Loss'!I4,"")</f>
        <v>0</v>
      </c>
      <c r="J32" s="15">
        <f>IFERROR('Paid Loss'!J4/'Incurred Loss'!J4,"")</f>
        <v>0</v>
      </c>
      <c r="K32" s="15">
        <f>IFERROR('Paid Loss'!K4/'Incurred Loss'!K4,"")</f>
        <v>0</v>
      </c>
      <c r="L32" s="15">
        <f>IFERROR('Paid Loss'!L4/'Incurred Loss'!L4,"")</f>
        <v>0</v>
      </c>
      <c r="M32" s="15">
        <f>IFERROR('Paid Loss'!M4/'Incurred Loss'!M4,"")</f>
        <v>0</v>
      </c>
      <c r="N32" s="15">
        <f>IFERROR('Paid Loss'!N4/'Incurred Loss'!N4,"")</f>
        <v>0</v>
      </c>
      <c r="O32" s="15">
        <f>IFERROR('Paid Loss'!O4/'Incurred Loss'!O4,"")</f>
        <v>0</v>
      </c>
      <c r="P32" s="15">
        <f>IFERROR('Paid Loss'!P4/'Incurred Loss'!P4,"")</f>
        <v>0</v>
      </c>
      <c r="Q32" s="15">
        <f>IFERROR('Paid Loss'!Q4/'Incurred Loss'!Q4,"")</f>
        <v>0</v>
      </c>
      <c r="R32" s="15">
        <f>IFERROR('Paid Loss'!R4/'Incurred Loss'!R4,"")</f>
        <v>0</v>
      </c>
      <c r="S32" s="15">
        <f>IFERROR('Paid Loss'!S4/'Incurred Loss'!S4,"")</f>
        <v>0</v>
      </c>
      <c r="T32" s="15">
        <f>IFERROR('Paid Loss'!T4/'Incurred Loss'!T4,"")</f>
        <v>0</v>
      </c>
      <c r="U32" s="15">
        <f>IFERROR('Paid Loss'!U4/'Incurred Loss'!U4,"")</f>
        <v>0</v>
      </c>
      <c r="V32" s="15">
        <f>IFERROR('Paid Loss'!V4/'Incurred Loss'!V4,"")</f>
        <v>0</v>
      </c>
      <c r="W32" s="15">
        <f>IFERROR('Paid Loss'!W4/'Incurred Loss'!W4,"")</f>
        <v>0</v>
      </c>
      <c r="X32" s="15">
        <f>IFERROR('Paid Loss'!X4/'Incurred Loss'!X4,"")</f>
        <v>0</v>
      </c>
      <c r="Y32" s="15">
        <f>IFERROR('Paid Loss'!Y4/'Incurred Loss'!Y4,"")</f>
        <v>0</v>
      </c>
    </row>
    <row r="33" spans="1:25">
      <c r="A33" s="2" t="s">
        <v>28</v>
      </c>
      <c r="B33" s="15">
        <f>IFERROR('Paid Loss'!B5/'Incurred Loss'!B5,"")</f>
        <v>0</v>
      </c>
      <c r="C33" s="15">
        <f>IFERROR('Paid Loss'!C5/'Incurred Loss'!C5,"")</f>
        <v>0</v>
      </c>
      <c r="D33" s="15">
        <f>IFERROR('Paid Loss'!D5/'Incurred Loss'!D5,"")</f>
        <v>0</v>
      </c>
      <c r="E33" s="15">
        <f>IFERROR('Paid Loss'!E5/'Incurred Loss'!E5,"")</f>
        <v>0</v>
      </c>
      <c r="F33" s="15">
        <f>IFERROR('Paid Loss'!F5/'Incurred Loss'!F5,"")</f>
        <v>0</v>
      </c>
      <c r="G33" s="15">
        <f>IFERROR('Paid Loss'!G5/'Incurred Loss'!G5,"")</f>
        <v>0</v>
      </c>
      <c r="H33" s="15">
        <f>IFERROR('Paid Loss'!H5/'Incurred Loss'!H5,"")</f>
        <v>0</v>
      </c>
      <c r="I33" s="15">
        <f>IFERROR('Paid Loss'!I5/'Incurred Loss'!I5,"")</f>
        <v>0</v>
      </c>
      <c r="J33" s="15">
        <f>IFERROR('Paid Loss'!J5/'Incurred Loss'!J5,"")</f>
        <v>0</v>
      </c>
      <c r="K33" s="15">
        <f>IFERROR('Paid Loss'!K5/'Incurred Loss'!K5,"")</f>
        <v>0</v>
      </c>
      <c r="L33" s="15">
        <f>IFERROR('Paid Loss'!L5/'Incurred Loss'!L5,"")</f>
        <v>0</v>
      </c>
      <c r="M33" s="15">
        <f>IFERROR('Paid Loss'!M5/'Incurred Loss'!M5,"")</f>
        <v>0</v>
      </c>
      <c r="N33" s="15">
        <f>IFERROR('Paid Loss'!N5/'Incurred Loss'!N5,"")</f>
        <v>0</v>
      </c>
      <c r="O33" s="15">
        <f>IFERROR('Paid Loss'!O5/'Incurred Loss'!O5,"")</f>
        <v>0</v>
      </c>
      <c r="P33" s="15">
        <f>IFERROR('Paid Loss'!P5/'Incurred Loss'!P5,"")</f>
        <v>0</v>
      </c>
      <c r="Q33" s="15">
        <f>IFERROR('Paid Loss'!Q5/'Incurred Loss'!Q5,"")</f>
        <v>0</v>
      </c>
      <c r="R33" s="15">
        <f>IFERROR('Paid Loss'!R5/'Incurred Loss'!R5,"")</f>
        <v>0</v>
      </c>
      <c r="S33" s="15">
        <f>IFERROR('Paid Loss'!S5/'Incurred Loss'!S5,"")</f>
        <v>0</v>
      </c>
      <c r="T33" s="15">
        <f>IFERROR('Paid Loss'!T5/'Incurred Loss'!T5,"")</f>
        <v>0</v>
      </c>
      <c r="U33" s="15">
        <f>IFERROR('Paid Loss'!U5/'Incurred Loss'!U5,"")</f>
        <v>0</v>
      </c>
      <c r="V33" s="15">
        <f>IFERROR('Paid Loss'!V5/'Incurred Loss'!V5,"")</f>
        <v>0</v>
      </c>
      <c r="W33" s="15">
        <f>IFERROR('Paid Loss'!W5/'Incurred Loss'!W5,"")</f>
        <v>0</v>
      </c>
      <c r="X33" s="15">
        <f>IFERROR('Paid Loss'!X5/'Incurred Loss'!X5,"")</f>
        <v>0</v>
      </c>
      <c r="Y33" s="15">
        <f>IFERROR('Paid Loss'!Y5/'Incurred Loss'!Y5,"")</f>
        <v>0</v>
      </c>
    </row>
    <row r="34" spans="1:25">
      <c r="A34" s="2" t="s">
        <v>29</v>
      </c>
      <c r="B34" s="15">
        <f>IFERROR('Paid Loss'!B6/'Incurred Loss'!B6,"")</f>
        <v>0</v>
      </c>
      <c r="C34" s="15">
        <f>IFERROR('Paid Loss'!C6/'Incurred Loss'!C6,"")</f>
        <v>0</v>
      </c>
      <c r="D34" s="15">
        <f>IFERROR('Paid Loss'!D6/'Incurred Loss'!D6,"")</f>
        <v>0</v>
      </c>
      <c r="E34" s="15">
        <f>IFERROR('Paid Loss'!E6/'Incurred Loss'!E6,"")</f>
        <v>0</v>
      </c>
      <c r="F34" s="15">
        <f>IFERROR('Paid Loss'!F6/'Incurred Loss'!F6,"")</f>
        <v>0</v>
      </c>
      <c r="G34" s="15">
        <f>IFERROR('Paid Loss'!G6/'Incurred Loss'!G6,"")</f>
        <v>0</v>
      </c>
      <c r="H34" s="15">
        <f>IFERROR('Paid Loss'!H6/'Incurred Loss'!H6,"")</f>
        <v>0</v>
      </c>
      <c r="I34" s="15">
        <f>IFERROR('Paid Loss'!I6/'Incurred Loss'!I6,"")</f>
        <v>0</v>
      </c>
      <c r="J34" s="15">
        <f>IFERROR('Paid Loss'!J6/'Incurred Loss'!J6,"")</f>
        <v>0</v>
      </c>
      <c r="K34" s="15">
        <f>IFERROR('Paid Loss'!K6/'Incurred Loss'!K6,"")</f>
        <v>0</v>
      </c>
      <c r="L34" s="15">
        <f>IFERROR('Paid Loss'!L6/'Incurred Loss'!L6,"")</f>
        <v>0</v>
      </c>
      <c r="M34" s="15">
        <f>IFERROR('Paid Loss'!M6/'Incurred Loss'!M6,"")</f>
        <v>0</v>
      </c>
      <c r="N34" s="15">
        <f>IFERROR('Paid Loss'!N6/'Incurred Loss'!N6,"")</f>
        <v>0</v>
      </c>
      <c r="O34" s="15">
        <f>IFERROR('Paid Loss'!O6/'Incurred Loss'!O6,"")</f>
        <v>0</v>
      </c>
      <c r="P34" s="15">
        <f>IFERROR('Paid Loss'!P6/'Incurred Loss'!P6,"")</f>
        <v>0</v>
      </c>
      <c r="Q34" s="15">
        <f>IFERROR('Paid Loss'!Q6/'Incurred Loss'!Q6,"")</f>
        <v>0</v>
      </c>
      <c r="R34" s="15">
        <f>IFERROR('Paid Loss'!R6/'Incurred Loss'!R6,"")</f>
        <v>0</v>
      </c>
      <c r="S34" s="15">
        <f>IFERROR('Paid Loss'!S6/'Incurred Loss'!S6,"")</f>
        <v>0</v>
      </c>
      <c r="T34" s="15">
        <f>IFERROR('Paid Loss'!T6/'Incurred Loss'!T6,"")</f>
        <v>0</v>
      </c>
      <c r="U34" s="15">
        <f>IFERROR('Paid Loss'!U6/'Incurred Loss'!U6,"")</f>
        <v>0</v>
      </c>
      <c r="V34" s="15">
        <f>IFERROR('Paid Loss'!V6/'Incurred Loss'!V6,"")</f>
        <v>0</v>
      </c>
      <c r="W34" s="15">
        <f>IFERROR('Paid Loss'!W6/'Incurred Loss'!W6,"")</f>
        <v>0</v>
      </c>
      <c r="X34" s="15">
        <f>IFERROR('Paid Loss'!X6/'Incurred Loss'!X6,"")</f>
        <v>0</v>
      </c>
      <c r="Y34" s="15">
        <f>IFERROR('Paid Loss'!Y6/'Incurred Loss'!Y6,"")</f>
        <v>0</v>
      </c>
    </row>
    <row r="35" spans="1:25">
      <c r="A35" s="2" t="s">
        <v>30</v>
      </c>
      <c r="B35" s="15">
        <f>IFERROR('Paid Loss'!B7/'Incurred Loss'!B7,"")</f>
        <v>0</v>
      </c>
      <c r="C35" s="15">
        <f>IFERROR('Paid Loss'!C7/'Incurred Loss'!C7,"")</f>
        <v>0</v>
      </c>
      <c r="D35" s="15">
        <f>IFERROR('Paid Loss'!D7/'Incurred Loss'!D7,"")</f>
        <v>0</v>
      </c>
      <c r="E35" s="15">
        <f>IFERROR('Paid Loss'!E7/'Incurred Loss'!E7,"")</f>
        <v>0</v>
      </c>
      <c r="F35" s="15">
        <f>IFERROR('Paid Loss'!F7/'Incurred Loss'!F7,"")</f>
        <v>0</v>
      </c>
      <c r="G35" s="15">
        <f>IFERROR('Paid Loss'!G7/'Incurred Loss'!G7,"")</f>
        <v>0</v>
      </c>
      <c r="H35" s="15">
        <f>IFERROR('Paid Loss'!H7/'Incurred Loss'!H7,"")</f>
        <v>0</v>
      </c>
      <c r="I35" s="15">
        <f>IFERROR('Paid Loss'!I7/'Incurred Loss'!I7,"")</f>
        <v>0</v>
      </c>
      <c r="J35" s="15">
        <f>IFERROR('Paid Loss'!J7/'Incurred Loss'!J7,"")</f>
        <v>0</v>
      </c>
      <c r="K35" s="15">
        <f>IFERROR('Paid Loss'!K7/'Incurred Loss'!K7,"")</f>
        <v>0</v>
      </c>
      <c r="L35" s="15">
        <f>IFERROR('Paid Loss'!L7/'Incurred Loss'!L7,"")</f>
        <v>0</v>
      </c>
      <c r="M35" s="15">
        <f>IFERROR('Paid Loss'!M7/'Incurred Loss'!M7,"")</f>
        <v>0</v>
      </c>
      <c r="N35" s="15">
        <f>IFERROR('Paid Loss'!N7/'Incurred Loss'!N7,"")</f>
        <v>0</v>
      </c>
      <c r="O35" s="15">
        <f>IFERROR('Paid Loss'!O7/'Incurred Loss'!O7,"")</f>
        <v>0</v>
      </c>
      <c r="P35" s="15">
        <f>IFERROR('Paid Loss'!P7/'Incurred Loss'!P7,"")</f>
        <v>0</v>
      </c>
      <c r="Q35" s="15">
        <f>IFERROR('Paid Loss'!Q7/'Incurred Loss'!Q7,"")</f>
        <v>0</v>
      </c>
      <c r="R35" s="15">
        <f>IFERROR('Paid Loss'!R7/'Incurred Loss'!R7,"")</f>
        <v>0</v>
      </c>
      <c r="S35" s="15">
        <f>IFERROR('Paid Loss'!S7/'Incurred Loss'!S7,"")</f>
        <v>0</v>
      </c>
      <c r="T35" s="15">
        <f>IFERROR('Paid Loss'!T7/'Incurred Loss'!T7,"")</f>
        <v>0</v>
      </c>
      <c r="U35" s="15">
        <f>IFERROR('Paid Loss'!U7/'Incurred Loss'!U7,"")</f>
        <v>0</v>
      </c>
      <c r="V35" s="15">
        <f>IFERROR('Paid Loss'!V7/'Incurred Loss'!V7,"")</f>
        <v>0</v>
      </c>
      <c r="W35" s="15">
        <f>IFERROR('Paid Loss'!W7/'Incurred Loss'!W7,"")</f>
        <v>0</v>
      </c>
      <c r="X35" s="15">
        <f>IFERROR('Paid Loss'!X7/'Incurred Loss'!X7,"")</f>
        <v>0</v>
      </c>
      <c r="Y35" s="15">
        <f>IFERROR('Paid Loss'!Y7/'Incurred Loss'!Y7,"")</f>
        <v>0</v>
      </c>
    </row>
    <row r="36" spans="1:25">
      <c r="A36" s="2" t="s">
        <v>31</v>
      </c>
      <c r="B36" s="15">
        <f>IFERROR('Paid Loss'!B8/'Incurred Loss'!B8,"")</f>
        <v>0</v>
      </c>
      <c r="C36" s="15">
        <f>IFERROR('Paid Loss'!C8/'Incurred Loss'!C8,"")</f>
        <v>0</v>
      </c>
      <c r="D36" s="15">
        <f>IFERROR('Paid Loss'!D8/'Incurred Loss'!D8,"")</f>
        <v>0</v>
      </c>
      <c r="E36" s="15">
        <f>IFERROR('Paid Loss'!E8/'Incurred Loss'!E8,"")</f>
        <v>0</v>
      </c>
      <c r="F36" s="15">
        <f>IFERROR('Paid Loss'!F8/'Incurred Loss'!F8,"")</f>
        <v>0</v>
      </c>
      <c r="G36" s="15">
        <f>IFERROR('Paid Loss'!G8/'Incurred Loss'!G8,"")</f>
        <v>0</v>
      </c>
      <c r="H36" s="15">
        <f>IFERROR('Paid Loss'!H8/'Incurred Loss'!H8,"")</f>
        <v>0</v>
      </c>
      <c r="I36" s="15">
        <f>IFERROR('Paid Loss'!I8/'Incurred Loss'!I8,"")</f>
        <v>0</v>
      </c>
      <c r="J36" s="15">
        <f>IFERROR('Paid Loss'!J8/'Incurred Loss'!J8,"")</f>
        <v>0</v>
      </c>
      <c r="K36" s="15">
        <f>IFERROR('Paid Loss'!K8/'Incurred Loss'!K8,"")</f>
        <v>0</v>
      </c>
      <c r="L36" s="15">
        <f>IFERROR('Paid Loss'!L8/'Incurred Loss'!L8,"")</f>
        <v>0</v>
      </c>
      <c r="M36" s="15">
        <f>IFERROR('Paid Loss'!M8/'Incurred Loss'!M8,"")</f>
        <v>0</v>
      </c>
      <c r="N36" s="15">
        <f>IFERROR('Paid Loss'!N8/'Incurred Loss'!N8,"")</f>
        <v>0</v>
      </c>
      <c r="O36" s="15">
        <f>IFERROR('Paid Loss'!O8/'Incurred Loss'!O8,"")</f>
        <v>0</v>
      </c>
      <c r="P36" s="15">
        <f>IFERROR('Paid Loss'!P8/'Incurred Loss'!P8,"")</f>
        <v>0</v>
      </c>
      <c r="Q36" s="15">
        <f>IFERROR('Paid Loss'!Q8/'Incurred Loss'!Q8,"")</f>
        <v>0</v>
      </c>
      <c r="R36" s="15">
        <f>IFERROR('Paid Loss'!R8/'Incurred Loss'!R8,"")</f>
        <v>0</v>
      </c>
      <c r="S36" s="15">
        <f>IFERROR('Paid Loss'!S8/'Incurred Loss'!S8,"")</f>
        <v>0</v>
      </c>
      <c r="T36" s="15">
        <f>IFERROR('Paid Loss'!T8/'Incurred Loss'!T8,"")</f>
        <v>0</v>
      </c>
      <c r="U36" s="15">
        <f>IFERROR('Paid Loss'!U8/'Incurred Loss'!U8,"")</f>
        <v>0</v>
      </c>
      <c r="V36" s="15">
        <f>IFERROR('Paid Loss'!V8/'Incurred Loss'!V8,"")</f>
        <v>0</v>
      </c>
      <c r="W36" s="15">
        <f>IFERROR('Paid Loss'!W8/'Incurred Loss'!W8,"")</f>
        <v>0</v>
      </c>
      <c r="X36" s="15">
        <f>IFERROR('Paid Loss'!X8/'Incurred Loss'!X8,"")</f>
        <v>0</v>
      </c>
      <c r="Y36" s="15">
        <f>IFERROR('Paid Loss'!Y8/'Incurred Loss'!Y8,"")</f>
        <v>0</v>
      </c>
    </row>
    <row r="37" spans="1:25">
      <c r="A37" s="2" t="s">
        <v>32</v>
      </c>
      <c r="B37" s="15">
        <f>IFERROR('Paid Loss'!B9/'Incurred Loss'!B9,"")</f>
        <v>0</v>
      </c>
      <c r="C37" s="15">
        <f>IFERROR('Paid Loss'!C9/'Incurred Loss'!C9,"")</f>
        <v>0</v>
      </c>
      <c r="D37" s="15">
        <f>IFERROR('Paid Loss'!D9/'Incurred Loss'!D9,"")</f>
        <v>0</v>
      </c>
      <c r="E37" s="15">
        <f>IFERROR('Paid Loss'!E9/'Incurred Loss'!E9,"")</f>
        <v>0</v>
      </c>
      <c r="F37" s="15">
        <f>IFERROR('Paid Loss'!F9/'Incurred Loss'!F9,"")</f>
        <v>0</v>
      </c>
      <c r="G37" s="15">
        <f>IFERROR('Paid Loss'!G9/'Incurred Loss'!G9,"")</f>
        <v>0</v>
      </c>
      <c r="H37" s="15">
        <f>IFERROR('Paid Loss'!H9/'Incurred Loss'!H9,"")</f>
        <v>0</v>
      </c>
      <c r="I37" s="15">
        <f>IFERROR('Paid Loss'!I9/'Incurred Loss'!I9,"")</f>
        <v>0</v>
      </c>
      <c r="J37" s="15">
        <f>IFERROR('Paid Loss'!J9/'Incurred Loss'!J9,"")</f>
        <v>0</v>
      </c>
      <c r="K37" s="15">
        <f>IFERROR('Paid Loss'!K9/'Incurred Loss'!K9,"")</f>
        <v>0</v>
      </c>
      <c r="L37" s="15">
        <f>IFERROR('Paid Loss'!L9/'Incurred Loss'!L9,"")</f>
        <v>0</v>
      </c>
      <c r="M37" s="15">
        <f>IFERROR('Paid Loss'!M9/'Incurred Loss'!M9,"")</f>
        <v>0</v>
      </c>
      <c r="N37" s="15">
        <f>IFERROR('Paid Loss'!N9/'Incurred Loss'!N9,"")</f>
        <v>0</v>
      </c>
      <c r="O37" s="15">
        <f>IFERROR('Paid Loss'!O9/'Incurred Loss'!O9,"")</f>
        <v>0</v>
      </c>
      <c r="P37" s="15">
        <f>IFERROR('Paid Loss'!P9/'Incurred Loss'!P9,"")</f>
        <v>0</v>
      </c>
      <c r="Q37" s="15">
        <f>IFERROR('Paid Loss'!Q9/'Incurred Loss'!Q9,"")</f>
        <v>0</v>
      </c>
      <c r="R37" s="15">
        <f>IFERROR('Paid Loss'!R9/'Incurred Loss'!R9,"")</f>
        <v>0</v>
      </c>
      <c r="S37" s="15">
        <f>IFERROR('Paid Loss'!S9/'Incurred Loss'!S9,"")</f>
        <v>0</v>
      </c>
      <c r="T37" s="15">
        <f>IFERROR('Paid Loss'!T9/'Incurred Loss'!T9,"")</f>
        <v>0</v>
      </c>
      <c r="U37" s="15">
        <f>IFERROR('Paid Loss'!U9/'Incurred Loss'!U9,"")</f>
        <v>0</v>
      </c>
      <c r="V37" s="15">
        <f>IFERROR('Paid Loss'!V9/'Incurred Loss'!V9,"")</f>
        <v>0</v>
      </c>
      <c r="W37" s="15">
        <f>IFERROR('Paid Loss'!W9/'Incurred Loss'!W9,"")</f>
        <v>0</v>
      </c>
      <c r="X37" s="15">
        <f>IFERROR('Paid Loss'!X9/'Incurred Loss'!X9,"")</f>
        <v>0</v>
      </c>
      <c r="Y37" s="15">
        <f>IFERROR('Paid Loss'!Y9/'Incurred Loss'!Y9,"")</f>
        <v>0</v>
      </c>
    </row>
    <row r="38" spans="1:25">
      <c r="A38" s="2" t="s">
        <v>33</v>
      </c>
      <c r="B38" s="15">
        <f>IFERROR('Paid Loss'!B10/'Incurred Loss'!B10,"")</f>
        <v>0</v>
      </c>
      <c r="C38" s="15">
        <f>IFERROR('Paid Loss'!C10/'Incurred Loss'!C10,"")</f>
        <v>0</v>
      </c>
      <c r="D38" s="15">
        <f>IFERROR('Paid Loss'!D10/'Incurred Loss'!D10,"")</f>
        <v>0</v>
      </c>
      <c r="E38" s="15">
        <f>IFERROR('Paid Loss'!E10/'Incurred Loss'!E10,"")</f>
        <v>0</v>
      </c>
      <c r="F38" s="15">
        <f>IFERROR('Paid Loss'!F10/'Incurred Loss'!F10,"")</f>
        <v>0</v>
      </c>
      <c r="G38" s="15">
        <f>IFERROR('Paid Loss'!G10/'Incurred Loss'!G10,"")</f>
        <v>0</v>
      </c>
      <c r="H38" s="15">
        <f>IFERROR('Paid Loss'!H10/'Incurred Loss'!H10,"")</f>
        <v>0</v>
      </c>
      <c r="I38" s="15">
        <f>IFERROR('Paid Loss'!I10/'Incurred Loss'!I10,"")</f>
        <v>0</v>
      </c>
      <c r="J38" s="15">
        <f>IFERROR('Paid Loss'!J10/'Incurred Loss'!J10,"")</f>
        <v>0</v>
      </c>
      <c r="K38" s="15">
        <f>IFERROR('Paid Loss'!K10/'Incurred Loss'!K10,"")</f>
        <v>0</v>
      </c>
      <c r="L38" s="15">
        <f>IFERROR('Paid Loss'!L10/'Incurred Loss'!L10,"")</f>
        <v>0</v>
      </c>
      <c r="M38" s="15">
        <f>IFERROR('Paid Loss'!M10/'Incurred Loss'!M10,"")</f>
        <v>0</v>
      </c>
      <c r="N38" s="15">
        <f>IFERROR('Paid Loss'!N10/'Incurred Loss'!N10,"")</f>
        <v>0</v>
      </c>
      <c r="O38" s="15">
        <f>IFERROR('Paid Loss'!O10/'Incurred Loss'!O10,"")</f>
        <v>0</v>
      </c>
      <c r="P38" s="15">
        <f>IFERROR('Paid Loss'!P10/'Incurred Loss'!P10,"")</f>
        <v>0</v>
      </c>
      <c r="Q38" s="15">
        <f>IFERROR('Paid Loss'!Q10/'Incurred Loss'!Q10,"")</f>
        <v>0</v>
      </c>
      <c r="R38" s="15">
        <f>IFERROR('Paid Loss'!R10/'Incurred Loss'!R10,"")</f>
        <v>0</v>
      </c>
      <c r="S38" s="15">
        <f>IFERROR('Paid Loss'!S10/'Incurred Loss'!S10,"")</f>
        <v>0</v>
      </c>
      <c r="T38" s="15">
        <f>IFERROR('Paid Loss'!T10/'Incurred Loss'!T10,"")</f>
        <v>0</v>
      </c>
      <c r="U38" s="15">
        <f>IFERROR('Paid Loss'!U10/'Incurred Loss'!U10,"")</f>
        <v>0</v>
      </c>
      <c r="V38" s="15">
        <f>IFERROR('Paid Loss'!V10/'Incurred Loss'!V10,"")</f>
        <v>0</v>
      </c>
      <c r="W38" s="15">
        <f>IFERROR('Paid Loss'!W10/'Incurred Loss'!W10,"")</f>
        <v>0</v>
      </c>
      <c r="X38" s="15">
        <f>IFERROR('Paid Loss'!X10/'Incurred Loss'!X10,"")</f>
        <v>0</v>
      </c>
      <c r="Y38" s="15">
        <f>IFERROR('Paid Loss'!Y10/'Incurred Loss'!Y10,"")</f>
        <v>0</v>
      </c>
    </row>
    <row r="39" spans="1:25">
      <c r="A39" s="2" t="s">
        <v>34</v>
      </c>
      <c r="B39" s="15">
        <f>IFERROR('Paid Loss'!B11/'Incurred Loss'!B11,"")</f>
        <v>0</v>
      </c>
      <c r="C39" s="15">
        <f>IFERROR('Paid Loss'!C11/'Incurred Loss'!C11,"")</f>
        <v>0</v>
      </c>
      <c r="D39" s="15">
        <f>IFERROR('Paid Loss'!D11/'Incurred Loss'!D11,"")</f>
        <v>0</v>
      </c>
      <c r="E39" s="15">
        <f>IFERROR('Paid Loss'!E11/'Incurred Loss'!E11,"")</f>
        <v>0</v>
      </c>
      <c r="F39" s="15">
        <f>IFERROR('Paid Loss'!F11/'Incurred Loss'!F11,"")</f>
        <v>0</v>
      </c>
      <c r="G39" s="15">
        <f>IFERROR('Paid Loss'!G11/'Incurred Loss'!G11,"")</f>
        <v>0</v>
      </c>
      <c r="H39" s="15">
        <f>IFERROR('Paid Loss'!H11/'Incurred Loss'!H11,"")</f>
        <v>0</v>
      </c>
      <c r="I39" s="15">
        <f>IFERROR('Paid Loss'!I11/'Incurred Loss'!I11,"")</f>
        <v>0</v>
      </c>
      <c r="J39" s="15">
        <f>IFERROR('Paid Loss'!J11/'Incurred Loss'!J11,"")</f>
        <v>0</v>
      </c>
      <c r="K39" s="15">
        <f>IFERROR('Paid Loss'!K11/'Incurred Loss'!K11,"")</f>
        <v>0</v>
      </c>
      <c r="L39" s="15">
        <f>IFERROR('Paid Loss'!L11/'Incurred Loss'!L11,"")</f>
        <v>0</v>
      </c>
      <c r="M39" s="15">
        <f>IFERROR('Paid Loss'!M11/'Incurred Loss'!M11,"")</f>
        <v>0</v>
      </c>
      <c r="N39" s="15">
        <f>IFERROR('Paid Loss'!N11/'Incurred Loss'!N11,"")</f>
        <v>0</v>
      </c>
      <c r="O39" s="15">
        <f>IFERROR('Paid Loss'!O11/'Incurred Loss'!O11,"")</f>
        <v>0</v>
      </c>
      <c r="P39" s="15">
        <f>IFERROR('Paid Loss'!P11/'Incurred Loss'!P11,"")</f>
        <v>0</v>
      </c>
      <c r="Q39" s="15">
        <f>IFERROR('Paid Loss'!Q11/'Incurred Loss'!Q11,"")</f>
        <v>0</v>
      </c>
      <c r="R39" s="15">
        <f>IFERROR('Paid Loss'!R11/'Incurred Loss'!R11,"")</f>
        <v>0</v>
      </c>
      <c r="S39" s="15">
        <f>IFERROR('Paid Loss'!S11/'Incurred Loss'!S11,"")</f>
        <v>0</v>
      </c>
      <c r="T39" s="15">
        <f>IFERROR('Paid Loss'!T11/'Incurred Loss'!T11,"")</f>
        <v>0</v>
      </c>
      <c r="U39" s="15">
        <f>IFERROR('Paid Loss'!U11/'Incurred Loss'!U11,"")</f>
        <v>0</v>
      </c>
      <c r="V39" s="15">
        <f>IFERROR('Paid Loss'!V11/'Incurred Loss'!V11,"")</f>
        <v>0</v>
      </c>
      <c r="W39" s="15">
        <f>IFERROR('Paid Loss'!W11/'Incurred Loss'!W11,"")</f>
        <v>0</v>
      </c>
      <c r="X39" s="15">
        <f>IFERROR('Paid Loss'!X11/'Incurred Loss'!X11,"")</f>
        <v>0</v>
      </c>
      <c r="Y39" s="15">
        <f>IFERROR('Paid Loss'!Y11/'Incurred Loss'!Y11,"")</f>
        <v>0</v>
      </c>
    </row>
    <row r="40" spans="1:25">
      <c r="A40" s="2" t="s">
        <v>35</v>
      </c>
      <c r="B40" s="15">
        <f>IFERROR('Paid Loss'!B12/'Incurred Loss'!B12,"")</f>
        <v>0</v>
      </c>
      <c r="C40" s="15">
        <f>IFERROR('Paid Loss'!C12/'Incurred Loss'!C12,"")</f>
        <v>0</v>
      </c>
      <c r="D40" s="15">
        <f>IFERROR('Paid Loss'!D12/'Incurred Loss'!D12,"")</f>
        <v>0</v>
      </c>
      <c r="E40" s="15">
        <f>IFERROR('Paid Loss'!E12/'Incurred Loss'!E12,"")</f>
        <v>0</v>
      </c>
      <c r="F40" s="15">
        <f>IFERROR('Paid Loss'!F12/'Incurred Loss'!F12,"")</f>
        <v>0</v>
      </c>
      <c r="G40" s="15">
        <f>IFERROR('Paid Loss'!G12/'Incurred Loss'!G12,"")</f>
        <v>0</v>
      </c>
      <c r="H40" s="15">
        <f>IFERROR('Paid Loss'!H12/'Incurred Loss'!H12,"")</f>
        <v>0</v>
      </c>
      <c r="I40" s="15">
        <f>IFERROR('Paid Loss'!I12/'Incurred Loss'!I12,"")</f>
        <v>0</v>
      </c>
      <c r="J40" s="15">
        <f>IFERROR('Paid Loss'!J12/'Incurred Loss'!J12,"")</f>
        <v>0</v>
      </c>
      <c r="K40" s="15">
        <f>IFERROR('Paid Loss'!K12/'Incurred Loss'!K12,"")</f>
        <v>0</v>
      </c>
      <c r="L40" s="15">
        <f>IFERROR('Paid Loss'!L12/'Incurred Loss'!L12,"")</f>
        <v>0</v>
      </c>
      <c r="M40" s="15">
        <f>IFERROR('Paid Loss'!M12/'Incurred Loss'!M12,"")</f>
        <v>0</v>
      </c>
      <c r="N40" s="15">
        <f>IFERROR('Paid Loss'!N12/'Incurred Loss'!N12,"")</f>
        <v>0</v>
      </c>
      <c r="O40" s="15">
        <f>IFERROR('Paid Loss'!O12/'Incurred Loss'!O12,"")</f>
        <v>0</v>
      </c>
      <c r="P40" s="15">
        <f>IFERROR('Paid Loss'!P12/'Incurred Loss'!P12,"")</f>
        <v>0</v>
      </c>
      <c r="Q40" s="15">
        <f>IFERROR('Paid Loss'!Q12/'Incurred Loss'!Q12,"")</f>
        <v>0</v>
      </c>
      <c r="R40" s="15">
        <f>IFERROR('Paid Loss'!R12/'Incurred Loss'!R12,"")</f>
        <v>0</v>
      </c>
      <c r="S40" s="15">
        <f>IFERROR('Paid Loss'!S12/'Incurred Loss'!S12,"")</f>
        <v>0</v>
      </c>
      <c r="T40" s="15">
        <f>IFERROR('Paid Loss'!T12/'Incurred Loss'!T12,"")</f>
        <v>0</v>
      </c>
      <c r="U40" s="15">
        <f>IFERROR('Paid Loss'!U12/'Incurred Loss'!U12,"")</f>
        <v>0</v>
      </c>
      <c r="V40" s="15">
        <f>IFERROR('Paid Loss'!V12/'Incurred Loss'!V12,"")</f>
        <v>0</v>
      </c>
      <c r="W40" s="15">
        <f>IFERROR('Paid Loss'!W12/'Incurred Loss'!W12,"")</f>
        <v>0</v>
      </c>
      <c r="X40" s="15">
        <f>IFERROR('Paid Loss'!X12/'Incurred Loss'!X12,"")</f>
        <v>0</v>
      </c>
      <c r="Y40" s="15">
        <f>IFERROR('Paid Loss'!Y12/'Incurred Loss'!Y12,"")</f>
        <v>0</v>
      </c>
    </row>
    <row r="41" spans="1:25">
      <c r="A41" s="2" t="s">
        <v>36</v>
      </c>
      <c r="B41" s="15">
        <f>IFERROR('Paid Loss'!B13/'Incurred Loss'!B13,"")</f>
        <v>0</v>
      </c>
      <c r="C41" s="15">
        <f>IFERROR('Paid Loss'!C13/'Incurred Loss'!C13,"")</f>
        <v>0</v>
      </c>
      <c r="D41" s="15">
        <f>IFERROR('Paid Loss'!D13/'Incurred Loss'!D13,"")</f>
        <v>0</v>
      </c>
      <c r="E41" s="15">
        <f>IFERROR('Paid Loss'!E13/'Incurred Loss'!E13,"")</f>
        <v>0</v>
      </c>
      <c r="F41" s="15">
        <f>IFERROR('Paid Loss'!F13/'Incurred Loss'!F13,"")</f>
        <v>0</v>
      </c>
      <c r="G41" s="15">
        <f>IFERROR('Paid Loss'!G13/'Incurred Loss'!G13,"")</f>
        <v>0</v>
      </c>
      <c r="H41" s="15">
        <f>IFERROR('Paid Loss'!H13/'Incurred Loss'!H13,"")</f>
        <v>0</v>
      </c>
      <c r="I41" s="15">
        <f>IFERROR('Paid Loss'!I13/'Incurred Loss'!I13,"")</f>
        <v>0</v>
      </c>
      <c r="J41" s="15">
        <f>IFERROR('Paid Loss'!J13/'Incurred Loss'!J13,"")</f>
        <v>0</v>
      </c>
      <c r="K41" s="15">
        <f>IFERROR('Paid Loss'!K13/'Incurred Loss'!K13,"")</f>
        <v>0</v>
      </c>
      <c r="L41" s="15">
        <f>IFERROR('Paid Loss'!L13/'Incurred Loss'!L13,"")</f>
        <v>0</v>
      </c>
      <c r="M41" s="15">
        <f>IFERROR('Paid Loss'!M13/'Incurred Loss'!M13,"")</f>
        <v>0</v>
      </c>
      <c r="N41" s="15">
        <f>IFERROR('Paid Loss'!N13/'Incurred Loss'!N13,"")</f>
        <v>0</v>
      </c>
      <c r="O41" s="15">
        <f>IFERROR('Paid Loss'!O13/'Incurred Loss'!O13,"")</f>
        <v>0</v>
      </c>
      <c r="P41" s="15">
        <f>IFERROR('Paid Loss'!P13/'Incurred Loss'!P13,"")</f>
        <v>0</v>
      </c>
      <c r="Q41" s="15">
        <f>IFERROR('Paid Loss'!Q13/'Incurred Loss'!Q13,"")</f>
        <v>0</v>
      </c>
      <c r="R41" s="15">
        <f>IFERROR('Paid Loss'!R13/'Incurred Loss'!R13,"")</f>
        <v>0</v>
      </c>
      <c r="S41" s="15">
        <f>IFERROR('Paid Loss'!S13/'Incurred Loss'!S13,"")</f>
        <v>0</v>
      </c>
      <c r="T41" s="15">
        <f>IFERROR('Paid Loss'!T13/'Incurred Loss'!T13,"")</f>
        <v>0</v>
      </c>
      <c r="U41" s="15">
        <f>IFERROR('Paid Loss'!U13/'Incurred Loss'!U13,"")</f>
        <v>0</v>
      </c>
      <c r="V41" s="15">
        <f>IFERROR('Paid Loss'!V13/'Incurred Loss'!V13,"")</f>
        <v>0</v>
      </c>
      <c r="W41" s="15">
        <f>IFERROR('Paid Loss'!W13/'Incurred Loss'!W13,"")</f>
        <v>0</v>
      </c>
      <c r="X41" s="15">
        <f>IFERROR('Paid Loss'!X13/'Incurred Loss'!X13,"")</f>
        <v>0</v>
      </c>
      <c r="Y41" s="15">
        <f>IFERROR('Paid Loss'!Y13/'Incurred Loss'!Y13,"")</f>
        <v>0</v>
      </c>
    </row>
    <row r="42" spans="1:25">
      <c r="A42" s="2" t="s">
        <v>37</v>
      </c>
      <c r="B42" s="15">
        <f>IFERROR('Paid Loss'!B14/'Incurred Loss'!B14,"")</f>
        <v>0</v>
      </c>
      <c r="C42" s="15">
        <f>IFERROR('Paid Loss'!C14/'Incurred Loss'!C14,"")</f>
        <v>0</v>
      </c>
      <c r="D42" s="15">
        <f>IFERROR('Paid Loss'!D14/'Incurred Loss'!D14,"")</f>
        <v>0</v>
      </c>
      <c r="E42" s="15">
        <f>IFERROR('Paid Loss'!E14/'Incurred Loss'!E14,"")</f>
        <v>0</v>
      </c>
      <c r="F42" s="15">
        <f>IFERROR('Paid Loss'!F14/'Incurred Loss'!F14,"")</f>
        <v>0</v>
      </c>
      <c r="G42" s="15">
        <f>IFERROR('Paid Loss'!G14/'Incurred Loss'!G14,"")</f>
        <v>0</v>
      </c>
      <c r="H42" s="15">
        <f>IFERROR('Paid Loss'!H14/'Incurred Loss'!H14,"")</f>
        <v>0</v>
      </c>
      <c r="I42" s="15">
        <f>IFERROR('Paid Loss'!I14/'Incurred Loss'!I14,"")</f>
        <v>0</v>
      </c>
      <c r="J42" s="15">
        <f>IFERROR('Paid Loss'!J14/'Incurred Loss'!J14,"")</f>
        <v>0</v>
      </c>
      <c r="K42" s="15">
        <f>IFERROR('Paid Loss'!K14/'Incurred Loss'!K14,"")</f>
        <v>0</v>
      </c>
      <c r="L42" s="15">
        <f>IFERROR('Paid Loss'!L14/'Incurred Loss'!L14,"")</f>
        <v>0</v>
      </c>
      <c r="M42" s="15">
        <f>IFERROR('Paid Loss'!M14/'Incurred Loss'!M14,"")</f>
        <v>0</v>
      </c>
      <c r="N42" s="15">
        <f>IFERROR('Paid Loss'!N14/'Incurred Loss'!N14,"")</f>
        <v>0</v>
      </c>
      <c r="O42" s="15">
        <f>IFERROR('Paid Loss'!O14/'Incurred Loss'!O14,"")</f>
        <v>0</v>
      </c>
      <c r="P42" s="15">
        <f>IFERROR('Paid Loss'!P14/'Incurred Loss'!P14,"")</f>
        <v>0</v>
      </c>
      <c r="Q42" s="15">
        <f>IFERROR('Paid Loss'!Q14/'Incurred Loss'!Q14,"")</f>
        <v>0</v>
      </c>
      <c r="R42" s="15">
        <f>IFERROR('Paid Loss'!R14/'Incurred Loss'!R14,"")</f>
        <v>0</v>
      </c>
      <c r="S42" s="15">
        <f>IFERROR('Paid Loss'!S14/'Incurred Loss'!S14,"")</f>
        <v>0</v>
      </c>
      <c r="T42" s="15">
        <f>IFERROR('Paid Loss'!T14/'Incurred Loss'!T14,"")</f>
        <v>0</v>
      </c>
      <c r="U42" s="15">
        <f>IFERROR('Paid Loss'!U14/'Incurred Loss'!U14,"")</f>
        <v>0</v>
      </c>
      <c r="V42" s="15">
        <f>IFERROR('Paid Loss'!V14/'Incurred Loss'!V14,"")</f>
        <v>0</v>
      </c>
      <c r="W42" s="15">
        <f>IFERROR('Paid Loss'!W14/'Incurred Loss'!W14,"")</f>
        <v>0</v>
      </c>
      <c r="X42" s="15">
        <f>IFERROR('Paid Loss'!X14/'Incurred Loss'!X14,"")</f>
        <v>0</v>
      </c>
      <c r="Y42" s="15">
        <f>IFERROR('Paid Loss'!Y14/'Incurred Loss'!Y14,"")</f>
        <v>0</v>
      </c>
    </row>
    <row r="43" spans="1:25">
      <c r="A43" s="2" t="s">
        <v>38</v>
      </c>
      <c r="B43" s="15">
        <f>IFERROR('Paid Loss'!B15/'Incurred Loss'!B15,"")</f>
        <v>0</v>
      </c>
      <c r="C43" s="15">
        <f>IFERROR('Paid Loss'!C15/'Incurred Loss'!C15,"")</f>
        <v>0</v>
      </c>
      <c r="D43" s="15">
        <f>IFERROR('Paid Loss'!D15/'Incurred Loss'!D15,"")</f>
        <v>0</v>
      </c>
      <c r="E43" s="15">
        <f>IFERROR('Paid Loss'!E15/'Incurred Loss'!E15,"")</f>
        <v>0</v>
      </c>
      <c r="F43" s="15">
        <f>IFERROR('Paid Loss'!F15/'Incurred Loss'!F15,"")</f>
        <v>0</v>
      </c>
      <c r="G43" s="15">
        <f>IFERROR('Paid Loss'!G15/'Incurred Loss'!G15,"")</f>
        <v>0</v>
      </c>
      <c r="H43" s="15">
        <f>IFERROR('Paid Loss'!H15/'Incurred Loss'!H15,"")</f>
        <v>0</v>
      </c>
      <c r="I43" s="15">
        <f>IFERROR('Paid Loss'!I15/'Incurred Loss'!I15,"")</f>
        <v>0</v>
      </c>
      <c r="J43" s="15">
        <f>IFERROR('Paid Loss'!J15/'Incurred Loss'!J15,"")</f>
        <v>0</v>
      </c>
      <c r="K43" s="15">
        <f>IFERROR('Paid Loss'!K15/'Incurred Loss'!K15,"")</f>
        <v>0</v>
      </c>
      <c r="L43" s="15">
        <f>IFERROR('Paid Loss'!L15/'Incurred Loss'!L15,"")</f>
        <v>0</v>
      </c>
      <c r="M43" s="15">
        <f>IFERROR('Paid Loss'!M15/'Incurred Loss'!M15,"")</f>
        <v>0</v>
      </c>
      <c r="N43" s="15">
        <f>IFERROR('Paid Loss'!N15/'Incurred Loss'!N15,"")</f>
        <v>0</v>
      </c>
      <c r="O43" s="15">
        <f>IFERROR('Paid Loss'!O15/'Incurred Loss'!O15,"")</f>
        <v>0</v>
      </c>
      <c r="P43" s="15">
        <f>IFERROR('Paid Loss'!P15/'Incurred Loss'!P15,"")</f>
        <v>0</v>
      </c>
      <c r="Q43" s="15">
        <f>IFERROR('Paid Loss'!Q15/'Incurred Loss'!Q15,"")</f>
        <v>0</v>
      </c>
      <c r="R43" s="15">
        <f>IFERROR('Paid Loss'!R15/'Incurred Loss'!R15,"")</f>
        <v>0</v>
      </c>
      <c r="S43" s="15">
        <f>IFERROR('Paid Loss'!S15/'Incurred Loss'!S15,"")</f>
        <v>0</v>
      </c>
      <c r="T43" s="15">
        <f>IFERROR('Paid Loss'!T15/'Incurred Loss'!T15,"")</f>
        <v>0</v>
      </c>
      <c r="U43" s="15">
        <f>IFERROR('Paid Loss'!U15/'Incurred Loss'!U15,"")</f>
        <v>0</v>
      </c>
      <c r="V43" s="15">
        <f>IFERROR('Paid Loss'!V15/'Incurred Loss'!V15,"")</f>
        <v>0</v>
      </c>
      <c r="W43" s="15">
        <f>IFERROR('Paid Loss'!W15/'Incurred Loss'!W15,"")</f>
        <v>0</v>
      </c>
      <c r="X43" s="15">
        <f>IFERROR('Paid Loss'!X15/'Incurred Loss'!X15,"")</f>
        <v>0</v>
      </c>
      <c r="Y43" s="15">
        <f>IFERROR('Paid Loss'!Y15/'Incurred Loss'!Y15,"")</f>
        <v>0</v>
      </c>
    </row>
    <row r="44" spans="1:25">
      <c r="A44" s="2" t="s">
        <v>39</v>
      </c>
      <c r="B44" s="15">
        <f>IFERROR('Paid Loss'!B16/'Incurred Loss'!B16,"")</f>
        <v>0</v>
      </c>
      <c r="C44" s="15">
        <f>IFERROR('Paid Loss'!C16/'Incurred Loss'!C16,"")</f>
        <v>0</v>
      </c>
      <c r="D44" s="15">
        <f>IFERROR('Paid Loss'!D16/'Incurred Loss'!D16,"")</f>
        <v>0</v>
      </c>
      <c r="E44" s="15">
        <f>IFERROR('Paid Loss'!E16/'Incurred Loss'!E16,"")</f>
        <v>0</v>
      </c>
      <c r="F44" s="15">
        <f>IFERROR('Paid Loss'!F16/'Incurred Loss'!F16,"")</f>
        <v>0</v>
      </c>
      <c r="G44" s="15">
        <f>IFERROR('Paid Loss'!G16/'Incurred Loss'!G16,"")</f>
        <v>0</v>
      </c>
      <c r="H44" s="15">
        <f>IFERROR('Paid Loss'!H16/'Incurred Loss'!H16,"")</f>
        <v>0</v>
      </c>
      <c r="I44" s="15">
        <f>IFERROR('Paid Loss'!I16/'Incurred Loss'!I16,"")</f>
        <v>0</v>
      </c>
      <c r="J44" s="15">
        <f>IFERROR('Paid Loss'!J16/'Incurred Loss'!J16,"")</f>
        <v>0</v>
      </c>
      <c r="K44" s="15">
        <f>IFERROR('Paid Loss'!K16/'Incurred Loss'!K16,"")</f>
        <v>0</v>
      </c>
      <c r="L44" s="15">
        <f>IFERROR('Paid Loss'!L16/'Incurred Loss'!L16,"")</f>
        <v>0</v>
      </c>
      <c r="M44" s="15">
        <f>IFERROR('Paid Loss'!M16/'Incurred Loss'!M16,"")</f>
        <v>0</v>
      </c>
      <c r="N44" s="15">
        <f>IFERROR('Paid Loss'!N16/'Incurred Loss'!N16,"")</f>
        <v>0</v>
      </c>
      <c r="O44" s="15">
        <f>IFERROR('Paid Loss'!O16/'Incurred Loss'!O16,"")</f>
        <v>0</v>
      </c>
      <c r="P44" s="15">
        <f>IFERROR('Paid Loss'!P16/'Incurred Loss'!P16,"")</f>
        <v>0</v>
      </c>
      <c r="Q44" s="15">
        <f>IFERROR('Paid Loss'!Q16/'Incurred Loss'!Q16,"")</f>
        <v>0</v>
      </c>
      <c r="R44" s="15">
        <f>IFERROR('Paid Loss'!R16/'Incurred Loss'!R16,"")</f>
        <v>0</v>
      </c>
      <c r="S44" s="15">
        <f>IFERROR('Paid Loss'!S16/'Incurred Loss'!S16,"")</f>
        <v>0</v>
      </c>
      <c r="T44" s="15">
        <f>IFERROR('Paid Loss'!T16/'Incurred Loss'!T16,"")</f>
        <v>0</v>
      </c>
      <c r="U44" s="15">
        <f>IFERROR('Paid Loss'!U16/'Incurred Loss'!U16,"")</f>
        <v>0</v>
      </c>
      <c r="V44" s="15">
        <f>IFERROR('Paid Loss'!V16/'Incurred Loss'!V16,"")</f>
        <v>0</v>
      </c>
      <c r="W44" s="15">
        <f>IFERROR('Paid Loss'!W16/'Incurred Loss'!W16,"")</f>
        <v>0</v>
      </c>
      <c r="X44" s="15">
        <f>IFERROR('Paid Loss'!X16/'Incurred Loss'!X16,"")</f>
        <v>0</v>
      </c>
      <c r="Y44" s="15">
        <f>IFERROR('Paid Loss'!Y16/'Incurred Loss'!Y16,"")</f>
        <v>0</v>
      </c>
    </row>
    <row r="45" spans="1:25">
      <c r="A45" s="2" t="s">
        <v>40</v>
      </c>
      <c r="B45" s="15">
        <f>IFERROR('Paid Loss'!B17/'Incurred Loss'!B17,"")</f>
        <v>0</v>
      </c>
      <c r="C45" s="15">
        <f>IFERROR('Paid Loss'!C17/'Incurred Loss'!C17,"")</f>
        <v>0</v>
      </c>
      <c r="D45" s="15">
        <f>IFERROR('Paid Loss'!D17/'Incurred Loss'!D17,"")</f>
        <v>0</v>
      </c>
      <c r="E45" s="15">
        <f>IFERROR('Paid Loss'!E17/'Incurred Loss'!E17,"")</f>
        <v>0</v>
      </c>
      <c r="F45" s="15">
        <f>IFERROR('Paid Loss'!F17/'Incurred Loss'!F17,"")</f>
        <v>0</v>
      </c>
      <c r="G45" s="15">
        <f>IFERROR('Paid Loss'!G17/'Incurred Loss'!G17,"")</f>
        <v>0</v>
      </c>
      <c r="H45" s="15">
        <f>IFERROR('Paid Loss'!H17/'Incurred Loss'!H17,"")</f>
        <v>0</v>
      </c>
      <c r="I45" s="15">
        <f>IFERROR('Paid Loss'!I17/'Incurred Loss'!I17,"")</f>
        <v>0</v>
      </c>
      <c r="J45" s="15">
        <f>IFERROR('Paid Loss'!J17/'Incurred Loss'!J17,"")</f>
        <v>0</v>
      </c>
      <c r="K45" s="15">
        <f>IFERROR('Paid Loss'!K17/'Incurred Loss'!K17,"")</f>
        <v>0</v>
      </c>
      <c r="L45" s="15">
        <f>IFERROR('Paid Loss'!L17/'Incurred Loss'!L17,"")</f>
        <v>0</v>
      </c>
      <c r="M45" s="15">
        <f>IFERROR('Paid Loss'!M17/'Incurred Loss'!M17,"")</f>
        <v>0</v>
      </c>
      <c r="N45" s="15">
        <f>IFERROR('Paid Loss'!N17/'Incurred Loss'!N17,"")</f>
        <v>0</v>
      </c>
      <c r="O45" s="15">
        <f>IFERROR('Paid Loss'!O17/'Incurred Loss'!O17,"")</f>
        <v>0</v>
      </c>
      <c r="P45" s="15">
        <f>IFERROR('Paid Loss'!P17/'Incurred Loss'!P17,"")</f>
        <v>0</v>
      </c>
      <c r="Q45" s="15">
        <f>IFERROR('Paid Loss'!Q17/'Incurred Loss'!Q17,"")</f>
        <v>0</v>
      </c>
      <c r="R45" s="15">
        <f>IFERROR('Paid Loss'!R17/'Incurred Loss'!R17,"")</f>
        <v>0</v>
      </c>
      <c r="S45" s="15">
        <f>IFERROR('Paid Loss'!S17/'Incurred Loss'!S17,"")</f>
        <v>0</v>
      </c>
      <c r="T45" s="15">
        <f>IFERROR('Paid Loss'!T17/'Incurred Loss'!T17,"")</f>
        <v>0</v>
      </c>
      <c r="U45" s="15">
        <f>IFERROR('Paid Loss'!U17/'Incurred Loss'!U17,"")</f>
        <v>0</v>
      </c>
      <c r="V45" s="15">
        <f>IFERROR('Paid Loss'!V17/'Incurred Loss'!V17,"")</f>
        <v>0</v>
      </c>
      <c r="W45" s="15">
        <f>IFERROR('Paid Loss'!W17/'Incurred Loss'!W17,"")</f>
        <v>0</v>
      </c>
      <c r="X45" s="15">
        <f>IFERROR('Paid Loss'!X17/'Incurred Loss'!X17,"")</f>
        <v>0</v>
      </c>
      <c r="Y45" s="15">
        <f>IFERROR('Paid Loss'!Y17/'Incurred Loss'!Y17,"")</f>
        <v>0</v>
      </c>
    </row>
    <row r="46" spans="1:25">
      <c r="A46" s="2" t="s">
        <v>41</v>
      </c>
      <c r="B46" s="15">
        <f>IFERROR('Paid Loss'!B18/'Incurred Loss'!B18,"")</f>
        <v>0</v>
      </c>
      <c r="C46" s="15">
        <f>IFERROR('Paid Loss'!C18/'Incurred Loss'!C18,"")</f>
        <v>0</v>
      </c>
      <c r="D46" s="15">
        <f>IFERROR('Paid Loss'!D18/'Incurred Loss'!D18,"")</f>
        <v>0</v>
      </c>
      <c r="E46" s="15">
        <f>IFERROR('Paid Loss'!E18/'Incurred Loss'!E18,"")</f>
        <v>0</v>
      </c>
      <c r="F46" s="15">
        <f>IFERROR('Paid Loss'!F18/'Incurred Loss'!F18,"")</f>
        <v>0</v>
      </c>
      <c r="G46" s="15">
        <f>IFERROR('Paid Loss'!G18/'Incurred Loss'!G18,"")</f>
        <v>0</v>
      </c>
      <c r="H46" s="15">
        <f>IFERROR('Paid Loss'!H18/'Incurred Loss'!H18,"")</f>
        <v>0</v>
      </c>
      <c r="I46" s="15">
        <f>IFERROR('Paid Loss'!I18/'Incurred Loss'!I18,"")</f>
        <v>0</v>
      </c>
      <c r="J46" s="15">
        <f>IFERROR('Paid Loss'!J18/'Incurred Loss'!J18,"")</f>
        <v>0</v>
      </c>
      <c r="K46" s="15">
        <f>IFERROR('Paid Loss'!K18/'Incurred Loss'!K18,"")</f>
        <v>0</v>
      </c>
      <c r="L46" s="15">
        <f>IFERROR('Paid Loss'!L18/'Incurred Loss'!L18,"")</f>
        <v>0</v>
      </c>
      <c r="M46" s="15">
        <f>IFERROR('Paid Loss'!M18/'Incurred Loss'!M18,"")</f>
        <v>0</v>
      </c>
      <c r="N46" s="15">
        <f>IFERROR('Paid Loss'!N18/'Incurred Loss'!N18,"")</f>
        <v>0</v>
      </c>
      <c r="O46" s="15">
        <f>IFERROR('Paid Loss'!O18/'Incurred Loss'!O18,"")</f>
        <v>0</v>
      </c>
      <c r="P46" s="15">
        <f>IFERROR('Paid Loss'!P18/'Incurred Loss'!P18,"")</f>
        <v>0</v>
      </c>
      <c r="Q46" s="15">
        <f>IFERROR('Paid Loss'!Q18/'Incurred Loss'!Q18,"")</f>
        <v>0</v>
      </c>
      <c r="R46" s="15">
        <f>IFERROR('Paid Loss'!R18/'Incurred Loss'!R18,"")</f>
        <v>0</v>
      </c>
      <c r="S46" s="15">
        <f>IFERROR('Paid Loss'!S18/'Incurred Loss'!S18,"")</f>
        <v>0</v>
      </c>
      <c r="T46" s="15">
        <f>IFERROR('Paid Loss'!T18/'Incurred Loss'!T18,"")</f>
        <v>0</v>
      </c>
      <c r="U46" s="15">
        <f>IFERROR('Paid Loss'!U18/'Incurred Loss'!U18,"")</f>
        <v>0</v>
      </c>
      <c r="V46" s="15">
        <f>IFERROR('Paid Loss'!V18/'Incurred Loss'!V18,"")</f>
        <v>0</v>
      </c>
      <c r="W46" s="15">
        <f>IFERROR('Paid Loss'!W18/'Incurred Loss'!W18,"")</f>
        <v>0</v>
      </c>
      <c r="X46" s="15">
        <f>IFERROR('Paid Loss'!X18/'Incurred Loss'!X18,"")</f>
        <v>0</v>
      </c>
      <c r="Y46" s="15">
        <f>IFERROR('Paid Loss'!Y18/'Incurred Loss'!Y18,"")</f>
        <v>0</v>
      </c>
    </row>
    <row r="47" spans="1:25">
      <c r="A47" s="2" t="s">
        <v>42</v>
      </c>
      <c r="B47" s="15">
        <f>IFERROR('Paid Loss'!B19/'Incurred Loss'!B19,"")</f>
        <v>0</v>
      </c>
      <c r="C47" s="15">
        <f>IFERROR('Paid Loss'!C19/'Incurred Loss'!C19,"")</f>
        <v>0</v>
      </c>
      <c r="D47" s="15">
        <f>IFERROR('Paid Loss'!D19/'Incurred Loss'!D19,"")</f>
        <v>0</v>
      </c>
      <c r="E47" s="15">
        <f>IFERROR('Paid Loss'!E19/'Incurred Loss'!E19,"")</f>
        <v>0</v>
      </c>
      <c r="F47" s="15">
        <f>IFERROR('Paid Loss'!F19/'Incurred Loss'!F19,"")</f>
        <v>0</v>
      </c>
      <c r="G47" s="15">
        <f>IFERROR('Paid Loss'!G19/'Incurred Loss'!G19,"")</f>
        <v>0</v>
      </c>
      <c r="H47" s="15">
        <f>IFERROR('Paid Loss'!H19/'Incurred Loss'!H19,"")</f>
        <v>0</v>
      </c>
      <c r="I47" s="15">
        <f>IFERROR('Paid Loss'!I19/'Incurred Loss'!I19,"")</f>
        <v>0</v>
      </c>
      <c r="J47" s="15">
        <f>IFERROR('Paid Loss'!J19/'Incurred Loss'!J19,"")</f>
        <v>0</v>
      </c>
      <c r="K47" s="15">
        <f>IFERROR('Paid Loss'!K19/'Incurred Loss'!K19,"")</f>
        <v>0</v>
      </c>
      <c r="L47" s="15">
        <f>IFERROR('Paid Loss'!L19/'Incurred Loss'!L19,"")</f>
        <v>0</v>
      </c>
      <c r="M47" s="15">
        <f>IFERROR('Paid Loss'!M19/'Incurred Loss'!M19,"")</f>
        <v>0</v>
      </c>
      <c r="N47" s="15">
        <f>IFERROR('Paid Loss'!N19/'Incurred Loss'!N19,"")</f>
        <v>0</v>
      </c>
      <c r="O47" s="15">
        <f>IFERROR('Paid Loss'!O19/'Incurred Loss'!O19,"")</f>
        <v>0</v>
      </c>
      <c r="P47" s="15">
        <f>IFERROR('Paid Loss'!P19/'Incurred Loss'!P19,"")</f>
        <v>0</v>
      </c>
      <c r="Q47" s="15">
        <f>IFERROR('Paid Loss'!Q19/'Incurred Loss'!Q19,"")</f>
        <v>0</v>
      </c>
      <c r="R47" s="15">
        <f>IFERROR('Paid Loss'!R19/'Incurred Loss'!R19,"")</f>
        <v>0</v>
      </c>
      <c r="S47" s="15">
        <f>IFERROR('Paid Loss'!S19/'Incurred Loss'!S19,"")</f>
        <v>0</v>
      </c>
      <c r="T47" s="15">
        <f>IFERROR('Paid Loss'!T19/'Incurred Loss'!T19,"")</f>
        <v>0</v>
      </c>
      <c r="U47" s="15">
        <f>IFERROR('Paid Loss'!U19/'Incurred Loss'!U19,"")</f>
        <v>0</v>
      </c>
      <c r="V47" s="15">
        <f>IFERROR('Paid Loss'!V19/'Incurred Loss'!V19,"")</f>
        <v>0</v>
      </c>
      <c r="W47" s="15">
        <f>IFERROR('Paid Loss'!W19/'Incurred Loss'!W19,"")</f>
        <v>0</v>
      </c>
      <c r="X47" s="15">
        <f>IFERROR('Paid Loss'!X19/'Incurred Loss'!X19,"")</f>
        <v>0</v>
      </c>
      <c r="Y47" s="15">
        <f>IFERROR('Paid Loss'!Y19/'Incurred Loss'!Y19,"")</f>
        <v>0</v>
      </c>
    </row>
    <row r="48" spans="1:25">
      <c r="A48" s="2" t="s">
        <v>43</v>
      </c>
      <c r="B48" s="15">
        <f>IFERROR('Paid Loss'!B20/'Incurred Loss'!B20,"")</f>
        <v>0</v>
      </c>
      <c r="C48" s="15">
        <f>IFERROR('Paid Loss'!C20/'Incurred Loss'!C20,"")</f>
        <v>0</v>
      </c>
      <c r="D48" s="15">
        <f>IFERROR('Paid Loss'!D20/'Incurred Loss'!D20,"")</f>
        <v>0</v>
      </c>
      <c r="E48" s="15">
        <f>IFERROR('Paid Loss'!E20/'Incurred Loss'!E20,"")</f>
        <v>0</v>
      </c>
      <c r="F48" s="15">
        <f>IFERROR('Paid Loss'!F20/'Incurred Loss'!F20,"")</f>
        <v>0</v>
      </c>
      <c r="G48" s="15">
        <f>IFERROR('Paid Loss'!G20/'Incurred Loss'!G20,"")</f>
        <v>0</v>
      </c>
      <c r="H48" s="15">
        <f>IFERROR('Paid Loss'!H20/'Incurred Loss'!H20,"")</f>
        <v>0</v>
      </c>
      <c r="I48" s="15">
        <f>IFERROR('Paid Loss'!I20/'Incurred Loss'!I20,"")</f>
        <v>0</v>
      </c>
      <c r="J48" s="15">
        <f>IFERROR('Paid Loss'!J20/'Incurred Loss'!J20,"")</f>
        <v>0</v>
      </c>
      <c r="K48" s="15">
        <f>IFERROR('Paid Loss'!K20/'Incurred Loss'!K20,"")</f>
        <v>0</v>
      </c>
      <c r="L48" s="15">
        <f>IFERROR('Paid Loss'!L20/'Incurred Loss'!L20,"")</f>
        <v>0</v>
      </c>
      <c r="M48" s="15">
        <f>IFERROR('Paid Loss'!M20/'Incurred Loss'!M20,"")</f>
        <v>0</v>
      </c>
      <c r="N48" s="15">
        <f>IFERROR('Paid Loss'!N20/'Incurred Loss'!N20,"")</f>
        <v>0</v>
      </c>
      <c r="O48" s="15">
        <f>IFERROR('Paid Loss'!O20/'Incurred Loss'!O20,"")</f>
        <v>0</v>
      </c>
      <c r="P48" s="15">
        <f>IFERROR('Paid Loss'!P20/'Incurred Loss'!P20,"")</f>
        <v>0</v>
      </c>
      <c r="Q48" s="15">
        <f>IFERROR('Paid Loss'!Q20/'Incurred Loss'!Q20,"")</f>
        <v>0</v>
      </c>
      <c r="R48" s="15">
        <f>IFERROR('Paid Loss'!R20/'Incurred Loss'!R20,"")</f>
        <v>0</v>
      </c>
      <c r="S48" s="15">
        <f>IFERROR('Paid Loss'!S20/'Incurred Loss'!S20,"")</f>
        <v>0</v>
      </c>
      <c r="T48" s="15">
        <f>IFERROR('Paid Loss'!T20/'Incurred Loss'!T20,"")</f>
        <v>0</v>
      </c>
      <c r="U48" s="15">
        <f>IFERROR('Paid Loss'!U20/'Incurred Loss'!U20,"")</f>
        <v>0</v>
      </c>
      <c r="V48" s="15">
        <f>IFERROR('Paid Loss'!V20/'Incurred Loss'!V20,"")</f>
        <v>0</v>
      </c>
      <c r="W48" s="15">
        <f>IFERROR('Paid Loss'!W20/'Incurred Loss'!W20,"")</f>
        <v>0</v>
      </c>
      <c r="X48" s="15">
        <f>IFERROR('Paid Loss'!X20/'Incurred Loss'!X20,"")</f>
        <v>0</v>
      </c>
      <c r="Y48" s="15">
        <f>IFERROR('Paid Loss'!Y20/'Incurred Loss'!Y20,"")</f>
        <v>0</v>
      </c>
    </row>
    <row r="49" spans="1:25">
      <c r="A49" s="2" t="s">
        <v>44</v>
      </c>
      <c r="B49" s="15">
        <f>IFERROR('Paid Loss'!B21/'Incurred Loss'!B21,"")</f>
        <v>0</v>
      </c>
      <c r="C49" s="15">
        <f>IFERROR('Paid Loss'!C21/'Incurred Loss'!C21,"")</f>
        <v>0</v>
      </c>
      <c r="D49" s="15">
        <f>IFERROR('Paid Loss'!D21/'Incurred Loss'!D21,"")</f>
        <v>0</v>
      </c>
      <c r="E49" s="15">
        <f>IFERROR('Paid Loss'!E21/'Incurred Loss'!E21,"")</f>
        <v>0</v>
      </c>
      <c r="F49" s="15">
        <f>IFERROR('Paid Loss'!F21/'Incurred Loss'!F21,"")</f>
        <v>0</v>
      </c>
      <c r="G49" s="15">
        <f>IFERROR('Paid Loss'!G21/'Incurred Loss'!G21,"")</f>
        <v>0</v>
      </c>
      <c r="H49" s="15">
        <f>IFERROR('Paid Loss'!H21/'Incurred Loss'!H21,"")</f>
        <v>0</v>
      </c>
      <c r="I49" s="15">
        <f>IFERROR('Paid Loss'!I21/'Incurred Loss'!I21,"")</f>
        <v>0</v>
      </c>
      <c r="J49" s="15">
        <f>IFERROR('Paid Loss'!J21/'Incurred Loss'!J21,"")</f>
        <v>0</v>
      </c>
      <c r="K49" s="15">
        <f>IFERROR('Paid Loss'!K21/'Incurred Loss'!K21,"")</f>
        <v>0</v>
      </c>
      <c r="L49" s="15">
        <f>IFERROR('Paid Loss'!L21/'Incurred Loss'!L21,"")</f>
        <v>0</v>
      </c>
      <c r="M49" s="15">
        <f>IFERROR('Paid Loss'!M21/'Incurred Loss'!M21,"")</f>
        <v>0</v>
      </c>
      <c r="N49" s="15">
        <f>IFERROR('Paid Loss'!N21/'Incurred Loss'!N21,"")</f>
        <v>0</v>
      </c>
      <c r="O49" s="15">
        <f>IFERROR('Paid Loss'!O21/'Incurred Loss'!O21,"")</f>
        <v>0</v>
      </c>
      <c r="P49" s="15">
        <f>IFERROR('Paid Loss'!P21/'Incurred Loss'!P21,"")</f>
        <v>0</v>
      </c>
      <c r="Q49" s="15">
        <f>IFERROR('Paid Loss'!Q21/'Incurred Loss'!Q21,"")</f>
        <v>0</v>
      </c>
      <c r="R49" s="15">
        <f>IFERROR('Paid Loss'!R21/'Incurred Loss'!R21,"")</f>
        <v>0</v>
      </c>
      <c r="S49" s="15">
        <f>IFERROR('Paid Loss'!S21/'Incurred Loss'!S21,"")</f>
        <v>0</v>
      </c>
      <c r="T49" s="15">
        <f>IFERROR('Paid Loss'!T21/'Incurred Loss'!T21,"")</f>
        <v>0</v>
      </c>
      <c r="U49" s="15">
        <f>IFERROR('Paid Loss'!U21/'Incurred Loss'!U21,"")</f>
        <v>0</v>
      </c>
      <c r="V49" s="15">
        <f>IFERROR('Paid Loss'!V21/'Incurred Loss'!V21,"")</f>
        <v>0</v>
      </c>
      <c r="W49" s="15">
        <f>IFERROR('Paid Loss'!W21/'Incurred Loss'!W21,"")</f>
        <v>0</v>
      </c>
      <c r="X49" s="15">
        <f>IFERROR('Paid Loss'!X21/'Incurred Loss'!X21,"")</f>
        <v>0</v>
      </c>
      <c r="Y49" s="15">
        <f>IFERROR('Paid Loss'!Y21/'Incurred Loss'!Y21,"")</f>
        <v>0</v>
      </c>
    </row>
    <row r="50" spans="1:25">
      <c r="A50" s="2" t="s">
        <v>45</v>
      </c>
      <c r="B50" s="15">
        <f>IFERROR('Paid Loss'!B22/'Incurred Loss'!B22,"")</f>
        <v>0</v>
      </c>
      <c r="C50" s="15">
        <f>IFERROR('Paid Loss'!C22/'Incurred Loss'!C22,"")</f>
        <v>0</v>
      </c>
      <c r="D50" s="15">
        <f>IFERROR('Paid Loss'!D22/'Incurred Loss'!D22,"")</f>
        <v>0</v>
      </c>
      <c r="E50" s="15">
        <f>IFERROR('Paid Loss'!E22/'Incurred Loss'!E22,"")</f>
        <v>0</v>
      </c>
      <c r="F50" s="15">
        <f>IFERROR('Paid Loss'!F22/'Incurred Loss'!F22,"")</f>
        <v>0</v>
      </c>
      <c r="G50" s="15">
        <f>IFERROR('Paid Loss'!G22/'Incurred Loss'!G22,"")</f>
        <v>0</v>
      </c>
      <c r="H50" s="15">
        <f>IFERROR('Paid Loss'!H22/'Incurred Loss'!H22,"")</f>
        <v>0</v>
      </c>
      <c r="I50" s="15">
        <f>IFERROR('Paid Loss'!I22/'Incurred Loss'!I22,"")</f>
        <v>0</v>
      </c>
      <c r="J50" s="15">
        <f>IFERROR('Paid Loss'!J22/'Incurred Loss'!J22,"")</f>
        <v>0</v>
      </c>
      <c r="K50" s="15">
        <f>IFERROR('Paid Loss'!K22/'Incurred Loss'!K22,"")</f>
        <v>0</v>
      </c>
      <c r="L50" s="15">
        <f>IFERROR('Paid Loss'!L22/'Incurred Loss'!L22,"")</f>
        <v>0</v>
      </c>
      <c r="M50" s="15">
        <f>IFERROR('Paid Loss'!M22/'Incurred Loss'!M22,"")</f>
        <v>0</v>
      </c>
      <c r="N50" s="15">
        <f>IFERROR('Paid Loss'!N22/'Incurred Loss'!N22,"")</f>
        <v>0</v>
      </c>
      <c r="O50" s="15">
        <f>IFERROR('Paid Loss'!O22/'Incurred Loss'!O22,"")</f>
        <v>0</v>
      </c>
      <c r="P50" s="15">
        <f>IFERROR('Paid Loss'!P22/'Incurred Loss'!P22,"")</f>
        <v>0</v>
      </c>
      <c r="Q50" s="15">
        <f>IFERROR('Paid Loss'!Q22/'Incurred Loss'!Q22,"")</f>
        <v>0</v>
      </c>
      <c r="R50" s="15">
        <f>IFERROR('Paid Loss'!R22/'Incurred Loss'!R22,"")</f>
        <v>0</v>
      </c>
      <c r="S50" s="15">
        <f>IFERROR('Paid Loss'!S22/'Incurred Loss'!S22,"")</f>
        <v>0</v>
      </c>
      <c r="T50" s="15">
        <f>IFERROR('Paid Loss'!T22/'Incurred Loss'!T22,"")</f>
        <v>0</v>
      </c>
      <c r="U50" s="15">
        <f>IFERROR('Paid Loss'!U22/'Incurred Loss'!U22,"")</f>
        <v>0</v>
      </c>
      <c r="V50" s="15">
        <f>IFERROR('Paid Loss'!V22/'Incurred Loss'!V22,"")</f>
        <v>0</v>
      </c>
      <c r="W50" s="15">
        <f>IFERROR('Paid Loss'!W22/'Incurred Loss'!W22,"")</f>
        <v>0</v>
      </c>
      <c r="X50" s="15">
        <f>IFERROR('Paid Loss'!X22/'Incurred Loss'!X22,"")</f>
        <v>0</v>
      </c>
      <c r="Y50" s="15">
        <f>IFERROR('Paid Loss'!Y22/'Incurred Loss'!Y22,"")</f>
        <v>0</v>
      </c>
    </row>
    <row r="51" spans="1:25">
      <c r="A51" s="2" t="s">
        <v>46</v>
      </c>
      <c r="B51" s="15">
        <f>IFERROR('Paid Loss'!B23/'Incurred Loss'!B23,"")</f>
        <v>0</v>
      </c>
      <c r="C51" s="15">
        <f>IFERROR('Paid Loss'!C23/'Incurred Loss'!C23,"")</f>
        <v>0</v>
      </c>
      <c r="D51" s="15">
        <f>IFERROR('Paid Loss'!D23/'Incurred Loss'!D23,"")</f>
        <v>0</v>
      </c>
      <c r="E51" s="15">
        <f>IFERROR('Paid Loss'!E23/'Incurred Loss'!E23,"")</f>
        <v>0</v>
      </c>
      <c r="F51" s="15">
        <f>IFERROR('Paid Loss'!F23/'Incurred Loss'!F23,"")</f>
        <v>0</v>
      </c>
      <c r="G51" s="15">
        <f>IFERROR('Paid Loss'!G23/'Incurred Loss'!G23,"")</f>
        <v>0</v>
      </c>
      <c r="H51" s="15">
        <f>IFERROR('Paid Loss'!H23/'Incurred Loss'!H23,"")</f>
        <v>0</v>
      </c>
      <c r="I51" s="15">
        <f>IFERROR('Paid Loss'!I23/'Incurred Loss'!I23,"")</f>
        <v>0</v>
      </c>
      <c r="J51" s="15">
        <f>IFERROR('Paid Loss'!J23/'Incurred Loss'!J23,"")</f>
        <v>0</v>
      </c>
      <c r="K51" s="15">
        <f>IFERROR('Paid Loss'!K23/'Incurred Loss'!K23,"")</f>
        <v>0</v>
      </c>
      <c r="L51" s="15">
        <f>IFERROR('Paid Loss'!L23/'Incurred Loss'!L23,"")</f>
        <v>0</v>
      </c>
      <c r="M51" s="15">
        <f>IFERROR('Paid Loss'!M23/'Incurred Loss'!M23,"")</f>
        <v>0</v>
      </c>
      <c r="N51" s="15">
        <f>IFERROR('Paid Loss'!N23/'Incurred Loss'!N23,"")</f>
        <v>0</v>
      </c>
      <c r="O51" s="15">
        <f>IFERROR('Paid Loss'!O23/'Incurred Loss'!O23,"")</f>
        <v>0</v>
      </c>
      <c r="P51" s="15">
        <f>IFERROR('Paid Loss'!P23/'Incurred Loss'!P23,"")</f>
        <v>0</v>
      </c>
      <c r="Q51" s="15">
        <f>IFERROR('Paid Loss'!Q23/'Incurred Loss'!Q23,"")</f>
        <v>0</v>
      </c>
      <c r="R51" s="15">
        <f>IFERROR('Paid Loss'!R23/'Incurred Loss'!R23,"")</f>
        <v>0</v>
      </c>
      <c r="S51" s="15">
        <f>IFERROR('Paid Loss'!S23/'Incurred Loss'!S23,"")</f>
        <v>0</v>
      </c>
      <c r="T51" s="15">
        <f>IFERROR('Paid Loss'!T23/'Incurred Loss'!T23,"")</f>
        <v>0</v>
      </c>
      <c r="U51" s="15">
        <f>IFERROR('Paid Loss'!U23/'Incurred Loss'!U23,"")</f>
        <v>0</v>
      </c>
      <c r="V51" s="15">
        <f>IFERROR('Paid Loss'!V23/'Incurred Loss'!V23,"")</f>
        <v>0</v>
      </c>
      <c r="W51" s="15">
        <f>IFERROR('Paid Loss'!W23/'Incurred Loss'!W23,"")</f>
        <v>0</v>
      </c>
      <c r="X51" s="15">
        <f>IFERROR('Paid Loss'!X23/'Incurred Loss'!X23,"")</f>
        <v>0</v>
      </c>
      <c r="Y51" s="15">
        <f>IFERROR('Paid Loss'!Y23/'Incurred Loss'!Y23,"")</f>
        <v>0</v>
      </c>
    </row>
    <row r="52" spans="1:25">
      <c r="A52" s="2" t="s">
        <v>47</v>
      </c>
      <c r="B52" s="15">
        <f>IFERROR('Paid Loss'!B24/'Incurred Loss'!B24,"")</f>
        <v>0</v>
      </c>
      <c r="C52" s="15">
        <f>IFERROR('Paid Loss'!C24/'Incurred Loss'!C24,"")</f>
        <v>0</v>
      </c>
      <c r="D52" s="15">
        <f>IFERROR('Paid Loss'!D24/'Incurred Loss'!D24,"")</f>
        <v>0</v>
      </c>
      <c r="E52" s="15">
        <f>IFERROR('Paid Loss'!E24/'Incurred Loss'!E24,"")</f>
        <v>0</v>
      </c>
      <c r="F52" s="15">
        <f>IFERROR('Paid Loss'!F24/'Incurred Loss'!F24,"")</f>
        <v>0</v>
      </c>
      <c r="G52" s="15">
        <f>IFERROR('Paid Loss'!G24/'Incurred Loss'!G24,"")</f>
        <v>0</v>
      </c>
      <c r="H52" s="15">
        <f>IFERROR('Paid Loss'!H24/'Incurred Loss'!H24,"")</f>
        <v>0</v>
      </c>
      <c r="I52" s="15">
        <f>IFERROR('Paid Loss'!I24/'Incurred Loss'!I24,"")</f>
        <v>0</v>
      </c>
      <c r="J52" s="15">
        <f>IFERROR('Paid Loss'!J24/'Incurred Loss'!J24,"")</f>
        <v>0</v>
      </c>
      <c r="K52" s="15">
        <f>IFERROR('Paid Loss'!K24/'Incurred Loss'!K24,"")</f>
        <v>0</v>
      </c>
      <c r="L52" s="15">
        <f>IFERROR('Paid Loss'!L24/'Incurred Loss'!L24,"")</f>
        <v>0</v>
      </c>
      <c r="M52" s="15">
        <f>IFERROR('Paid Loss'!M24/'Incurred Loss'!M24,"")</f>
        <v>0</v>
      </c>
      <c r="N52" s="15">
        <f>IFERROR('Paid Loss'!N24/'Incurred Loss'!N24,"")</f>
        <v>0</v>
      </c>
      <c r="O52" s="15">
        <f>IFERROR('Paid Loss'!O24/'Incurred Loss'!O24,"")</f>
        <v>0</v>
      </c>
      <c r="P52" s="15">
        <f>IFERROR('Paid Loss'!P24/'Incurred Loss'!P24,"")</f>
        <v>0</v>
      </c>
      <c r="Q52" s="15">
        <f>IFERROR('Paid Loss'!Q24/'Incurred Loss'!Q24,"")</f>
        <v>0</v>
      </c>
      <c r="R52" s="15">
        <f>IFERROR('Paid Loss'!R24/'Incurred Loss'!R24,"")</f>
        <v>0</v>
      </c>
      <c r="S52" s="15">
        <f>IFERROR('Paid Loss'!S24/'Incurred Loss'!S24,"")</f>
        <v>0</v>
      </c>
      <c r="T52" s="15">
        <f>IFERROR('Paid Loss'!T24/'Incurred Loss'!T24,"")</f>
        <v>0</v>
      </c>
      <c r="U52" s="15">
        <f>IFERROR('Paid Loss'!U24/'Incurred Loss'!U24,"")</f>
        <v>0</v>
      </c>
      <c r="V52" s="15">
        <f>IFERROR('Paid Loss'!V24/'Incurred Loss'!V24,"")</f>
        <v>0</v>
      </c>
      <c r="W52" s="15">
        <f>IFERROR('Paid Loss'!W24/'Incurred Loss'!W24,"")</f>
        <v>0</v>
      </c>
      <c r="X52" s="15">
        <f>IFERROR('Paid Loss'!X24/'Incurred Loss'!X24,"")</f>
        <v>0</v>
      </c>
      <c r="Y52" s="15">
        <f>IFERROR('Paid Loss'!Y24/'Incurred Loss'!Y24,"")</f>
        <v>0</v>
      </c>
    </row>
    <row r="53" spans="1:25">
      <c r="A53" s="2" t="s">
        <v>48</v>
      </c>
      <c r="B53" s="15">
        <f>IFERROR('Paid Loss'!B25/'Incurred Loss'!B25,"")</f>
        <v>0</v>
      </c>
      <c r="C53" s="15">
        <f>IFERROR('Paid Loss'!C25/'Incurred Loss'!C25,"")</f>
        <v>0</v>
      </c>
      <c r="D53" s="15">
        <f>IFERROR('Paid Loss'!D25/'Incurred Loss'!D25,"")</f>
        <v>0</v>
      </c>
      <c r="E53" s="15">
        <f>IFERROR('Paid Loss'!E25/'Incurred Loss'!E25,"")</f>
        <v>0</v>
      </c>
      <c r="F53" s="15">
        <f>IFERROR('Paid Loss'!F25/'Incurred Loss'!F25,"")</f>
        <v>0</v>
      </c>
      <c r="G53" s="15">
        <f>IFERROR('Paid Loss'!G25/'Incurred Loss'!G25,"")</f>
        <v>0</v>
      </c>
      <c r="H53" s="15">
        <f>IFERROR('Paid Loss'!H25/'Incurred Loss'!H25,"")</f>
        <v>0</v>
      </c>
      <c r="I53" s="15">
        <f>IFERROR('Paid Loss'!I25/'Incurred Loss'!I25,"")</f>
        <v>0</v>
      </c>
      <c r="J53" s="15">
        <f>IFERROR('Paid Loss'!J25/'Incurred Loss'!J25,"")</f>
        <v>0</v>
      </c>
      <c r="K53" s="15">
        <f>IFERROR('Paid Loss'!K25/'Incurred Loss'!K25,"")</f>
        <v>0</v>
      </c>
      <c r="L53" s="15">
        <f>IFERROR('Paid Loss'!L25/'Incurred Loss'!L25,"")</f>
        <v>0</v>
      </c>
      <c r="M53" s="15">
        <f>IFERROR('Paid Loss'!M25/'Incurred Loss'!M25,"")</f>
        <v>0</v>
      </c>
      <c r="N53" s="15">
        <f>IFERROR('Paid Loss'!N25/'Incurred Loss'!N25,"")</f>
        <v>0</v>
      </c>
      <c r="O53" s="15">
        <f>IFERROR('Paid Loss'!O25/'Incurred Loss'!O25,"")</f>
        <v>0</v>
      </c>
      <c r="P53" s="15">
        <f>IFERROR('Paid Loss'!P25/'Incurred Loss'!P25,"")</f>
        <v>0</v>
      </c>
      <c r="Q53" s="15">
        <f>IFERROR('Paid Loss'!Q25/'Incurred Loss'!Q25,"")</f>
        <v>0</v>
      </c>
      <c r="R53" s="15">
        <f>IFERROR('Paid Loss'!R25/'Incurred Loss'!R25,"")</f>
        <v>0</v>
      </c>
      <c r="S53" s="15">
        <f>IFERROR('Paid Loss'!S25/'Incurred Loss'!S25,"")</f>
        <v>0</v>
      </c>
      <c r="T53" s="15">
        <f>IFERROR('Paid Loss'!T25/'Incurred Loss'!T25,"")</f>
        <v>0</v>
      </c>
      <c r="U53" s="15">
        <f>IFERROR('Paid Loss'!U25/'Incurred Loss'!U25,"")</f>
        <v>0</v>
      </c>
      <c r="V53" s="15">
        <f>IFERROR('Paid Loss'!V25/'Incurred Loss'!V25,"")</f>
        <v>0</v>
      </c>
      <c r="W53" s="15">
        <f>IFERROR('Paid Loss'!W25/'Incurred Loss'!W25,"")</f>
        <v>0</v>
      </c>
      <c r="X53" s="15">
        <f>IFERROR('Paid Loss'!X25/'Incurred Loss'!X25,"")</f>
        <v>0</v>
      </c>
      <c r="Y53" s="15">
        <f>IFERROR('Paid Loss'!Y25/'Incurred Loss'!Y25,"")</f>
        <v>0</v>
      </c>
    </row>
    <row r="55" spans="1:25">
      <c r="A55" s="14" t="s">
        <v>95</v>
      </c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</row>
    <row r="56" spans="1:25">
      <c r="A56" s="1" t="s">
        <v>0</v>
      </c>
      <c r="B56" s="1" t="s">
        <v>1</v>
      </c>
      <c r="C56" s="1" t="s">
        <v>2</v>
      </c>
      <c r="D56" s="1" t="s">
        <v>3</v>
      </c>
      <c r="E56" s="1" t="s">
        <v>4</v>
      </c>
      <c r="F56" s="1" t="s">
        <v>5</v>
      </c>
      <c r="G56" s="1" t="s">
        <v>6</v>
      </c>
      <c r="H56" s="1" t="s">
        <v>7</v>
      </c>
      <c r="I56" s="1" t="s">
        <v>8</v>
      </c>
      <c r="J56" s="1" t="s">
        <v>9</v>
      </c>
      <c r="K56" s="1" t="s">
        <v>10</v>
      </c>
      <c r="L56" s="1" t="s">
        <v>11</v>
      </c>
      <c r="M56" s="1" t="s">
        <v>12</v>
      </c>
      <c r="N56" s="1" t="s">
        <v>13</v>
      </c>
      <c r="O56" s="1" t="s">
        <v>14</v>
      </c>
      <c r="P56" s="1" t="s">
        <v>15</v>
      </c>
      <c r="Q56" s="1" t="s">
        <v>16</v>
      </c>
      <c r="R56" s="1" t="s">
        <v>17</v>
      </c>
      <c r="S56" s="1" t="s">
        <v>18</v>
      </c>
      <c r="T56" s="1" t="s">
        <v>19</v>
      </c>
      <c r="U56" s="1" t="s">
        <v>20</v>
      </c>
      <c r="V56" s="1" t="s">
        <v>21</v>
      </c>
      <c r="W56" s="1" t="s">
        <v>22</v>
      </c>
      <c r="X56" s="1" t="s">
        <v>23</v>
      </c>
      <c r="Y56" s="1" t="s">
        <v>24</v>
      </c>
    </row>
    <row r="57" spans="1:25">
      <c r="A57" s="2" t="s">
        <v>25</v>
      </c>
      <c r="B57" s="3">
        <f>IFERROR('Incurred Loss'!B2/'Reported Count'!B2,"")</f>
        <v>0</v>
      </c>
      <c r="C57" s="3">
        <f>IFERROR(('Incurred Loss'!C2-'Incurred Loss'!B2)/('Reported Count'!C2-'Reported Count'!B2),"")</f>
        <v>0</v>
      </c>
      <c r="D57" s="3">
        <f>IFERROR(('Incurred Loss'!D2-'Incurred Loss'!C2)/('Reported Count'!D2-'Reported Count'!C2),"")</f>
        <v>0</v>
      </c>
      <c r="E57" s="3">
        <f>IFERROR(('Incurred Loss'!E2-'Incurred Loss'!D2)/('Reported Count'!E2-'Reported Count'!D2),"")</f>
        <v>0</v>
      </c>
      <c r="F57" s="3">
        <f>IFERROR(('Incurred Loss'!F2-'Incurred Loss'!E2)/('Reported Count'!F2-'Reported Count'!E2),"")</f>
        <v>0</v>
      </c>
      <c r="G57" s="3">
        <f>IFERROR(('Incurred Loss'!G2-'Incurred Loss'!F2)/('Reported Count'!G2-'Reported Count'!F2),"")</f>
        <v>0</v>
      </c>
      <c r="H57" s="3">
        <f>IFERROR(('Incurred Loss'!H2-'Incurred Loss'!G2)/('Reported Count'!H2-'Reported Count'!G2),"")</f>
        <v>0</v>
      </c>
      <c r="I57" s="3">
        <f>IFERROR(('Incurred Loss'!I2-'Incurred Loss'!H2)/('Reported Count'!I2-'Reported Count'!H2),"")</f>
        <v>0</v>
      </c>
      <c r="J57" s="3">
        <f>IFERROR(('Incurred Loss'!J2-'Incurred Loss'!I2)/('Reported Count'!J2-'Reported Count'!I2),"")</f>
        <v>0</v>
      </c>
      <c r="K57" s="3">
        <f>IFERROR(('Incurred Loss'!K2-'Incurred Loss'!J2)/('Reported Count'!K2-'Reported Count'!J2),"")</f>
        <v>0</v>
      </c>
      <c r="L57" s="3">
        <f>IFERROR(('Incurred Loss'!L2-'Incurred Loss'!K2)/('Reported Count'!L2-'Reported Count'!K2),"")</f>
        <v>0</v>
      </c>
      <c r="M57" s="3">
        <f>IFERROR(('Incurred Loss'!M2-'Incurred Loss'!L2)/('Reported Count'!M2-'Reported Count'!L2),"")</f>
        <v>0</v>
      </c>
      <c r="N57" s="3">
        <f>IFERROR(('Incurred Loss'!N2-'Incurred Loss'!M2)/('Reported Count'!N2-'Reported Count'!M2),"")</f>
        <v>0</v>
      </c>
      <c r="O57" s="3">
        <f>IFERROR(('Incurred Loss'!O2-'Incurred Loss'!N2)/('Reported Count'!O2-'Reported Count'!N2),"")</f>
        <v>0</v>
      </c>
      <c r="P57" s="3">
        <f>IFERROR(('Incurred Loss'!P2-'Incurred Loss'!O2)/('Reported Count'!P2-'Reported Count'!O2),"")</f>
        <v>0</v>
      </c>
      <c r="Q57" s="3">
        <f>IFERROR(('Incurred Loss'!Q2-'Incurred Loss'!P2)/('Reported Count'!Q2-'Reported Count'!P2),"")</f>
        <v>0</v>
      </c>
      <c r="R57" s="3">
        <f>IFERROR(('Incurred Loss'!R2-'Incurred Loss'!Q2)/('Reported Count'!R2-'Reported Count'!Q2),"")</f>
        <v>0</v>
      </c>
      <c r="S57" s="3">
        <f>IFERROR(('Incurred Loss'!S2-'Incurred Loss'!R2)/('Reported Count'!S2-'Reported Count'!R2),"")</f>
        <v>0</v>
      </c>
      <c r="T57" s="3">
        <f>IFERROR(('Incurred Loss'!T2-'Incurred Loss'!S2)/('Reported Count'!T2-'Reported Count'!S2),"")</f>
        <v>0</v>
      </c>
      <c r="U57" s="3">
        <f>IFERROR(('Incurred Loss'!U2-'Incurred Loss'!T2)/('Reported Count'!U2-'Reported Count'!T2),"")</f>
        <v>0</v>
      </c>
      <c r="V57" s="3">
        <f>IFERROR(('Incurred Loss'!V2-'Incurred Loss'!U2)/('Reported Count'!V2-'Reported Count'!U2),"")</f>
        <v>0</v>
      </c>
      <c r="W57" s="3">
        <f>IFERROR(('Incurred Loss'!W2-'Incurred Loss'!V2)/('Reported Count'!W2-'Reported Count'!V2),"")</f>
        <v>0</v>
      </c>
      <c r="X57" s="3">
        <f>IFERROR(('Incurred Loss'!X2-'Incurred Loss'!W2)/('Reported Count'!X2-'Reported Count'!W2),"")</f>
        <v>0</v>
      </c>
      <c r="Y57" s="3">
        <f>IFERROR(('Incurred Loss'!Y2-'Incurred Loss'!X2)/('Reported Count'!Y2-'Reported Count'!X2),"")</f>
        <v>0</v>
      </c>
    </row>
    <row r="58" spans="1:25">
      <c r="A58" s="2" t="s">
        <v>26</v>
      </c>
      <c r="B58" s="3">
        <f>IFERROR('Incurred Loss'!B3/'Reported Count'!B3,"")</f>
        <v>0</v>
      </c>
      <c r="C58" s="3">
        <f>IFERROR(('Incurred Loss'!C3-'Incurred Loss'!B3)/('Reported Count'!C3-'Reported Count'!B3),"")</f>
        <v>0</v>
      </c>
      <c r="D58" s="3">
        <f>IFERROR(('Incurred Loss'!D3-'Incurred Loss'!C3)/('Reported Count'!D3-'Reported Count'!C3),"")</f>
        <v>0</v>
      </c>
      <c r="E58" s="3">
        <f>IFERROR(('Incurred Loss'!E3-'Incurred Loss'!D3)/('Reported Count'!E3-'Reported Count'!D3),"")</f>
        <v>0</v>
      </c>
      <c r="F58" s="3">
        <f>IFERROR(('Incurred Loss'!F3-'Incurred Loss'!E3)/('Reported Count'!F3-'Reported Count'!E3),"")</f>
        <v>0</v>
      </c>
      <c r="G58" s="3">
        <f>IFERROR(('Incurred Loss'!G3-'Incurred Loss'!F3)/('Reported Count'!G3-'Reported Count'!F3),"")</f>
        <v>0</v>
      </c>
      <c r="H58" s="3">
        <f>IFERROR(('Incurred Loss'!H3-'Incurred Loss'!G3)/('Reported Count'!H3-'Reported Count'!G3),"")</f>
        <v>0</v>
      </c>
      <c r="I58" s="3">
        <f>IFERROR(('Incurred Loss'!I3-'Incurred Loss'!H3)/('Reported Count'!I3-'Reported Count'!H3),"")</f>
        <v>0</v>
      </c>
      <c r="J58" s="3">
        <f>IFERROR(('Incurred Loss'!J3-'Incurred Loss'!I3)/('Reported Count'!J3-'Reported Count'!I3),"")</f>
        <v>0</v>
      </c>
      <c r="K58" s="3">
        <f>IFERROR(('Incurred Loss'!K3-'Incurred Loss'!J3)/('Reported Count'!K3-'Reported Count'!J3),"")</f>
        <v>0</v>
      </c>
      <c r="L58" s="3">
        <f>IFERROR(('Incurred Loss'!L3-'Incurred Loss'!K3)/('Reported Count'!L3-'Reported Count'!K3),"")</f>
        <v>0</v>
      </c>
      <c r="M58" s="3">
        <f>IFERROR(('Incurred Loss'!M3-'Incurred Loss'!L3)/('Reported Count'!M3-'Reported Count'!L3),"")</f>
        <v>0</v>
      </c>
      <c r="N58" s="3">
        <f>IFERROR(('Incurred Loss'!N3-'Incurred Loss'!M3)/('Reported Count'!N3-'Reported Count'!M3),"")</f>
        <v>0</v>
      </c>
      <c r="O58" s="3">
        <f>IFERROR(('Incurred Loss'!O3-'Incurred Loss'!N3)/('Reported Count'!O3-'Reported Count'!N3),"")</f>
        <v>0</v>
      </c>
      <c r="P58" s="3">
        <f>IFERROR(('Incurred Loss'!P3-'Incurred Loss'!O3)/('Reported Count'!P3-'Reported Count'!O3),"")</f>
        <v>0</v>
      </c>
      <c r="Q58" s="3">
        <f>IFERROR(('Incurred Loss'!Q3-'Incurred Loss'!P3)/('Reported Count'!Q3-'Reported Count'!P3),"")</f>
        <v>0</v>
      </c>
      <c r="R58" s="3">
        <f>IFERROR(('Incurred Loss'!R3-'Incurred Loss'!Q3)/('Reported Count'!R3-'Reported Count'!Q3),"")</f>
        <v>0</v>
      </c>
      <c r="S58" s="3">
        <f>IFERROR(('Incurred Loss'!S3-'Incurred Loss'!R3)/('Reported Count'!S3-'Reported Count'!R3),"")</f>
        <v>0</v>
      </c>
      <c r="T58" s="3">
        <f>IFERROR(('Incurred Loss'!T3-'Incurred Loss'!S3)/('Reported Count'!T3-'Reported Count'!S3),"")</f>
        <v>0</v>
      </c>
      <c r="U58" s="3">
        <f>IFERROR(('Incurred Loss'!U3-'Incurred Loss'!T3)/('Reported Count'!U3-'Reported Count'!T3),"")</f>
        <v>0</v>
      </c>
      <c r="V58" s="3">
        <f>IFERROR(('Incurred Loss'!V3-'Incurred Loss'!U3)/('Reported Count'!V3-'Reported Count'!U3),"")</f>
        <v>0</v>
      </c>
      <c r="W58" s="3">
        <f>IFERROR(('Incurred Loss'!W3-'Incurred Loss'!V3)/('Reported Count'!W3-'Reported Count'!V3),"")</f>
        <v>0</v>
      </c>
      <c r="X58" s="3">
        <f>IFERROR(('Incurred Loss'!X3-'Incurred Loss'!W3)/('Reported Count'!X3-'Reported Count'!W3),"")</f>
        <v>0</v>
      </c>
      <c r="Y58" s="3">
        <f>IFERROR(('Incurred Loss'!Y3-'Incurred Loss'!X3)/('Reported Count'!Y3-'Reported Count'!X3),"")</f>
        <v>0</v>
      </c>
    </row>
    <row r="59" spans="1:25">
      <c r="A59" s="2" t="s">
        <v>27</v>
      </c>
      <c r="B59" s="3">
        <f>IFERROR('Incurred Loss'!B4/'Reported Count'!B4,"")</f>
        <v>0</v>
      </c>
      <c r="C59" s="3">
        <f>IFERROR(('Incurred Loss'!C4-'Incurred Loss'!B4)/('Reported Count'!C4-'Reported Count'!B4),"")</f>
        <v>0</v>
      </c>
      <c r="D59" s="3">
        <f>IFERROR(('Incurred Loss'!D4-'Incurred Loss'!C4)/('Reported Count'!D4-'Reported Count'!C4),"")</f>
        <v>0</v>
      </c>
      <c r="E59" s="3">
        <f>IFERROR(('Incurred Loss'!E4-'Incurred Loss'!D4)/('Reported Count'!E4-'Reported Count'!D4),"")</f>
        <v>0</v>
      </c>
      <c r="F59" s="3">
        <f>IFERROR(('Incurred Loss'!F4-'Incurred Loss'!E4)/('Reported Count'!F4-'Reported Count'!E4),"")</f>
        <v>0</v>
      </c>
      <c r="G59" s="3">
        <f>IFERROR(('Incurred Loss'!G4-'Incurred Loss'!F4)/('Reported Count'!G4-'Reported Count'!F4),"")</f>
        <v>0</v>
      </c>
      <c r="H59" s="3">
        <f>IFERROR(('Incurred Loss'!H4-'Incurred Loss'!G4)/('Reported Count'!H4-'Reported Count'!G4),"")</f>
        <v>0</v>
      </c>
      <c r="I59" s="3">
        <f>IFERROR(('Incurred Loss'!I4-'Incurred Loss'!H4)/('Reported Count'!I4-'Reported Count'!H4),"")</f>
        <v>0</v>
      </c>
      <c r="J59" s="3">
        <f>IFERROR(('Incurred Loss'!J4-'Incurred Loss'!I4)/('Reported Count'!J4-'Reported Count'!I4),"")</f>
        <v>0</v>
      </c>
      <c r="K59" s="3">
        <f>IFERROR(('Incurred Loss'!K4-'Incurred Loss'!J4)/('Reported Count'!K4-'Reported Count'!J4),"")</f>
        <v>0</v>
      </c>
      <c r="L59" s="3">
        <f>IFERROR(('Incurred Loss'!L4-'Incurred Loss'!K4)/('Reported Count'!L4-'Reported Count'!K4),"")</f>
        <v>0</v>
      </c>
      <c r="M59" s="3">
        <f>IFERROR(('Incurred Loss'!M4-'Incurred Loss'!L4)/('Reported Count'!M4-'Reported Count'!L4),"")</f>
        <v>0</v>
      </c>
      <c r="N59" s="3">
        <f>IFERROR(('Incurred Loss'!N4-'Incurred Loss'!M4)/('Reported Count'!N4-'Reported Count'!M4),"")</f>
        <v>0</v>
      </c>
      <c r="O59" s="3">
        <f>IFERROR(('Incurred Loss'!O4-'Incurred Loss'!N4)/('Reported Count'!O4-'Reported Count'!N4),"")</f>
        <v>0</v>
      </c>
      <c r="P59" s="3">
        <f>IFERROR(('Incurred Loss'!P4-'Incurred Loss'!O4)/('Reported Count'!P4-'Reported Count'!O4),"")</f>
        <v>0</v>
      </c>
      <c r="Q59" s="3">
        <f>IFERROR(('Incurred Loss'!Q4-'Incurred Loss'!P4)/('Reported Count'!Q4-'Reported Count'!P4),"")</f>
        <v>0</v>
      </c>
      <c r="R59" s="3">
        <f>IFERROR(('Incurred Loss'!R4-'Incurred Loss'!Q4)/('Reported Count'!R4-'Reported Count'!Q4),"")</f>
        <v>0</v>
      </c>
      <c r="S59" s="3">
        <f>IFERROR(('Incurred Loss'!S4-'Incurred Loss'!R4)/('Reported Count'!S4-'Reported Count'!R4),"")</f>
        <v>0</v>
      </c>
      <c r="T59" s="3">
        <f>IFERROR(('Incurred Loss'!T4-'Incurred Loss'!S4)/('Reported Count'!T4-'Reported Count'!S4),"")</f>
        <v>0</v>
      </c>
      <c r="U59" s="3">
        <f>IFERROR(('Incurred Loss'!U4-'Incurred Loss'!T4)/('Reported Count'!U4-'Reported Count'!T4),"")</f>
        <v>0</v>
      </c>
      <c r="V59" s="3">
        <f>IFERROR(('Incurred Loss'!V4-'Incurred Loss'!U4)/('Reported Count'!V4-'Reported Count'!U4),"")</f>
        <v>0</v>
      </c>
      <c r="W59" s="3">
        <f>IFERROR(('Incurred Loss'!W4-'Incurred Loss'!V4)/('Reported Count'!W4-'Reported Count'!V4),"")</f>
        <v>0</v>
      </c>
      <c r="X59" s="3">
        <f>IFERROR(('Incurred Loss'!X4-'Incurred Loss'!W4)/('Reported Count'!X4-'Reported Count'!W4),"")</f>
        <v>0</v>
      </c>
      <c r="Y59" s="3">
        <f>IFERROR(('Incurred Loss'!Y4-'Incurred Loss'!X4)/('Reported Count'!Y4-'Reported Count'!X4),"")</f>
        <v>0</v>
      </c>
    </row>
    <row r="60" spans="1:25">
      <c r="A60" s="2" t="s">
        <v>28</v>
      </c>
      <c r="B60" s="3">
        <f>IFERROR('Incurred Loss'!B5/'Reported Count'!B5,"")</f>
        <v>0</v>
      </c>
      <c r="C60" s="3">
        <f>IFERROR(('Incurred Loss'!C5-'Incurred Loss'!B5)/('Reported Count'!C5-'Reported Count'!B5),"")</f>
        <v>0</v>
      </c>
      <c r="D60" s="3">
        <f>IFERROR(('Incurred Loss'!D5-'Incurred Loss'!C5)/('Reported Count'!D5-'Reported Count'!C5),"")</f>
        <v>0</v>
      </c>
      <c r="E60" s="3">
        <f>IFERROR(('Incurred Loss'!E5-'Incurred Loss'!D5)/('Reported Count'!E5-'Reported Count'!D5),"")</f>
        <v>0</v>
      </c>
      <c r="F60" s="3">
        <f>IFERROR(('Incurred Loss'!F5-'Incurred Loss'!E5)/('Reported Count'!F5-'Reported Count'!E5),"")</f>
        <v>0</v>
      </c>
      <c r="G60" s="3">
        <f>IFERROR(('Incurred Loss'!G5-'Incurred Loss'!F5)/('Reported Count'!G5-'Reported Count'!F5),"")</f>
        <v>0</v>
      </c>
      <c r="H60" s="3">
        <f>IFERROR(('Incurred Loss'!H5-'Incurred Loss'!G5)/('Reported Count'!H5-'Reported Count'!G5),"")</f>
        <v>0</v>
      </c>
      <c r="I60" s="3">
        <f>IFERROR(('Incurred Loss'!I5-'Incurred Loss'!H5)/('Reported Count'!I5-'Reported Count'!H5),"")</f>
        <v>0</v>
      </c>
      <c r="J60" s="3">
        <f>IFERROR(('Incurred Loss'!J5-'Incurred Loss'!I5)/('Reported Count'!J5-'Reported Count'!I5),"")</f>
        <v>0</v>
      </c>
      <c r="K60" s="3">
        <f>IFERROR(('Incurred Loss'!K5-'Incurred Loss'!J5)/('Reported Count'!K5-'Reported Count'!J5),"")</f>
        <v>0</v>
      </c>
      <c r="L60" s="3">
        <f>IFERROR(('Incurred Loss'!L5-'Incurred Loss'!K5)/('Reported Count'!L5-'Reported Count'!K5),"")</f>
        <v>0</v>
      </c>
      <c r="M60" s="3">
        <f>IFERROR(('Incurred Loss'!M5-'Incurred Loss'!L5)/('Reported Count'!M5-'Reported Count'!L5),"")</f>
        <v>0</v>
      </c>
      <c r="N60" s="3">
        <f>IFERROR(('Incurred Loss'!N5-'Incurred Loss'!M5)/('Reported Count'!N5-'Reported Count'!M5),"")</f>
        <v>0</v>
      </c>
      <c r="O60" s="3">
        <f>IFERROR(('Incurred Loss'!O5-'Incurred Loss'!N5)/('Reported Count'!O5-'Reported Count'!N5),"")</f>
        <v>0</v>
      </c>
      <c r="P60" s="3">
        <f>IFERROR(('Incurred Loss'!P5-'Incurred Loss'!O5)/('Reported Count'!P5-'Reported Count'!O5),"")</f>
        <v>0</v>
      </c>
      <c r="Q60" s="3">
        <f>IFERROR(('Incurred Loss'!Q5-'Incurred Loss'!P5)/('Reported Count'!Q5-'Reported Count'!P5),"")</f>
        <v>0</v>
      </c>
      <c r="R60" s="3">
        <f>IFERROR(('Incurred Loss'!R5-'Incurred Loss'!Q5)/('Reported Count'!R5-'Reported Count'!Q5),"")</f>
        <v>0</v>
      </c>
      <c r="S60" s="3">
        <f>IFERROR(('Incurred Loss'!S5-'Incurred Loss'!R5)/('Reported Count'!S5-'Reported Count'!R5),"")</f>
        <v>0</v>
      </c>
      <c r="T60" s="3">
        <f>IFERROR(('Incurred Loss'!T5-'Incurred Loss'!S5)/('Reported Count'!T5-'Reported Count'!S5),"")</f>
        <v>0</v>
      </c>
      <c r="U60" s="3">
        <f>IFERROR(('Incurred Loss'!U5-'Incurred Loss'!T5)/('Reported Count'!U5-'Reported Count'!T5),"")</f>
        <v>0</v>
      </c>
      <c r="V60" s="3">
        <f>IFERROR(('Incurred Loss'!V5-'Incurred Loss'!U5)/('Reported Count'!V5-'Reported Count'!U5),"")</f>
        <v>0</v>
      </c>
      <c r="W60" s="3">
        <f>IFERROR(('Incurred Loss'!W5-'Incurred Loss'!V5)/('Reported Count'!W5-'Reported Count'!V5),"")</f>
        <v>0</v>
      </c>
      <c r="X60" s="3">
        <f>IFERROR(('Incurred Loss'!X5-'Incurred Loss'!W5)/('Reported Count'!X5-'Reported Count'!W5),"")</f>
        <v>0</v>
      </c>
      <c r="Y60" s="3">
        <f>IFERROR(('Incurred Loss'!Y5-'Incurred Loss'!X5)/('Reported Count'!Y5-'Reported Count'!X5),"")</f>
        <v>0</v>
      </c>
    </row>
    <row r="61" spans="1:25">
      <c r="A61" s="2" t="s">
        <v>29</v>
      </c>
      <c r="B61" s="3">
        <f>IFERROR('Incurred Loss'!B6/'Reported Count'!B6,"")</f>
        <v>0</v>
      </c>
      <c r="C61" s="3">
        <f>IFERROR(('Incurred Loss'!C6-'Incurred Loss'!B6)/('Reported Count'!C6-'Reported Count'!B6),"")</f>
        <v>0</v>
      </c>
      <c r="D61" s="3">
        <f>IFERROR(('Incurred Loss'!D6-'Incurred Loss'!C6)/('Reported Count'!D6-'Reported Count'!C6),"")</f>
        <v>0</v>
      </c>
      <c r="E61" s="3">
        <f>IFERROR(('Incurred Loss'!E6-'Incurred Loss'!D6)/('Reported Count'!E6-'Reported Count'!D6),"")</f>
        <v>0</v>
      </c>
      <c r="F61" s="3">
        <f>IFERROR(('Incurred Loss'!F6-'Incurred Loss'!E6)/('Reported Count'!F6-'Reported Count'!E6),"")</f>
        <v>0</v>
      </c>
      <c r="G61" s="3">
        <f>IFERROR(('Incurred Loss'!G6-'Incurred Loss'!F6)/('Reported Count'!G6-'Reported Count'!F6),"")</f>
        <v>0</v>
      </c>
      <c r="H61" s="3">
        <f>IFERROR(('Incurred Loss'!H6-'Incurred Loss'!G6)/('Reported Count'!H6-'Reported Count'!G6),"")</f>
        <v>0</v>
      </c>
      <c r="I61" s="3">
        <f>IFERROR(('Incurred Loss'!I6-'Incurred Loss'!H6)/('Reported Count'!I6-'Reported Count'!H6),"")</f>
        <v>0</v>
      </c>
      <c r="J61" s="3">
        <f>IFERROR(('Incurred Loss'!J6-'Incurred Loss'!I6)/('Reported Count'!J6-'Reported Count'!I6),"")</f>
        <v>0</v>
      </c>
      <c r="K61" s="3">
        <f>IFERROR(('Incurred Loss'!K6-'Incurred Loss'!J6)/('Reported Count'!K6-'Reported Count'!J6),"")</f>
        <v>0</v>
      </c>
      <c r="L61" s="3">
        <f>IFERROR(('Incurred Loss'!L6-'Incurred Loss'!K6)/('Reported Count'!L6-'Reported Count'!K6),"")</f>
        <v>0</v>
      </c>
      <c r="M61" s="3">
        <f>IFERROR(('Incurred Loss'!M6-'Incurred Loss'!L6)/('Reported Count'!M6-'Reported Count'!L6),"")</f>
        <v>0</v>
      </c>
      <c r="N61" s="3">
        <f>IFERROR(('Incurred Loss'!N6-'Incurred Loss'!M6)/('Reported Count'!N6-'Reported Count'!M6),"")</f>
        <v>0</v>
      </c>
      <c r="O61" s="3">
        <f>IFERROR(('Incurred Loss'!O6-'Incurred Loss'!N6)/('Reported Count'!O6-'Reported Count'!N6),"")</f>
        <v>0</v>
      </c>
      <c r="P61" s="3">
        <f>IFERROR(('Incurred Loss'!P6-'Incurred Loss'!O6)/('Reported Count'!P6-'Reported Count'!O6),"")</f>
        <v>0</v>
      </c>
      <c r="Q61" s="3">
        <f>IFERROR(('Incurred Loss'!Q6-'Incurred Loss'!P6)/('Reported Count'!Q6-'Reported Count'!P6),"")</f>
        <v>0</v>
      </c>
      <c r="R61" s="3">
        <f>IFERROR(('Incurred Loss'!R6-'Incurred Loss'!Q6)/('Reported Count'!R6-'Reported Count'!Q6),"")</f>
        <v>0</v>
      </c>
      <c r="S61" s="3">
        <f>IFERROR(('Incurred Loss'!S6-'Incurred Loss'!R6)/('Reported Count'!S6-'Reported Count'!R6),"")</f>
        <v>0</v>
      </c>
      <c r="T61" s="3">
        <f>IFERROR(('Incurred Loss'!T6-'Incurred Loss'!S6)/('Reported Count'!T6-'Reported Count'!S6),"")</f>
        <v>0</v>
      </c>
      <c r="U61" s="3">
        <f>IFERROR(('Incurred Loss'!U6-'Incurred Loss'!T6)/('Reported Count'!U6-'Reported Count'!T6),"")</f>
        <v>0</v>
      </c>
      <c r="V61" s="3">
        <f>IFERROR(('Incurred Loss'!V6-'Incurred Loss'!U6)/('Reported Count'!V6-'Reported Count'!U6),"")</f>
        <v>0</v>
      </c>
      <c r="W61" s="3">
        <f>IFERROR(('Incurred Loss'!W6-'Incurred Loss'!V6)/('Reported Count'!W6-'Reported Count'!V6),"")</f>
        <v>0</v>
      </c>
      <c r="X61" s="3">
        <f>IFERROR(('Incurred Loss'!X6-'Incurred Loss'!W6)/('Reported Count'!X6-'Reported Count'!W6),"")</f>
        <v>0</v>
      </c>
      <c r="Y61" s="3">
        <f>IFERROR(('Incurred Loss'!Y6-'Incurred Loss'!X6)/('Reported Count'!Y6-'Reported Count'!X6),"")</f>
        <v>0</v>
      </c>
    </row>
    <row r="62" spans="1:25">
      <c r="A62" s="2" t="s">
        <v>30</v>
      </c>
      <c r="B62" s="3">
        <f>IFERROR('Incurred Loss'!B7/'Reported Count'!B7,"")</f>
        <v>0</v>
      </c>
      <c r="C62" s="3">
        <f>IFERROR(('Incurred Loss'!C7-'Incurred Loss'!B7)/('Reported Count'!C7-'Reported Count'!B7),"")</f>
        <v>0</v>
      </c>
      <c r="D62" s="3">
        <f>IFERROR(('Incurred Loss'!D7-'Incurred Loss'!C7)/('Reported Count'!D7-'Reported Count'!C7),"")</f>
        <v>0</v>
      </c>
      <c r="E62" s="3">
        <f>IFERROR(('Incurred Loss'!E7-'Incurred Loss'!D7)/('Reported Count'!E7-'Reported Count'!D7),"")</f>
        <v>0</v>
      </c>
      <c r="F62" s="3">
        <f>IFERROR(('Incurred Loss'!F7-'Incurred Loss'!E7)/('Reported Count'!F7-'Reported Count'!E7),"")</f>
        <v>0</v>
      </c>
      <c r="G62" s="3">
        <f>IFERROR(('Incurred Loss'!G7-'Incurred Loss'!F7)/('Reported Count'!G7-'Reported Count'!F7),"")</f>
        <v>0</v>
      </c>
      <c r="H62" s="3">
        <f>IFERROR(('Incurred Loss'!H7-'Incurred Loss'!G7)/('Reported Count'!H7-'Reported Count'!G7),"")</f>
        <v>0</v>
      </c>
      <c r="I62" s="3">
        <f>IFERROR(('Incurred Loss'!I7-'Incurred Loss'!H7)/('Reported Count'!I7-'Reported Count'!H7),"")</f>
        <v>0</v>
      </c>
      <c r="J62" s="3">
        <f>IFERROR(('Incurred Loss'!J7-'Incurred Loss'!I7)/('Reported Count'!J7-'Reported Count'!I7),"")</f>
        <v>0</v>
      </c>
      <c r="K62" s="3">
        <f>IFERROR(('Incurred Loss'!K7-'Incurred Loss'!J7)/('Reported Count'!K7-'Reported Count'!J7),"")</f>
        <v>0</v>
      </c>
      <c r="L62" s="3">
        <f>IFERROR(('Incurred Loss'!L7-'Incurred Loss'!K7)/('Reported Count'!L7-'Reported Count'!K7),"")</f>
        <v>0</v>
      </c>
      <c r="M62" s="3">
        <f>IFERROR(('Incurred Loss'!M7-'Incurred Loss'!L7)/('Reported Count'!M7-'Reported Count'!L7),"")</f>
        <v>0</v>
      </c>
      <c r="N62" s="3">
        <f>IFERROR(('Incurred Loss'!N7-'Incurred Loss'!M7)/('Reported Count'!N7-'Reported Count'!M7),"")</f>
        <v>0</v>
      </c>
      <c r="O62" s="3">
        <f>IFERROR(('Incurred Loss'!O7-'Incurred Loss'!N7)/('Reported Count'!O7-'Reported Count'!N7),"")</f>
        <v>0</v>
      </c>
      <c r="P62" s="3">
        <f>IFERROR(('Incurred Loss'!P7-'Incurred Loss'!O7)/('Reported Count'!P7-'Reported Count'!O7),"")</f>
        <v>0</v>
      </c>
      <c r="Q62" s="3">
        <f>IFERROR(('Incurred Loss'!Q7-'Incurred Loss'!P7)/('Reported Count'!Q7-'Reported Count'!P7),"")</f>
        <v>0</v>
      </c>
      <c r="R62" s="3">
        <f>IFERROR(('Incurred Loss'!R7-'Incurred Loss'!Q7)/('Reported Count'!R7-'Reported Count'!Q7),"")</f>
        <v>0</v>
      </c>
      <c r="S62" s="3">
        <f>IFERROR(('Incurred Loss'!S7-'Incurred Loss'!R7)/('Reported Count'!S7-'Reported Count'!R7),"")</f>
        <v>0</v>
      </c>
      <c r="T62" s="3">
        <f>IFERROR(('Incurred Loss'!T7-'Incurred Loss'!S7)/('Reported Count'!T7-'Reported Count'!S7),"")</f>
        <v>0</v>
      </c>
      <c r="U62" s="3">
        <f>IFERROR(('Incurred Loss'!U7-'Incurred Loss'!T7)/('Reported Count'!U7-'Reported Count'!T7),"")</f>
        <v>0</v>
      </c>
      <c r="V62" s="3">
        <f>IFERROR(('Incurred Loss'!V7-'Incurred Loss'!U7)/('Reported Count'!V7-'Reported Count'!U7),"")</f>
        <v>0</v>
      </c>
      <c r="W62" s="3">
        <f>IFERROR(('Incurred Loss'!W7-'Incurred Loss'!V7)/('Reported Count'!W7-'Reported Count'!V7),"")</f>
        <v>0</v>
      </c>
      <c r="X62" s="3">
        <f>IFERROR(('Incurred Loss'!X7-'Incurred Loss'!W7)/('Reported Count'!X7-'Reported Count'!W7),"")</f>
        <v>0</v>
      </c>
      <c r="Y62" s="3">
        <f>IFERROR(('Incurred Loss'!Y7-'Incurred Loss'!X7)/('Reported Count'!Y7-'Reported Count'!X7),"")</f>
        <v>0</v>
      </c>
    </row>
    <row r="63" spans="1:25">
      <c r="A63" s="2" t="s">
        <v>31</v>
      </c>
      <c r="B63" s="3">
        <f>IFERROR('Incurred Loss'!B8/'Reported Count'!B8,"")</f>
        <v>0</v>
      </c>
      <c r="C63" s="3">
        <f>IFERROR(('Incurred Loss'!C8-'Incurred Loss'!B8)/('Reported Count'!C8-'Reported Count'!B8),"")</f>
        <v>0</v>
      </c>
      <c r="D63" s="3">
        <f>IFERROR(('Incurred Loss'!D8-'Incurred Loss'!C8)/('Reported Count'!D8-'Reported Count'!C8),"")</f>
        <v>0</v>
      </c>
      <c r="E63" s="3">
        <f>IFERROR(('Incurred Loss'!E8-'Incurred Loss'!D8)/('Reported Count'!E8-'Reported Count'!D8),"")</f>
        <v>0</v>
      </c>
      <c r="F63" s="3">
        <f>IFERROR(('Incurred Loss'!F8-'Incurred Loss'!E8)/('Reported Count'!F8-'Reported Count'!E8),"")</f>
        <v>0</v>
      </c>
      <c r="G63" s="3">
        <f>IFERROR(('Incurred Loss'!G8-'Incurred Loss'!F8)/('Reported Count'!G8-'Reported Count'!F8),"")</f>
        <v>0</v>
      </c>
      <c r="H63" s="3">
        <f>IFERROR(('Incurred Loss'!H8-'Incurred Loss'!G8)/('Reported Count'!H8-'Reported Count'!G8),"")</f>
        <v>0</v>
      </c>
      <c r="I63" s="3">
        <f>IFERROR(('Incurred Loss'!I8-'Incurred Loss'!H8)/('Reported Count'!I8-'Reported Count'!H8),"")</f>
        <v>0</v>
      </c>
      <c r="J63" s="3">
        <f>IFERROR(('Incurred Loss'!J8-'Incurred Loss'!I8)/('Reported Count'!J8-'Reported Count'!I8),"")</f>
        <v>0</v>
      </c>
      <c r="K63" s="3">
        <f>IFERROR(('Incurred Loss'!K8-'Incurred Loss'!J8)/('Reported Count'!K8-'Reported Count'!J8),"")</f>
        <v>0</v>
      </c>
      <c r="L63" s="3">
        <f>IFERROR(('Incurred Loss'!L8-'Incurred Loss'!K8)/('Reported Count'!L8-'Reported Count'!K8),"")</f>
        <v>0</v>
      </c>
      <c r="M63" s="3">
        <f>IFERROR(('Incurred Loss'!M8-'Incurred Loss'!L8)/('Reported Count'!M8-'Reported Count'!L8),"")</f>
        <v>0</v>
      </c>
      <c r="N63" s="3">
        <f>IFERROR(('Incurred Loss'!N8-'Incurred Loss'!M8)/('Reported Count'!N8-'Reported Count'!M8),"")</f>
        <v>0</v>
      </c>
      <c r="O63" s="3">
        <f>IFERROR(('Incurred Loss'!O8-'Incurred Loss'!N8)/('Reported Count'!O8-'Reported Count'!N8),"")</f>
        <v>0</v>
      </c>
      <c r="P63" s="3">
        <f>IFERROR(('Incurred Loss'!P8-'Incurred Loss'!O8)/('Reported Count'!P8-'Reported Count'!O8),"")</f>
        <v>0</v>
      </c>
      <c r="Q63" s="3">
        <f>IFERROR(('Incurred Loss'!Q8-'Incurred Loss'!P8)/('Reported Count'!Q8-'Reported Count'!P8),"")</f>
        <v>0</v>
      </c>
      <c r="R63" s="3">
        <f>IFERROR(('Incurred Loss'!R8-'Incurred Loss'!Q8)/('Reported Count'!R8-'Reported Count'!Q8),"")</f>
        <v>0</v>
      </c>
      <c r="S63" s="3">
        <f>IFERROR(('Incurred Loss'!S8-'Incurred Loss'!R8)/('Reported Count'!S8-'Reported Count'!R8),"")</f>
        <v>0</v>
      </c>
      <c r="T63" s="3">
        <f>IFERROR(('Incurred Loss'!T8-'Incurred Loss'!S8)/('Reported Count'!T8-'Reported Count'!S8),"")</f>
        <v>0</v>
      </c>
      <c r="U63" s="3">
        <f>IFERROR(('Incurred Loss'!U8-'Incurred Loss'!T8)/('Reported Count'!U8-'Reported Count'!T8),"")</f>
        <v>0</v>
      </c>
      <c r="V63" s="3">
        <f>IFERROR(('Incurred Loss'!V8-'Incurred Loss'!U8)/('Reported Count'!V8-'Reported Count'!U8),"")</f>
        <v>0</v>
      </c>
      <c r="W63" s="3">
        <f>IFERROR(('Incurred Loss'!W8-'Incurred Loss'!V8)/('Reported Count'!W8-'Reported Count'!V8),"")</f>
        <v>0</v>
      </c>
      <c r="X63" s="3">
        <f>IFERROR(('Incurred Loss'!X8-'Incurred Loss'!W8)/('Reported Count'!X8-'Reported Count'!W8),"")</f>
        <v>0</v>
      </c>
      <c r="Y63" s="3">
        <f>IFERROR(('Incurred Loss'!Y8-'Incurred Loss'!X8)/('Reported Count'!Y8-'Reported Count'!X8),"")</f>
        <v>0</v>
      </c>
    </row>
    <row r="64" spans="1:25">
      <c r="A64" s="2" t="s">
        <v>32</v>
      </c>
      <c r="B64" s="3">
        <f>IFERROR('Incurred Loss'!B9/'Reported Count'!B9,"")</f>
        <v>0</v>
      </c>
      <c r="C64" s="3">
        <f>IFERROR(('Incurred Loss'!C9-'Incurred Loss'!B9)/('Reported Count'!C9-'Reported Count'!B9),"")</f>
        <v>0</v>
      </c>
      <c r="D64" s="3">
        <f>IFERROR(('Incurred Loss'!D9-'Incurred Loss'!C9)/('Reported Count'!D9-'Reported Count'!C9),"")</f>
        <v>0</v>
      </c>
      <c r="E64" s="3">
        <f>IFERROR(('Incurred Loss'!E9-'Incurred Loss'!D9)/('Reported Count'!E9-'Reported Count'!D9),"")</f>
        <v>0</v>
      </c>
      <c r="F64" s="3">
        <f>IFERROR(('Incurred Loss'!F9-'Incurred Loss'!E9)/('Reported Count'!F9-'Reported Count'!E9),"")</f>
        <v>0</v>
      </c>
      <c r="G64" s="3">
        <f>IFERROR(('Incurred Loss'!G9-'Incurred Loss'!F9)/('Reported Count'!G9-'Reported Count'!F9),"")</f>
        <v>0</v>
      </c>
      <c r="H64" s="3">
        <f>IFERROR(('Incurred Loss'!H9-'Incurred Loss'!G9)/('Reported Count'!H9-'Reported Count'!G9),"")</f>
        <v>0</v>
      </c>
      <c r="I64" s="3">
        <f>IFERROR(('Incurred Loss'!I9-'Incurred Loss'!H9)/('Reported Count'!I9-'Reported Count'!H9),"")</f>
        <v>0</v>
      </c>
      <c r="J64" s="3">
        <f>IFERROR(('Incurred Loss'!J9-'Incurred Loss'!I9)/('Reported Count'!J9-'Reported Count'!I9),"")</f>
        <v>0</v>
      </c>
      <c r="K64" s="3">
        <f>IFERROR(('Incurred Loss'!K9-'Incurred Loss'!J9)/('Reported Count'!K9-'Reported Count'!J9),"")</f>
        <v>0</v>
      </c>
      <c r="L64" s="3">
        <f>IFERROR(('Incurred Loss'!L9-'Incurred Loss'!K9)/('Reported Count'!L9-'Reported Count'!K9),"")</f>
        <v>0</v>
      </c>
      <c r="M64" s="3">
        <f>IFERROR(('Incurred Loss'!M9-'Incurred Loss'!L9)/('Reported Count'!M9-'Reported Count'!L9),"")</f>
        <v>0</v>
      </c>
      <c r="N64" s="3">
        <f>IFERROR(('Incurred Loss'!N9-'Incurred Loss'!M9)/('Reported Count'!N9-'Reported Count'!M9),"")</f>
        <v>0</v>
      </c>
      <c r="O64" s="3">
        <f>IFERROR(('Incurred Loss'!O9-'Incurred Loss'!N9)/('Reported Count'!O9-'Reported Count'!N9),"")</f>
        <v>0</v>
      </c>
      <c r="P64" s="3">
        <f>IFERROR(('Incurred Loss'!P9-'Incurred Loss'!O9)/('Reported Count'!P9-'Reported Count'!O9),"")</f>
        <v>0</v>
      </c>
      <c r="Q64" s="3">
        <f>IFERROR(('Incurred Loss'!Q9-'Incurred Loss'!P9)/('Reported Count'!Q9-'Reported Count'!P9),"")</f>
        <v>0</v>
      </c>
      <c r="R64" s="3">
        <f>IFERROR(('Incurred Loss'!R9-'Incurred Loss'!Q9)/('Reported Count'!R9-'Reported Count'!Q9),"")</f>
        <v>0</v>
      </c>
      <c r="S64" s="3">
        <f>IFERROR(('Incurred Loss'!S9-'Incurred Loss'!R9)/('Reported Count'!S9-'Reported Count'!R9),"")</f>
        <v>0</v>
      </c>
      <c r="T64" s="3">
        <f>IFERROR(('Incurred Loss'!T9-'Incurred Loss'!S9)/('Reported Count'!T9-'Reported Count'!S9),"")</f>
        <v>0</v>
      </c>
      <c r="U64" s="3">
        <f>IFERROR(('Incurred Loss'!U9-'Incurred Loss'!T9)/('Reported Count'!U9-'Reported Count'!T9),"")</f>
        <v>0</v>
      </c>
      <c r="V64" s="3">
        <f>IFERROR(('Incurred Loss'!V9-'Incurred Loss'!U9)/('Reported Count'!V9-'Reported Count'!U9),"")</f>
        <v>0</v>
      </c>
      <c r="W64" s="3">
        <f>IFERROR(('Incurred Loss'!W9-'Incurred Loss'!V9)/('Reported Count'!W9-'Reported Count'!V9),"")</f>
        <v>0</v>
      </c>
      <c r="X64" s="3">
        <f>IFERROR(('Incurred Loss'!X9-'Incurred Loss'!W9)/('Reported Count'!X9-'Reported Count'!W9),"")</f>
        <v>0</v>
      </c>
      <c r="Y64" s="3">
        <f>IFERROR(('Incurred Loss'!Y9-'Incurred Loss'!X9)/('Reported Count'!Y9-'Reported Count'!X9),"")</f>
        <v>0</v>
      </c>
    </row>
    <row r="65" spans="1:25">
      <c r="A65" s="2" t="s">
        <v>33</v>
      </c>
      <c r="B65" s="3">
        <f>IFERROR('Incurred Loss'!B10/'Reported Count'!B10,"")</f>
        <v>0</v>
      </c>
      <c r="C65" s="3">
        <f>IFERROR(('Incurred Loss'!C10-'Incurred Loss'!B10)/('Reported Count'!C10-'Reported Count'!B10),"")</f>
        <v>0</v>
      </c>
      <c r="D65" s="3">
        <f>IFERROR(('Incurred Loss'!D10-'Incurred Loss'!C10)/('Reported Count'!D10-'Reported Count'!C10),"")</f>
        <v>0</v>
      </c>
      <c r="E65" s="3">
        <f>IFERROR(('Incurred Loss'!E10-'Incurred Loss'!D10)/('Reported Count'!E10-'Reported Count'!D10),"")</f>
        <v>0</v>
      </c>
      <c r="F65" s="3">
        <f>IFERROR(('Incurred Loss'!F10-'Incurred Loss'!E10)/('Reported Count'!F10-'Reported Count'!E10),"")</f>
        <v>0</v>
      </c>
      <c r="G65" s="3">
        <f>IFERROR(('Incurred Loss'!G10-'Incurred Loss'!F10)/('Reported Count'!G10-'Reported Count'!F10),"")</f>
        <v>0</v>
      </c>
      <c r="H65" s="3">
        <f>IFERROR(('Incurred Loss'!H10-'Incurred Loss'!G10)/('Reported Count'!H10-'Reported Count'!G10),"")</f>
        <v>0</v>
      </c>
      <c r="I65" s="3">
        <f>IFERROR(('Incurred Loss'!I10-'Incurred Loss'!H10)/('Reported Count'!I10-'Reported Count'!H10),"")</f>
        <v>0</v>
      </c>
      <c r="J65" s="3">
        <f>IFERROR(('Incurred Loss'!J10-'Incurred Loss'!I10)/('Reported Count'!J10-'Reported Count'!I10),"")</f>
        <v>0</v>
      </c>
      <c r="K65" s="3">
        <f>IFERROR(('Incurred Loss'!K10-'Incurred Loss'!J10)/('Reported Count'!K10-'Reported Count'!J10),"")</f>
        <v>0</v>
      </c>
      <c r="L65" s="3">
        <f>IFERROR(('Incurred Loss'!L10-'Incurred Loss'!K10)/('Reported Count'!L10-'Reported Count'!K10),"")</f>
        <v>0</v>
      </c>
      <c r="M65" s="3">
        <f>IFERROR(('Incurred Loss'!M10-'Incurred Loss'!L10)/('Reported Count'!M10-'Reported Count'!L10),"")</f>
        <v>0</v>
      </c>
      <c r="N65" s="3">
        <f>IFERROR(('Incurred Loss'!N10-'Incurred Loss'!M10)/('Reported Count'!N10-'Reported Count'!M10),"")</f>
        <v>0</v>
      </c>
      <c r="O65" s="3">
        <f>IFERROR(('Incurred Loss'!O10-'Incurred Loss'!N10)/('Reported Count'!O10-'Reported Count'!N10),"")</f>
        <v>0</v>
      </c>
      <c r="P65" s="3">
        <f>IFERROR(('Incurred Loss'!P10-'Incurred Loss'!O10)/('Reported Count'!P10-'Reported Count'!O10),"")</f>
        <v>0</v>
      </c>
      <c r="Q65" s="3">
        <f>IFERROR(('Incurred Loss'!Q10-'Incurred Loss'!P10)/('Reported Count'!Q10-'Reported Count'!P10),"")</f>
        <v>0</v>
      </c>
      <c r="R65" s="3">
        <f>IFERROR(('Incurred Loss'!R10-'Incurred Loss'!Q10)/('Reported Count'!R10-'Reported Count'!Q10),"")</f>
        <v>0</v>
      </c>
      <c r="S65" s="3">
        <f>IFERROR(('Incurred Loss'!S10-'Incurred Loss'!R10)/('Reported Count'!S10-'Reported Count'!R10),"")</f>
        <v>0</v>
      </c>
      <c r="T65" s="3">
        <f>IFERROR(('Incurred Loss'!T10-'Incurred Loss'!S10)/('Reported Count'!T10-'Reported Count'!S10),"")</f>
        <v>0</v>
      </c>
      <c r="U65" s="3">
        <f>IFERROR(('Incurred Loss'!U10-'Incurred Loss'!T10)/('Reported Count'!U10-'Reported Count'!T10),"")</f>
        <v>0</v>
      </c>
      <c r="V65" s="3">
        <f>IFERROR(('Incurred Loss'!V10-'Incurred Loss'!U10)/('Reported Count'!V10-'Reported Count'!U10),"")</f>
        <v>0</v>
      </c>
      <c r="W65" s="3">
        <f>IFERROR(('Incurred Loss'!W10-'Incurred Loss'!V10)/('Reported Count'!W10-'Reported Count'!V10),"")</f>
        <v>0</v>
      </c>
      <c r="X65" s="3">
        <f>IFERROR(('Incurred Loss'!X10-'Incurred Loss'!W10)/('Reported Count'!X10-'Reported Count'!W10),"")</f>
        <v>0</v>
      </c>
      <c r="Y65" s="3">
        <f>IFERROR(('Incurred Loss'!Y10-'Incurred Loss'!X10)/('Reported Count'!Y10-'Reported Count'!X10),"")</f>
        <v>0</v>
      </c>
    </row>
    <row r="66" spans="1:25">
      <c r="A66" s="2" t="s">
        <v>34</v>
      </c>
      <c r="B66" s="3">
        <f>IFERROR('Incurred Loss'!B11/'Reported Count'!B11,"")</f>
        <v>0</v>
      </c>
      <c r="C66" s="3">
        <f>IFERROR(('Incurred Loss'!C11-'Incurred Loss'!B11)/('Reported Count'!C11-'Reported Count'!B11),"")</f>
        <v>0</v>
      </c>
      <c r="D66" s="3">
        <f>IFERROR(('Incurred Loss'!D11-'Incurred Loss'!C11)/('Reported Count'!D11-'Reported Count'!C11),"")</f>
        <v>0</v>
      </c>
      <c r="E66" s="3">
        <f>IFERROR(('Incurred Loss'!E11-'Incurred Loss'!D11)/('Reported Count'!E11-'Reported Count'!D11),"")</f>
        <v>0</v>
      </c>
      <c r="F66" s="3">
        <f>IFERROR(('Incurred Loss'!F11-'Incurred Loss'!E11)/('Reported Count'!F11-'Reported Count'!E11),"")</f>
        <v>0</v>
      </c>
      <c r="G66" s="3">
        <f>IFERROR(('Incurred Loss'!G11-'Incurred Loss'!F11)/('Reported Count'!G11-'Reported Count'!F11),"")</f>
        <v>0</v>
      </c>
      <c r="H66" s="3">
        <f>IFERROR(('Incurred Loss'!H11-'Incurred Loss'!G11)/('Reported Count'!H11-'Reported Count'!G11),"")</f>
        <v>0</v>
      </c>
      <c r="I66" s="3">
        <f>IFERROR(('Incurred Loss'!I11-'Incurred Loss'!H11)/('Reported Count'!I11-'Reported Count'!H11),"")</f>
        <v>0</v>
      </c>
      <c r="J66" s="3">
        <f>IFERROR(('Incurred Loss'!J11-'Incurred Loss'!I11)/('Reported Count'!J11-'Reported Count'!I11),"")</f>
        <v>0</v>
      </c>
      <c r="K66" s="3">
        <f>IFERROR(('Incurred Loss'!K11-'Incurred Loss'!J11)/('Reported Count'!K11-'Reported Count'!J11),"")</f>
        <v>0</v>
      </c>
      <c r="L66" s="3">
        <f>IFERROR(('Incurred Loss'!L11-'Incurred Loss'!K11)/('Reported Count'!L11-'Reported Count'!K11),"")</f>
        <v>0</v>
      </c>
      <c r="M66" s="3">
        <f>IFERROR(('Incurred Loss'!M11-'Incurred Loss'!L11)/('Reported Count'!M11-'Reported Count'!L11),"")</f>
        <v>0</v>
      </c>
      <c r="N66" s="3">
        <f>IFERROR(('Incurred Loss'!N11-'Incurred Loss'!M11)/('Reported Count'!N11-'Reported Count'!M11),"")</f>
        <v>0</v>
      </c>
      <c r="O66" s="3">
        <f>IFERROR(('Incurred Loss'!O11-'Incurred Loss'!N11)/('Reported Count'!O11-'Reported Count'!N11),"")</f>
        <v>0</v>
      </c>
      <c r="P66" s="3">
        <f>IFERROR(('Incurred Loss'!P11-'Incurred Loss'!O11)/('Reported Count'!P11-'Reported Count'!O11),"")</f>
        <v>0</v>
      </c>
      <c r="Q66" s="3">
        <f>IFERROR(('Incurred Loss'!Q11-'Incurred Loss'!P11)/('Reported Count'!Q11-'Reported Count'!P11),"")</f>
        <v>0</v>
      </c>
      <c r="R66" s="3">
        <f>IFERROR(('Incurred Loss'!R11-'Incurred Loss'!Q11)/('Reported Count'!R11-'Reported Count'!Q11),"")</f>
        <v>0</v>
      </c>
      <c r="S66" s="3">
        <f>IFERROR(('Incurred Loss'!S11-'Incurred Loss'!R11)/('Reported Count'!S11-'Reported Count'!R11),"")</f>
        <v>0</v>
      </c>
      <c r="T66" s="3">
        <f>IFERROR(('Incurred Loss'!T11-'Incurred Loss'!S11)/('Reported Count'!T11-'Reported Count'!S11),"")</f>
        <v>0</v>
      </c>
      <c r="U66" s="3">
        <f>IFERROR(('Incurred Loss'!U11-'Incurred Loss'!T11)/('Reported Count'!U11-'Reported Count'!T11),"")</f>
        <v>0</v>
      </c>
      <c r="V66" s="3">
        <f>IFERROR(('Incurred Loss'!V11-'Incurred Loss'!U11)/('Reported Count'!V11-'Reported Count'!U11),"")</f>
        <v>0</v>
      </c>
      <c r="W66" s="3">
        <f>IFERROR(('Incurred Loss'!W11-'Incurred Loss'!V11)/('Reported Count'!W11-'Reported Count'!V11),"")</f>
        <v>0</v>
      </c>
      <c r="X66" s="3">
        <f>IFERROR(('Incurred Loss'!X11-'Incurred Loss'!W11)/('Reported Count'!X11-'Reported Count'!W11),"")</f>
        <v>0</v>
      </c>
      <c r="Y66" s="3">
        <f>IFERROR(('Incurred Loss'!Y11-'Incurred Loss'!X11)/('Reported Count'!Y11-'Reported Count'!X11),"")</f>
        <v>0</v>
      </c>
    </row>
    <row r="67" spans="1:25">
      <c r="A67" s="2" t="s">
        <v>35</v>
      </c>
      <c r="B67" s="3">
        <f>IFERROR('Incurred Loss'!B12/'Reported Count'!B12,"")</f>
        <v>0</v>
      </c>
      <c r="C67" s="3">
        <f>IFERROR(('Incurred Loss'!C12-'Incurred Loss'!B12)/('Reported Count'!C12-'Reported Count'!B12),"")</f>
        <v>0</v>
      </c>
      <c r="D67" s="3">
        <f>IFERROR(('Incurred Loss'!D12-'Incurred Loss'!C12)/('Reported Count'!D12-'Reported Count'!C12),"")</f>
        <v>0</v>
      </c>
      <c r="E67" s="3">
        <f>IFERROR(('Incurred Loss'!E12-'Incurred Loss'!D12)/('Reported Count'!E12-'Reported Count'!D12),"")</f>
        <v>0</v>
      </c>
      <c r="F67" s="3">
        <f>IFERROR(('Incurred Loss'!F12-'Incurred Loss'!E12)/('Reported Count'!F12-'Reported Count'!E12),"")</f>
        <v>0</v>
      </c>
      <c r="G67" s="3">
        <f>IFERROR(('Incurred Loss'!G12-'Incurred Loss'!F12)/('Reported Count'!G12-'Reported Count'!F12),"")</f>
        <v>0</v>
      </c>
      <c r="H67" s="3">
        <f>IFERROR(('Incurred Loss'!H12-'Incurred Loss'!G12)/('Reported Count'!H12-'Reported Count'!G12),"")</f>
        <v>0</v>
      </c>
      <c r="I67" s="3">
        <f>IFERROR(('Incurred Loss'!I12-'Incurred Loss'!H12)/('Reported Count'!I12-'Reported Count'!H12),"")</f>
        <v>0</v>
      </c>
      <c r="J67" s="3">
        <f>IFERROR(('Incurred Loss'!J12-'Incurred Loss'!I12)/('Reported Count'!J12-'Reported Count'!I12),"")</f>
        <v>0</v>
      </c>
      <c r="K67" s="3">
        <f>IFERROR(('Incurred Loss'!K12-'Incurred Loss'!J12)/('Reported Count'!K12-'Reported Count'!J12),"")</f>
        <v>0</v>
      </c>
      <c r="L67" s="3">
        <f>IFERROR(('Incurred Loss'!L12-'Incurred Loss'!K12)/('Reported Count'!L12-'Reported Count'!K12),"")</f>
        <v>0</v>
      </c>
      <c r="M67" s="3">
        <f>IFERROR(('Incurred Loss'!M12-'Incurred Loss'!L12)/('Reported Count'!M12-'Reported Count'!L12),"")</f>
        <v>0</v>
      </c>
      <c r="N67" s="3">
        <f>IFERROR(('Incurred Loss'!N12-'Incurred Loss'!M12)/('Reported Count'!N12-'Reported Count'!M12),"")</f>
        <v>0</v>
      </c>
      <c r="O67" s="3">
        <f>IFERROR(('Incurred Loss'!O12-'Incurred Loss'!N12)/('Reported Count'!O12-'Reported Count'!N12),"")</f>
        <v>0</v>
      </c>
      <c r="P67" s="3">
        <f>IFERROR(('Incurred Loss'!P12-'Incurred Loss'!O12)/('Reported Count'!P12-'Reported Count'!O12),"")</f>
        <v>0</v>
      </c>
      <c r="Q67" s="3">
        <f>IFERROR(('Incurred Loss'!Q12-'Incurred Loss'!P12)/('Reported Count'!Q12-'Reported Count'!P12),"")</f>
        <v>0</v>
      </c>
      <c r="R67" s="3">
        <f>IFERROR(('Incurred Loss'!R12-'Incurred Loss'!Q12)/('Reported Count'!R12-'Reported Count'!Q12),"")</f>
        <v>0</v>
      </c>
      <c r="S67" s="3">
        <f>IFERROR(('Incurred Loss'!S12-'Incurred Loss'!R12)/('Reported Count'!S12-'Reported Count'!R12),"")</f>
        <v>0</v>
      </c>
      <c r="T67" s="3">
        <f>IFERROR(('Incurred Loss'!T12-'Incurred Loss'!S12)/('Reported Count'!T12-'Reported Count'!S12),"")</f>
        <v>0</v>
      </c>
      <c r="U67" s="3">
        <f>IFERROR(('Incurred Loss'!U12-'Incurred Loss'!T12)/('Reported Count'!U12-'Reported Count'!T12),"")</f>
        <v>0</v>
      </c>
      <c r="V67" s="3">
        <f>IFERROR(('Incurred Loss'!V12-'Incurred Loss'!U12)/('Reported Count'!V12-'Reported Count'!U12),"")</f>
        <v>0</v>
      </c>
      <c r="W67" s="3">
        <f>IFERROR(('Incurred Loss'!W12-'Incurred Loss'!V12)/('Reported Count'!W12-'Reported Count'!V12),"")</f>
        <v>0</v>
      </c>
      <c r="X67" s="3">
        <f>IFERROR(('Incurred Loss'!X12-'Incurred Loss'!W12)/('Reported Count'!X12-'Reported Count'!W12),"")</f>
        <v>0</v>
      </c>
      <c r="Y67" s="3">
        <f>IFERROR(('Incurred Loss'!Y12-'Incurred Loss'!X12)/('Reported Count'!Y12-'Reported Count'!X12),"")</f>
        <v>0</v>
      </c>
    </row>
    <row r="68" spans="1:25">
      <c r="A68" s="2" t="s">
        <v>36</v>
      </c>
      <c r="B68" s="3">
        <f>IFERROR('Incurred Loss'!B13/'Reported Count'!B13,"")</f>
        <v>0</v>
      </c>
      <c r="C68" s="3">
        <f>IFERROR(('Incurred Loss'!C13-'Incurred Loss'!B13)/('Reported Count'!C13-'Reported Count'!B13),"")</f>
        <v>0</v>
      </c>
      <c r="D68" s="3">
        <f>IFERROR(('Incurred Loss'!D13-'Incurred Loss'!C13)/('Reported Count'!D13-'Reported Count'!C13),"")</f>
        <v>0</v>
      </c>
      <c r="E68" s="3">
        <f>IFERROR(('Incurred Loss'!E13-'Incurred Loss'!D13)/('Reported Count'!E13-'Reported Count'!D13),"")</f>
        <v>0</v>
      </c>
      <c r="F68" s="3">
        <f>IFERROR(('Incurred Loss'!F13-'Incurred Loss'!E13)/('Reported Count'!F13-'Reported Count'!E13),"")</f>
        <v>0</v>
      </c>
      <c r="G68" s="3">
        <f>IFERROR(('Incurred Loss'!G13-'Incurred Loss'!F13)/('Reported Count'!G13-'Reported Count'!F13),"")</f>
        <v>0</v>
      </c>
      <c r="H68" s="3">
        <f>IFERROR(('Incurred Loss'!H13-'Incurred Loss'!G13)/('Reported Count'!H13-'Reported Count'!G13),"")</f>
        <v>0</v>
      </c>
      <c r="I68" s="3">
        <f>IFERROR(('Incurred Loss'!I13-'Incurred Loss'!H13)/('Reported Count'!I13-'Reported Count'!H13),"")</f>
        <v>0</v>
      </c>
      <c r="J68" s="3">
        <f>IFERROR(('Incurred Loss'!J13-'Incurred Loss'!I13)/('Reported Count'!J13-'Reported Count'!I13),"")</f>
        <v>0</v>
      </c>
      <c r="K68" s="3">
        <f>IFERROR(('Incurred Loss'!K13-'Incurred Loss'!J13)/('Reported Count'!K13-'Reported Count'!J13),"")</f>
        <v>0</v>
      </c>
      <c r="L68" s="3">
        <f>IFERROR(('Incurred Loss'!L13-'Incurred Loss'!K13)/('Reported Count'!L13-'Reported Count'!K13),"")</f>
        <v>0</v>
      </c>
      <c r="M68" s="3">
        <f>IFERROR(('Incurred Loss'!M13-'Incurred Loss'!L13)/('Reported Count'!M13-'Reported Count'!L13),"")</f>
        <v>0</v>
      </c>
      <c r="N68" s="3">
        <f>IFERROR(('Incurred Loss'!N13-'Incurred Loss'!M13)/('Reported Count'!N13-'Reported Count'!M13),"")</f>
        <v>0</v>
      </c>
      <c r="O68" s="3">
        <f>IFERROR(('Incurred Loss'!O13-'Incurred Loss'!N13)/('Reported Count'!O13-'Reported Count'!N13),"")</f>
        <v>0</v>
      </c>
      <c r="P68" s="3">
        <f>IFERROR(('Incurred Loss'!P13-'Incurred Loss'!O13)/('Reported Count'!P13-'Reported Count'!O13),"")</f>
        <v>0</v>
      </c>
      <c r="Q68" s="3">
        <f>IFERROR(('Incurred Loss'!Q13-'Incurred Loss'!P13)/('Reported Count'!Q13-'Reported Count'!P13),"")</f>
        <v>0</v>
      </c>
      <c r="R68" s="3">
        <f>IFERROR(('Incurred Loss'!R13-'Incurred Loss'!Q13)/('Reported Count'!R13-'Reported Count'!Q13),"")</f>
        <v>0</v>
      </c>
      <c r="S68" s="3">
        <f>IFERROR(('Incurred Loss'!S13-'Incurred Loss'!R13)/('Reported Count'!S13-'Reported Count'!R13),"")</f>
        <v>0</v>
      </c>
      <c r="T68" s="3">
        <f>IFERROR(('Incurred Loss'!T13-'Incurred Loss'!S13)/('Reported Count'!T13-'Reported Count'!S13),"")</f>
        <v>0</v>
      </c>
      <c r="U68" s="3">
        <f>IFERROR(('Incurred Loss'!U13-'Incurred Loss'!T13)/('Reported Count'!U13-'Reported Count'!T13),"")</f>
        <v>0</v>
      </c>
      <c r="V68" s="3">
        <f>IFERROR(('Incurred Loss'!V13-'Incurred Loss'!U13)/('Reported Count'!V13-'Reported Count'!U13),"")</f>
        <v>0</v>
      </c>
      <c r="W68" s="3">
        <f>IFERROR(('Incurred Loss'!W13-'Incurred Loss'!V13)/('Reported Count'!W13-'Reported Count'!V13),"")</f>
        <v>0</v>
      </c>
      <c r="X68" s="3">
        <f>IFERROR(('Incurred Loss'!X13-'Incurred Loss'!W13)/('Reported Count'!X13-'Reported Count'!W13),"")</f>
        <v>0</v>
      </c>
      <c r="Y68" s="3">
        <f>IFERROR(('Incurred Loss'!Y13-'Incurred Loss'!X13)/('Reported Count'!Y13-'Reported Count'!X13),"")</f>
        <v>0</v>
      </c>
    </row>
    <row r="69" spans="1:25">
      <c r="A69" s="2" t="s">
        <v>37</v>
      </c>
      <c r="B69" s="3">
        <f>IFERROR('Incurred Loss'!B14/'Reported Count'!B14,"")</f>
        <v>0</v>
      </c>
      <c r="C69" s="3">
        <f>IFERROR(('Incurred Loss'!C14-'Incurred Loss'!B14)/('Reported Count'!C14-'Reported Count'!B14),"")</f>
        <v>0</v>
      </c>
      <c r="D69" s="3">
        <f>IFERROR(('Incurred Loss'!D14-'Incurred Loss'!C14)/('Reported Count'!D14-'Reported Count'!C14),"")</f>
        <v>0</v>
      </c>
      <c r="E69" s="3">
        <f>IFERROR(('Incurred Loss'!E14-'Incurred Loss'!D14)/('Reported Count'!E14-'Reported Count'!D14),"")</f>
        <v>0</v>
      </c>
      <c r="F69" s="3">
        <f>IFERROR(('Incurred Loss'!F14-'Incurred Loss'!E14)/('Reported Count'!F14-'Reported Count'!E14),"")</f>
        <v>0</v>
      </c>
      <c r="G69" s="3">
        <f>IFERROR(('Incurred Loss'!G14-'Incurred Loss'!F14)/('Reported Count'!G14-'Reported Count'!F14),"")</f>
        <v>0</v>
      </c>
      <c r="H69" s="3">
        <f>IFERROR(('Incurred Loss'!H14-'Incurred Loss'!G14)/('Reported Count'!H14-'Reported Count'!G14),"")</f>
        <v>0</v>
      </c>
      <c r="I69" s="3">
        <f>IFERROR(('Incurred Loss'!I14-'Incurred Loss'!H14)/('Reported Count'!I14-'Reported Count'!H14),"")</f>
        <v>0</v>
      </c>
      <c r="J69" s="3">
        <f>IFERROR(('Incurred Loss'!J14-'Incurred Loss'!I14)/('Reported Count'!J14-'Reported Count'!I14),"")</f>
        <v>0</v>
      </c>
      <c r="K69" s="3">
        <f>IFERROR(('Incurred Loss'!K14-'Incurred Loss'!J14)/('Reported Count'!K14-'Reported Count'!J14),"")</f>
        <v>0</v>
      </c>
      <c r="L69" s="3">
        <f>IFERROR(('Incurred Loss'!L14-'Incurred Loss'!K14)/('Reported Count'!L14-'Reported Count'!K14),"")</f>
        <v>0</v>
      </c>
      <c r="M69" s="3">
        <f>IFERROR(('Incurred Loss'!M14-'Incurred Loss'!L14)/('Reported Count'!M14-'Reported Count'!L14),"")</f>
        <v>0</v>
      </c>
      <c r="N69" s="3">
        <f>IFERROR(('Incurred Loss'!N14-'Incurred Loss'!M14)/('Reported Count'!N14-'Reported Count'!M14),"")</f>
        <v>0</v>
      </c>
      <c r="O69" s="3">
        <f>IFERROR(('Incurred Loss'!O14-'Incurred Loss'!N14)/('Reported Count'!O14-'Reported Count'!N14),"")</f>
        <v>0</v>
      </c>
      <c r="P69" s="3">
        <f>IFERROR(('Incurred Loss'!P14-'Incurred Loss'!O14)/('Reported Count'!P14-'Reported Count'!O14),"")</f>
        <v>0</v>
      </c>
      <c r="Q69" s="3">
        <f>IFERROR(('Incurred Loss'!Q14-'Incurred Loss'!P14)/('Reported Count'!Q14-'Reported Count'!P14),"")</f>
        <v>0</v>
      </c>
      <c r="R69" s="3">
        <f>IFERROR(('Incurred Loss'!R14-'Incurred Loss'!Q14)/('Reported Count'!R14-'Reported Count'!Q14),"")</f>
        <v>0</v>
      </c>
      <c r="S69" s="3">
        <f>IFERROR(('Incurred Loss'!S14-'Incurred Loss'!R14)/('Reported Count'!S14-'Reported Count'!R14),"")</f>
        <v>0</v>
      </c>
      <c r="T69" s="3">
        <f>IFERROR(('Incurred Loss'!T14-'Incurred Loss'!S14)/('Reported Count'!T14-'Reported Count'!S14),"")</f>
        <v>0</v>
      </c>
      <c r="U69" s="3">
        <f>IFERROR(('Incurred Loss'!U14-'Incurred Loss'!T14)/('Reported Count'!U14-'Reported Count'!T14),"")</f>
        <v>0</v>
      </c>
      <c r="V69" s="3">
        <f>IFERROR(('Incurred Loss'!V14-'Incurred Loss'!U14)/('Reported Count'!V14-'Reported Count'!U14),"")</f>
        <v>0</v>
      </c>
      <c r="W69" s="3">
        <f>IFERROR(('Incurred Loss'!W14-'Incurred Loss'!V14)/('Reported Count'!W14-'Reported Count'!V14),"")</f>
        <v>0</v>
      </c>
      <c r="X69" s="3">
        <f>IFERROR(('Incurred Loss'!X14-'Incurred Loss'!W14)/('Reported Count'!X14-'Reported Count'!W14),"")</f>
        <v>0</v>
      </c>
      <c r="Y69" s="3">
        <f>IFERROR(('Incurred Loss'!Y14-'Incurred Loss'!X14)/('Reported Count'!Y14-'Reported Count'!X14),"")</f>
        <v>0</v>
      </c>
    </row>
    <row r="70" spans="1:25">
      <c r="A70" s="2" t="s">
        <v>38</v>
      </c>
      <c r="B70" s="3">
        <f>IFERROR('Incurred Loss'!B15/'Reported Count'!B15,"")</f>
        <v>0</v>
      </c>
      <c r="C70" s="3">
        <f>IFERROR(('Incurred Loss'!C15-'Incurred Loss'!B15)/('Reported Count'!C15-'Reported Count'!B15),"")</f>
        <v>0</v>
      </c>
      <c r="D70" s="3">
        <f>IFERROR(('Incurred Loss'!D15-'Incurred Loss'!C15)/('Reported Count'!D15-'Reported Count'!C15),"")</f>
        <v>0</v>
      </c>
      <c r="E70" s="3">
        <f>IFERROR(('Incurred Loss'!E15-'Incurred Loss'!D15)/('Reported Count'!E15-'Reported Count'!D15),"")</f>
        <v>0</v>
      </c>
      <c r="F70" s="3">
        <f>IFERROR(('Incurred Loss'!F15-'Incurred Loss'!E15)/('Reported Count'!F15-'Reported Count'!E15),"")</f>
        <v>0</v>
      </c>
      <c r="G70" s="3">
        <f>IFERROR(('Incurred Loss'!G15-'Incurred Loss'!F15)/('Reported Count'!G15-'Reported Count'!F15),"")</f>
        <v>0</v>
      </c>
      <c r="H70" s="3">
        <f>IFERROR(('Incurred Loss'!H15-'Incurred Loss'!G15)/('Reported Count'!H15-'Reported Count'!G15),"")</f>
        <v>0</v>
      </c>
      <c r="I70" s="3">
        <f>IFERROR(('Incurred Loss'!I15-'Incurred Loss'!H15)/('Reported Count'!I15-'Reported Count'!H15),"")</f>
        <v>0</v>
      </c>
      <c r="J70" s="3">
        <f>IFERROR(('Incurred Loss'!J15-'Incurred Loss'!I15)/('Reported Count'!J15-'Reported Count'!I15),"")</f>
        <v>0</v>
      </c>
      <c r="K70" s="3">
        <f>IFERROR(('Incurred Loss'!K15-'Incurred Loss'!J15)/('Reported Count'!K15-'Reported Count'!J15),"")</f>
        <v>0</v>
      </c>
      <c r="L70" s="3">
        <f>IFERROR(('Incurred Loss'!L15-'Incurred Loss'!K15)/('Reported Count'!L15-'Reported Count'!K15),"")</f>
        <v>0</v>
      </c>
      <c r="M70" s="3">
        <f>IFERROR(('Incurred Loss'!M15-'Incurred Loss'!L15)/('Reported Count'!M15-'Reported Count'!L15),"")</f>
        <v>0</v>
      </c>
      <c r="N70" s="3">
        <f>IFERROR(('Incurred Loss'!N15-'Incurred Loss'!M15)/('Reported Count'!N15-'Reported Count'!M15),"")</f>
        <v>0</v>
      </c>
      <c r="O70" s="3">
        <f>IFERROR(('Incurred Loss'!O15-'Incurred Loss'!N15)/('Reported Count'!O15-'Reported Count'!N15),"")</f>
        <v>0</v>
      </c>
      <c r="P70" s="3">
        <f>IFERROR(('Incurred Loss'!P15-'Incurred Loss'!O15)/('Reported Count'!P15-'Reported Count'!O15),"")</f>
        <v>0</v>
      </c>
      <c r="Q70" s="3">
        <f>IFERROR(('Incurred Loss'!Q15-'Incurred Loss'!P15)/('Reported Count'!Q15-'Reported Count'!P15),"")</f>
        <v>0</v>
      </c>
      <c r="R70" s="3">
        <f>IFERROR(('Incurred Loss'!R15-'Incurred Loss'!Q15)/('Reported Count'!R15-'Reported Count'!Q15),"")</f>
        <v>0</v>
      </c>
      <c r="S70" s="3">
        <f>IFERROR(('Incurred Loss'!S15-'Incurred Loss'!R15)/('Reported Count'!S15-'Reported Count'!R15),"")</f>
        <v>0</v>
      </c>
      <c r="T70" s="3">
        <f>IFERROR(('Incurred Loss'!T15-'Incurred Loss'!S15)/('Reported Count'!T15-'Reported Count'!S15),"")</f>
        <v>0</v>
      </c>
      <c r="U70" s="3">
        <f>IFERROR(('Incurred Loss'!U15-'Incurred Loss'!T15)/('Reported Count'!U15-'Reported Count'!T15),"")</f>
        <v>0</v>
      </c>
      <c r="V70" s="3">
        <f>IFERROR(('Incurred Loss'!V15-'Incurred Loss'!U15)/('Reported Count'!V15-'Reported Count'!U15),"")</f>
        <v>0</v>
      </c>
      <c r="W70" s="3">
        <f>IFERROR(('Incurred Loss'!W15-'Incurred Loss'!V15)/('Reported Count'!W15-'Reported Count'!V15),"")</f>
        <v>0</v>
      </c>
      <c r="X70" s="3">
        <f>IFERROR(('Incurred Loss'!X15-'Incurred Loss'!W15)/('Reported Count'!X15-'Reported Count'!W15),"")</f>
        <v>0</v>
      </c>
      <c r="Y70" s="3">
        <f>IFERROR(('Incurred Loss'!Y15-'Incurred Loss'!X15)/('Reported Count'!Y15-'Reported Count'!X15),"")</f>
        <v>0</v>
      </c>
    </row>
    <row r="71" spans="1:25">
      <c r="A71" s="2" t="s">
        <v>39</v>
      </c>
      <c r="B71" s="3">
        <f>IFERROR('Incurred Loss'!B16/'Reported Count'!B16,"")</f>
        <v>0</v>
      </c>
      <c r="C71" s="3">
        <f>IFERROR(('Incurred Loss'!C16-'Incurred Loss'!B16)/('Reported Count'!C16-'Reported Count'!B16),"")</f>
        <v>0</v>
      </c>
      <c r="D71" s="3">
        <f>IFERROR(('Incurred Loss'!D16-'Incurred Loss'!C16)/('Reported Count'!D16-'Reported Count'!C16),"")</f>
        <v>0</v>
      </c>
      <c r="E71" s="3">
        <f>IFERROR(('Incurred Loss'!E16-'Incurred Loss'!D16)/('Reported Count'!E16-'Reported Count'!D16),"")</f>
        <v>0</v>
      </c>
      <c r="F71" s="3">
        <f>IFERROR(('Incurred Loss'!F16-'Incurred Loss'!E16)/('Reported Count'!F16-'Reported Count'!E16),"")</f>
        <v>0</v>
      </c>
      <c r="G71" s="3">
        <f>IFERROR(('Incurred Loss'!G16-'Incurred Loss'!F16)/('Reported Count'!G16-'Reported Count'!F16),"")</f>
        <v>0</v>
      </c>
      <c r="H71" s="3">
        <f>IFERROR(('Incurred Loss'!H16-'Incurred Loss'!G16)/('Reported Count'!H16-'Reported Count'!G16),"")</f>
        <v>0</v>
      </c>
      <c r="I71" s="3">
        <f>IFERROR(('Incurred Loss'!I16-'Incurred Loss'!H16)/('Reported Count'!I16-'Reported Count'!H16),"")</f>
        <v>0</v>
      </c>
      <c r="J71" s="3">
        <f>IFERROR(('Incurred Loss'!J16-'Incurred Loss'!I16)/('Reported Count'!J16-'Reported Count'!I16),"")</f>
        <v>0</v>
      </c>
      <c r="K71" s="3">
        <f>IFERROR(('Incurred Loss'!K16-'Incurred Loss'!J16)/('Reported Count'!K16-'Reported Count'!J16),"")</f>
        <v>0</v>
      </c>
      <c r="L71" s="3">
        <f>IFERROR(('Incurred Loss'!L16-'Incurred Loss'!K16)/('Reported Count'!L16-'Reported Count'!K16),"")</f>
        <v>0</v>
      </c>
      <c r="M71" s="3">
        <f>IFERROR(('Incurred Loss'!M16-'Incurred Loss'!L16)/('Reported Count'!M16-'Reported Count'!L16),"")</f>
        <v>0</v>
      </c>
      <c r="N71" s="3">
        <f>IFERROR(('Incurred Loss'!N16-'Incurred Loss'!M16)/('Reported Count'!N16-'Reported Count'!M16),"")</f>
        <v>0</v>
      </c>
      <c r="O71" s="3">
        <f>IFERROR(('Incurred Loss'!O16-'Incurred Loss'!N16)/('Reported Count'!O16-'Reported Count'!N16),"")</f>
        <v>0</v>
      </c>
      <c r="P71" s="3">
        <f>IFERROR(('Incurred Loss'!P16-'Incurred Loss'!O16)/('Reported Count'!P16-'Reported Count'!O16),"")</f>
        <v>0</v>
      </c>
      <c r="Q71" s="3">
        <f>IFERROR(('Incurred Loss'!Q16-'Incurred Loss'!P16)/('Reported Count'!Q16-'Reported Count'!P16),"")</f>
        <v>0</v>
      </c>
      <c r="R71" s="3">
        <f>IFERROR(('Incurred Loss'!R16-'Incurred Loss'!Q16)/('Reported Count'!R16-'Reported Count'!Q16),"")</f>
        <v>0</v>
      </c>
      <c r="S71" s="3">
        <f>IFERROR(('Incurred Loss'!S16-'Incurred Loss'!R16)/('Reported Count'!S16-'Reported Count'!R16),"")</f>
        <v>0</v>
      </c>
      <c r="T71" s="3">
        <f>IFERROR(('Incurred Loss'!T16-'Incurred Loss'!S16)/('Reported Count'!T16-'Reported Count'!S16),"")</f>
        <v>0</v>
      </c>
      <c r="U71" s="3">
        <f>IFERROR(('Incurred Loss'!U16-'Incurred Loss'!T16)/('Reported Count'!U16-'Reported Count'!T16),"")</f>
        <v>0</v>
      </c>
      <c r="V71" s="3">
        <f>IFERROR(('Incurred Loss'!V16-'Incurred Loss'!U16)/('Reported Count'!V16-'Reported Count'!U16),"")</f>
        <v>0</v>
      </c>
      <c r="W71" s="3">
        <f>IFERROR(('Incurred Loss'!W16-'Incurred Loss'!V16)/('Reported Count'!W16-'Reported Count'!V16),"")</f>
        <v>0</v>
      </c>
      <c r="X71" s="3">
        <f>IFERROR(('Incurred Loss'!X16-'Incurred Loss'!W16)/('Reported Count'!X16-'Reported Count'!W16),"")</f>
        <v>0</v>
      </c>
      <c r="Y71" s="3">
        <f>IFERROR(('Incurred Loss'!Y16-'Incurred Loss'!X16)/('Reported Count'!Y16-'Reported Count'!X16),"")</f>
        <v>0</v>
      </c>
    </row>
    <row r="72" spans="1:25">
      <c r="A72" s="2" t="s">
        <v>40</v>
      </c>
      <c r="B72" s="3">
        <f>IFERROR('Incurred Loss'!B17/'Reported Count'!B17,"")</f>
        <v>0</v>
      </c>
      <c r="C72" s="3">
        <f>IFERROR(('Incurred Loss'!C17-'Incurred Loss'!B17)/('Reported Count'!C17-'Reported Count'!B17),"")</f>
        <v>0</v>
      </c>
      <c r="D72" s="3">
        <f>IFERROR(('Incurred Loss'!D17-'Incurred Loss'!C17)/('Reported Count'!D17-'Reported Count'!C17),"")</f>
        <v>0</v>
      </c>
      <c r="E72" s="3">
        <f>IFERROR(('Incurred Loss'!E17-'Incurred Loss'!D17)/('Reported Count'!E17-'Reported Count'!D17),"")</f>
        <v>0</v>
      </c>
      <c r="F72" s="3">
        <f>IFERROR(('Incurred Loss'!F17-'Incurred Loss'!E17)/('Reported Count'!F17-'Reported Count'!E17),"")</f>
        <v>0</v>
      </c>
      <c r="G72" s="3">
        <f>IFERROR(('Incurred Loss'!G17-'Incurred Loss'!F17)/('Reported Count'!G17-'Reported Count'!F17),"")</f>
        <v>0</v>
      </c>
      <c r="H72" s="3">
        <f>IFERROR(('Incurred Loss'!H17-'Incurred Loss'!G17)/('Reported Count'!H17-'Reported Count'!G17),"")</f>
        <v>0</v>
      </c>
      <c r="I72" s="3">
        <f>IFERROR(('Incurred Loss'!I17-'Incurred Loss'!H17)/('Reported Count'!I17-'Reported Count'!H17),"")</f>
        <v>0</v>
      </c>
      <c r="J72" s="3">
        <f>IFERROR(('Incurred Loss'!J17-'Incurred Loss'!I17)/('Reported Count'!J17-'Reported Count'!I17),"")</f>
        <v>0</v>
      </c>
      <c r="K72" s="3">
        <f>IFERROR(('Incurred Loss'!K17-'Incurred Loss'!J17)/('Reported Count'!K17-'Reported Count'!J17),"")</f>
        <v>0</v>
      </c>
      <c r="L72" s="3">
        <f>IFERROR(('Incurred Loss'!L17-'Incurred Loss'!K17)/('Reported Count'!L17-'Reported Count'!K17),"")</f>
        <v>0</v>
      </c>
      <c r="M72" s="3">
        <f>IFERROR(('Incurred Loss'!M17-'Incurred Loss'!L17)/('Reported Count'!M17-'Reported Count'!L17),"")</f>
        <v>0</v>
      </c>
      <c r="N72" s="3">
        <f>IFERROR(('Incurred Loss'!N17-'Incurred Loss'!M17)/('Reported Count'!N17-'Reported Count'!M17),"")</f>
        <v>0</v>
      </c>
      <c r="O72" s="3">
        <f>IFERROR(('Incurred Loss'!O17-'Incurred Loss'!N17)/('Reported Count'!O17-'Reported Count'!N17),"")</f>
        <v>0</v>
      </c>
      <c r="P72" s="3">
        <f>IFERROR(('Incurred Loss'!P17-'Incurred Loss'!O17)/('Reported Count'!P17-'Reported Count'!O17),"")</f>
        <v>0</v>
      </c>
      <c r="Q72" s="3">
        <f>IFERROR(('Incurred Loss'!Q17-'Incurred Loss'!P17)/('Reported Count'!Q17-'Reported Count'!P17),"")</f>
        <v>0</v>
      </c>
      <c r="R72" s="3">
        <f>IFERROR(('Incurred Loss'!R17-'Incurred Loss'!Q17)/('Reported Count'!R17-'Reported Count'!Q17),"")</f>
        <v>0</v>
      </c>
      <c r="S72" s="3">
        <f>IFERROR(('Incurred Loss'!S17-'Incurred Loss'!R17)/('Reported Count'!S17-'Reported Count'!R17),"")</f>
        <v>0</v>
      </c>
      <c r="T72" s="3">
        <f>IFERROR(('Incurred Loss'!T17-'Incurred Loss'!S17)/('Reported Count'!T17-'Reported Count'!S17),"")</f>
        <v>0</v>
      </c>
      <c r="U72" s="3">
        <f>IFERROR(('Incurred Loss'!U17-'Incurred Loss'!T17)/('Reported Count'!U17-'Reported Count'!T17),"")</f>
        <v>0</v>
      </c>
      <c r="V72" s="3">
        <f>IFERROR(('Incurred Loss'!V17-'Incurred Loss'!U17)/('Reported Count'!V17-'Reported Count'!U17),"")</f>
        <v>0</v>
      </c>
      <c r="W72" s="3">
        <f>IFERROR(('Incurred Loss'!W17-'Incurred Loss'!V17)/('Reported Count'!W17-'Reported Count'!V17),"")</f>
        <v>0</v>
      </c>
      <c r="X72" s="3">
        <f>IFERROR(('Incurred Loss'!X17-'Incurred Loss'!W17)/('Reported Count'!X17-'Reported Count'!W17),"")</f>
        <v>0</v>
      </c>
      <c r="Y72" s="3">
        <f>IFERROR(('Incurred Loss'!Y17-'Incurred Loss'!X17)/('Reported Count'!Y17-'Reported Count'!X17),"")</f>
        <v>0</v>
      </c>
    </row>
    <row r="73" spans="1:25">
      <c r="A73" s="2" t="s">
        <v>41</v>
      </c>
      <c r="B73" s="3">
        <f>IFERROR('Incurred Loss'!B18/'Reported Count'!B18,"")</f>
        <v>0</v>
      </c>
      <c r="C73" s="3">
        <f>IFERROR(('Incurred Loss'!C18-'Incurred Loss'!B18)/('Reported Count'!C18-'Reported Count'!B18),"")</f>
        <v>0</v>
      </c>
      <c r="D73" s="3">
        <f>IFERROR(('Incurred Loss'!D18-'Incurred Loss'!C18)/('Reported Count'!D18-'Reported Count'!C18),"")</f>
        <v>0</v>
      </c>
      <c r="E73" s="3">
        <f>IFERROR(('Incurred Loss'!E18-'Incurred Loss'!D18)/('Reported Count'!E18-'Reported Count'!D18),"")</f>
        <v>0</v>
      </c>
      <c r="F73" s="3">
        <f>IFERROR(('Incurred Loss'!F18-'Incurred Loss'!E18)/('Reported Count'!F18-'Reported Count'!E18),"")</f>
        <v>0</v>
      </c>
      <c r="G73" s="3">
        <f>IFERROR(('Incurred Loss'!G18-'Incurred Loss'!F18)/('Reported Count'!G18-'Reported Count'!F18),"")</f>
        <v>0</v>
      </c>
      <c r="H73" s="3">
        <f>IFERROR(('Incurred Loss'!H18-'Incurred Loss'!G18)/('Reported Count'!H18-'Reported Count'!G18),"")</f>
        <v>0</v>
      </c>
      <c r="I73" s="3">
        <f>IFERROR(('Incurred Loss'!I18-'Incurred Loss'!H18)/('Reported Count'!I18-'Reported Count'!H18),"")</f>
        <v>0</v>
      </c>
      <c r="J73" s="3">
        <f>IFERROR(('Incurred Loss'!J18-'Incurred Loss'!I18)/('Reported Count'!J18-'Reported Count'!I18),"")</f>
        <v>0</v>
      </c>
      <c r="K73" s="3">
        <f>IFERROR(('Incurred Loss'!K18-'Incurred Loss'!J18)/('Reported Count'!K18-'Reported Count'!J18),"")</f>
        <v>0</v>
      </c>
      <c r="L73" s="3">
        <f>IFERROR(('Incurred Loss'!L18-'Incurred Loss'!K18)/('Reported Count'!L18-'Reported Count'!K18),"")</f>
        <v>0</v>
      </c>
      <c r="M73" s="3">
        <f>IFERROR(('Incurred Loss'!M18-'Incurred Loss'!L18)/('Reported Count'!M18-'Reported Count'!L18),"")</f>
        <v>0</v>
      </c>
      <c r="N73" s="3">
        <f>IFERROR(('Incurred Loss'!N18-'Incurred Loss'!M18)/('Reported Count'!N18-'Reported Count'!M18),"")</f>
        <v>0</v>
      </c>
      <c r="O73" s="3">
        <f>IFERROR(('Incurred Loss'!O18-'Incurred Loss'!N18)/('Reported Count'!O18-'Reported Count'!N18),"")</f>
        <v>0</v>
      </c>
      <c r="P73" s="3">
        <f>IFERROR(('Incurred Loss'!P18-'Incurred Loss'!O18)/('Reported Count'!P18-'Reported Count'!O18),"")</f>
        <v>0</v>
      </c>
      <c r="Q73" s="3">
        <f>IFERROR(('Incurred Loss'!Q18-'Incurred Loss'!P18)/('Reported Count'!Q18-'Reported Count'!P18),"")</f>
        <v>0</v>
      </c>
      <c r="R73" s="3">
        <f>IFERROR(('Incurred Loss'!R18-'Incurred Loss'!Q18)/('Reported Count'!R18-'Reported Count'!Q18),"")</f>
        <v>0</v>
      </c>
      <c r="S73" s="3">
        <f>IFERROR(('Incurred Loss'!S18-'Incurred Loss'!R18)/('Reported Count'!S18-'Reported Count'!R18),"")</f>
        <v>0</v>
      </c>
      <c r="T73" s="3">
        <f>IFERROR(('Incurred Loss'!T18-'Incurred Loss'!S18)/('Reported Count'!T18-'Reported Count'!S18),"")</f>
        <v>0</v>
      </c>
      <c r="U73" s="3">
        <f>IFERROR(('Incurred Loss'!U18-'Incurred Loss'!T18)/('Reported Count'!U18-'Reported Count'!T18),"")</f>
        <v>0</v>
      </c>
      <c r="V73" s="3">
        <f>IFERROR(('Incurred Loss'!V18-'Incurred Loss'!U18)/('Reported Count'!V18-'Reported Count'!U18),"")</f>
        <v>0</v>
      </c>
      <c r="W73" s="3">
        <f>IFERROR(('Incurred Loss'!W18-'Incurred Loss'!V18)/('Reported Count'!W18-'Reported Count'!V18),"")</f>
        <v>0</v>
      </c>
      <c r="X73" s="3">
        <f>IFERROR(('Incurred Loss'!X18-'Incurred Loss'!W18)/('Reported Count'!X18-'Reported Count'!W18),"")</f>
        <v>0</v>
      </c>
      <c r="Y73" s="3">
        <f>IFERROR(('Incurred Loss'!Y18-'Incurred Loss'!X18)/('Reported Count'!Y18-'Reported Count'!X18),"")</f>
        <v>0</v>
      </c>
    </row>
    <row r="74" spans="1:25">
      <c r="A74" s="2" t="s">
        <v>42</v>
      </c>
      <c r="B74" s="3">
        <f>IFERROR('Incurred Loss'!B19/'Reported Count'!B19,"")</f>
        <v>0</v>
      </c>
      <c r="C74" s="3">
        <f>IFERROR(('Incurred Loss'!C19-'Incurred Loss'!B19)/('Reported Count'!C19-'Reported Count'!B19),"")</f>
        <v>0</v>
      </c>
      <c r="D74" s="3">
        <f>IFERROR(('Incurred Loss'!D19-'Incurred Loss'!C19)/('Reported Count'!D19-'Reported Count'!C19),"")</f>
        <v>0</v>
      </c>
      <c r="E74" s="3">
        <f>IFERROR(('Incurred Loss'!E19-'Incurred Loss'!D19)/('Reported Count'!E19-'Reported Count'!D19),"")</f>
        <v>0</v>
      </c>
      <c r="F74" s="3">
        <f>IFERROR(('Incurred Loss'!F19-'Incurred Loss'!E19)/('Reported Count'!F19-'Reported Count'!E19),"")</f>
        <v>0</v>
      </c>
      <c r="G74" s="3">
        <f>IFERROR(('Incurred Loss'!G19-'Incurred Loss'!F19)/('Reported Count'!G19-'Reported Count'!F19),"")</f>
        <v>0</v>
      </c>
      <c r="H74" s="3">
        <f>IFERROR(('Incurred Loss'!H19-'Incurred Loss'!G19)/('Reported Count'!H19-'Reported Count'!G19),"")</f>
        <v>0</v>
      </c>
      <c r="I74" s="3">
        <f>IFERROR(('Incurred Loss'!I19-'Incurred Loss'!H19)/('Reported Count'!I19-'Reported Count'!H19),"")</f>
        <v>0</v>
      </c>
      <c r="J74" s="3">
        <f>IFERROR(('Incurred Loss'!J19-'Incurred Loss'!I19)/('Reported Count'!J19-'Reported Count'!I19),"")</f>
        <v>0</v>
      </c>
      <c r="K74" s="3">
        <f>IFERROR(('Incurred Loss'!K19-'Incurred Loss'!J19)/('Reported Count'!K19-'Reported Count'!J19),"")</f>
        <v>0</v>
      </c>
      <c r="L74" s="3">
        <f>IFERROR(('Incurred Loss'!L19-'Incurred Loss'!K19)/('Reported Count'!L19-'Reported Count'!K19),"")</f>
        <v>0</v>
      </c>
      <c r="M74" s="3">
        <f>IFERROR(('Incurred Loss'!M19-'Incurred Loss'!L19)/('Reported Count'!M19-'Reported Count'!L19),"")</f>
        <v>0</v>
      </c>
      <c r="N74" s="3">
        <f>IFERROR(('Incurred Loss'!N19-'Incurred Loss'!M19)/('Reported Count'!N19-'Reported Count'!M19),"")</f>
        <v>0</v>
      </c>
      <c r="O74" s="3">
        <f>IFERROR(('Incurred Loss'!O19-'Incurred Loss'!N19)/('Reported Count'!O19-'Reported Count'!N19),"")</f>
        <v>0</v>
      </c>
      <c r="P74" s="3">
        <f>IFERROR(('Incurred Loss'!P19-'Incurred Loss'!O19)/('Reported Count'!P19-'Reported Count'!O19),"")</f>
        <v>0</v>
      </c>
      <c r="Q74" s="3">
        <f>IFERROR(('Incurred Loss'!Q19-'Incurred Loss'!P19)/('Reported Count'!Q19-'Reported Count'!P19),"")</f>
        <v>0</v>
      </c>
      <c r="R74" s="3">
        <f>IFERROR(('Incurred Loss'!R19-'Incurred Loss'!Q19)/('Reported Count'!R19-'Reported Count'!Q19),"")</f>
        <v>0</v>
      </c>
      <c r="S74" s="3">
        <f>IFERROR(('Incurred Loss'!S19-'Incurred Loss'!R19)/('Reported Count'!S19-'Reported Count'!R19),"")</f>
        <v>0</v>
      </c>
      <c r="T74" s="3">
        <f>IFERROR(('Incurred Loss'!T19-'Incurred Loss'!S19)/('Reported Count'!T19-'Reported Count'!S19),"")</f>
        <v>0</v>
      </c>
      <c r="U74" s="3">
        <f>IFERROR(('Incurred Loss'!U19-'Incurred Loss'!T19)/('Reported Count'!U19-'Reported Count'!T19),"")</f>
        <v>0</v>
      </c>
      <c r="V74" s="3">
        <f>IFERROR(('Incurred Loss'!V19-'Incurred Loss'!U19)/('Reported Count'!V19-'Reported Count'!U19),"")</f>
        <v>0</v>
      </c>
      <c r="W74" s="3">
        <f>IFERROR(('Incurred Loss'!W19-'Incurred Loss'!V19)/('Reported Count'!W19-'Reported Count'!V19),"")</f>
        <v>0</v>
      </c>
      <c r="X74" s="3">
        <f>IFERROR(('Incurred Loss'!X19-'Incurred Loss'!W19)/('Reported Count'!X19-'Reported Count'!W19),"")</f>
        <v>0</v>
      </c>
      <c r="Y74" s="3">
        <f>IFERROR(('Incurred Loss'!Y19-'Incurred Loss'!X19)/('Reported Count'!Y19-'Reported Count'!X19),"")</f>
        <v>0</v>
      </c>
    </row>
    <row r="75" spans="1:25">
      <c r="A75" s="2" t="s">
        <v>43</v>
      </c>
      <c r="B75" s="3">
        <f>IFERROR('Incurred Loss'!B20/'Reported Count'!B20,"")</f>
        <v>0</v>
      </c>
      <c r="C75" s="3">
        <f>IFERROR(('Incurred Loss'!C20-'Incurred Loss'!B20)/('Reported Count'!C20-'Reported Count'!B20),"")</f>
        <v>0</v>
      </c>
      <c r="D75" s="3">
        <f>IFERROR(('Incurred Loss'!D20-'Incurred Loss'!C20)/('Reported Count'!D20-'Reported Count'!C20),"")</f>
        <v>0</v>
      </c>
      <c r="E75" s="3">
        <f>IFERROR(('Incurred Loss'!E20-'Incurred Loss'!D20)/('Reported Count'!E20-'Reported Count'!D20),"")</f>
        <v>0</v>
      </c>
      <c r="F75" s="3">
        <f>IFERROR(('Incurred Loss'!F20-'Incurred Loss'!E20)/('Reported Count'!F20-'Reported Count'!E20),"")</f>
        <v>0</v>
      </c>
      <c r="G75" s="3">
        <f>IFERROR(('Incurred Loss'!G20-'Incurred Loss'!F20)/('Reported Count'!G20-'Reported Count'!F20),"")</f>
        <v>0</v>
      </c>
      <c r="H75" s="3">
        <f>IFERROR(('Incurred Loss'!H20-'Incurred Loss'!G20)/('Reported Count'!H20-'Reported Count'!G20),"")</f>
        <v>0</v>
      </c>
      <c r="I75" s="3">
        <f>IFERROR(('Incurred Loss'!I20-'Incurred Loss'!H20)/('Reported Count'!I20-'Reported Count'!H20),"")</f>
        <v>0</v>
      </c>
      <c r="J75" s="3">
        <f>IFERROR(('Incurred Loss'!J20-'Incurred Loss'!I20)/('Reported Count'!J20-'Reported Count'!I20),"")</f>
        <v>0</v>
      </c>
      <c r="K75" s="3">
        <f>IFERROR(('Incurred Loss'!K20-'Incurred Loss'!J20)/('Reported Count'!K20-'Reported Count'!J20),"")</f>
        <v>0</v>
      </c>
      <c r="L75" s="3">
        <f>IFERROR(('Incurred Loss'!L20-'Incurred Loss'!K20)/('Reported Count'!L20-'Reported Count'!K20),"")</f>
        <v>0</v>
      </c>
      <c r="M75" s="3">
        <f>IFERROR(('Incurred Loss'!M20-'Incurred Loss'!L20)/('Reported Count'!M20-'Reported Count'!L20),"")</f>
        <v>0</v>
      </c>
      <c r="N75" s="3">
        <f>IFERROR(('Incurred Loss'!N20-'Incurred Loss'!M20)/('Reported Count'!N20-'Reported Count'!M20),"")</f>
        <v>0</v>
      </c>
      <c r="O75" s="3">
        <f>IFERROR(('Incurred Loss'!O20-'Incurred Loss'!N20)/('Reported Count'!O20-'Reported Count'!N20),"")</f>
        <v>0</v>
      </c>
      <c r="P75" s="3">
        <f>IFERROR(('Incurred Loss'!P20-'Incurred Loss'!O20)/('Reported Count'!P20-'Reported Count'!O20),"")</f>
        <v>0</v>
      </c>
      <c r="Q75" s="3">
        <f>IFERROR(('Incurred Loss'!Q20-'Incurred Loss'!P20)/('Reported Count'!Q20-'Reported Count'!P20),"")</f>
        <v>0</v>
      </c>
      <c r="R75" s="3">
        <f>IFERROR(('Incurred Loss'!R20-'Incurred Loss'!Q20)/('Reported Count'!R20-'Reported Count'!Q20),"")</f>
        <v>0</v>
      </c>
      <c r="S75" s="3">
        <f>IFERROR(('Incurred Loss'!S20-'Incurred Loss'!R20)/('Reported Count'!S20-'Reported Count'!R20),"")</f>
        <v>0</v>
      </c>
      <c r="T75" s="3">
        <f>IFERROR(('Incurred Loss'!T20-'Incurred Loss'!S20)/('Reported Count'!T20-'Reported Count'!S20),"")</f>
        <v>0</v>
      </c>
      <c r="U75" s="3">
        <f>IFERROR(('Incurred Loss'!U20-'Incurred Loss'!T20)/('Reported Count'!U20-'Reported Count'!T20),"")</f>
        <v>0</v>
      </c>
      <c r="V75" s="3">
        <f>IFERROR(('Incurred Loss'!V20-'Incurred Loss'!U20)/('Reported Count'!V20-'Reported Count'!U20),"")</f>
        <v>0</v>
      </c>
      <c r="W75" s="3">
        <f>IFERROR(('Incurred Loss'!W20-'Incurred Loss'!V20)/('Reported Count'!W20-'Reported Count'!V20),"")</f>
        <v>0</v>
      </c>
      <c r="X75" s="3">
        <f>IFERROR(('Incurred Loss'!X20-'Incurred Loss'!W20)/('Reported Count'!X20-'Reported Count'!W20),"")</f>
        <v>0</v>
      </c>
      <c r="Y75" s="3">
        <f>IFERROR(('Incurred Loss'!Y20-'Incurred Loss'!X20)/('Reported Count'!Y20-'Reported Count'!X20),"")</f>
        <v>0</v>
      </c>
    </row>
    <row r="76" spans="1:25">
      <c r="A76" s="2" t="s">
        <v>44</v>
      </c>
      <c r="B76" s="3">
        <f>IFERROR('Incurred Loss'!B21/'Reported Count'!B21,"")</f>
        <v>0</v>
      </c>
      <c r="C76" s="3">
        <f>IFERROR(('Incurred Loss'!C21-'Incurred Loss'!B21)/('Reported Count'!C21-'Reported Count'!B21),"")</f>
        <v>0</v>
      </c>
      <c r="D76" s="3">
        <f>IFERROR(('Incurred Loss'!D21-'Incurred Loss'!C21)/('Reported Count'!D21-'Reported Count'!C21),"")</f>
        <v>0</v>
      </c>
      <c r="E76" s="3">
        <f>IFERROR(('Incurred Loss'!E21-'Incurred Loss'!D21)/('Reported Count'!E21-'Reported Count'!D21),"")</f>
        <v>0</v>
      </c>
      <c r="F76" s="3">
        <f>IFERROR(('Incurred Loss'!F21-'Incurred Loss'!E21)/('Reported Count'!F21-'Reported Count'!E21),"")</f>
        <v>0</v>
      </c>
      <c r="G76" s="3">
        <f>IFERROR(('Incurred Loss'!G21-'Incurred Loss'!F21)/('Reported Count'!G21-'Reported Count'!F21),"")</f>
        <v>0</v>
      </c>
      <c r="H76" s="3">
        <f>IFERROR(('Incurred Loss'!H21-'Incurred Loss'!G21)/('Reported Count'!H21-'Reported Count'!G21),"")</f>
        <v>0</v>
      </c>
      <c r="I76" s="3">
        <f>IFERROR(('Incurred Loss'!I21-'Incurred Loss'!H21)/('Reported Count'!I21-'Reported Count'!H21),"")</f>
        <v>0</v>
      </c>
      <c r="J76" s="3">
        <f>IFERROR(('Incurred Loss'!J21-'Incurred Loss'!I21)/('Reported Count'!J21-'Reported Count'!I21),"")</f>
        <v>0</v>
      </c>
      <c r="K76" s="3">
        <f>IFERROR(('Incurred Loss'!K21-'Incurred Loss'!J21)/('Reported Count'!K21-'Reported Count'!J21),"")</f>
        <v>0</v>
      </c>
      <c r="L76" s="3">
        <f>IFERROR(('Incurred Loss'!L21-'Incurred Loss'!K21)/('Reported Count'!L21-'Reported Count'!K21),"")</f>
        <v>0</v>
      </c>
      <c r="M76" s="3">
        <f>IFERROR(('Incurred Loss'!M21-'Incurred Loss'!L21)/('Reported Count'!M21-'Reported Count'!L21),"")</f>
        <v>0</v>
      </c>
      <c r="N76" s="3">
        <f>IFERROR(('Incurred Loss'!N21-'Incurred Loss'!M21)/('Reported Count'!N21-'Reported Count'!M21),"")</f>
        <v>0</v>
      </c>
      <c r="O76" s="3">
        <f>IFERROR(('Incurred Loss'!O21-'Incurred Loss'!N21)/('Reported Count'!O21-'Reported Count'!N21),"")</f>
        <v>0</v>
      </c>
      <c r="P76" s="3">
        <f>IFERROR(('Incurred Loss'!P21-'Incurred Loss'!O21)/('Reported Count'!P21-'Reported Count'!O21),"")</f>
        <v>0</v>
      </c>
      <c r="Q76" s="3">
        <f>IFERROR(('Incurred Loss'!Q21-'Incurred Loss'!P21)/('Reported Count'!Q21-'Reported Count'!P21),"")</f>
        <v>0</v>
      </c>
      <c r="R76" s="3">
        <f>IFERROR(('Incurred Loss'!R21-'Incurred Loss'!Q21)/('Reported Count'!R21-'Reported Count'!Q21),"")</f>
        <v>0</v>
      </c>
      <c r="S76" s="3">
        <f>IFERROR(('Incurred Loss'!S21-'Incurred Loss'!R21)/('Reported Count'!S21-'Reported Count'!R21),"")</f>
        <v>0</v>
      </c>
      <c r="T76" s="3">
        <f>IFERROR(('Incurred Loss'!T21-'Incurred Loss'!S21)/('Reported Count'!T21-'Reported Count'!S21),"")</f>
        <v>0</v>
      </c>
      <c r="U76" s="3">
        <f>IFERROR(('Incurred Loss'!U21-'Incurred Loss'!T21)/('Reported Count'!U21-'Reported Count'!T21),"")</f>
        <v>0</v>
      </c>
      <c r="V76" s="3">
        <f>IFERROR(('Incurred Loss'!V21-'Incurred Loss'!U21)/('Reported Count'!V21-'Reported Count'!U21),"")</f>
        <v>0</v>
      </c>
      <c r="W76" s="3">
        <f>IFERROR(('Incurred Loss'!W21-'Incurred Loss'!V21)/('Reported Count'!W21-'Reported Count'!V21),"")</f>
        <v>0</v>
      </c>
      <c r="X76" s="3">
        <f>IFERROR(('Incurred Loss'!X21-'Incurred Loss'!W21)/('Reported Count'!X21-'Reported Count'!W21),"")</f>
        <v>0</v>
      </c>
      <c r="Y76" s="3">
        <f>IFERROR(('Incurred Loss'!Y21-'Incurred Loss'!X21)/('Reported Count'!Y21-'Reported Count'!X21),"")</f>
        <v>0</v>
      </c>
    </row>
    <row r="77" spans="1:25">
      <c r="A77" s="2" t="s">
        <v>45</v>
      </c>
      <c r="B77" s="3">
        <f>IFERROR('Incurred Loss'!B22/'Reported Count'!B22,"")</f>
        <v>0</v>
      </c>
      <c r="C77" s="3">
        <f>IFERROR(('Incurred Loss'!C22-'Incurred Loss'!B22)/('Reported Count'!C22-'Reported Count'!B22),"")</f>
        <v>0</v>
      </c>
      <c r="D77" s="3">
        <f>IFERROR(('Incurred Loss'!D22-'Incurred Loss'!C22)/('Reported Count'!D22-'Reported Count'!C22),"")</f>
        <v>0</v>
      </c>
      <c r="E77" s="3">
        <f>IFERROR(('Incurred Loss'!E22-'Incurred Loss'!D22)/('Reported Count'!E22-'Reported Count'!D22),"")</f>
        <v>0</v>
      </c>
      <c r="F77" s="3">
        <f>IFERROR(('Incurred Loss'!F22-'Incurred Loss'!E22)/('Reported Count'!F22-'Reported Count'!E22),"")</f>
        <v>0</v>
      </c>
      <c r="G77" s="3">
        <f>IFERROR(('Incurred Loss'!G22-'Incurred Loss'!F22)/('Reported Count'!G22-'Reported Count'!F22),"")</f>
        <v>0</v>
      </c>
      <c r="H77" s="3">
        <f>IFERROR(('Incurred Loss'!H22-'Incurred Loss'!G22)/('Reported Count'!H22-'Reported Count'!G22),"")</f>
        <v>0</v>
      </c>
      <c r="I77" s="3">
        <f>IFERROR(('Incurred Loss'!I22-'Incurred Loss'!H22)/('Reported Count'!I22-'Reported Count'!H22),"")</f>
        <v>0</v>
      </c>
      <c r="J77" s="3">
        <f>IFERROR(('Incurred Loss'!J22-'Incurred Loss'!I22)/('Reported Count'!J22-'Reported Count'!I22),"")</f>
        <v>0</v>
      </c>
      <c r="K77" s="3">
        <f>IFERROR(('Incurred Loss'!K22-'Incurred Loss'!J22)/('Reported Count'!K22-'Reported Count'!J22),"")</f>
        <v>0</v>
      </c>
      <c r="L77" s="3">
        <f>IFERROR(('Incurred Loss'!L22-'Incurred Loss'!K22)/('Reported Count'!L22-'Reported Count'!K22),"")</f>
        <v>0</v>
      </c>
      <c r="M77" s="3">
        <f>IFERROR(('Incurred Loss'!M22-'Incurred Loss'!L22)/('Reported Count'!M22-'Reported Count'!L22),"")</f>
        <v>0</v>
      </c>
      <c r="N77" s="3">
        <f>IFERROR(('Incurred Loss'!N22-'Incurred Loss'!M22)/('Reported Count'!N22-'Reported Count'!M22),"")</f>
        <v>0</v>
      </c>
      <c r="O77" s="3">
        <f>IFERROR(('Incurred Loss'!O22-'Incurred Loss'!N22)/('Reported Count'!O22-'Reported Count'!N22),"")</f>
        <v>0</v>
      </c>
      <c r="P77" s="3">
        <f>IFERROR(('Incurred Loss'!P22-'Incurred Loss'!O22)/('Reported Count'!P22-'Reported Count'!O22),"")</f>
        <v>0</v>
      </c>
      <c r="Q77" s="3">
        <f>IFERROR(('Incurred Loss'!Q22-'Incurred Loss'!P22)/('Reported Count'!Q22-'Reported Count'!P22),"")</f>
        <v>0</v>
      </c>
      <c r="R77" s="3">
        <f>IFERROR(('Incurred Loss'!R22-'Incurred Loss'!Q22)/('Reported Count'!R22-'Reported Count'!Q22),"")</f>
        <v>0</v>
      </c>
      <c r="S77" s="3">
        <f>IFERROR(('Incurred Loss'!S22-'Incurred Loss'!R22)/('Reported Count'!S22-'Reported Count'!R22),"")</f>
        <v>0</v>
      </c>
      <c r="T77" s="3">
        <f>IFERROR(('Incurred Loss'!T22-'Incurred Loss'!S22)/('Reported Count'!T22-'Reported Count'!S22),"")</f>
        <v>0</v>
      </c>
      <c r="U77" s="3">
        <f>IFERROR(('Incurred Loss'!U22-'Incurred Loss'!T22)/('Reported Count'!U22-'Reported Count'!T22),"")</f>
        <v>0</v>
      </c>
      <c r="V77" s="3">
        <f>IFERROR(('Incurred Loss'!V22-'Incurred Loss'!U22)/('Reported Count'!V22-'Reported Count'!U22),"")</f>
        <v>0</v>
      </c>
      <c r="W77" s="3">
        <f>IFERROR(('Incurred Loss'!W22-'Incurred Loss'!V22)/('Reported Count'!W22-'Reported Count'!V22),"")</f>
        <v>0</v>
      </c>
      <c r="X77" s="3">
        <f>IFERROR(('Incurred Loss'!X22-'Incurred Loss'!W22)/('Reported Count'!X22-'Reported Count'!W22),"")</f>
        <v>0</v>
      </c>
      <c r="Y77" s="3">
        <f>IFERROR(('Incurred Loss'!Y22-'Incurred Loss'!X22)/('Reported Count'!Y22-'Reported Count'!X22),"")</f>
        <v>0</v>
      </c>
    </row>
    <row r="78" spans="1:25">
      <c r="A78" s="2" t="s">
        <v>46</v>
      </c>
      <c r="B78" s="3">
        <f>IFERROR('Incurred Loss'!B23/'Reported Count'!B23,"")</f>
        <v>0</v>
      </c>
      <c r="C78" s="3">
        <f>IFERROR(('Incurred Loss'!C23-'Incurred Loss'!B23)/('Reported Count'!C23-'Reported Count'!B23),"")</f>
        <v>0</v>
      </c>
      <c r="D78" s="3">
        <f>IFERROR(('Incurred Loss'!D23-'Incurred Loss'!C23)/('Reported Count'!D23-'Reported Count'!C23),"")</f>
        <v>0</v>
      </c>
      <c r="E78" s="3">
        <f>IFERROR(('Incurred Loss'!E23-'Incurred Loss'!D23)/('Reported Count'!E23-'Reported Count'!D23),"")</f>
        <v>0</v>
      </c>
      <c r="F78" s="3">
        <f>IFERROR(('Incurred Loss'!F23-'Incurred Loss'!E23)/('Reported Count'!F23-'Reported Count'!E23),"")</f>
        <v>0</v>
      </c>
      <c r="G78" s="3">
        <f>IFERROR(('Incurred Loss'!G23-'Incurred Loss'!F23)/('Reported Count'!G23-'Reported Count'!F23),"")</f>
        <v>0</v>
      </c>
      <c r="H78" s="3">
        <f>IFERROR(('Incurred Loss'!H23-'Incurred Loss'!G23)/('Reported Count'!H23-'Reported Count'!G23),"")</f>
        <v>0</v>
      </c>
      <c r="I78" s="3">
        <f>IFERROR(('Incurred Loss'!I23-'Incurred Loss'!H23)/('Reported Count'!I23-'Reported Count'!H23),"")</f>
        <v>0</v>
      </c>
      <c r="J78" s="3">
        <f>IFERROR(('Incurred Loss'!J23-'Incurred Loss'!I23)/('Reported Count'!J23-'Reported Count'!I23),"")</f>
        <v>0</v>
      </c>
      <c r="K78" s="3">
        <f>IFERROR(('Incurred Loss'!K23-'Incurred Loss'!J23)/('Reported Count'!K23-'Reported Count'!J23),"")</f>
        <v>0</v>
      </c>
      <c r="L78" s="3">
        <f>IFERROR(('Incurred Loss'!L23-'Incurred Loss'!K23)/('Reported Count'!L23-'Reported Count'!K23),"")</f>
        <v>0</v>
      </c>
      <c r="M78" s="3">
        <f>IFERROR(('Incurred Loss'!M23-'Incurred Loss'!L23)/('Reported Count'!M23-'Reported Count'!L23),"")</f>
        <v>0</v>
      </c>
      <c r="N78" s="3">
        <f>IFERROR(('Incurred Loss'!N23-'Incurred Loss'!M23)/('Reported Count'!N23-'Reported Count'!M23),"")</f>
        <v>0</v>
      </c>
      <c r="O78" s="3">
        <f>IFERROR(('Incurred Loss'!O23-'Incurred Loss'!N23)/('Reported Count'!O23-'Reported Count'!N23),"")</f>
        <v>0</v>
      </c>
      <c r="P78" s="3">
        <f>IFERROR(('Incurred Loss'!P23-'Incurred Loss'!O23)/('Reported Count'!P23-'Reported Count'!O23),"")</f>
        <v>0</v>
      </c>
      <c r="Q78" s="3">
        <f>IFERROR(('Incurred Loss'!Q23-'Incurred Loss'!P23)/('Reported Count'!Q23-'Reported Count'!P23),"")</f>
        <v>0</v>
      </c>
      <c r="R78" s="3">
        <f>IFERROR(('Incurred Loss'!R23-'Incurred Loss'!Q23)/('Reported Count'!R23-'Reported Count'!Q23),"")</f>
        <v>0</v>
      </c>
      <c r="S78" s="3">
        <f>IFERROR(('Incurred Loss'!S23-'Incurred Loss'!R23)/('Reported Count'!S23-'Reported Count'!R23),"")</f>
        <v>0</v>
      </c>
      <c r="T78" s="3">
        <f>IFERROR(('Incurred Loss'!T23-'Incurred Loss'!S23)/('Reported Count'!T23-'Reported Count'!S23),"")</f>
        <v>0</v>
      </c>
      <c r="U78" s="3">
        <f>IFERROR(('Incurred Loss'!U23-'Incurred Loss'!T23)/('Reported Count'!U23-'Reported Count'!T23),"")</f>
        <v>0</v>
      </c>
      <c r="V78" s="3">
        <f>IFERROR(('Incurred Loss'!V23-'Incurred Loss'!U23)/('Reported Count'!V23-'Reported Count'!U23),"")</f>
        <v>0</v>
      </c>
      <c r="W78" s="3">
        <f>IFERROR(('Incurred Loss'!W23-'Incurred Loss'!V23)/('Reported Count'!W23-'Reported Count'!V23),"")</f>
        <v>0</v>
      </c>
      <c r="X78" s="3">
        <f>IFERROR(('Incurred Loss'!X23-'Incurred Loss'!W23)/('Reported Count'!X23-'Reported Count'!W23),"")</f>
        <v>0</v>
      </c>
      <c r="Y78" s="3">
        <f>IFERROR(('Incurred Loss'!Y23-'Incurred Loss'!X23)/('Reported Count'!Y23-'Reported Count'!X23),"")</f>
        <v>0</v>
      </c>
    </row>
    <row r="79" spans="1:25">
      <c r="A79" s="2" t="s">
        <v>47</v>
      </c>
      <c r="B79" s="3">
        <f>IFERROR('Incurred Loss'!B24/'Reported Count'!B24,"")</f>
        <v>0</v>
      </c>
      <c r="C79" s="3">
        <f>IFERROR(('Incurred Loss'!C24-'Incurred Loss'!B24)/('Reported Count'!C24-'Reported Count'!B24),"")</f>
        <v>0</v>
      </c>
      <c r="D79" s="3">
        <f>IFERROR(('Incurred Loss'!D24-'Incurred Loss'!C24)/('Reported Count'!D24-'Reported Count'!C24),"")</f>
        <v>0</v>
      </c>
      <c r="E79" s="3">
        <f>IFERROR(('Incurred Loss'!E24-'Incurred Loss'!D24)/('Reported Count'!E24-'Reported Count'!D24),"")</f>
        <v>0</v>
      </c>
      <c r="F79" s="3">
        <f>IFERROR(('Incurred Loss'!F24-'Incurred Loss'!E24)/('Reported Count'!F24-'Reported Count'!E24),"")</f>
        <v>0</v>
      </c>
      <c r="G79" s="3">
        <f>IFERROR(('Incurred Loss'!G24-'Incurred Loss'!F24)/('Reported Count'!G24-'Reported Count'!F24),"")</f>
        <v>0</v>
      </c>
      <c r="H79" s="3">
        <f>IFERROR(('Incurred Loss'!H24-'Incurred Loss'!G24)/('Reported Count'!H24-'Reported Count'!G24),"")</f>
        <v>0</v>
      </c>
      <c r="I79" s="3">
        <f>IFERROR(('Incurred Loss'!I24-'Incurred Loss'!H24)/('Reported Count'!I24-'Reported Count'!H24),"")</f>
        <v>0</v>
      </c>
      <c r="J79" s="3">
        <f>IFERROR(('Incurred Loss'!J24-'Incurred Loss'!I24)/('Reported Count'!J24-'Reported Count'!I24),"")</f>
        <v>0</v>
      </c>
      <c r="K79" s="3">
        <f>IFERROR(('Incurred Loss'!K24-'Incurred Loss'!J24)/('Reported Count'!K24-'Reported Count'!J24),"")</f>
        <v>0</v>
      </c>
      <c r="L79" s="3">
        <f>IFERROR(('Incurred Loss'!L24-'Incurred Loss'!K24)/('Reported Count'!L24-'Reported Count'!K24),"")</f>
        <v>0</v>
      </c>
      <c r="M79" s="3">
        <f>IFERROR(('Incurred Loss'!M24-'Incurred Loss'!L24)/('Reported Count'!M24-'Reported Count'!L24),"")</f>
        <v>0</v>
      </c>
      <c r="N79" s="3">
        <f>IFERROR(('Incurred Loss'!N24-'Incurred Loss'!M24)/('Reported Count'!N24-'Reported Count'!M24),"")</f>
        <v>0</v>
      </c>
      <c r="O79" s="3">
        <f>IFERROR(('Incurred Loss'!O24-'Incurred Loss'!N24)/('Reported Count'!O24-'Reported Count'!N24),"")</f>
        <v>0</v>
      </c>
      <c r="P79" s="3">
        <f>IFERROR(('Incurred Loss'!P24-'Incurred Loss'!O24)/('Reported Count'!P24-'Reported Count'!O24),"")</f>
        <v>0</v>
      </c>
      <c r="Q79" s="3">
        <f>IFERROR(('Incurred Loss'!Q24-'Incurred Loss'!P24)/('Reported Count'!Q24-'Reported Count'!P24),"")</f>
        <v>0</v>
      </c>
      <c r="R79" s="3">
        <f>IFERROR(('Incurred Loss'!R24-'Incurred Loss'!Q24)/('Reported Count'!R24-'Reported Count'!Q24),"")</f>
        <v>0</v>
      </c>
      <c r="S79" s="3">
        <f>IFERROR(('Incurred Loss'!S24-'Incurred Loss'!R24)/('Reported Count'!S24-'Reported Count'!R24),"")</f>
        <v>0</v>
      </c>
      <c r="T79" s="3">
        <f>IFERROR(('Incurred Loss'!T24-'Incurred Loss'!S24)/('Reported Count'!T24-'Reported Count'!S24),"")</f>
        <v>0</v>
      </c>
      <c r="U79" s="3">
        <f>IFERROR(('Incurred Loss'!U24-'Incurred Loss'!T24)/('Reported Count'!U24-'Reported Count'!T24),"")</f>
        <v>0</v>
      </c>
      <c r="V79" s="3">
        <f>IFERROR(('Incurred Loss'!V24-'Incurred Loss'!U24)/('Reported Count'!V24-'Reported Count'!U24),"")</f>
        <v>0</v>
      </c>
      <c r="W79" s="3">
        <f>IFERROR(('Incurred Loss'!W24-'Incurred Loss'!V24)/('Reported Count'!W24-'Reported Count'!V24),"")</f>
        <v>0</v>
      </c>
      <c r="X79" s="3">
        <f>IFERROR(('Incurred Loss'!X24-'Incurred Loss'!W24)/('Reported Count'!X24-'Reported Count'!W24),"")</f>
        <v>0</v>
      </c>
      <c r="Y79" s="3">
        <f>IFERROR(('Incurred Loss'!Y24-'Incurred Loss'!X24)/('Reported Count'!Y24-'Reported Count'!X24),"")</f>
        <v>0</v>
      </c>
    </row>
    <row r="80" spans="1:25">
      <c r="A80" s="2" t="s">
        <v>48</v>
      </c>
      <c r="B80" s="3">
        <f>IFERROR('Incurred Loss'!B25/'Reported Count'!B25,"")</f>
        <v>0</v>
      </c>
      <c r="C80" s="3">
        <f>IFERROR(('Incurred Loss'!C25-'Incurred Loss'!B25)/('Reported Count'!C25-'Reported Count'!B25),"")</f>
        <v>0</v>
      </c>
      <c r="D80" s="3">
        <f>IFERROR(('Incurred Loss'!D25-'Incurred Loss'!C25)/('Reported Count'!D25-'Reported Count'!C25),"")</f>
        <v>0</v>
      </c>
      <c r="E80" s="3">
        <f>IFERROR(('Incurred Loss'!E25-'Incurred Loss'!D25)/('Reported Count'!E25-'Reported Count'!D25),"")</f>
        <v>0</v>
      </c>
      <c r="F80" s="3">
        <f>IFERROR(('Incurred Loss'!F25-'Incurred Loss'!E25)/('Reported Count'!F25-'Reported Count'!E25),"")</f>
        <v>0</v>
      </c>
      <c r="G80" s="3">
        <f>IFERROR(('Incurred Loss'!G25-'Incurred Loss'!F25)/('Reported Count'!G25-'Reported Count'!F25),"")</f>
        <v>0</v>
      </c>
      <c r="H80" s="3">
        <f>IFERROR(('Incurred Loss'!H25-'Incurred Loss'!G25)/('Reported Count'!H25-'Reported Count'!G25),"")</f>
        <v>0</v>
      </c>
      <c r="I80" s="3">
        <f>IFERROR(('Incurred Loss'!I25-'Incurred Loss'!H25)/('Reported Count'!I25-'Reported Count'!H25),"")</f>
        <v>0</v>
      </c>
      <c r="J80" s="3">
        <f>IFERROR(('Incurred Loss'!J25-'Incurred Loss'!I25)/('Reported Count'!J25-'Reported Count'!I25),"")</f>
        <v>0</v>
      </c>
      <c r="K80" s="3">
        <f>IFERROR(('Incurred Loss'!K25-'Incurred Loss'!J25)/('Reported Count'!K25-'Reported Count'!J25),"")</f>
        <v>0</v>
      </c>
      <c r="L80" s="3">
        <f>IFERROR(('Incurred Loss'!L25-'Incurred Loss'!K25)/('Reported Count'!L25-'Reported Count'!K25),"")</f>
        <v>0</v>
      </c>
      <c r="M80" s="3">
        <f>IFERROR(('Incurred Loss'!M25-'Incurred Loss'!L25)/('Reported Count'!M25-'Reported Count'!L25),"")</f>
        <v>0</v>
      </c>
      <c r="N80" s="3">
        <f>IFERROR(('Incurred Loss'!N25-'Incurred Loss'!M25)/('Reported Count'!N25-'Reported Count'!M25),"")</f>
        <v>0</v>
      </c>
      <c r="O80" s="3">
        <f>IFERROR(('Incurred Loss'!O25-'Incurred Loss'!N25)/('Reported Count'!O25-'Reported Count'!N25),"")</f>
        <v>0</v>
      </c>
      <c r="P80" s="3">
        <f>IFERROR(('Incurred Loss'!P25-'Incurred Loss'!O25)/('Reported Count'!P25-'Reported Count'!O25),"")</f>
        <v>0</v>
      </c>
      <c r="Q80" s="3">
        <f>IFERROR(('Incurred Loss'!Q25-'Incurred Loss'!P25)/('Reported Count'!Q25-'Reported Count'!P25),"")</f>
        <v>0</v>
      </c>
      <c r="R80" s="3">
        <f>IFERROR(('Incurred Loss'!R25-'Incurred Loss'!Q25)/('Reported Count'!R25-'Reported Count'!Q25),"")</f>
        <v>0</v>
      </c>
      <c r="S80" s="3">
        <f>IFERROR(('Incurred Loss'!S25-'Incurred Loss'!R25)/('Reported Count'!S25-'Reported Count'!R25),"")</f>
        <v>0</v>
      </c>
      <c r="T80" s="3">
        <f>IFERROR(('Incurred Loss'!T25-'Incurred Loss'!S25)/('Reported Count'!T25-'Reported Count'!S25),"")</f>
        <v>0</v>
      </c>
      <c r="U80" s="3">
        <f>IFERROR(('Incurred Loss'!U25-'Incurred Loss'!T25)/('Reported Count'!U25-'Reported Count'!T25),"")</f>
        <v>0</v>
      </c>
      <c r="V80" s="3">
        <f>IFERROR(('Incurred Loss'!V25-'Incurred Loss'!U25)/('Reported Count'!V25-'Reported Count'!U25),"")</f>
        <v>0</v>
      </c>
      <c r="W80" s="3">
        <f>IFERROR(('Incurred Loss'!W25-'Incurred Loss'!V25)/('Reported Count'!W25-'Reported Count'!V25),"")</f>
        <v>0</v>
      </c>
      <c r="X80" s="3">
        <f>IFERROR(('Incurred Loss'!X25-'Incurred Loss'!W25)/('Reported Count'!X25-'Reported Count'!W25),"")</f>
        <v>0</v>
      </c>
      <c r="Y80" s="3">
        <f>IFERROR(('Incurred Loss'!Y25-'Incurred Loss'!X25)/('Reported Count'!Y25-'Reported Count'!X25),"")</f>
        <v>0</v>
      </c>
    </row>
  </sheetData>
  <mergeCells count="3">
    <mergeCell ref="A1:Y1"/>
    <mergeCell ref="A28:Y28"/>
    <mergeCell ref="A55:Y5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Y26"/>
  <sheetViews>
    <sheetView workbookViewId="0"/>
  </sheetViews>
  <sheetFormatPr defaultRowHeight="15"/>
  <cols>
    <col min="1" max="1" width="22.7109375" customWidth="1"/>
    <col min="2" max="25" width="12.7109375" customWidth="1"/>
  </cols>
  <sheetData>
    <row r="1" spans="1:25">
      <c r="A1" s="14" t="s">
        <v>96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25">
      <c r="A2" s="1" t="s">
        <v>72</v>
      </c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64</v>
      </c>
      <c r="R2" s="1" t="s">
        <v>65</v>
      </c>
      <c r="S2" s="1" t="s">
        <v>66</v>
      </c>
      <c r="T2" s="1" t="s">
        <v>67</v>
      </c>
      <c r="U2" s="1" t="s">
        <v>68</v>
      </c>
      <c r="V2" s="1" t="s">
        <v>69</v>
      </c>
      <c r="W2" s="1" t="s">
        <v>70</v>
      </c>
      <c r="X2" s="1" t="s">
        <v>71</v>
      </c>
      <c r="Y2" s="1" t="s">
        <v>73</v>
      </c>
    </row>
    <row r="3" spans="1:25">
      <c r="A3" s="2" t="s">
        <v>97</v>
      </c>
      <c r="B3" s="4">
        <f>IFERROR(_xlfn.STDEV.S('Incurred Loss'!B49:B51)/AVERAGE('Incurred Loss'!B49:B51),"")</f>
        <v>0.1604</v>
      </c>
      <c r="C3" s="4">
        <f>IFERROR(_xlfn.STDEV.S('Incurred Loss'!C49:C51)/AVERAGE('Incurred Loss'!C49:C51),"")</f>
        <v>0.1345</v>
      </c>
      <c r="D3" s="4">
        <f>IFERROR(_xlfn.STDEV.S('Incurred Loss'!D49:D51)/AVERAGE('Incurred Loss'!D49:D51),"")</f>
        <v>0.0574</v>
      </c>
      <c r="E3" s="4">
        <f>IFERROR(_xlfn.STDEV.S('Incurred Loss'!E49:E51)/AVERAGE('Incurred Loss'!E49:E51),"")</f>
        <v>0.0355</v>
      </c>
      <c r="F3" s="4">
        <f>IFERROR(_xlfn.STDEV.S('Incurred Loss'!F49:F51)/AVERAGE('Incurred Loss'!F49:F51),"")</f>
        <v>0.0934</v>
      </c>
      <c r="G3" s="4">
        <f>IFERROR(_xlfn.STDEV.S('Incurred Loss'!G49:G51)/AVERAGE('Incurred Loss'!G49:G51),"")</f>
        <v>0.0606</v>
      </c>
      <c r="H3" s="4">
        <f>IFERROR(_xlfn.STDEV.S('Incurred Loss'!H49:H51)/AVERAGE('Incurred Loss'!H49:H51),"")</f>
        <v>0.0164</v>
      </c>
      <c r="I3" s="4">
        <f>IFERROR(_xlfn.STDEV.S('Incurred Loss'!I49:I51)/AVERAGE('Incurred Loss'!I49:I51),"")</f>
        <v>0.0221</v>
      </c>
      <c r="J3" s="4">
        <f>IFERROR(_xlfn.STDEV.S('Incurred Loss'!J49:J51)/AVERAGE('Incurred Loss'!J49:J51),"")</f>
        <v>0.0488</v>
      </c>
      <c r="K3" s="4">
        <f>IFERROR(_xlfn.STDEV.S('Incurred Loss'!K49:K51)/AVERAGE('Incurred Loss'!K49:K51),"")</f>
        <v>0.0072</v>
      </c>
      <c r="L3" s="4">
        <f>IFERROR(_xlfn.STDEV.S('Incurred Loss'!L49:L51)/AVERAGE('Incurred Loss'!L49:L51),"")</f>
        <v>0.0985</v>
      </c>
      <c r="M3" s="4">
        <f>IFERROR(_xlfn.STDEV.S('Incurred Loss'!M49:M51)/AVERAGE('Incurred Loss'!M49:M51),"")</f>
        <v>0.0008</v>
      </c>
      <c r="N3" s="4">
        <f>IFERROR(_xlfn.STDEV.S('Incurred Loss'!N49:N51)/AVERAGE('Incurred Loss'!N49:N51),"")</f>
        <v>0.0001</v>
      </c>
      <c r="O3" s="4">
        <f>IFERROR(_xlfn.STDEV.S('Incurred Loss'!O49:O51)/AVERAGE('Incurred Loss'!O49:O51),"")</f>
        <v>0.0035</v>
      </c>
      <c r="P3" s="4">
        <f>IFERROR(_xlfn.STDEV.S('Incurred Loss'!P49:P51)/AVERAGE('Incurred Loss'!P49:P51),"")</f>
        <v>0.0028</v>
      </c>
      <c r="Q3" s="4">
        <f>IFERROR(_xlfn.STDEV.S('Incurred Loss'!Q49:Q51)/AVERAGE('Incurred Loss'!Q49:Q51),"")</f>
        <v>0.0101</v>
      </c>
      <c r="R3" s="4">
        <f>IFERROR(_xlfn.STDEV.S('Incurred Loss'!R49:R51)/AVERAGE('Incurred Loss'!R49:R51),"")</f>
        <v>0.0037</v>
      </c>
      <c r="S3" s="4">
        <f>IFERROR(_xlfn.STDEV.S('Incurred Loss'!S49:S51)/AVERAGE('Incurred Loss'!S49:S51),"")</f>
        <v>0.0</v>
      </c>
      <c r="T3" s="4">
        <f>IFERROR(_xlfn.STDEV.S('Incurred Loss'!T49:T51)/AVERAGE('Incurred Loss'!T49:T51),"")</f>
        <v>0.0</v>
      </c>
      <c r="U3" s="4">
        <f>IFERROR(_xlfn.STDEV.S('Incurred Loss'!U49:U51)/AVERAGE('Incurred Loss'!U49:U51),"")</f>
        <v>0.0036</v>
      </c>
      <c r="V3" s="4">
        <f>IFERROR(_xlfn.STDEV.S('Incurred Loss'!V49:V51)/AVERAGE('Incurred Loss'!V49:V51),"")</f>
        <v>0.0178</v>
      </c>
      <c r="W3" s="4">
        <f>IFERROR(_xlfn.STDEV.S('Incurred Loss'!W49:W51)/AVERAGE('Incurred Loss'!W49:W51),"")</f>
        <v>0.0</v>
      </c>
      <c r="X3" s="4">
        <f>IFERROR(_xlfn.STDEV.S('Incurred Loss'!X49:X51)/AVERAGE('Incurred Loss'!X49:X51),"")</f>
        <v>0</v>
      </c>
    </row>
    <row r="4" spans="1:25">
      <c r="A4" s="2" t="s">
        <v>98</v>
      </c>
      <c r="B4" s="4">
        <f>IFERROR(_xlfn.STDEV.S('Incurred Loss'!B47:B51)/AVERAGE('Incurred Loss'!B47:B51),"")</f>
        <v>0.3284</v>
      </c>
      <c r="C4" s="4">
        <f>IFERROR(_xlfn.STDEV.S('Incurred Loss'!C47:C51)/AVERAGE('Incurred Loss'!C47:C51),"")</f>
        <v>0.2103</v>
      </c>
      <c r="D4" s="4">
        <f>IFERROR(_xlfn.STDEV.S('Incurred Loss'!D47:D51)/AVERAGE('Incurred Loss'!D47:D51),"")</f>
        <v>0.1316</v>
      </c>
      <c r="E4" s="4">
        <f>IFERROR(_xlfn.STDEV.S('Incurred Loss'!E47:E51)/AVERAGE('Incurred Loss'!E47:E51),"")</f>
        <v>0.0556</v>
      </c>
      <c r="F4" s="4">
        <f>IFERROR(_xlfn.STDEV.S('Incurred Loss'!F47:F51)/AVERAGE('Incurred Loss'!F47:F51),"")</f>
        <v>0.0773</v>
      </c>
      <c r="G4" s="4">
        <f>IFERROR(_xlfn.STDEV.S('Incurred Loss'!G47:G51)/AVERAGE('Incurred Loss'!G47:G51),"")</f>
        <v>0.074</v>
      </c>
      <c r="H4" s="4">
        <f>IFERROR(_xlfn.STDEV.S('Incurred Loss'!H47:H51)/AVERAGE('Incurred Loss'!H47:H51),"")</f>
        <v>0.0136</v>
      </c>
      <c r="I4" s="4">
        <f>IFERROR(_xlfn.STDEV.S('Incurred Loss'!I47:I51)/AVERAGE('Incurred Loss'!I47:I51),"")</f>
        <v>0.0254</v>
      </c>
      <c r="J4" s="4">
        <f>IFERROR(_xlfn.STDEV.S('Incurred Loss'!J47:J51)/AVERAGE('Incurred Loss'!J47:J51),"")</f>
        <v>0.0393</v>
      </c>
      <c r="K4" s="4">
        <f>IFERROR(_xlfn.STDEV.S('Incurred Loss'!K47:K51)/AVERAGE('Incurred Loss'!K47:K51),"")</f>
        <v>0.0134</v>
      </c>
      <c r="L4" s="4">
        <f>IFERROR(_xlfn.STDEV.S('Incurred Loss'!L47:L51)/AVERAGE('Incurred Loss'!L47:L51),"")</f>
        <v>0.0762</v>
      </c>
      <c r="M4" s="4">
        <f>IFERROR(_xlfn.STDEV.S('Incurred Loss'!M47:M51)/AVERAGE('Incurred Loss'!M47:M51),"")</f>
        <v>0.0162</v>
      </c>
      <c r="N4" s="4">
        <f>IFERROR(_xlfn.STDEV.S('Incurred Loss'!N47:N51)/AVERAGE('Incurred Loss'!N47:N51),"")</f>
        <v>0.0004</v>
      </c>
      <c r="O4" s="4">
        <f>IFERROR(_xlfn.STDEV.S('Incurred Loss'!O47:O51)/AVERAGE('Incurred Loss'!O47:O51),"")</f>
        <v>0.0187</v>
      </c>
      <c r="P4" s="4">
        <f>IFERROR(_xlfn.STDEV.S('Incurred Loss'!P47:P51)/AVERAGE('Incurred Loss'!P47:P51),"")</f>
        <v>0.0049</v>
      </c>
      <c r="Q4" s="4">
        <f>IFERROR(_xlfn.STDEV.S('Incurred Loss'!Q47:Q51)/AVERAGE('Incurred Loss'!Q47:Q51),"")</f>
        <v>0.0089</v>
      </c>
      <c r="R4" s="4">
        <f>IFERROR(_xlfn.STDEV.S('Incurred Loss'!R47:R51)/AVERAGE('Incurred Loss'!R47:R51),"")</f>
        <v>0.0032</v>
      </c>
      <c r="S4" s="4">
        <f>IFERROR(_xlfn.STDEV.S('Incurred Loss'!S47:S51)/AVERAGE('Incurred Loss'!S47:S51),"")</f>
        <v>0.0</v>
      </c>
      <c r="T4" s="4">
        <f>IFERROR(_xlfn.STDEV.S('Incurred Loss'!T47:T51)/AVERAGE('Incurred Loss'!T47:T51),"")</f>
        <v>0.0188</v>
      </c>
      <c r="U4" s="4">
        <f>IFERROR(_xlfn.STDEV.S('Incurred Loss'!U47:U51)/AVERAGE('Incurred Loss'!U47:U51),"")</f>
        <v>0.013</v>
      </c>
      <c r="V4" s="4">
        <f>IFERROR(_xlfn.STDEV.S('Incurred Loss'!V47:V51)/AVERAGE('Incurred Loss'!V47:V51),"")</f>
        <v>0.0178</v>
      </c>
      <c r="W4" s="4">
        <f>IFERROR(_xlfn.STDEV.S('Incurred Loss'!W47:W51)/AVERAGE('Incurred Loss'!W47:W51),"")</f>
        <v>0.0</v>
      </c>
      <c r="X4" s="4">
        <f>IFERROR(_xlfn.STDEV.S('Incurred Loss'!X47:X51)/AVERAGE('Incurred Loss'!X47:X51),"")</f>
        <v>0</v>
      </c>
    </row>
    <row r="5" spans="1:25">
      <c r="A5" s="2" t="s">
        <v>99</v>
      </c>
      <c r="B5" s="4">
        <f>IFERROR(_xlfn.STDEV.S('Incurred Loss'!B42:B51)/AVERAGE('Incurred Loss'!B42:B51),"")</f>
        <v>0.2694</v>
      </c>
      <c r="C5" s="4">
        <f>IFERROR(_xlfn.STDEV.S('Incurred Loss'!C42:C51)/AVERAGE('Incurred Loss'!C42:C51),"")</f>
        <v>0.1768</v>
      </c>
      <c r="D5" s="4">
        <f>IFERROR(_xlfn.STDEV.S('Incurred Loss'!D42:D51)/AVERAGE('Incurred Loss'!D42:D51),"")</f>
        <v>0.1051</v>
      </c>
      <c r="E5" s="4">
        <f>IFERROR(_xlfn.STDEV.S('Incurred Loss'!E42:E51)/AVERAGE('Incurred Loss'!E42:E51),"")</f>
        <v>0.0465</v>
      </c>
      <c r="F5" s="4">
        <f>IFERROR(_xlfn.STDEV.S('Incurred Loss'!F42:F51)/AVERAGE('Incurred Loss'!F42:F51),"")</f>
        <v>0.0719</v>
      </c>
      <c r="G5" s="4">
        <f>IFERROR(_xlfn.STDEV.S('Incurred Loss'!G42:G51)/AVERAGE('Incurred Loss'!G42:G51),"")</f>
        <v>0.0599</v>
      </c>
      <c r="H5" s="4">
        <f>IFERROR(_xlfn.STDEV.S('Incurred Loss'!H42:H51)/AVERAGE('Incurred Loss'!H42:H51),"")</f>
        <v>0.0442</v>
      </c>
      <c r="I5" s="4">
        <f>IFERROR(_xlfn.STDEV.S('Incurred Loss'!I42:I51)/AVERAGE('Incurred Loss'!I42:I51),"")</f>
        <v>0.0266</v>
      </c>
      <c r="J5" s="4">
        <f>IFERROR(_xlfn.STDEV.S('Incurred Loss'!J42:J51)/AVERAGE('Incurred Loss'!J42:J51),"")</f>
        <v>0.0374</v>
      </c>
      <c r="K5" s="4">
        <f>IFERROR(_xlfn.STDEV.S('Incurred Loss'!K42:K51)/AVERAGE('Incurred Loss'!K42:K51),"")</f>
        <v>0.0262</v>
      </c>
      <c r="L5" s="4">
        <f>IFERROR(_xlfn.STDEV.S('Incurred Loss'!L42:L51)/AVERAGE('Incurred Loss'!L42:L51),"")</f>
        <v>0.061</v>
      </c>
      <c r="M5" s="4">
        <f>IFERROR(_xlfn.STDEV.S('Incurred Loss'!M42:M51)/AVERAGE('Incurred Loss'!M42:M51),"")</f>
        <v>0.0142</v>
      </c>
      <c r="N5" s="4">
        <f>IFERROR(_xlfn.STDEV.S('Incurred Loss'!N42:N51)/AVERAGE('Incurred Loss'!N42:N51),"")</f>
        <v>0.0147</v>
      </c>
      <c r="O5" s="4">
        <f>IFERROR(_xlfn.STDEV.S('Incurred Loss'!O42:O51)/AVERAGE('Incurred Loss'!O42:O51),"")</f>
        <v>0.0146</v>
      </c>
      <c r="P5" s="4">
        <f>IFERROR(_xlfn.STDEV.S('Incurred Loss'!P42:P51)/AVERAGE('Incurred Loss'!P42:P51),"")</f>
        <v>0.0166</v>
      </c>
      <c r="Q5" s="4">
        <f>IFERROR(_xlfn.STDEV.S('Incurred Loss'!Q42:Q51)/AVERAGE('Incurred Loss'!Q42:Q51),"")</f>
        <v>0.0175</v>
      </c>
      <c r="R5" s="4">
        <f>IFERROR(_xlfn.STDEV.S('Incurred Loss'!R42:R51)/AVERAGE('Incurred Loss'!R42:R51),"")</f>
        <v>0.0112</v>
      </c>
      <c r="S5" s="4">
        <f>IFERROR(_xlfn.STDEV.S('Incurred Loss'!S42:S51)/AVERAGE('Incurred Loss'!S42:S51),"")</f>
        <v>0.0073</v>
      </c>
      <c r="T5" s="4">
        <f>IFERROR(_xlfn.STDEV.S('Incurred Loss'!T42:T51)/AVERAGE('Incurred Loss'!T42:T51),"")</f>
        <v>0.0188</v>
      </c>
      <c r="U5" s="4">
        <f>IFERROR(_xlfn.STDEV.S('Incurred Loss'!U42:U51)/AVERAGE('Incurred Loss'!U42:U51),"")</f>
        <v>0.013</v>
      </c>
      <c r="V5" s="4">
        <f>IFERROR(_xlfn.STDEV.S('Incurred Loss'!V42:V51)/AVERAGE('Incurred Loss'!V42:V51),"")</f>
        <v>0.0178</v>
      </c>
      <c r="W5" s="4">
        <f>IFERROR(_xlfn.STDEV.S('Incurred Loss'!W42:W51)/AVERAGE('Incurred Loss'!W42:W51),"")</f>
        <v>0.0</v>
      </c>
      <c r="X5" s="4">
        <f>IFERROR(_xlfn.STDEV.S('Incurred Loss'!X42:X51)/AVERAGE('Incurred Loss'!X42:X51),"")</f>
        <v>0</v>
      </c>
    </row>
    <row r="6" spans="1:25">
      <c r="A6" s="2" t="s">
        <v>100</v>
      </c>
      <c r="B6" s="4">
        <f>IFERROR(SLOPE('Incurred Loss'!B49:B51,{1,2,3}),"")</f>
        <v>0.1182</v>
      </c>
      <c r="C6" s="4">
        <f>IFERROR(SLOPE('Incurred Loss'!C49:C51,{1,2,3}),"")</f>
        <v>-0.0058</v>
      </c>
      <c r="D6" s="4">
        <f>IFERROR(SLOPE('Incurred Loss'!D49:D51,{1,2,3}),"")</f>
        <v>-0.059</v>
      </c>
      <c r="E6" s="4">
        <f>IFERROR(SLOPE('Incurred Loss'!E49:E51,{1,2,3}),"")</f>
        <v>0.0077</v>
      </c>
      <c r="F6" s="4">
        <f>IFERROR(SLOPE('Incurred Loss'!F49:F51,{1,2,3}),"")</f>
        <v>0.0447</v>
      </c>
      <c r="G6" s="4">
        <f>IFERROR(SLOPE('Incurred Loss'!G49:G51,{1,2,3}),"")</f>
        <v>-0.0505</v>
      </c>
      <c r="H6" s="4">
        <f>IFERROR(SLOPE('Incurred Loss'!H49:H51,{1,2,3}),"")</f>
        <v>0.0124</v>
      </c>
      <c r="I6" s="4">
        <f>IFERROR(SLOPE('Incurred Loss'!I49:I51,{1,2,3}),"")</f>
        <v>-0.0199</v>
      </c>
      <c r="J6" s="4">
        <f>IFERROR(SLOPE('Incurred Loss'!J49:J51,{1,2,3}),"")</f>
        <v>0.0481</v>
      </c>
      <c r="K6" s="4">
        <f>IFERROR(SLOPE('Incurred Loss'!K49:K51,{1,2,3}),"")</f>
        <v>-0.0072</v>
      </c>
      <c r="L6" s="4">
        <f>IFERROR(SLOPE('Incurred Loss'!L49:L51,{1,2,3}),"")</f>
        <v>0.0016</v>
      </c>
      <c r="M6" s="4">
        <f>IFERROR(SLOPE('Incurred Loss'!M49:M51,{1,2,3}),"")</f>
        <v>-0.0006</v>
      </c>
      <c r="N6" s="4">
        <f>IFERROR(SLOPE('Incurred Loss'!N49:N51,{1,2,3}),"")</f>
        <v>0.0</v>
      </c>
      <c r="O6" s="4">
        <f>IFERROR(SLOPE('Incurred Loss'!O49:O51,{1,2,3}),"")</f>
        <v>0.003</v>
      </c>
      <c r="P6" s="4">
        <f>IFERROR(SLOPE('Incurred Loss'!P49:P51,{1,2,3}),"")</f>
        <v>0.0</v>
      </c>
      <c r="Q6" s="4">
        <f>IFERROR(SLOPE('Incurred Loss'!Q49:Q51,{1,2,3}),"")</f>
        <v>0.009</v>
      </c>
      <c r="R6" s="4">
        <f>IFERROR(SLOPE('Incurred Loss'!R49:R51,{1,2,3}),"")</f>
        <v>0.0013</v>
      </c>
      <c r="S6" s="4">
        <f>IFERROR(SLOPE('Incurred Loss'!S49:S51,{1,2,3}),"")</f>
        <v>0.0</v>
      </c>
      <c r="T6" s="4">
        <f>IFERROR(SLOPE('Incurred Loss'!T49:T51,{1,2,3}),"")</f>
        <v>0.0</v>
      </c>
      <c r="U6" s="4">
        <f>IFERROR(SLOPE('Incurred Loss'!U49:U51,{1,2,3}),"")</f>
        <v>0.0031</v>
      </c>
      <c r="V6" s="4">
        <f>IFERROR(SLOPE('Incurred Loss'!V49:V51,{1,2,3}),"")</f>
        <v>-0.0069</v>
      </c>
      <c r="W6" s="4">
        <f>IFERROR(SLOPE('Incurred Loss'!W49:W51,{1,2,3}),"")</f>
        <v>-0.0</v>
      </c>
      <c r="X6" s="4">
        <f>IFERROR(SLOPE('Incurred Loss'!X49:X51,{1,2,3}),"")</f>
        <v>0</v>
      </c>
    </row>
    <row r="7" spans="1:25">
      <c r="A7" s="2" t="s">
        <v>101</v>
      </c>
      <c r="B7" s="4">
        <f>IFERROR(SLOPE('Incurred Loss'!B47:B51,{1,2,3,4,5}),"")</f>
        <v>-0.2685</v>
      </c>
      <c r="C7" s="4">
        <f>IFERROR(SLOPE('Incurred Loss'!C47:C51,{1,2,3,4,5}),"")</f>
        <v>-0.1238</v>
      </c>
      <c r="D7" s="4">
        <f>IFERROR(SLOPE('Incurred Loss'!D47:D51,{1,2,3,4,5}),"")</f>
        <v>-0.0886</v>
      </c>
      <c r="E7" s="4">
        <f>IFERROR(SLOPE('Incurred Loss'!E47:E51,{1,2,3,4,5}),"")</f>
        <v>-0.0277</v>
      </c>
      <c r="F7" s="4">
        <f>IFERROR(SLOPE('Incurred Loss'!F47:F51,{1,2,3,4,5}),"")</f>
        <v>0.0153</v>
      </c>
      <c r="G7" s="4">
        <f>IFERROR(SLOPE('Incurred Loss'!G47:G51,{1,2,3,4,5}),"")</f>
        <v>0.0123</v>
      </c>
      <c r="H7" s="4">
        <f>IFERROR(SLOPE('Incurred Loss'!H47:H51,{1,2,3,4,5}),"")</f>
        <v>0.0063</v>
      </c>
      <c r="I7" s="4">
        <f>IFERROR(SLOPE('Incurred Loss'!I47:I51,{1,2,3,4,5}),"")</f>
        <v>-0.0108</v>
      </c>
      <c r="J7" s="4">
        <f>IFERROR(SLOPE('Incurred Loss'!J47:J51,{1,2,3,4,5}),"")</f>
        <v>0.0149</v>
      </c>
      <c r="K7" s="4">
        <f>IFERROR(SLOPE('Incurred Loss'!K47:K51,{1,2,3,4,5}),"")</f>
        <v>-0.0044</v>
      </c>
      <c r="L7" s="4">
        <f>IFERROR(SLOPE('Incurred Loss'!L47:L51,{1,2,3,4,5}),"")</f>
        <v>0.0152</v>
      </c>
      <c r="M7" s="4">
        <f>IFERROR(SLOPE('Incurred Loss'!M47:M51,{1,2,3,4,5}),"")</f>
        <v>-0.0001</v>
      </c>
      <c r="N7" s="4">
        <f>IFERROR(SLOPE('Incurred Loss'!N47:N51,{1,2,3,4,5}),"")</f>
        <v>-0.0002</v>
      </c>
      <c r="O7" s="4">
        <f>IFERROR(SLOPE('Incurred Loss'!O47:O51,{1,2,3,4,5}),"")</f>
        <v>-0.0033</v>
      </c>
      <c r="P7" s="4">
        <f>IFERROR(SLOPE('Incurred Loss'!P47:P51,{1,2,3,4,5}),"")</f>
        <v>-0.0021</v>
      </c>
      <c r="Q7" s="4">
        <f>IFERROR(SLOPE('Incurred Loss'!Q47:Q51,{1,2,3,4,5}),"")</f>
        <v>0.003</v>
      </c>
      <c r="R7" s="4">
        <f>IFERROR(SLOPE('Incurred Loss'!R47:R51,{1,2,3,4,5}),"")</f>
        <v>0.0012</v>
      </c>
      <c r="S7" s="4">
        <f>IFERROR(SLOPE('Incurred Loss'!S47:S51,{1,2,3,4,5}),"")</f>
        <v>-0.0</v>
      </c>
      <c r="T7" s="4">
        <f>IFERROR(SLOPE('Incurred Loss'!T47:T51,{1,2,3,4,5}),"")</f>
        <v>-0.0042</v>
      </c>
      <c r="U7" s="4">
        <f>IFERROR(SLOPE('Incurred Loss'!U47:U51,{1,2,3,4,5}),"")</f>
        <v>-0.0064</v>
      </c>
      <c r="V7" s="4">
        <f>IFERROR(SLOPE('Incurred Loss'!V47:V51,{1,2,3,4,5}),"")</f>
        <v>-0.0069</v>
      </c>
      <c r="W7" s="4">
        <f>IFERROR(SLOPE('Incurred Loss'!W47:W51,{1,2,3,4,5}),"")</f>
        <v>-0.0</v>
      </c>
      <c r="X7" s="4">
        <f>IFERROR(SLOPE('Incurred Loss'!X47:X51,{1,2,3,4,5}),"")</f>
        <v>0</v>
      </c>
    </row>
    <row r="8" spans="1:25">
      <c r="A8" s="2" t="s">
        <v>102</v>
      </c>
      <c r="B8" s="4">
        <f>IFERROR(SLOPE('Incurred Loss'!B42:B51,{1,2,3,4,5,6,7,8,9,10}),"")</f>
        <v>-0.0158</v>
      </c>
      <c r="C8" s="4">
        <f>IFERROR(SLOPE('Incurred Loss'!C42:C51,{1,2,3,4,5,6,7,8,9,10}),"")</f>
        <v>-0.024</v>
      </c>
      <c r="D8" s="4">
        <f>IFERROR(SLOPE('Incurred Loss'!D42:D51,{1,2,3,4,5,6,7,8,9,10}),"")</f>
        <v>-0.007</v>
      </c>
      <c r="E8" s="4">
        <f>IFERROR(SLOPE('Incurred Loss'!E42:E51,{1,2,3,4,5,6,7,8,9,10}),"")</f>
        <v>-0.001</v>
      </c>
      <c r="F8" s="4">
        <f>IFERROR(SLOPE('Incurred Loss'!F42:F51,{1,2,3,4,5,6,7,8,9,10}),"")</f>
        <v>0.0149</v>
      </c>
      <c r="G8" s="4">
        <f>IFERROR(SLOPE('Incurred Loss'!G42:G51,{1,2,3,4,5,6,7,8,9,10}),"")</f>
        <v>0.0087</v>
      </c>
      <c r="H8" s="4">
        <f>IFERROR(SLOPE('Incurred Loss'!H42:H51,{1,2,3,4,5,6,7,8,9,10}),"")</f>
        <v>-0.0053</v>
      </c>
      <c r="I8" s="4">
        <f>IFERROR(SLOPE('Incurred Loss'!I42:I51,{1,2,3,4,5,6,7,8,9,10}),"")</f>
        <v>-0.0023</v>
      </c>
      <c r="J8" s="4">
        <f>IFERROR(SLOPE('Incurred Loss'!J42:J51,{1,2,3,4,5,6,7,8,9,10}),"")</f>
        <v>-0.0002</v>
      </c>
      <c r="K8" s="4">
        <f>IFERROR(SLOPE('Incurred Loss'!K42:K51,{1,2,3,4,5,6,7,8,9,10}),"")</f>
        <v>-0.0048</v>
      </c>
      <c r="L8" s="4">
        <f>IFERROR(SLOPE('Incurred Loss'!L42:L51,{1,2,3,4,5,6,7,8,9,10}),"")</f>
        <v>0.0008</v>
      </c>
      <c r="M8" s="4">
        <f>IFERROR(SLOPE('Incurred Loss'!M42:M51,{1,2,3,4,5,6,7,8,9,10}),"")</f>
        <v>0.0002</v>
      </c>
      <c r="N8" s="4">
        <f>IFERROR(SLOPE('Incurred Loss'!N42:N51,{1,2,3,4,5,6,7,8,9,10}),"")</f>
        <v>-0.0019</v>
      </c>
      <c r="O8" s="4">
        <f>IFERROR(SLOPE('Incurred Loss'!O42:O51,{1,2,3,4,5,6,7,8,9,10}),"")</f>
        <v>-0.001</v>
      </c>
      <c r="P8" s="4">
        <f>IFERROR(SLOPE('Incurred Loss'!P42:P51,{1,2,3,4,5,6,7,8,9,10}),"")</f>
        <v>-0.0039</v>
      </c>
      <c r="Q8" s="4">
        <f>IFERROR(SLOPE('Incurred Loss'!Q42:Q51,{1,2,3,4,5,6,7,8,9,10}),"")</f>
        <v>-0.0029</v>
      </c>
      <c r="R8" s="4">
        <f>IFERROR(SLOPE('Incurred Loss'!R42:R51,{1,2,3,4,5,6,7,8,9,10}),"")</f>
        <v>-0.0026</v>
      </c>
      <c r="S8" s="4">
        <f>IFERROR(SLOPE('Incurred Loss'!S42:S51,{1,2,3,4,5,6,7,8,9,10}),"")</f>
        <v>-0.0026</v>
      </c>
      <c r="T8" s="4">
        <f>IFERROR(SLOPE('Incurred Loss'!T42:T51,{1,2,3,4,5,6,7,8,9,10}),"")</f>
        <v>-0.0042</v>
      </c>
      <c r="U8" s="4">
        <f>IFERROR(SLOPE('Incurred Loss'!U42:U51,{1,2,3,4,5,6,7,8,9,10}),"")</f>
        <v>-0.0064</v>
      </c>
      <c r="V8" s="4">
        <f>IFERROR(SLOPE('Incurred Loss'!V42:V51,{1,2,3,4,5,6,7,8,9,10}),"")</f>
        <v>-0.0069</v>
      </c>
      <c r="W8" s="4">
        <f>IFERROR(SLOPE('Incurred Loss'!W42:W51,{1,2,3,4,5,6,7,8,9,10}),"")</f>
        <v>-0.0</v>
      </c>
      <c r="X8" s="4">
        <f>IFERROR(SLOPE('Incurred Loss'!X42:X51,{1,2,3,4,5,6,7,8,9,10}),"")</f>
        <v>0</v>
      </c>
    </row>
    <row r="10" spans="1:25">
      <c r="A10" s="14" t="s">
        <v>103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</row>
    <row r="11" spans="1:25">
      <c r="A11" s="1" t="s">
        <v>72</v>
      </c>
      <c r="B11" s="1" t="s">
        <v>49</v>
      </c>
      <c r="C11" s="1" t="s">
        <v>50</v>
      </c>
      <c r="D11" s="1" t="s">
        <v>51</v>
      </c>
      <c r="E11" s="1" t="s">
        <v>52</v>
      </c>
      <c r="F11" s="1" t="s">
        <v>53</v>
      </c>
      <c r="G11" s="1" t="s">
        <v>54</v>
      </c>
      <c r="H11" s="1" t="s">
        <v>55</v>
      </c>
      <c r="I11" s="1" t="s">
        <v>56</v>
      </c>
      <c r="J11" s="1" t="s">
        <v>57</v>
      </c>
      <c r="K11" s="1" t="s">
        <v>58</v>
      </c>
      <c r="L11" s="1" t="s">
        <v>59</v>
      </c>
      <c r="M11" s="1" t="s">
        <v>60</v>
      </c>
      <c r="N11" s="1" t="s">
        <v>61</v>
      </c>
      <c r="O11" s="1" t="s">
        <v>62</v>
      </c>
      <c r="P11" s="1" t="s">
        <v>63</v>
      </c>
      <c r="Q11" s="1" t="s">
        <v>64</v>
      </c>
      <c r="R11" s="1" t="s">
        <v>65</v>
      </c>
      <c r="S11" s="1" t="s">
        <v>66</v>
      </c>
      <c r="T11" s="1" t="s">
        <v>67</v>
      </c>
      <c r="U11" s="1" t="s">
        <v>68</v>
      </c>
      <c r="V11" s="1" t="s">
        <v>69</v>
      </c>
      <c r="W11" s="1" t="s">
        <v>70</v>
      </c>
      <c r="X11" s="1" t="s">
        <v>71</v>
      </c>
      <c r="Y11" s="1" t="s">
        <v>73</v>
      </c>
    </row>
    <row r="12" spans="1:25">
      <c r="A12" s="2" t="s">
        <v>97</v>
      </c>
      <c r="B12" s="4">
        <f>IFERROR(_xlfn.STDEV.S('Paid Loss'!B49:B51)/AVERAGE('Paid Loss'!B49:B51),"")</f>
        <v>0.2513</v>
      </c>
      <c r="C12" s="4">
        <f>IFERROR(_xlfn.STDEV.S('Paid Loss'!C49:C51)/AVERAGE('Paid Loss'!C49:C51),"")</f>
        <v>0.2467</v>
      </c>
      <c r="D12" s="4">
        <f>IFERROR(_xlfn.STDEV.S('Paid Loss'!D49:D51)/AVERAGE('Paid Loss'!D49:D51),"")</f>
        <v>0.0502</v>
      </c>
      <c r="E12" s="4">
        <f>IFERROR(_xlfn.STDEV.S('Paid Loss'!E49:E51)/AVERAGE('Paid Loss'!E49:E51),"")</f>
        <v>0.1057</v>
      </c>
      <c r="F12" s="4">
        <f>IFERROR(_xlfn.STDEV.S('Paid Loss'!F49:F51)/AVERAGE('Paid Loss'!F49:F51),"")</f>
        <v>0.0721</v>
      </c>
      <c r="G12" s="4">
        <f>IFERROR(_xlfn.STDEV.S('Paid Loss'!G49:G51)/AVERAGE('Paid Loss'!G49:G51),"")</f>
        <v>0.1012</v>
      </c>
      <c r="H12" s="4">
        <f>IFERROR(_xlfn.STDEV.S('Paid Loss'!H49:H51)/AVERAGE('Paid Loss'!H49:H51),"")</f>
        <v>0.0403</v>
      </c>
      <c r="I12" s="4">
        <f>IFERROR(_xlfn.STDEV.S('Paid Loss'!I49:I51)/AVERAGE('Paid Loss'!I49:I51),"")</f>
        <v>0.004</v>
      </c>
      <c r="J12" s="4">
        <f>IFERROR(_xlfn.STDEV.S('Paid Loss'!J49:J51)/AVERAGE('Paid Loss'!J49:J51),"")</f>
        <v>0.0647</v>
      </c>
      <c r="K12" s="4">
        <f>IFERROR(_xlfn.STDEV.S('Paid Loss'!K49:K51)/AVERAGE('Paid Loss'!K49:K51),"")</f>
        <v>0.0153</v>
      </c>
      <c r="L12" s="4">
        <f>IFERROR(_xlfn.STDEV.S('Paid Loss'!L49:L51)/AVERAGE('Paid Loss'!L49:L51),"")</f>
        <v>0.0294</v>
      </c>
      <c r="M12" s="4">
        <f>IFERROR(_xlfn.STDEV.S('Paid Loss'!M49:M51)/AVERAGE('Paid Loss'!M49:M51),"")</f>
        <v>0.0226</v>
      </c>
      <c r="N12" s="4">
        <f>IFERROR(_xlfn.STDEV.S('Paid Loss'!N49:N51)/AVERAGE('Paid Loss'!N49:N51),"")</f>
        <v>0.0017</v>
      </c>
      <c r="O12" s="4">
        <f>IFERROR(_xlfn.STDEV.S('Paid Loss'!O49:O51)/AVERAGE('Paid Loss'!O49:O51),"")</f>
        <v>0.0033</v>
      </c>
      <c r="P12" s="4">
        <f>IFERROR(_xlfn.STDEV.S('Paid Loss'!P49:P51)/AVERAGE('Paid Loss'!P49:P51),"")</f>
        <v>0.0159</v>
      </c>
      <c r="Q12" s="4">
        <f>IFERROR(_xlfn.STDEV.S('Paid Loss'!Q49:Q51)/AVERAGE('Paid Loss'!Q49:Q51),"")</f>
        <v>0.0103</v>
      </c>
      <c r="R12" s="4">
        <f>IFERROR(_xlfn.STDEV.S('Paid Loss'!R49:R51)/AVERAGE('Paid Loss'!R49:R51),"")</f>
        <v>0.0033</v>
      </c>
      <c r="S12" s="4">
        <f>IFERROR(_xlfn.STDEV.S('Paid Loss'!S49:S51)/AVERAGE('Paid Loss'!S49:S51),"")</f>
        <v>0.0032</v>
      </c>
      <c r="T12" s="4">
        <f>IFERROR(_xlfn.STDEV.S('Paid Loss'!T49:T51)/AVERAGE('Paid Loss'!T49:T51),"")</f>
        <v>0.0</v>
      </c>
      <c r="U12" s="4">
        <f>IFERROR(_xlfn.STDEV.S('Paid Loss'!U49:U51)/AVERAGE('Paid Loss'!U49:U51),"")</f>
        <v>0.0058</v>
      </c>
      <c r="V12" s="4">
        <f>IFERROR(_xlfn.STDEV.S('Paid Loss'!V49:V51)/AVERAGE('Paid Loss'!V49:V51),"")</f>
        <v>0.005</v>
      </c>
      <c r="W12" s="4">
        <f>IFERROR(_xlfn.STDEV.S('Paid Loss'!W49:W51)/AVERAGE('Paid Loss'!W49:W51),"")</f>
        <v>0.0019</v>
      </c>
      <c r="X12" s="4">
        <f>IFERROR(_xlfn.STDEV.S('Paid Loss'!X49:X51)/AVERAGE('Paid Loss'!X49:X51),"")</f>
        <v>0</v>
      </c>
    </row>
    <row r="13" spans="1:25">
      <c r="A13" s="2" t="s">
        <v>98</v>
      </c>
      <c r="B13" s="4">
        <f>IFERROR(_xlfn.STDEV.S('Paid Loss'!B47:B51)/AVERAGE('Paid Loss'!B47:B51),"")</f>
        <v>0.1774</v>
      </c>
      <c r="C13" s="4">
        <f>IFERROR(_xlfn.STDEV.S('Paid Loss'!C47:C51)/AVERAGE('Paid Loss'!C47:C51),"")</f>
        <v>0.2103</v>
      </c>
      <c r="D13" s="4">
        <f>IFERROR(_xlfn.STDEV.S('Paid Loss'!D47:D51)/AVERAGE('Paid Loss'!D47:D51),"")</f>
        <v>0.1004</v>
      </c>
      <c r="E13" s="4">
        <f>IFERROR(_xlfn.STDEV.S('Paid Loss'!E47:E51)/AVERAGE('Paid Loss'!E47:E51),"")</f>
        <v>0.0759</v>
      </c>
      <c r="F13" s="4">
        <f>IFERROR(_xlfn.STDEV.S('Paid Loss'!F47:F51)/AVERAGE('Paid Loss'!F47:F51),"")</f>
        <v>0.0522</v>
      </c>
      <c r="G13" s="4">
        <f>IFERROR(_xlfn.STDEV.S('Paid Loss'!G47:G51)/AVERAGE('Paid Loss'!G47:G51),"")</f>
        <v>0.0961</v>
      </c>
      <c r="H13" s="4">
        <f>IFERROR(_xlfn.STDEV.S('Paid Loss'!H47:H51)/AVERAGE('Paid Loss'!H47:H51),"")</f>
        <v>0.0391</v>
      </c>
      <c r="I13" s="4">
        <f>IFERROR(_xlfn.STDEV.S('Paid Loss'!I47:I51)/AVERAGE('Paid Loss'!I47:I51),"")</f>
        <v>0.0112</v>
      </c>
      <c r="J13" s="4">
        <f>IFERROR(_xlfn.STDEV.S('Paid Loss'!J47:J51)/AVERAGE('Paid Loss'!J47:J51),"")</f>
        <v>0.0566</v>
      </c>
      <c r="K13" s="4">
        <f>IFERROR(_xlfn.STDEV.S('Paid Loss'!K47:K51)/AVERAGE('Paid Loss'!K47:K51),"")</f>
        <v>0.0121</v>
      </c>
      <c r="L13" s="4">
        <f>IFERROR(_xlfn.STDEV.S('Paid Loss'!L47:L51)/AVERAGE('Paid Loss'!L47:L51),"")</f>
        <v>0.0237</v>
      </c>
      <c r="M13" s="4">
        <f>IFERROR(_xlfn.STDEV.S('Paid Loss'!M47:M51)/AVERAGE('Paid Loss'!M47:M51),"")</f>
        <v>0.0235</v>
      </c>
      <c r="N13" s="4">
        <f>IFERROR(_xlfn.STDEV.S('Paid Loss'!N47:N51)/AVERAGE('Paid Loss'!N47:N51),"")</f>
        <v>0.0123</v>
      </c>
      <c r="O13" s="4">
        <f>IFERROR(_xlfn.STDEV.S('Paid Loss'!O47:O51)/AVERAGE('Paid Loss'!O47:O51),"")</f>
        <v>0.0108</v>
      </c>
      <c r="P13" s="4">
        <f>IFERROR(_xlfn.STDEV.S('Paid Loss'!P47:P51)/AVERAGE('Paid Loss'!P47:P51),"")</f>
        <v>0.0114</v>
      </c>
      <c r="Q13" s="4">
        <f>IFERROR(_xlfn.STDEV.S('Paid Loss'!Q47:Q51)/AVERAGE('Paid Loss'!Q47:Q51),"")</f>
        <v>0.0103</v>
      </c>
      <c r="R13" s="4">
        <f>IFERROR(_xlfn.STDEV.S('Paid Loss'!R47:R51)/AVERAGE('Paid Loss'!R47:R51),"")</f>
        <v>0.0031</v>
      </c>
      <c r="S13" s="4">
        <f>IFERROR(_xlfn.STDEV.S('Paid Loss'!S47:S51)/AVERAGE('Paid Loss'!S47:S51),"")</f>
        <v>0.0069</v>
      </c>
      <c r="T13" s="4">
        <f>IFERROR(_xlfn.STDEV.S('Paid Loss'!T47:T51)/AVERAGE('Paid Loss'!T47:T51),"")</f>
        <v>0.0054</v>
      </c>
      <c r="U13" s="4">
        <f>IFERROR(_xlfn.STDEV.S('Paid Loss'!U47:U51)/AVERAGE('Paid Loss'!U47:U51),"")</f>
        <v>0.0051</v>
      </c>
      <c r="V13" s="4">
        <f>IFERROR(_xlfn.STDEV.S('Paid Loss'!V47:V51)/AVERAGE('Paid Loss'!V47:V51),"")</f>
        <v>0.005</v>
      </c>
      <c r="W13" s="4">
        <f>IFERROR(_xlfn.STDEV.S('Paid Loss'!W47:W51)/AVERAGE('Paid Loss'!W47:W51),"")</f>
        <v>0.0019</v>
      </c>
      <c r="X13" s="4">
        <f>IFERROR(_xlfn.STDEV.S('Paid Loss'!X47:X51)/AVERAGE('Paid Loss'!X47:X51),"")</f>
        <v>0</v>
      </c>
    </row>
    <row r="14" spans="1:25">
      <c r="A14" s="2" t="s">
        <v>99</v>
      </c>
      <c r="B14" s="4">
        <f>IFERROR(_xlfn.STDEV.S('Paid Loss'!B42:B51)/AVERAGE('Paid Loss'!B42:B51),"")</f>
        <v>0.2259</v>
      </c>
      <c r="C14" s="4">
        <f>IFERROR(_xlfn.STDEV.S('Paid Loss'!C42:C51)/AVERAGE('Paid Loss'!C42:C51),"")</f>
        <v>0.1904</v>
      </c>
      <c r="D14" s="4">
        <f>IFERROR(_xlfn.STDEV.S('Paid Loss'!D42:D51)/AVERAGE('Paid Loss'!D42:D51),"")</f>
        <v>0.1076</v>
      </c>
      <c r="E14" s="4">
        <f>IFERROR(_xlfn.STDEV.S('Paid Loss'!E42:E51)/AVERAGE('Paid Loss'!E42:E51),"")</f>
        <v>0.0642</v>
      </c>
      <c r="F14" s="4">
        <f>IFERROR(_xlfn.STDEV.S('Paid Loss'!F42:F51)/AVERAGE('Paid Loss'!F42:F51),"")</f>
        <v>0.0625</v>
      </c>
      <c r="G14" s="4">
        <f>IFERROR(_xlfn.STDEV.S('Paid Loss'!G42:G51)/AVERAGE('Paid Loss'!G42:G51),"")</f>
        <v>0.0817</v>
      </c>
      <c r="H14" s="4">
        <f>IFERROR(_xlfn.STDEV.S('Paid Loss'!H42:H51)/AVERAGE('Paid Loss'!H42:H51),"")</f>
        <v>0.0308</v>
      </c>
      <c r="I14" s="4">
        <f>IFERROR(_xlfn.STDEV.S('Paid Loss'!I42:I51)/AVERAGE('Paid Loss'!I42:I51),"")</f>
        <v>0.0238</v>
      </c>
      <c r="J14" s="4">
        <f>IFERROR(_xlfn.STDEV.S('Paid Loss'!J42:J51)/AVERAGE('Paid Loss'!J42:J51),"")</f>
        <v>0.044</v>
      </c>
      <c r="K14" s="4">
        <f>IFERROR(_xlfn.STDEV.S('Paid Loss'!K42:K51)/AVERAGE('Paid Loss'!K42:K51),"")</f>
        <v>0.0327</v>
      </c>
      <c r="L14" s="4">
        <f>IFERROR(_xlfn.STDEV.S('Paid Loss'!L42:L51)/AVERAGE('Paid Loss'!L42:L51),"")</f>
        <v>0.0201</v>
      </c>
      <c r="M14" s="4">
        <f>IFERROR(_xlfn.STDEV.S('Paid Loss'!M42:M51)/AVERAGE('Paid Loss'!M42:M51),"")</f>
        <v>0.02</v>
      </c>
      <c r="N14" s="4">
        <f>IFERROR(_xlfn.STDEV.S('Paid Loss'!N42:N51)/AVERAGE('Paid Loss'!N42:N51),"")</f>
        <v>0.0116</v>
      </c>
      <c r="O14" s="4">
        <f>IFERROR(_xlfn.STDEV.S('Paid Loss'!O42:O51)/AVERAGE('Paid Loss'!O42:O51),"")</f>
        <v>0.012</v>
      </c>
      <c r="P14" s="4">
        <f>IFERROR(_xlfn.STDEV.S('Paid Loss'!P42:P51)/AVERAGE('Paid Loss'!P42:P51),"")</f>
        <v>0.0116</v>
      </c>
      <c r="Q14" s="4">
        <f>IFERROR(_xlfn.STDEV.S('Paid Loss'!Q42:Q51)/AVERAGE('Paid Loss'!Q42:Q51),"")</f>
        <v>0.0124</v>
      </c>
      <c r="R14" s="4">
        <f>IFERROR(_xlfn.STDEV.S('Paid Loss'!R42:R51)/AVERAGE('Paid Loss'!R42:R51),"")</f>
        <v>0.0108</v>
      </c>
      <c r="S14" s="4">
        <f>IFERROR(_xlfn.STDEV.S('Paid Loss'!S42:S51)/AVERAGE('Paid Loss'!S42:S51),"")</f>
        <v>0.0151</v>
      </c>
      <c r="T14" s="4">
        <f>IFERROR(_xlfn.STDEV.S('Paid Loss'!T42:T51)/AVERAGE('Paid Loss'!T42:T51),"")</f>
        <v>0.0054</v>
      </c>
      <c r="U14" s="4">
        <f>IFERROR(_xlfn.STDEV.S('Paid Loss'!U42:U51)/AVERAGE('Paid Loss'!U42:U51),"")</f>
        <v>0.0051</v>
      </c>
      <c r="V14" s="4">
        <f>IFERROR(_xlfn.STDEV.S('Paid Loss'!V42:V51)/AVERAGE('Paid Loss'!V42:V51),"")</f>
        <v>0.005</v>
      </c>
      <c r="W14" s="4">
        <f>IFERROR(_xlfn.STDEV.S('Paid Loss'!W42:W51)/AVERAGE('Paid Loss'!W42:W51),"")</f>
        <v>0.0019</v>
      </c>
      <c r="X14" s="4">
        <f>IFERROR(_xlfn.STDEV.S('Paid Loss'!X42:X51)/AVERAGE('Paid Loss'!X42:X51),"")</f>
        <v>0</v>
      </c>
    </row>
    <row r="15" spans="1:25">
      <c r="A15" s="2" t="s">
        <v>100</v>
      </c>
      <c r="B15" s="4">
        <f>IFERROR(SLOPE('Paid Loss'!B49:B51,{1,2,3}),"")</f>
        <v>0.6336</v>
      </c>
      <c r="C15" s="4">
        <f>IFERROR(SLOPE('Paid Loss'!C49:C51,{1,2,3}),"")</f>
        <v>-0.0604</v>
      </c>
      <c r="D15" s="4">
        <f>IFERROR(SLOPE('Paid Loss'!D49:D51,{1,2,3}),"")</f>
        <v>-0.0563</v>
      </c>
      <c r="E15" s="4">
        <f>IFERROR(SLOPE('Paid Loss'!E49:E51,{1,2,3}),"")</f>
        <v>-0.0235</v>
      </c>
      <c r="F15" s="4">
        <f>IFERROR(SLOPE('Paid Loss'!F49:F51,{1,2,3}),"")</f>
        <v>0.0539</v>
      </c>
      <c r="G15" s="4">
        <f>IFERROR(SLOPE('Paid Loss'!G49:G51,{1,2,3}),"")</f>
        <v>-0.04</v>
      </c>
      <c r="H15" s="4">
        <f>IFERROR(SLOPE('Paid Loss'!H49:H51,{1,2,3}),"")</f>
        <v>0.0182</v>
      </c>
      <c r="I15" s="4">
        <f>IFERROR(SLOPE('Paid Loss'!I49:I51,{1,2,3}),"")</f>
        <v>0.0024</v>
      </c>
      <c r="J15" s="4">
        <f>IFERROR(SLOPE('Paid Loss'!J49:J51,{1,2,3}),"")</f>
        <v>0.0689</v>
      </c>
      <c r="K15" s="4">
        <f>IFERROR(SLOPE('Paid Loss'!K49:K51,{1,2,3}),"")</f>
        <v>-0.0111</v>
      </c>
      <c r="L15" s="4">
        <f>IFERROR(SLOPE('Paid Loss'!L49:L51,{1,2,3}),"")</f>
        <v>-0.0051</v>
      </c>
      <c r="M15" s="4">
        <f>IFERROR(SLOPE('Paid Loss'!M49:M51,{1,2,3}),"")</f>
        <v>0.021</v>
      </c>
      <c r="N15" s="4">
        <f>IFERROR(SLOPE('Paid Loss'!N49:N51,{1,2,3}),"")</f>
        <v>0.0016</v>
      </c>
      <c r="O15" s="4">
        <f>IFERROR(SLOPE('Paid Loss'!O49:O51,{1,2,3}),"")</f>
        <v>0.0027</v>
      </c>
      <c r="P15" s="4">
        <f>IFERROR(SLOPE('Paid Loss'!P49:P51,{1,2,3}),"")</f>
        <v>-0.0145</v>
      </c>
      <c r="Q15" s="4">
        <f>IFERROR(SLOPE('Paid Loss'!Q49:Q51,{1,2,3}),"")</f>
        <v>0.0075</v>
      </c>
      <c r="R15" s="4">
        <f>IFERROR(SLOPE('Paid Loss'!R49:R51,{1,2,3}),"")</f>
        <v>0.0002</v>
      </c>
      <c r="S15" s="4">
        <f>IFERROR(SLOPE('Paid Loss'!S49:S51,{1,2,3}),"")</f>
        <v>0.0028</v>
      </c>
      <c r="T15" s="4">
        <f>IFERROR(SLOPE('Paid Loss'!T49:T51,{1,2,3}),"")</f>
        <v>0.0</v>
      </c>
      <c r="U15" s="4">
        <f>IFERROR(SLOPE('Paid Loss'!U49:U51,{1,2,3}),"")</f>
        <v>-0.0051</v>
      </c>
      <c r="V15" s="4">
        <f>IFERROR(SLOPE('Paid Loss'!V49:V51,{1,2,3}),"")</f>
        <v>-0.0037</v>
      </c>
      <c r="W15" s="4">
        <f>IFERROR(SLOPE('Paid Loss'!W49:W51,{1,2,3}),"")</f>
        <v>0.0027</v>
      </c>
      <c r="X15" s="4">
        <f>IFERROR(SLOPE('Paid Loss'!X49:X51,{1,2,3}),"")</f>
        <v>0</v>
      </c>
    </row>
    <row r="16" spans="1:25">
      <c r="A16" s="2" t="s">
        <v>101</v>
      </c>
      <c r="B16" s="4">
        <f>IFERROR(SLOPE('Paid Loss'!B47:B51,{1,2,3,4,5}),"")</f>
        <v>0.1057</v>
      </c>
      <c r="C16" s="4">
        <f>IFERROR(SLOPE('Paid Loss'!C47:C51,{1,2,3,4,5}),"")</f>
        <v>-0.0932</v>
      </c>
      <c r="D16" s="4">
        <f>IFERROR(SLOPE('Paid Loss'!D47:D51,{1,2,3,4,5}),"")</f>
        <v>-0.0368</v>
      </c>
      <c r="E16" s="4">
        <f>IFERROR(SLOPE('Paid Loss'!E47:E51,{1,2,3,4,5}),"")</f>
        <v>0.0014</v>
      </c>
      <c r="F16" s="4">
        <f>IFERROR(SLOPE('Paid Loss'!F47:F51,{1,2,3,4,5}),"")</f>
        <v>0.0158</v>
      </c>
      <c r="G16" s="4">
        <f>IFERROR(SLOPE('Paid Loss'!G47:G51,{1,2,3,4,5}),"")</f>
        <v>0.0287</v>
      </c>
      <c r="H16" s="4">
        <f>IFERROR(SLOPE('Paid Loss'!H47:H51,{1,2,3,4,5}),"")</f>
        <v>0.0186</v>
      </c>
      <c r="I16" s="4">
        <f>IFERROR(SLOPE('Paid Loss'!I47:I51,{1,2,3,4,5}),"")</f>
        <v>-0.0028</v>
      </c>
      <c r="J16" s="4">
        <f>IFERROR(SLOPE('Paid Loss'!J47:J51,{1,2,3,4,5}),"")</f>
        <v>0.0317</v>
      </c>
      <c r="K16" s="4">
        <f>IFERROR(SLOPE('Paid Loss'!K47:K51,{1,2,3,4,5}),"")</f>
        <v>0.0009</v>
      </c>
      <c r="L16" s="4">
        <f>IFERROR(SLOPE('Paid Loss'!L47:L51,{1,2,3,4,5}),"")</f>
        <v>-0.0005</v>
      </c>
      <c r="M16" s="4">
        <f>IFERROR(SLOPE('Paid Loss'!M47:M51,{1,2,3,4,5}),"")</f>
        <v>0.0036</v>
      </c>
      <c r="N16" s="4">
        <f>IFERROR(SLOPE('Paid Loss'!N47:N51,{1,2,3,4,5}),"")</f>
        <v>-0.0052</v>
      </c>
      <c r="O16" s="4">
        <f>IFERROR(SLOPE('Paid Loss'!O47:O51,{1,2,3,4,5}),"")</f>
        <v>-0.0028</v>
      </c>
      <c r="P16" s="4">
        <f>IFERROR(SLOPE('Paid Loss'!P47:P51,{1,2,3,4,5}),"")</f>
        <v>-0.0022</v>
      </c>
      <c r="Q16" s="4">
        <f>IFERROR(SLOPE('Paid Loss'!Q47:Q51,{1,2,3,4,5}),"")</f>
        <v>0.004</v>
      </c>
      <c r="R16" s="4">
        <f>IFERROR(SLOPE('Paid Loss'!R47:R51,{1,2,3,4,5}),"")</f>
        <v>0.0012</v>
      </c>
      <c r="S16" s="4">
        <f>IFERROR(SLOPE('Paid Loss'!S47:S51,{1,2,3,4,5}),"")</f>
        <v>-0.0021</v>
      </c>
      <c r="T16" s="4">
        <f>IFERROR(SLOPE('Paid Loss'!T47:T51,{1,2,3,4,5}),"")</f>
        <v>-0.0012</v>
      </c>
      <c r="U16" s="4">
        <f>IFERROR(SLOPE('Paid Loss'!U47:U51,{1,2,3,4,5}),"")</f>
        <v>-0.0032</v>
      </c>
      <c r="V16" s="4">
        <f>IFERROR(SLOPE('Paid Loss'!V47:V51,{1,2,3,4,5}),"")</f>
        <v>-0.0037</v>
      </c>
      <c r="W16" s="4">
        <f>IFERROR(SLOPE('Paid Loss'!W47:W51,{1,2,3,4,5}),"")</f>
        <v>0.0027</v>
      </c>
      <c r="X16" s="4">
        <f>IFERROR(SLOPE('Paid Loss'!X47:X51,{1,2,3,4,5}),"")</f>
        <v>0</v>
      </c>
    </row>
    <row r="17" spans="1:25">
      <c r="A17" s="2" t="s">
        <v>102</v>
      </c>
      <c r="B17" s="4">
        <f>IFERROR(SLOPE('Paid Loss'!B42:B51,{1,2,3,4,5,6,7,8,9,10}),"")</f>
        <v>0.0629</v>
      </c>
      <c r="C17" s="4">
        <f>IFERROR(SLOPE('Paid Loss'!C42:C51,{1,2,3,4,5,6,7,8,9,10}),"")</f>
        <v>0.0049</v>
      </c>
      <c r="D17" s="4">
        <f>IFERROR(SLOPE('Paid Loss'!D42:D51,{1,2,3,4,5,6,7,8,9,10}),"")</f>
        <v>-0.01</v>
      </c>
      <c r="E17" s="4">
        <f>IFERROR(SLOPE('Paid Loss'!E42:E51,{1,2,3,4,5,6,7,8,9,10}),"")</f>
        <v>0.0019</v>
      </c>
      <c r="F17" s="4">
        <f>IFERROR(SLOPE('Paid Loss'!F42:F51,{1,2,3,4,5,6,7,8,9,10}),"")</f>
        <v>0.0148</v>
      </c>
      <c r="G17" s="4">
        <f>IFERROR(SLOPE('Paid Loss'!G42:G51,{1,2,3,4,5,6,7,8,9,10}),"")</f>
        <v>0.015</v>
      </c>
      <c r="H17" s="4">
        <f>IFERROR(SLOPE('Paid Loss'!H42:H51,{1,2,3,4,5,6,7,8,9,10}),"")</f>
        <v>0.0041</v>
      </c>
      <c r="I17" s="4">
        <f>IFERROR(SLOPE('Paid Loss'!I42:I51,{1,2,3,4,5,6,7,8,9,10}),"")</f>
        <v>-0.0045</v>
      </c>
      <c r="J17" s="4">
        <f>IFERROR(SLOPE('Paid Loss'!J42:J51,{1,2,3,4,5,6,7,8,9,10}),"")</f>
        <v>0.0037</v>
      </c>
      <c r="K17" s="4">
        <f>IFERROR(SLOPE('Paid Loss'!K42:K51,{1,2,3,4,5,6,7,8,9,10}),"")</f>
        <v>-0.0068</v>
      </c>
      <c r="L17" s="4">
        <f>IFERROR(SLOPE('Paid Loss'!L42:L51,{1,2,3,4,5,6,7,8,9,10}),"")</f>
        <v>-0.0001</v>
      </c>
      <c r="M17" s="4">
        <f>IFERROR(SLOPE('Paid Loss'!M42:M51,{1,2,3,4,5,6,7,8,9,10}),"")</f>
        <v>0.002</v>
      </c>
      <c r="N17" s="4">
        <f>IFERROR(SLOPE('Paid Loss'!N42:N51,{1,2,3,4,5,6,7,8,9,10}),"")</f>
        <v>-0.0015</v>
      </c>
      <c r="O17" s="4">
        <f>IFERROR(SLOPE('Paid Loss'!O42:O51,{1,2,3,4,5,6,7,8,9,10}),"")</f>
        <v>-0.0014</v>
      </c>
      <c r="P17" s="4">
        <f>IFERROR(SLOPE('Paid Loss'!P42:P51,{1,2,3,4,5,6,7,8,9,10}),"")</f>
        <v>-0.0019</v>
      </c>
      <c r="Q17" s="4">
        <f>IFERROR(SLOPE('Paid Loss'!Q42:Q51,{1,2,3,4,5,6,7,8,9,10}),"")</f>
        <v>-0.0013</v>
      </c>
      <c r="R17" s="4">
        <f>IFERROR(SLOPE('Paid Loss'!R42:R51,{1,2,3,4,5,6,7,8,9,10}),"")</f>
        <v>-0.0035</v>
      </c>
      <c r="S17" s="4">
        <f>IFERROR(SLOPE('Paid Loss'!S42:S51,{1,2,3,4,5,6,7,8,9,10}),"")</f>
        <v>-0.006</v>
      </c>
      <c r="T17" s="4">
        <f>IFERROR(SLOPE('Paid Loss'!T42:T51,{1,2,3,4,5,6,7,8,9,10}),"")</f>
        <v>-0.0012</v>
      </c>
      <c r="U17" s="4">
        <f>IFERROR(SLOPE('Paid Loss'!U42:U51,{1,2,3,4,5,6,7,8,9,10}),"")</f>
        <v>-0.0032</v>
      </c>
      <c r="V17" s="4">
        <f>IFERROR(SLOPE('Paid Loss'!V42:V51,{1,2,3,4,5,6,7,8,9,10}),"")</f>
        <v>-0.0037</v>
      </c>
      <c r="W17" s="4">
        <f>IFERROR(SLOPE('Paid Loss'!W42:W51,{1,2,3,4,5,6,7,8,9,10}),"")</f>
        <v>0.0027</v>
      </c>
      <c r="X17" s="4">
        <f>IFERROR(SLOPE('Paid Loss'!X42:X51,{1,2,3,4,5,6,7,8,9,10}),"")</f>
        <v>0</v>
      </c>
    </row>
    <row r="19" spans="1:25">
      <c r="A19" s="14" t="s">
        <v>104</v>
      </c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</row>
    <row r="20" spans="1:25">
      <c r="A20" s="1" t="s">
        <v>72</v>
      </c>
      <c r="B20" s="1" t="s">
        <v>49</v>
      </c>
      <c r="C20" s="1" t="s">
        <v>50</v>
      </c>
      <c r="D20" s="1" t="s">
        <v>51</v>
      </c>
      <c r="E20" s="1" t="s">
        <v>52</v>
      </c>
      <c r="F20" s="1" t="s">
        <v>53</v>
      </c>
      <c r="G20" s="1" t="s">
        <v>54</v>
      </c>
      <c r="H20" s="1" t="s">
        <v>55</v>
      </c>
      <c r="I20" s="1" t="s">
        <v>56</v>
      </c>
      <c r="J20" s="1" t="s">
        <v>57</v>
      </c>
      <c r="K20" s="1" t="s">
        <v>58</v>
      </c>
      <c r="L20" s="1" t="s">
        <v>59</v>
      </c>
      <c r="M20" s="1" t="s">
        <v>60</v>
      </c>
      <c r="N20" s="1" t="s">
        <v>61</v>
      </c>
      <c r="O20" s="1" t="s">
        <v>62</v>
      </c>
      <c r="P20" s="1" t="s">
        <v>63</v>
      </c>
      <c r="Q20" s="1" t="s">
        <v>64</v>
      </c>
      <c r="R20" s="1" t="s">
        <v>65</v>
      </c>
      <c r="S20" s="1" t="s">
        <v>66</v>
      </c>
      <c r="T20" s="1" t="s">
        <v>67</v>
      </c>
      <c r="U20" s="1" t="s">
        <v>68</v>
      </c>
      <c r="V20" s="1" t="s">
        <v>69</v>
      </c>
      <c r="W20" s="1" t="s">
        <v>70</v>
      </c>
      <c r="X20" s="1" t="s">
        <v>71</v>
      </c>
      <c r="Y20" s="1" t="s">
        <v>73</v>
      </c>
    </row>
    <row r="21" spans="1:25">
      <c r="A21" s="2" t="s">
        <v>97</v>
      </c>
      <c r="B21" s="4">
        <f>IFERROR(_xlfn.STDEV.S('Reported Count'!B49:B51)/AVERAGE('Reported Count'!B49:B51),"")</f>
        <v>0.013</v>
      </c>
      <c r="C21" s="4">
        <f>IFERROR(_xlfn.STDEV.S('Reported Count'!C49:C51)/AVERAGE('Reported Count'!C49:C51),"")</f>
        <v>0.0</v>
      </c>
      <c r="D21" s="4">
        <f>IFERROR(_xlfn.STDEV.S('Reported Count'!D49:D51)/AVERAGE('Reported Count'!D49:D51),"")</f>
        <v>0.0</v>
      </c>
      <c r="E21" s="4">
        <f>IFERROR(_xlfn.STDEV.S('Reported Count'!E49:E51)/AVERAGE('Reported Count'!E49:E51),"")</f>
        <v>0.0024</v>
      </c>
      <c r="F21" s="4">
        <f>IFERROR(_xlfn.STDEV.S('Reported Count'!F49:F51)/AVERAGE('Reported Count'!F49:F51),"")</f>
        <v>0.0021</v>
      </c>
      <c r="G21" s="4">
        <f>IFERROR(_xlfn.STDEV.S('Reported Count'!G49:G51)/AVERAGE('Reported Count'!G49:G51),"")</f>
        <v>0.0</v>
      </c>
      <c r="H21" s="4">
        <f>IFERROR(_xlfn.STDEV.S('Reported Count'!H49:H51)/AVERAGE('Reported Count'!H49:H51),"")</f>
        <v>0.0024</v>
      </c>
      <c r="I21" s="4">
        <f>IFERROR(_xlfn.STDEV.S('Reported Count'!I49:I51)/AVERAGE('Reported Count'!I49:I51),"")</f>
        <v>0.0</v>
      </c>
      <c r="J21" s="4">
        <f>IFERROR(_xlfn.STDEV.S('Reported Count'!J49:J51)/AVERAGE('Reported Count'!J49:J51),"")</f>
        <v>0.0068</v>
      </c>
      <c r="K21" s="4">
        <f>IFERROR(_xlfn.STDEV.S('Reported Count'!K49:K51)/AVERAGE('Reported Count'!K49:K51),"")</f>
        <v>0.0</v>
      </c>
      <c r="L21" s="4">
        <f>IFERROR(_xlfn.STDEV.S('Reported Count'!L49:L51)/AVERAGE('Reported Count'!L49:L51),"")</f>
        <v>0.0</v>
      </c>
      <c r="M21" s="4">
        <f>IFERROR(_xlfn.STDEV.S('Reported Count'!M49:M51)/AVERAGE('Reported Count'!M49:M51),"")</f>
        <v>0.0</v>
      </c>
      <c r="N21" s="4">
        <f>IFERROR(_xlfn.STDEV.S('Reported Count'!N49:N51)/AVERAGE('Reported Count'!N49:N51),"")</f>
        <v>0.0</v>
      </c>
      <c r="O21" s="4">
        <f>IFERROR(_xlfn.STDEV.S('Reported Count'!O49:O51)/AVERAGE('Reported Count'!O49:O51),"")</f>
        <v>0.0</v>
      </c>
      <c r="P21" s="4">
        <f>IFERROR(_xlfn.STDEV.S('Reported Count'!P49:P51)/AVERAGE('Reported Count'!P49:P51),"")</f>
        <v>0.0</v>
      </c>
      <c r="Q21" s="4">
        <f>IFERROR(_xlfn.STDEV.S('Reported Count'!Q49:Q51)/AVERAGE('Reported Count'!Q49:Q51),"")</f>
        <v>0.0</v>
      </c>
      <c r="R21" s="4">
        <f>IFERROR(_xlfn.STDEV.S('Reported Count'!R49:R51)/AVERAGE('Reported Count'!R49:R51),"")</f>
        <v>0.0</v>
      </c>
      <c r="S21" s="4">
        <f>IFERROR(_xlfn.STDEV.S('Reported Count'!S49:S51)/AVERAGE('Reported Count'!S49:S51),"")</f>
        <v>0.0</v>
      </c>
      <c r="T21" s="4">
        <f>IFERROR(_xlfn.STDEV.S('Reported Count'!T49:T51)/AVERAGE('Reported Count'!T49:T51),"")</f>
        <v>0.0</v>
      </c>
      <c r="U21" s="4">
        <f>IFERROR(_xlfn.STDEV.S('Reported Count'!U49:U51)/AVERAGE('Reported Count'!U49:U51),"")</f>
        <v>0.0</v>
      </c>
      <c r="V21" s="4">
        <f>IFERROR(_xlfn.STDEV.S('Reported Count'!V49:V51)/AVERAGE('Reported Count'!V49:V51),"")</f>
        <v>0.0</v>
      </c>
      <c r="W21" s="4">
        <f>IFERROR(_xlfn.STDEV.S('Reported Count'!W49:W51)/AVERAGE('Reported Count'!W49:W51),"")</f>
        <v>0.0</v>
      </c>
      <c r="X21" s="4">
        <f>IFERROR(_xlfn.STDEV.S('Reported Count'!X49:X51)/AVERAGE('Reported Count'!X49:X51),"")</f>
        <v>0</v>
      </c>
    </row>
    <row r="22" spans="1:25">
      <c r="A22" s="2" t="s">
        <v>98</v>
      </c>
      <c r="B22" s="4">
        <f>IFERROR(_xlfn.STDEV.S('Reported Count'!B47:B51)/AVERAGE('Reported Count'!B47:B51),"")</f>
        <v>0.0316</v>
      </c>
      <c r="C22" s="4">
        <f>IFERROR(_xlfn.STDEV.S('Reported Count'!C47:C51)/AVERAGE('Reported Count'!C47:C51),"")</f>
        <v>0.0</v>
      </c>
      <c r="D22" s="4">
        <f>IFERROR(_xlfn.STDEV.S('Reported Count'!D47:D51)/AVERAGE('Reported Count'!D47:D51),"")</f>
        <v>0.0019</v>
      </c>
      <c r="E22" s="4">
        <f>IFERROR(_xlfn.STDEV.S('Reported Count'!E47:E51)/AVERAGE('Reported Count'!E47:E51),"")</f>
        <v>0.0029</v>
      </c>
      <c r="F22" s="4">
        <f>IFERROR(_xlfn.STDEV.S('Reported Count'!F47:F51)/AVERAGE('Reported Count'!F47:F51),"")</f>
        <v>0.0017</v>
      </c>
      <c r="G22" s="4">
        <f>IFERROR(_xlfn.STDEV.S('Reported Count'!G47:G51)/AVERAGE('Reported Count'!G47:G51),"")</f>
        <v>0.0</v>
      </c>
      <c r="H22" s="4">
        <f>IFERROR(_xlfn.STDEV.S('Reported Count'!H47:H51)/AVERAGE('Reported Count'!H47:H51),"")</f>
        <v>0.0019</v>
      </c>
      <c r="I22" s="4">
        <f>IFERROR(_xlfn.STDEV.S('Reported Count'!I47:I51)/AVERAGE('Reported Count'!I47:I51),"")</f>
        <v>0.0</v>
      </c>
      <c r="J22" s="4">
        <f>IFERROR(_xlfn.STDEV.S('Reported Count'!J47:J51)/AVERAGE('Reported Count'!J47:J51),"")</f>
        <v>0.0052</v>
      </c>
      <c r="K22" s="4">
        <f>IFERROR(_xlfn.STDEV.S('Reported Count'!K47:K51)/AVERAGE('Reported Count'!K47:K51),"")</f>
        <v>0.0</v>
      </c>
      <c r="L22" s="4">
        <f>IFERROR(_xlfn.STDEV.S('Reported Count'!L47:L51)/AVERAGE('Reported Count'!L47:L51),"")</f>
        <v>0.0</v>
      </c>
      <c r="M22" s="4">
        <f>IFERROR(_xlfn.STDEV.S('Reported Count'!M47:M51)/AVERAGE('Reported Count'!M47:M51),"")</f>
        <v>0.0</v>
      </c>
      <c r="N22" s="4">
        <f>IFERROR(_xlfn.STDEV.S('Reported Count'!N47:N51)/AVERAGE('Reported Count'!N47:N51),"")</f>
        <v>0.0</v>
      </c>
      <c r="O22" s="4">
        <f>IFERROR(_xlfn.STDEV.S('Reported Count'!O47:O51)/AVERAGE('Reported Count'!O47:O51),"")</f>
        <v>0.0</v>
      </c>
      <c r="P22" s="4">
        <f>IFERROR(_xlfn.STDEV.S('Reported Count'!P47:P51)/AVERAGE('Reported Count'!P47:P51),"")</f>
        <v>0.0</v>
      </c>
      <c r="Q22" s="4">
        <f>IFERROR(_xlfn.STDEV.S('Reported Count'!Q47:Q51)/AVERAGE('Reported Count'!Q47:Q51),"")</f>
        <v>0.0</v>
      </c>
      <c r="R22" s="4">
        <f>IFERROR(_xlfn.STDEV.S('Reported Count'!R47:R51)/AVERAGE('Reported Count'!R47:R51),"")</f>
        <v>0.0</v>
      </c>
      <c r="S22" s="4">
        <f>IFERROR(_xlfn.STDEV.S('Reported Count'!S47:S51)/AVERAGE('Reported Count'!S47:S51),"")</f>
        <v>0.0</v>
      </c>
      <c r="T22" s="4">
        <f>IFERROR(_xlfn.STDEV.S('Reported Count'!T47:T51)/AVERAGE('Reported Count'!T47:T51),"")</f>
        <v>0.0</v>
      </c>
      <c r="U22" s="4">
        <f>IFERROR(_xlfn.STDEV.S('Reported Count'!U47:U51)/AVERAGE('Reported Count'!U47:U51),"")</f>
        <v>0.0</v>
      </c>
      <c r="V22" s="4">
        <f>IFERROR(_xlfn.STDEV.S('Reported Count'!V47:V51)/AVERAGE('Reported Count'!V47:V51),"")</f>
        <v>0.0</v>
      </c>
      <c r="W22" s="4">
        <f>IFERROR(_xlfn.STDEV.S('Reported Count'!W47:W51)/AVERAGE('Reported Count'!W47:W51),"")</f>
        <v>0.0</v>
      </c>
      <c r="X22" s="4">
        <f>IFERROR(_xlfn.STDEV.S('Reported Count'!X47:X51)/AVERAGE('Reported Count'!X47:X51),"")</f>
        <v>0</v>
      </c>
    </row>
    <row r="23" spans="1:25">
      <c r="A23" s="2" t="s">
        <v>99</v>
      </c>
      <c r="B23" s="4">
        <f>IFERROR(_xlfn.STDEV.S('Reported Count'!B42:B51)/AVERAGE('Reported Count'!B42:B51),"")</f>
        <v>0.0384</v>
      </c>
      <c r="C23" s="4">
        <f>IFERROR(_xlfn.STDEV.S('Reported Count'!C42:C51)/AVERAGE('Reported Count'!C42:C51),"")</f>
        <v>0.0145</v>
      </c>
      <c r="D23" s="4">
        <f>IFERROR(_xlfn.STDEV.S('Reported Count'!D42:D51)/AVERAGE('Reported Count'!D42:D51),"")</f>
        <v>0.0018</v>
      </c>
      <c r="E23" s="4">
        <f>IFERROR(_xlfn.STDEV.S('Reported Count'!E42:E51)/AVERAGE('Reported Count'!E42:E51),"")</f>
        <v>0.002</v>
      </c>
      <c r="F23" s="4">
        <f>IFERROR(_xlfn.STDEV.S('Reported Count'!F42:F51)/AVERAGE('Reported Count'!F42:F51),"")</f>
        <v>0.0012</v>
      </c>
      <c r="G23" s="4">
        <f>IFERROR(_xlfn.STDEV.S('Reported Count'!G42:G51)/AVERAGE('Reported Count'!G42:G51),"")</f>
        <v>0.0</v>
      </c>
      <c r="H23" s="4">
        <f>IFERROR(_xlfn.STDEV.S('Reported Count'!H42:H51)/AVERAGE('Reported Count'!H42:H51),"")</f>
        <v>0.0013</v>
      </c>
      <c r="I23" s="4">
        <f>IFERROR(_xlfn.STDEV.S('Reported Count'!I42:I51)/AVERAGE('Reported Count'!I42:I51),"")</f>
        <v>0.0</v>
      </c>
      <c r="J23" s="4">
        <f>IFERROR(_xlfn.STDEV.S('Reported Count'!J42:J51)/AVERAGE('Reported Count'!J42:J51),"")</f>
        <v>0.0037</v>
      </c>
      <c r="K23" s="4">
        <f>IFERROR(_xlfn.STDEV.S('Reported Count'!K42:K51)/AVERAGE('Reported Count'!K42:K51),"")</f>
        <v>0.0</v>
      </c>
      <c r="L23" s="4">
        <f>IFERROR(_xlfn.STDEV.S('Reported Count'!L42:L51)/AVERAGE('Reported Count'!L42:L51),"")</f>
        <v>0.0</v>
      </c>
      <c r="M23" s="4">
        <f>IFERROR(_xlfn.STDEV.S('Reported Count'!M42:M51)/AVERAGE('Reported Count'!M42:M51),"")</f>
        <v>0.0</v>
      </c>
      <c r="N23" s="4">
        <f>IFERROR(_xlfn.STDEV.S('Reported Count'!N42:N51)/AVERAGE('Reported Count'!N42:N51),"")</f>
        <v>0.0</v>
      </c>
      <c r="O23" s="4">
        <f>IFERROR(_xlfn.STDEV.S('Reported Count'!O42:O51)/AVERAGE('Reported Count'!O42:O51),"")</f>
        <v>0.0</v>
      </c>
      <c r="P23" s="4">
        <f>IFERROR(_xlfn.STDEV.S('Reported Count'!P42:P51)/AVERAGE('Reported Count'!P42:P51),"")</f>
        <v>0.0</v>
      </c>
      <c r="Q23" s="4">
        <f>IFERROR(_xlfn.STDEV.S('Reported Count'!Q42:Q51)/AVERAGE('Reported Count'!Q42:Q51),"")</f>
        <v>0.0</v>
      </c>
      <c r="R23" s="4">
        <f>IFERROR(_xlfn.STDEV.S('Reported Count'!R42:R51)/AVERAGE('Reported Count'!R42:R51),"")</f>
        <v>0.0</v>
      </c>
      <c r="S23" s="4">
        <f>IFERROR(_xlfn.STDEV.S('Reported Count'!S42:S51)/AVERAGE('Reported Count'!S42:S51),"")</f>
        <v>0.0</v>
      </c>
      <c r="T23" s="4">
        <f>IFERROR(_xlfn.STDEV.S('Reported Count'!T42:T51)/AVERAGE('Reported Count'!T42:T51),"")</f>
        <v>0.0</v>
      </c>
      <c r="U23" s="4">
        <f>IFERROR(_xlfn.STDEV.S('Reported Count'!U42:U51)/AVERAGE('Reported Count'!U42:U51),"")</f>
        <v>0.0</v>
      </c>
      <c r="V23" s="4">
        <f>IFERROR(_xlfn.STDEV.S('Reported Count'!V42:V51)/AVERAGE('Reported Count'!V42:V51),"")</f>
        <v>0.0</v>
      </c>
      <c r="W23" s="4">
        <f>IFERROR(_xlfn.STDEV.S('Reported Count'!W42:W51)/AVERAGE('Reported Count'!W42:W51),"")</f>
        <v>0.0</v>
      </c>
      <c r="X23" s="4">
        <f>IFERROR(_xlfn.STDEV.S('Reported Count'!X42:X51)/AVERAGE('Reported Count'!X42:X51),"")</f>
        <v>0</v>
      </c>
    </row>
    <row r="24" spans="1:25">
      <c r="A24" s="2" t="s">
        <v>100</v>
      </c>
      <c r="B24" s="4">
        <f>IFERROR(SLOPE('Reported Count'!B49:B51,{1,2,3}),"")</f>
        <v>-0.0128</v>
      </c>
      <c r="C24" s="4">
        <f>IFERROR(SLOPE('Reported Count'!C49:C51,{1,2,3}),"")</f>
        <v>0.0</v>
      </c>
      <c r="D24" s="4">
        <f>IFERROR(SLOPE('Reported Count'!D49:D51,{1,2,3}),"")</f>
        <v>0.0</v>
      </c>
      <c r="E24" s="4">
        <f>IFERROR(SLOPE('Reported Count'!E49:E51,{1,2,3}),"")</f>
        <v>-0.002</v>
      </c>
      <c r="F24" s="4">
        <f>IFERROR(SLOPE('Reported Count'!F49:F51,{1,2,3}),"")</f>
        <v>-0.0018</v>
      </c>
      <c r="G24" s="4">
        <f>IFERROR(SLOPE('Reported Count'!G49:G51,{1,2,3}),"")</f>
        <v>0.0</v>
      </c>
      <c r="H24" s="4">
        <f>IFERROR(SLOPE('Reported Count'!H49:H51,{1,2,3}),"")</f>
        <v>-0.0021</v>
      </c>
      <c r="I24" s="4">
        <f>IFERROR(SLOPE('Reported Count'!I49:I51,{1,2,3}),"")</f>
        <v>0.0</v>
      </c>
      <c r="J24" s="4">
        <f>IFERROR(SLOPE('Reported Count'!J49:J51,{1,2,3}),"")</f>
        <v>-0.0058</v>
      </c>
      <c r="K24" s="4">
        <f>IFERROR(SLOPE('Reported Count'!K49:K51,{1,2,3}),"")</f>
        <v>0.0</v>
      </c>
      <c r="L24" s="4">
        <f>IFERROR(SLOPE('Reported Count'!L49:L51,{1,2,3}),"")</f>
        <v>0.0</v>
      </c>
      <c r="M24" s="4">
        <f>IFERROR(SLOPE('Reported Count'!M49:M51,{1,2,3}),"")</f>
        <v>0.0</v>
      </c>
      <c r="N24" s="4">
        <f>IFERROR(SLOPE('Reported Count'!N49:N51,{1,2,3}),"")</f>
        <v>0.0</v>
      </c>
      <c r="O24" s="4">
        <f>IFERROR(SLOPE('Reported Count'!O49:O51,{1,2,3}),"")</f>
        <v>0.0</v>
      </c>
      <c r="P24" s="4">
        <f>IFERROR(SLOPE('Reported Count'!P49:P51,{1,2,3}),"")</f>
        <v>0.0</v>
      </c>
      <c r="Q24" s="4">
        <f>IFERROR(SLOPE('Reported Count'!Q49:Q51,{1,2,3}),"")</f>
        <v>0.0</v>
      </c>
      <c r="R24" s="4">
        <f>IFERROR(SLOPE('Reported Count'!R49:R51,{1,2,3}),"")</f>
        <v>0.0</v>
      </c>
      <c r="S24" s="4">
        <f>IFERROR(SLOPE('Reported Count'!S49:S51,{1,2,3}),"")</f>
        <v>0.0</v>
      </c>
      <c r="T24" s="4">
        <f>IFERROR(SLOPE('Reported Count'!T49:T51,{1,2,3}),"")</f>
        <v>0.0</v>
      </c>
      <c r="U24" s="4">
        <f>IFERROR(SLOPE('Reported Count'!U49:U51,{1,2,3}),"")</f>
        <v>0.0</v>
      </c>
      <c r="V24" s="4">
        <f>IFERROR(SLOPE('Reported Count'!V49:V51,{1,2,3}),"")</f>
        <v>0.0</v>
      </c>
      <c r="W24" s="4">
        <f>IFERROR(SLOPE('Reported Count'!W49:W51,{1,2,3}),"")</f>
        <v>-0.0</v>
      </c>
      <c r="X24" s="4">
        <f>IFERROR(SLOPE('Reported Count'!X49:X51,{1,2,3}),"")</f>
        <v>0</v>
      </c>
    </row>
    <row r="25" spans="1:25">
      <c r="A25" s="2" t="s">
        <v>101</v>
      </c>
      <c r="B25" s="4">
        <f>IFERROR(SLOPE('Reported Count'!B47:B51,{1,2,3,4,5}),"")</f>
        <v>0.0027</v>
      </c>
      <c r="C25" s="4">
        <f>IFERROR(SLOPE('Reported Count'!C47:C51,{1,2,3,4,5}),"")</f>
        <v>-0.0</v>
      </c>
      <c r="D25" s="4">
        <f>IFERROR(SLOPE('Reported Count'!D47:D51,{1,2,3,4,5}),"")</f>
        <v>-0.0008</v>
      </c>
      <c r="E25" s="4">
        <f>IFERROR(SLOPE('Reported Count'!E47:E51,{1,2,3,4,5}),"")</f>
        <v>0.0004</v>
      </c>
      <c r="F25" s="4">
        <f>IFERROR(SLOPE('Reported Count'!F47:F51,{1,2,3,4,5}),"")</f>
        <v>-0.0007</v>
      </c>
      <c r="G25" s="4">
        <f>IFERROR(SLOPE('Reported Count'!G47:G51,{1,2,3,4,5}),"")</f>
        <v>-0.0</v>
      </c>
      <c r="H25" s="4">
        <f>IFERROR(SLOPE('Reported Count'!H47:H51,{1,2,3,4,5}),"")</f>
        <v>-0.0008</v>
      </c>
      <c r="I25" s="4">
        <f>IFERROR(SLOPE('Reported Count'!I47:I51,{1,2,3,4,5}),"")</f>
        <v>-0.0</v>
      </c>
      <c r="J25" s="4">
        <f>IFERROR(SLOPE('Reported Count'!J47:J51,{1,2,3,4,5}),"")</f>
        <v>-0.0023</v>
      </c>
      <c r="K25" s="4">
        <f>IFERROR(SLOPE('Reported Count'!K47:K51,{1,2,3,4,5}),"")</f>
        <v>-0.0</v>
      </c>
      <c r="L25" s="4">
        <f>IFERROR(SLOPE('Reported Count'!L47:L51,{1,2,3,4,5}),"")</f>
        <v>-0.0</v>
      </c>
      <c r="M25" s="4">
        <f>IFERROR(SLOPE('Reported Count'!M47:M51,{1,2,3,4,5}),"")</f>
        <v>-0.0</v>
      </c>
      <c r="N25" s="4">
        <f>IFERROR(SLOPE('Reported Count'!N47:N51,{1,2,3,4,5}),"")</f>
        <v>-0.0</v>
      </c>
      <c r="O25" s="4">
        <f>IFERROR(SLOPE('Reported Count'!O47:O51,{1,2,3,4,5}),"")</f>
        <v>-0.0</v>
      </c>
      <c r="P25" s="4">
        <f>IFERROR(SLOPE('Reported Count'!P47:P51,{1,2,3,4,5}),"")</f>
        <v>-0.0</v>
      </c>
      <c r="Q25" s="4">
        <f>IFERROR(SLOPE('Reported Count'!Q47:Q51,{1,2,3,4,5}),"")</f>
        <v>-0.0</v>
      </c>
      <c r="R25" s="4">
        <f>IFERROR(SLOPE('Reported Count'!R47:R51,{1,2,3,4,5}),"")</f>
        <v>-0.0</v>
      </c>
      <c r="S25" s="4">
        <f>IFERROR(SLOPE('Reported Count'!S47:S51,{1,2,3,4,5}),"")</f>
        <v>-0.0</v>
      </c>
      <c r="T25" s="4">
        <f>IFERROR(SLOPE('Reported Count'!T47:T51,{1,2,3,4,5}),"")</f>
        <v>-0.0</v>
      </c>
      <c r="U25" s="4">
        <f>IFERROR(SLOPE('Reported Count'!U47:U51,{1,2,3,4,5}),"")</f>
        <v>-0.0</v>
      </c>
      <c r="V25" s="4">
        <f>IFERROR(SLOPE('Reported Count'!V47:V51,{1,2,3,4,5}),"")</f>
        <v>0.0</v>
      </c>
      <c r="W25" s="4">
        <f>IFERROR(SLOPE('Reported Count'!W47:W51,{1,2,3,4,5}),"")</f>
        <v>-0.0</v>
      </c>
      <c r="X25" s="4">
        <f>IFERROR(SLOPE('Reported Count'!X47:X51,{1,2,3,4,5}),"")</f>
        <v>0</v>
      </c>
    </row>
    <row r="26" spans="1:25">
      <c r="A26" s="2" t="s">
        <v>102</v>
      </c>
      <c r="B26" s="4">
        <f>IFERROR(SLOPE('Reported Count'!B42:B51,{1,2,3,4,5,6,7,8,9,10}),"")</f>
        <v>0.0093</v>
      </c>
      <c r="C26" s="4">
        <f>IFERROR(SLOPE('Reported Count'!C42:C51,{1,2,3,4,5,6,7,8,9,10}),"")</f>
        <v>-0.0015</v>
      </c>
      <c r="D26" s="4">
        <f>IFERROR(SLOPE('Reported Count'!D42:D51,{1,2,3,4,5,6,7,8,9,10}),"")</f>
        <v>-0.0002</v>
      </c>
      <c r="E26" s="4">
        <f>IFERROR(SLOPE('Reported Count'!E42:E51,{1,2,3,4,5,6,7,8,9,10}),"")</f>
        <v>0.0</v>
      </c>
      <c r="F26" s="4">
        <f>IFERROR(SLOPE('Reported Count'!F42:F51,{1,2,3,4,5,6,7,8,9,10}),"")</f>
        <v>-0.0002</v>
      </c>
      <c r="G26" s="4">
        <f>IFERROR(SLOPE('Reported Count'!G42:G51,{1,2,3,4,5,6,7,8,9,10}),"")</f>
        <v>0.0</v>
      </c>
      <c r="H26" s="4">
        <f>IFERROR(SLOPE('Reported Count'!H42:H51,{1,2,3,4,5,6,7,8,9,10}),"")</f>
        <v>-0.0002</v>
      </c>
      <c r="I26" s="4">
        <f>IFERROR(SLOPE('Reported Count'!I42:I51,{1,2,3,4,5,6,7,8,9,10}),"")</f>
        <v>0.0</v>
      </c>
      <c r="J26" s="4">
        <f>IFERROR(SLOPE('Reported Count'!J42:J51,{1,2,3,4,5,6,7,8,9,10}),"")</f>
        <v>-0.0006</v>
      </c>
      <c r="K26" s="4">
        <f>IFERROR(SLOPE('Reported Count'!K42:K51,{1,2,3,4,5,6,7,8,9,10}),"")</f>
        <v>0.0</v>
      </c>
      <c r="L26" s="4">
        <f>IFERROR(SLOPE('Reported Count'!L42:L51,{1,2,3,4,5,6,7,8,9,10}),"")</f>
        <v>0.0</v>
      </c>
      <c r="M26" s="4">
        <f>IFERROR(SLOPE('Reported Count'!M42:M51,{1,2,3,4,5,6,7,8,9,10}),"")</f>
        <v>0.0</v>
      </c>
      <c r="N26" s="4">
        <f>IFERROR(SLOPE('Reported Count'!N42:N51,{1,2,3,4,5,6,7,8,9,10}),"")</f>
        <v>0.0</v>
      </c>
      <c r="O26" s="4">
        <f>IFERROR(SLOPE('Reported Count'!O42:O51,{1,2,3,4,5,6,7,8,9,10}),"")</f>
        <v>0.0</v>
      </c>
      <c r="P26" s="4">
        <f>IFERROR(SLOPE('Reported Count'!P42:P51,{1,2,3,4,5,6,7,8,9,10}),"")</f>
        <v>0.0</v>
      </c>
      <c r="Q26" s="4">
        <f>IFERROR(SLOPE('Reported Count'!Q42:Q51,{1,2,3,4,5,6,7,8,9,10}),"")</f>
        <v>0.0</v>
      </c>
      <c r="R26" s="4">
        <f>IFERROR(SLOPE('Reported Count'!R42:R51,{1,2,3,4,5,6,7,8,9,10}),"")</f>
        <v>-0.0</v>
      </c>
      <c r="S26" s="4">
        <f>IFERROR(SLOPE('Reported Count'!S42:S51,{1,2,3,4,5,6,7,8,9,10}),"")</f>
        <v>0.0</v>
      </c>
      <c r="T26" s="4">
        <f>IFERROR(SLOPE('Reported Count'!T42:T51,{1,2,3,4,5,6,7,8,9,10}),"")</f>
        <v>-0.0</v>
      </c>
      <c r="U26" s="4">
        <f>IFERROR(SLOPE('Reported Count'!U42:U51,{1,2,3,4,5,6,7,8,9,10}),"")</f>
        <v>-0.0</v>
      </c>
      <c r="V26" s="4">
        <f>IFERROR(SLOPE('Reported Count'!V42:V51,{1,2,3,4,5,6,7,8,9,10}),"")</f>
        <v>0.0</v>
      </c>
      <c r="W26" s="4">
        <f>IFERROR(SLOPE('Reported Count'!W42:W51,{1,2,3,4,5,6,7,8,9,10}),"")</f>
        <v>-0.0</v>
      </c>
      <c r="X26" s="4">
        <f>IFERROR(SLOPE('Reported Count'!X42:X51,{1,2,3,4,5,6,7,8,9,10}),"")</f>
        <v>0</v>
      </c>
    </row>
  </sheetData>
  <mergeCells count="3">
    <mergeCell ref="A1:Y1"/>
    <mergeCell ref="A10:Y10"/>
    <mergeCell ref="A19:Y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Incurred Loss</vt:lpstr>
      <vt:lpstr>Paid Loss</vt:lpstr>
      <vt:lpstr>Reported Count</vt:lpstr>
      <vt:lpstr>Exposure</vt:lpstr>
      <vt:lpstr>Diagnostics</vt:lpstr>
      <vt:lpstr>CV &amp; Slopes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2026-04-28T15:34:02Z</dcterms:created>
  <dcterms:modified xsi:type="dcterms:W3CDTF">2026-04-28T15:34:02Z</dcterms:modified>
</cp:coreProperties>
</file>