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osed Count" sheetId="1" state="visible" r:id="rId1"/>
    <sheet xmlns:r="http://schemas.openxmlformats.org/officeDocument/2006/relationships" name="Incurred Loss" sheetId="2" state="visible" r:id="rId2"/>
    <sheet xmlns:r="http://schemas.openxmlformats.org/officeDocument/2006/relationships" name="Paid Loss" sheetId="3" state="visible" r:id="rId3"/>
    <sheet xmlns:r="http://schemas.openxmlformats.org/officeDocument/2006/relationships" name="Sel Ults - Closed Count" sheetId="4" state="visible" r:id="rId4"/>
    <sheet xmlns:r="http://schemas.openxmlformats.org/officeDocument/2006/relationships" name="Sel Ults - Incurred Loss" sheetId="5" state="visible" r:id="rId5"/>
    <sheet xmlns:r="http://schemas.openxmlformats.org/officeDocument/2006/relationships" name="Sel Ults - Paid Loss" sheetId="6" state="visible" r:id="rId6"/>
    <sheet xmlns:r="http://schemas.openxmlformats.org/officeDocument/2006/relationships" name="X-to-Ult Closed" sheetId="7" state="visible" r:id="rId7"/>
    <sheet xmlns:r="http://schemas.openxmlformats.org/officeDocument/2006/relationships" name="X-to-Ult Incurred" sheetId="8" state="visible" r:id="rId8"/>
    <sheet xmlns:r="http://schemas.openxmlformats.org/officeDocument/2006/relationships" name="X-to-Ult Paid" sheetId="9" state="visible" r:id="rId9"/>
    <sheet xmlns:r="http://schemas.openxmlformats.org/officeDocument/2006/relationships" name="Avg IBNR" sheetId="10" state="visible" r:id="rId10"/>
    <sheet xmlns:r="http://schemas.openxmlformats.org/officeDocument/2006/relationships" name="Avg Unpaid" sheetId="11" state="visible" r:id="rId11"/>
    <sheet xmlns:r="http://schemas.openxmlformats.org/officeDocument/2006/relationships" name="Diag - Paid Severity" sheetId="12" state="visible" r:id="rId12"/>
    <sheet xmlns:r="http://schemas.openxmlformats.org/officeDocument/2006/relationships" name="Diag - Paid to Incurred" sheetId="13" state="visible" r:id="rId13"/>
    <sheet xmlns:r="http://schemas.openxmlformats.org/officeDocument/2006/relationships" name="Diag - Incr Paid Svty" sheetId="14" state="visible" r:id="rId14"/>
    <sheet xmlns:r="http://schemas.openxmlformats.org/officeDocument/2006/relationships" name="Closed Count - CV &amp; Slopes" sheetId="15" state="visible" r:id="rId15"/>
    <sheet xmlns:r="http://schemas.openxmlformats.org/officeDocument/2006/relationships" name="Incurred Loss - CV &amp; Slopes" sheetId="16" state="visible" r:id="rId16"/>
    <sheet xmlns:r="http://schemas.openxmlformats.org/officeDocument/2006/relationships" name="Paid Loss - CV &amp; Slope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7">
    <font>
      <name val="Calibri"/>
      <family val="2"/>
      <color theme="1"/>
      <sz val="11"/>
      <scheme val="minor"/>
    </font>
    <font>
      <b val="1"/>
      <sz val="10"/>
    </font>
    <font>
      <b val="1"/>
      <color rgb="00FFFFFF"/>
      <sz val="10"/>
    </font>
    <font>
      <b val="1"/>
      <sz val="9"/>
    </font>
    <font>
      <sz val="9"/>
    </font>
    <font>
      <b val="1"/>
      <sz val="12"/>
    </font>
    <font>
      <b val="1"/>
    </font>
  </fonts>
  <fills count="7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DE7F6"/>
      </patternFill>
    </fill>
    <fill>
      <patternFill patternType="solid">
        <fgColor rgb="00FFE6CC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/>
    </xf>
    <xf numFmtId="3" fontId="4" fillId="0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center"/>
    </xf>
    <xf numFmtId="0" fontId="3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164" fontId="0" fillId="4" borderId="1" pivotButton="0" quotePrefix="0" xfId="0"/>
    <xf numFmtId="0" fontId="4" fillId="4" borderId="1" applyAlignment="1" pivotButton="0" quotePrefix="0" xfId="0">
      <alignment horizontal="left" wrapText="1"/>
    </xf>
    <xf numFmtId="0" fontId="3" fillId="5" borderId="1" applyAlignment="1" pivotButton="0" quotePrefix="0" xfId="0">
      <alignment horizontal="center" vertical="center" wrapText="1"/>
    </xf>
    <xf numFmtId="164" fontId="0" fillId="5" borderId="1" pivotButton="0" quotePrefix="0" xfId="0"/>
    <xf numFmtId="0" fontId="4" fillId="5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center" vertical="center" wrapText="1"/>
    </xf>
    <xf numFmtId="164" fontId="0" fillId="6" borderId="1" pivotButton="0" quotePrefix="0" xfId="0"/>
    <xf numFmtId="0" fontId="4" fillId="6" borderId="1" applyAlignment="1" pivotButton="0" quotePrefix="0" xfId="0">
      <alignment horizontal="left" wrapText="1"/>
    </xf>
    <xf numFmtId="0" fontId="1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3" fillId="0" borderId="0" applyAlignment="1" pivotButton="0" quotePrefix="0" xfId="0">
      <alignment horizontal="center"/>
    </xf>
    <xf numFmtId="3" fontId="0" fillId="0" borderId="0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center"/>
    </xf>
    <xf numFmtId="0" fontId="6" fillId="0" borderId="0" pivotButton="0" quotePrefix="0" xfId="0"/>
    <xf numFmtId="3" fontId="6" fillId="0" borderId="0" pivotButton="0" quotePrefix="0" xfId="0"/>
    <xf numFmtId="10" fontId="4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0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Closed Count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3" t="n"/>
    </row>
    <row r="2">
      <c r="A2" s="4" t="inlineStr"/>
      <c r="B2" s="5" t="inlineStr">
        <is>
          <t>11</t>
        </is>
      </c>
      <c r="C2" s="5" t="inlineStr">
        <is>
          <t>23</t>
        </is>
      </c>
      <c r="D2" s="5" t="inlineStr">
        <is>
          <t>35</t>
        </is>
      </c>
      <c r="E2" s="5" t="inlineStr">
        <is>
          <t>47</t>
        </is>
      </c>
      <c r="F2" s="5" t="inlineStr">
        <is>
          <t>59</t>
        </is>
      </c>
      <c r="G2" s="5" t="inlineStr">
        <is>
          <t>71</t>
        </is>
      </c>
      <c r="H2" s="5" t="inlineStr">
        <is>
          <t>83</t>
        </is>
      </c>
      <c r="I2" s="5" t="inlineStr">
        <is>
          <t>95</t>
        </is>
      </c>
      <c r="J2" s="5" t="inlineStr">
        <is>
          <t>107</t>
        </is>
      </c>
      <c r="K2" s="5" t="inlineStr">
        <is>
          <t>119</t>
        </is>
      </c>
      <c r="L2" s="5" t="inlineStr">
        <is>
          <t>131</t>
        </is>
      </c>
      <c r="M2" s="5" t="inlineStr">
        <is>
          <t>143</t>
        </is>
      </c>
      <c r="N2" s="5" t="inlineStr">
        <is>
          <t>155</t>
        </is>
      </c>
      <c r="O2" s="5" t="inlineStr">
        <is>
          <t>167</t>
        </is>
      </c>
      <c r="P2" s="5" t="inlineStr">
        <is>
          <t>179</t>
        </is>
      </c>
      <c r="Q2" s="5" t="inlineStr">
        <is>
          <t>191</t>
        </is>
      </c>
      <c r="R2" s="5" t="inlineStr">
        <is>
          <t>203</t>
        </is>
      </c>
      <c r="S2" s="5" t="inlineStr">
        <is>
          <t>215</t>
        </is>
      </c>
      <c r="T2" s="5" t="inlineStr">
        <is>
          <t>227</t>
        </is>
      </c>
      <c r="U2" s="5" t="inlineStr">
        <is>
          <t>239</t>
        </is>
      </c>
      <c r="V2" s="5" t="inlineStr">
        <is>
          <t>251</t>
        </is>
      </c>
      <c r="W2" s="5" t="inlineStr">
        <is>
          <t>263</t>
        </is>
      </c>
      <c r="X2" s="5" t="inlineStr">
        <is>
          <t>275</t>
        </is>
      </c>
      <c r="Y2" s="5" t="inlineStr">
        <is>
          <t>287</t>
        </is>
      </c>
    </row>
    <row r="3">
      <c r="A3" s="6" t="inlineStr">
        <is>
          <t>2001</t>
        </is>
      </c>
      <c r="B3" s="7" t="n">
        <v>637.3668</v>
      </c>
      <c r="C3" s="7" t="n">
        <v>682.2332</v>
      </c>
      <c r="D3" s="7" t="n">
        <v>683.5528</v>
      </c>
      <c r="E3" s="7" t="n">
        <v>683.5528</v>
      </c>
      <c r="F3" s="7" t="n">
        <v>683.5528</v>
      </c>
      <c r="G3" s="7" t="n">
        <v>683.5528</v>
      </c>
      <c r="H3" s="7" t="n">
        <v>700.7076</v>
      </c>
      <c r="I3" s="7" t="n">
        <v>700.7076</v>
      </c>
      <c r="J3" s="7" t="n">
        <v>700.7076</v>
      </c>
      <c r="K3" s="7" t="n">
        <v>700.7076</v>
      </c>
      <c r="L3" s="7" t="n">
        <v>700.7076</v>
      </c>
      <c r="M3" s="7" t="n">
        <v>700.7076</v>
      </c>
      <c r="N3" s="7" t="n">
        <v>700.7076</v>
      </c>
      <c r="O3" s="7" t="n">
        <v>700.7076</v>
      </c>
      <c r="P3" s="7" t="n">
        <v>700.7076</v>
      </c>
      <c r="Q3" s="7" t="n">
        <v>700.7076</v>
      </c>
      <c r="R3" s="7" t="n">
        <v>700.7076</v>
      </c>
      <c r="S3" s="7" t="n">
        <v>700.7076</v>
      </c>
      <c r="T3" s="7" t="n">
        <v>700.7076</v>
      </c>
      <c r="U3" s="7" t="n">
        <v>700.7076</v>
      </c>
      <c r="V3" s="7" t="n">
        <v>700.7076</v>
      </c>
      <c r="W3" s="7" t="n">
        <v>700.7076</v>
      </c>
      <c r="X3" s="7" t="n">
        <v>700.7076</v>
      </c>
      <c r="Y3" s="7" t="n">
        <v>700.7076</v>
      </c>
    </row>
    <row r="4">
      <c r="A4" s="6" t="inlineStr">
        <is>
          <t>2002</t>
        </is>
      </c>
      <c r="B4" s="7" t="n">
        <v>613.614</v>
      </c>
      <c r="C4" s="7" t="n">
        <v>634.7276000000001</v>
      </c>
      <c r="D4" s="7" t="n">
        <v>634.7276000000001</v>
      </c>
      <c r="E4" s="7" t="n">
        <v>634.7276000000001</v>
      </c>
      <c r="F4" s="7" t="n">
        <v>634.7276000000001</v>
      </c>
      <c r="G4" s="7" t="n">
        <v>651.8824</v>
      </c>
      <c r="H4" s="7" t="n">
        <v>651.8824</v>
      </c>
      <c r="I4" s="7" t="n">
        <v>651.8824</v>
      </c>
      <c r="J4" s="7" t="n">
        <v>651.8824</v>
      </c>
      <c r="K4" s="7" t="n">
        <v>651.8824</v>
      </c>
      <c r="L4" s="7" t="n">
        <v>651.8824</v>
      </c>
      <c r="M4" s="7" t="n">
        <v>651.8824</v>
      </c>
      <c r="N4" s="7" t="n">
        <v>651.8824</v>
      </c>
      <c r="O4" s="7" t="n">
        <v>651.8824</v>
      </c>
      <c r="P4" s="7" t="n">
        <v>651.8824</v>
      </c>
      <c r="Q4" s="7" t="n">
        <v>651.8824</v>
      </c>
      <c r="R4" s="7" t="n">
        <v>651.8824</v>
      </c>
      <c r="S4" s="7" t="n">
        <v>651.8824</v>
      </c>
      <c r="T4" s="7" t="n">
        <v>651.8824</v>
      </c>
      <c r="U4" s="7" t="n">
        <v>651.8824</v>
      </c>
      <c r="V4" s="7" t="n">
        <v>651.8824</v>
      </c>
      <c r="W4" s="7" t="n">
        <v>651.8824</v>
      </c>
      <c r="X4" s="7" t="n">
        <v>651.8824</v>
      </c>
    </row>
    <row r="5">
      <c r="A5" s="6" t="inlineStr">
        <is>
          <t>2003</t>
        </is>
      </c>
      <c r="B5" s="7" t="n">
        <v>534.438</v>
      </c>
      <c r="C5" s="7" t="n">
        <v>552.9124</v>
      </c>
      <c r="D5" s="7" t="n">
        <v>552.9124</v>
      </c>
      <c r="E5" s="7" t="n">
        <v>552.9124</v>
      </c>
      <c r="F5" s="7" t="n">
        <v>550.2732</v>
      </c>
      <c r="G5" s="7" t="n">
        <v>550.2732</v>
      </c>
      <c r="H5" s="7" t="n">
        <v>551.5928</v>
      </c>
      <c r="I5" s="7" t="n">
        <v>551.5928</v>
      </c>
      <c r="J5" s="7" t="n">
        <v>551.5928</v>
      </c>
      <c r="K5" s="7" t="n">
        <v>551.5928</v>
      </c>
      <c r="L5" s="7" t="n">
        <v>551.5928</v>
      </c>
      <c r="M5" s="7" t="n">
        <v>551.5928</v>
      </c>
      <c r="N5" s="7" t="n">
        <v>551.5928</v>
      </c>
      <c r="O5" s="7" t="n">
        <v>551.5928</v>
      </c>
      <c r="P5" s="7" t="n">
        <v>551.5928</v>
      </c>
      <c r="Q5" s="7" t="n">
        <v>551.5928</v>
      </c>
      <c r="R5" s="7" t="n">
        <v>551.5928</v>
      </c>
      <c r="S5" s="7" t="n">
        <v>551.5928</v>
      </c>
      <c r="T5" s="7" t="n">
        <v>551.5928</v>
      </c>
      <c r="U5" s="7" t="n">
        <v>551.5928</v>
      </c>
      <c r="V5" s="7" t="n">
        <v>551.5928</v>
      </c>
      <c r="W5" s="7" t="n">
        <v>551.5928</v>
      </c>
    </row>
    <row r="6">
      <c r="A6" s="6" t="inlineStr">
        <is>
          <t>2004</t>
        </is>
      </c>
      <c r="B6" s="7" t="n">
        <v>603.0572</v>
      </c>
      <c r="C6" s="7" t="n">
        <v>638.6864</v>
      </c>
      <c r="D6" s="7" t="n">
        <v>638.6864</v>
      </c>
      <c r="E6" s="7" t="n">
        <v>641.3256</v>
      </c>
      <c r="F6" s="7" t="n">
        <v>642.6452</v>
      </c>
      <c r="G6" s="7" t="n">
        <v>642.6452</v>
      </c>
      <c r="H6" s="7" t="n">
        <v>642.6452</v>
      </c>
      <c r="I6" s="7" t="n">
        <v>642.6452</v>
      </c>
      <c r="J6" s="7" t="n">
        <v>642.6452</v>
      </c>
      <c r="K6" s="7" t="n">
        <v>642.6452</v>
      </c>
      <c r="L6" s="7" t="n">
        <v>642.6452</v>
      </c>
      <c r="M6" s="7" t="n">
        <v>642.6452</v>
      </c>
      <c r="N6" s="7" t="n">
        <v>642.6452</v>
      </c>
      <c r="O6" s="7" t="n">
        <v>642.6452</v>
      </c>
      <c r="P6" s="7" t="n">
        <v>642.6452</v>
      </c>
      <c r="Q6" s="7" t="n">
        <v>642.6452</v>
      </c>
      <c r="R6" s="7" t="n">
        <v>642.6452</v>
      </c>
      <c r="S6" s="7" t="n">
        <v>642.6452</v>
      </c>
      <c r="T6" s="7" t="n">
        <v>642.6452</v>
      </c>
      <c r="U6" s="7" t="n">
        <v>642.6452</v>
      </c>
      <c r="V6" s="7" t="n">
        <v>642.6452</v>
      </c>
    </row>
    <row r="7">
      <c r="A7" s="6" t="inlineStr">
        <is>
          <t>2005</t>
        </is>
      </c>
      <c r="B7" s="7" t="n">
        <v>626.8099999999999</v>
      </c>
      <c r="C7" s="7" t="n">
        <v>641.3256</v>
      </c>
      <c r="D7" s="7" t="n">
        <v>642.6452</v>
      </c>
      <c r="E7" s="7" t="n">
        <v>641.3256</v>
      </c>
      <c r="F7" s="7" t="n">
        <v>641.3256</v>
      </c>
      <c r="G7" s="7" t="n">
        <v>641.3256</v>
      </c>
      <c r="H7" s="7" t="n">
        <v>641.3256</v>
      </c>
      <c r="I7" s="7" t="n">
        <v>641.3256</v>
      </c>
      <c r="J7" s="7" t="n">
        <v>641.3256</v>
      </c>
      <c r="K7" s="7" t="n">
        <v>641.3256</v>
      </c>
      <c r="L7" s="7" t="n">
        <v>641.3256</v>
      </c>
      <c r="M7" s="7" t="n">
        <v>641.3256</v>
      </c>
      <c r="N7" s="7" t="n">
        <v>641.3256</v>
      </c>
      <c r="O7" s="7" t="n">
        <v>641.3256</v>
      </c>
      <c r="P7" s="7" t="n">
        <v>641.3256</v>
      </c>
      <c r="Q7" s="7" t="n">
        <v>641.3256</v>
      </c>
      <c r="R7" s="7" t="n">
        <v>641.3256</v>
      </c>
      <c r="S7" s="7" t="n">
        <v>641.3256</v>
      </c>
      <c r="T7" s="7" t="n">
        <v>641.3256</v>
      </c>
      <c r="U7" s="7" t="n">
        <v>641.3256</v>
      </c>
    </row>
    <row r="8">
      <c r="A8" s="6" t="inlineStr">
        <is>
          <t>2006</t>
        </is>
      </c>
      <c r="B8" s="7" t="n">
        <v>479.0148</v>
      </c>
      <c r="C8" s="7" t="n">
        <v>497.4892</v>
      </c>
      <c r="D8" s="7" t="n">
        <v>497.4892</v>
      </c>
      <c r="E8" s="7" t="n">
        <v>497.4892</v>
      </c>
      <c r="F8" s="7" t="n">
        <v>497.4892</v>
      </c>
      <c r="G8" s="7" t="n">
        <v>497.4892</v>
      </c>
      <c r="H8" s="7" t="n">
        <v>497.4892</v>
      </c>
      <c r="I8" s="7" t="n">
        <v>497.4892</v>
      </c>
      <c r="J8" s="7" t="n">
        <v>497.4892</v>
      </c>
      <c r="K8" s="7" t="n">
        <v>497.4892</v>
      </c>
      <c r="L8" s="7" t="n">
        <v>497.4892</v>
      </c>
      <c r="M8" s="7" t="n">
        <v>497.4892</v>
      </c>
      <c r="N8" s="7" t="n">
        <v>497.4892</v>
      </c>
      <c r="O8" s="7" t="n">
        <v>497.4892</v>
      </c>
      <c r="P8" s="7" t="n">
        <v>497.4892</v>
      </c>
      <c r="Q8" s="7" t="n">
        <v>497.4892</v>
      </c>
      <c r="R8" s="7" t="n">
        <v>497.4892</v>
      </c>
      <c r="S8" s="7" t="n">
        <v>497.4892</v>
      </c>
      <c r="T8" s="7" t="n">
        <v>497.4892</v>
      </c>
    </row>
    <row r="9">
      <c r="A9" s="6" t="inlineStr">
        <is>
          <t>2007</t>
        </is>
      </c>
      <c r="B9" s="7" t="n">
        <v>456.5816</v>
      </c>
      <c r="C9" s="7" t="n">
        <v>476.3756</v>
      </c>
      <c r="D9" s="7" t="n">
        <v>476.3756</v>
      </c>
      <c r="E9" s="7" t="n">
        <v>476.3756</v>
      </c>
      <c r="F9" s="7" t="n">
        <v>476.3756</v>
      </c>
      <c r="G9" s="7" t="n">
        <v>476.3756</v>
      </c>
      <c r="H9" s="7" t="n">
        <v>476.3756</v>
      </c>
      <c r="I9" s="7" t="n">
        <v>476.3756</v>
      </c>
      <c r="J9" s="7" t="n">
        <v>476.3756</v>
      </c>
      <c r="K9" s="7" t="n">
        <v>476.3756</v>
      </c>
      <c r="L9" s="7" t="n">
        <v>476.3756</v>
      </c>
      <c r="M9" s="7" t="n">
        <v>476.3756</v>
      </c>
      <c r="N9" s="7" t="n">
        <v>476.3756</v>
      </c>
      <c r="O9" s="7" t="n">
        <v>476.3756</v>
      </c>
      <c r="P9" s="7" t="n">
        <v>476.3756</v>
      </c>
      <c r="Q9" s="7" t="n">
        <v>476.3756</v>
      </c>
      <c r="R9" s="7" t="n">
        <v>476.3756</v>
      </c>
      <c r="S9" s="7" t="n">
        <v>476.3756</v>
      </c>
    </row>
    <row r="10">
      <c r="A10" s="6" t="inlineStr">
        <is>
          <t>2008</t>
        </is>
      </c>
      <c r="B10" s="7" t="n">
        <v>307.4668</v>
      </c>
      <c r="C10" s="7" t="n">
        <v>327.2608</v>
      </c>
      <c r="D10" s="7" t="n">
        <v>328.5804</v>
      </c>
      <c r="E10" s="7" t="n">
        <v>328.5804</v>
      </c>
      <c r="F10" s="7" t="n">
        <v>328.5804</v>
      </c>
      <c r="G10" s="7" t="n">
        <v>328.5804</v>
      </c>
      <c r="H10" s="7" t="n">
        <v>328.5804</v>
      </c>
      <c r="I10" s="7" t="n">
        <v>328.5804</v>
      </c>
      <c r="J10" s="7" t="n">
        <v>328.5804</v>
      </c>
      <c r="K10" s="7" t="n">
        <v>328.5804</v>
      </c>
      <c r="L10" s="7" t="n">
        <v>328.5804</v>
      </c>
      <c r="M10" s="7" t="n">
        <v>328.5804</v>
      </c>
      <c r="N10" s="7" t="n">
        <v>328.5804</v>
      </c>
      <c r="O10" s="7" t="n">
        <v>328.5804</v>
      </c>
      <c r="P10" s="7" t="n">
        <v>328.5804</v>
      </c>
      <c r="Q10" s="7" t="n">
        <v>328.5804</v>
      </c>
      <c r="R10" s="7" t="n">
        <v>328.5804</v>
      </c>
    </row>
    <row r="11">
      <c r="A11" s="6" t="inlineStr">
        <is>
          <t>2009</t>
        </is>
      </c>
      <c r="B11" s="7" t="n">
        <v>306.1472</v>
      </c>
      <c r="C11" s="7" t="n">
        <v>320.6628</v>
      </c>
      <c r="D11" s="7" t="n">
        <v>321.9824</v>
      </c>
      <c r="E11" s="7" t="n">
        <v>321.9824</v>
      </c>
      <c r="F11" s="7" t="n">
        <v>321.9824</v>
      </c>
      <c r="G11" s="7" t="n">
        <v>321.9824</v>
      </c>
      <c r="H11" s="7" t="n">
        <v>321.9824</v>
      </c>
      <c r="I11" s="7" t="n">
        <v>321.9824</v>
      </c>
      <c r="J11" s="7" t="n">
        <v>321.9824</v>
      </c>
      <c r="K11" s="7" t="n">
        <v>321.9824</v>
      </c>
      <c r="L11" s="7" t="n">
        <v>321.9824</v>
      </c>
      <c r="M11" s="7" t="n">
        <v>321.9824</v>
      </c>
      <c r="N11" s="7" t="n">
        <v>321.9824</v>
      </c>
      <c r="O11" s="7" t="n">
        <v>321.9824</v>
      </c>
      <c r="P11" s="7" t="n">
        <v>321.9824</v>
      </c>
      <c r="Q11" s="7" t="n">
        <v>321.9824</v>
      </c>
    </row>
    <row r="12">
      <c r="A12" s="6" t="inlineStr">
        <is>
          <t>2010</t>
        </is>
      </c>
      <c r="B12" s="7" t="n">
        <v>259.9612</v>
      </c>
      <c r="C12" s="7" t="n">
        <v>271.8376</v>
      </c>
      <c r="D12" s="7" t="n">
        <v>271.8376</v>
      </c>
      <c r="E12" s="7" t="n">
        <v>271.8376</v>
      </c>
      <c r="F12" s="7" t="n">
        <v>271.8376</v>
      </c>
      <c r="G12" s="7" t="n">
        <v>271.8376</v>
      </c>
      <c r="H12" s="7" t="n">
        <v>271.8376</v>
      </c>
      <c r="I12" s="7" t="n">
        <v>271.8376</v>
      </c>
      <c r="J12" s="7" t="n">
        <v>271.8376</v>
      </c>
      <c r="K12" s="7" t="n">
        <v>271.8376</v>
      </c>
      <c r="L12" s="7" t="n">
        <v>271.8376</v>
      </c>
      <c r="M12" s="7" t="n">
        <v>271.8376</v>
      </c>
      <c r="N12" s="7" t="n">
        <v>271.8376</v>
      </c>
      <c r="O12" s="7" t="n">
        <v>271.8376</v>
      </c>
      <c r="P12" s="7" t="n">
        <v>271.8376</v>
      </c>
    </row>
    <row r="13">
      <c r="A13" s="6" t="inlineStr">
        <is>
          <t>2011</t>
        </is>
      </c>
      <c r="B13" s="7" t="n">
        <v>345.7352</v>
      </c>
      <c r="C13" s="7" t="n">
        <v>345.7352</v>
      </c>
      <c r="D13" s="7" t="n">
        <v>345.7352</v>
      </c>
      <c r="E13" s="7" t="n">
        <v>345.7352</v>
      </c>
      <c r="F13" s="7" t="n">
        <v>345.7352</v>
      </c>
      <c r="G13" s="7" t="n">
        <v>345.7352</v>
      </c>
      <c r="H13" s="7" t="n">
        <v>345.7352</v>
      </c>
      <c r="I13" s="7" t="n">
        <v>345.7352</v>
      </c>
      <c r="J13" s="7" t="n">
        <v>345.7352</v>
      </c>
      <c r="K13" s="7" t="n">
        <v>345.7352</v>
      </c>
      <c r="L13" s="7" t="n">
        <v>345.7352</v>
      </c>
      <c r="M13" s="7" t="n">
        <v>345.7352</v>
      </c>
      <c r="N13" s="7" t="n">
        <v>345.7352</v>
      </c>
      <c r="O13" s="7" t="n">
        <v>345.7352</v>
      </c>
    </row>
    <row r="14">
      <c r="A14" s="6" t="inlineStr">
        <is>
          <t>2012</t>
        </is>
      </c>
      <c r="B14" s="7" t="n">
        <v>245.4456</v>
      </c>
      <c r="C14" s="7" t="n">
        <v>261.2808</v>
      </c>
      <c r="D14" s="7" t="n">
        <v>261.2808</v>
      </c>
      <c r="E14" s="7" t="n">
        <v>261.2808</v>
      </c>
      <c r="F14" s="7" t="n">
        <v>261.2808</v>
      </c>
      <c r="G14" s="7" t="n">
        <v>261.2808</v>
      </c>
      <c r="H14" s="7" t="n">
        <v>261.2808</v>
      </c>
      <c r="I14" s="7" t="n">
        <v>261.2808</v>
      </c>
      <c r="J14" s="7" t="n">
        <v>261.2808</v>
      </c>
      <c r="K14" s="7" t="n">
        <v>261.2808</v>
      </c>
      <c r="L14" s="7" t="n">
        <v>261.2808</v>
      </c>
      <c r="M14" s="7" t="n">
        <v>261.2808</v>
      </c>
      <c r="N14" s="7" t="n">
        <v>261.2808</v>
      </c>
    </row>
    <row r="15">
      <c r="A15" s="6" t="inlineStr">
        <is>
          <t>2013</t>
        </is>
      </c>
      <c r="B15" s="7" t="n">
        <v>282.3944</v>
      </c>
      <c r="C15" s="7" t="n">
        <v>290.312</v>
      </c>
      <c r="D15" s="7" t="n">
        <v>290.312</v>
      </c>
      <c r="E15" s="7" t="n">
        <v>291.6316</v>
      </c>
      <c r="F15" s="7" t="n">
        <v>291.6316</v>
      </c>
      <c r="G15" s="7" t="n">
        <v>291.6316</v>
      </c>
      <c r="H15" s="7" t="n">
        <v>291.6316</v>
      </c>
      <c r="I15" s="7" t="n">
        <v>291.6316</v>
      </c>
      <c r="J15" s="7" t="n">
        <v>291.6316</v>
      </c>
      <c r="K15" s="7" t="n">
        <v>291.6316</v>
      </c>
      <c r="L15" s="7" t="n">
        <v>291.6316</v>
      </c>
      <c r="M15" s="7" t="n">
        <v>291.6316</v>
      </c>
    </row>
    <row r="16">
      <c r="A16" s="6" t="inlineStr">
        <is>
          <t>2014</t>
        </is>
      </c>
      <c r="B16" s="7" t="n">
        <v>434.1484</v>
      </c>
      <c r="C16" s="7" t="n">
        <v>453.9424</v>
      </c>
      <c r="D16" s="7" t="n">
        <v>455.262</v>
      </c>
      <c r="E16" s="7" t="n">
        <v>455.262</v>
      </c>
      <c r="F16" s="7" t="n">
        <v>455.262</v>
      </c>
      <c r="G16" s="7" t="n">
        <v>455.262</v>
      </c>
      <c r="H16" s="7" t="n">
        <v>455.262</v>
      </c>
      <c r="I16" s="7" t="n">
        <v>455.262</v>
      </c>
      <c r="J16" s="7" t="n">
        <v>455.262</v>
      </c>
      <c r="K16" s="7" t="n">
        <v>455.262</v>
      </c>
      <c r="L16" s="7" t="n">
        <v>455.262</v>
      </c>
    </row>
    <row r="17">
      <c r="A17" s="6" t="inlineStr">
        <is>
          <t>2015</t>
        </is>
      </c>
      <c r="B17" s="7" t="n">
        <v>321.9824</v>
      </c>
      <c r="C17" s="7" t="n">
        <v>332.5392</v>
      </c>
      <c r="D17" s="7" t="n">
        <v>337.8176</v>
      </c>
      <c r="E17" s="7" t="n">
        <v>337.8176</v>
      </c>
      <c r="F17" s="7" t="n">
        <v>337.8176</v>
      </c>
      <c r="G17" s="7" t="n">
        <v>337.8176</v>
      </c>
      <c r="H17" s="7" t="n">
        <v>337.8176</v>
      </c>
      <c r="I17" s="7" t="n">
        <v>337.8176</v>
      </c>
      <c r="J17" s="7" t="n">
        <v>337.8176</v>
      </c>
      <c r="K17" s="7" t="n">
        <v>333.8588</v>
      </c>
    </row>
    <row r="18">
      <c r="A18" s="6" t="inlineStr">
        <is>
          <t>2016</t>
        </is>
      </c>
      <c r="B18" s="7" t="n">
        <v>345.7352</v>
      </c>
      <c r="C18" s="7" t="n">
        <v>373.4468</v>
      </c>
      <c r="D18" s="7" t="n">
        <v>390.6016</v>
      </c>
      <c r="E18" s="7" t="n">
        <v>390.6016</v>
      </c>
      <c r="F18" s="7" t="n">
        <v>390.6016</v>
      </c>
      <c r="G18" s="7" t="n">
        <v>390.6016</v>
      </c>
      <c r="H18" s="7" t="n">
        <v>390.6016</v>
      </c>
      <c r="I18" s="7" t="n">
        <v>390.6016</v>
      </c>
      <c r="J18" s="7" t="n">
        <v>390.6016</v>
      </c>
    </row>
    <row r="19">
      <c r="A19" s="6" t="inlineStr">
        <is>
          <t>2017</t>
        </is>
      </c>
      <c r="B19" s="7" t="n">
        <v>275.7964</v>
      </c>
      <c r="C19" s="7" t="n">
        <v>310.106</v>
      </c>
      <c r="D19" s="7" t="n">
        <v>311.4256</v>
      </c>
      <c r="E19" s="7" t="n">
        <v>312.7452</v>
      </c>
      <c r="F19" s="7" t="n">
        <v>311.4256</v>
      </c>
      <c r="G19" s="7" t="n">
        <v>311.4256</v>
      </c>
      <c r="H19" s="7" t="n">
        <v>311.4256</v>
      </c>
      <c r="I19" s="7" t="n">
        <v>310.106</v>
      </c>
    </row>
    <row r="20">
      <c r="A20" s="6" t="inlineStr">
        <is>
          <t>2018</t>
        </is>
      </c>
      <c r="B20" s="7" t="n">
        <v>288.9924</v>
      </c>
      <c r="C20" s="7" t="n">
        <v>324.6216</v>
      </c>
      <c r="D20" s="7" t="n">
        <v>324.6216</v>
      </c>
      <c r="E20" s="7" t="n">
        <v>324.6216</v>
      </c>
      <c r="F20" s="7" t="n">
        <v>325.9412</v>
      </c>
      <c r="G20" s="7" t="n">
        <v>325.9412</v>
      </c>
      <c r="H20" s="7" t="n">
        <v>325.9412</v>
      </c>
    </row>
    <row r="21">
      <c r="A21" s="6" t="inlineStr">
        <is>
          <t>2019</t>
        </is>
      </c>
      <c r="B21" s="7" t="n">
        <v>314.0648</v>
      </c>
      <c r="C21" s="7" t="n">
        <v>358.9312</v>
      </c>
      <c r="D21" s="7" t="n">
        <v>358.9312</v>
      </c>
      <c r="E21" s="7" t="n">
        <v>358.9312</v>
      </c>
      <c r="F21" s="7" t="n">
        <v>358.9312</v>
      </c>
      <c r="G21" s="7" t="n">
        <v>357.6116</v>
      </c>
    </row>
    <row r="22">
      <c r="A22" s="6" t="inlineStr">
        <is>
          <t>2020</t>
        </is>
      </c>
      <c r="B22" s="7" t="n">
        <v>349.694</v>
      </c>
      <c r="C22" s="7" t="n">
        <v>370.8076</v>
      </c>
      <c r="D22" s="7" t="n">
        <v>370.8076</v>
      </c>
      <c r="E22" s="7" t="n">
        <v>370.8076</v>
      </c>
      <c r="F22" s="7" t="n">
        <v>370.8076</v>
      </c>
    </row>
    <row r="23">
      <c r="A23" s="6" t="inlineStr">
        <is>
          <t>2021</t>
        </is>
      </c>
      <c r="B23" s="7" t="n">
        <v>288.9924</v>
      </c>
      <c r="C23" s="7" t="n">
        <v>329.9</v>
      </c>
      <c r="D23" s="7" t="n">
        <v>329.9</v>
      </c>
      <c r="E23" s="7" t="n">
        <v>329.9</v>
      </c>
    </row>
    <row r="24">
      <c r="A24" s="6" t="inlineStr">
        <is>
          <t>2022</t>
        </is>
      </c>
      <c r="B24" s="7" t="n">
        <v>261.2808</v>
      </c>
      <c r="C24" s="7" t="n">
        <v>298.2296</v>
      </c>
      <c r="D24" s="7" t="n">
        <v>298.2296</v>
      </c>
    </row>
    <row r="25">
      <c r="A25" s="6" t="inlineStr">
        <is>
          <t>2023</t>
        </is>
      </c>
      <c r="B25" s="7" t="n">
        <v>273.1572</v>
      </c>
      <c r="C25" s="7" t="n">
        <v>304.8276</v>
      </c>
    </row>
    <row r="26">
      <c r="A26" s="6" t="inlineStr">
        <is>
          <t>2024</t>
        </is>
      </c>
      <c r="B26" s="7" t="n">
        <v>256.0024</v>
      </c>
    </row>
    <row r="28">
      <c r="A28" s="1" t="inlineStr">
        <is>
          <t>Age-to-Age Factors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3" t="n"/>
    </row>
    <row r="29">
      <c r="A29" s="4" t="inlineStr"/>
      <c r="B29" s="5" t="inlineStr">
        <is>
          <t>11-23</t>
        </is>
      </c>
      <c r="C29" s="5" t="inlineStr">
        <is>
          <t>23-35</t>
        </is>
      </c>
      <c r="D29" s="5" t="inlineStr">
        <is>
          <t>35-47</t>
        </is>
      </c>
      <c r="E29" s="5" t="inlineStr">
        <is>
          <t>47-59</t>
        </is>
      </c>
      <c r="F29" s="5" t="inlineStr">
        <is>
          <t>59-71</t>
        </is>
      </c>
      <c r="G29" s="5" t="inlineStr">
        <is>
          <t>71-83</t>
        </is>
      </c>
      <c r="H29" s="5" t="inlineStr">
        <is>
          <t>83-95</t>
        </is>
      </c>
      <c r="I29" s="5" t="inlineStr">
        <is>
          <t>95-107</t>
        </is>
      </c>
      <c r="J29" s="5" t="inlineStr">
        <is>
          <t>107-119</t>
        </is>
      </c>
      <c r="K29" s="5" t="inlineStr">
        <is>
          <t>119-131</t>
        </is>
      </c>
      <c r="L29" s="5" t="inlineStr">
        <is>
          <t>131-143</t>
        </is>
      </c>
      <c r="M29" s="5" t="inlineStr">
        <is>
          <t>143-155</t>
        </is>
      </c>
      <c r="N29" s="5" t="inlineStr">
        <is>
          <t>155-167</t>
        </is>
      </c>
      <c r="O29" s="5" t="inlineStr">
        <is>
          <t>167-179</t>
        </is>
      </c>
      <c r="P29" s="5" t="inlineStr">
        <is>
          <t>179-191</t>
        </is>
      </c>
      <c r="Q29" s="5" t="inlineStr">
        <is>
          <t>191-203</t>
        </is>
      </c>
      <c r="R29" s="5" t="inlineStr">
        <is>
          <t>203-215</t>
        </is>
      </c>
      <c r="S29" s="5" t="inlineStr">
        <is>
          <t>215-227</t>
        </is>
      </c>
      <c r="T29" s="5" t="inlineStr">
        <is>
          <t>227-239</t>
        </is>
      </c>
      <c r="U29" s="5" t="inlineStr">
        <is>
          <t>239-251</t>
        </is>
      </c>
      <c r="V29" s="5" t="inlineStr">
        <is>
          <t>251-263</t>
        </is>
      </c>
      <c r="W29" s="5" t="inlineStr">
        <is>
          <t>263-275</t>
        </is>
      </c>
      <c r="X29" s="5" t="inlineStr">
        <is>
          <t>275-287</t>
        </is>
      </c>
    </row>
    <row r="30">
      <c r="A30" s="6" t="inlineStr">
        <is>
          <t>2001</t>
        </is>
      </c>
      <c r="B30" s="8">
        <f>IFERROR(IF(C3="","",C3/B3),"")</f>
        <v/>
      </c>
      <c r="C30" s="8">
        <f>IFERROR(IF(D3="","",D3/C3),"")</f>
        <v/>
      </c>
      <c r="D30" s="8">
        <f>IFERROR(IF(E3="","",E3/D3),"")</f>
        <v/>
      </c>
      <c r="E30" s="8">
        <f>IFERROR(IF(F3="","",F3/E3),"")</f>
        <v/>
      </c>
      <c r="F30" s="8">
        <f>IFERROR(IF(G3="","",G3/F3),"")</f>
        <v/>
      </c>
      <c r="G30" s="8">
        <f>IFERROR(IF(H3="","",H3/G3),"")</f>
        <v/>
      </c>
      <c r="H30" s="8">
        <f>IFERROR(IF(I3="","",I3/H3),"")</f>
        <v/>
      </c>
      <c r="I30" s="8">
        <f>IFERROR(IF(J3="","",J3/I3),"")</f>
        <v/>
      </c>
      <c r="J30" s="8">
        <f>IFERROR(IF(K3="","",K3/J3),"")</f>
        <v/>
      </c>
      <c r="K30" s="8">
        <f>IFERROR(IF(L3="","",L3/K3),"")</f>
        <v/>
      </c>
      <c r="L30" s="8">
        <f>IFERROR(IF(M3="","",M3/L3),"")</f>
        <v/>
      </c>
      <c r="M30" s="8">
        <f>IFERROR(IF(N3="","",N3/M3),"")</f>
        <v/>
      </c>
      <c r="N30" s="8">
        <f>IFERROR(IF(O3="","",O3/N3),"")</f>
        <v/>
      </c>
      <c r="O30" s="8">
        <f>IFERROR(IF(P3="","",P3/O3),"")</f>
        <v/>
      </c>
      <c r="P30" s="8">
        <f>IFERROR(IF(Q3="","",Q3/P3),"")</f>
        <v/>
      </c>
      <c r="Q30" s="8">
        <f>IFERROR(IF(R3="","",R3/Q3),"")</f>
        <v/>
      </c>
      <c r="R30" s="8">
        <f>IFERROR(IF(S3="","",S3/R3),"")</f>
        <v/>
      </c>
      <c r="S30" s="8">
        <f>IFERROR(IF(T3="","",T3/S3),"")</f>
        <v/>
      </c>
      <c r="T30" s="8">
        <f>IFERROR(IF(U3="","",U3/T3),"")</f>
        <v/>
      </c>
      <c r="U30" s="8">
        <f>IFERROR(IF(V3="","",V3/U3),"")</f>
        <v/>
      </c>
      <c r="V30" s="8">
        <f>IFERROR(IF(W3="","",W3/V3),"")</f>
        <v/>
      </c>
      <c r="W30" s="8">
        <f>IFERROR(IF(X3="","",X3/W3),"")</f>
        <v/>
      </c>
      <c r="X30" s="8">
        <f>IFERROR(IF(Y3="","",Y3/X3),"")</f>
        <v/>
      </c>
    </row>
    <row r="31">
      <c r="A31" s="6" t="inlineStr">
        <is>
          <t>2002</t>
        </is>
      </c>
      <c r="B31" s="8">
        <f>IFERROR(IF(C4="","",C4/B4),"")</f>
        <v/>
      </c>
      <c r="C31" s="8">
        <f>IFERROR(IF(D4="","",D4/C4),"")</f>
        <v/>
      </c>
      <c r="D31" s="8">
        <f>IFERROR(IF(E4="","",E4/D4),"")</f>
        <v/>
      </c>
      <c r="E31" s="8">
        <f>IFERROR(IF(F4="","",F4/E4),"")</f>
        <v/>
      </c>
      <c r="F31" s="8">
        <f>IFERROR(IF(G4="","",G4/F4),"")</f>
        <v/>
      </c>
      <c r="G31" s="8">
        <f>IFERROR(IF(H4="","",H4/G4),"")</f>
        <v/>
      </c>
      <c r="H31" s="8">
        <f>IFERROR(IF(I4="","",I4/H4),"")</f>
        <v/>
      </c>
      <c r="I31" s="8">
        <f>IFERROR(IF(J4="","",J4/I4),"")</f>
        <v/>
      </c>
      <c r="J31" s="8">
        <f>IFERROR(IF(K4="","",K4/J4),"")</f>
        <v/>
      </c>
      <c r="K31" s="8">
        <f>IFERROR(IF(L4="","",L4/K4),"")</f>
        <v/>
      </c>
      <c r="L31" s="8">
        <f>IFERROR(IF(M4="","",M4/L4),"")</f>
        <v/>
      </c>
      <c r="M31" s="8">
        <f>IFERROR(IF(N4="","",N4/M4),"")</f>
        <v/>
      </c>
      <c r="N31" s="8">
        <f>IFERROR(IF(O4="","",O4/N4),"")</f>
        <v/>
      </c>
      <c r="O31" s="8">
        <f>IFERROR(IF(P4="","",P4/O4),"")</f>
        <v/>
      </c>
      <c r="P31" s="8">
        <f>IFERROR(IF(Q4="","",Q4/P4),"")</f>
        <v/>
      </c>
      <c r="Q31" s="8">
        <f>IFERROR(IF(R4="","",R4/Q4),"")</f>
        <v/>
      </c>
      <c r="R31" s="8">
        <f>IFERROR(IF(S4="","",S4/R4),"")</f>
        <v/>
      </c>
      <c r="S31" s="8">
        <f>IFERROR(IF(T4="","",T4/S4),"")</f>
        <v/>
      </c>
      <c r="T31" s="8">
        <f>IFERROR(IF(U4="","",U4/T4),"")</f>
        <v/>
      </c>
      <c r="U31" s="8">
        <f>IFERROR(IF(V4="","",V4/U4),"")</f>
        <v/>
      </c>
      <c r="V31" s="8">
        <f>IFERROR(IF(W4="","",W4/V4),"")</f>
        <v/>
      </c>
      <c r="W31" s="8">
        <f>IFERROR(IF(X4="","",X4/W4),"")</f>
        <v/>
      </c>
      <c r="X31" s="8">
        <f>IFERROR(IF(Y4="","",Y4/X4),"")</f>
        <v/>
      </c>
    </row>
    <row r="32">
      <c r="A32" s="6" t="inlineStr">
        <is>
          <t>2003</t>
        </is>
      </c>
      <c r="B32" s="8">
        <f>IFERROR(IF(C5="","",C5/B5),"")</f>
        <v/>
      </c>
      <c r="C32" s="8">
        <f>IFERROR(IF(D5="","",D5/C5),"")</f>
        <v/>
      </c>
      <c r="D32" s="8">
        <f>IFERROR(IF(E5="","",E5/D5),"")</f>
        <v/>
      </c>
      <c r="E32" s="8">
        <f>IFERROR(IF(F5="","",F5/E5),"")</f>
        <v/>
      </c>
      <c r="F32" s="8">
        <f>IFERROR(IF(G5="","",G5/F5),"")</f>
        <v/>
      </c>
      <c r="G32" s="8">
        <f>IFERROR(IF(H5="","",H5/G5),"")</f>
        <v/>
      </c>
      <c r="H32" s="8">
        <f>IFERROR(IF(I5="","",I5/H5),"")</f>
        <v/>
      </c>
      <c r="I32" s="8">
        <f>IFERROR(IF(J5="","",J5/I5),"")</f>
        <v/>
      </c>
      <c r="J32" s="8">
        <f>IFERROR(IF(K5="","",K5/J5),"")</f>
        <v/>
      </c>
      <c r="K32" s="8">
        <f>IFERROR(IF(L5="","",L5/K5),"")</f>
        <v/>
      </c>
      <c r="L32" s="8">
        <f>IFERROR(IF(M5="","",M5/L5),"")</f>
        <v/>
      </c>
      <c r="M32" s="8">
        <f>IFERROR(IF(N5="","",N5/M5),"")</f>
        <v/>
      </c>
      <c r="N32" s="8">
        <f>IFERROR(IF(O5="","",O5/N5),"")</f>
        <v/>
      </c>
      <c r="O32" s="8">
        <f>IFERROR(IF(P5="","",P5/O5),"")</f>
        <v/>
      </c>
      <c r="P32" s="8">
        <f>IFERROR(IF(Q5="","",Q5/P5),"")</f>
        <v/>
      </c>
      <c r="Q32" s="8">
        <f>IFERROR(IF(R5="","",R5/Q5),"")</f>
        <v/>
      </c>
      <c r="R32" s="8">
        <f>IFERROR(IF(S5="","",S5/R5),"")</f>
        <v/>
      </c>
      <c r="S32" s="8">
        <f>IFERROR(IF(T5="","",T5/S5),"")</f>
        <v/>
      </c>
      <c r="T32" s="8">
        <f>IFERROR(IF(U5="","",U5/T5),"")</f>
        <v/>
      </c>
      <c r="U32" s="8">
        <f>IFERROR(IF(V5="","",V5/U5),"")</f>
        <v/>
      </c>
      <c r="V32" s="8">
        <f>IFERROR(IF(W5="","",W5/V5),"")</f>
        <v/>
      </c>
      <c r="W32" s="8">
        <f>IFERROR(IF(X5="","",X5/W5),"")</f>
        <v/>
      </c>
      <c r="X32" s="8">
        <f>IFERROR(IF(Y5="","",Y5/X5),"")</f>
        <v/>
      </c>
    </row>
    <row r="33">
      <c r="A33" s="6" t="inlineStr">
        <is>
          <t>2004</t>
        </is>
      </c>
      <c r="B33" s="8">
        <f>IFERROR(IF(C6="","",C6/B6),"")</f>
        <v/>
      </c>
      <c r="C33" s="8">
        <f>IFERROR(IF(D6="","",D6/C6),"")</f>
        <v/>
      </c>
      <c r="D33" s="8">
        <f>IFERROR(IF(E6="","",E6/D6),"")</f>
        <v/>
      </c>
      <c r="E33" s="8">
        <f>IFERROR(IF(F6="","",F6/E6),"")</f>
        <v/>
      </c>
      <c r="F33" s="8">
        <f>IFERROR(IF(G6="","",G6/F6),"")</f>
        <v/>
      </c>
      <c r="G33" s="8">
        <f>IFERROR(IF(H6="","",H6/G6),"")</f>
        <v/>
      </c>
      <c r="H33" s="8">
        <f>IFERROR(IF(I6="","",I6/H6),"")</f>
        <v/>
      </c>
      <c r="I33" s="8">
        <f>IFERROR(IF(J6="","",J6/I6),"")</f>
        <v/>
      </c>
      <c r="J33" s="8">
        <f>IFERROR(IF(K6="","",K6/J6),"")</f>
        <v/>
      </c>
      <c r="K33" s="8">
        <f>IFERROR(IF(L6="","",L6/K6),"")</f>
        <v/>
      </c>
      <c r="L33" s="8">
        <f>IFERROR(IF(M6="","",M6/L6),"")</f>
        <v/>
      </c>
      <c r="M33" s="8">
        <f>IFERROR(IF(N6="","",N6/M6),"")</f>
        <v/>
      </c>
      <c r="N33" s="8">
        <f>IFERROR(IF(O6="","",O6/N6),"")</f>
        <v/>
      </c>
      <c r="O33" s="8">
        <f>IFERROR(IF(P6="","",P6/O6),"")</f>
        <v/>
      </c>
      <c r="P33" s="8">
        <f>IFERROR(IF(Q6="","",Q6/P6),"")</f>
        <v/>
      </c>
      <c r="Q33" s="8">
        <f>IFERROR(IF(R6="","",R6/Q6),"")</f>
        <v/>
      </c>
      <c r="R33" s="8">
        <f>IFERROR(IF(S6="","",S6/R6),"")</f>
        <v/>
      </c>
      <c r="S33" s="8">
        <f>IFERROR(IF(T6="","",T6/S6),"")</f>
        <v/>
      </c>
      <c r="T33" s="8">
        <f>IFERROR(IF(U6="","",U6/T6),"")</f>
        <v/>
      </c>
      <c r="U33" s="8">
        <f>IFERROR(IF(V6="","",V6/U6),"")</f>
        <v/>
      </c>
      <c r="V33" s="8">
        <f>IFERROR(IF(W6="","",W6/V6),"")</f>
        <v/>
      </c>
      <c r="W33" s="8">
        <f>IFERROR(IF(X6="","",X6/W6),"")</f>
        <v/>
      </c>
      <c r="X33" s="8">
        <f>IFERROR(IF(Y6="","",Y6/X6),"")</f>
        <v/>
      </c>
    </row>
    <row r="34">
      <c r="A34" s="6" t="inlineStr">
        <is>
          <t>2005</t>
        </is>
      </c>
      <c r="B34" s="8">
        <f>IFERROR(IF(C7="","",C7/B7),"")</f>
        <v/>
      </c>
      <c r="C34" s="8">
        <f>IFERROR(IF(D7="","",D7/C7),"")</f>
        <v/>
      </c>
      <c r="D34" s="8">
        <f>IFERROR(IF(E7="","",E7/D7),"")</f>
        <v/>
      </c>
      <c r="E34" s="8">
        <f>IFERROR(IF(F7="","",F7/E7),"")</f>
        <v/>
      </c>
      <c r="F34" s="8">
        <f>IFERROR(IF(G7="","",G7/F7),"")</f>
        <v/>
      </c>
      <c r="G34" s="8">
        <f>IFERROR(IF(H7="","",H7/G7),"")</f>
        <v/>
      </c>
      <c r="H34" s="8">
        <f>IFERROR(IF(I7="","",I7/H7),"")</f>
        <v/>
      </c>
      <c r="I34" s="8">
        <f>IFERROR(IF(J7="","",J7/I7),"")</f>
        <v/>
      </c>
      <c r="J34" s="8">
        <f>IFERROR(IF(K7="","",K7/J7),"")</f>
        <v/>
      </c>
      <c r="K34" s="8">
        <f>IFERROR(IF(L7="","",L7/K7),"")</f>
        <v/>
      </c>
      <c r="L34" s="8">
        <f>IFERROR(IF(M7="","",M7/L7),"")</f>
        <v/>
      </c>
      <c r="M34" s="8">
        <f>IFERROR(IF(N7="","",N7/M7),"")</f>
        <v/>
      </c>
      <c r="N34" s="8">
        <f>IFERROR(IF(O7="","",O7/N7),"")</f>
        <v/>
      </c>
      <c r="O34" s="8">
        <f>IFERROR(IF(P7="","",P7/O7),"")</f>
        <v/>
      </c>
      <c r="P34" s="8">
        <f>IFERROR(IF(Q7="","",Q7/P7),"")</f>
        <v/>
      </c>
      <c r="Q34" s="8">
        <f>IFERROR(IF(R7="","",R7/Q7),"")</f>
        <v/>
      </c>
      <c r="R34" s="8">
        <f>IFERROR(IF(S7="","",S7/R7),"")</f>
        <v/>
      </c>
      <c r="S34" s="8">
        <f>IFERROR(IF(T7="","",T7/S7),"")</f>
        <v/>
      </c>
      <c r="T34" s="8">
        <f>IFERROR(IF(U7="","",U7/T7),"")</f>
        <v/>
      </c>
      <c r="U34" s="8">
        <f>IFERROR(IF(V7="","",V7/U7),"")</f>
        <v/>
      </c>
      <c r="V34" s="8">
        <f>IFERROR(IF(W7="","",W7/V7),"")</f>
        <v/>
      </c>
      <c r="W34" s="8">
        <f>IFERROR(IF(X7="","",X7/W7),"")</f>
        <v/>
      </c>
      <c r="X34" s="8">
        <f>IFERROR(IF(Y7="","",Y7/X7),"")</f>
        <v/>
      </c>
    </row>
    <row r="35">
      <c r="A35" s="6" t="inlineStr">
        <is>
          <t>2006</t>
        </is>
      </c>
      <c r="B35" s="8">
        <f>IFERROR(IF(C8="","",C8/B8),"")</f>
        <v/>
      </c>
      <c r="C35" s="8">
        <f>IFERROR(IF(D8="","",D8/C8),"")</f>
        <v/>
      </c>
      <c r="D35" s="8">
        <f>IFERROR(IF(E8="","",E8/D8),"")</f>
        <v/>
      </c>
      <c r="E35" s="8">
        <f>IFERROR(IF(F8="","",F8/E8),"")</f>
        <v/>
      </c>
      <c r="F35" s="8">
        <f>IFERROR(IF(G8="","",G8/F8),"")</f>
        <v/>
      </c>
      <c r="G35" s="8">
        <f>IFERROR(IF(H8="","",H8/G8),"")</f>
        <v/>
      </c>
      <c r="H35" s="8">
        <f>IFERROR(IF(I8="","",I8/H8),"")</f>
        <v/>
      </c>
      <c r="I35" s="8">
        <f>IFERROR(IF(J8="","",J8/I8),"")</f>
        <v/>
      </c>
      <c r="J35" s="8">
        <f>IFERROR(IF(K8="","",K8/J8),"")</f>
        <v/>
      </c>
      <c r="K35" s="8">
        <f>IFERROR(IF(L8="","",L8/K8),"")</f>
        <v/>
      </c>
      <c r="L35" s="8">
        <f>IFERROR(IF(M8="","",M8/L8),"")</f>
        <v/>
      </c>
      <c r="M35" s="8">
        <f>IFERROR(IF(N8="","",N8/M8),"")</f>
        <v/>
      </c>
      <c r="N35" s="8">
        <f>IFERROR(IF(O8="","",O8/N8),"")</f>
        <v/>
      </c>
      <c r="O35" s="8">
        <f>IFERROR(IF(P8="","",P8/O8),"")</f>
        <v/>
      </c>
      <c r="P35" s="8">
        <f>IFERROR(IF(Q8="","",Q8/P8),"")</f>
        <v/>
      </c>
      <c r="Q35" s="8">
        <f>IFERROR(IF(R8="","",R8/Q8),"")</f>
        <v/>
      </c>
      <c r="R35" s="8">
        <f>IFERROR(IF(S8="","",S8/R8),"")</f>
        <v/>
      </c>
      <c r="S35" s="8">
        <f>IFERROR(IF(T8="","",T8/S8),"")</f>
        <v/>
      </c>
      <c r="T35" s="8">
        <f>IFERROR(IF(U8="","",U8/T8),"")</f>
        <v/>
      </c>
      <c r="U35" s="8">
        <f>IFERROR(IF(V8="","",V8/U8),"")</f>
        <v/>
      </c>
      <c r="V35" s="8">
        <f>IFERROR(IF(W8="","",W8/V8),"")</f>
        <v/>
      </c>
      <c r="W35" s="8">
        <f>IFERROR(IF(X8="","",X8/W8),"")</f>
        <v/>
      </c>
      <c r="X35" s="8">
        <f>IFERROR(IF(Y8="","",Y8/X8),"")</f>
        <v/>
      </c>
    </row>
    <row r="36">
      <c r="A36" s="6" t="inlineStr">
        <is>
          <t>2007</t>
        </is>
      </c>
      <c r="B36" s="8">
        <f>IFERROR(IF(C9="","",C9/B9),"")</f>
        <v/>
      </c>
      <c r="C36" s="8">
        <f>IFERROR(IF(D9="","",D9/C9),"")</f>
        <v/>
      </c>
      <c r="D36" s="8">
        <f>IFERROR(IF(E9="","",E9/D9),"")</f>
        <v/>
      </c>
      <c r="E36" s="8">
        <f>IFERROR(IF(F9="","",F9/E9),"")</f>
        <v/>
      </c>
      <c r="F36" s="8">
        <f>IFERROR(IF(G9="","",G9/F9),"")</f>
        <v/>
      </c>
      <c r="G36" s="8">
        <f>IFERROR(IF(H9="","",H9/G9),"")</f>
        <v/>
      </c>
      <c r="H36" s="8">
        <f>IFERROR(IF(I9="","",I9/H9),"")</f>
        <v/>
      </c>
      <c r="I36" s="8">
        <f>IFERROR(IF(J9="","",J9/I9),"")</f>
        <v/>
      </c>
      <c r="J36" s="8">
        <f>IFERROR(IF(K9="","",K9/J9),"")</f>
        <v/>
      </c>
      <c r="K36" s="8">
        <f>IFERROR(IF(L9="","",L9/K9),"")</f>
        <v/>
      </c>
      <c r="L36" s="8">
        <f>IFERROR(IF(M9="","",M9/L9),"")</f>
        <v/>
      </c>
      <c r="M36" s="8">
        <f>IFERROR(IF(N9="","",N9/M9),"")</f>
        <v/>
      </c>
      <c r="N36" s="8">
        <f>IFERROR(IF(O9="","",O9/N9),"")</f>
        <v/>
      </c>
      <c r="O36" s="8">
        <f>IFERROR(IF(P9="","",P9/O9),"")</f>
        <v/>
      </c>
      <c r="P36" s="8">
        <f>IFERROR(IF(Q9="","",Q9/P9),"")</f>
        <v/>
      </c>
      <c r="Q36" s="8">
        <f>IFERROR(IF(R9="","",R9/Q9),"")</f>
        <v/>
      </c>
      <c r="R36" s="8">
        <f>IFERROR(IF(S9="","",S9/R9),"")</f>
        <v/>
      </c>
      <c r="S36" s="8">
        <f>IFERROR(IF(T9="","",T9/S9),"")</f>
        <v/>
      </c>
      <c r="T36" s="8">
        <f>IFERROR(IF(U9="","",U9/T9),"")</f>
        <v/>
      </c>
      <c r="U36" s="8">
        <f>IFERROR(IF(V9="","",V9/U9),"")</f>
        <v/>
      </c>
      <c r="V36" s="8">
        <f>IFERROR(IF(W9="","",W9/V9),"")</f>
        <v/>
      </c>
      <c r="W36" s="8">
        <f>IFERROR(IF(X9="","",X9/W9),"")</f>
        <v/>
      </c>
      <c r="X36" s="8">
        <f>IFERROR(IF(Y9="","",Y9/X9),"")</f>
        <v/>
      </c>
    </row>
    <row r="37">
      <c r="A37" s="6" t="inlineStr">
        <is>
          <t>2008</t>
        </is>
      </c>
      <c r="B37" s="8">
        <f>IFERROR(IF(C10="","",C10/B10),"")</f>
        <v/>
      </c>
      <c r="C37" s="8">
        <f>IFERROR(IF(D10="","",D10/C10),"")</f>
        <v/>
      </c>
      <c r="D37" s="8">
        <f>IFERROR(IF(E10="","",E10/D10),"")</f>
        <v/>
      </c>
      <c r="E37" s="8">
        <f>IFERROR(IF(F10="","",F10/E10),"")</f>
        <v/>
      </c>
      <c r="F37" s="8">
        <f>IFERROR(IF(G10="","",G10/F10),"")</f>
        <v/>
      </c>
      <c r="G37" s="8">
        <f>IFERROR(IF(H10="","",H10/G10),"")</f>
        <v/>
      </c>
      <c r="H37" s="8">
        <f>IFERROR(IF(I10="","",I10/H10),"")</f>
        <v/>
      </c>
      <c r="I37" s="8">
        <f>IFERROR(IF(J10="","",J10/I10),"")</f>
        <v/>
      </c>
      <c r="J37" s="8">
        <f>IFERROR(IF(K10="","",K10/J10),"")</f>
        <v/>
      </c>
      <c r="K37" s="8">
        <f>IFERROR(IF(L10="","",L10/K10),"")</f>
        <v/>
      </c>
      <c r="L37" s="8">
        <f>IFERROR(IF(M10="","",M10/L10),"")</f>
        <v/>
      </c>
      <c r="M37" s="8">
        <f>IFERROR(IF(N10="","",N10/M10),"")</f>
        <v/>
      </c>
      <c r="N37" s="8">
        <f>IFERROR(IF(O10="","",O10/N10),"")</f>
        <v/>
      </c>
      <c r="O37" s="8">
        <f>IFERROR(IF(P10="","",P10/O10),"")</f>
        <v/>
      </c>
      <c r="P37" s="8">
        <f>IFERROR(IF(Q10="","",Q10/P10),"")</f>
        <v/>
      </c>
      <c r="Q37" s="8">
        <f>IFERROR(IF(R10="","",R10/Q10),"")</f>
        <v/>
      </c>
      <c r="R37" s="8">
        <f>IFERROR(IF(S10="","",S10/R10),"")</f>
        <v/>
      </c>
      <c r="S37" s="8">
        <f>IFERROR(IF(T10="","",T10/S10),"")</f>
        <v/>
      </c>
      <c r="T37" s="8">
        <f>IFERROR(IF(U10="","",U10/T10),"")</f>
        <v/>
      </c>
      <c r="U37" s="8">
        <f>IFERROR(IF(V10="","",V10/U10),"")</f>
        <v/>
      </c>
      <c r="V37" s="8">
        <f>IFERROR(IF(W10="","",W10/V10),"")</f>
        <v/>
      </c>
      <c r="W37" s="8">
        <f>IFERROR(IF(X10="","",X10/W10),"")</f>
        <v/>
      </c>
      <c r="X37" s="8">
        <f>IFERROR(IF(Y10="","",Y10/X10),"")</f>
        <v/>
      </c>
    </row>
    <row r="38">
      <c r="A38" s="6" t="inlineStr">
        <is>
          <t>2009</t>
        </is>
      </c>
      <c r="B38" s="8">
        <f>IFERROR(IF(C11="","",C11/B11),"")</f>
        <v/>
      </c>
      <c r="C38" s="8">
        <f>IFERROR(IF(D11="","",D11/C11),"")</f>
        <v/>
      </c>
      <c r="D38" s="8">
        <f>IFERROR(IF(E11="","",E11/D11),"")</f>
        <v/>
      </c>
      <c r="E38" s="8">
        <f>IFERROR(IF(F11="","",F11/E11),"")</f>
        <v/>
      </c>
      <c r="F38" s="8">
        <f>IFERROR(IF(G11="","",G11/F11),"")</f>
        <v/>
      </c>
      <c r="G38" s="8">
        <f>IFERROR(IF(H11="","",H11/G11),"")</f>
        <v/>
      </c>
      <c r="H38" s="8">
        <f>IFERROR(IF(I11="","",I11/H11),"")</f>
        <v/>
      </c>
      <c r="I38" s="8">
        <f>IFERROR(IF(J11="","",J11/I11),"")</f>
        <v/>
      </c>
      <c r="J38" s="8">
        <f>IFERROR(IF(K11="","",K11/J11),"")</f>
        <v/>
      </c>
      <c r="K38" s="8">
        <f>IFERROR(IF(L11="","",L11/K11),"")</f>
        <v/>
      </c>
      <c r="L38" s="8">
        <f>IFERROR(IF(M11="","",M11/L11),"")</f>
        <v/>
      </c>
      <c r="M38" s="8">
        <f>IFERROR(IF(N11="","",N11/M11),"")</f>
        <v/>
      </c>
      <c r="N38" s="8">
        <f>IFERROR(IF(O11="","",O11/N11),"")</f>
        <v/>
      </c>
      <c r="O38" s="8">
        <f>IFERROR(IF(P11="","",P11/O11),"")</f>
        <v/>
      </c>
      <c r="P38" s="8">
        <f>IFERROR(IF(Q11="","",Q11/P11),"")</f>
        <v/>
      </c>
      <c r="Q38" s="8">
        <f>IFERROR(IF(R11="","",R11/Q11),"")</f>
        <v/>
      </c>
      <c r="R38" s="8">
        <f>IFERROR(IF(S11="","",S11/R11),"")</f>
        <v/>
      </c>
      <c r="S38" s="8">
        <f>IFERROR(IF(T11="","",T11/S11),"")</f>
        <v/>
      </c>
      <c r="T38" s="8">
        <f>IFERROR(IF(U11="","",U11/T11),"")</f>
        <v/>
      </c>
      <c r="U38" s="8">
        <f>IFERROR(IF(V11="","",V11/U11),"")</f>
        <v/>
      </c>
      <c r="V38" s="8">
        <f>IFERROR(IF(W11="","",W11/V11),"")</f>
        <v/>
      </c>
      <c r="W38" s="8">
        <f>IFERROR(IF(X11="","",X11/W11),"")</f>
        <v/>
      </c>
      <c r="X38" s="8">
        <f>IFERROR(IF(Y11="","",Y11/X11),"")</f>
        <v/>
      </c>
    </row>
    <row r="39">
      <c r="A39" s="6" t="inlineStr">
        <is>
          <t>2010</t>
        </is>
      </c>
      <c r="B39" s="8">
        <f>IFERROR(IF(C12="","",C12/B12),"")</f>
        <v/>
      </c>
      <c r="C39" s="8">
        <f>IFERROR(IF(D12="","",D12/C12),"")</f>
        <v/>
      </c>
      <c r="D39" s="8">
        <f>IFERROR(IF(E12="","",E12/D12),"")</f>
        <v/>
      </c>
      <c r="E39" s="8">
        <f>IFERROR(IF(F12="","",F12/E12),"")</f>
        <v/>
      </c>
      <c r="F39" s="8">
        <f>IFERROR(IF(G12="","",G12/F12),"")</f>
        <v/>
      </c>
      <c r="G39" s="8">
        <f>IFERROR(IF(H12="","",H12/G12),"")</f>
        <v/>
      </c>
      <c r="H39" s="8">
        <f>IFERROR(IF(I12="","",I12/H12),"")</f>
        <v/>
      </c>
      <c r="I39" s="8">
        <f>IFERROR(IF(J12="","",J12/I12),"")</f>
        <v/>
      </c>
      <c r="J39" s="8">
        <f>IFERROR(IF(K12="","",K12/J12),"")</f>
        <v/>
      </c>
      <c r="K39" s="8">
        <f>IFERROR(IF(L12="","",L12/K12),"")</f>
        <v/>
      </c>
      <c r="L39" s="8">
        <f>IFERROR(IF(M12="","",M12/L12),"")</f>
        <v/>
      </c>
      <c r="M39" s="8">
        <f>IFERROR(IF(N12="","",N12/M12),"")</f>
        <v/>
      </c>
      <c r="N39" s="8">
        <f>IFERROR(IF(O12="","",O12/N12),"")</f>
        <v/>
      </c>
      <c r="O39" s="8">
        <f>IFERROR(IF(P12="","",P12/O12),"")</f>
        <v/>
      </c>
      <c r="P39" s="8">
        <f>IFERROR(IF(Q12="","",Q12/P12),"")</f>
        <v/>
      </c>
      <c r="Q39" s="8">
        <f>IFERROR(IF(R12="","",R12/Q12),"")</f>
        <v/>
      </c>
      <c r="R39" s="8">
        <f>IFERROR(IF(S12="","",S12/R12),"")</f>
        <v/>
      </c>
      <c r="S39" s="8">
        <f>IFERROR(IF(T12="","",T12/S12),"")</f>
        <v/>
      </c>
      <c r="T39" s="8">
        <f>IFERROR(IF(U12="","",U12/T12),"")</f>
        <v/>
      </c>
      <c r="U39" s="8">
        <f>IFERROR(IF(V12="","",V12/U12),"")</f>
        <v/>
      </c>
      <c r="V39" s="8">
        <f>IFERROR(IF(W12="","",W12/V12),"")</f>
        <v/>
      </c>
      <c r="W39" s="8">
        <f>IFERROR(IF(X12="","",X12/W12),"")</f>
        <v/>
      </c>
      <c r="X39" s="8">
        <f>IFERROR(IF(Y12="","",Y12/X12),"")</f>
        <v/>
      </c>
    </row>
    <row r="40">
      <c r="A40" s="6" t="inlineStr">
        <is>
          <t>2011</t>
        </is>
      </c>
      <c r="B40" s="8">
        <f>IFERROR(IF(C13="","",C13/B13),"")</f>
        <v/>
      </c>
      <c r="C40" s="8">
        <f>IFERROR(IF(D13="","",D13/C13),"")</f>
        <v/>
      </c>
      <c r="D40" s="8">
        <f>IFERROR(IF(E13="","",E13/D13),"")</f>
        <v/>
      </c>
      <c r="E40" s="8">
        <f>IFERROR(IF(F13="","",F13/E13),"")</f>
        <v/>
      </c>
      <c r="F40" s="8">
        <f>IFERROR(IF(G13="","",G13/F13),"")</f>
        <v/>
      </c>
      <c r="G40" s="8">
        <f>IFERROR(IF(H13="","",H13/G13),"")</f>
        <v/>
      </c>
      <c r="H40" s="8">
        <f>IFERROR(IF(I13="","",I13/H13),"")</f>
        <v/>
      </c>
      <c r="I40" s="8">
        <f>IFERROR(IF(J13="","",J13/I13),"")</f>
        <v/>
      </c>
      <c r="J40" s="8">
        <f>IFERROR(IF(K13="","",K13/J13),"")</f>
        <v/>
      </c>
      <c r="K40" s="8">
        <f>IFERROR(IF(L13="","",L13/K13),"")</f>
        <v/>
      </c>
      <c r="L40" s="8">
        <f>IFERROR(IF(M13="","",M13/L13),"")</f>
        <v/>
      </c>
      <c r="M40" s="8">
        <f>IFERROR(IF(N13="","",N13/M13),"")</f>
        <v/>
      </c>
      <c r="N40" s="8">
        <f>IFERROR(IF(O13="","",O13/N13),"")</f>
        <v/>
      </c>
      <c r="O40" s="8">
        <f>IFERROR(IF(P13="","",P13/O13),"")</f>
        <v/>
      </c>
      <c r="P40" s="8">
        <f>IFERROR(IF(Q13="","",Q13/P13),"")</f>
        <v/>
      </c>
      <c r="Q40" s="8">
        <f>IFERROR(IF(R13="","",R13/Q13),"")</f>
        <v/>
      </c>
      <c r="R40" s="8">
        <f>IFERROR(IF(S13="","",S13/R13),"")</f>
        <v/>
      </c>
      <c r="S40" s="8">
        <f>IFERROR(IF(T13="","",T13/S13),"")</f>
        <v/>
      </c>
      <c r="T40" s="8">
        <f>IFERROR(IF(U13="","",U13/T13),"")</f>
        <v/>
      </c>
      <c r="U40" s="8">
        <f>IFERROR(IF(V13="","",V13/U13),"")</f>
        <v/>
      </c>
      <c r="V40" s="8">
        <f>IFERROR(IF(W13="","",W13/V13),"")</f>
        <v/>
      </c>
      <c r="W40" s="8">
        <f>IFERROR(IF(X13="","",X13/W13),"")</f>
        <v/>
      </c>
      <c r="X40" s="8">
        <f>IFERROR(IF(Y13="","",Y13/X13),"")</f>
        <v/>
      </c>
    </row>
    <row r="41">
      <c r="A41" s="6" t="inlineStr">
        <is>
          <t>2012</t>
        </is>
      </c>
      <c r="B41" s="8">
        <f>IFERROR(IF(C14="","",C14/B14),"")</f>
        <v/>
      </c>
      <c r="C41" s="8">
        <f>IFERROR(IF(D14="","",D14/C14),"")</f>
        <v/>
      </c>
      <c r="D41" s="8">
        <f>IFERROR(IF(E14="","",E14/D14),"")</f>
        <v/>
      </c>
      <c r="E41" s="8">
        <f>IFERROR(IF(F14="","",F14/E14),"")</f>
        <v/>
      </c>
      <c r="F41" s="8">
        <f>IFERROR(IF(G14="","",G14/F14),"")</f>
        <v/>
      </c>
      <c r="G41" s="8">
        <f>IFERROR(IF(H14="","",H14/G14),"")</f>
        <v/>
      </c>
      <c r="H41" s="8">
        <f>IFERROR(IF(I14="","",I14/H14),"")</f>
        <v/>
      </c>
      <c r="I41" s="8">
        <f>IFERROR(IF(J14="","",J14/I14),"")</f>
        <v/>
      </c>
      <c r="J41" s="8">
        <f>IFERROR(IF(K14="","",K14/J14),"")</f>
        <v/>
      </c>
      <c r="K41" s="8">
        <f>IFERROR(IF(L14="","",L14/K14),"")</f>
        <v/>
      </c>
      <c r="L41" s="8">
        <f>IFERROR(IF(M14="","",M14/L14),"")</f>
        <v/>
      </c>
      <c r="M41" s="8">
        <f>IFERROR(IF(N14="","",N14/M14),"")</f>
        <v/>
      </c>
      <c r="N41" s="8">
        <f>IFERROR(IF(O14="","",O14/N14),"")</f>
        <v/>
      </c>
      <c r="O41" s="8">
        <f>IFERROR(IF(P14="","",P14/O14),"")</f>
        <v/>
      </c>
      <c r="P41" s="8">
        <f>IFERROR(IF(Q14="","",Q14/P14),"")</f>
        <v/>
      </c>
      <c r="Q41" s="8">
        <f>IFERROR(IF(R14="","",R14/Q14),"")</f>
        <v/>
      </c>
      <c r="R41" s="8">
        <f>IFERROR(IF(S14="","",S14/R14),"")</f>
        <v/>
      </c>
      <c r="S41" s="8">
        <f>IFERROR(IF(T14="","",T14/S14),"")</f>
        <v/>
      </c>
      <c r="T41" s="8">
        <f>IFERROR(IF(U14="","",U14/T14),"")</f>
        <v/>
      </c>
      <c r="U41" s="8">
        <f>IFERROR(IF(V14="","",V14/U14),"")</f>
        <v/>
      </c>
      <c r="V41" s="8">
        <f>IFERROR(IF(W14="","",W14/V14),"")</f>
        <v/>
      </c>
      <c r="W41" s="8">
        <f>IFERROR(IF(X14="","",X14/W14),"")</f>
        <v/>
      </c>
      <c r="X41" s="8">
        <f>IFERROR(IF(Y14="","",Y14/X14),"")</f>
        <v/>
      </c>
    </row>
    <row r="42">
      <c r="A42" s="6" t="inlineStr">
        <is>
          <t>2013</t>
        </is>
      </c>
      <c r="B42" s="8">
        <f>IFERROR(IF(C15="","",C15/B15),"")</f>
        <v/>
      </c>
      <c r="C42" s="8">
        <f>IFERROR(IF(D15="","",D15/C15),"")</f>
        <v/>
      </c>
      <c r="D42" s="8">
        <f>IFERROR(IF(E15="","",E15/D15),"")</f>
        <v/>
      </c>
      <c r="E42" s="8">
        <f>IFERROR(IF(F15="","",F15/E15),"")</f>
        <v/>
      </c>
      <c r="F42" s="8">
        <f>IFERROR(IF(G15="","",G15/F15),"")</f>
        <v/>
      </c>
      <c r="G42" s="8">
        <f>IFERROR(IF(H15="","",H15/G15),"")</f>
        <v/>
      </c>
      <c r="H42" s="8">
        <f>IFERROR(IF(I15="","",I15/H15),"")</f>
        <v/>
      </c>
      <c r="I42" s="8">
        <f>IFERROR(IF(J15="","",J15/I15),"")</f>
        <v/>
      </c>
      <c r="J42" s="8">
        <f>IFERROR(IF(K15="","",K15/J15),"")</f>
        <v/>
      </c>
      <c r="K42" s="8">
        <f>IFERROR(IF(L15="","",L15/K15),"")</f>
        <v/>
      </c>
      <c r="L42" s="8">
        <f>IFERROR(IF(M15="","",M15/L15),"")</f>
        <v/>
      </c>
      <c r="M42" s="8">
        <f>IFERROR(IF(N15="","",N15/M15),"")</f>
        <v/>
      </c>
      <c r="N42" s="8">
        <f>IFERROR(IF(O15="","",O15/N15),"")</f>
        <v/>
      </c>
      <c r="O42" s="8">
        <f>IFERROR(IF(P15="","",P15/O15),"")</f>
        <v/>
      </c>
      <c r="P42" s="8">
        <f>IFERROR(IF(Q15="","",Q15/P15),"")</f>
        <v/>
      </c>
      <c r="Q42" s="8">
        <f>IFERROR(IF(R15="","",R15/Q15),"")</f>
        <v/>
      </c>
      <c r="R42" s="8">
        <f>IFERROR(IF(S15="","",S15/R15),"")</f>
        <v/>
      </c>
      <c r="S42" s="8">
        <f>IFERROR(IF(T15="","",T15/S15),"")</f>
        <v/>
      </c>
      <c r="T42" s="8">
        <f>IFERROR(IF(U15="","",U15/T15),"")</f>
        <v/>
      </c>
      <c r="U42" s="8">
        <f>IFERROR(IF(V15="","",V15/U15),"")</f>
        <v/>
      </c>
      <c r="V42" s="8">
        <f>IFERROR(IF(W15="","",W15/V15),"")</f>
        <v/>
      </c>
      <c r="W42" s="8">
        <f>IFERROR(IF(X15="","",X15/W15),"")</f>
        <v/>
      </c>
      <c r="X42" s="8">
        <f>IFERROR(IF(Y15="","",Y15/X15),"")</f>
        <v/>
      </c>
    </row>
    <row r="43">
      <c r="A43" s="6" t="inlineStr">
        <is>
          <t>2014</t>
        </is>
      </c>
      <c r="B43" s="8">
        <f>IFERROR(IF(C16="","",C16/B16),"")</f>
        <v/>
      </c>
      <c r="C43" s="8">
        <f>IFERROR(IF(D16="","",D16/C16),"")</f>
        <v/>
      </c>
      <c r="D43" s="8">
        <f>IFERROR(IF(E16="","",E16/D16),"")</f>
        <v/>
      </c>
      <c r="E43" s="8">
        <f>IFERROR(IF(F16="","",F16/E16),"")</f>
        <v/>
      </c>
      <c r="F43" s="8">
        <f>IFERROR(IF(G16="","",G16/F16),"")</f>
        <v/>
      </c>
      <c r="G43" s="8">
        <f>IFERROR(IF(H16="","",H16/G16),"")</f>
        <v/>
      </c>
      <c r="H43" s="8">
        <f>IFERROR(IF(I16="","",I16/H16),"")</f>
        <v/>
      </c>
      <c r="I43" s="8">
        <f>IFERROR(IF(J16="","",J16/I16),"")</f>
        <v/>
      </c>
      <c r="J43" s="8">
        <f>IFERROR(IF(K16="","",K16/J16),"")</f>
        <v/>
      </c>
      <c r="K43" s="8">
        <f>IFERROR(IF(L16="","",L16/K16),"")</f>
        <v/>
      </c>
      <c r="L43" s="8">
        <f>IFERROR(IF(M16="","",M16/L16),"")</f>
        <v/>
      </c>
      <c r="M43" s="8">
        <f>IFERROR(IF(N16="","",N16/M16),"")</f>
        <v/>
      </c>
      <c r="N43" s="8">
        <f>IFERROR(IF(O16="","",O16/N16),"")</f>
        <v/>
      </c>
      <c r="O43" s="8">
        <f>IFERROR(IF(P16="","",P16/O16),"")</f>
        <v/>
      </c>
      <c r="P43" s="8">
        <f>IFERROR(IF(Q16="","",Q16/P16),"")</f>
        <v/>
      </c>
      <c r="Q43" s="8">
        <f>IFERROR(IF(R16="","",R16/Q16),"")</f>
        <v/>
      </c>
      <c r="R43" s="8">
        <f>IFERROR(IF(S16="","",S16/R16),"")</f>
        <v/>
      </c>
      <c r="S43" s="8">
        <f>IFERROR(IF(T16="","",T16/S16),"")</f>
        <v/>
      </c>
      <c r="T43" s="8">
        <f>IFERROR(IF(U16="","",U16/T16),"")</f>
        <v/>
      </c>
      <c r="U43" s="8">
        <f>IFERROR(IF(V16="","",V16/U16),"")</f>
        <v/>
      </c>
      <c r="V43" s="8">
        <f>IFERROR(IF(W16="","",W16/V16),"")</f>
        <v/>
      </c>
      <c r="W43" s="8">
        <f>IFERROR(IF(X16="","",X16/W16),"")</f>
        <v/>
      </c>
      <c r="X43" s="8">
        <f>IFERROR(IF(Y16="","",Y16/X16),"")</f>
        <v/>
      </c>
    </row>
    <row r="44">
      <c r="A44" s="6" t="inlineStr">
        <is>
          <t>2015</t>
        </is>
      </c>
      <c r="B44" s="8">
        <f>IFERROR(IF(C17="","",C17/B17),"")</f>
        <v/>
      </c>
      <c r="C44" s="8">
        <f>IFERROR(IF(D17="","",D17/C17),"")</f>
        <v/>
      </c>
      <c r="D44" s="8">
        <f>IFERROR(IF(E17="","",E17/D17),"")</f>
        <v/>
      </c>
      <c r="E44" s="8">
        <f>IFERROR(IF(F17="","",F17/E17),"")</f>
        <v/>
      </c>
      <c r="F44" s="8">
        <f>IFERROR(IF(G17="","",G17/F17),"")</f>
        <v/>
      </c>
      <c r="G44" s="8">
        <f>IFERROR(IF(H17="","",H17/G17),"")</f>
        <v/>
      </c>
      <c r="H44" s="8">
        <f>IFERROR(IF(I17="","",I17/H17),"")</f>
        <v/>
      </c>
      <c r="I44" s="8">
        <f>IFERROR(IF(J17="","",J17/I17),"")</f>
        <v/>
      </c>
      <c r="J44" s="8">
        <f>IFERROR(IF(K17="","",K17/J17),"")</f>
        <v/>
      </c>
      <c r="K44" s="8">
        <f>IFERROR(IF(L17="","",L17/K17),"")</f>
        <v/>
      </c>
      <c r="L44" s="8">
        <f>IFERROR(IF(M17="","",M17/L17),"")</f>
        <v/>
      </c>
      <c r="M44" s="8">
        <f>IFERROR(IF(N17="","",N17/M17),"")</f>
        <v/>
      </c>
      <c r="N44" s="8">
        <f>IFERROR(IF(O17="","",O17/N17),"")</f>
        <v/>
      </c>
      <c r="O44" s="8">
        <f>IFERROR(IF(P17="","",P17/O17),"")</f>
        <v/>
      </c>
      <c r="P44" s="8">
        <f>IFERROR(IF(Q17="","",Q17/P17),"")</f>
        <v/>
      </c>
      <c r="Q44" s="8">
        <f>IFERROR(IF(R17="","",R17/Q17),"")</f>
        <v/>
      </c>
      <c r="R44" s="8">
        <f>IFERROR(IF(S17="","",S17/R17),"")</f>
        <v/>
      </c>
      <c r="S44" s="8">
        <f>IFERROR(IF(T17="","",T17/S17),"")</f>
        <v/>
      </c>
      <c r="T44" s="8">
        <f>IFERROR(IF(U17="","",U17/T17),"")</f>
        <v/>
      </c>
      <c r="U44" s="8">
        <f>IFERROR(IF(V17="","",V17/U17),"")</f>
        <v/>
      </c>
      <c r="V44" s="8">
        <f>IFERROR(IF(W17="","",W17/V17),"")</f>
        <v/>
      </c>
      <c r="W44" s="8">
        <f>IFERROR(IF(X17="","",X17/W17),"")</f>
        <v/>
      </c>
      <c r="X44" s="8">
        <f>IFERROR(IF(Y17="","",Y17/X17),"")</f>
        <v/>
      </c>
    </row>
    <row r="45">
      <c r="A45" s="6" t="inlineStr">
        <is>
          <t>2016</t>
        </is>
      </c>
      <c r="B45" s="8">
        <f>IFERROR(IF(C18="","",C18/B18),"")</f>
        <v/>
      </c>
      <c r="C45" s="8">
        <f>IFERROR(IF(D18="","",D18/C18),"")</f>
        <v/>
      </c>
      <c r="D45" s="8">
        <f>IFERROR(IF(E18="","",E18/D18),"")</f>
        <v/>
      </c>
      <c r="E45" s="8">
        <f>IFERROR(IF(F18="","",F18/E18),"")</f>
        <v/>
      </c>
      <c r="F45" s="8">
        <f>IFERROR(IF(G18="","",G18/F18),"")</f>
        <v/>
      </c>
      <c r="G45" s="8">
        <f>IFERROR(IF(H18="","",H18/G18),"")</f>
        <v/>
      </c>
      <c r="H45" s="8">
        <f>IFERROR(IF(I18="","",I18/H18),"")</f>
        <v/>
      </c>
      <c r="I45" s="8">
        <f>IFERROR(IF(J18="","",J18/I18),"")</f>
        <v/>
      </c>
      <c r="J45" s="8">
        <f>IFERROR(IF(K18="","",K18/J18),"")</f>
        <v/>
      </c>
      <c r="K45" s="8">
        <f>IFERROR(IF(L18="","",L18/K18),"")</f>
        <v/>
      </c>
      <c r="L45" s="8">
        <f>IFERROR(IF(M18="","",M18/L18),"")</f>
        <v/>
      </c>
      <c r="M45" s="8">
        <f>IFERROR(IF(N18="","",N18/M18),"")</f>
        <v/>
      </c>
      <c r="N45" s="8">
        <f>IFERROR(IF(O18="","",O18/N18),"")</f>
        <v/>
      </c>
      <c r="O45" s="8">
        <f>IFERROR(IF(P18="","",P18/O18),"")</f>
        <v/>
      </c>
      <c r="P45" s="8">
        <f>IFERROR(IF(Q18="","",Q18/P18),"")</f>
        <v/>
      </c>
      <c r="Q45" s="8">
        <f>IFERROR(IF(R18="","",R18/Q18),"")</f>
        <v/>
      </c>
      <c r="R45" s="8">
        <f>IFERROR(IF(S18="","",S18/R18),"")</f>
        <v/>
      </c>
      <c r="S45" s="8">
        <f>IFERROR(IF(T18="","",T18/S18),"")</f>
        <v/>
      </c>
      <c r="T45" s="8">
        <f>IFERROR(IF(U18="","",U18/T18),"")</f>
        <v/>
      </c>
      <c r="U45" s="8">
        <f>IFERROR(IF(V18="","",V18/U18),"")</f>
        <v/>
      </c>
      <c r="V45" s="8">
        <f>IFERROR(IF(W18="","",W18/V18),"")</f>
        <v/>
      </c>
      <c r="W45" s="8">
        <f>IFERROR(IF(X18="","",X18/W18),"")</f>
        <v/>
      </c>
      <c r="X45" s="8">
        <f>IFERROR(IF(Y18="","",Y18/X18),"")</f>
        <v/>
      </c>
    </row>
    <row r="46">
      <c r="A46" s="6" t="inlineStr">
        <is>
          <t>2017</t>
        </is>
      </c>
      <c r="B46" s="8">
        <f>IFERROR(IF(C19="","",C19/B19),"")</f>
        <v/>
      </c>
      <c r="C46" s="8">
        <f>IFERROR(IF(D19="","",D19/C19),"")</f>
        <v/>
      </c>
      <c r="D46" s="8">
        <f>IFERROR(IF(E19="","",E19/D19),"")</f>
        <v/>
      </c>
      <c r="E46" s="8">
        <f>IFERROR(IF(F19="","",F19/E19),"")</f>
        <v/>
      </c>
      <c r="F46" s="8">
        <f>IFERROR(IF(G19="","",G19/F19),"")</f>
        <v/>
      </c>
      <c r="G46" s="8">
        <f>IFERROR(IF(H19="","",H19/G19),"")</f>
        <v/>
      </c>
      <c r="H46" s="8">
        <f>IFERROR(IF(I19="","",I19/H19),"")</f>
        <v/>
      </c>
      <c r="I46" s="8">
        <f>IFERROR(IF(J19="","",J19/I19),"")</f>
        <v/>
      </c>
      <c r="J46" s="8">
        <f>IFERROR(IF(K19="","",K19/J19),"")</f>
        <v/>
      </c>
      <c r="K46" s="8">
        <f>IFERROR(IF(L19="","",L19/K19),"")</f>
        <v/>
      </c>
      <c r="L46" s="8">
        <f>IFERROR(IF(M19="","",M19/L19),"")</f>
        <v/>
      </c>
      <c r="M46" s="8">
        <f>IFERROR(IF(N19="","",N19/M19),"")</f>
        <v/>
      </c>
      <c r="N46" s="8">
        <f>IFERROR(IF(O19="","",O19/N19),"")</f>
        <v/>
      </c>
      <c r="O46" s="8">
        <f>IFERROR(IF(P19="","",P19/O19),"")</f>
        <v/>
      </c>
      <c r="P46" s="8">
        <f>IFERROR(IF(Q19="","",Q19/P19),"")</f>
        <v/>
      </c>
      <c r="Q46" s="8">
        <f>IFERROR(IF(R19="","",R19/Q19),"")</f>
        <v/>
      </c>
      <c r="R46" s="8">
        <f>IFERROR(IF(S19="","",S19/R19),"")</f>
        <v/>
      </c>
      <c r="S46" s="8">
        <f>IFERROR(IF(T19="","",T19/S19),"")</f>
        <v/>
      </c>
      <c r="T46" s="8">
        <f>IFERROR(IF(U19="","",U19/T19),"")</f>
        <v/>
      </c>
      <c r="U46" s="8">
        <f>IFERROR(IF(V19="","",V19/U19),"")</f>
        <v/>
      </c>
      <c r="V46" s="8">
        <f>IFERROR(IF(W19="","",W19/V19),"")</f>
        <v/>
      </c>
      <c r="W46" s="8">
        <f>IFERROR(IF(X19="","",X19/W19),"")</f>
        <v/>
      </c>
      <c r="X46" s="8">
        <f>IFERROR(IF(Y19="","",Y19/X19),"")</f>
        <v/>
      </c>
    </row>
    <row r="47">
      <c r="A47" s="6" t="inlineStr">
        <is>
          <t>2018</t>
        </is>
      </c>
      <c r="B47" s="8">
        <f>IFERROR(IF(C20="","",C20/B20),"")</f>
        <v/>
      </c>
      <c r="C47" s="8">
        <f>IFERROR(IF(D20="","",D20/C20),"")</f>
        <v/>
      </c>
      <c r="D47" s="8">
        <f>IFERROR(IF(E20="","",E20/D20),"")</f>
        <v/>
      </c>
      <c r="E47" s="8">
        <f>IFERROR(IF(F20="","",F20/E20),"")</f>
        <v/>
      </c>
      <c r="F47" s="8">
        <f>IFERROR(IF(G20="","",G20/F20),"")</f>
        <v/>
      </c>
      <c r="G47" s="8">
        <f>IFERROR(IF(H20="","",H20/G20),"")</f>
        <v/>
      </c>
      <c r="H47" s="8">
        <f>IFERROR(IF(I20="","",I20/H20),"")</f>
        <v/>
      </c>
      <c r="I47" s="8">
        <f>IFERROR(IF(J20="","",J20/I20),"")</f>
        <v/>
      </c>
      <c r="J47" s="8">
        <f>IFERROR(IF(K20="","",K20/J20),"")</f>
        <v/>
      </c>
      <c r="K47" s="8">
        <f>IFERROR(IF(L20="","",L20/K20),"")</f>
        <v/>
      </c>
      <c r="L47" s="8">
        <f>IFERROR(IF(M20="","",M20/L20),"")</f>
        <v/>
      </c>
      <c r="M47" s="8">
        <f>IFERROR(IF(N20="","",N20/M20),"")</f>
        <v/>
      </c>
      <c r="N47" s="8">
        <f>IFERROR(IF(O20="","",O20/N20),"")</f>
        <v/>
      </c>
      <c r="O47" s="8">
        <f>IFERROR(IF(P20="","",P20/O20),"")</f>
        <v/>
      </c>
      <c r="P47" s="8">
        <f>IFERROR(IF(Q20="","",Q20/P20),"")</f>
        <v/>
      </c>
      <c r="Q47" s="8">
        <f>IFERROR(IF(R20="","",R20/Q20),"")</f>
        <v/>
      </c>
      <c r="R47" s="8">
        <f>IFERROR(IF(S20="","",S20/R20),"")</f>
        <v/>
      </c>
      <c r="S47" s="8">
        <f>IFERROR(IF(T20="","",T20/S20),"")</f>
        <v/>
      </c>
      <c r="T47" s="8">
        <f>IFERROR(IF(U20="","",U20/T20),"")</f>
        <v/>
      </c>
      <c r="U47" s="8">
        <f>IFERROR(IF(V20="","",V20/U20),"")</f>
        <v/>
      </c>
      <c r="V47" s="8">
        <f>IFERROR(IF(W20="","",W20/V20),"")</f>
        <v/>
      </c>
      <c r="W47" s="8">
        <f>IFERROR(IF(X20="","",X20/W20),"")</f>
        <v/>
      </c>
      <c r="X47" s="8">
        <f>IFERROR(IF(Y20="","",Y20/X20),"")</f>
        <v/>
      </c>
    </row>
    <row r="48">
      <c r="A48" s="6" t="inlineStr">
        <is>
          <t>2019</t>
        </is>
      </c>
      <c r="B48" s="8">
        <f>IFERROR(IF(C21="","",C21/B21),"")</f>
        <v/>
      </c>
      <c r="C48" s="8">
        <f>IFERROR(IF(D21="","",D21/C21),"")</f>
        <v/>
      </c>
      <c r="D48" s="8">
        <f>IFERROR(IF(E21="","",E21/D21),"")</f>
        <v/>
      </c>
      <c r="E48" s="8">
        <f>IFERROR(IF(F21="","",F21/E21),"")</f>
        <v/>
      </c>
      <c r="F48" s="8">
        <f>IFERROR(IF(G21="","",G21/F21),"")</f>
        <v/>
      </c>
      <c r="G48" s="8">
        <f>IFERROR(IF(H21="","",H21/G21),"")</f>
        <v/>
      </c>
      <c r="H48" s="8">
        <f>IFERROR(IF(I21="","",I21/H21),"")</f>
        <v/>
      </c>
      <c r="I48" s="8">
        <f>IFERROR(IF(J21="","",J21/I21),"")</f>
        <v/>
      </c>
      <c r="J48" s="8">
        <f>IFERROR(IF(K21="","",K21/J21),"")</f>
        <v/>
      </c>
      <c r="K48" s="8">
        <f>IFERROR(IF(L21="","",L21/K21),"")</f>
        <v/>
      </c>
      <c r="L48" s="8">
        <f>IFERROR(IF(M21="","",M21/L21),"")</f>
        <v/>
      </c>
      <c r="M48" s="8">
        <f>IFERROR(IF(N21="","",N21/M21),"")</f>
        <v/>
      </c>
      <c r="N48" s="8">
        <f>IFERROR(IF(O21="","",O21/N21),"")</f>
        <v/>
      </c>
      <c r="O48" s="8">
        <f>IFERROR(IF(P21="","",P21/O21),"")</f>
        <v/>
      </c>
      <c r="P48" s="8">
        <f>IFERROR(IF(Q21="","",Q21/P21),"")</f>
        <v/>
      </c>
      <c r="Q48" s="8">
        <f>IFERROR(IF(R21="","",R21/Q21),"")</f>
        <v/>
      </c>
      <c r="R48" s="8">
        <f>IFERROR(IF(S21="","",S21/R21),"")</f>
        <v/>
      </c>
      <c r="S48" s="8">
        <f>IFERROR(IF(T21="","",T21/S21),"")</f>
        <v/>
      </c>
      <c r="T48" s="8">
        <f>IFERROR(IF(U21="","",U21/T21),"")</f>
        <v/>
      </c>
      <c r="U48" s="8">
        <f>IFERROR(IF(V21="","",V21/U21),"")</f>
        <v/>
      </c>
      <c r="V48" s="8">
        <f>IFERROR(IF(W21="","",W21/V21),"")</f>
        <v/>
      </c>
      <c r="W48" s="8">
        <f>IFERROR(IF(X21="","",X21/W21),"")</f>
        <v/>
      </c>
      <c r="X48" s="8">
        <f>IFERROR(IF(Y21="","",Y21/X21),"")</f>
        <v/>
      </c>
    </row>
    <row r="49">
      <c r="A49" s="6" t="inlineStr">
        <is>
          <t>2020</t>
        </is>
      </c>
      <c r="B49" s="8">
        <f>IFERROR(IF(C22="","",C22/B22),"")</f>
        <v/>
      </c>
      <c r="C49" s="8">
        <f>IFERROR(IF(D22="","",D22/C22),"")</f>
        <v/>
      </c>
      <c r="D49" s="8">
        <f>IFERROR(IF(E22="","",E22/D22),"")</f>
        <v/>
      </c>
      <c r="E49" s="8">
        <f>IFERROR(IF(F22="","",F22/E22),"")</f>
        <v/>
      </c>
      <c r="F49" s="8">
        <f>IFERROR(IF(G22="","",G22/F22),"")</f>
        <v/>
      </c>
      <c r="G49" s="8">
        <f>IFERROR(IF(H22="","",H22/G22),"")</f>
        <v/>
      </c>
      <c r="H49" s="8">
        <f>IFERROR(IF(I22="","",I22/H22),"")</f>
        <v/>
      </c>
      <c r="I49" s="8">
        <f>IFERROR(IF(J22="","",J22/I22),"")</f>
        <v/>
      </c>
      <c r="J49" s="8">
        <f>IFERROR(IF(K22="","",K22/J22),"")</f>
        <v/>
      </c>
      <c r="K49" s="8">
        <f>IFERROR(IF(L22="","",L22/K22),"")</f>
        <v/>
      </c>
      <c r="L49" s="8">
        <f>IFERROR(IF(M22="","",M22/L22),"")</f>
        <v/>
      </c>
      <c r="M49" s="8">
        <f>IFERROR(IF(N22="","",N22/M22),"")</f>
        <v/>
      </c>
      <c r="N49" s="8">
        <f>IFERROR(IF(O22="","",O22/N22),"")</f>
        <v/>
      </c>
      <c r="O49" s="8">
        <f>IFERROR(IF(P22="","",P22/O22),"")</f>
        <v/>
      </c>
      <c r="P49" s="8">
        <f>IFERROR(IF(Q22="","",Q22/P22),"")</f>
        <v/>
      </c>
      <c r="Q49" s="8">
        <f>IFERROR(IF(R22="","",R22/Q22),"")</f>
        <v/>
      </c>
      <c r="R49" s="8">
        <f>IFERROR(IF(S22="","",S22/R22),"")</f>
        <v/>
      </c>
      <c r="S49" s="8">
        <f>IFERROR(IF(T22="","",T22/S22),"")</f>
        <v/>
      </c>
      <c r="T49" s="8">
        <f>IFERROR(IF(U22="","",U22/T22),"")</f>
        <v/>
      </c>
      <c r="U49" s="8">
        <f>IFERROR(IF(V22="","",V22/U22),"")</f>
        <v/>
      </c>
      <c r="V49" s="8">
        <f>IFERROR(IF(W22="","",W22/V22),"")</f>
        <v/>
      </c>
      <c r="W49" s="8">
        <f>IFERROR(IF(X22="","",X22/W22),"")</f>
        <v/>
      </c>
      <c r="X49" s="8">
        <f>IFERROR(IF(Y22="","",Y22/X22),"")</f>
        <v/>
      </c>
    </row>
    <row r="50">
      <c r="A50" s="6" t="inlineStr">
        <is>
          <t>2021</t>
        </is>
      </c>
      <c r="B50" s="8">
        <f>IFERROR(IF(C23="","",C23/B23),"")</f>
        <v/>
      </c>
      <c r="C50" s="8">
        <f>IFERROR(IF(D23="","",D23/C23),"")</f>
        <v/>
      </c>
      <c r="D50" s="8">
        <f>IFERROR(IF(E23="","",E23/D23),"")</f>
        <v/>
      </c>
      <c r="E50" s="8">
        <f>IFERROR(IF(F23="","",F23/E23),"")</f>
        <v/>
      </c>
      <c r="F50" s="8">
        <f>IFERROR(IF(G23="","",G23/F23),"")</f>
        <v/>
      </c>
      <c r="G50" s="8">
        <f>IFERROR(IF(H23="","",H23/G23),"")</f>
        <v/>
      </c>
      <c r="H50" s="8">
        <f>IFERROR(IF(I23="","",I23/H23),"")</f>
        <v/>
      </c>
      <c r="I50" s="8">
        <f>IFERROR(IF(J23="","",J23/I23),"")</f>
        <v/>
      </c>
      <c r="J50" s="8">
        <f>IFERROR(IF(K23="","",K23/J23),"")</f>
        <v/>
      </c>
      <c r="K50" s="8">
        <f>IFERROR(IF(L23="","",L23/K23),"")</f>
        <v/>
      </c>
      <c r="L50" s="8">
        <f>IFERROR(IF(M23="","",M23/L23),"")</f>
        <v/>
      </c>
      <c r="M50" s="8">
        <f>IFERROR(IF(N23="","",N23/M23),"")</f>
        <v/>
      </c>
      <c r="N50" s="8">
        <f>IFERROR(IF(O23="","",O23/N23),"")</f>
        <v/>
      </c>
      <c r="O50" s="8">
        <f>IFERROR(IF(P23="","",P23/O23),"")</f>
        <v/>
      </c>
      <c r="P50" s="8">
        <f>IFERROR(IF(Q23="","",Q23/P23),"")</f>
        <v/>
      </c>
      <c r="Q50" s="8">
        <f>IFERROR(IF(R23="","",R23/Q23),"")</f>
        <v/>
      </c>
      <c r="R50" s="8">
        <f>IFERROR(IF(S23="","",S23/R23),"")</f>
        <v/>
      </c>
      <c r="S50" s="8">
        <f>IFERROR(IF(T23="","",T23/S23),"")</f>
        <v/>
      </c>
      <c r="T50" s="8">
        <f>IFERROR(IF(U23="","",U23/T23),"")</f>
        <v/>
      </c>
      <c r="U50" s="8">
        <f>IFERROR(IF(V23="","",V23/U23),"")</f>
        <v/>
      </c>
      <c r="V50" s="8">
        <f>IFERROR(IF(W23="","",W23/V23),"")</f>
        <v/>
      </c>
      <c r="W50" s="8">
        <f>IFERROR(IF(X23="","",X23/W23),"")</f>
        <v/>
      </c>
      <c r="X50" s="8">
        <f>IFERROR(IF(Y23="","",Y23/X23),"")</f>
        <v/>
      </c>
    </row>
    <row r="51">
      <c r="A51" s="6" t="inlineStr">
        <is>
          <t>2022</t>
        </is>
      </c>
      <c r="B51" s="8">
        <f>IFERROR(IF(C24="","",C24/B24),"")</f>
        <v/>
      </c>
      <c r="C51" s="8">
        <f>IFERROR(IF(D24="","",D24/C24),"")</f>
        <v/>
      </c>
      <c r="D51" s="8">
        <f>IFERROR(IF(E24="","",E24/D24),"")</f>
        <v/>
      </c>
      <c r="E51" s="8">
        <f>IFERROR(IF(F24="","",F24/E24),"")</f>
        <v/>
      </c>
      <c r="F51" s="8">
        <f>IFERROR(IF(G24="","",G24/F24),"")</f>
        <v/>
      </c>
      <c r="G51" s="8">
        <f>IFERROR(IF(H24="","",H24/G24),"")</f>
        <v/>
      </c>
      <c r="H51" s="8">
        <f>IFERROR(IF(I24="","",I24/H24),"")</f>
        <v/>
      </c>
      <c r="I51" s="8">
        <f>IFERROR(IF(J24="","",J24/I24),"")</f>
        <v/>
      </c>
      <c r="J51" s="8">
        <f>IFERROR(IF(K24="","",K24/J24),"")</f>
        <v/>
      </c>
      <c r="K51" s="8">
        <f>IFERROR(IF(L24="","",L24/K24),"")</f>
        <v/>
      </c>
      <c r="L51" s="8">
        <f>IFERROR(IF(M24="","",M24/L24),"")</f>
        <v/>
      </c>
      <c r="M51" s="8">
        <f>IFERROR(IF(N24="","",N24/M24),"")</f>
        <v/>
      </c>
      <c r="N51" s="8">
        <f>IFERROR(IF(O24="","",O24/N24),"")</f>
        <v/>
      </c>
      <c r="O51" s="8">
        <f>IFERROR(IF(P24="","",P24/O24),"")</f>
        <v/>
      </c>
      <c r="P51" s="8">
        <f>IFERROR(IF(Q24="","",Q24/P24),"")</f>
        <v/>
      </c>
      <c r="Q51" s="8">
        <f>IFERROR(IF(R24="","",R24/Q24),"")</f>
        <v/>
      </c>
      <c r="R51" s="8">
        <f>IFERROR(IF(S24="","",S24/R24),"")</f>
        <v/>
      </c>
      <c r="S51" s="8">
        <f>IFERROR(IF(T24="","",T24/S24),"")</f>
        <v/>
      </c>
      <c r="T51" s="8">
        <f>IFERROR(IF(U24="","",U24/T24),"")</f>
        <v/>
      </c>
      <c r="U51" s="8">
        <f>IFERROR(IF(V24="","",V24/U24),"")</f>
        <v/>
      </c>
      <c r="V51" s="8">
        <f>IFERROR(IF(W24="","",W24/V24),"")</f>
        <v/>
      </c>
      <c r="W51" s="8">
        <f>IFERROR(IF(X24="","",X24/W24),"")</f>
        <v/>
      </c>
      <c r="X51" s="8">
        <f>IFERROR(IF(Y24="","",Y24/X24),"")</f>
        <v/>
      </c>
    </row>
    <row r="52">
      <c r="A52" s="6" t="inlineStr">
        <is>
          <t>2023</t>
        </is>
      </c>
      <c r="B52" s="8">
        <f>IFERROR(IF(C25="","",C25/B25),"")</f>
        <v/>
      </c>
      <c r="C52" s="8">
        <f>IFERROR(IF(D25="","",D25/C25),"")</f>
        <v/>
      </c>
      <c r="D52" s="8">
        <f>IFERROR(IF(E25="","",E25/D25),"")</f>
        <v/>
      </c>
      <c r="E52" s="8">
        <f>IFERROR(IF(F25="","",F25/E25),"")</f>
        <v/>
      </c>
      <c r="F52" s="8">
        <f>IFERROR(IF(G25="","",G25/F25),"")</f>
        <v/>
      </c>
      <c r="G52" s="8">
        <f>IFERROR(IF(H25="","",H25/G25),"")</f>
        <v/>
      </c>
      <c r="H52" s="8">
        <f>IFERROR(IF(I25="","",I25/H25),"")</f>
        <v/>
      </c>
      <c r="I52" s="8">
        <f>IFERROR(IF(J25="","",J25/I25),"")</f>
        <v/>
      </c>
      <c r="J52" s="8">
        <f>IFERROR(IF(K25="","",K25/J25),"")</f>
        <v/>
      </c>
      <c r="K52" s="8">
        <f>IFERROR(IF(L25="","",L25/K25),"")</f>
        <v/>
      </c>
      <c r="L52" s="8">
        <f>IFERROR(IF(M25="","",M25/L25),"")</f>
        <v/>
      </c>
      <c r="M52" s="8">
        <f>IFERROR(IF(N25="","",N25/M25),"")</f>
        <v/>
      </c>
      <c r="N52" s="8">
        <f>IFERROR(IF(O25="","",O25/N25),"")</f>
        <v/>
      </c>
      <c r="O52" s="8">
        <f>IFERROR(IF(P25="","",P25/O25),"")</f>
        <v/>
      </c>
      <c r="P52" s="8">
        <f>IFERROR(IF(Q25="","",Q25/P25),"")</f>
        <v/>
      </c>
      <c r="Q52" s="8">
        <f>IFERROR(IF(R25="","",R25/Q25),"")</f>
        <v/>
      </c>
      <c r="R52" s="8">
        <f>IFERROR(IF(S25="","",S25/R25),"")</f>
        <v/>
      </c>
      <c r="S52" s="8">
        <f>IFERROR(IF(T25="","",T25/S25),"")</f>
        <v/>
      </c>
      <c r="T52" s="8">
        <f>IFERROR(IF(U25="","",U25/T25),"")</f>
        <v/>
      </c>
      <c r="U52" s="8">
        <f>IFERROR(IF(V25="","",V25/U25),"")</f>
        <v/>
      </c>
      <c r="V52" s="8">
        <f>IFERROR(IF(W25="","",W25/V25),"")</f>
        <v/>
      </c>
      <c r="W52" s="8">
        <f>IFERROR(IF(X25="","",X25/W25),"")</f>
        <v/>
      </c>
      <c r="X52" s="8">
        <f>IFERROR(IF(Y25="","",Y25/X25),"")</f>
        <v/>
      </c>
    </row>
    <row r="53">
      <c r="A53" s="6" t="inlineStr">
        <is>
          <t>2024</t>
        </is>
      </c>
      <c r="B53" s="8">
        <f>IFERROR(IF(C26="","",C26/B26),"")</f>
        <v/>
      </c>
      <c r="C53" s="8">
        <f>IFERROR(IF(D26="","",D26/C26),"")</f>
        <v/>
      </c>
      <c r="D53" s="8">
        <f>IFERROR(IF(E26="","",E26/D26),"")</f>
        <v/>
      </c>
      <c r="E53" s="8">
        <f>IFERROR(IF(F26="","",F26/E26),"")</f>
        <v/>
      </c>
      <c r="F53" s="8">
        <f>IFERROR(IF(G26="","",G26/F26),"")</f>
        <v/>
      </c>
      <c r="G53" s="8">
        <f>IFERROR(IF(H26="","",H26/G26),"")</f>
        <v/>
      </c>
      <c r="H53" s="8">
        <f>IFERROR(IF(I26="","",I26/H26),"")</f>
        <v/>
      </c>
      <c r="I53" s="8">
        <f>IFERROR(IF(J26="","",J26/I26),"")</f>
        <v/>
      </c>
      <c r="J53" s="8">
        <f>IFERROR(IF(K26="","",K26/J26),"")</f>
        <v/>
      </c>
      <c r="K53" s="8">
        <f>IFERROR(IF(L26="","",L26/K26),"")</f>
        <v/>
      </c>
      <c r="L53" s="8">
        <f>IFERROR(IF(M26="","",M26/L26),"")</f>
        <v/>
      </c>
      <c r="M53" s="8">
        <f>IFERROR(IF(N26="","",N26/M26),"")</f>
        <v/>
      </c>
      <c r="N53" s="8">
        <f>IFERROR(IF(O26="","",O26/N26),"")</f>
        <v/>
      </c>
      <c r="O53" s="8">
        <f>IFERROR(IF(P26="","",P26/O26),"")</f>
        <v/>
      </c>
      <c r="P53" s="8">
        <f>IFERROR(IF(Q26="","",Q26/P26),"")</f>
        <v/>
      </c>
      <c r="Q53" s="8">
        <f>IFERROR(IF(R26="","",R26/Q26),"")</f>
        <v/>
      </c>
      <c r="R53" s="8">
        <f>IFERROR(IF(S26="","",S26/R26),"")</f>
        <v/>
      </c>
      <c r="S53" s="8">
        <f>IFERROR(IF(T26="","",T26/S26),"")</f>
        <v/>
      </c>
      <c r="T53" s="8">
        <f>IFERROR(IF(U26="","",U26/T26),"")</f>
        <v/>
      </c>
      <c r="U53" s="8">
        <f>IFERROR(IF(V26="","",V26/U26),"")</f>
        <v/>
      </c>
      <c r="V53" s="8">
        <f>IFERROR(IF(W26="","",W26/V26),"")</f>
        <v/>
      </c>
      <c r="W53" s="8">
        <f>IFERROR(IF(X26="","",X26/W26),"")</f>
        <v/>
      </c>
      <c r="X53" s="8">
        <f>IFERROR(IF(Y26="","",Y26/X26),"")</f>
        <v/>
      </c>
    </row>
    <row r="55">
      <c r="A55" s="1" t="inlineStr">
        <is>
          <t>Averages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3" t="n"/>
    </row>
    <row r="56">
      <c r="A56" s="9" t="inlineStr">
        <is>
          <t>Metric</t>
        </is>
      </c>
      <c r="B56" s="5" t="inlineStr">
        <is>
          <t>11-23</t>
        </is>
      </c>
      <c r="C56" s="5" t="inlineStr">
        <is>
          <t>23-35</t>
        </is>
      </c>
      <c r="D56" s="5" t="inlineStr">
        <is>
          <t>35-47</t>
        </is>
      </c>
      <c r="E56" s="5" t="inlineStr">
        <is>
          <t>47-59</t>
        </is>
      </c>
      <c r="F56" s="5" t="inlineStr">
        <is>
          <t>59-71</t>
        </is>
      </c>
      <c r="G56" s="5" t="inlineStr">
        <is>
          <t>71-83</t>
        </is>
      </c>
      <c r="H56" s="5" t="inlineStr">
        <is>
          <t>83-95</t>
        </is>
      </c>
      <c r="I56" s="5" t="inlineStr">
        <is>
          <t>95-107</t>
        </is>
      </c>
      <c r="J56" s="5" t="inlineStr">
        <is>
          <t>107-119</t>
        </is>
      </c>
      <c r="K56" s="5" t="inlineStr">
        <is>
          <t>119-131</t>
        </is>
      </c>
      <c r="L56" s="5" t="inlineStr">
        <is>
          <t>131-143</t>
        </is>
      </c>
      <c r="M56" s="5" t="inlineStr">
        <is>
          <t>143-155</t>
        </is>
      </c>
      <c r="N56" s="5" t="inlineStr">
        <is>
          <t>155-167</t>
        </is>
      </c>
      <c r="O56" s="5" t="inlineStr">
        <is>
          <t>167-179</t>
        </is>
      </c>
      <c r="P56" s="5" t="inlineStr">
        <is>
          <t>179-191</t>
        </is>
      </c>
      <c r="Q56" s="5" t="inlineStr">
        <is>
          <t>191-203</t>
        </is>
      </c>
      <c r="R56" s="5" t="inlineStr">
        <is>
          <t>203-215</t>
        </is>
      </c>
      <c r="S56" s="5" t="inlineStr">
        <is>
          <t>215-227</t>
        </is>
      </c>
      <c r="T56" s="5" t="inlineStr">
        <is>
          <t>227-239</t>
        </is>
      </c>
      <c r="U56" s="5" t="inlineStr">
        <is>
          <t>239-251</t>
        </is>
      </c>
      <c r="V56" s="5" t="inlineStr">
        <is>
          <t>251-263</t>
        </is>
      </c>
      <c r="W56" s="5" t="inlineStr">
        <is>
          <t>263-275</t>
        </is>
      </c>
      <c r="X56" s="5" t="inlineStr">
        <is>
          <t>275-287</t>
        </is>
      </c>
      <c r="Y56" s="5" t="inlineStr">
        <is>
          <t>Tail</t>
        </is>
      </c>
    </row>
    <row r="57">
      <c r="A57" s="10" t="inlineStr">
        <is>
          <t>simple_all</t>
        </is>
      </c>
      <c r="B57" s="8">
        <f>IFERROR(AVERAGE(B30:B53),AVERAGE(B30:B53))</f>
        <v/>
      </c>
      <c r="C57" s="8">
        <f>IFERROR(AVERAGE(C30:C53),AVERAGE(C30:C53))</f>
        <v/>
      </c>
      <c r="D57" s="8">
        <f>IFERROR(AVERAGE(D30:D53),AVERAGE(D30:D53))</f>
        <v/>
      </c>
      <c r="E57" s="8">
        <f>IFERROR(AVERAGE(E30:E53),AVERAGE(E30:E53))</f>
        <v/>
      </c>
      <c r="F57" s="8">
        <f>IFERROR(AVERAGE(F30:F53),AVERAGE(F30:F53))</f>
        <v/>
      </c>
      <c r="G57" s="8">
        <f>IFERROR(AVERAGE(G30:G53),AVERAGE(G30:G53))</f>
        <v/>
      </c>
      <c r="H57" s="8">
        <f>IFERROR(AVERAGE(H30:H53),AVERAGE(H30:H53))</f>
        <v/>
      </c>
      <c r="I57" s="8">
        <f>IFERROR(AVERAGE(I30:I53),AVERAGE(I30:I53))</f>
        <v/>
      </c>
      <c r="J57" s="8">
        <f>IFERROR(AVERAGE(J30:J53),AVERAGE(J30:J53))</f>
        <v/>
      </c>
      <c r="K57" s="8">
        <f>IFERROR(AVERAGE(K30:K53),AVERAGE(K30:K53))</f>
        <v/>
      </c>
      <c r="L57" s="8">
        <f>IFERROR(AVERAGE(L30:L53),AVERAGE(L30:L53))</f>
        <v/>
      </c>
      <c r="M57" s="8">
        <f>IFERROR(AVERAGE(M30:M53),AVERAGE(M30:M53))</f>
        <v/>
      </c>
      <c r="N57" s="8">
        <f>IFERROR(AVERAGE(N30:N53),AVERAGE(N30:N53))</f>
        <v/>
      </c>
      <c r="O57" s="8">
        <f>IFERROR(AVERAGE(O30:O53),AVERAGE(O30:O53))</f>
        <v/>
      </c>
      <c r="P57" s="8">
        <f>IFERROR(AVERAGE(P30:P53),AVERAGE(P30:P53))</f>
        <v/>
      </c>
      <c r="Q57" s="8">
        <f>IFERROR(AVERAGE(Q30:Q53),AVERAGE(Q30:Q53))</f>
        <v/>
      </c>
      <c r="R57" s="8">
        <f>IFERROR(AVERAGE(R30:R53),AVERAGE(R30:R53))</f>
        <v/>
      </c>
      <c r="S57" s="8">
        <f>IFERROR(AVERAGE(S30:S53),AVERAGE(S30:S53))</f>
        <v/>
      </c>
      <c r="T57" s="8">
        <f>IFERROR(AVERAGE(T30:T53),AVERAGE(T30:T53))</f>
        <v/>
      </c>
      <c r="U57" s="8">
        <f>IFERROR(AVERAGE(U30:U53),AVERAGE(U30:U53))</f>
        <v/>
      </c>
      <c r="V57" s="8">
        <f>IFERROR(AVERAGE(V30:V53),AVERAGE(V30:V53))</f>
        <v/>
      </c>
      <c r="W57" s="8">
        <f>IFERROR(AVERAGE(W30:W53),AVERAGE(W30:W53))</f>
        <v/>
      </c>
      <c r="X57" s="8">
        <f>IFERROR(AVERAGE(X30:X53),AVERAGE(X30:X53))</f>
        <v/>
      </c>
      <c r="Y57" s="8" t="inlineStr"/>
    </row>
    <row r="58">
      <c r="A58" s="10" t="inlineStr">
        <is>
          <t>weighted_all</t>
        </is>
      </c>
      <c r="B58" s="8">
        <f>IFERROR(SUMPRODUCT(B30:B53,B3:B26)/SUMPRODUCT((B30:B53&lt;&gt;"")*B3:B26),SUMPRODUCT(B30:B53,B3:B26)/SUMPRODUCT((B30:B53&lt;&gt;"")*B3:B26))</f>
        <v/>
      </c>
      <c r="C58" s="8">
        <f>IFERROR(SUMPRODUCT(C30:C53,C3:C26)/SUMPRODUCT((C30:C53&lt;&gt;"")*C3:C26),SUMPRODUCT(C30:C53,C3:C26)/SUMPRODUCT((C30:C53&lt;&gt;"")*C3:C26))</f>
        <v/>
      </c>
      <c r="D58" s="8">
        <f>IFERROR(SUMPRODUCT(D30:D53,D3:D26)/SUMPRODUCT((D30:D53&lt;&gt;"")*D3:D26),SUMPRODUCT(D30:D53,D3:D26)/SUMPRODUCT((D30:D53&lt;&gt;"")*D3:D26))</f>
        <v/>
      </c>
      <c r="E58" s="8">
        <f>IFERROR(SUMPRODUCT(E30:E53,E3:E26)/SUMPRODUCT((E30:E53&lt;&gt;"")*E3:E26),SUMPRODUCT(E30:E53,E3:E26)/SUMPRODUCT((E30:E53&lt;&gt;"")*E3:E26))</f>
        <v/>
      </c>
      <c r="F58" s="8">
        <f>IFERROR(SUMPRODUCT(F30:F53,F3:F26)/SUMPRODUCT((F30:F53&lt;&gt;"")*F3:F26),SUMPRODUCT(F30:F53,F3:F26)/SUMPRODUCT((F30:F53&lt;&gt;"")*F3:F26))</f>
        <v/>
      </c>
      <c r="G58" s="8">
        <f>IFERROR(SUMPRODUCT(G30:G53,G3:G26)/SUMPRODUCT((G30:G53&lt;&gt;"")*G3:G26),SUMPRODUCT(G30:G53,G3:G26)/SUMPRODUCT((G30:G53&lt;&gt;"")*G3:G26))</f>
        <v/>
      </c>
      <c r="H58" s="8">
        <f>IFERROR(SUMPRODUCT(H30:H53,H3:H26)/SUMPRODUCT((H30:H53&lt;&gt;"")*H3:H26),SUMPRODUCT(H30:H53,H3:H26)/SUMPRODUCT((H30:H53&lt;&gt;"")*H3:H26))</f>
        <v/>
      </c>
      <c r="I58" s="8">
        <f>IFERROR(SUMPRODUCT(I30:I53,I3:I26)/SUMPRODUCT((I30:I53&lt;&gt;"")*I3:I26),SUMPRODUCT(I30:I53,I3:I26)/SUMPRODUCT((I30:I53&lt;&gt;"")*I3:I26))</f>
        <v/>
      </c>
      <c r="J58" s="8">
        <f>IFERROR(SUMPRODUCT(J30:J53,J3:J26)/SUMPRODUCT((J30:J53&lt;&gt;"")*J3:J26),SUMPRODUCT(J30:J53,J3:J26)/SUMPRODUCT((J30:J53&lt;&gt;"")*J3:J26))</f>
        <v/>
      </c>
      <c r="K58" s="8">
        <f>IFERROR(SUMPRODUCT(K30:K53,K3:K26)/SUMPRODUCT((K30:K53&lt;&gt;"")*K3:K26),SUMPRODUCT(K30:K53,K3:K26)/SUMPRODUCT((K30:K53&lt;&gt;"")*K3:K26))</f>
        <v/>
      </c>
      <c r="L58" s="8">
        <f>IFERROR(SUMPRODUCT(L30:L53,L3:L26)/SUMPRODUCT((L30:L53&lt;&gt;"")*L3:L26),SUMPRODUCT(L30:L53,L3:L26)/SUMPRODUCT((L30:L53&lt;&gt;"")*L3:L26))</f>
        <v/>
      </c>
      <c r="M58" s="8">
        <f>IFERROR(SUMPRODUCT(M30:M53,M3:M26)/SUMPRODUCT((M30:M53&lt;&gt;"")*M3:M26),SUMPRODUCT(M30:M53,M3:M26)/SUMPRODUCT((M30:M53&lt;&gt;"")*M3:M26))</f>
        <v/>
      </c>
      <c r="N58" s="8">
        <f>IFERROR(SUMPRODUCT(N30:N53,N3:N26)/SUMPRODUCT((N30:N53&lt;&gt;"")*N3:N26),SUMPRODUCT(N30:N53,N3:N26)/SUMPRODUCT((N30:N53&lt;&gt;"")*N3:N26))</f>
        <v/>
      </c>
      <c r="O58" s="8">
        <f>IFERROR(SUMPRODUCT(O30:O53,O3:O26)/SUMPRODUCT((O30:O53&lt;&gt;"")*O3:O26),SUMPRODUCT(O30:O53,O3:O26)/SUMPRODUCT((O30:O53&lt;&gt;"")*O3:O26))</f>
        <v/>
      </c>
      <c r="P58" s="8">
        <f>IFERROR(SUMPRODUCT(P30:P53,P3:P26)/SUMPRODUCT((P30:P53&lt;&gt;"")*P3:P26),SUMPRODUCT(P30:P53,P3:P26)/SUMPRODUCT((P30:P53&lt;&gt;"")*P3:P26))</f>
        <v/>
      </c>
      <c r="Q58" s="8">
        <f>IFERROR(SUMPRODUCT(Q30:Q53,Q3:Q26)/SUMPRODUCT((Q30:Q53&lt;&gt;"")*Q3:Q26),SUMPRODUCT(Q30:Q53,Q3:Q26)/SUMPRODUCT((Q30:Q53&lt;&gt;"")*Q3:Q26))</f>
        <v/>
      </c>
      <c r="R58" s="8">
        <f>IFERROR(SUMPRODUCT(R30:R53,R3:R26)/SUMPRODUCT((R30:R53&lt;&gt;"")*R3:R26),SUMPRODUCT(R30:R53,R3:R26)/SUMPRODUCT((R30:R53&lt;&gt;"")*R3:R26))</f>
        <v/>
      </c>
      <c r="S58" s="8">
        <f>IFERROR(SUMPRODUCT(S30:S53,S3:S26)/SUMPRODUCT((S30:S53&lt;&gt;"")*S3:S26),SUMPRODUCT(S30:S53,S3:S26)/SUMPRODUCT((S30:S53&lt;&gt;"")*S3:S26))</f>
        <v/>
      </c>
      <c r="T58" s="8">
        <f>IFERROR(SUMPRODUCT(T30:T53,T3:T26)/SUMPRODUCT((T30:T53&lt;&gt;"")*T3:T26),SUMPRODUCT(T30:T53,T3:T26)/SUMPRODUCT((T30:T53&lt;&gt;"")*T3:T26))</f>
        <v/>
      </c>
      <c r="U58" s="8">
        <f>IFERROR(SUMPRODUCT(U30:U53,U3:U26)/SUMPRODUCT((U30:U53&lt;&gt;"")*U3:U26),SUMPRODUCT(U30:U53,U3:U26)/SUMPRODUCT((U30:U53&lt;&gt;"")*U3:U26))</f>
        <v/>
      </c>
      <c r="V58" s="8">
        <f>IFERROR(SUMPRODUCT(V30:V53,V3:V26)/SUMPRODUCT((V30:V53&lt;&gt;"")*V3:V26),SUMPRODUCT(V30:V53,V3:V26)/SUMPRODUCT((V30:V53&lt;&gt;"")*V3:V26))</f>
        <v/>
      </c>
      <c r="W58" s="8">
        <f>IFERROR(SUMPRODUCT(W30:W53,W3:W26)/SUMPRODUCT((W30:W53&lt;&gt;"")*W3:W26),SUMPRODUCT(W30:W53,W3:W26)/SUMPRODUCT((W30:W53&lt;&gt;"")*W3:W26))</f>
        <v/>
      </c>
      <c r="X58" s="8">
        <f>IFERROR(SUMPRODUCT(X30:X53,X3:X26)/SUMPRODUCT((X30:X53&lt;&gt;"")*X3:X26),SUMPRODUCT(X30:X53,X3:X26)/SUMPRODUCT((X30:X53&lt;&gt;"")*X3:X26))</f>
        <v/>
      </c>
      <c r="Y58" s="8" t="inlineStr"/>
    </row>
    <row r="59">
      <c r="A59" s="10" t="inlineStr">
        <is>
          <t>exclude_high_low_all</t>
        </is>
      </c>
      <c r="B59" s="8">
        <f>IFERROR(TRIMMEAN(B30:B53,2/COUNT(B30:B53)),AVERAGE(B30:B53))</f>
        <v/>
      </c>
      <c r="C59" s="8">
        <f>IFERROR(TRIMMEAN(C30:C53,2/COUNT(C30:C53)),AVERAGE(C30:C53))</f>
        <v/>
      </c>
      <c r="D59" s="8">
        <f>IFERROR(TRIMMEAN(D30:D53,2/COUNT(D30:D53)),AVERAGE(D30:D53))</f>
        <v/>
      </c>
      <c r="E59" s="8">
        <f>IFERROR(TRIMMEAN(E30:E53,2/COUNT(E30:E53)),AVERAGE(E30:E53))</f>
        <v/>
      </c>
      <c r="F59" s="8">
        <f>IFERROR(TRIMMEAN(F30:F53,2/COUNT(F30:F53)),AVERAGE(F30:F53))</f>
        <v/>
      </c>
      <c r="G59" s="8">
        <f>IFERROR(TRIMMEAN(G30:G53,2/COUNT(G30:G53)),AVERAGE(G30:G53))</f>
        <v/>
      </c>
      <c r="H59" s="8">
        <f>IFERROR(TRIMMEAN(H30:H53,2/COUNT(H30:H53)),AVERAGE(H30:H53))</f>
        <v/>
      </c>
      <c r="I59" s="8">
        <f>IFERROR(TRIMMEAN(I30:I53,2/COUNT(I30:I53)),AVERAGE(I30:I53))</f>
        <v/>
      </c>
      <c r="J59" s="8">
        <f>IFERROR(TRIMMEAN(J30:J53,2/COUNT(J30:J53)),AVERAGE(J30:J53))</f>
        <v/>
      </c>
      <c r="K59" s="8">
        <f>IFERROR(TRIMMEAN(K30:K53,2/COUNT(K30:K53)),AVERAGE(K30:K53))</f>
        <v/>
      </c>
      <c r="L59" s="8">
        <f>IFERROR(TRIMMEAN(L30:L53,2/COUNT(L30:L53)),AVERAGE(L30:L53))</f>
        <v/>
      </c>
      <c r="M59" s="8">
        <f>IFERROR(TRIMMEAN(M30:M53,2/COUNT(M30:M53)),AVERAGE(M30:M53))</f>
        <v/>
      </c>
      <c r="N59" s="8">
        <f>IFERROR(TRIMMEAN(N30:N53,2/COUNT(N30:N53)),AVERAGE(N30:N53))</f>
        <v/>
      </c>
      <c r="O59" s="8">
        <f>IFERROR(TRIMMEAN(O30:O53,2/COUNT(O30:O53)),AVERAGE(O30:O53))</f>
        <v/>
      </c>
      <c r="P59" s="8">
        <f>IFERROR(TRIMMEAN(P30:P53,2/COUNT(P30:P53)),AVERAGE(P30:P53))</f>
        <v/>
      </c>
      <c r="Q59" s="8">
        <f>IFERROR(TRIMMEAN(Q30:Q53,2/COUNT(Q30:Q53)),AVERAGE(Q30:Q53))</f>
        <v/>
      </c>
      <c r="R59" s="8">
        <f>IFERROR(TRIMMEAN(R30:R53,2/COUNT(R30:R53)),AVERAGE(R30:R53))</f>
        <v/>
      </c>
      <c r="S59" s="8">
        <f>IFERROR(TRIMMEAN(S30:S53,2/COUNT(S30:S53)),AVERAGE(S30:S53))</f>
        <v/>
      </c>
      <c r="T59" s="8">
        <f>IFERROR(TRIMMEAN(T30:T53,2/COUNT(T30:T53)),AVERAGE(T30:T53))</f>
        <v/>
      </c>
      <c r="U59" s="8">
        <f>IFERROR(TRIMMEAN(U30:U53,2/COUNT(U30:U53)),AVERAGE(U30:U53))</f>
        <v/>
      </c>
      <c r="V59" s="8">
        <f>IFERROR(TRIMMEAN(V30:V53,2/COUNT(V30:V53)),AVERAGE(V30:V53))</f>
        <v/>
      </c>
      <c r="W59" s="8">
        <f>IFERROR(TRIMMEAN(W30:W53,2/COUNT(W30:W53)),AVERAGE(W30:W53))</f>
        <v/>
      </c>
      <c r="X59" s="8">
        <f>IFERROR(TRIMMEAN(X30:X53,2/COUNT(X30:X53)),AVERAGE(X30:X53))</f>
        <v/>
      </c>
      <c r="Y59" s="8" t="inlineStr"/>
    </row>
    <row r="60">
      <c r="A60" s="10" t="inlineStr">
        <is>
          <t>simple_3yr</t>
        </is>
      </c>
      <c r="B60" s="8">
        <f>IFERROR(AVERAGE(B51:B53),AVERAGE(B30:B53))</f>
        <v/>
      </c>
      <c r="C60" s="8">
        <f>IFERROR(AVERAGE(C51:C53),AVERAGE(C30:C53))</f>
        <v/>
      </c>
      <c r="D60" s="8">
        <f>IFERROR(AVERAGE(D51:D53),AVERAGE(D30:D53))</f>
        <v/>
      </c>
      <c r="E60" s="8">
        <f>IFERROR(AVERAGE(E51:E53),AVERAGE(E30:E53))</f>
        <v/>
      </c>
      <c r="F60" s="8">
        <f>IFERROR(AVERAGE(F51:F53),AVERAGE(F30:F53))</f>
        <v/>
      </c>
      <c r="G60" s="8">
        <f>IFERROR(AVERAGE(G51:G53),AVERAGE(G30:G53))</f>
        <v/>
      </c>
      <c r="H60" s="8">
        <f>IFERROR(AVERAGE(H51:H53),AVERAGE(H30:H53))</f>
        <v/>
      </c>
      <c r="I60" s="8">
        <f>IFERROR(AVERAGE(I51:I53),AVERAGE(I30:I53))</f>
        <v/>
      </c>
      <c r="J60" s="8">
        <f>IFERROR(AVERAGE(J51:J53),AVERAGE(J30:J53))</f>
        <v/>
      </c>
      <c r="K60" s="8">
        <f>IFERROR(AVERAGE(K51:K53),AVERAGE(K30:K53))</f>
        <v/>
      </c>
      <c r="L60" s="8">
        <f>IFERROR(AVERAGE(L51:L53),AVERAGE(L30:L53))</f>
        <v/>
      </c>
      <c r="M60" s="8">
        <f>IFERROR(AVERAGE(M51:M53),AVERAGE(M30:M53))</f>
        <v/>
      </c>
      <c r="N60" s="8">
        <f>IFERROR(AVERAGE(N51:N53),AVERAGE(N30:N53))</f>
        <v/>
      </c>
      <c r="O60" s="8">
        <f>IFERROR(AVERAGE(O51:O53),AVERAGE(O30:O53))</f>
        <v/>
      </c>
      <c r="P60" s="8">
        <f>IFERROR(AVERAGE(P51:P53),AVERAGE(P30:P53))</f>
        <v/>
      </c>
      <c r="Q60" s="8">
        <f>IFERROR(AVERAGE(Q51:Q53),AVERAGE(Q30:Q53))</f>
        <v/>
      </c>
      <c r="R60" s="8">
        <f>IFERROR(AVERAGE(R51:R53),AVERAGE(R30:R53))</f>
        <v/>
      </c>
      <c r="S60" s="8">
        <f>IFERROR(AVERAGE(S51:S53),AVERAGE(S30:S53))</f>
        <v/>
      </c>
      <c r="T60" s="8">
        <f>IFERROR(AVERAGE(T51:T53),AVERAGE(T30:T53))</f>
        <v/>
      </c>
      <c r="U60" s="8">
        <f>IFERROR(AVERAGE(U51:U53),AVERAGE(U30:U53))</f>
        <v/>
      </c>
      <c r="V60" s="8">
        <f>IFERROR(AVERAGE(V51:V53),AVERAGE(V30:V53))</f>
        <v/>
      </c>
      <c r="W60" s="8">
        <f>IFERROR(AVERAGE(W51:W53),AVERAGE(W30:W53))</f>
        <v/>
      </c>
      <c r="X60" s="8">
        <f>IFERROR(AVERAGE(X51:X53),AVERAGE(X30:X53))</f>
        <v/>
      </c>
      <c r="Y60" s="8" t="inlineStr"/>
    </row>
    <row r="61">
      <c r="A61" s="10" t="inlineStr">
        <is>
          <t>weighted_3yr</t>
        </is>
      </c>
      <c r="B61" s="8">
        <f>IFERROR(SUMPRODUCT(B51:B53,B24:B26)/SUMPRODUCT((B51:B53&lt;&gt;"")*B24:B26),SUMPRODUCT(B30:B53,B3:B26)/SUMPRODUCT((B30:B53&lt;&gt;"")*B3:B26))</f>
        <v/>
      </c>
      <c r="C61" s="8">
        <f>IFERROR(SUMPRODUCT(C51:C53,C24:C26)/SUMPRODUCT((C51:C53&lt;&gt;"")*C24:C26),SUMPRODUCT(C30:C53,C3:C26)/SUMPRODUCT((C30:C53&lt;&gt;"")*C3:C26))</f>
        <v/>
      </c>
      <c r="D61" s="8">
        <f>IFERROR(SUMPRODUCT(D51:D53,D24:D26)/SUMPRODUCT((D51:D53&lt;&gt;"")*D24:D26),SUMPRODUCT(D30:D53,D3:D26)/SUMPRODUCT((D30:D53&lt;&gt;"")*D3:D26))</f>
        <v/>
      </c>
      <c r="E61" s="8">
        <f>IFERROR(SUMPRODUCT(E51:E53,E24:E26)/SUMPRODUCT((E51:E53&lt;&gt;"")*E24:E26),SUMPRODUCT(E30:E53,E3:E26)/SUMPRODUCT((E30:E53&lt;&gt;"")*E3:E26))</f>
        <v/>
      </c>
      <c r="F61" s="8">
        <f>IFERROR(SUMPRODUCT(F51:F53,F24:F26)/SUMPRODUCT((F51:F53&lt;&gt;"")*F24:F26),SUMPRODUCT(F30:F53,F3:F26)/SUMPRODUCT((F30:F53&lt;&gt;"")*F3:F26))</f>
        <v/>
      </c>
      <c r="G61" s="8">
        <f>IFERROR(SUMPRODUCT(G51:G53,G24:G26)/SUMPRODUCT((G51:G53&lt;&gt;"")*G24:G26),SUMPRODUCT(G30:G53,G3:G26)/SUMPRODUCT((G30:G53&lt;&gt;"")*G3:G26))</f>
        <v/>
      </c>
      <c r="H61" s="8">
        <f>IFERROR(SUMPRODUCT(H51:H53,H24:H26)/SUMPRODUCT((H51:H53&lt;&gt;"")*H24:H26),SUMPRODUCT(H30:H53,H3:H26)/SUMPRODUCT((H30:H53&lt;&gt;"")*H3:H26))</f>
        <v/>
      </c>
      <c r="I61" s="8">
        <f>IFERROR(SUMPRODUCT(I51:I53,I24:I26)/SUMPRODUCT((I51:I53&lt;&gt;"")*I24:I26),SUMPRODUCT(I30:I53,I3:I26)/SUMPRODUCT((I30:I53&lt;&gt;"")*I3:I26))</f>
        <v/>
      </c>
      <c r="J61" s="8">
        <f>IFERROR(SUMPRODUCT(J51:J53,J24:J26)/SUMPRODUCT((J51:J53&lt;&gt;"")*J24:J26),SUMPRODUCT(J30:J53,J3:J26)/SUMPRODUCT((J30:J53&lt;&gt;"")*J3:J26))</f>
        <v/>
      </c>
      <c r="K61" s="8">
        <f>IFERROR(SUMPRODUCT(K51:K53,K24:K26)/SUMPRODUCT((K51:K53&lt;&gt;"")*K24:K26),SUMPRODUCT(K30:K53,K3:K26)/SUMPRODUCT((K30:K53&lt;&gt;"")*K3:K26))</f>
        <v/>
      </c>
      <c r="L61" s="8">
        <f>IFERROR(SUMPRODUCT(L51:L53,L24:L26)/SUMPRODUCT((L51:L53&lt;&gt;"")*L24:L26),SUMPRODUCT(L30:L53,L3:L26)/SUMPRODUCT((L30:L53&lt;&gt;"")*L3:L26))</f>
        <v/>
      </c>
      <c r="M61" s="8">
        <f>IFERROR(SUMPRODUCT(M51:M53,M24:M26)/SUMPRODUCT((M51:M53&lt;&gt;"")*M24:M26),SUMPRODUCT(M30:M53,M3:M26)/SUMPRODUCT((M30:M53&lt;&gt;"")*M3:M26))</f>
        <v/>
      </c>
      <c r="N61" s="8">
        <f>IFERROR(SUMPRODUCT(N51:N53,N24:N26)/SUMPRODUCT((N51:N53&lt;&gt;"")*N24:N26),SUMPRODUCT(N30:N53,N3:N26)/SUMPRODUCT((N30:N53&lt;&gt;"")*N3:N26))</f>
        <v/>
      </c>
      <c r="O61" s="8">
        <f>IFERROR(SUMPRODUCT(O51:O53,O24:O26)/SUMPRODUCT((O51:O53&lt;&gt;"")*O24:O26),SUMPRODUCT(O30:O53,O3:O26)/SUMPRODUCT((O30:O53&lt;&gt;"")*O3:O26))</f>
        <v/>
      </c>
      <c r="P61" s="8">
        <f>IFERROR(SUMPRODUCT(P51:P53,P24:P26)/SUMPRODUCT((P51:P53&lt;&gt;"")*P24:P26),SUMPRODUCT(P30:P53,P3:P26)/SUMPRODUCT((P30:P53&lt;&gt;"")*P3:P26))</f>
        <v/>
      </c>
      <c r="Q61" s="8">
        <f>IFERROR(SUMPRODUCT(Q51:Q53,Q24:Q26)/SUMPRODUCT((Q51:Q53&lt;&gt;"")*Q24:Q26),SUMPRODUCT(Q30:Q53,Q3:Q26)/SUMPRODUCT((Q30:Q53&lt;&gt;"")*Q3:Q26))</f>
        <v/>
      </c>
      <c r="R61" s="8">
        <f>IFERROR(SUMPRODUCT(R51:R53,R24:R26)/SUMPRODUCT((R51:R53&lt;&gt;"")*R24:R26),SUMPRODUCT(R30:R53,R3:R26)/SUMPRODUCT((R30:R53&lt;&gt;"")*R3:R26))</f>
        <v/>
      </c>
      <c r="S61" s="8">
        <f>IFERROR(SUMPRODUCT(S51:S53,S24:S26)/SUMPRODUCT((S51:S53&lt;&gt;"")*S24:S26),SUMPRODUCT(S30:S53,S3:S26)/SUMPRODUCT((S30:S53&lt;&gt;"")*S3:S26))</f>
        <v/>
      </c>
      <c r="T61" s="8">
        <f>IFERROR(SUMPRODUCT(T51:T53,T24:T26)/SUMPRODUCT((T51:T53&lt;&gt;"")*T24:T26),SUMPRODUCT(T30:T53,T3:T26)/SUMPRODUCT((T30:T53&lt;&gt;"")*T3:T26))</f>
        <v/>
      </c>
      <c r="U61" s="8">
        <f>IFERROR(SUMPRODUCT(U51:U53,U24:U26)/SUMPRODUCT((U51:U53&lt;&gt;"")*U24:U26),SUMPRODUCT(U30:U53,U3:U26)/SUMPRODUCT((U30:U53&lt;&gt;"")*U3:U26))</f>
        <v/>
      </c>
      <c r="V61" s="8">
        <f>IFERROR(SUMPRODUCT(V51:V53,V24:V26)/SUMPRODUCT((V51:V53&lt;&gt;"")*V24:V26),SUMPRODUCT(V30:V53,V3:V26)/SUMPRODUCT((V30:V53&lt;&gt;"")*V3:V26))</f>
        <v/>
      </c>
      <c r="W61" s="8">
        <f>IFERROR(SUMPRODUCT(W51:W53,W24:W26)/SUMPRODUCT((W51:W53&lt;&gt;"")*W24:W26),SUMPRODUCT(W30:W53,W3:W26)/SUMPRODUCT((W30:W53&lt;&gt;"")*W3:W26))</f>
        <v/>
      </c>
      <c r="X61" s="8">
        <f>IFERROR(SUMPRODUCT(X51:X53,X24:X26)/SUMPRODUCT((X51:X53&lt;&gt;"")*X24:X26),SUMPRODUCT(X30:X53,X3:X26)/SUMPRODUCT((X30:X53&lt;&gt;"")*X3:X26))</f>
        <v/>
      </c>
      <c r="Y61" s="8" t="inlineStr"/>
    </row>
    <row r="62">
      <c r="A62" s="10" t="inlineStr">
        <is>
          <t>exclude_high_low_3yr</t>
        </is>
      </c>
      <c r="B62" s="8">
        <f>IFERROR(TRIMMEAN(B51:B53,2/COUNT(B51:B53)),AVERAGE(B30:B53))</f>
        <v/>
      </c>
      <c r="C62" s="8">
        <f>IFERROR(TRIMMEAN(C51:C53,2/COUNT(C51:C53)),AVERAGE(C30:C53))</f>
        <v/>
      </c>
      <c r="D62" s="8">
        <f>IFERROR(TRIMMEAN(D51:D53,2/COUNT(D51:D53)),AVERAGE(D30:D53))</f>
        <v/>
      </c>
      <c r="E62" s="8">
        <f>IFERROR(TRIMMEAN(E51:E53,2/COUNT(E51:E53)),AVERAGE(E30:E53))</f>
        <v/>
      </c>
      <c r="F62" s="8">
        <f>IFERROR(TRIMMEAN(F51:F53,2/COUNT(F51:F53)),AVERAGE(F30:F53))</f>
        <v/>
      </c>
      <c r="G62" s="8">
        <f>IFERROR(TRIMMEAN(G51:G53,2/COUNT(G51:G53)),AVERAGE(G30:G53))</f>
        <v/>
      </c>
      <c r="H62" s="8">
        <f>IFERROR(TRIMMEAN(H51:H53,2/COUNT(H51:H53)),AVERAGE(H30:H53))</f>
        <v/>
      </c>
      <c r="I62" s="8">
        <f>IFERROR(TRIMMEAN(I51:I53,2/COUNT(I51:I53)),AVERAGE(I30:I53))</f>
        <v/>
      </c>
      <c r="J62" s="8">
        <f>IFERROR(TRIMMEAN(J51:J53,2/COUNT(J51:J53)),AVERAGE(J30:J53))</f>
        <v/>
      </c>
      <c r="K62" s="8">
        <f>IFERROR(TRIMMEAN(K51:K53,2/COUNT(K51:K53)),AVERAGE(K30:K53))</f>
        <v/>
      </c>
      <c r="L62" s="8">
        <f>IFERROR(TRIMMEAN(L51:L53,2/COUNT(L51:L53)),AVERAGE(L30:L53))</f>
        <v/>
      </c>
      <c r="M62" s="8">
        <f>IFERROR(TRIMMEAN(M51:M53,2/COUNT(M51:M53)),AVERAGE(M30:M53))</f>
        <v/>
      </c>
      <c r="N62" s="8">
        <f>IFERROR(TRIMMEAN(N51:N53,2/COUNT(N51:N53)),AVERAGE(N30:N53))</f>
        <v/>
      </c>
      <c r="O62" s="8">
        <f>IFERROR(TRIMMEAN(O51:O53,2/COUNT(O51:O53)),AVERAGE(O30:O53))</f>
        <v/>
      </c>
      <c r="P62" s="8">
        <f>IFERROR(TRIMMEAN(P51:P53,2/COUNT(P51:P53)),AVERAGE(P30:P53))</f>
        <v/>
      </c>
      <c r="Q62" s="8">
        <f>IFERROR(TRIMMEAN(Q51:Q53,2/COUNT(Q51:Q53)),AVERAGE(Q30:Q53))</f>
        <v/>
      </c>
      <c r="R62" s="8">
        <f>IFERROR(TRIMMEAN(R51:R53,2/COUNT(R51:R53)),AVERAGE(R30:R53))</f>
        <v/>
      </c>
      <c r="S62" s="8">
        <f>IFERROR(TRIMMEAN(S51:S53,2/COUNT(S51:S53)),AVERAGE(S30:S53))</f>
        <v/>
      </c>
      <c r="T62" s="8">
        <f>IFERROR(TRIMMEAN(T51:T53,2/COUNT(T51:T53)),AVERAGE(T30:T53))</f>
        <v/>
      </c>
      <c r="U62" s="8">
        <f>IFERROR(TRIMMEAN(U51:U53,2/COUNT(U51:U53)),AVERAGE(U30:U53))</f>
        <v/>
      </c>
      <c r="V62" s="8">
        <f>IFERROR(TRIMMEAN(V51:V53,2/COUNT(V51:V53)),AVERAGE(V30:V53))</f>
        <v/>
      </c>
      <c r="W62" s="8">
        <f>IFERROR(TRIMMEAN(W51:W53,2/COUNT(W51:W53)),AVERAGE(W30:W53))</f>
        <v/>
      </c>
      <c r="X62" s="8">
        <f>IFERROR(TRIMMEAN(X51:X53,2/COUNT(X51:X53)),AVERAGE(X30:X53))</f>
        <v/>
      </c>
      <c r="Y62" s="8" t="inlineStr"/>
    </row>
    <row r="63">
      <c r="A63" s="10" t="inlineStr">
        <is>
          <t>simple_5yr</t>
        </is>
      </c>
      <c r="B63" s="8">
        <f>IFERROR(AVERAGE(B49:B53),AVERAGE(B30:B53))</f>
        <v/>
      </c>
      <c r="C63" s="8">
        <f>IFERROR(AVERAGE(C49:C53),AVERAGE(C30:C53))</f>
        <v/>
      </c>
      <c r="D63" s="8">
        <f>IFERROR(AVERAGE(D49:D53),AVERAGE(D30:D53))</f>
        <v/>
      </c>
      <c r="E63" s="8">
        <f>IFERROR(AVERAGE(E49:E53),AVERAGE(E30:E53))</f>
        <v/>
      </c>
      <c r="F63" s="8">
        <f>IFERROR(AVERAGE(F49:F53),AVERAGE(F30:F53))</f>
        <v/>
      </c>
      <c r="G63" s="8">
        <f>IFERROR(AVERAGE(G49:G53),AVERAGE(G30:G53))</f>
        <v/>
      </c>
      <c r="H63" s="8">
        <f>IFERROR(AVERAGE(H49:H53),AVERAGE(H30:H53))</f>
        <v/>
      </c>
      <c r="I63" s="8">
        <f>IFERROR(AVERAGE(I49:I53),AVERAGE(I30:I53))</f>
        <v/>
      </c>
      <c r="J63" s="8">
        <f>IFERROR(AVERAGE(J49:J53),AVERAGE(J30:J53))</f>
        <v/>
      </c>
      <c r="K63" s="8">
        <f>IFERROR(AVERAGE(K49:K53),AVERAGE(K30:K53))</f>
        <v/>
      </c>
      <c r="L63" s="8">
        <f>IFERROR(AVERAGE(L49:L53),AVERAGE(L30:L53))</f>
        <v/>
      </c>
      <c r="M63" s="8">
        <f>IFERROR(AVERAGE(M49:M53),AVERAGE(M30:M53))</f>
        <v/>
      </c>
      <c r="N63" s="8">
        <f>IFERROR(AVERAGE(N49:N53),AVERAGE(N30:N53))</f>
        <v/>
      </c>
      <c r="O63" s="8">
        <f>IFERROR(AVERAGE(O49:O53),AVERAGE(O30:O53))</f>
        <v/>
      </c>
      <c r="P63" s="8">
        <f>IFERROR(AVERAGE(P49:P53),AVERAGE(P30:P53))</f>
        <v/>
      </c>
      <c r="Q63" s="8">
        <f>IFERROR(AVERAGE(Q49:Q53),AVERAGE(Q30:Q53))</f>
        <v/>
      </c>
      <c r="R63" s="8">
        <f>IFERROR(AVERAGE(R49:R53),AVERAGE(R30:R53))</f>
        <v/>
      </c>
      <c r="S63" s="8">
        <f>IFERROR(AVERAGE(S49:S53),AVERAGE(S30:S53))</f>
        <v/>
      </c>
      <c r="T63" s="8">
        <f>IFERROR(AVERAGE(T49:T53),AVERAGE(T30:T53))</f>
        <v/>
      </c>
      <c r="U63" s="8">
        <f>IFERROR(AVERAGE(U49:U53),AVERAGE(U30:U53))</f>
        <v/>
      </c>
      <c r="V63" s="8">
        <f>IFERROR(AVERAGE(V49:V53),AVERAGE(V30:V53))</f>
        <v/>
      </c>
      <c r="W63" s="8">
        <f>IFERROR(AVERAGE(W49:W53),AVERAGE(W30:W53))</f>
        <v/>
      </c>
      <c r="X63" s="8">
        <f>IFERROR(AVERAGE(X49:X53),AVERAGE(X30:X53))</f>
        <v/>
      </c>
      <c r="Y63" s="8" t="inlineStr"/>
    </row>
    <row r="64">
      <c r="A64" s="10" t="inlineStr">
        <is>
          <t>weighted_5yr</t>
        </is>
      </c>
      <c r="B64" s="8">
        <f>IFERROR(SUMPRODUCT(B49:B53,B22:B26)/SUMPRODUCT((B49:B53&lt;&gt;"")*B22:B26),SUMPRODUCT(B30:B53,B3:B26)/SUMPRODUCT((B30:B53&lt;&gt;"")*B3:B26))</f>
        <v/>
      </c>
      <c r="C64" s="8">
        <f>IFERROR(SUMPRODUCT(C49:C53,C22:C26)/SUMPRODUCT((C49:C53&lt;&gt;"")*C22:C26),SUMPRODUCT(C30:C53,C3:C26)/SUMPRODUCT((C30:C53&lt;&gt;"")*C3:C26))</f>
        <v/>
      </c>
      <c r="D64" s="8">
        <f>IFERROR(SUMPRODUCT(D49:D53,D22:D26)/SUMPRODUCT((D49:D53&lt;&gt;"")*D22:D26),SUMPRODUCT(D30:D53,D3:D26)/SUMPRODUCT((D30:D53&lt;&gt;"")*D3:D26))</f>
        <v/>
      </c>
      <c r="E64" s="8">
        <f>IFERROR(SUMPRODUCT(E49:E53,E22:E26)/SUMPRODUCT((E49:E53&lt;&gt;"")*E22:E26),SUMPRODUCT(E30:E53,E3:E26)/SUMPRODUCT((E30:E53&lt;&gt;"")*E3:E26))</f>
        <v/>
      </c>
      <c r="F64" s="8">
        <f>IFERROR(SUMPRODUCT(F49:F53,F22:F26)/SUMPRODUCT((F49:F53&lt;&gt;"")*F22:F26),SUMPRODUCT(F30:F53,F3:F26)/SUMPRODUCT((F30:F53&lt;&gt;"")*F3:F26))</f>
        <v/>
      </c>
      <c r="G64" s="8">
        <f>IFERROR(SUMPRODUCT(G49:G53,G22:G26)/SUMPRODUCT((G49:G53&lt;&gt;"")*G22:G26),SUMPRODUCT(G30:G53,G3:G26)/SUMPRODUCT((G30:G53&lt;&gt;"")*G3:G26))</f>
        <v/>
      </c>
      <c r="H64" s="8">
        <f>IFERROR(SUMPRODUCT(H49:H53,H22:H26)/SUMPRODUCT((H49:H53&lt;&gt;"")*H22:H26),SUMPRODUCT(H30:H53,H3:H26)/SUMPRODUCT((H30:H53&lt;&gt;"")*H3:H26))</f>
        <v/>
      </c>
      <c r="I64" s="8">
        <f>IFERROR(SUMPRODUCT(I49:I53,I22:I26)/SUMPRODUCT((I49:I53&lt;&gt;"")*I22:I26),SUMPRODUCT(I30:I53,I3:I26)/SUMPRODUCT((I30:I53&lt;&gt;"")*I3:I26))</f>
        <v/>
      </c>
      <c r="J64" s="8">
        <f>IFERROR(SUMPRODUCT(J49:J53,J22:J26)/SUMPRODUCT((J49:J53&lt;&gt;"")*J22:J26),SUMPRODUCT(J30:J53,J3:J26)/SUMPRODUCT((J30:J53&lt;&gt;"")*J3:J26))</f>
        <v/>
      </c>
      <c r="K64" s="8">
        <f>IFERROR(SUMPRODUCT(K49:K53,K22:K26)/SUMPRODUCT((K49:K53&lt;&gt;"")*K22:K26),SUMPRODUCT(K30:K53,K3:K26)/SUMPRODUCT((K30:K53&lt;&gt;"")*K3:K26))</f>
        <v/>
      </c>
      <c r="L64" s="8">
        <f>IFERROR(SUMPRODUCT(L49:L53,L22:L26)/SUMPRODUCT((L49:L53&lt;&gt;"")*L22:L26),SUMPRODUCT(L30:L53,L3:L26)/SUMPRODUCT((L30:L53&lt;&gt;"")*L3:L26))</f>
        <v/>
      </c>
      <c r="M64" s="8">
        <f>IFERROR(SUMPRODUCT(M49:M53,M22:M26)/SUMPRODUCT((M49:M53&lt;&gt;"")*M22:M26),SUMPRODUCT(M30:M53,M3:M26)/SUMPRODUCT((M30:M53&lt;&gt;"")*M3:M26))</f>
        <v/>
      </c>
      <c r="N64" s="8">
        <f>IFERROR(SUMPRODUCT(N49:N53,N22:N26)/SUMPRODUCT((N49:N53&lt;&gt;"")*N22:N26),SUMPRODUCT(N30:N53,N3:N26)/SUMPRODUCT((N30:N53&lt;&gt;"")*N3:N26))</f>
        <v/>
      </c>
      <c r="O64" s="8">
        <f>IFERROR(SUMPRODUCT(O49:O53,O22:O26)/SUMPRODUCT((O49:O53&lt;&gt;"")*O22:O26),SUMPRODUCT(O30:O53,O3:O26)/SUMPRODUCT((O30:O53&lt;&gt;"")*O3:O26))</f>
        <v/>
      </c>
      <c r="P64" s="8">
        <f>IFERROR(SUMPRODUCT(P49:P53,P22:P26)/SUMPRODUCT((P49:P53&lt;&gt;"")*P22:P26),SUMPRODUCT(P30:P53,P3:P26)/SUMPRODUCT((P30:P53&lt;&gt;"")*P3:P26))</f>
        <v/>
      </c>
      <c r="Q64" s="8">
        <f>IFERROR(SUMPRODUCT(Q49:Q53,Q22:Q26)/SUMPRODUCT((Q49:Q53&lt;&gt;"")*Q22:Q26),SUMPRODUCT(Q30:Q53,Q3:Q26)/SUMPRODUCT((Q30:Q53&lt;&gt;"")*Q3:Q26))</f>
        <v/>
      </c>
      <c r="R64" s="8">
        <f>IFERROR(SUMPRODUCT(R49:R53,R22:R26)/SUMPRODUCT((R49:R53&lt;&gt;"")*R22:R26),SUMPRODUCT(R30:R53,R3:R26)/SUMPRODUCT((R30:R53&lt;&gt;"")*R3:R26))</f>
        <v/>
      </c>
      <c r="S64" s="8">
        <f>IFERROR(SUMPRODUCT(S49:S53,S22:S26)/SUMPRODUCT((S49:S53&lt;&gt;"")*S22:S26),SUMPRODUCT(S30:S53,S3:S26)/SUMPRODUCT((S30:S53&lt;&gt;"")*S3:S26))</f>
        <v/>
      </c>
      <c r="T64" s="8">
        <f>IFERROR(SUMPRODUCT(T49:T53,T22:T26)/SUMPRODUCT((T49:T53&lt;&gt;"")*T22:T26),SUMPRODUCT(T30:T53,T3:T26)/SUMPRODUCT((T30:T53&lt;&gt;"")*T3:T26))</f>
        <v/>
      </c>
      <c r="U64" s="8">
        <f>IFERROR(SUMPRODUCT(U49:U53,U22:U26)/SUMPRODUCT((U49:U53&lt;&gt;"")*U22:U26),SUMPRODUCT(U30:U53,U3:U26)/SUMPRODUCT((U30:U53&lt;&gt;"")*U3:U26))</f>
        <v/>
      </c>
      <c r="V64" s="8">
        <f>IFERROR(SUMPRODUCT(V49:V53,V22:V26)/SUMPRODUCT((V49:V53&lt;&gt;"")*V22:V26),SUMPRODUCT(V30:V53,V3:V26)/SUMPRODUCT((V30:V53&lt;&gt;"")*V3:V26))</f>
        <v/>
      </c>
      <c r="W64" s="8">
        <f>IFERROR(SUMPRODUCT(W49:W53,W22:W26)/SUMPRODUCT((W49:W53&lt;&gt;"")*W22:W26),SUMPRODUCT(W30:W53,W3:W26)/SUMPRODUCT((W30:W53&lt;&gt;"")*W3:W26))</f>
        <v/>
      </c>
      <c r="X64" s="8">
        <f>IFERROR(SUMPRODUCT(X49:X53,X22:X26)/SUMPRODUCT((X49:X53&lt;&gt;"")*X22:X26),SUMPRODUCT(X30:X53,X3:X26)/SUMPRODUCT((X30:X53&lt;&gt;"")*X3:X26))</f>
        <v/>
      </c>
      <c r="Y64" s="8" t="inlineStr"/>
    </row>
    <row r="65">
      <c r="A65" s="10" t="inlineStr">
        <is>
          <t>exclude_high_low_5yr</t>
        </is>
      </c>
      <c r="B65" s="8">
        <f>IFERROR(TRIMMEAN(B49:B53,2/COUNT(B49:B53)),AVERAGE(B30:B53))</f>
        <v/>
      </c>
      <c r="C65" s="8">
        <f>IFERROR(TRIMMEAN(C49:C53,2/COUNT(C49:C53)),AVERAGE(C30:C53))</f>
        <v/>
      </c>
      <c r="D65" s="8">
        <f>IFERROR(TRIMMEAN(D49:D53,2/COUNT(D49:D53)),AVERAGE(D30:D53))</f>
        <v/>
      </c>
      <c r="E65" s="8">
        <f>IFERROR(TRIMMEAN(E49:E53,2/COUNT(E49:E53)),AVERAGE(E30:E53))</f>
        <v/>
      </c>
      <c r="F65" s="8">
        <f>IFERROR(TRIMMEAN(F49:F53,2/COUNT(F49:F53)),AVERAGE(F30:F53))</f>
        <v/>
      </c>
      <c r="G65" s="8">
        <f>IFERROR(TRIMMEAN(G49:G53,2/COUNT(G49:G53)),AVERAGE(G30:G53))</f>
        <v/>
      </c>
      <c r="H65" s="8">
        <f>IFERROR(TRIMMEAN(H49:H53,2/COUNT(H49:H53)),AVERAGE(H30:H53))</f>
        <v/>
      </c>
      <c r="I65" s="8">
        <f>IFERROR(TRIMMEAN(I49:I53,2/COUNT(I49:I53)),AVERAGE(I30:I53))</f>
        <v/>
      </c>
      <c r="J65" s="8">
        <f>IFERROR(TRIMMEAN(J49:J53,2/COUNT(J49:J53)),AVERAGE(J30:J53))</f>
        <v/>
      </c>
      <c r="K65" s="8">
        <f>IFERROR(TRIMMEAN(K49:K53,2/COUNT(K49:K53)),AVERAGE(K30:K53))</f>
        <v/>
      </c>
      <c r="L65" s="8">
        <f>IFERROR(TRIMMEAN(L49:L53,2/COUNT(L49:L53)),AVERAGE(L30:L53))</f>
        <v/>
      </c>
      <c r="M65" s="8">
        <f>IFERROR(TRIMMEAN(M49:M53,2/COUNT(M49:M53)),AVERAGE(M30:M53))</f>
        <v/>
      </c>
      <c r="N65" s="8">
        <f>IFERROR(TRIMMEAN(N49:N53,2/COUNT(N49:N53)),AVERAGE(N30:N53))</f>
        <v/>
      </c>
      <c r="O65" s="8">
        <f>IFERROR(TRIMMEAN(O49:O53,2/COUNT(O49:O53)),AVERAGE(O30:O53))</f>
        <v/>
      </c>
      <c r="P65" s="8">
        <f>IFERROR(TRIMMEAN(P49:P53,2/COUNT(P49:P53)),AVERAGE(P30:P53))</f>
        <v/>
      </c>
      <c r="Q65" s="8">
        <f>IFERROR(TRIMMEAN(Q49:Q53,2/COUNT(Q49:Q53)),AVERAGE(Q30:Q53))</f>
        <v/>
      </c>
      <c r="R65" s="8">
        <f>IFERROR(TRIMMEAN(R49:R53,2/COUNT(R49:R53)),AVERAGE(R30:R53))</f>
        <v/>
      </c>
      <c r="S65" s="8">
        <f>IFERROR(TRIMMEAN(S49:S53,2/COUNT(S49:S53)),AVERAGE(S30:S53))</f>
        <v/>
      </c>
      <c r="T65" s="8">
        <f>IFERROR(TRIMMEAN(T49:T53,2/COUNT(T49:T53)),AVERAGE(T30:T53))</f>
        <v/>
      </c>
      <c r="U65" s="8">
        <f>IFERROR(TRIMMEAN(U49:U53,2/COUNT(U49:U53)),AVERAGE(U30:U53))</f>
        <v/>
      </c>
      <c r="V65" s="8">
        <f>IFERROR(TRIMMEAN(V49:V53,2/COUNT(V49:V53)),AVERAGE(V30:V53))</f>
        <v/>
      </c>
      <c r="W65" s="8">
        <f>IFERROR(TRIMMEAN(W49:W53,2/COUNT(W49:W53)),AVERAGE(W30:W53))</f>
        <v/>
      </c>
      <c r="X65" s="8">
        <f>IFERROR(TRIMMEAN(X49:X53,2/COUNT(X49:X53)),AVERAGE(X30:X53))</f>
        <v/>
      </c>
      <c r="Y65" s="8" t="inlineStr"/>
    </row>
    <row r="66">
      <c r="A66" s="10" t="inlineStr">
        <is>
          <t>simple_10yr</t>
        </is>
      </c>
      <c r="B66" s="8">
        <f>IFERROR(AVERAGE(B44:B53),AVERAGE(B30:B53))</f>
        <v/>
      </c>
      <c r="C66" s="8">
        <f>IFERROR(AVERAGE(C44:C53),AVERAGE(C30:C53))</f>
        <v/>
      </c>
      <c r="D66" s="8">
        <f>IFERROR(AVERAGE(D44:D53),AVERAGE(D30:D53))</f>
        <v/>
      </c>
      <c r="E66" s="8">
        <f>IFERROR(AVERAGE(E44:E53),AVERAGE(E30:E53))</f>
        <v/>
      </c>
      <c r="F66" s="8">
        <f>IFERROR(AVERAGE(F44:F53),AVERAGE(F30:F53))</f>
        <v/>
      </c>
      <c r="G66" s="8">
        <f>IFERROR(AVERAGE(G44:G53),AVERAGE(G30:G53))</f>
        <v/>
      </c>
      <c r="H66" s="8">
        <f>IFERROR(AVERAGE(H44:H53),AVERAGE(H30:H53))</f>
        <v/>
      </c>
      <c r="I66" s="8">
        <f>IFERROR(AVERAGE(I44:I53),AVERAGE(I30:I53))</f>
        <v/>
      </c>
      <c r="J66" s="8">
        <f>IFERROR(AVERAGE(J44:J53),AVERAGE(J30:J53))</f>
        <v/>
      </c>
      <c r="K66" s="8">
        <f>IFERROR(AVERAGE(K44:K53),AVERAGE(K30:K53))</f>
        <v/>
      </c>
      <c r="L66" s="8">
        <f>IFERROR(AVERAGE(L44:L53),AVERAGE(L30:L53))</f>
        <v/>
      </c>
      <c r="M66" s="8">
        <f>IFERROR(AVERAGE(M44:M53),AVERAGE(M30:M53))</f>
        <v/>
      </c>
      <c r="N66" s="8">
        <f>IFERROR(AVERAGE(N44:N53),AVERAGE(N30:N53))</f>
        <v/>
      </c>
      <c r="O66" s="8">
        <f>IFERROR(AVERAGE(O44:O53),AVERAGE(O30:O53))</f>
        <v/>
      </c>
      <c r="P66" s="8">
        <f>IFERROR(AVERAGE(P44:P53),AVERAGE(P30:P53))</f>
        <v/>
      </c>
      <c r="Q66" s="8">
        <f>IFERROR(AVERAGE(Q44:Q53),AVERAGE(Q30:Q53))</f>
        <v/>
      </c>
      <c r="R66" s="8">
        <f>IFERROR(AVERAGE(R44:R53),AVERAGE(R30:R53))</f>
        <v/>
      </c>
      <c r="S66" s="8">
        <f>IFERROR(AVERAGE(S44:S53),AVERAGE(S30:S53))</f>
        <v/>
      </c>
      <c r="T66" s="8">
        <f>IFERROR(AVERAGE(T44:T53),AVERAGE(T30:T53))</f>
        <v/>
      </c>
      <c r="U66" s="8">
        <f>IFERROR(AVERAGE(U44:U53),AVERAGE(U30:U53))</f>
        <v/>
      </c>
      <c r="V66" s="8">
        <f>IFERROR(AVERAGE(V44:V53),AVERAGE(V30:V53))</f>
        <v/>
      </c>
      <c r="W66" s="8">
        <f>IFERROR(AVERAGE(W44:W53),AVERAGE(W30:W53))</f>
        <v/>
      </c>
      <c r="X66" s="8">
        <f>IFERROR(AVERAGE(X44:X53),AVERAGE(X30:X53))</f>
        <v/>
      </c>
      <c r="Y66" s="8" t="inlineStr"/>
    </row>
    <row r="67">
      <c r="A67" s="10" t="inlineStr">
        <is>
          <t>weighted_10yr</t>
        </is>
      </c>
      <c r="B67" s="8">
        <f>IFERROR(SUMPRODUCT(B44:B53,B17:B26)/SUMPRODUCT((B44:B53&lt;&gt;"")*B17:B26),SUMPRODUCT(B30:B53,B3:B26)/SUMPRODUCT((B30:B53&lt;&gt;"")*B3:B26))</f>
        <v/>
      </c>
      <c r="C67" s="8">
        <f>IFERROR(SUMPRODUCT(C44:C53,C17:C26)/SUMPRODUCT((C44:C53&lt;&gt;"")*C17:C26),SUMPRODUCT(C30:C53,C3:C26)/SUMPRODUCT((C30:C53&lt;&gt;"")*C3:C26))</f>
        <v/>
      </c>
      <c r="D67" s="8">
        <f>IFERROR(SUMPRODUCT(D44:D53,D17:D26)/SUMPRODUCT((D44:D53&lt;&gt;"")*D17:D26),SUMPRODUCT(D30:D53,D3:D26)/SUMPRODUCT((D30:D53&lt;&gt;"")*D3:D26))</f>
        <v/>
      </c>
      <c r="E67" s="8">
        <f>IFERROR(SUMPRODUCT(E44:E53,E17:E26)/SUMPRODUCT((E44:E53&lt;&gt;"")*E17:E26),SUMPRODUCT(E30:E53,E3:E26)/SUMPRODUCT((E30:E53&lt;&gt;"")*E3:E26))</f>
        <v/>
      </c>
      <c r="F67" s="8">
        <f>IFERROR(SUMPRODUCT(F44:F53,F17:F26)/SUMPRODUCT((F44:F53&lt;&gt;"")*F17:F26),SUMPRODUCT(F30:F53,F3:F26)/SUMPRODUCT((F30:F53&lt;&gt;"")*F3:F26))</f>
        <v/>
      </c>
      <c r="G67" s="8">
        <f>IFERROR(SUMPRODUCT(G44:G53,G17:G26)/SUMPRODUCT((G44:G53&lt;&gt;"")*G17:G26),SUMPRODUCT(G30:G53,G3:G26)/SUMPRODUCT((G30:G53&lt;&gt;"")*G3:G26))</f>
        <v/>
      </c>
      <c r="H67" s="8">
        <f>IFERROR(SUMPRODUCT(H44:H53,H17:H26)/SUMPRODUCT((H44:H53&lt;&gt;"")*H17:H26),SUMPRODUCT(H30:H53,H3:H26)/SUMPRODUCT((H30:H53&lt;&gt;"")*H3:H26))</f>
        <v/>
      </c>
      <c r="I67" s="8">
        <f>IFERROR(SUMPRODUCT(I44:I53,I17:I26)/SUMPRODUCT((I44:I53&lt;&gt;"")*I17:I26),SUMPRODUCT(I30:I53,I3:I26)/SUMPRODUCT((I30:I53&lt;&gt;"")*I3:I26))</f>
        <v/>
      </c>
      <c r="J67" s="8">
        <f>IFERROR(SUMPRODUCT(J44:J53,J17:J26)/SUMPRODUCT((J44:J53&lt;&gt;"")*J17:J26),SUMPRODUCT(J30:J53,J3:J26)/SUMPRODUCT((J30:J53&lt;&gt;"")*J3:J26))</f>
        <v/>
      </c>
      <c r="K67" s="8">
        <f>IFERROR(SUMPRODUCT(K44:K53,K17:K26)/SUMPRODUCT((K44:K53&lt;&gt;"")*K17:K26),SUMPRODUCT(K30:K53,K3:K26)/SUMPRODUCT((K30:K53&lt;&gt;"")*K3:K26))</f>
        <v/>
      </c>
      <c r="L67" s="8">
        <f>IFERROR(SUMPRODUCT(L44:L53,L17:L26)/SUMPRODUCT((L44:L53&lt;&gt;"")*L17:L26),SUMPRODUCT(L30:L53,L3:L26)/SUMPRODUCT((L30:L53&lt;&gt;"")*L3:L26))</f>
        <v/>
      </c>
      <c r="M67" s="8">
        <f>IFERROR(SUMPRODUCT(M44:M53,M17:M26)/SUMPRODUCT((M44:M53&lt;&gt;"")*M17:M26),SUMPRODUCT(M30:M53,M3:M26)/SUMPRODUCT((M30:M53&lt;&gt;"")*M3:M26))</f>
        <v/>
      </c>
      <c r="N67" s="8">
        <f>IFERROR(SUMPRODUCT(N44:N53,N17:N26)/SUMPRODUCT((N44:N53&lt;&gt;"")*N17:N26),SUMPRODUCT(N30:N53,N3:N26)/SUMPRODUCT((N30:N53&lt;&gt;"")*N3:N26))</f>
        <v/>
      </c>
      <c r="O67" s="8">
        <f>IFERROR(SUMPRODUCT(O44:O53,O17:O26)/SUMPRODUCT((O44:O53&lt;&gt;"")*O17:O26),SUMPRODUCT(O30:O53,O3:O26)/SUMPRODUCT((O30:O53&lt;&gt;"")*O3:O26))</f>
        <v/>
      </c>
      <c r="P67" s="8">
        <f>IFERROR(SUMPRODUCT(P44:P53,P17:P26)/SUMPRODUCT((P44:P53&lt;&gt;"")*P17:P26),SUMPRODUCT(P30:P53,P3:P26)/SUMPRODUCT((P30:P53&lt;&gt;"")*P3:P26))</f>
        <v/>
      </c>
      <c r="Q67" s="8">
        <f>IFERROR(SUMPRODUCT(Q44:Q53,Q17:Q26)/SUMPRODUCT((Q44:Q53&lt;&gt;"")*Q17:Q26),SUMPRODUCT(Q30:Q53,Q3:Q26)/SUMPRODUCT((Q30:Q53&lt;&gt;"")*Q3:Q26))</f>
        <v/>
      </c>
      <c r="R67" s="8">
        <f>IFERROR(SUMPRODUCT(R44:R53,R17:R26)/SUMPRODUCT((R44:R53&lt;&gt;"")*R17:R26),SUMPRODUCT(R30:R53,R3:R26)/SUMPRODUCT((R30:R53&lt;&gt;"")*R3:R26))</f>
        <v/>
      </c>
      <c r="S67" s="8">
        <f>IFERROR(SUMPRODUCT(S44:S53,S17:S26)/SUMPRODUCT((S44:S53&lt;&gt;"")*S17:S26),SUMPRODUCT(S30:S53,S3:S26)/SUMPRODUCT((S30:S53&lt;&gt;"")*S3:S26))</f>
        <v/>
      </c>
      <c r="T67" s="8">
        <f>IFERROR(SUMPRODUCT(T44:T53,T17:T26)/SUMPRODUCT((T44:T53&lt;&gt;"")*T17:T26),SUMPRODUCT(T30:T53,T3:T26)/SUMPRODUCT((T30:T53&lt;&gt;"")*T3:T26))</f>
        <v/>
      </c>
      <c r="U67" s="8">
        <f>IFERROR(SUMPRODUCT(U44:U53,U17:U26)/SUMPRODUCT((U44:U53&lt;&gt;"")*U17:U26),SUMPRODUCT(U30:U53,U3:U26)/SUMPRODUCT((U30:U53&lt;&gt;"")*U3:U26))</f>
        <v/>
      </c>
      <c r="V67" s="8">
        <f>IFERROR(SUMPRODUCT(V44:V53,V17:V26)/SUMPRODUCT((V44:V53&lt;&gt;"")*V17:V26),SUMPRODUCT(V30:V53,V3:V26)/SUMPRODUCT((V30:V53&lt;&gt;"")*V3:V26))</f>
        <v/>
      </c>
      <c r="W67" s="8">
        <f>IFERROR(SUMPRODUCT(W44:W53,W17:W26)/SUMPRODUCT((W44:W53&lt;&gt;"")*W17:W26),SUMPRODUCT(W30:W53,W3:W26)/SUMPRODUCT((W30:W53&lt;&gt;"")*W3:W26))</f>
        <v/>
      </c>
      <c r="X67" s="8">
        <f>IFERROR(SUMPRODUCT(X44:X53,X17:X26)/SUMPRODUCT((X44:X53&lt;&gt;"")*X17:X26),SUMPRODUCT(X30:X53,X3:X26)/SUMPRODUCT((X30:X53&lt;&gt;"")*X3:X26))</f>
        <v/>
      </c>
      <c r="Y67" s="8" t="inlineStr"/>
    </row>
    <row r="68">
      <c r="A68" s="10" t="inlineStr">
        <is>
          <t>exclude_high_low_10yr</t>
        </is>
      </c>
      <c r="B68" s="8">
        <f>IFERROR(TRIMMEAN(B44:B53,2/COUNT(B44:B53)),AVERAGE(B30:B53))</f>
        <v/>
      </c>
      <c r="C68" s="8">
        <f>IFERROR(TRIMMEAN(C44:C53,2/COUNT(C44:C53)),AVERAGE(C30:C53))</f>
        <v/>
      </c>
      <c r="D68" s="8">
        <f>IFERROR(TRIMMEAN(D44:D53,2/COUNT(D44:D53)),AVERAGE(D30:D53))</f>
        <v/>
      </c>
      <c r="E68" s="8">
        <f>IFERROR(TRIMMEAN(E44:E53,2/COUNT(E44:E53)),AVERAGE(E30:E53))</f>
        <v/>
      </c>
      <c r="F68" s="8">
        <f>IFERROR(TRIMMEAN(F44:F53,2/COUNT(F44:F53)),AVERAGE(F30:F53))</f>
        <v/>
      </c>
      <c r="G68" s="8">
        <f>IFERROR(TRIMMEAN(G44:G53,2/COUNT(G44:G53)),AVERAGE(G30:G53))</f>
        <v/>
      </c>
      <c r="H68" s="8">
        <f>IFERROR(TRIMMEAN(H44:H53,2/COUNT(H44:H53)),AVERAGE(H30:H53))</f>
        <v/>
      </c>
      <c r="I68" s="8">
        <f>IFERROR(TRIMMEAN(I44:I53,2/COUNT(I44:I53)),AVERAGE(I30:I53))</f>
        <v/>
      </c>
      <c r="J68" s="8">
        <f>IFERROR(TRIMMEAN(J44:J53,2/COUNT(J44:J53)),AVERAGE(J30:J53))</f>
        <v/>
      </c>
      <c r="K68" s="8">
        <f>IFERROR(TRIMMEAN(K44:K53,2/COUNT(K44:K53)),AVERAGE(K30:K53))</f>
        <v/>
      </c>
      <c r="L68" s="8">
        <f>IFERROR(TRIMMEAN(L44:L53,2/COUNT(L44:L53)),AVERAGE(L30:L53))</f>
        <v/>
      </c>
      <c r="M68" s="8">
        <f>IFERROR(TRIMMEAN(M44:M53,2/COUNT(M44:M53)),AVERAGE(M30:M53))</f>
        <v/>
      </c>
      <c r="N68" s="8">
        <f>IFERROR(TRIMMEAN(N44:N53,2/COUNT(N44:N53)),AVERAGE(N30:N53))</f>
        <v/>
      </c>
      <c r="O68" s="8">
        <f>IFERROR(TRIMMEAN(O44:O53,2/COUNT(O44:O53)),AVERAGE(O30:O53))</f>
        <v/>
      </c>
      <c r="P68" s="8">
        <f>IFERROR(TRIMMEAN(P44:P53,2/COUNT(P44:P53)),AVERAGE(P30:P53))</f>
        <v/>
      </c>
      <c r="Q68" s="8">
        <f>IFERROR(TRIMMEAN(Q44:Q53,2/COUNT(Q44:Q53)),AVERAGE(Q30:Q53))</f>
        <v/>
      </c>
      <c r="R68" s="8">
        <f>IFERROR(TRIMMEAN(R44:R53,2/COUNT(R44:R53)),AVERAGE(R30:R53))</f>
        <v/>
      </c>
      <c r="S68" s="8">
        <f>IFERROR(TRIMMEAN(S44:S53,2/COUNT(S44:S53)),AVERAGE(S30:S53))</f>
        <v/>
      </c>
      <c r="T68" s="8">
        <f>IFERROR(TRIMMEAN(T44:T53,2/COUNT(T44:T53)),AVERAGE(T30:T53))</f>
        <v/>
      </c>
      <c r="U68" s="8">
        <f>IFERROR(TRIMMEAN(U44:U53,2/COUNT(U44:U53)),AVERAGE(U30:U53))</f>
        <v/>
      </c>
      <c r="V68" s="8">
        <f>IFERROR(TRIMMEAN(V44:V53,2/COUNT(V44:V53)),AVERAGE(V30:V53))</f>
        <v/>
      </c>
      <c r="W68" s="8">
        <f>IFERROR(TRIMMEAN(W44:W53,2/COUNT(W44:W53)),AVERAGE(W30:W53))</f>
        <v/>
      </c>
      <c r="X68" s="8">
        <f>IFERROR(TRIMMEAN(X44:X53,2/COUNT(X44:X53)),AVERAGE(X30:X53))</f>
        <v/>
      </c>
      <c r="Y68" s="8" t="inlineStr"/>
    </row>
    <row r="70">
      <c r="A70" s="1" t="inlineStr">
        <is>
          <t>LDF Selections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3" t="n"/>
    </row>
    <row r="71">
      <c r="A71" s="4" t="inlineStr"/>
      <c r="B71" s="5" t="inlineStr">
        <is>
          <t>11-23</t>
        </is>
      </c>
      <c r="C71" s="5" t="inlineStr">
        <is>
          <t>23-35</t>
        </is>
      </c>
      <c r="D71" s="5" t="inlineStr">
        <is>
          <t>35-47</t>
        </is>
      </c>
      <c r="E71" s="5" t="inlineStr">
        <is>
          <t>47-59</t>
        </is>
      </c>
      <c r="F71" s="5" t="inlineStr">
        <is>
          <t>59-71</t>
        </is>
      </c>
      <c r="G71" s="5" t="inlineStr">
        <is>
          <t>71-83</t>
        </is>
      </c>
      <c r="H71" s="5" t="inlineStr">
        <is>
          <t>83-95</t>
        </is>
      </c>
      <c r="I71" s="5" t="inlineStr">
        <is>
          <t>95-107</t>
        </is>
      </c>
      <c r="J71" s="5" t="inlineStr">
        <is>
          <t>107-119</t>
        </is>
      </c>
      <c r="K71" s="5" t="inlineStr">
        <is>
          <t>119-131</t>
        </is>
      </c>
      <c r="L71" s="5" t="inlineStr">
        <is>
          <t>131-143</t>
        </is>
      </c>
      <c r="M71" s="5" t="inlineStr">
        <is>
          <t>143-155</t>
        </is>
      </c>
      <c r="N71" s="5" t="inlineStr">
        <is>
          <t>155-167</t>
        </is>
      </c>
      <c r="O71" s="5" t="inlineStr">
        <is>
          <t>167-179</t>
        </is>
      </c>
      <c r="P71" s="5" t="inlineStr">
        <is>
          <t>179-191</t>
        </is>
      </c>
      <c r="Q71" s="5" t="inlineStr">
        <is>
          <t>191-203</t>
        </is>
      </c>
      <c r="R71" s="5" t="inlineStr">
        <is>
          <t>203-215</t>
        </is>
      </c>
      <c r="S71" s="5" t="inlineStr">
        <is>
          <t>215-227</t>
        </is>
      </c>
      <c r="T71" s="5" t="inlineStr">
        <is>
          <t>227-239</t>
        </is>
      </c>
      <c r="U71" s="5" t="inlineStr">
        <is>
          <t>239-251</t>
        </is>
      </c>
      <c r="V71" s="5" t="inlineStr">
        <is>
          <t>251-263</t>
        </is>
      </c>
      <c r="W71" s="5" t="inlineStr">
        <is>
          <t>263-275</t>
        </is>
      </c>
      <c r="X71" s="5" t="inlineStr">
        <is>
          <t>275-287</t>
        </is>
      </c>
      <c r="Y71" s="5" t="inlineStr">
        <is>
          <t>Tail</t>
        </is>
      </c>
    </row>
    <row r="72">
      <c r="A72" s="11" t="inlineStr">
        <is>
          <t>Rules-Based AI Selection</t>
        </is>
      </c>
      <c r="B72" s="12" t="inlineStr"/>
      <c r="C72" s="12" t="inlineStr"/>
      <c r="D72" s="12" t="inlineStr"/>
      <c r="E72" s="12" t="inlineStr"/>
      <c r="F72" s="12" t="inlineStr"/>
      <c r="G72" s="12" t="inlineStr"/>
      <c r="H72" s="12" t="inlineStr"/>
      <c r="I72" s="12" t="inlineStr"/>
      <c r="J72" s="12" t="inlineStr"/>
      <c r="K72" s="12" t="inlineStr"/>
      <c r="L72" s="12" t="inlineStr"/>
      <c r="M72" s="12" t="inlineStr"/>
      <c r="N72" s="12" t="inlineStr"/>
      <c r="O72" s="12" t="inlineStr"/>
      <c r="P72" s="12" t="inlineStr"/>
      <c r="Q72" s="12" t="inlineStr"/>
      <c r="R72" s="12" t="inlineStr"/>
      <c r="S72" s="12" t="inlineStr"/>
      <c r="T72" s="12" t="inlineStr"/>
      <c r="U72" s="12" t="inlineStr"/>
      <c r="V72" s="12" t="inlineStr"/>
      <c r="W72" s="12" t="inlineStr"/>
      <c r="X72" s="12" t="inlineStr"/>
      <c r="Y72" s="12" t="inlineStr"/>
    </row>
    <row r="73">
      <c r="A73" s="11" t="inlineStr">
        <is>
          <t>Rules-Based AI Reasoning</t>
        </is>
      </c>
      <c r="B73" s="13" t="inlineStr"/>
      <c r="C73" s="13" t="inlineStr"/>
      <c r="D73" s="13" t="inlineStr"/>
      <c r="E73" s="13" t="inlineStr"/>
      <c r="F73" s="13" t="inlineStr"/>
      <c r="G73" s="13" t="inlineStr"/>
      <c r="H73" s="13" t="inlineStr"/>
      <c r="I73" s="13" t="inlineStr"/>
      <c r="J73" s="13" t="inlineStr"/>
      <c r="K73" s="13" t="inlineStr"/>
      <c r="L73" s="13" t="inlineStr"/>
      <c r="M73" s="13" t="inlineStr"/>
      <c r="N73" s="13" t="inlineStr"/>
      <c r="O73" s="13" t="inlineStr"/>
      <c r="P73" s="13" t="inlineStr"/>
      <c r="Q73" s="13" t="inlineStr"/>
      <c r="R73" s="13" t="inlineStr"/>
      <c r="S73" s="13" t="inlineStr"/>
      <c r="T73" s="13" t="inlineStr"/>
      <c r="U73" s="13" t="inlineStr"/>
      <c r="V73" s="13" t="inlineStr"/>
      <c r="W73" s="13" t="inlineStr"/>
      <c r="X73" s="13" t="inlineStr"/>
      <c r="Y73" s="13" t="inlineStr"/>
    </row>
    <row r="75">
      <c r="A75" s="14" t="inlineStr">
        <is>
          <t>Open-Ended AI Selection</t>
        </is>
      </c>
      <c r="B75" s="15" t="inlineStr"/>
      <c r="C75" s="15" t="inlineStr"/>
      <c r="D75" s="15" t="inlineStr"/>
      <c r="E75" s="15" t="inlineStr"/>
      <c r="F75" s="15" t="inlineStr"/>
      <c r="G75" s="15" t="inlineStr"/>
      <c r="H75" s="15" t="inlineStr"/>
      <c r="I75" s="15" t="inlineStr"/>
      <c r="J75" s="15" t="inlineStr"/>
      <c r="K75" s="15" t="inlineStr"/>
      <c r="L75" s="15" t="inlineStr"/>
      <c r="M75" s="15" t="inlineStr"/>
      <c r="N75" s="15" t="inlineStr"/>
      <c r="O75" s="15" t="inlineStr"/>
      <c r="P75" s="15" t="inlineStr"/>
      <c r="Q75" s="15" t="inlineStr"/>
      <c r="R75" s="15" t="inlineStr"/>
      <c r="S75" s="15" t="inlineStr"/>
      <c r="T75" s="15" t="inlineStr"/>
      <c r="U75" s="15" t="inlineStr"/>
      <c r="V75" s="15" t="inlineStr"/>
      <c r="W75" s="15" t="inlineStr"/>
      <c r="X75" s="15" t="inlineStr"/>
      <c r="Y75" s="15" t="inlineStr"/>
    </row>
    <row r="76">
      <c r="A76" s="14" t="inlineStr">
        <is>
          <t>Open-Ended AI Reasoning</t>
        </is>
      </c>
      <c r="B76" s="16" t="inlineStr"/>
      <c r="C76" s="16" t="inlineStr"/>
      <c r="D76" s="16" t="inlineStr"/>
      <c r="E76" s="16" t="inlineStr"/>
      <c r="F76" s="16" t="inlineStr"/>
      <c r="G76" s="16" t="inlineStr"/>
      <c r="H76" s="16" t="inlineStr"/>
      <c r="I76" s="16" t="inlineStr"/>
      <c r="J76" s="16" t="inlineStr"/>
      <c r="K76" s="16" t="inlineStr"/>
      <c r="L76" s="16" t="inlineStr"/>
      <c r="M76" s="16" t="inlineStr"/>
      <c r="N76" s="16" t="inlineStr"/>
      <c r="O76" s="16" t="inlineStr"/>
      <c r="P76" s="16" t="inlineStr"/>
      <c r="Q76" s="16" t="inlineStr"/>
      <c r="R76" s="16" t="inlineStr"/>
      <c r="S76" s="16" t="inlineStr"/>
      <c r="T76" s="16" t="inlineStr"/>
      <c r="U76" s="16" t="inlineStr"/>
      <c r="V76" s="16" t="inlineStr"/>
      <c r="W76" s="16" t="inlineStr"/>
      <c r="X76" s="16" t="inlineStr"/>
      <c r="Y76" s="16" t="inlineStr"/>
    </row>
    <row r="78">
      <c r="A78" s="17" t="inlineStr">
        <is>
          <t>User Selection</t>
        </is>
      </c>
      <c r="B78" s="18" t="inlineStr"/>
      <c r="C78" s="18" t="inlineStr"/>
      <c r="D78" s="18" t="inlineStr"/>
      <c r="E78" s="18" t="inlineStr"/>
      <c r="F78" s="18" t="inlineStr"/>
      <c r="G78" s="18" t="inlineStr"/>
      <c r="H78" s="18" t="inlineStr"/>
      <c r="I78" s="18" t="inlineStr"/>
      <c r="J78" s="18" t="inlineStr"/>
      <c r="K78" s="18" t="inlineStr"/>
      <c r="L78" s="18" t="inlineStr"/>
      <c r="M78" s="18" t="inlineStr"/>
      <c r="N78" s="18" t="inlineStr"/>
      <c r="O78" s="18" t="inlineStr"/>
      <c r="P78" s="18" t="inlineStr"/>
      <c r="Q78" s="18" t="inlineStr"/>
      <c r="R78" s="18" t="inlineStr"/>
      <c r="S78" s="18" t="inlineStr"/>
      <c r="T78" s="18" t="inlineStr"/>
      <c r="U78" s="18" t="inlineStr"/>
      <c r="V78" s="18" t="inlineStr"/>
      <c r="W78" s="18" t="inlineStr"/>
      <c r="X78" s="18" t="inlineStr"/>
      <c r="Y78" s="18" t="inlineStr"/>
    </row>
    <row r="79">
      <c r="A79" s="17" t="inlineStr">
        <is>
          <t>User Reasoning</t>
        </is>
      </c>
      <c r="B79" s="19" t="inlineStr"/>
      <c r="C79" s="19" t="inlineStr"/>
      <c r="D79" s="19" t="inlineStr"/>
      <c r="E79" s="19" t="inlineStr"/>
      <c r="F79" s="19" t="inlineStr"/>
      <c r="G79" s="19" t="inlineStr"/>
      <c r="H79" s="19" t="inlineStr"/>
      <c r="I79" s="19" t="inlineStr"/>
      <c r="J79" s="19" t="inlineStr"/>
      <c r="K79" s="19" t="inlineStr"/>
      <c r="L79" s="19" t="inlineStr"/>
      <c r="M79" s="19" t="inlineStr"/>
      <c r="N79" s="19" t="inlineStr"/>
      <c r="O79" s="19" t="inlineStr"/>
      <c r="P79" s="19" t="inlineStr"/>
      <c r="Q79" s="19" t="inlineStr"/>
      <c r="R79" s="19" t="inlineStr"/>
      <c r="S79" s="19" t="inlineStr"/>
      <c r="T79" s="19" t="inlineStr"/>
      <c r="U79" s="19" t="inlineStr"/>
      <c r="V79" s="19" t="inlineStr"/>
      <c r="W79" s="19" t="inlineStr"/>
      <c r="X79" s="19" t="inlineStr"/>
      <c r="Y79" s="19" t="inlineStr"/>
    </row>
    <row r="81">
      <c r="A81" s="20" t="inlineStr">
        <is>
          <t>Cumulative Development Factors</t>
        </is>
      </c>
    </row>
    <row r="82">
      <c r="A82" s="21" t="inlineStr">
        <is>
          <t>Age</t>
        </is>
      </c>
      <c r="B82" s="21">
        <f>$B$2</f>
        <v/>
      </c>
      <c r="C82" s="21">
        <f>$C$2</f>
        <v/>
      </c>
      <c r="D82" s="21">
        <f>$D$2</f>
        <v/>
      </c>
      <c r="E82" s="21">
        <f>$E$2</f>
        <v/>
      </c>
      <c r="F82" s="21">
        <f>$F$2</f>
        <v/>
      </c>
      <c r="G82" s="21">
        <f>$G$2</f>
        <v/>
      </c>
      <c r="H82" s="21">
        <f>$H$2</f>
        <v/>
      </c>
      <c r="I82" s="21">
        <f>$I$2</f>
        <v/>
      </c>
      <c r="J82" s="21">
        <f>$J$2</f>
        <v/>
      </c>
      <c r="K82" s="21">
        <f>$K$2</f>
        <v/>
      </c>
      <c r="L82" s="21">
        <f>$L$2</f>
        <v/>
      </c>
      <c r="M82" s="21">
        <f>$M$2</f>
        <v/>
      </c>
      <c r="N82" s="21">
        <f>$N$2</f>
        <v/>
      </c>
      <c r="O82" s="21">
        <f>$O$2</f>
        <v/>
      </c>
      <c r="P82" s="21">
        <f>$P$2</f>
        <v/>
      </c>
      <c r="Q82" s="21">
        <f>$Q$2</f>
        <v/>
      </c>
      <c r="R82" s="21">
        <f>$R$2</f>
        <v/>
      </c>
      <c r="S82" s="21">
        <f>$S$2</f>
        <v/>
      </c>
      <c r="T82" s="21">
        <f>$T$2</f>
        <v/>
      </c>
      <c r="U82" s="21">
        <f>$U$2</f>
        <v/>
      </c>
      <c r="V82" s="21">
        <f>$V$2</f>
        <v/>
      </c>
      <c r="W82" s="21">
        <f>$W$2</f>
        <v/>
      </c>
      <c r="X82" s="21">
        <f>$X$2</f>
        <v/>
      </c>
      <c r="Y82" s="21">
        <f>$Y$2</f>
        <v/>
      </c>
    </row>
    <row r="83">
      <c r="A83" s="21" t="inlineStr">
        <is>
          <t>CDF</t>
        </is>
      </c>
      <c r="B83" s="22">
        <f>B78*C83</f>
        <v/>
      </c>
      <c r="C83" s="22">
        <f>C78*D83</f>
        <v/>
      </c>
      <c r="D83" s="22">
        <f>D78*E83</f>
        <v/>
      </c>
      <c r="E83" s="22">
        <f>E78*F83</f>
        <v/>
      </c>
      <c r="F83" s="22">
        <f>F78*G83</f>
        <v/>
      </c>
      <c r="G83" s="22">
        <f>G78*H83</f>
        <v/>
      </c>
      <c r="H83" s="22">
        <f>H78*I83</f>
        <v/>
      </c>
      <c r="I83" s="22">
        <f>I78*J83</f>
        <v/>
      </c>
      <c r="J83" s="22">
        <f>J78*K83</f>
        <v/>
      </c>
      <c r="K83" s="22">
        <f>K78*L83</f>
        <v/>
      </c>
      <c r="L83" s="22">
        <f>L78*M83</f>
        <v/>
      </c>
      <c r="M83" s="22">
        <f>M78*N83</f>
        <v/>
      </c>
      <c r="N83" s="22">
        <f>N78*O83</f>
        <v/>
      </c>
      <c r="O83" s="22">
        <f>O78*P83</f>
        <v/>
      </c>
      <c r="P83" s="22">
        <f>P78*Q83</f>
        <v/>
      </c>
      <c r="Q83" s="22">
        <f>Q78*R83</f>
        <v/>
      </c>
      <c r="R83" s="22">
        <f>R78*S83</f>
        <v/>
      </c>
      <c r="S83" s="22">
        <f>S78*T83</f>
        <v/>
      </c>
      <c r="T83" s="22">
        <f>T78*U83</f>
        <v/>
      </c>
      <c r="U83" s="22">
        <f>U78*V83</f>
        <v/>
      </c>
      <c r="V83" s="22">
        <f>V78*W83</f>
        <v/>
      </c>
      <c r="W83" s="22">
        <f>W78*X83</f>
        <v/>
      </c>
      <c r="X83" s="22">
        <f>X78*Y83</f>
        <v/>
      </c>
      <c r="Y83" s="22">
        <f>Y78</f>
        <v/>
      </c>
    </row>
    <row r="85">
      <c r="A85" s="20" t="inlineStr">
        <is>
          <t>Projected Ultimates</t>
        </is>
      </c>
    </row>
    <row r="86">
      <c r="A86" s="23" t="inlineStr">
        <is>
          <t>Period</t>
        </is>
      </c>
      <c r="B86" s="23" t="inlineStr">
        <is>
          <t>Latest Age</t>
        </is>
      </c>
      <c r="C86" s="23" t="inlineStr">
        <is>
          <t>Latest Value</t>
        </is>
      </c>
      <c r="D86" s="23" t="inlineStr">
        <is>
          <t>CDF at Age</t>
        </is>
      </c>
      <c r="E86" s="23" t="inlineStr">
        <is>
          <t>Projected Ultimate</t>
        </is>
      </c>
      <c r="F86" s="23" t="inlineStr">
        <is>
          <t>IBNR</t>
        </is>
      </c>
    </row>
    <row r="87">
      <c r="A87">
        <f>A3</f>
        <v/>
      </c>
      <c r="B87">
        <f>LOOKUP(2,1/(B3:Y3&lt;&gt;""),$B$2:$Y$2)</f>
        <v/>
      </c>
      <c r="C87" s="24">
        <f>LOOKUP(2,1/(B3:Y3&lt;&gt;""),B3:Y3)</f>
        <v/>
      </c>
      <c r="D87" s="22">
        <f>HLOOKUP(B87,$B$82:$Y$83,2,FALSE)</f>
        <v/>
      </c>
      <c r="E87" s="24">
        <f>C87*D87</f>
        <v/>
      </c>
      <c r="F87" s="24">
        <f>E87-C87</f>
        <v/>
      </c>
    </row>
    <row r="88">
      <c r="A88">
        <f>A4</f>
        <v/>
      </c>
      <c r="B88">
        <f>LOOKUP(2,1/(B4:Y4&lt;&gt;""),$B$2:$Y$2)</f>
        <v/>
      </c>
      <c r="C88" s="24">
        <f>LOOKUP(2,1/(B4:Y4&lt;&gt;""),B4:Y4)</f>
        <v/>
      </c>
      <c r="D88" s="22">
        <f>HLOOKUP(B88,$B$82:$Y$83,2,FALSE)</f>
        <v/>
      </c>
      <c r="E88" s="24">
        <f>C88*D88</f>
        <v/>
      </c>
      <c r="F88" s="24">
        <f>E88-C88</f>
        <v/>
      </c>
    </row>
    <row r="89">
      <c r="A89">
        <f>A5</f>
        <v/>
      </c>
      <c r="B89">
        <f>LOOKUP(2,1/(B5:Y5&lt;&gt;""),$B$2:$Y$2)</f>
        <v/>
      </c>
      <c r="C89" s="24">
        <f>LOOKUP(2,1/(B5:Y5&lt;&gt;""),B5:Y5)</f>
        <v/>
      </c>
      <c r="D89" s="22">
        <f>HLOOKUP(B89,$B$82:$Y$83,2,FALSE)</f>
        <v/>
      </c>
      <c r="E89" s="24">
        <f>C89*D89</f>
        <v/>
      </c>
      <c r="F89" s="24">
        <f>E89-C89</f>
        <v/>
      </c>
    </row>
    <row r="90">
      <c r="A90">
        <f>A6</f>
        <v/>
      </c>
      <c r="B90">
        <f>LOOKUP(2,1/(B6:Y6&lt;&gt;""),$B$2:$Y$2)</f>
        <v/>
      </c>
      <c r="C90" s="24">
        <f>LOOKUP(2,1/(B6:Y6&lt;&gt;""),B6:Y6)</f>
        <v/>
      </c>
      <c r="D90" s="22">
        <f>HLOOKUP(B90,$B$82:$Y$83,2,FALSE)</f>
        <v/>
      </c>
      <c r="E90" s="24">
        <f>C90*D90</f>
        <v/>
      </c>
      <c r="F90" s="24">
        <f>E90-C90</f>
        <v/>
      </c>
    </row>
    <row r="91">
      <c r="A91">
        <f>A7</f>
        <v/>
      </c>
      <c r="B91">
        <f>LOOKUP(2,1/(B7:Y7&lt;&gt;""),$B$2:$Y$2)</f>
        <v/>
      </c>
      <c r="C91" s="24">
        <f>LOOKUP(2,1/(B7:Y7&lt;&gt;""),B7:Y7)</f>
        <v/>
      </c>
      <c r="D91" s="22">
        <f>HLOOKUP(B91,$B$82:$Y$83,2,FALSE)</f>
        <v/>
      </c>
      <c r="E91" s="24">
        <f>C91*D91</f>
        <v/>
      </c>
      <c r="F91" s="24">
        <f>E91-C91</f>
        <v/>
      </c>
    </row>
    <row r="92">
      <c r="A92">
        <f>A8</f>
        <v/>
      </c>
      <c r="B92">
        <f>LOOKUP(2,1/(B8:Y8&lt;&gt;""),$B$2:$Y$2)</f>
        <v/>
      </c>
      <c r="C92" s="24">
        <f>LOOKUP(2,1/(B8:Y8&lt;&gt;""),B8:Y8)</f>
        <v/>
      </c>
      <c r="D92" s="22">
        <f>HLOOKUP(B92,$B$82:$Y$83,2,FALSE)</f>
        <v/>
      </c>
      <c r="E92" s="24">
        <f>C92*D92</f>
        <v/>
      </c>
      <c r="F92" s="24">
        <f>E92-C92</f>
        <v/>
      </c>
    </row>
    <row r="93">
      <c r="A93">
        <f>A9</f>
        <v/>
      </c>
      <c r="B93">
        <f>LOOKUP(2,1/(B9:Y9&lt;&gt;""),$B$2:$Y$2)</f>
        <v/>
      </c>
      <c r="C93" s="24">
        <f>LOOKUP(2,1/(B9:Y9&lt;&gt;""),B9:Y9)</f>
        <v/>
      </c>
      <c r="D93" s="22">
        <f>HLOOKUP(B93,$B$82:$Y$83,2,FALSE)</f>
        <v/>
      </c>
      <c r="E93" s="24">
        <f>C93*D93</f>
        <v/>
      </c>
      <c r="F93" s="24">
        <f>E93-C93</f>
        <v/>
      </c>
    </row>
    <row r="94">
      <c r="A94">
        <f>A10</f>
        <v/>
      </c>
      <c r="B94">
        <f>LOOKUP(2,1/(B10:Y10&lt;&gt;""),$B$2:$Y$2)</f>
        <v/>
      </c>
      <c r="C94" s="24">
        <f>LOOKUP(2,1/(B10:Y10&lt;&gt;""),B10:Y10)</f>
        <v/>
      </c>
      <c r="D94" s="22">
        <f>HLOOKUP(B94,$B$82:$Y$83,2,FALSE)</f>
        <v/>
      </c>
      <c r="E94" s="24">
        <f>C94*D94</f>
        <v/>
      </c>
      <c r="F94" s="24">
        <f>E94-C94</f>
        <v/>
      </c>
    </row>
    <row r="95">
      <c r="A95">
        <f>A11</f>
        <v/>
      </c>
      <c r="B95">
        <f>LOOKUP(2,1/(B11:Y11&lt;&gt;""),$B$2:$Y$2)</f>
        <v/>
      </c>
      <c r="C95" s="24">
        <f>LOOKUP(2,1/(B11:Y11&lt;&gt;""),B11:Y11)</f>
        <v/>
      </c>
      <c r="D95" s="22">
        <f>HLOOKUP(B95,$B$82:$Y$83,2,FALSE)</f>
        <v/>
      </c>
      <c r="E95" s="24">
        <f>C95*D95</f>
        <v/>
      </c>
      <c r="F95" s="24">
        <f>E95-C95</f>
        <v/>
      </c>
    </row>
    <row r="96">
      <c r="A96">
        <f>A12</f>
        <v/>
      </c>
      <c r="B96">
        <f>LOOKUP(2,1/(B12:Y12&lt;&gt;""),$B$2:$Y$2)</f>
        <v/>
      </c>
      <c r="C96" s="24">
        <f>LOOKUP(2,1/(B12:Y12&lt;&gt;""),B12:Y12)</f>
        <v/>
      </c>
      <c r="D96" s="22">
        <f>HLOOKUP(B96,$B$82:$Y$83,2,FALSE)</f>
        <v/>
      </c>
      <c r="E96" s="24">
        <f>C96*D96</f>
        <v/>
      </c>
      <c r="F96" s="24">
        <f>E96-C96</f>
        <v/>
      </c>
    </row>
    <row r="97">
      <c r="A97">
        <f>A13</f>
        <v/>
      </c>
      <c r="B97">
        <f>LOOKUP(2,1/(B13:Y13&lt;&gt;""),$B$2:$Y$2)</f>
        <v/>
      </c>
      <c r="C97" s="24">
        <f>LOOKUP(2,1/(B13:Y13&lt;&gt;""),B13:Y13)</f>
        <v/>
      </c>
      <c r="D97" s="22">
        <f>HLOOKUP(B97,$B$82:$Y$83,2,FALSE)</f>
        <v/>
      </c>
      <c r="E97" s="24">
        <f>C97*D97</f>
        <v/>
      </c>
      <c r="F97" s="24">
        <f>E97-C97</f>
        <v/>
      </c>
    </row>
    <row r="98">
      <c r="A98">
        <f>A14</f>
        <v/>
      </c>
      <c r="B98">
        <f>LOOKUP(2,1/(B14:Y14&lt;&gt;""),$B$2:$Y$2)</f>
        <v/>
      </c>
      <c r="C98" s="24">
        <f>LOOKUP(2,1/(B14:Y14&lt;&gt;""),B14:Y14)</f>
        <v/>
      </c>
      <c r="D98" s="22">
        <f>HLOOKUP(B98,$B$82:$Y$83,2,FALSE)</f>
        <v/>
      </c>
      <c r="E98" s="24">
        <f>C98*D98</f>
        <v/>
      </c>
      <c r="F98" s="24">
        <f>E98-C98</f>
        <v/>
      </c>
    </row>
    <row r="99">
      <c r="A99">
        <f>A15</f>
        <v/>
      </c>
      <c r="B99">
        <f>LOOKUP(2,1/(B15:Y15&lt;&gt;""),$B$2:$Y$2)</f>
        <v/>
      </c>
      <c r="C99" s="24">
        <f>LOOKUP(2,1/(B15:Y15&lt;&gt;""),B15:Y15)</f>
        <v/>
      </c>
      <c r="D99" s="22">
        <f>HLOOKUP(B99,$B$82:$Y$83,2,FALSE)</f>
        <v/>
      </c>
      <c r="E99" s="24">
        <f>C99*D99</f>
        <v/>
      </c>
      <c r="F99" s="24">
        <f>E99-C99</f>
        <v/>
      </c>
    </row>
    <row r="100">
      <c r="A100">
        <f>A16</f>
        <v/>
      </c>
      <c r="B100">
        <f>LOOKUP(2,1/(B16:Y16&lt;&gt;""),$B$2:$Y$2)</f>
        <v/>
      </c>
      <c r="C100" s="24">
        <f>LOOKUP(2,1/(B16:Y16&lt;&gt;""),B16:Y16)</f>
        <v/>
      </c>
      <c r="D100" s="22">
        <f>HLOOKUP(B100,$B$82:$Y$83,2,FALSE)</f>
        <v/>
      </c>
      <c r="E100" s="24">
        <f>C100*D100</f>
        <v/>
      </c>
      <c r="F100" s="24">
        <f>E100-C100</f>
        <v/>
      </c>
    </row>
    <row r="101">
      <c r="A101">
        <f>A17</f>
        <v/>
      </c>
      <c r="B101">
        <f>LOOKUP(2,1/(B17:Y17&lt;&gt;""),$B$2:$Y$2)</f>
        <v/>
      </c>
      <c r="C101" s="24">
        <f>LOOKUP(2,1/(B17:Y17&lt;&gt;""),B17:Y17)</f>
        <v/>
      </c>
      <c r="D101" s="22">
        <f>HLOOKUP(B101,$B$82:$Y$83,2,FALSE)</f>
        <v/>
      </c>
      <c r="E101" s="24">
        <f>C101*D101</f>
        <v/>
      </c>
      <c r="F101" s="24">
        <f>E101-C101</f>
        <v/>
      </c>
    </row>
    <row r="102">
      <c r="A102">
        <f>A18</f>
        <v/>
      </c>
      <c r="B102">
        <f>LOOKUP(2,1/(B18:Y18&lt;&gt;""),$B$2:$Y$2)</f>
        <v/>
      </c>
      <c r="C102" s="24">
        <f>LOOKUP(2,1/(B18:Y18&lt;&gt;""),B18:Y18)</f>
        <v/>
      </c>
      <c r="D102" s="22">
        <f>HLOOKUP(B102,$B$82:$Y$83,2,FALSE)</f>
        <v/>
      </c>
      <c r="E102" s="24">
        <f>C102*D102</f>
        <v/>
      </c>
      <c r="F102" s="24">
        <f>E102-C102</f>
        <v/>
      </c>
    </row>
    <row r="103">
      <c r="A103">
        <f>A19</f>
        <v/>
      </c>
      <c r="B103">
        <f>LOOKUP(2,1/(B19:Y19&lt;&gt;""),$B$2:$Y$2)</f>
        <v/>
      </c>
      <c r="C103" s="24">
        <f>LOOKUP(2,1/(B19:Y19&lt;&gt;""),B19:Y19)</f>
        <v/>
      </c>
      <c r="D103" s="22">
        <f>HLOOKUP(B103,$B$82:$Y$83,2,FALSE)</f>
        <v/>
      </c>
      <c r="E103" s="24">
        <f>C103*D103</f>
        <v/>
      </c>
      <c r="F103" s="24">
        <f>E103-C103</f>
        <v/>
      </c>
    </row>
    <row r="104">
      <c r="A104">
        <f>A20</f>
        <v/>
      </c>
      <c r="B104">
        <f>LOOKUP(2,1/(B20:Y20&lt;&gt;""),$B$2:$Y$2)</f>
        <v/>
      </c>
      <c r="C104" s="24">
        <f>LOOKUP(2,1/(B20:Y20&lt;&gt;""),B20:Y20)</f>
        <v/>
      </c>
      <c r="D104" s="22">
        <f>HLOOKUP(B104,$B$82:$Y$83,2,FALSE)</f>
        <v/>
      </c>
      <c r="E104" s="24">
        <f>C104*D104</f>
        <v/>
      </c>
      <c r="F104" s="24">
        <f>E104-C104</f>
        <v/>
      </c>
    </row>
    <row r="105">
      <c r="A105">
        <f>A21</f>
        <v/>
      </c>
      <c r="B105">
        <f>LOOKUP(2,1/(B21:Y21&lt;&gt;""),$B$2:$Y$2)</f>
        <v/>
      </c>
      <c r="C105" s="24">
        <f>LOOKUP(2,1/(B21:Y21&lt;&gt;""),B21:Y21)</f>
        <v/>
      </c>
      <c r="D105" s="22">
        <f>HLOOKUP(B105,$B$82:$Y$83,2,FALSE)</f>
        <v/>
      </c>
      <c r="E105" s="24">
        <f>C105*D105</f>
        <v/>
      </c>
      <c r="F105" s="24">
        <f>E105-C105</f>
        <v/>
      </c>
    </row>
    <row r="106">
      <c r="A106">
        <f>A22</f>
        <v/>
      </c>
      <c r="B106">
        <f>LOOKUP(2,1/(B22:Y22&lt;&gt;""),$B$2:$Y$2)</f>
        <v/>
      </c>
      <c r="C106" s="24">
        <f>LOOKUP(2,1/(B22:Y22&lt;&gt;""),B22:Y22)</f>
        <v/>
      </c>
      <c r="D106" s="22">
        <f>HLOOKUP(B106,$B$82:$Y$83,2,FALSE)</f>
        <v/>
      </c>
      <c r="E106" s="24">
        <f>C106*D106</f>
        <v/>
      </c>
      <c r="F106" s="24">
        <f>E106-C106</f>
        <v/>
      </c>
    </row>
    <row r="107">
      <c r="A107">
        <f>A23</f>
        <v/>
      </c>
      <c r="B107">
        <f>LOOKUP(2,1/(B23:Y23&lt;&gt;""),$B$2:$Y$2)</f>
        <v/>
      </c>
      <c r="C107" s="24">
        <f>LOOKUP(2,1/(B23:Y23&lt;&gt;""),B23:Y23)</f>
        <v/>
      </c>
      <c r="D107" s="22">
        <f>HLOOKUP(B107,$B$82:$Y$83,2,FALSE)</f>
        <v/>
      </c>
      <c r="E107" s="24">
        <f>C107*D107</f>
        <v/>
      </c>
      <c r="F107" s="24">
        <f>E107-C107</f>
        <v/>
      </c>
    </row>
    <row r="108">
      <c r="A108">
        <f>A24</f>
        <v/>
      </c>
      <c r="B108">
        <f>LOOKUP(2,1/(B24:Y24&lt;&gt;""),$B$2:$Y$2)</f>
        <v/>
      </c>
      <c r="C108" s="24">
        <f>LOOKUP(2,1/(B24:Y24&lt;&gt;""),B24:Y24)</f>
        <v/>
      </c>
      <c r="D108" s="22">
        <f>HLOOKUP(B108,$B$82:$Y$83,2,FALSE)</f>
        <v/>
      </c>
      <c r="E108" s="24">
        <f>C108*D108</f>
        <v/>
      </c>
      <c r="F108" s="24">
        <f>E108-C108</f>
        <v/>
      </c>
    </row>
    <row r="109">
      <c r="A109">
        <f>A25</f>
        <v/>
      </c>
      <c r="B109">
        <f>LOOKUP(2,1/(B25:Y25&lt;&gt;""),$B$2:$Y$2)</f>
        <v/>
      </c>
      <c r="C109" s="24">
        <f>LOOKUP(2,1/(B25:Y25&lt;&gt;""),B25:Y25)</f>
        <v/>
      </c>
      <c r="D109" s="22">
        <f>HLOOKUP(B109,$B$82:$Y$83,2,FALSE)</f>
        <v/>
      </c>
      <c r="E109" s="24">
        <f>C109*D109</f>
        <v/>
      </c>
      <c r="F109" s="24">
        <f>E109-C109</f>
        <v/>
      </c>
    </row>
    <row r="110">
      <c r="A110">
        <f>A26</f>
        <v/>
      </c>
      <c r="B110">
        <f>LOOKUP(2,1/(B26:Y26&lt;&gt;""),$B$2:$Y$2)</f>
        <v/>
      </c>
      <c r="C110" s="24">
        <f>LOOKUP(2,1/(B26:Y26&lt;&gt;""),B26:Y26)</f>
        <v/>
      </c>
      <c r="D110" s="22">
        <f>HLOOKUP(B110,$B$82:$Y$83,2,FALSE)</f>
        <v/>
      </c>
      <c r="E110" s="24">
        <f>C110*D110</f>
        <v/>
      </c>
      <c r="F110" s="24">
        <f>E110-C110</f>
        <v/>
      </c>
    </row>
  </sheetData>
  <mergeCells count="6">
    <mergeCell ref="A85:F85"/>
    <mergeCell ref="A81:X81"/>
    <mergeCell ref="A28:X28"/>
    <mergeCell ref="A1:Y1"/>
    <mergeCell ref="A70:Y70"/>
    <mergeCell ref="A55:Y5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10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Incurred Loss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3" t="n"/>
    </row>
    <row r="2">
      <c r="A2" s="4" t="inlineStr"/>
      <c r="B2" s="5" t="inlineStr">
        <is>
          <t>11</t>
        </is>
      </c>
      <c r="C2" s="5" t="inlineStr">
        <is>
          <t>23</t>
        </is>
      </c>
      <c r="D2" s="5" t="inlineStr">
        <is>
          <t>35</t>
        </is>
      </c>
      <c r="E2" s="5" t="inlineStr">
        <is>
          <t>47</t>
        </is>
      </c>
      <c r="F2" s="5" t="inlineStr">
        <is>
          <t>59</t>
        </is>
      </c>
      <c r="G2" s="5" t="inlineStr">
        <is>
          <t>71</t>
        </is>
      </c>
      <c r="H2" s="5" t="inlineStr">
        <is>
          <t>83</t>
        </is>
      </c>
      <c r="I2" s="5" t="inlineStr">
        <is>
          <t>95</t>
        </is>
      </c>
      <c r="J2" s="5" t="inlineStr">
        <is>
          <t>107</t>
        </is>
      </c>
      <c r="K2" s="5" t="inlineStr">
        <is>
          <t>119</t>
        </is>
      </c>
      <c r="L2" s="5" t="inlineStr">
        <is>
          <t>131</t>
        </is>
      </c>
      <c r="M2" s="5" t="inlineStr">
        <is>
          <t>143</t>
        </is>
      </c>
      <c r="N2" s="5" t="inlineStr">
        <is>
          <t>155</t>
        </is>
      </c>
      <c r="O2" s="5" t="inlineStr">
        <is>
          <t>167</t>
        </is>
      </c>
      <c r="P2" s="5" t="inlineStr">
        <is>
          <t>179</t>
        </is>
      </c>
      <c r="Q2" s="5" t="inlineStr">
        <is>
          <t>191</t>
        </is>
      </c>
      <c r="R2" s="5" t="inlineStr">
        <is>
          <t>203</t>
        </is>
      </c>
      <c r="S2" s="5" t="inlineStr">
        <is>
          <t>215</t>
        </is>
      </c>
      <c r="T2" s="5" t="inlineStr">
        <is>
          <t>227</t>
        </is>
      </c>
      <c r="U2" s="5" t="inlineStr">
        <is>
          <t>239</t>
        </is>
      </c>
      <c r="V2" s="5" t="inlineStr">
        <is>
          <t>251</t>
        </is>
      </c>
      <c r="W2" s="5" t="inlineStr">
        <is>
          <t>263</t>
        </is>
      </c>
      <c r="X2" s="5" t="inlineStr">
        <is>
          <t>275</t>
        </is>
      </c>
      <c r="Y2" s="5" t="inlineStr">
        <is>
          <t>287</t>
        </is>
      </c>
    </row>
    <row r="3">
      <c r="A3" s="6" t="inlineStr">
        <is>
          <t>2001</t>
        </is>
      </c>
      <c r="B3" s="7" t="n">
        <v>567331.6692</v>
      </c>
      <c r="C3" s="7" t="n">
        <v>1554404.3456</v>
      </c>
      <c r="D3" s="7" t="n">
        <v>1902287.8544</v>
      </c>
      <c r="E3" s="7" t="n">
        <v>2093441.1516</v>
      </c>
      <c r="F3" s="7" t="n">
        <v>2250668.8524</v>
      </c>
      <c r="G3" s="7" t="n">
        <v>2402988.1558</v>
      </c>
      <c r="H3" s="7" t="n">
        <v>2397333.5643</v>
      </c>
      <c r="I3" s="7" t="n">
        <v>2419690.9269</v>
      </c>
      <c r="J3" s="7" t="n">
        <v>2437307.5869</v>
      </c>
      <c r="K3" s="7" t="n">
        <v>2457834.4795</v>
      </c>
      <c r="L3" s="7" t="n">
        <v>2510536.374</v>
      </c>
      <c r="M3" s="7" t="n">
        <v>2562761.5102</v>
      </c>
      <c r="N3" s="7" t="n">
        <v>2559991.01</v>
      </c>
      <c r="O3" s="7" t="n">
        <v>2618542.6253</v>
      </c>
      <c r="P3" s="7" t="n">
        <v>2663167.8948</v>
      </c>
      <c r="Q3" s="7" t="n">
        <v>2804776.81</v>
      </c>
      <c r="R3" s="7" t="n">
        <v>2871037.8848</v>
      </c>
      <c r="S3" s="7" t="n">
        <v>2959799.1689</v>
      </c>
      <c r="T3" s="7" t="n">
        <v>3012996.3884</v>
      </c>
      <c r="U3" s="7" t="n">
        <v>3012996.3884</v>
      </c>
      <c r="V3" s="7" t="n">
        <v>3083594.9884</v>
      </c>
      <c r="W3" s="7" t="n">
        <v>3126481.9884</v>
      </c>
      <c r="X3" s="7" t="n">
        <v>3126481.9884</v>
      </c>
      <c r="Y3" s="7" t="n">
        <v>3163773.6997</v>
      </c>
    </row>
    <row r="4">
      <c r="A4" s="6" t="inlineStr">
        <is>
          <t>2002</t>
        </is>
      </c>
      <c r="B4" s="7" t="n">
        <v>927838.4716</v>
      </c>
      <c r="C4" s="7" t="n">
        <v>1327207.494</v>
      </c>
      <c r="D4" s="7" t="n">
        <v>1342822.3208</v>
      </c>
      <c r="E4" s="7" t="n">
        <v>1604244.318</v>
      </c>
      <c r="F4" s="7" t="n">
        <v>1625395.9885</v>
      </c>
      <c r="G4" s="7" t="n">
        <v>1727293.4023</v>
      </c>
      <c r="H4" s="7" t="n">
        <v>1760101.2711</v>
      </c>
      <c r="I4" s="7" t="n">
        <v>1760466.7343</v>
      </c>
      <c r="J4" s="7" t="n">
        <v>1799039.5397</v>
      </c>
      <c r="K4" s="7" t="n">
        <v>1816376.1146</v>
      </c>
      <c r="L4" s="7" t="n">
        <v>1835002.2026</v>
      </c>
      <c r="M4" s="7" t="n">
        <v>1897241.704</v>
      </c>
      <c r="N4" s="7" t="n">
        <v>1899757.6006</v>
      </c>
      <c r="O4" s="7" t="n">
        <v>1975947.9264</v>
      </c>
      <c r="P4" s="7" t="n">
        <v>2028039.1364</v>
      </c>
      <c r="Q4" s="7" t="n">
        <v>2057884.5296</v>
      </c>
      <c r="R4" s="7" t="n">
        <v>2166744.7601</v>
      </c>
      <c r="S4" s="7" t="n">
        <v>2169205.7481</v>
      </c>
      <c r="T4" s="7" t="n">
        <v>2169205.7481</v>
      </c>
      <c r="U4" s="7" t="n">
        <v>2261092.7687</v>
      </c>
      <c r="V4" s="7" t="n">
        <v>2247056.6453</v>
      </c>
      <c r="W4" s="7" t="n">
        <v>2327733.7563</v>
      </c>
      <c r="X4" s="7" t="n">
        <v>2327733.7563</v>
      </c>
    </row>
    <row r="5">
      <c r="A5" s="6" t="inlineStr">
        <is>
          <t>2003</t>
        </is>
      </c>
      <c r="B5" s="7" t="n">
        <v>1009363.3596</v>
      </c>
      <c r="C5" s="7" t="n">
        <v>1458693.7576</v>
      </c>
      <c r="D5" s="7" t="n">
        <v>1578930.4312</v>
      </c>
      <c r="E5" s="7" t="n">
        <v>1876931.173</v>
      </c>
      <c r="F5" s="7" t="n">
        <v>1703633.0403</v>
      </c>
      <c r="G5" s="7" t="n">
        <v>1819224.3524</v>
      </c>
      <c r="H5" s="7" t="n">
        <v>1814195.5019</v>
      </c>
      <c r="I5" s="7" t="n">
        <v>1800500.416</v>
      </c>
      <c r="J5" s="7" t="n">
        <v>1797139.9227</v>
      </c>
      <c r="K5" s="7" t="n">
        <v>1801084.8669</v>
      </c>
      <c r="L5" s="7" t="n">
        <v>1797322.9116</v>
      </c>
      <c r="M5" s="7" t="n">
        <v>1783419.2233</v>
      </c>
      <c r="N5" s="7" t="n">
        <v>1774330.2012</v>
      </c>
      <c r="O5" s="7" t="n">
        <v>1774330.1088</v>
      </c>
      <c r="P5" s="7" t="n">
        <v>1774330.1088</v>
      </c>
      <c r="Q5" s="7" t="n">
        <v>1774330.1088</v>
      </c>
      <c r="R5" s="7" t="n">
        <v>1778091.5758</v>
      </c>
      <c r="S5" s="7" t="n">
        <v>1778091.5758</v>
      </c>
      <c r="T5" s="7" t="n">
        <v>1778091.5758</v>
      </c>
      <c r="U5" s="7" t="n">
        <v>1778091.5758</v>
      </c>
      <c r="V5" s="7" t="n">
        <v>1778091.5758</v>
      </c>
      <c r="W5" s="7" t="n">
        <v>1778091.5758</v>
      </c>
    </row>
    <row r="6">
      <c r="A6" s="6" t="inlineStr">
        <is>
          <t>2004</t>
        </is>
      </c>
      <c r="B6" s="7" t="n">
        <v>706990.2156</v>
      </c>
      <c r="C6" s="7" t="n">
        <v>807081.8756</v>
      </c>
      <c r="D6" s="7" t="n">
        <v>891146.7297</v>
      </c>
      <c r="E6" s="7" t="n">
        <v>933370.1028</v>
      </c>
      <c r="F6" s="7" t="n">
        <v>1055143.9785</v>
      </c>
      <c r="G6" s="7" t="n">
        <v>1061000.4688</v>
      </c>
      <c r="H6" s="7" t="n">
        <v>1080582.0132</v>
      </c>
      <c r="I6" s="7" t="n">
        <v>1088885.0684</v>
      </c>
      <c r="J6" s="7" t="n">
        <v>1114748.9381</v>
      </c>
      <c r="K6" s="7" t="n">
        <v>1104800.7904</v>
      </c>
      <c r="L6" s="7" t="n">
        <v>1130298.0224</v>
      </c>
      <c r="M6" s="7" t="n">
        <v>1117525.6932</v>
      </c>
      <c r="N6" s="7" t="n">
        <v>1117975.6768</v>
      </c>
      <c r="O6" s="7" t="n">
        <v>1118300.2984</v>
      </c>
      <c r="P6" s="7" t="n">
        <v>1118299.6782</v>
      </c>
      <c r="Q6" s="7" t="n">
        <v>1122581.0808</v>
      </c>
      <c r="R6" s="7" t="n">
        <v>1122581.0808</v>
      </c>
      <c r="S6" s="7" t="n">
        <v>1122581.0808</v>
      </c>
      <c r="T6" s="7" t="n">
        <v>1122581.0808</v>
      </c>
      <c r="U6" s="7" t="n">
        <v>1122614.7306</v>
      </c>
      <c r="V6" s="7" t="n">
        <v>1122614.7306</v>
      </c>
    </row>
    <row r="7">
      <c r="A7" s="6" t="inlineStr">
        <is>
          <t>2005</t>
        </is>
      </c>
      <c r="B7" s="7" t="n">
        <v>1249691.5508</v>
      </c>
      <c r="C7" s="7" t="n">
        <v>1628221.9514</v>
      </c>
      <c r="D7" s="7" t="n">
        <v>1779408.0616</v>
      </c>
      <c r="E7" s="7" t="n">
        <v>1735781.5973</v>
      </c>
      <c r="F7" s="7" t="n">
        <v>1800284.1468</v>
      </c>
      <c r="G7" s="7" t="n">
        <v>1829678.4347</v>
      </c>
      <c r="H7" s="7" t="n">
        <v>1866913.7991</v>
      </c>
      <c r="I7" s="7" t="n">
        <v>1877458.5247</v>
      </c>
      <c r="J7" s="7" t="n">
        <v>1901705.9108</v>
      </c>
      <c r="K7" s="7" t="n">
        <v>1953626.9848</v>
      </c>
      <c r="L7" s="7" t="n">
        <v>1976524.5916</v>
      </c>
      <c r="M7" s="7" t="n">
        <v>2212537.6908</v>
      </c>
      <c r="N7" s="7" t="n">
        <v>2212549.5672</v>
      </c>
      <c r="O7" s="7" t="n">
        <v>2171748.9472</v>
      </c>
      <c r="P7" s="7" t="n">
        <v>2193366.7399</v>
      </c>
      <c r="Q7" s="7" t="n">
        <v>2208705.4536</v>
      </c>
      <c r="R7" s="7" t="n">
        <v>2242149.1321</v>
      </c>
      <c r="S7" s="7" t="n">
        <v>2242149.1321</v>
      </c>
      <c r="T7" s="7" t="n">
        <v>2242149.1321</v>
      </c>
      <c r="U7" s="7" t="n">
        <v>2242149.1321</v>
      </c>
    </row>
    <row r="8">
      <c r="A8" s="6" t="inlineStr">
        <is>
          <t>2006</t>
        </is>
      </c>
      <c r="B8" s="7" t="n">
        <v>765985.3353</v>
      </c>
      <c r="C8" s="7" t="n">
        <v>1158099.949</v>
      </c>
      <c r="D8" s="7" t="n">
        <v>1006637.0924</v>
      </c>
      <c r="E8" s="7" t="n">
        <v>1076536.2516</v>
      </c>
      <c r="F8" s="7" t="n">
        <v>1086240.5108</v>
      </c>
      <c r="G8" s="7" t="n">
        <v>1141033.2455</v>
      </c>
      <c r="H8" s="7" t="n">
        <v>1191316.1021</v>
      </c>
      <c r="I8" s="7" t="n">
        <v>1169378.0556</v>
      </c>
      <c r="J8" s="7" t="n">
        <v>1199839.2137</v>
      </c>
      <c r="K8" s="7" t="n">
        <v>1244365.6452</v>
      </c>
      <c r="L8" s="7" t="n">
        <v>1347851.3164</v>
      </c>
      <c r="M8" s="7" t="n">
        <v>1428877.3956</v>
      </c>
      <c r="N8" s="7" t="n">
        <v>1468194.3366</v>
      </c>
      <c r="O8" s="7" t="n">
        <v>1484004.1739</v>
      </c>
      <c r="P8" s="7" t="n">
        <v>1484861.9139</v>
      </c>
      <c r="Q8" s="7" t="n">
        <v>1502016.7139</v>
      </c>
      <c r="R8" s="7" t="n">
        <v>1506635.3139</v>
      </c>
      <c r="S8" s="7" t="n">
        <v>1517636.7927</v>
      </c>
      <c r="T8" s="7" t="n">
        <v>1517636.7927</v>
      </c>
    </row>
    <row r="9">
      <c r="A9" s="6" t="inlineStr">
        <is>
          <t>2007</t>
        </is>
      </c>
      <c r="B9" s="7" t="n">
        <v>1724656.8811</v>
      </c>
      <c r="C9" s="7" t="n">
        <v>1877762.5606</v>
      </c>
      <c r="D9" s="7" t="n">
        <v>2045106.7768</v>
      </c>
      <c r="E9" s="7" t="n">
        <v>2291428.8419</v>
      </c>
      <c r="F9" s="7" t="n">
        <v>2554191.4604</v>
      </c>
      <c r="G9" s="7" t="n">
        <v>3049073.7774</v>
      </c>
      <c r="H9" s="7" t="n">
        <v>3243034.4444</v>
      </c>
      <c r="I9" s="7" t="n">
        <v>3598222.0844</v>
      </c>
      <c r="J9" s="7" t="n">
        <v>3855992.6032</v>
      </c>
      <c r="K9" s="7" t="n">
        <v>4247900.6072</v>
      </c>
      <c r="L9" s="7" t="n">
        <v>4378240.1384</v>
      </c>
      <c r="M9" s="7" t="n">
        <v>4504737.6146</v>
      </c>
      <c r="N9" s="7" t="n">
        <v>4577330.1566</v>
      </c>
      <c r="O9" s="7" t="n">
        <v>4581600.0523</v>
      </c>
      <c r="P9" s="7" t="n">
        <v>4781468.7005</v>
      </c>
      <c r="Q9" s="7" t="n">
        <v>4781468.7005</v>
      </c>
      <c r="R9" s="7" t="n">
        <v>4798643.3473</v>
      </c>
      <c r="S9" s="7" t="n">
        <v>4810774.6148</v>
      </c>
    </row>
    <row r="10">
      <c r="A10" s="6" t="inlineStr">
        <is>
          <t>2008</t>
        </is>
      </c>
      <c r="B10" s="7" t="n">
        <v>556352.8875</v>
      </c>
      <c r="C10" s="7" t="n">
        <v>770915.0442</v>
      </c>
      <c r="D10" s="7" t="n">
        <v>933165.8683</v>
      </c>
      <c r="E10" s="7" t="n">
        <v>1298006.7782</v>
      </c>
      <c r="F10" s="7" t="n">
        <v>1258119.1102</v>
      </c>
      <c r="G10" s="7" t="n">
        <v>1279315.2512</v>
      </c>
      <c r="H10" s="7" t="n">
        <v>1286243.9166</v>
      </c>
      <c r="I10" s="7" t="n">
        <v>1303173.6192</v>
      </c>
      <c r="J10" s="7" t="n">
        <v>1310621.4416</v>
      </c>
      <c r="K10" s="7" t="n">
        <v>1356059.2284</v>
      </c>
      <c r="L10" s="7" t="n">
        <v>1362732.0233</v>
      </c>
      <c r="M10" s="7" t="n">
        <v>1362957.0151</v>
      </c>
      <c r="N10" s="7" t="n">
        <v>1343109.2414</v>
      </c>
      <c r="O10" s="7" t="n">
        <v>1343439.1414</v>
      </c>
      <c r="P10" s="7" t="n">
        <v>1343439.1414</v>
      </c>
      <c r="Q10" s="7" t="n">
        <v>1350037.1414</v>
      </c>
      <c r="R10" s="7" t="n">
        <v>1378427.9395</v>
      </c>
    </row>
    <row r="11">
      <c r="A11" s="6" t="inlineStr">
        <is>
          <t>2009</t>
        </is>
      </c>
      <c r="B11" s="7" t="n">
        <v>357480.3922</v>
      </c>
      <c r="C11" s="7" t="n">
        <v>872537.4534</v>
      </c>
      <c r="D11" s="7" t="n">
        <v>822240.0416</v>
      </c>
      <c r="E11" s="7" t="n">
        <v>842753.923</v>
      </c>
      <c r="F11" s="7" t="n">
        <v>898761.0856</v>
      </c>
      <c r="G11" s="7" t="n">
        <v>944889.6302</v>
      </c>
      <c r="H11" s="7" t="n">
        <v>979272.5208000001</v>
      </c>
      <c r="I11" s="7" t="n">
        <v>1120353.596</v>
      </c>
      <c r="J11" s="7" t="n">
        <v>1120360.194</v>
      </c>
      <c r="K11" s="7" t="n">
        <v>1120361.8963</v>
      </c>
      <c r="L11" s="7" t="n">
        <v>1120361.8963</v>
      </c>
      <c r="M11" s="7" t="n">
        <v>1135537.2963</v>
      </c>
      <c r="N11" s="7" t="n">
        <v>1169581.0893</v>
      </c>
      <c r="O11" s="7" t="n">
        <v>1169581.0893</v>
      </c>
      <c r="P11" s="7" t="n">
        <v>1169581.0893</v>
      </c>
      <c r="Q11" s="7" t="n">
        <v>1169581.0893</v>
      </c>
    </row>
    <row r="12">
      <c r="A12" s="6" t="inlineStr">
        <is>
          <t>2010</t>
        </is>
      </c>
      <c r="B12" s="7" t="n">
        <v>360030.44</v>
      </c>
      <c r="C12" s="7" t="n">
        <v>730590.3643</v>
      </c>
      <c r="D12" s="7" t="n">
        <v>951322.0996</v>
      </c>
      <c r="E12" s="7" t="n">
        <v>1105337.8676</v>
      </c>
      <c r="F12" s="7" t="n">
        <v>1236185.7351</v>
      </c>
      <c r="G12" s="7" t="n">
        <v>1222899.712</v>
      </c>
      <c r="H12" s="7" t="n">
        <v>1271367.3004</v>
      </c>
      <c r="I12" s="7" t="n">
        <v>1272863.7268</v>
      </c>
      <c r="J12" s="7" t="n">
        <v>1266822.057</v>
      </c>
      <c r="K12" s="7" t="n">
        <v>1267621.5366</v>
      </c>
      <c r="L12" s="7" t="n">
        <v>1268616.515</v>
      </c>
      <c r="M12" s="7" t="n">
        <v>1268690.4126</v>
      </c>
      <c r="N12" s="7" t="n">
        <v>1270339.9126</v>
      </c>
      <c r="O12" s="7" t="n">
        <v>1270069.2627</v>
      </c>
      <c r="P12" s="7" t="n">
        <v>1277672.0721</v>
      </c>
    </row>
    <row r="13">
      <c r="A13" s="6" t="inlineStr">
        <is>
          <t>2011</t>
        </is>
      </c>
      <c r="B13" s="7" t="n">
        <v>454047.3346</v>
      </c>
      <c r="C13" s="7" t="n">
        <v>886919.7606</v>
      </c>
      <c r="D13" s="7" t="n">
        <v>1308017.8708</v>
      </c>
      <c r="E13" s="7" t="n">
        <v>1510353.973</v>
      </c>
      <c r="F13" s="7" t="n">
        <v>1611539.0668</v>
      </c>
      <c r="G13" s="7" t="n">
        <v>1740504.8944</v>
      </c>
      <c r="H13" s="7" t="n">
        <v>1836702.4148</v>
      </c>
      <c r="I13" s="7" t="n">
        <v>1836817.6951</v>
      </c>
      <c r="J13" s="7" t="n">
        <v>1862143.4583</v>
      </c>
      <c r="K13" s="7" t="n">
        <v>1869290.4119</v>
      </c>
      <c r="L13" s="7" t="n">
        <v>1921985.9327</v>
      </c>
      <c r="M13" s="7" t="n">
        <v>1916081.5804</v>
      </c>
      <c r="N13" s="7" t="n">
        <v>1916081.5804</v>
      </c>
      <c r="O13" s="7" t="n">
        <v>1916081.5804</v>
      </c>
    </row>
    <row r="14">
      <c r="A14" s="6" t="inlineStr">
        <is>
          <t>2012</t>
        </is>
      </c>
      <c r="B14" s="7" t="n">
        <v>335887.1044</v>
      </c>
      <c r="C14" s="7" t="n">
        <v>682490.522</v>
      </c>
      <c r="D14" s="7" t="n">
        <v>892010.9489</v>
      </c>
      <c r="E14" s="7" t="n">
        <v>969399.2736</v>
      </c>
      <c r="F14" s="7" t="n">
        <v>966369.472</v>
      </c>
      <c r="G14" s="7" t="n">
        <v>974833.3864</v>
      </c>
      <c r="H14" s="7" t="n">
        <v>978738.6634</v>
      </c>
      <c r="I14" s="7" t="n">
        <v>1029196.2086</v>
      </c>
      <c r="J14" s="7" t="n">
        <v>1086698.5968</v>
      </c>
      <c r="K14" s="7" t="n">
        <v>1148149.3733</v>
      </c>
      <c r="L14" s="7" t="n">
        <v>1156726.7733</v>
      </c>
      <c r="M14" s="7" t="n">
        <v>1363753.3805</v>
      </c>
      <c r="N14" s="7" t="n">
        <v>1363753.3805</v>
      </c>
    </row>
    <row r="15">
      <c r="A15" s="6" t="inlineStr">
        <is>
          <t>2013</t>
        </is>
      </c>
      <c r="B15" s="7" t="n">
        <v>279096.7196</v>
      </c>
      <c r="C15" s="7" t="n">
        <v>509656.1495</v>
      </c>
      <c r="D15" s="7" t="n">
        <v>554121.1536</v>
      </c>
      <c r="E15" s="7" t="n">
        <v>668048.8196</v>
      </c>
      <c r="F15" s="7" t="n">
        <v>708646.3136</v>
      </c>
      <c r="G15" s="7" t="n">
        <v>706804.6403</v>
      </c>
      <c r="H15" s="7" t="n">
        <v>707153.1202</v>
      </c>
      <c r="I15" s="7" t="n">
        <v>707153.1202</v>
      </c>
      <c r="J15" s="7" t="n">
        <v>708518.7743</v>
      </c>
      <c r="K15" s="7" t="n">
        <v>708518.7743</v>
      </c>
      <c r="L15" s="7" t="n">
        <v>708529.9909</v>
      </c>
      <c r="M15" s="7" t="n">
        <v>708529.9909</v>
      </c>
    </row>
    <row r="16">
      <c r="A16" s="6" t="inlineStr">
        <is>
          <t>2014</t>
        </is>
      </c>
      <c r="B16" s="7" t="n">
        <v>579453.8975</v>
      </c>
      <c r="C16" s="7" t="n">
        <v>791674.226</v>
      </c>
      <c r="D16" s="7" t="n">
        <v>1117488.7444</v>
      </c>
      <c r="E16" s="7" t="n">
        <v>1292116.6908</v>
      </c>
      <c r="F16" s="7" t="n">
        <v>1310589.9427</v>
      </c>
      <c r="G16" s="7" t="n">
        <v>1355751.9331</v>
      </c>
      <c r="H16" s="7" t="n">
        <v>1316935.0942</v>
      </c>
      <c r="I16" s="7" t="n">
        <v>1316935.0942</v>
      </c>
      <c r="J16" s="7" t="n">
        <v>1371038.6942</v>
      </c>
      <c r="K16" s="7" t="n">
        <v>1399322.0241</v>
      </c>
      <c r="L16" s="7" t="n">
        <v>1389603.6847</v>
      </c>
    </row>
    <row r="17">
      <c r="A17" s="6" t="inlineStr">
        <is>
          <t>2015</t>
        </is>
      </c>
      <c r="B17" s="7" t="n">
        <v>538066.9</v>
      </c>
      <c r="C17" s="7" t="n">
        <v>1068443.1712</v>
      </c>
      <c r="D17" s="7" t="n">
        <v>1605602.1864</v>
      </c>
      <c r="E17" s="7" t="n">
        <v>2133023.2398</v>
      </c>
      <c r="F17" s="7" t="n">
        <v>2358964.558</v>
      </c>
      <c r="G17" s="7" t="n">
        <v>2680270.1351</v>
      </c>
      <c r="H17" s="7" t="n">
        <v>3055333.4055</v>
      </c>
      <c r="I17" s="7" t="n">
        <v>3076051.1255</v>
      </c>
      <c r="J17" s="7" t="n">
        <v>3086205.1704</v>
      </c>
      <c r="K17" s="7" t="n">
        <v>3382963.2581</v>
      </c>
    </row>
    <row r="18">
      <c r="A18" s="6" t="inlineStr">
        <is>
          <t>2016</t>
        </is>
      </c>
      <c r="B18" s="7" t="n">
        <v>687801.912</v>
      </c>
      <c r="C18" s="7" t="n">
        <v>1285960.7568</v>
      </c>
      <c r="D18" s="7" t="n">
        <v>1733469.988</v>
      </c>
      <c r="E18" s="7" t="n">
        <v>1884267.6211</v>
      </c>
      <c r="F18" s="7" t="n">
        <v>2152415.9626</v>
      </c>
      <c r="G18" s="7" t="n">
        <v>2220417.4843</v>
      </c>
      <c r="H18" s="7" t="n">
        <v>2503620.4692</v>
      </c>
      <c r="I18" s="7" t="n">
        <v>2503024.6434</v>
      </c>
      <c r="J18" s="7" t="n">
        <v>2506323.6434</v>
      </c>
    </row>
    <row r="19">
      <c r="A19" s="6" t="inlineStr">
        <is>
          <t>2017</t>
        </is>
      </c>
      <c r="B19" s="7" t="n">
        <v>461326.8816</v>
      </c>
      <c r="C19" s="7" t="n">
        <v>614872.6873</v>
      </c>
      <c r="D19" s="7" t="n">
        <v>635999.2061</v>
      </c>
      <c r="E19" s="7" t="n">
        <v>832770.2121</v>
      </c>
      <c r="F19" s="7" t="n">
        <v>895289.4819</v>
      </c>
      <c r="G19" s="7" t="n">
        <v>1014108.2981</v>
      </c>
      <c r="H19" s="7" t="n">
        <v>1168952.8937</v>
      </c>
      <c r="I19" s="7" t="n">
        <v>1205811.8289</v>
      </c>
    </row>
    <row r="20">
      <c r="A20" s="6" t="inlineStr">
        <is>
          <t>2018</t>
        </is>
      </c>
      <c r="B20" s="7" t="n">
        <v>507983.8204</v>
      </c>
      <c r="C20" s="7" t="n">
        <v>1168067.9171</v>
      </c>
      <c r="D20" s="7" t="n">
        <v>1668858.2021</v>
      </c>
      <c r="E20" s="7" t="n">
        <v>2316819.635</v>
      </c>
      <c r="F20" s="7" t="n">
        <v>2303518.1066</v>
      </c>
      <c r="G20" s="7" t="n">
        <v>2333675.3477</v>
      </c>
      <c r="H20" s="7" t="n">
        <v>2395448.4233</v>
      </c>
    </row>
    <row r="21">
      <c r="A21" s="6" t="inlineStr">
        <is>
          <t>2019</t>
        </is>
      </c>
      <c r="B21" s="7" t="n">
        <v>407914.8312</v>
      </c>
      <c r="C21" s="7" t="n">
        <v>1124607.0627</v>
      </c>
      <c r="D21" s="7" t="n">
        <v>1740054.5413</v>
      </c>
      <c r="E21" s="7" t="n">
        <v>2000563.0454</v>
      </c>
      <c r="F21" s="7" t="n">
        <v>2127378.6904</v>
      </c>
      <c r="G21" s="7" t="n">
        <v>2599882.8743</v>
      </c>
    </row>
    <row r="22">
      <c r="A22" s="6" t="inlineStr">
        <is>
          <t>2020</t>
        </is>
      </c>
      <c r="B22" s="7" t="n">
        <v>522102.6035</v>
      </c>
      <c r="C22" s="7" t="n">
        <v>931915.5209999999</v>
      </c>
      <c r="D22" s="7" t="n">
        <v>916291.8001</v>
      </c>
      <c r="E22" s="7" t="n">
        <v>969468.3019</v>
      </c>
      <c r="F22" s="7" t="n">
        <v>978899.5095</v>
      </c>
    </row>
    <row r="23">
      <c r="A23" s="6" t="inlineStr">
        <is>
          <t>2021</t>
        </is>
      </c>
      <c r="B23" s="7" t="n">
        <v>549457.067</v>
      </c>
      <c r="C23" s="7" t="n">
        <v>800935.1524</v>
      </c>
      <c r="D23" s="7" t="n">
        <v>980316.7863</v>
      </c>
      <c r="E23" s="7" t="n">
        <v>1011313.2797</v>
      </c>
    </row>
    <row r="24">
      <c r="A24" s="6" t="inlineStr">
        <is>
          <t>2022</t>
        </is>
      </c>
      <c r="B24" s="7" t="n">
        <v>694623.0036000001</v>
      </c>
      <c r="C24" s="7" t="n">
        <v>851655.8786000001</v>
      </c>
      <c r="D24" s="7" t="n">
        <v>827416.1066000001</v>
      </c>
    </row>
    <row r="25">
      <c r="A25" s="6" t="inlineStr">
        <is>
          <t>2023</t>
        </is>
      </c>
      <c r="B25" s="7" t="n">
        <v>975000.3026000001</v>
      </c>
      <c r="C25" s="7" t="n">
        <v>1651756.6744</v>
      </c>
    </row>
    <row r="26">
      <c r="A26" s="6" t="inlineStr">
        <is>
          <t>2024</t>
        </is>
      </c>
      <c r="B26" s="7" t="n">
        <v>890155.2218000001</v>
      </c>
    </row>
    <row r="28">
      <c r="A28" s="1" t="inlineStr">
        <is>
          <t>Age-to-Age Factors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3" t="n"/>
    </row>
    <row r="29">
      <c r="A29" s="4" t="inlineStr"/>
      <c r="B29" s="5" t="inlineStr">
        <is>
          <t>11-23</t>
        </is>
      </c>
      <c r="C29" s="5" t="inlineStr">
        <is>
          <t>23-35</t>
        </is>
      </c>
      <c r="D29" s="5" t="inlineStr">
        <is>
          <t>35-47</t>
        </is>
      </c>
      <c r="E29" s="5" t="inlineStr">
        <is>
          <t>47-59</t>
        </is>
      </c>
      <c r="F29" s="5" t="inlineStr">
        <is>
          <t>59-71</t>
        </is>
      </c>
      <c r="G29" s="5" t="inlineStr">
        <is>
          <t>71-83</t>
        </is>
      </c>
      <c r="H29" s="5" t="inlineStr">
        <is>
          <t>83-95</t>
        </is>
      </c>
      <c r="I29" s="5" t="inlineStr">
        <is>
          <t>95-107</t>
        </is>
      </c>
      <c r="J29" s="5" t="inlineStr">
        <is>
          <t>107-119</t>
        </is>
      </c>
      <c r="K29" s="5" t="inlineStr">
        <is>
          <t>119-131</t>
        </is>
      </c>
      <c r="L29" s="5" t="inlineStr">
        <is>
          <t>131-143</t>
        </is>
      </c>
      <c r="M29" s="5" t="inlineStr">
        <is>
          <t>143-155</t>
        </is>
      </c>
      <c r="N29" s="5" t="inlineStr">
        <is>
          <t>155-167</t>
        </is>
      </c>
      <c r="O29" s="5" t="inlineStr">
        <is>
          <t>167-179</t>
        </is>
      </c>
      <c r="P29" s="5" t="inlineStr">
        <is>
          <t>179-191</t>
        </is>
      </c>
      <c r="Q29" s="5" t="inlineStr">
        <is>
          <t>191-203</t>
        </is>
      </c>
      <c r="R29" s="5" t="inlineStr">
        <is>
          <t>203-215</t>
        </is>
      </c>
      <c r="S29" s="5" t="inlineStr">
        <is>
          <t>215-227</t>
        </is>
      </c>
      <c r="T29" s="5" t="inlineStr">
        <is>
          <t>227-239</t>
        </is>
      </c>
      <c r="U29" s="5" t="inlineStr">
        <is>
          <t>239-251</t>
        </is>
      </c>
      <c r="V29" s="5" t="inlineStr">
        <is>
          <t>251-263</t>
        </is>
      </c>
      <c r="W29" s="5" t="inlineStr">
        <is>
          <t>263-275</t>
        </is>
      </c>
      <c r="X29" s="5" t="inlineStr">
        <is>
          <t>275-287</t>
        </is>
      </c>
    </row>
    <row r="30">
      <c r="A30" s="6" t="inlineStr">
        <is>
          <t>2001</t>
        </is>
      </c>
      <c r="B30" s="8">
        <f>IFERROR(IF(C3="","",C3/B3),"")</f>
        <v/>
      </c>
      <c r="C30" s="8">
        <f>IFERROR(IF(D3="","",D3/C3),"")</f>
        <v/>
      </c>
      <c r="D30" s="8">
        <f>IFERROR(IF(E3="","",E3/D3),"")</f>
        <v/>
      </c>
      <c r="E30" s="8">
        <f>IFERROR(IF(F3="","",F3/E3),"")</f>
        <v/>
      </c>
      <c r="F30" s="8">
        <f>IFERROR(IF(G3="","",G3/F3),"")</f>
        <v/>
      </c>
      <c r="G30" s="8">
        <f>IFERROR(IF(H3="","",H3/G3),"")</f>
        <v/>
      </c>
      <c r="H30" s="8">
        <f>IFERROR(IF(I3="","",I3/H3),"")</f>
        <v/>
      </c>
      <c r="I30" s="8">
        <f>IFERROR(IF(J3="","",J3/I3),"")</f>
        <v/>
      </c>
      <c r="J30" s="8">
        <f>IFERROR(IF(K3="","",K3/J3),"")</f>
        <v/>
      </c>
      <c r="K30" s="8">
        <f>IFERROR(IF(L3="","",L3/K3),"")</f>
        <v/>
      </c>
      <c r="L30" s="8">
        <f>IFERROR(IF(M3="","",M3/L3),"")</f>
        <v/>
      </c>
      <c r="M30" s="8">
        <f>IFERROR(IF(N3="","",N3/M3),"")</f>
        <v/>
      </c>
      <c r="N30" s="8">
        <f>IFERROR(IF(O3="","",O3/N3),"")</f>
        <v/>
      </c>
      <c r="O30" s="8">
        <f>IFERROR(IF(P3="","",P3/O3),"")</f>
        <v/>
      </c>
      <c r="P30" s="8">
        <f>IFERROR(IF(Q3="","",Q3/P3),"")</f>
        <v/>
      </c>
      <c r="Q30" s="8">
        <f>IFERROR(IF(R3="","",R3/Q3),"")</f>
        <v/>
      </c>
      <c r="R30" s="8">
        <f>IFERROR(IF(S3="","",S3/R3),"")</f>
        <v/>
      </c>
      <c r="S30" s="8">
        <f>IFERROR(IF(T3="","",T3/S3),"")</f>
        <v/>
      </c>
      <c r="T30" s="8">
        <f>IFERROR(IF(U3="","",U3/T3),"")</f>
        <v/>
      </c>
      <c r="U30" s="8">
        <f>IFERROR(IF(V3="","",V3/U3),"")</f>
        <v/>
      </c>
      <c r="V30" s="8">
        <f>IFERROR(IF(W3="","",W3/V3),"")</f>
        <v/>
      </c>
      <c r="W30" s="8">
        <f>IFERROR(IF(X3="","",X3/W3),"")</f>
        <v/>
      </c>
      <c r="X30" s="8">
        <f>IFERROR(IF(Y3="","",Y3/X3),"")</f>
        <v/>
      </c>
    </row>
    <row r="31">
      <c r="A31" s="6" t="inlineStr">
        <is>
          <t>2002</t>
        </is>
      </c>
      <c r="B31" s="8">
        <f>IFERROR(IF(C4="","",C4/B4),"")</f>
        <v/>
      </c>
      <c r="C31" s="8">
        <f>IFERROR(IF(D4="","",D4/C4),"")</f>
        <v/>
      </c>
      <c r="D31" s="8">
        <f>IFERROR(IF(E4="","",E4/D4),"")</f>
        <v/>
      </c>
      <c r="E31" s="8">
        <f>IFERROR(IF(F4="","",F4/E4),"")</f>
        <v/>
      </c>
      <c r="F31" s="8">
        <f>IFERROR(IF(G4="","",G4/F4),"")</f>
        <v/>
      </c>
      <c r="G31" s="8">
        <f>IFERROR(IF(H4="","",H4/G4),"")</f>
        <v/>
      </c>
      <c r="H31" s="8">
        <f>IFERROR(IF(I4="","",I4/H4),"")</f>
        <v/>
      </c>
      <c r="I31" s="8">
        <f>IFERROR(IF(J4="","",J4/I4),"")</f>
        <v/>
      </c>
      <c r="J31" s="8">
        <f>IFERROR(IF(K4="","",K4/J4),"")</f>
        <v/>
      </c>
      <c r="K31" s="8">
        <f>IFERROR(IF(L4="","",L4/K4),"")</f>
        <v/>
      </c>
      <c r="L31" s="8">
        <f>IFERROR(IF(M4="","",M4/L4),"")</f>
        <v/>
      </c>
      <c r="M31" s="8">
        <f>IFERROR(IF(N4="","",N4/M4),"")</f>
        <v/>
      </c>
      <c r="N31" s="8">
        <f>IFERROR(IF(O4="","",O4/N4),"")</f>
        <v/>
      </c>
      <c r="O31" s="8">
        <f>IFERROR(IF(P4="","",P4/O4),"")</f>
        <v/>
      </c>
      <c r="P31" s="8">
        <f>IFERROR(IF(Q4="","",Q4/P4),"")</f>
        <v/>
      </c>
      <c r="Q31" s="8">
        <f>IFERROR(IF(R4="","",R4/Q4),"")</f>
        <v/>
      </c>
      <c r="R31" s="8">
        <f>IFERROR(IF(S4="","",S4/R4),"")</f>
        <v/>
      </c>
      <c r="S31" s="8">
        <f>IFERROR(IF(T4="","",T4/S4),"")</f>
        <v/>
      </c>
      <c r="T31" s="8">
        <f>IFERROR(IF(U4="","",U4/T4),"")</f>
        <v/>
      </c>
      <c r="U31" s="8">
        <f>IFERROR(IF(V4="","",V4/U4),"")</f>
        <v/>
      </c>
      <c r="V31" s="8">
        <f>IFERROR(IF(W4="","",W4/V4),"")</f>
        <v/>
      </c>
      <c r="W31" s="8">
        <f>IFERROR(IF(X4="","",X4/W4),"")</f>
        <v/>
      </c>
      <c r="X31" s="8">
        <f>IFERROR(IF(Y4="","",Y4/X4),"")</f>
        <v/>
      </c>
    </row>
    <row r="32">
      <c r="A32" s="6" t="inlineStr">
        <is>
          <t>2003</t>
        </is>
      </c>
      <c r="B32" s="8">
        <f>IFERROR(IF(C5="","",C5/B5),"")</f>
        <v/>
      </c>
      <c r="C32" s="8">
        <f>IFERROR(IF(D5="","",D5/C5),"")</f>
        <v/>
      </c>
      <c r="D32" s="8">
        <f>IFERROR(IF(E5="","",E5/D5),"")</f>
        <v/>
      </c>
      <c r="E32" s="8">
        <f>IFERROR(IF(F5="","",F5/E5),"")</f>
        <v/>
      </c>
      <c r="F32" s="8">
        <f>IFERROR(IF(G5="","",G5/F5),"")</f>
        <v/>
      </c>
      <c r="G32" s="8">
        <f>IFERROR(IF(H5="","",H5/G5),"")</f>
        <v/>
      </c>
      <c r="H32" s="8">
        <f>IFERROR(IF(I5="","",I5/H5),"")</f>
        <v/>
      </c>
      <c r="I32" s="8">
        <f>IFERROR(IF(J5="","",J5/I5),"")</f>
        <v/>
      </c>
      <c r="J32" s="8">
        <f>IFERROR(IF(K5="","",K5/J5),"")</f>
        <v/>
      </c>
      <c r="K32" s="8">
        <f>IFERROR(IF(L5="","",L5/K5),"")</f>
        <v/>
      </c>
      <c r="L32" s="8">
        <f>IFERROR(IF(M5="","",M5/L5),"")</f>
        <v/>
      </c>
      <c r="M32" s="8">
        <f>IFERROR(IF(N5="","",N5/M5),"")</f>
        <v/>
      </c>
      <c r="N32" s="8">
        <f>IFERROR(IF(O5="","",O5/N5),"")</f>
        <v/>
      </c>
      <c r="O32" s="8">
        <f>IFERROR(IF(P5="","",P5/O5),"")</f>
        <v/>
      </c>
      <c r="P32" s="8">
        <f>IFERROR(IF(Q5="","",Q5/P5),"")</f>
        <v/>
      </c>
      <c r="Q32" s="8">
        <f>IFERROR(IF(R5="","",R5/Q5),"")</f>
        <v/>
      </c>
      <c r="R32" s="8">
        <f>IFERROR(IF(S5="","",S5/R5),"")</f>
        <v/>
      </c>
      <c r="S32" s="8">
        <f>IFERROR(IF(T5="","",T5/S5),"")</f>
        <v/>
      </c>
      <c r="T32" s="8">
        <f>IFERROR(IF(U5="","",U5/T5),"")</f>
        <v/>
      </c>
      <c r="U32" s="8">
        <f>IFERROR(IF(V5="","",V5/U5),"")</f>
        <v/>
      </c>
      <c r="V32" s="8">
        <f>IFERROR(IF(W5="","",W5/V5),"")</f>
        <v/>
      </c>
      <c r="W32" s="8">
        <f>IFERROR(IF(X5="","",X5/W5),"")</f>
        <v/>
      </c>
      <c r="X32" s="8">
        <f>IFERROR(IF(Y5="","",Y5/X5),"")</f>
        <v/>
      </c>
    </row>
    <row r="33">
      <c r="A33" s="6" t="inlineStr">
        <is>
          <t>2004</t>
        </is>
      </c>
      <c r="B33" s="8">
        <f>IFERROR(IF(C6="","",C6/B6),"")</f>
        <v/>
      </c>
      <c r="C33" s="8">
        <f>IFERROR(IF(D6="","",D6/C6),"")</f>
        <v/>
      </c>
      <c r="D33" s="8">
        <f>IFERROR(IF(E6="","",E6/D6),"")</f>
        <v/>
      </c>
      <c r="E33" s="8">
        <f>IFERROR(IF(F6="","",F6/E6),"")</f>
        <v/>
      </c>
      <c r="F33" s="8">
        <f>IFERROR(IF(G6="","",G6/F6),"")</f>
        <v/>
      </c>
      <c r="G33" s="8">
        <f>IFERROR(IF(H6="","",H6/G6),"")</f>
        <v/>
      </c>
      <c r="H33" s="8">
        <f>IFERROR(IF(I6="","",I6/H6),"")</f>
        <v/>
      </c>
      <c r="I33" s="8">
        <f>IFERROR(IF(J6="","",J6/I6),"")</f>
        <v/>
      </c>
      <c r="J33" s="8">
        <f>IFERROR(IF(K6="","",K6/J6),"")</f>
        <v/>
      </c>
      <c r="K33" s="8">
        <f>IFERROR(IF(L6="","",L6/K6),"")</f>
        <v/>
      </c>
      <c r="L33" s="8">
        <f>IFERROR(IF(M6="","",M6/L6),"")</f>
        <v/>
      </c>
      <c r="M33" s="8">
        <f>IFERROR(IF(N6="","",N6/M6),"")</f>
        <v/>
      </c>
      <c r="N33" s="8">
        <f>IFERROR(IF(O6="","",O6/N6),"")</f>
        <v/>
      </c>
      <c r="O33" s="8">
        <f>IFERROR(IF(P6="","",P6/O6),"")</f>
        <v/>
      </c>
      <c r="P33" s="8">
        <f>IFERROR(IF(Q6="","",Q6/P6),"")</f>
        <v/>
      </c>
      <c r="Q33" s="8">
        <f>IFERROR(IF(R6="","",R6/Q6),"")</f>
        <v/>
      </c>
      <c r="R33" s="8">
        <f>IFERROR(IF(S6="","",S6/R6),"")</f>
        <v/>
      </c>
      <c r="S33" s="8">
        <f>IFERROR(IF(T6="","",T6/S6),"")</f>
        <v/>
      </c>
      <c r="T33" s="8">
        <f>IFERROR(IF(U6="","",U6/T6),"")</f>
        <v/>
      </c>
      <c r="U33" s="8">
        <f>IFERROR(IF(V6="","",V6/U6),"")</f>
        <v/>
      </c>
      <c r="V33" s="8">
        <f>IFERROR(IF(W6="","",W6/V6),"")</f>
        <v/>
      </c>
      <c r="W33" s="8">
        <f>IFERROR(IF(X6="","",X6/W6),"")</f>
        <v/>
      </c>
      <c r="X33" s="8">
        <f>IFERROR(IF(Y6="","",Y6/X6),"")</f>
        <v/>
      </c>
    </row>
    <row r="34">
      <c r="A34" s="6" t="inlineStr">
        <is>
          <t>2005</t>
        </is>
      </c>
      <c r="B34" s="8">
        <f>IFERROR(IF(C7="","",C7/B7),"")</f>
        <v/>
      </c>
      <c r="C34" s="8">
        <f>IFERROR(IF(D7="","",D7/C7),"")</f>
        <v/>
      </c>
      <c r="D34" s="8">
        <f>IFERROR(IF(E7="","",E7/D7),"")</f>
        <v/>
      </c>
      <c r="E34" s="8">
        <f>IFERROR(IF(F7="","",F7/E7),"")</f>
        <v/>
      </c>
      <c r="F34" s="8">
        <f>IFERROR(IF(G7="","",G7/F7),"")</f>
        <v/>
      </c>
      <c r="G34" s="8">
        <f>IFERROR(IF(H7="","",H7/G7),"")</f>
        <v/>
      </c>
      <c r="H34" s="8">
        <f>IFERROR(IF(I7="","",I7/H7),"")</f>
        <v/>
      </c>
      <c r="I34" s="8">
        <f>IFERROR(IF(J7="","",J7/I7),"")</f>
        <v/>
      </c>
      <c r="J34" s="8">
        <f>IFERROR(IF(K7="","",K7/J7),"")</f>
        <v/>
      </c>
      <c r="K34" s="8">
        <f>IFERROR(IF(L7="","",L7/K7),"")</f>
        <v/>
      </c>
      <c r="L34" s="8">
        <f>IFERROR(IF(M7="","",M7/L7),"")</f>
        <v/>
      </c>
      <c r="M34" s="8">
        <f>IFERROR(IF(N7="","",N7/M7),"")</f>
        <v/>
      </c>
      <c r="N34" s="8">
        <f>IFERROR(IF(O7="","",O7/N7),"")</f>
        <v/>
      </c>
      <c r="O34" s="8">
        <f>IFERROR(IF(P7="","",P7/O7),"")</f>
        <v/>
      </c>
      <c r="P34" s="8">
        <f>IFERROR(IF(Q7="","",Q7/P7),"")</f>
        <v/>
      </c>
      <c r="Q34" s="8">
        <f>IFERROR(IF(R7="","",R7/Q7),"")</f>
        <v/>
      </c>
      <c r="R34" s="8">
        <f>IFERROR(IF(S7="","",S7/R7),"")</f>
        <v/>
      </c>
      <c r="S34" s="8">
        <f>IFERROR(IF(T7="","",T7/S7),"")</f>
        <v/>
      </c>
      <c r="T34" s="8">
        <f>IFERROR(IF(U7="","",U7/T7),"")</f>
        <v/>
      </c>
      <c r="U34" s="8">
        <f>IFERROR(IF(V7="","",V7/U7),"")</f>
        <v/>
      </c>
      <c r="V34" s="8">
        <f>IFERROR(IF(W7="","",W7/V7),"")</f>
        <v/>
      </c>
      <c r="W34" s="8">
        <f>IFERROR(IF(X7="","",X7/W7),"")</f>
        <v/>
      </c>
      <c r="X34" s="8">
        <f>IFERROR(IF(Y7="","",Y7/X7),"")</f>
        <v/>
      </c>
    </row>
    <row r="35">
      <c r="A35" s="6" t="inlineStr">
        <is>
          <t>2006</t>
        </is>
      </c>
      <c r="B35" s="8">
        <f>IFERROR(IF(C8="","",C8/B8),"")</f>
        <v/>
      </c>
      <c r="C35" s="8">
        <f>IFERROR(IF(D8="","",D8/C8),"")</f>
        <v/>
      </c>
      <c r="D35" s="8">
        <f>IFERROR(IF(E8="","",E8/D8),"")</f>
        <v/>
      </c>
      <c r="E35" s="8">
        <f>IFERROR(IF(F8="","",F8/E8),"")</f>
        <v/>
      </c>
      <c r="F35" s="8">
        <f>IFERROR(IF(G8="","",G8/F8),"")</f>
        <v/>
      </c>
      <c r="G35" s="8">
        <f>IFERROR(IF(H8="","",H8/G8),"")</f>
        <v/>
      </c>
      <c r="H35" s="8">
        <f>IFERROR(IF(I8="","",I8/H8),"")</f>
        <v/>
      </c>
      <c r="I35" s="8">
        <f>IFERROR(IF(J8="","",J8/I8),"")</f>
        <v/>
      </c>
      <c r="J35" s="8">
        <f>IFERROR(IF(K8="","",K8/J8),"")</f>
        <v/>
      </c>
      <c r="K35" s="8">
        <f>IFERROR(IF(L8="","",L8/K8),"")</f>
        <v/>
      </c>
      <c r="L35" s="8">
        <f>IFERROR(IF(M8="","",M8/L8),"")</f>
        <v/>
      </c>
      <c r="M35" s="8">
        <f>IFERROR(IF(N8="","",N8/M8),"")</f>
        <v/>
      </c>
      <c r="N35" s="8">
        <f>IFERROR(IF(O8="","",O8/N8),"")</f>
        <v/>
      </c>
      <c r="O35" s="8">
        <f>IFERROR(IF(P8="","",P8/O8),"")</f>
        <v/>
      </c>
      <c r="P35" s="8">
        <f>IFERROR(IF(Q8="","",Q8/P8),"")</f>
        <v/>
      </c>
      <c r="Q35" s="8">
        <f>IFERROR(IF(R8="","",R8/Q8),"")</f>
        <v/>
      </c>
      <c r="R35" s="8">
        <f>IFERROR(IF(S8="","",S8/R8),"")</f>
        <v/>
      </c>
      <c r="S35" s="8">
        <f>IFERROR(IF(T8="","",T8/S8),"")</f>
        <v/>
      </c>
      <c r="T35" s="8">
        <f>IFERROR(IF(U8="","",U8/T8),"")</f>
        <v/>
      </c>
      <c r="U35" s="8">
        <f>IFERROR(IF(V8="","",V8/U8),"")</f>
        <v/>
      </c>
      <c r="V35" s="8">
        <f>IFERROR(IF(W8="","",W8/V8),"")</f>
        <v/>
      </c>
      <c r="W35" s="8">
        <f>IFERROR(IF(X8="","",X8/W8),"")</f>
        <v/>
      </c>
      <c r="X35" s="8">
        <f>IFERROR(IF(Y8="","",Y8/X8),"")</f>
        <v/>
      </c>
    </row>
    <row r="36">
      <c r="A36" s="6" t="inlineStr">
        <is>
          <t>2007</t>
        </is>
      </c>
      <c r="B36" s="8">
        <f>IFERROR(IF(C9="","",C9/B9),"")</f>
        <v/>
      </c>
      <c r="C36" s="8">
        <f>IFERROR(IF(D9="","",D9/C9),"")</f>
        <v/>
      </c>
      <c r="D36" s="8">
        <f>IFERROR(IF(E9="","",E9/D9),"")</f>
        <v/>
      </c>
      <c r="E36" s="8">
        <f>IFERROR(IF(F9="","",F9/E9),"")</f>
        <v/>
      </c>
      <c r="F36" s="8">
        <f>IFERROR(IF(G9="","",G9/F9),"")</f>
        <v/>
      </c>
      <c r="G36" s="8">
        <f>IFERROR(IF(H9="","",H9/G9),"")</f>
        <v/>
      </c>
      <c r="H36" s="8">
        <f>IFERROR(IF(I9="","",I9/H9),"")</f>
        <v/>
      </c>
      <c r="I36" s="8">
        <f>IFERROR(IF(J9="","",J9/I9),"")</f>
        <v/>
      </c>
      <c r="J36" s="8">
        <f>IFERROR(IF(K9="","",K9/J9),"")</f>
        <v/>
      </c>
      <c r="K36" s="8">
        <f>IFERROR(IF(L9="","",L9/K9),"")</f>
        <v/>
      </c>
      <c r="L36" s="8">
        <f>IFERROR(IF(M9="","",M9/L9),"")</f>
        <v/>
      </c>
      <c r="M36" s="8">
        <f>IFERROR(IF(N9="","",N9/M9),"")</f>
        <v/>
      </c>
      <c r="N36" s="8">
        <f>IFERROR(IF(O9="","",O9/N9),"")</f>
        <v/>
      </c>
      <c r="O36" s="8">
        <f>IFERROR(IF(P9="","",P9/O9),"")</f>
        <v/>
      </c>
      <c r="P36" s="8">
        <f>IFERROR(IF(Q9="","",Q9/P9),"")</f>
        <v/>
      </c>
      <c r="Q36" s="8">
        <f>IFERROR(IF(R9="","",R9/Q9),"")</f>
        <v/>
      </c>
      <c r="R36" s="8">
        <f>IFERROR(IF(S9="","",S9/R9),"")</f>
        <v/>
      </c>
      <c r="S36" s="8">
        <f>IFERROR(IF(T9="","",T9/S9),"")</f>
        <v/>
      </c>
      <c r="T36" s="8">
        <f>IFERROR(IF(U9="","",U9/T9),"")</f>
        <v/>
      </c>
      <c r="U36" s="8">
        <f>IFERROR(IF(V9="","",V9/U9),"")</f>
        <v/>
      </c>
      <c r="V36" s="8">
        <f>IFERROR(IF(W9="","",W9/V9),"")</f>
        <v/>
      </c>
      <c r="W36" s="8">
        <f>IFERROR(IF(X9="","",X9/W9),"")</f>
        <v/>
      </c>
      <c r="X36" s="8">
        <f>IFERROR(IF(Y9="","",Y9/X9),"")</f>
        <v/>
      </c>
    </row>
    <row r="37">
      <c r="A37" s="6" t="inlineStr">
        <is>
          <t>2008</t>
        </is>
      </c>
      <c r="B37" s="8">
        <f>IFERROR(IF(C10="","",C10/B10),"")</f>
        <v/>
      </c>
      <c r="C37" s="8">
        <f>IFERROR(IF(D10="","",D10/C10),"")</f>
        <v/>
      </c>
      <c r="D37" s="8">
        <f>IFERROR(IF(E10="","",E10/D10),"")</f>
        <v/>
      </c>
      <c r="E37" s="8">
        <f>IFERROR(IF(F10="","",F10/E10),"")</f>
        <v/>
      </c>
      <c r="F37" s="8">
        <f>IFERROR(IF(G10="","",G10/F10),"")</f>
        <v/>
      </c>
      <c r="G37" s="8">
        <f>IFERROR(IF(H10="","",H10/G10),"")</f>
        <v/>
      </c>
      <c r="H37" s="8">
        <f>IFERROR(IF(I10="","",I10/H10),"")</f>
        <v/>
      </c>
      <c r="I37" s="8">
        <f>IFERROR(IF(J10="","",J10/I10),"")</f>
        <v/>
      </c>
      <c r="J37" s="8">
        <f>IFERROR(IF(K10="","",K10/J10),"")</f>
        <v/>
      </c>
      <c r="K37" s="8">
        <f>IFERROR(IF(L10="","",L10/K10),"")</f>
        <v/>
      </c>
      <c r="L37" s="8">
        <f>IFERROR(IF(M10="","",M10/L10),"")</f>
        <v/>
      </c>
      <c r="M37" s="8">
        <f>IFERROR(IF(N10="","",N10/M10),"")</f>
        <v/>
      </c>
      <c r="N37" s="8">
        <f>IFERROR(IF(O10="","",O10/N10),"")</f>
        <v/>
      </c>
      <c r="O37" s="8">
        <f>IFERROR(IF(P10="","",P10/O10),"")</f>
        <v/>
      </c>
      <c r="P37" s="8">
        <f>IFERROR(IF(Q10="","",Q10/P10),"")</f>
        <v/>
      </c>
      <c r="Q37" s="8">
        <f>IFERROR(IF(R10="","",R10/Q10),"")</f>
        <v/>
      </c>
      <c r="R37" s="8">
        <f>IFERROR(IF(S10="","",S10/R10),"")</f>
        <v/>
      </c>
      <c r="S37" s="8">
        <f>IFERROR(IF(T10="","",T10/S10),"")</f>
        <v/>
      </c>
      <c r="T37" s="8">
        <f>IFERROR(IF(U10="","",U10/T10),"")</f>
        <v/>
      </c>
      <c r="U37" s="8">
        <f>IFERROR(IF(V10="","",V10/U10),"")</f>
        <v/>
      </c>
      <c r="V37" s="8">
        <f>IFERROR(IF(W10="","",W10/V10),"")</f>
        <v/>
      </c>
      <c r="W37" s="8">
        <f>IFERROR(IF(X10="","",X10/W10),"")</f>
        <v/>
      </c>
      <c r="X37" s="8">
        <f>IFERROR(IF(Y10="","",Y10/X10),"")</f>
        <v/>
      </c>
    </row>
    <row r="38">
      <c r="A38" s="6" t="inlineStr">
        <is>
          <t>2009</t>
        </is>
      </c>
      <c r="B38" s="8">
        <f>IFERROR(IF(C11="","",C11/B11),"")</f>
        <v/>
      </c>
      <c r="C38" s="8">
        <f>IFERROR(IF(D11="","",D11/C11),"")</f>
        <v/>
      </c>
      <c r="D38" s="8">
        <f>IFERROR(IF(E11="","",E11/D11),"")</f>
        <v/>
      </c>
      <c r="E38" s="8">
        <f>IFERROR(IF(F11="","",F11/E11),"")</f>
        <v/>
      </c>
      <c r="F38" s="8">
        <f>IFERROR(IF(G11="","",G11/F11),"")</f>
        <v/>
      </c>
      <c r="G38" s="8">
        <f>IFERROR(IF(H11="","",H11/G11),"")</f>
        <v/>
      </c>
      <c r="H38" s="8">
        <f>IFERROR(IF(I11="","",I11/H11),"")</f>
        <v/>
      </c>
      <c r="I38" s="8">
        <f>IFERROR(IF(J11="","",J11/I11),"")</f>
        <v/>
      </c>
      <c r="J38" s="8">
        <f>IFERROR(IF(K11="","",K11/J11),"")</f>
        <v/>
      </c>
      <c r="K38" s="8">
        <f>IFERROR(IF(L11="","",L11/K11),"")</f>
        <v/>
      </c>
      <c r="L38" s="8">
        <f>IFERROR(IF(M11="","",M11/L11),"")</f>
        <v/>
      </c>
      <c r="M38" s="8">
        <f>IFERROR(IF(N11="","",N11/M11),"")</f>
        <v/>
      </c>
      <c r="N38" s="8">
        <f>IFERROR(IF(O11="","",O11/N11),"")</f>
        <v/>
      </c>
      <c r="O38" s="8">
        <f>IFERROR(IF(P11="","",P11/O11),"")</f>
        <v/>
      </c>
      <c r="P38" s="8">
        <f>IFERROR(IF(Q11="","",Q11/P11),"")</f>
        <v/>
      </c>
      <c r="Q38" s="8">
        <f>IFERROR(IF(R11="","",R11/Q11),"")</f>
        <v/>
      </c>
      <c r="R38" s="8">
        <f>IFERROR(IF(S11="","",S11/R11),"")</f>
        <v/>
      </c>
      <c r="S38" s="8">
        <f>IFERROR(IF(T11="","",T11/S11),"")</f>
        <v/>
      </c>
      <c r="T38" s="8">
        <f>IFERROR(IF(U11="","",U11/T11),"")</f>
        <v/>
      </c>
      <c r="U38" s="8">
        <f>IFERROR(IF(V11="","",V11/U11),"")</f>
        <v/>
      </c>
      <c r="V38" s="8">
        <f>IFERROR(IF(W11="","",W11/V11),"")</f>
        <v/>
      </c>
      <c r="W38" s="8">
        <f>IFERROR(IF(X11="","",X11/W11),"")</f>
        <v/>
      </c>
      <c r="X38" s="8">
        <f>IFERROR(IF(Y11="","",Y11/X11),"")</f>
        <v/>
      </c>
    </row>
    <row r="39">
      <c r="A39" s="6" t="inlineStr">
        <is>
          <t>2010</t>
        </is>
      </c>
      <c r="B39" s="8">
        <f>IFERROR(IF(C12="","",C12/B12),"")</f>
        <v/>
      </c>
      <c r="C39" s="8">
        <f>IFERROR(IF(D12="","",D12/C12),"")</f>
        <v/>
      </c>
      <c r="D39" s="8">
        <f>IFERROR(IF(E12="","",E12/D12),"")</f>
        <v/>
      </c>
      <c r="E39" s="8">
        <f>IFERROR(IF(F12="","",F12/E12),"")</f>
        <v/>
      </c>
      <c r="F39" s="8">
        <f>IFERROR(IF(G12="","",G12/F12),"")</f>
        <v/>
      </c>
      <c r="G39" s="8">
        <f>IFERROR(IF(H12="","",H12/G12),"")</f>
        <v/>
      </c>
      <c r="H39" s="8">
        <f>IFERROR(IF(I12="","",I12/H12),"")</f>
        <v/>
      </c>
      <c r="I39" s="8">
        <f>IFERROR(IF(J12="","",J12/I12),"")</f>
        <v/>
      </c>
      <c r="J39" s="8">
        <f>IFERROR(IF(K12="","",K12/J12),"")</f>
        <v/>
      </c>
      <c r="K39" s="8">
        <f>IFERROR(IF(L12="","",L12/K12),"")</f>
        <v/>
      </c>
      <c r="L39" s="8">
        <f>IFERROR(IF(M12="","",M12/L12),"")</f>
        <v/>
      </c>
      <c r="M39" s="8">
        <f>IFERROR(IF(N12="","",N12/M12),"")</f>
        <v/>
      </c>
      <c r="N39" s="8">
        <f>IFERROR(IF(O12="","",O12/N12),"")</f>
        <v/>
      </c>
      <c r="O39" s="8">
        <f>IFERROR(IF(P12="","",P12/O12),"")</f>
        <v/>
      </c>
      <c r="P39" s="8">
        <f>IFERROR(IF(Q12="","",Q12/P12),"")</f>
        <v/>
      </c>
      <c r="Q39" s="8">
        <f>IFERROR(IF(R12="","",R12/Q12),"")</f>
        <v/>
      </c>
      <c r="R39" s="8">
        <f>IFERROR(IF(S12="","",S12/R12),"")</f>
        <v/>
      </c>
      <c r="S39" s="8">
        <f>IFERROR(IF(T12="","",T12/S12),"")</f>
        <v/>
      </c>
      <c r="T39" s="8">
        <f>IFERROR(IF(U12="","",U12/T12),"")</f>
        <v/>
      </c>
      <c r="U39" s="8">
        <f>IFERROR(IF(V12="","",V12/U12),"")</f>
        <v/>
      </c>
      <c r="V39" s="8">
        <f>IFERROR(IF(W12="","",W12/V12),"")</f>
        <v/>
      </c>
      <c r="W39" s="8">
        <f>IFERROR(IF(X12="","",X12/W12),"")</f>
        <v/>
      </c>
      <c r="X39" s="8">
        <f>IFERROR(IF(Y12="","",Y12/X12),"")</f>
        <v/>
      </c>
    </row>
    <row r="40">
      <c r="A40" s="6" t="inlineStr">
        <is>
          <t>2011</t>
        </is>
      </c>
      <c r="B40" s="8">
        <f>IFERROR(IF(C13="","",C13/B13),"")</f>
        <v/>
      </c>
      <c r="C40" s="8">
        <f>IFERROR(IF(D13="","",D13/C13),"")</f>
        <v/>
      </c>
      <c r="D40" s="8">
        <f>IFERROR(IF(E13="","",E13/D13),"")</f>
        <v/>
      </c>
      <c r="E40" s="8">
        <f>IFERROR(IF(F13="","",F13/E13),"")</f>
        <v/>
      </c>
      <c r="F40" s="8">
        <f>IFERROR(IF(G13="","",G13/F13),"")</f>
        <v/>
      </c>
      <c r="G40" s="8">
        <f>IFERROR(IF(H13="","",H13/G13),"")</f>
        <v/>
      </c>
      <c r="H40" s="8">
        <f>IFERROR(IF(I13="","",I13/H13),"")</f>
        <v/>
      </c>
      <c r="I40" s="8">
        <f>IFERROR(IF(J13="","",J13/I13),"")</f>
        <v/>
      </c>
      <c r="J40" s="8">
        <f>IFERROR(IF(K13="","",K13/J13),"")</f>
        <v/>
      </c>
      <c r="K40" s="8">
        <f>IFERROR(IF(L13="","",L13/K13),"")</f>
        <v/>
      </c>
      <c r="L40" s="8">
        <f>IFERROR(IF(M13="","",M13/L13),"")</f>
        <v/>
      </c>
      <c r="M40" s="8">
        <f>IFERROR(IF(N13="","",N13/M13),"")</f>
        <v/>
      </c>
      <c r="N40" s="8">
        <f>IFERROR(IF(O13="","",O13/N13),"")</f>
        <v/>
      </c>
      <c r="O40" s="8">
        <f>IFERROR(IF(P13="","",P13/O13),"")</f>
        <v/>
      </c>
      <c r="P40" s="8">
        <f>IFERROR(IF(Q13="","",Q13/P13),"")</f>
        <v/>
      </c>
      <c r="Q40" s="8">
        <f>IFERROR(IF(R13="","",R13/Q13),"")</f>
        <v/>
      </c>
      <c r="R40" s="8">
        <f>IFERROR(IF(S13="","",S13/R13),"")</f>
        <v/>
      </c>
      <c r="S40" s="8">
        <f>IFERROR(IF(T13="","",T13/S13),"")</f>
        <v/>
      </c>
      <c r="T40" s="8">
        <f>IFERROR(IF(U13="","",U13/T13),"")</f>
        <v/>
      </c>
      <c r="U40" s="8">
        <f>IFERROR(IF(V13="","",V13/U13),"")</f>
        <v/>
      </c>
      <c r="V40" s="8">
        <f>IFERROR(IF(W13="","",W13/V13),"")</f>
        <v/>
      </c>
      <c r="W40" s="8">
        <f>IFERROR(IF(X13="","",X13/W13),"")</f>
        <v/>
      </c>
      <c r="X40" s="8">
        <f>IFERROR(IF(Y13="","",Y13/X13),"")</f>
        <v/>
      </c>
    </row>
    <row r="41">
      <c r="A41" s="6" t="inlineStr">
        <is>
          <t>2012</t>
        </is>
      </c>
      <c r="B41" s="8">
        <f>IFERROR(IF(C14="","",C14/B14),"")</f>
        <v/>
      </c>
      <c r="C41" s="8">
        <f>IFERROR(IF(D14="","",D14/C14),"")</f>
        <v/>
      </c>
      <c r="D41" s="8">
        <f>IFERROR(IF(E14="","",E14/D14),"")</f>
        <v/>
      </c>
      <c r="E41" s="8">
        <f>IFERROR(IF(F14="","",F14/E14),"")</f>
        <v/>
      </c>
      <c r="F41" s="8">
        <f>IFERROR(IF(G14="","",G14/F14),"")</f>
        <v/>
      </c>
      <c r="G41" s="8">
        <f>IFERROR(IF(H14="","",H14/G14),"")</f>
        <v/>
      </c>
      <c r="H41" s="8">
        <f>IFERROR(IF(I14="","",I14/H14),"")</f>
        <v/>
      </c>
      <c r="I41" s="8">
        <f>IFERROR(IF(J14="","",J14/I14),"")</f>
        <v/>
      </c>
      <c r="J41" s="8">
        <f>IFERROR(IF(K14="","",K14/J14),"")</f>
        <v/>
      </c>
      <c r="K41" s="8">
        <f>IFERROR(IF(L14="","",L14/K14),"")</f>
        <v/>
      </c>
      <c r="L41" s="8">
        <f>IFERROR(IF(M14="","",M14/L14),"")</f>
        <v/>
      </c>
      <c r="M41" s="8">
        <f>IFERROR(IF(N14="","",N14/M14),"")</f>
        <v/>
      </c>
      <c r="N41" s="8">
        <f>IFERROR(IF(O14="","",O14/N14),"")</f>
        <v/>
      </c>
      <c r="O41" s="8">
        <f>IFERROR(IF(P14="","",P14/O14),"")</f>
        <v/>
      </c>
      <c r="P41" s="8">
        <f>IFERROR(IF(Q14="","",Q14/P14),"")</f>
        <v/>
      </c>
      <c r="Q41" s="8">
        <f>IFERROR(IF(R14="","",R14/Q14),"")</f>
        <v/>
      </c>
      <c r="R41" s="8">
        <f>IFERROR(IF(S14="","",S14/R14),"")</f>
        <v/>
      </c>
      <c r="S41" s="8">
        <f>IFERROR(IF(T14="","",T14/S14),"")</f>
        <v/>
      </c>
      <c r="T41" s="8">
        <f>IFERROR(IF(U14="","",U14/T14),"")</f>
        <v/>
      </c>
      <c r="U41" s="8">
        <f>IFERROR(IF(V14="","",V14/U14),"")</f>
        <v/>
      </c>
      <c r="V41" s="8">
        <f>IFERROR(IF(W14="","",W14/V14),"")</f>
        <v/>
      </c>
      <c r="W41" s="8">
        <f>IFERROR(IF(X14="","",X14/W14),"")</f>
        <v/>
      </c>
      <c r="X41" s="8">
        <f>IFERROR(IF(Y14="","",Y14/X14),"")</f>
        <v/>
      </c>
    </row>
    <row r="42">
      <c r="A42" s="6" t="inlineStr">
        <is>
          <t>2013</t>
        </is>
      </c>
      <c r="B42" s="8">
        <f>IFERROR(IF(C15="","",C15/B15),"")</f>
        <v/>
      </c>
      <c r="C42" s="8">
        <f>IFERROR(IF(D15="","",D15/C15),"")</f>
        <v/>
      </c>
      <c r="D42" s="8">
        <f>IFERROR(IF(E15="","",E15/D15),"")</f>
        <v/>
      </c>
      <c r="E42" s="8">
        <f>IFERROR(IF(F15="","",F15/E15),"")</f>
        <v/>
      </c>
      <c r="F42" s="8">
        <f>IFERROR(IF(G15="","",G15/F15),"")</f>
        <v/>
      </c>
      <c r="G42" s="8">
        <f>IFERROR(IF(H15="","",H15/G15),"")</f>
        <v/>
      </c>
      <c r="H42" s="8">
        <f>IFERROR(IF(I15="","",I15/H15),"")</f>
        <v/>
      </c>
      <c r="I42" s="8">
        <f>IFERROR(IF(J15="","",J15/I15),"")</f>
        <v/>
      </c>
      <c r="J42" s="8">
        <f>IFERROR(IF(K15="","",K15/J15),"")</f>
        <v/>
      </c>
      <c r="K42" s="8">
        <f>IFERROR(IF(L15="","",L15/K15),"")</f>
        <v/>
      </c>
      <c r="L42" s="8">
        <f>IFERROR(IF(M15="","",M15/L15),"")</f>
        <v/>
      </c>
      <c r="M42" s="8">
        <f>IFERROR(IF(N15="","",N15/M15),"")</f>
        <v/>
      </c>
      <c r="N42" s="8">
        <f>IFERROR(IF(O15="","",O15/N15),"")</f>
        <v/>
      </c>
      <c r="O42" s="8">
        <f>IFERROR(IF(P15="","",P15/O15),"")</f>
        <v/>
      </c>
      <c r="P42" s="8">
        <f>IFERROR(IF(Q15="","",Q15/P15),"")</f>
        <v/>
      </c>
      <c r="Q42" s="8">
        <f>IFERROR(IF(R15="","",R15/Q15),"")</f>
        <v/>
      </c>
      <c r="R42" s="8">
        <f>IFERROR(IF(S15="","",S15/R15),"")</f>
        <v/>
      </c>
      <c r="S42" s="8">
        <f>IFERROR(IF(T15="","",T15/S15),"")</f>
        <v/>
      </c>
      <c r="T42" s="8">
        <f>IFERROR(IF(U15="","",U15/T15),"")</f>
        <v/>
      </c>
      <c r="U42" s="8">
        <f>IFERROR(IF(V15="","",V15/U15),"")</f>
        <v/>
      </c>
      <c r="V42" s="8">
        <f>IFERROR(IF(W15="","",W15/V15),"")</f>
        <v/>
      </c>
      <c r="W42" s="8">
        <f>IFERROR(IF(X15="","",X15/W15),"")</f>
        <v/>
      </c>
      <c r="X42" s="8">
        <f>IFERROR(IF(Y15="","",Y15/X15),"")</f>
        <v/>
      </c>
    </row>
    <row r="43">
      <c r="A43" s="6" t="inlineStr">
        <is>
          <t>2014</t>
        </is>
      </c>
      <c r="B43" s="8">
        <f>IFERROR(IF(C16="","",C16/B16),"")</f>
        <v/>
      </c>
      <c r="C43" s="8">
        <f>IFERROR(IF(D16="","",D16/C16),"")</f>
        <v/>
      </c>
      <c r="D43" s="8">
        <f>IFERROR(IF(E16="","",E16/D16),"")</f>
        <v/>
      </c>
      <c r="E43" s="8">
        <f>IFERROR(IF(F16="","",F16/E16),"")</f>
        <v/>
      </c>
      <c r="F43" s="8">
        <f>IFERROR(IF(G16="","",G16/F16),"")</f>
        <v/>
      </c>
      <c r="G43" s="8">
        <f>IFERROR(IF(H16="","",H16/G16),"")</f>
        <v/>
      </c>
      <c r="H43" s="8">
        <f>IFERROR(IF(I16="","",I16/H16),"")</f>
        <v/>
      </c>
      <c r="I43" s="8">
        <f>IFERROR(IF(J16="","",J16/I16),"")</f>
        <v/>
      </c>
      <c r="J43" s="8">
        <f>IFERROR(IF(K16="","",K16/J16),"")</f>
        <v/>
      </c>
      <c r="K43" s="8">
        <f>IFERROR(IF(L16="","",L16/K16),"")</f>
        <v/>
      </c>
      <c r="L43" s="8">
        <f>IFERROR(IF(M16="","",M16/L16),"")</f>
        <v/>
      </c>
      <c r="M43" s="8">
        <f>IFERROR(IF(N16="","",N16/M16),"")</f>
        <v/>
      </c>
      <c r="N43" s="8">
        <f>IFERROR(IF(O16="","",O16/N16),"")</f>
        <v/>
      </c>
      <c r="O43" s="8">
        <f>IFERROR(IF(P16="","",P16/O16),"")</f>
        <v/>
      </c>
      <c r="P43" s="8">
        <f>IFERROR(IF(Q16="","",Q16/P16),"")</f>
        <v/>
      </c>
      <c r="Q43" s="8">
        <f>IFERROR(IF(R16="","",R16/Q16),"")</f>
        <v/>
      </c>
      <c r="R43" s="8">
        <f>IFERROR(IF(S16="","",S16/R16),"")</f>
        <v/>
      </c>
      <c r="S43" s="8">
        <f>IFERROR(IF(T16="","",T16/S16),"")</f>
        <v/>
      </c>
      <c r="T43" s="8">
        <f>IFERROR(IF(U16="","",U16/T16),"")</f>
        <v/>
      </c>
      <c r="U43" s="8">
        <f>IFERROR(IF(V16="","",V16/U16),"")</f>
        <v/>
      </c>
      <c r="V43" s="8">
        <f>IFERROR(IF(W16="","",W16/V16),"")</f>
        <v/>
      </c>
      <c r="W43" s="8">
        <f>IFERROR(IF(X16="","",X16/W16),"")</f>
        <v/>
      </c>
      <c r="X43" s="8">
        <f>IFERROR(IF(Y16="","",Y16/X16),"")</f>
        <v/>
      </c>
    </row>
    <row r="44">
      <c r="A44" s="6" t="inlineStr">
        <is>
          <t>2015</t>
        </is>
      </c>
      <c r="B44" s="8">
        <f>IFERROR(IF(C17="","",C17/B17),"")</f>
        <v/>
      </c>
      <c r="C44" s="8">
        <f>IFERROR(IF(D17="","",D17/C17),"")</f>
        <v/>
      </c>
      <c r="D44" s="8">
        <f>IFERROR(IF(E17="","",E17/D17),"")</f>
        <v/>
      </c>
      <c r="E44" s="8">
        <f>IFERROR(IF(F17="","",F17/E17),"")</f>
        <v/>
      </c>
      <c r="F44" s="8">
        <f>IFERROR(IF(G17="","",G17/F17),"")</f>
        <v/>
      </c>
      <c r="G44" s="8">
        <f>IFERROR(IF(H17="","",H17/G17),"")</f>
        <v/>
      </c>
      <c r="H44" s="8">
        <f>IFERROR(IF(I17="","",I17/H17),"")</f>
        <v/>
      </c>
      <c r="I44" s="8">
        <f>IFERROR(IF(J17="","",J17/I17),"")</f>
        <v/>
      </c>
      <c r="J44" s="8">
        <f>IFERROR(IF(K17="","",K17/J17),"")</f>
        <v/>
      </c>
      <c r="K44" s="8">
        <f>IFERROR(IF(L17="","",L17/K17),"")</f>
        <v/>
      </c>
      <c r="L44" s="8">
        <f>IFERROR(IF(M17="","",M17/L17),"")</f>
        <v/>
      </c>
      <c r="M44" s="8">
        <f>IFERROR(IF(N17="","",N17/M17),"")</f>
        <v/>
      </c>
      <c r="N44" s="8">
        <f>IFERROR(IF(O17="","",O17/N17),"")</f>
        <v/>
      </c>
      <c r="O44" s="8">
        <f>IFERROR(IF(P17="","",P17/O17),"")</f>
        <v/>
      </c>
      <c r="P44" s="8">
        <f>IFERROR(IF(Q17="","",Q17/P17),"")</f>
        <v/>
      </c>
      <c r="Q44" s="8">
        <f>IFERROR(IF(R17="","",R17/Q17),"")</f>
        <v/>
      </c>
      <c r="R44" s="8">
        <f>IFERROR(IF(S17="","",S17/R17),"")</f>
        <v/>
      </c>
      <c r="S44" s="8">
        <f>IFERROR(IF(T17="","",T17/S17),"")</f>
        <v/>
      </c>
      <c r="T44" s="8">
        <f>IFERROR(IF(U17="","",U17/T17),"")</f>
        <v/>
      </c>
      <c r="U44" s="8">
        <f>IFERROR(IF(V17="","",V17/U17),"")</f>
        <v/>
      </c>
      <c r="V44" s="8">
        <f>IFERROR(IF(W17="","",W17/V17),"")</f>
        <v/>
      </c>
      <c r="W44" s="8">
        <f>IFERROR(IF(X17="","",X17/W17),"")</f>
        <v/>
      </c>
      <c r="X44" s="8">
        <f>IFERROR(IF(Y17="","",Y17/X17),"")</f>
        <v/>
      </c>
    </row>
    <row r="45">
      <c r="A45" s="6" t="inlineStr">
        <is>
          <t>2016</t>
        </is>
      </c>
      <c r="B45" s="8">
        <f>IFERROR(IF(C18="","",C18/B18),"")</f>
        <v/>
      </c>
      <c r="C45" s="8">
        <f>IFERROR(IF(D18="","",D18/C18),"")</f>
        <v/>
      </c>
      <c r="D45" s="8">
        <f>IFERROR(IF(E18="","",E18/D18),"")</f>
        <v/>
      </c>
      <c r="E45" s="8">
        <f>IFERROR(IF(F18="","",F18/E18),"")</f>
        <v/>
      </c>
      <c r="F45" s="8">
        <f>IFERROR(IF(G18="","",G18/F18),"")</f>
        <v/>
      </c>
      <c r="G45" s="8">
        <f>IFERROR(IF(H18="","",H18/G18),"")</f>
        <v/>
      </c>
      <c r="H45" s="8">
        <f>IFERROR(IF(I18="","",I18/H18),"")</f>
        <v/>
      </c>
      <c r="I45" s="8">
        <f>IFERROR(IF(J18="","",J18/I18),"")</f>
        <v/>
      </c>
      <c r="J45" s="8">
        <f>IFERROR(IF(K18="","",K18/J18),"")</f>
        <v/>
      </c>
      <c r="K45" s="8">
        <f>IFERROR(IF(L18="","",L18/K18),"")</f>
        <v/>
      </c>
      <c r="L45" s="8">
        <f>IFERROR(IF(M18="","",M18/L18),"")</f>
        <v/>
      </c>
      <c r="M45" s="8">
        <f>IFERROR(IF(N18="","",N18/M18),"")</f>
        <v/>
      </c>
      <c r="N45" s="8">
        <f>IFERROR(IF(O18="","",O18/N18),"")</f>
        <v/>
      </c>
      <c r="O45" s="8">
        <f>IFERROR(IF(P18="","",P18/O18),"")</f>
        <v/>
      </c>
      <c r="P45" s="8">
        <f>IFERROR(IF(Q18="","",Q18/P18),"")</f>
        <v/>
      </c>
      <c r="Q45" s="8">
        <f>IFERROR(IF(R18="","",R18/Q18),"")</f>
        <v/>
      </c>
      <c r="R45" s="8">
        <f>IFERROR(IF(S18="","",S18/R18),"")</f>
        <v/>
      </c>
      <c r="S45" s="8">
        <f>IFERROR(IF(T18="","",T18/S18),"")</f>
        <v/>
      </c>
      <c r="T45" s="8">
        <f>IFERROR(IF(U18="","",U18/T18),"")</f>
        <v/>
      </c>
      <c r="U45" s="8">
        <f>IFERROR(IF(V18="","",V18/U18),"")</f>
        <v/>
      </c>
      <c r="V45" s="8">
        <f>IFERROR(IF(W18="","",W18/V18),"")</f>
        <v/>
      </c>
      <c r="W45" s="8">
        <f>IFERROR(IF(X18="","",X18/W18),"")</f>
        <v/>
      </c>
      <c r="X45" s="8">
        <f>IFERROR(IF(Y18="","",Y18/X18),"")</f>
        <v/>
      </c>
    </row>
    <row r="46">
      <c r="A46" s="6" t="inlineStr">
        <is>
          <t>2017</t>
        </is>
      </c>
      <c r="B46" s="8">
        <f>IFERROR(IF(C19="","",C19/B19),"")</f>
        <v/>
      </c>
      <c r="C46" s="8">
        <f>IFERROR(IF(D19="","",D19/C19),"")</f>
        <v/>
      </c>
      <c r="D46" s="8">
        <f>IFERROR(IF(E19="","",E19/D19),"")</f>
        <v/>
      </c>
      <c r="E46" s="8">
        <f>IFERROR(IF(F19="","",F19/E19),"")</f>
        <v/>
      </c>
      <c r="F46" s="8">
        <f>IFERROR(IF(G19="","",G19/F19),"")</f>
        <v/>
      </c>
      <c r="G46" s="8">
        <f>IFERROR(IF(H19="","",H19/G19),"")</f>
        <v/>
      </c>
      <c r="H46" s="8">
        <f>IFERROR(IF(I19="","",I19/H19),"")</f>
        <v/>
      </c>
      <c r="I46" s="8">
        <f>IFERROR(IF(J19="","",J19/I19),"")</f>
        <v/>
      </c>
      <c r="J46" s="8">
        <f>IFERROR(IF(K19="","",K19/J19),"")</f>
        <v/>
      </c>
      <c r="K46" s="8">
        <f>IFERROR(IF(L19="","",L19/K19),"")</f>
        <v/>
      </c>
      <c r="L46" s="8">
        <f>IFERROR(IF(M19="","",M19/L19),"")</f>
        <v/>
      </c>
      <c r="M46" s="8">
        <f>IFERROR(IF(N19="","",N19/M19),"")</f>
        <v/>
      </c>
      <c r="N46" s="8">
        <f>IFERROR(IF(O19="","",O19/N19),"")</f>
        <v/>
      </c>
      <c r="O46" s="8">
        <f>IFERROR(IF(P19="","",P19/O19),"")</f>
        <v/>
      </c>
      <c r="P46" s="8">
        <f>IFERROR(IF(Q19="","",Q19/P19),"")</f>
        <v/>
      </c>
      <c r="Q46" s="8">
        <f>IFERROR(IF(R19="","",R19/Q19),"")</f>
        <v/>
      </c>
      <c r="R46" s="8">
        <f>IFERROR(IF(S19="","",S19/R19),"")</f>
        <v/>
      </c>
      <c r="S46" s="8">
        <f>IFERROR(IF(T19="","",T19/S19),"")</f>
        <v/>
      </c>
      <c r="T46" s="8">
        <f>IFERROR(IF(U19="","",U19/T19),"")</f>
        <v/>
      </c>
      <c r="U46" s="8">
        <f>IFERROR(IF(V19="","",V19/U19),"")</f>
        <v/>
      </c>
      <c r="V46" s="8">
        <f>IFERROR(IF(W19="","",W19/V19),"")</f>
        <v/>
      </c>
      <c r="W46" s="8">
        <f>IFERROR(IF(X19="","",X19/W19),"")</f>
        <v/>
      </c>
      <c r="X46" s="8">
        <f>IFERROR(IF(Y19="","",Y19/X19),"")</f>
        <v/>
      </c>
    </row>
    <row r="47">
      <c r="A47" s="6" t="inlineStr">
        <is>
          <t>2018</t>
        </is>
      </c>
      <c r="B47" s="8">
        <f>IFERROR(IF(C20="","",C20/B20),"")</f>
        <v/>
      </c>
      <c r="C47" s="8">
        <f>IFERROR(IF(D20="","",D20/C20),"")</f>
        <v/>
      </c>
      <c r="D47" s="8">
        <f>IFERROR(IF(E20="","",E20/D20),"")</f>
        <v/>
      </c>
      <c r="E47" s="8">
        <f>IFERROR(IF(F20="","",F20/E20),"")</f>
        <v/>
      </c>
      <c r="F47" s="8">
        <f>IFERROR(IF(G20="","",G20/F20),"")</f>
        <v/>
      </c>
      <c r="G47" s="8">
        <f>IFERROR(IF(H20="","",H20/G20),"")</f>
        <v/>
      </c>
      <c r="H47" s="8">
        <f>IFERROR(IF(I20="","",I20/H20),"")</f>
        <v/>
      </c>
      <c r="I47" s="8">
        <f>IFERROR(IF(J20="","",J20/I20),"")</f>
        <v/>
      </c>
      <c r="J47" s="8">
        <f>IFERROR(IF(K20="","",K20/J20),"")</f>
        <v/>
      </c>
      <c r="K47" s="8">
        <f>IFERROR(IF(L20="","",L20/K20),"")</f>
        <v/>
      </c>
      <c r="L47" s="8">
        <f>IFERROR(IF(M20="","",M20/L20),"")</f>
        <v/>
      </c>
      <c r="M47" s="8">
        <f>IFERROR(IF(N20="","",N20/M20),"")</f>
        <v/>
      </c>
      <c r="N47" s="8">
        <f>IFERROR(IF(O20="","",O20/N20),"")</f>
        <v/>
      </c>
      <c r="O47" s="8">
        <f>IFERROR(IF(P20="","",P20/O20),"")</f>
        <v/>
      </c>
      <c r="P47" s="8">
        <f>IFERROR(IF(Q20="","",Q20/P20),"")</f>
        <v/>
      </c>
      <c r="Q47" s="8">
        <f>IFERROR(IF(R20="","",R20/Q20),"")</f>
        <v/>
      </c>
      <c r="R47" s="8">
        <f>IFERROR(IF(S20="","",S20/R20),"")</f>
        <v/>
      </c>
      <c r="S47" s="8">
        <f>IFERROR(IF(T20="","",T20/S20),"")</f>
        <v/>
      </c>
      <c r="T47" s="8">
        <f>IFERROR(IF(U20="","",U20/T20),"")</f>
        <v/>
      </c>
      <c r="U47" s="8">
        <f>IFERROR(IF(V20="","",V20/U20),"")</f>
        <v/>
      </c>
      <c r="V47" s="8">
        <f>IFERROR(IF(W20="","",W20/V20),"")</f>
        <v/>
      </c>
      <c r="W47" s="8">
        <f>IFERROR(IF(X20="","",X20/W20),"")</f>
        <v/>
      </c>
      <c r="X47" s="8">
        <f>IFERROR(IF(Y20="","",Y20/X20),"")</f>
        <v/>
      </c>
    </row>
    <row r="48">
      <c r="A48" s="6" t="inlineStr">
        <is>
          <t>2019</t>
        </is>
      </c>
      <c r="B48" s="8">
        <f>IFERROR(IF(C21="","",C21/B21),"")</f>
        <v/>
      </c>
      <c r="C48" s="8">
        <f>IFERROR(IF(D21="","",D21/C21),"")</f>
        <v/>
      </c>
      <c r="D48" s="8">
        <f>IFERROR(IF(E21="","",E21/D21),"")</f>
        <v/>
      </c>
      <c r="E48" s="8">
        <f>IFERROR(IF(F21="","",F21/E21),"")</f>
        <v/>
      </c>
      <c r="F48" s="8">
        <f>IFERROR(IF(G21="","",G21/F21),"")</f>
        <v/>
      </c>
      <c r="G48" s="8">
        <f>IFERROR(IF(H21="","",H21/G21),"")</f>
        <v/>
      </c>
      <c r="H48" s="8">
        <f>IFERROR(IF(I21="","",I21/H21),"")</f>
        <v/>
      </c>
      <c r="I48" s="8">
        <f>IFERROR(IF(J21="","",J21/I21),"")</f>
        <v/>
      </c>
      <c r="J48" s="8">
        <f>IFERROR(IF(K21="","",K21/J21),"")</f>
        <v/>
      </c>
      <c r="K48" s="8">
        <f>IFERROR(IF(L21="","",L21/K21),"")</f>
        <v/>
      </c>
      <c r="L48" s="8">
        <f>IFERROR(IF(M21="","",M21/L21),"")</f>
        <v/>
      </c>
      <c r="M48" s="8">
        <f>IFERROR(IF(N21="","",N21/M21),"")</f>
        <v/>
      </c>
      <c r="N48" s="8">
        <f>IFERROR(IF(O21="","",O21/N21),"")</f>
        <v/>
      </c>
      <c r="O48" s="8">
        <f>IFERROR(IF(P21="","",P21/O21),"")</f>
        <v/>
      </c>
      <c r="P48" s="8">
        <f>IFERROR(IF(Q21="","",Q21/P21),"")</f>
        <v/>
      </c>
      <c r="Q48" s="8">
        <f>IFERROR(IF(R21="","",R21/Q21),"")</f>
        <v/>
      </c>
      <c r="R48" s="8">
        <f>IFERROR(IF(S21="","",S21/R21),"")</f>
        <v/>
      </c>
      <c r="S48" s="8">
        <f>IFERROR(IF(T21="","",T21/S21),"")</f>
        <v/>
      </c>
      <c r="T48" s="8">
        <f>IFERROR(IF(U21="","",U21/T21),"")</f>
        <v/>
      </c>
      <c r="U48" s="8">
        <f>IFERROR(IF(V21="","",V21/U21),"")</f>
        <v/>
      </c>
      <c r="V48" s="8">
        <f>IFERROR(IF(W21="","",W21/V21),"")</f>
        <v/>
      </c>
      <c r="W48" s="8">
        <f>IFERROR(IF(X21="","",X21/W21),"")</f>
        <v/>
      </c>
      <c r="X48" s="8">
        <f>IFERROR(IF(Y21="","",Y21/X21),"")</f>
        <v/>
      </c>
    </row>
    <row r="49">
      <c r="A49" s="6" t="inlineStr">
        <is>
          <t>2020</t>
        </is>
      </c>
      <c r="B49" s="8">
        <f>IFERROR(IF(C22="","",C22/B22),"")</f>
        <v/>
      </c>
      <c r="C49" s="8">
        <f>IFERROR(IF(D22="","",D22/C22),"")</f>
        <v/>
      </c>
      <c r="D49" s="8">
        <f>IFERROR(IF(E22="","",E22/D22),"")</f>
        <v/>
      </c>
      <c r="E49" s="8">
        <f>IFERROR(IF(F22="","",F22/E22),"")</f>
        <v/>
      </c>
      <c r="F49" s="8">
        <f>IFERROR(IF(G22="","",G22/F22),"")</f>
        <v/>
      </c>
      <c r="G49" s="8">
        <f>IFERROR(IF(H22="","",H22/G22),"")</f>
        <v/>
      </c>
      <c r="H49" s="8">
        <f>IFERROR(IF(I22="","",I22/H22),"")</f>
        <v/>
      </c>
      <c r="I49" s="8">
        <f>IFERROR(IF(J22="","",J22/I22),"")</f>
        <v/>
      </c>
      <c r="J49" s="8">
        <f>IFERROR(IF(K22="","",K22/J22),"")</f>
        <v/>
      </c>
      <c r="K49" s="8">
        <f>IFERROR(IF(L22="","",L22/K22),"")</f>
        <v/>
      </c>
      <c r="L49" s="8">
        <f>IFERROR(IF(M22="","",M22/L22),"")</f>
        <v/>
      </c>
      <c r="M49" s="8">
        <f>IFERROR(IF(N22="","",N22/M22),"")</f>
        <v/>
      </c>
      <c r="N49" s="8">
        <f>IFERROR(IF(O22="","",O22/N22),"")</f>
        <v/>
      </c>
      <c r="O49" s="8">
        <f>IFERROR(IF(P22="","",P22/O22),"")</f>
        <v/>
      </c>
      <c r="P49" s="8">
        <f>IFERROR(IF(Q22="","",Q22/P22),"")</f>
        <v/>
      </c>
      <c r="Q49" s="8">
        <f>IFERROR(IF(R22="","",R22/Q22),"")</f>
        <v/>
      </c>
      <c r="R49" s="8">
        <f>IFERROR(IF(S22="","",S22/R22),"")</f>
        <v/>
      </c>
      <c r="S49" s="8">
        <f>IFERROR(IF(T22="","",T22/S22),"")</f>
        <v/>
      </c>
      <c r="T49" s="8">
        <f>IFERROR(IF(U22="","",U22/T22),"")</f>
        <v/>
      </c>
      <c r="U49" s="8">
        <f>IFERROR(IF(V22="","",V22/U22),"")</f>
        <v/>
      </c>
      <c r="V49" s="8">
        <f>IFERROR(IF(W22="","",W22/V22),"")</f>
        <v/>
      </c>
      <c r="W49" s="8">
        <f>IFERROR(IF(X22="","",X22/W22),"")</f>
        <v/>
      </c>
      <c r="X49" s="8">
        <f>IFERROR(IF(Y22="","",Y22/X22),"")</f>
        <v/>
      </c>
    </row>
    <row r="50">
      <c r="A50" s="6" t="inlineStr">
        <is>
          <t>2021</t>
        </is>
      </c>
      <c r="B50" s="8">
        <f>IFERROR(IF(C23="","",C23/B23),"")</f>
        <v/>
      </c>
      <c r="C50" s="8">
        <f>IFERROR(IF(D23="","",D23/C23),"")</f>
        <v/>
      </c>
      <c r="D50" s="8">
        <f>IFERROR(IF(E23="","",E23/D23),"")</f>
        <v/>
      </c>
      <c r="E50" s="8">
        <f>IFERROR(IF(F23="","",F23/E23),"")</f>
        <v/>
      </c>
      <c r="F50" s="8">
        <f>IFERROR(IF(G23="","",G23/F23),"")</f>
        <v/>
      </c>
      <c r="G50" s="8">
        <f>IFERROR(IF(H23="","",H23/G23),"")</f>
        <v/>
      </c>
      <c r="H50" s="8">
        <f>IFERROR(IF(I23="","",I23/H23),"")</f>
        <v/>
      </c>
      <c r="I50" s="8">
        <f>IFERROR(IF(J23="","",J23/I23),"")</f>
        <v/>
      </c>
      <c r="J50" s="8">
        <f>IFERROR(IF(K23="","",K23/J23),"")</f>
        <v/>
      </c>
      <c r="K50" s="8">
        <f>IFERROR(IF(L23="","",L23/K23),"")</f>
        <v/>
      </c>
      <c r="L50" s="8">
        <f>IFERROR(IF(M23="","",M23/L23),"")</f>
        <v/>
      </c>
      <c r="M50" s="8">
        <f>IFERROR(IF(N23="","",N23/M23),"")</f>
        <v/>
      </c>
      <c r="N50" s="8">
        <f>IFERROR(IF(O23="","",O23/N23),"")</f>
        <v/>
      </c>
      <c r="O50" s="8">
        <f>IFERROR(IF(P23="","",P23/O23),"")</f>
        <v/>
      </c>
      <c r="P50" s="8">
        <f>IFERROR(IF(Q23="","",Q23/P23),"")</f>
        <v/>
      </c>
      <c r="Q50" s="8">
        <f>IFERROR(IF(R23="","",R23/Q23),"")</f>
        <v/>
      </c>
      <c r="R50" s="8">
        <f>IFERROR(IF(S23="","",S23/R23),"")</f>
        <v/>
      </c>
      <c r="S50" s="8">
        <f>IFERROR(IF(T23="","",T23/S23),"")</f>
        <v/>
      </c>
      <c r="T50" s="8">
        <f>IFERROR(IF(U23="","",U23/T23),"")</f>
        <v/>
      </c>
      <c r="U50" s="8">
        <f>IFERROR(IF(V23="","",V23/U23),"")</f>
        <v/>
      </c>
      <c r="V50" s="8">
        <f>IFERROR(IF(W23="","",W23/V23),"")</f>
        <v/>
      </c>
      <c r="W50" s="8">
        <f>IFERROR(IF(X23="","",X23/W23),"")</f>
        <v/>
      </c>
      <c r="X50" s="8">
        <f>IFERROR(IF(Y23="","",Y23/X23),"")</f>
        <v/>
      </c>
    </row>
    <row r="51">
      <c r="A51" s="6" t="inlineStr">
        <is>
          <t>2022</t>
        </is>
      </c>
      <c r="B51" s="8">
        <f>IFERROR(IF(C24="","",C24/B24),"")</f>
        <v/>
      </c>
      <c r="C51" s="8">
        <f>IFERROR(IF(D24="","",D24/C24),"")</f>
        <v/>
      </c>
      <c r="D51" s="8">
        <f>IFERROR(IF(E24="","",E24/D24),"")</f>
        <v/>
      </c>
      <c r="E51" s="8">
        <f>IFERROR(IF(F24="","",F24/E24),"")</f>
        <v/>
      </c>
      <c r="F51" s="8">
        <f>IFERROR(IF(G24="","",G24/F24),"")</f>
        <v/>
      </c>
      <c r="G51" s="8">
        <f>IFERROR(IF(H24="","",H24/G24),"")</f>
        <v/>
      </c>
      <c r="H51" s="8">
        <f>IFERROR(IF(I24="","",I24/H24),"")</f>
        <v/>
      </c>
      <c r="I51" s="8">
        <f>IFERROR(IF(J24="","",J24/I24),"")</f>
        <v/>
      </c>
      <c r="J51" s="8">
        <f>IFERROR(IF(K24="","",K24/J24),"")</f>
        <v/>
      </c>
      <c r="K51" s="8">
        <f>IFERROR(IF(L24="","",L24/K24),"")</f>
        <v/>
      </c>
      <c r="L51" s="8">
        <f>IFERROR(IF(M24="","",M24/L24),"")</f>
        <v/>
      </c>
      <c r="M51" s="8">
        <f>IFERROR(IF(N24="","",N24/M24),"")</f>
        <v/>
      </c>
      <c r="N51" s="8">
        <f>IFERROR(IF(O24="","",O24/N24),"")</f>
        <v/>
      </c>
      <c r="O51" s="8">
        <f>IFERROR(IF(P24="","",P24/O24),"")</f>
        <v/>
      </c>
      <c r="P51" s="8">
        <f>IFERROR(IF(Q24="","",Q24/P24),"")</f>
        <v/>
      </c>
      <c r="Q51" s="8">
        <f>IFERROR(IF(R24="","",R24/Q24),"")</f>
        <v/>
      </c>
      <c r="R51" s="8">
        <f>IFERROR(IF(S24="","",S24/R24),"")</f>
        <v/>
      </c>
      <c r="S51" s="8">
        <f>IFERROR(IF(T24="","",T24/S24),"")</f>
        <v/>
      </c>
      <c r="T51" s="8">
        <f>IFERROR(IF(U24="","",U24/T24),"")</f>
        <v/>
      </c>
      <c r="U51" s="8">
        <f>IFERROR(IF(V24="","",V24/U24),"")</f>
        <v/>
      </c>
      <c r="V51" s="8">
        <f>IFERROR(IF(W24="","",W24/V24),"")</f>
        <v/>
      </c>
      <c r="W51" s="8">
        <f>IFERROR(IF(X24="","",X24/W24),"")</f>
        <v/>
      </c>
      <c r="X51" s="8">
        <f>IFERROR(IF(Y24="","",Y24/X24),"")</f>
        <v/>
      </c>
    </row>
    <row r="52">
      <c r="A52" s="6" t="inlineStr">
        <is>
          <t>2023</t>
        </is>
      </c>
      <c r="B52" s="8">
        <f>IFERROR(IF(C25="","",C25/B25),"")</f>
        <v/>
      </c>
      <c r="C52" s="8">
        <f>IFERROR(IF(D25="","",D25/C25),"")</f>
        <v/>
      </c>
      <c r="D52" s="8">
        <f>IFERROR(IF(E25="","",E25/D25),"")</f>
        <v/>
      </c>
      <c r="E52" s="8">
        <f>IFERROR(IF(F25="","",F25/E25),"")</f>
        <v/>
      </c>
      <c r="F52" s="8">
        <f>IFERROR(IF(G25="","",G25/F25),"")</f>
        <v/>
      </c>
      <c r="G52" s="8">
        <f>IFERROR(IF(H25="","",H25/G25),"")</f>
        <v/>
      </c>
      <c r="H52" s="8">
        <f>IFERROR(IF(I25="","",I25/H25),"")</f>
        <v/>
      </c>
      <c r="I52" s="8">
        <f>IFERROR(IF(J25="","",J25/I25),"")</f>
        <v/>
      </c>
      <c r="J52" s="8">
        <f>IFERROR(IF(K25="","",K25/J25),"")</f>
        <v/>
      </c>
      <c r="K52" s="8">
        <f>IFERROR(IF(L25="","",L25/K25),"")</f>
        <v/>
      </c>
      <c r="L52" s="8">
        <f>IFERROR(IF(M25="","",M25/L25),"")</f>
        <v/>
      </c>
      <c r="M52" s="8">
        <f>IFERROR(IF(N25="","",N25/M25),"")</f>
        <v/>
      </c>
      <c r="N52" s="8">
        <f>IFERROR(IF(O25="","",O25/N25),"")</f>
        <v/>
      </c>
      <c r="O52" s="8">
        <f>IFERROR(IF(P25="","",P25/O25),"")</f>
        <v/>
      </c>
      <c r="P52" s="8">
        <f>IFERROR(IF(Q25="","",Q25/P25),"")</f>
        <v/>
      </c>
      <c r="Q52" s="8">
        <f>IFERROR(IF(R25="","",R25/Q25),"")</f>
        <v/>
      </c>
      <c r="R52" s="8">
        <f>IFERROR(IF(S25="","",S25/R25),"")</f>
        <v/>
      </c>
      <c r="S52" s="8">
        <f>IFERROR(IF(T25="","",T25/S25),"")</f>
        <v/>
      </c>
      <c r="T52" s="8">
        <f>IFERROR(IF(U25="","",U25/T25),"")</f>
        <v/>
      </c>
      <c r="U52" s="8">
        <f>IFERROR(IF(V25="","",V25/U25),"")</f>
        <v/>
      </c>
      <c r="V52" s="8">
        <f>IFERROR(IF(W25="","",W25/V25),"")</f>
        <v/>
      </c>
      <c r="W52" s="8">
        <f>IFERROR(IF(X25="","",X25/W25),"")</f>
        <v/>
      </c>
      <c r="X52" s="8">
        <f>IFERROR(IF(Y25="","",Y25/X25),"")</f>
        <v/>
      </c>
    </row>
    <row r="53">
      <c r="A53" s="6" t="inlineStr">
        <is>
          <t>2024</t>
        </is>
      </c>
      <c r="B53" s="8">
        <f>IFERROR(IF(C26="","",C26/B26),"")</f>
        <v/>
      </c>
      <c r="C53" s="8">
        <f>IFERROR(IF(D26="","",D26/C26),"")</f>
        <v/>
      </c>
      <c r="D53" s="8">
        <f>IFERROR(IF(E26="","",E26/D26),"")</f>
        <v/>
      </c>
      <c r="E53" s="8">
        <f>IFERROR(IF(F26="","",F26/E26),"")</f>
        <v/>
      </c>
      <c r="F53" s="8">
        <f>IFERROR(IF(G26="","",G26/F26),"")</f>
        <v/>
      </c>
      <c r="G53" s="8">
        <f>IFERROR(IF(H26="","",H26/G26),"")</f>
        <v/>
      </c>
      <c r="H53" s="8">
        <f>IFERROR(IF(I26="","",I26/H26),"")</f>
        <v/>
      </c>
      <c r="I53" s="8">
        <f>IFERROR(IF(J26="","",J26/I26),"")</f>
        <v/>
      </c>
      <c r="J53" s="8">
        <f>IFERROR(IF(K26="","",K26/J26),"")</f>
        <v/>
      </c>
      <c r="K53" s="8">
        <f>IFERROR(IF(L26="","",L26/K26),"")</f>
        <v/>
      </c>
      <c r="L53" s="8">
        <f>IFERROR(IF(M26="","",M26/L26),"")</f>
        <v/>
      </c>
      <c r="M53" s="8">
        <f>IFERROR(IF(N26="","",N26/M26),"")</f>
        <v/>
      </c>
      <c r="N53" s="8">
        <f>IFERROR(IF(O26="","",O26/N26),"")</f>
        <v/>
      </c>
      <c r="O53" s="8">
        <f>IFERROR(IF(P26="","",P26/O26),"")</f>
        <v/>
      </c>
      <c r="P53" s="8">
        <f>IFERROR(IF(Q26="","",Q26/P26),"")</f>
        <v/>
      </c>
      <c r="Q53" s="8">
        <f>IFERROR(IF(R26="","",R26/Q26),"")</f>
        <v/>
      </c>
      <c r="R53" s="8">
        <f>IFERROR(IF(S26="","",S26/R26),"")</f>
        <v/>
      </c>
      <c r="S53" s="8">
        <f>IFERROR(IF(T26="","",T26/S26),"")</f>
        <v/>
      </c>
      <c r="T53" s="8">
        <f>IFERROR(IF(U26="","",U26/T26),"")</f>
        <v/>
      </c>
      <c r="U53" s="8">
        <f>IFERROR(IF(V26="","",V26/U26),"")</f>
        <v/>
      </c>
      <c r="V53" s="8">
        <f>IFERROR(IF(W26="","",W26/V26),"")</f>
        <v/>
      </c>
      <c r="W53" s="8">
        <f>IFERROR(IF(X26="","",X26/W26),"")</f>
        <v/>
      </c>
      <c r="X53" s="8">
        <f>IFERROR(IF(Y26="","",Y26/X26),"")</f>
        <v/>
      </c>
    </row>
    <row r="55">
      <c r="A55" s="1" t="inlineStr">
        <is>
          <t>Averages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3" t="n"/>
    </row>
    <row r="56">
      <c r="A56" s="9" t="inlineStr">
        <is>
          <t>Metric</t>
        </is>
      </c>
      <c r="B56" s="5" t="inlineStr">
        <is>
          <t>11-23</t>
        </is>
      </c>
      <c r="C56" s="5" t="inlineStr">
        <is>
          <t>23-35</t>
        </is>
      </c>
      <c r="D56" s="5" t="inlineStr">
        <is>
          <t>35-47</t>
        </is>
      </c>
      <c r="E56" s="5" t="inlineStr">
        <is>
          <t>47-59</t>
        </is>
      </c>
      <c r="F56" s="5" t="inlineStr">
        <is>
          <t>59-71</t>
        </is>
      </c>
      <c r="G56" s="5" t="inlineStr">
        <is>
          <t>71-83</t>
        </is>
      </c>
      <c r="H56" s="5" t="inlineStr">
        <is>
          <t>83-95</t>
        </is>
      </c>
      <c r="I56" s="5" t="inlineStr">
        <is>
          <t>95-107</t>
        </is>
      </c>
      <c r="J56" s="5" t="inlineStr">
        <is>
          <t>107-119</t>
        </is>
      </c>
      <c r="K56" s="5" t="inlineStr">
        <is>
          <t>119-131</t>
        </is>
      </c>
      <c r="L56" s="5" t="inlineStr">
        <is>
          <t>131-143</t>
        </is>
      </c>
      <c r="M56" s="5" t="inlineStr">
        <is>
          <t>143-155</t>
        </is>
      </c>
      <c r="N56" s="5" t="inlineStr">
        <is>
          <t>155-167</t>
        </is>
      </c>
      <c r="O56" s="5" t="inlineStr">
        <is>
          <t>167-179</t>
        </is>
      </c>
      <c r="P56" s="5" t="inlineStr">
        <is>
          <t>179-191</t>
        </is>
      </c>
      <c r="Q56" s="5" t="inlineStr">
        <is>
          <t>191-203</t>
        </is>
      </c>
      <c r="R56" s="5" t="inlineStr">
        <is>
          <t>203-215</t>
        </is>
      </c>
      <c r="S56" s="5" t="inlineStr">
        <is>
          <t>215-227</t>
        </is>
      </c>
      <c r="T56" s="5" t="inlineStr">
        <is>
          <t>227-239</t>
        </is>
      </c>
      <c r="U56" s="5" t="inlineStr">
        <is>
          <t>239-251</t>
        </is>
      </c>
      <c r="V56" s="5" t="inlineStr">
        <is>
          <t>251-263</t>
        </is>
      </c>
      <c r="W56" s="5" t="inlineStr">
        <is>
          <t>263-275</t>
        </is>
      </c>
      <c r="X56" s="5" t="inlineStr">
        <is>
          <t>275-287</t>
        </is>
      </c>
      <c r="Y56" s="5" t="inlineStr">
        <is>
          <t>Tail</t>
        </is>
      </c>
    </row>
    <row r="57">
      <c r="A57" s="10" t="inlineStr">
        <is>
          <t>simple_all</t>
        </is>
      </c>
      <c r="B57" s="8">
        <f>IFERROR(AVERAGE(B30:B53),AVERAGE(B30:B53))</f>
        <v/>
      </c>
      <c r="C57" s="8">
        <f>IFERROR(AVERAGE(C30:C53),AVERAGE(C30:C53))</f>
        <v/>
      </c>
      <c r="D57" s="8">
        <f>IFERROR(AVERAGE(D30:D53),AVERAGE(D30:D53))</f>
        <v/>
      </c>
      <c r="E57" s="8">
        <f>IFERROR(AVERAGE(E30:E53),AVERAGE(E30:E53))</f>
        <v/>
      </c>
      <c r="F57" s="8">
        <f>IFERROR(AVERAGE(F30:F53),AVERAGE(F30:F53))</f>
        <v/>
      </c>
      <c r="G57" s="8">
        <f>IFERROR(AVERAGE(G30:G53),AVERAGE(G30:G53))</f>
        <v/>
      </c>
      <c r="H57" s="8">
        <f>IFERROR(AVERAGE(H30:H53),AVERAGE(H30:H53))</f>
        <v/>
      </c>
      <c r="I57" s="8">
        <f>IFERROR(AVERAGE(I30:I53),AVERAGE(I30:I53))</f>
        <v/>
      </c>
      <c r="J57" s="8">
        <f>IFERROR(AVERAGE(J30:J53),AVERAGE(J30:J53))</f>
        <v/>
      </c>
      <c r="K57" s="8">
        <f>IFERROR(AVERAGE(K30:K53),AVERAGE(K30:K53))</f>
        <v/>
      </c>
      <c r="L57" s="8">
        <f>IFERROR(AVERAGE(L30:L53),AVERAGE(L30:L53))</f>
        <v/>
      </c>
      <c r="M57" s="8">
        <f>IFERROR(AVERAGE(M30:M53),AVERAGE(M30:M53))</f>
        <v/>
      </c>
      <c r="N57" s="8">
        <f>IFERROR(AVERAGE(N30:N53),AVERAGE(N30:N53))</f>
        <v/>
      </c>
      <c r="O57" s="8">
        <f>IFERROR(AVERAGE(O30:O53),AVERAGE(O30:O53))</f>
        <v/>
      </c>
      <c r="P57" s="8">
        <f>IFERROR(AVERAGE(P30:P53),AVERAGE(P30:P53))</f>
        <v/>
      </c>
      <c r="Q57" s="8">
        <f>IFERROR(AVERAGE(Q30:Q53),AVERAGE(Q30:Q53))</f>
        <v/>
      </c>
      <c r="R57" s="8">
        <f>IFERROR(AVERAGE(R30:R53),AVERAGE(R30:R53))</f>
        <v/>
      </c>
      <c r="S57" s="8">
        <f>IFERROR(AVERAGE(S30:S53),AVERAGE(S30:S53))</f>
        <v/>
      </c>
      <c r="T57" s="8">
        <f>IFERROR(AVERAGE(T30:T53),AVERAGE(T30:T53))</f>
        <v/>
      </c>
      <c r="U57" s="8">
        <f>IFERROR(AVERAGE(U30:U53),AVERAGE(U30:U53))</f>
        <v/>
      </c>
      <c r="V57" s="8">
        <f>IFERROR(AVERAGE(V30:V53),AVERAGE(V30:V53))</f>
        <v/>
      </c>
      <c r="W57" s="8">
        <f>IFERROR(AVERAGE(W30:W53),AVERAGE(W30:W53))</f>
        <v/>
      </c>
      <c r="X57" s="8">
        <f>IFERROR(AVERAGE(X30:X53),AVERAGE(X30:X53))</f>
        <v/>
      </c>
      <c r="Y57" s="8" t="inlineStr"/>
    </row>
    <row r="58">
      <c r="A58" s="10" t="inlineStr">
        <is>
          <t>weighted_all</t>
        </is>
      </c>
      <c r="B58" s="8">
        <f>IFERROR(SUMPRODUCT(B30:B53,B3:B26)/SUMPRODUCT((B30:B53&lt;&gt;"")*B3:B26),SUMPRODUCT(B30:B53,B3:B26)/SUMPRODUCT((B30:B53&lt;&gt;"")*B3:B26))</f>
        <v/>
      </c>
      <c r="C58" s="8">
        <f>IFERROR(SUMPRODUCT(C30:C53,C3:C26)/SUMPRODUCT((C30:C53&lt;&gt;"")*C3:C26),SUMPRODUCT(C30:C53,C3:C26)/SUMPRODUCT((C30:C53&lt;&gt;"")*C3:C26))</f>
        <v/>
      </c>
      <c r="D58" s="8">
        <f>IFERROR(SUMPRODUCT(D30:D53,D3:D26)/SUMPRODUCT((D30:D53&lt;&gt;"")*D3:D26),SUMPRODUCT(D30:D53,D3:D26)/SUMPRODUCT((D30:D53&lt;&gt;"")*D3:D26))</f>
        <v/>
      </c>
      <c r="E58" s="8">
        <f>IFERROR(SUMPRODUCT(E30:E53,E3:E26)/SUMPRODUCT((E30:E53&lt;&gt;"")*E3:E26),SUMPRODUCT(E30:E53,E3:E26)/SUMPRODUCT((E30:E53&lt;&gt;"")*E3:E26))</f>
        <v/>
      </c>
      <c r="F58" s="8">
        <f>IFERROR(SUMPRODUCT(F30:F53,F3:F26)/SUMPRODUCT((F30:F53&lt;&gt;"")*F3:F26),SUMPRODUCT(F30:F53,F3:F26)/SUMPRODUCT((F30:F53&lt;&gt;"")*F3:F26))</f>
        <v/>
      </c>
      <c r="G58" s="8">
        <f>IFERROR(SUMPRODUCT(G30:G53,G3:G26)/SUMPRODUCT((G30:G53&lt;&gt;"")*G3:G26),SUMPRODUCT(G30:G53,G3:G26)/SUMPRODUCT((G30:G53&lt;&gt;"")*G3:G26))</f>
        <v/>
      </c>
      <c r="H58" s="8">
        <f>IFERROR(SUMPRODUCT(H30:H53,H3:H26)/SUMPRODUCT((H30:H53&lt;&gt;"")*H3:H26),SUMPRODUCT(H30:H53,H3:H26)/SUMPRODUCT((H30:H53&lt;&gt;"")*H3:H26))</f>
        <v/>
      </c>
      <c r="I58" s="8">
        <f>IFERROR(SUMPRODUCT(I30:I53,I3:I26)/SUMPRODUCT((I30:I53&lt;&gt;"")*I3:I26),SUMPRODUCT(I30:I53,I3:I26)/SUMPRODUCT((I30:I53&lt;&gt;"")*I3:I26))</f>
        <v/>
      </c>
      <c r="J58" s="8">
        <f>IFERROR(SUMPRODUCT(J30:J53,J3:J26)/SUMPRODUCT((J30:J53&lt;&gt;"")*J3:J26),SUMPRODUCT(J30:J53,J3:J26)/SUMPRODUCT((J30:J53&lt;&gt;"")*J3:J26))</f>
        <v/>
      </c>
      <c r="K58" s="8">
        <f>IFERROR(SUMPRODUCT(K30:K53,K3:K26)/SUMPRODUCT((K30:K53&lt;&gt;"")*K3:K26),SUMPRODUCT(K30:K53,K3:K26)/SUMPRODUCT((K30:K53&lt;&gt;"")*K3:K26))</f>
        <v/>
      </c>
      <c r="L58" s="8">
        <f>IFERROR(SUMPRODUCT(L30:L53,L3:L26)/SUMPRODUCT((L30:L53&lt;&gt;"")*L3:L26),SUMPRODUCT(L30:L53,L3:L26)/SUMPRODUCT((L30:L53&lt;&gt;"")*L3:L26))</f>
        <v/>
      </c>
      <c r="M58" s="8">
        <f>IFERROR(SUMPRODUCT(M30:M53,M3:M26)/SUMPRODUCT((M30:M53&lt;&gt;"")*M3:M26),SUMPRODUCT(M30:M53,M3:M26)/SUMPRODUCT((M30:M53&lt;&gt;"")*M3:M26))</f>
        <v/>
      </c>
      <c r="N58" s="8">
        <f>IFERROR(SUMPRODUCT(N30:N53,N3:N26)/SUMPRODUCT((N30:N53&lt;&gt;"")*N3:N26),SUMPRODUCT(N30:N53,N3:N26)/SUMPRODUCT((N30:N53&lt;&gt;"")*N3:N26))</f>
        <v/>
      </c>
      <c r="O58" s="8">
        <f>IFERROR(SUMPRODUCT(O30:O53,O3:O26)/SUMPRODUCT((O30:O53&lt;&gt;"")*O3:O26),SUMPRODUCT(O30:O53,O3:O26)/SUMPRODUCT((O30:O53&lt;&gt;"")*O3:O26))</f>
        <v/>
      </c>
      <c r="P58" s="8">
        <f>IFERROR(SUMPRODUCT(P30:P53,P3:P26)/SUMPRODUCT((P30:P53&lt;&gt;"")*P3:P26),SUMPRODUCT(P30:P53,P3:P26)/SUMPRODUCT((P30:P53&lt;&gt;"")*P3:P26))</f>
        <v/>
      </c>
      <c r="Q58" s="8">
        <f>IFERROR(SUMPRODUCT(Q30:Q53,Q3:Q26)/SUMPRODUCT((Q30:Q53&lt;&gt;"")*Q3:Q26),SUMPRODUCT(Q30:Q53,Q3:Q26)/SUMPRODUCT((Q30:Q53&lt;&gt;"")*Q3:Q26))</f>
        <v/>
      </c>
      <c r="R58" s="8">
        <f>IFERROR(SUMPRODUCT(R30:R53,R3:R26)/SUMPRODUCT((R30:R53&lt;&gt;"")*R3:R26),SUMPRODUCT(R30:R53,R3:R26)/SUMPRODUCT((R30:R53&lt;&gt;"")*R3:R26))</f>
        <v/>
      </c>
      <c r="S58" s="8">
        <f>IFERROR(SUMPRODUCT(S30:S53,S3:S26)/SUMPRODUCT((S30:S53&lt;&gt;"")*S3:S26),SUMPRODUCT(S30:S53,S3:S26)/SUMPRODUCT((S30:S53&lt;&gt;"")*S3:S26))</f>
        <v/>
      </c>
      <c r="T58" s="8">
        <f>IFERROR(SUMPRODUCT(T30:T53,T3:T26)/SUMPRODUCT((T30:T53&lt;&gt;"")*T3:T26),SUMPRODUCT(T30:T53,T3:T26)/SUMPRODUCT((T30:T53&lt;&gt;"")*T3:T26))</f>
        <v/>
      </c>
      <c r="U58" s="8">
        <f>IFERROR(SUMPRODUCT(U30:U53,U3:U26)/SUMPRODUCT((U30:U53&lt;&gt;"")*U3:U26),SUMPRODUCT(U30:U53,U3:U26)/SUMPRODUCT((U30:U53&lt;&gt;"")*U3:U26))</f>
        <v/>
      </c>
      <c r="V58" s="8">
        <f>IFERROR(SUMPRODUCT(V30:V53,V3:V26)/SUMPRODUCT((V30:V53&lt;&gt;"")*V3:V26),SUMPRODUCT(V30:V53,V3:V26)/SUMPRODUCT((V30:V53&lt;&gt;"")*V3:V26))</f>
        <v/>
      </c>
      <c r="W58" s="8">
        <f>IFERROR(SUMPRODUCT(W30:W53,W3:W26)/SUMPRODUCT((W30:W53&lt;&gt;"")*W3:W26),SUMPRODUCT(W30:W53,W3:W26)/SUMPRODUCT((W30:W53&lt;&gt;"")*W3:W26))</f>
        <v/>
      </c>
      <c r="X58" s="8">
        <f>IFERROR(SUMPRODUCT(X30:X53,X3:X26)/SUMPRODUCT((X30:X53&lt;&gt;"")*X3:X26),SUMPRODUCT(X30:X53,X3:X26)/SUMPRODUCT((X30:X53&lt;&gt;"")*X3:X26))</f>
        <v/>
      </c>
      <c r="Y58" s="8" t="inlineStr"/>
    </row>
    <row r="59">
      <c r="A59" s="10" t="inlineStr">
        <is>
          <t>exclude_high_low_all</t>
        </is>
      </c>
      <c r="B59" s="8">
        <f>IFERROR(TRIMMEAN(B30:B53,2/COUNT(B30:B53)),AVERAGE(B30:B53))</f>
        <v/>
      </c>
      <c r="C59" s="8">
        <f>IFERROR(TRIMMEAN(C30:C53,2/COUNT(C30:C53)),AVERAGE(C30:C53))</f>
        <v/>
      </c>
      <c r="D59" s="8">
        <f>IFERROR(TRIMMEAN(D30:D53,2/COUNT(D30:D53)),AVERAGE(D30:D53))</f>
        <v/>
      </c>
      <c r="E59" s="8">
        <f>IFERROR(TRIMMEAN(E30:E53,2/COUNT(E30:E53)),AVERAGE(E30:E53))</f>
        <v/>
      </c>
      <c r="F59" s="8">
        <f>IFERROR(TRIMMEAN(F30:F53,2/COUNT(F30:F53)),AVERAGE(F30:F53))</f>
        <v/>
      </c>
      <c r="G59" s="8">
        <f>IFERROR(TRIMMEAN(G30:G53,2/COUNT(G30:G53)),AVERAGE(G30:G53))</f>
        <v/>
      </c>
      <c r="H59" s="8">
        <f>IFERROR(TRIMMEAN(H30:H53,2/COUNT(H30:H53)),AVERAGE(H30:H53))</f>
        <v/>
      </c>
      <c r="I59" s="8">
        <f>IFERROR(TRIMMEAN(I30:I53,2/COUNT(I30:I53)),AVERAGE(I30:I53))</f>
        <v/>
      </c>
      <c r="J59" s="8">
        <f>IFERROR(TRIMMEAN(J30:J53,2/COUNT(J30:J53)),AVERAGE(J30:J53))</f>
        <v/>
      </c>
      <c r="K59" s="8">
        <f>IFERROR(TRIMMEAN(K30:K53,2/COUNT(K30:K53)),AVERAGE(K30:K53))</f>
        <v/>
      </c>
      <c r="L59" s="8">
        <f>IFERROR(TRIMMEAN(L30:L53,2/COUNT(L30:L53)),AVERAGE(L30:L53))</f>
        <v/>
      </c>
      <c r="M59" s="8">
        <f>IFERROR(TRIMMEAN(M30:M53,2/COUNT(M30:M53)),AVERAGE(M30:M53))</f>
        <v/>
      </c>
      <c r="N59" s="8">
        <f>IFERROR(TRIMMEAN(N30:N53,2/COUNT(N30:N53)),AVERAGE(N30:N53))</f>
        <v/>
      </c>
      <c r="O59" s="8">
        <f>IFERROR(TRIMMEAN(O30:O53,2/COUNT(O30:O53)),AVERAGE(O30:O53))</f>
        <v/>
      </c>
      <c r="P59" s="8">
        <f>IFERROR(TRIMMEAN(P30:P53,2/COUNT(P30:P53)),AVERAGE(P30:P53))</f>
        <v/>
      </c>
      <c r="Q59" s="8">
        <f>IFERROR(TRIMMEAN(Q30:Q53,2/COUNT(Q30:Q53)),AVERAGE(Q30:Q53))</f>
        <v/>
      </c>
      <c r="R59" s="8">
        <f>IFERROR(TRIMMEAN(R30:R53,2/COUNT(R30:R53)),AVERAGE(R30:R53))</f>
        <v/>
      </c>
      <c r="S59" s="8">
        <f>IFERROR(TRIMMEAN(S30:S53,2/COUNT(S30:S53)),AVERAGE(S30:S53))</f>
        <v/>
      </c>
      <c r="T59" s="8">
        <f>IFERROR(TRIMMEAN(T30:T53,2/COUNT(T30:T53)),AVERAGE(T30:T53))</f>
        <v/>
      </c>
      <c r="U59" s="8">
        <f>IFERROR(TRIMMEAN(U30:U53,2/COUNT(U30:U53)),AVERAGE(U30:U53))</f>
        <v/>
      </c>
      <c r="V59" s="8">
        <f>IFERROR(TRIMMEAN(V30:V53,2/COUNT(V30:V53)),AVERAGE(V30:V53))</f>
        <v/>
      </c>
      <c r="W59" s="8">
        <f>IFERROR(TRIMMEAN(W30:W53,2/COUNT(W30:W53)),AVERAGE(W30:W53))</f>
        <v/>
      </c>
      <c r="X59" s="8">
        <f>IFERROR(TRIMMEAN(X30:X53,2/COUNT(X30:X53)),AVERAGE(X30:X53))</f>
        <v/>
      </c>
      <c r="Y59" s="8" t="inlineStr"/>
    </row>
    <row r="60">
      <c r="A60" s="10" t="inlineStr">
        <is>
          <t>simple_3yr</t>
        </is>
      </c>
      <c r="B60" s="8">
        <f>IFERROR(AVERAGE(B51:B53),AVERAGE(B30:B53))</f>
        <v/>
      </c>
      <c r="C60" s="8">
        <f>IFERROR(AVERAGE(C51:C53),AVERAGE(C30:C53))</f>
        <v/>
      </c>
      <c r="D60" s="8">
        <f>IFERROR(AVERAGE(D51:D53),AVERAGE(D30:D53))</f>
        <v/>
      </c>
      <c r="E60" s="8">
        <f>IFERROR(AVERAGE(E51:E53),AVERAGE(E30:E53))</f>
        <v/>
      </c>
      <c r="F60" s="8">
        <f>IFERROR(AVERAGE(F51:F53),AVERAGE(F30:F53))</f>
        <v/>
      </c>
      <c r="G60" s="8">
        <f>IFERROR(AVERAGE(G51:G53),AVERAGE(G30:G53))</f>
        <v/>
      </c>
      <c r="H60" s="8">
        <f>IFERROR(AVERAGE(H51:H53),AVERAGE(H30:H53))</f>
        <v/>
      </c>
      <c r="I60" s="8">
        <f>IFERROR(AVERAGE(I51:I53),AVERAGE(I30:I53))</f>
        <v/>
      </c>
      <c r="J60" s="8">
        <f>IFERROR(AVERAGE(J51:J53),AVERAGE(J30:J53))</f>
        <v/>
      </c>
      <c r="K60" s="8">
        <f>IFERROR(AVERAGE(K51:K53),AVERAGE(K30:K53))</f>
        <v/>
      </c>
      <c r="L60" s="8">
        <f>IFERROR(AVERAGE(L51:L53),AVERAGE(L30:L53))</f>
        <v/>
      </c>
      <c r="M60" s="8">
        <f>IFERROR(AVERAGE(M51:M53),AVERAGE(M30:M53))</f>
        <v/>
      </c>
      <c r="N60" s="8">
        <f>IFERROR(AVERAGE(N51:N53),AVERAGE(N30:N53))</f>
        <v/>
      </c>
      <c r="O60" s="8">
        <f>IFERROR(AVERAGE(O51:O53),AVERAGE(O30:O53))</f>
        <v/>
      </c>
      <c r="P60" s="8">
        <f>IFERROR(AVERAGE(P51:P53),AVERAGE(P30:P53))</f>
        <v/>
      </c>
      <c r="Q60" s="8">
        <f>IFERROR(AVERAGE(Q51:Q53),AVERAGE(Q30:Q53))</f>
        <v/>
      </c>
      <c r="R60" s="8">
        <f>IFERROR(AVERAGE(R51:R53),AVERAGE(R30:R53))</f>
        <v/>
      </c>
      <c r="S60" s="8">
        <f>IFERROR(AVERAGE(S51:S53),AVERAGE(S30:S53))</f>
        <v/>
      </c>
      <c r="T60" s="8">
        <f>IFERROR(AVERAGE(T51:T53),AVERAGE(T30:T53))</f>
        <v/>
      </c>
      <c r="U60" s="8">
        <f>IFERROR(AVERAGE(U51:U53),AVERAGE(U30:U53))</f>
        <v/>
      </c>
      <c r="V60" s="8">
        <f>IFERROR(AVERAGE(V51:V53),AVERAGE(V30:V53))</f>
        <v/>
      </c>
      <c r="W60" s="8">
        <f>IFERROR(AVERAGE(W51:W53),AVERAGE(W30:W53))</f>
        <v/>
      </c>
      <c r="X60" s="8">
        <f>IFERROR(AVERAGE(X51:X53),AVERAGE(X30:X53))</f>
        <v/>
      </c>
      <c r="Y60" s="8" t="inlineStr"/>
    </row>
    <row r="61">
      <c r="A61" s="10" t="inlineStr">
        <is>
          <t>weighted_3yr</t>
        </is>
      </c>
      <c r="B61" s="8">
        <f>IFERROR(SUMPRODUCT(B51:B53,B24:B26)/SUMPRODUCT((B51:B53&lt;&gt;"")*B24:B26),SUMPRODUCT(B30:B53,B3:B26)/SUMPRODUCT((B30:B53&lt;&gt;"")*B3:B26))</f>
        <v/>
      </c>
      <c r="C61" s="8">
        <f>IFERROR(SUMPRODUCT(C51:C53,C24:C26)/SUMPRODUCT((C51:C53&lt;&gt;"")*C24:C26),SUMPRODUCT(C30:C53,C3:C26)/SUMPRODUCT((C30:C53&lt;&gt;"")*C3:C26))</f>
        <v/>
      </c>
      <c r="D61" s="8">
        <f>IFERROR(SUMPRODUCT(D51:D53,D24:D26)/SUMPRODUCT((D51:D53&lt;&gt;"")*D24:D26),SUMPRODUCT(D30:D53,D3:D26)/SUMPRODUCT((D30:D53&lt;&gt;"")*D3:D26))</f>
        <v/>
      </c>
      <c r="E61" s="8">
        <f>IFERROR(SUMPRODUCT(E51:E53,E24:E26)/SUMPRODUCT((E51:E53&lt;&gt;"")*E24:E26),SUMPRODUCT(E30:E53,E3:E26)/SUMPRODUCT((E30:E53&lt;&gt;"")*E3:E26))</f>
        <v/>
      </c>
      <c r="F61" s="8">
        <f>IFERROR(SUMPRODUCT(F51:F53,F24:F26)/SUMPRODUCT((F51:F53&lt;&gt;"")*F24:F26),SUMPRODUCT(F30:F53,F3:F26)/SUMPRODUCT((F30:F53&lt;&gt;"")*F3:F26))</f>
        <v/>
      </c>
      <c r="G61" s="8">
        <f>IFERROR(SUMPRODUCT(G51:G53,G24:G26)/SUMPRODUCT((G51:G53&lt;&gt;"")*G24:G26),SUMPRODUCT(G30:G53,G3:G26)/SUMPRODUCT((G30:G53&lt;&gt;"")*G3:G26))</f>
        <v/>
      </c>
      <c r="H61" s="8">
        <f>IFERROR(SUMPRODUCT(H51:H53,H24:H26)/SUMPRODUCT((H51:H53&lt;&gt;"")*H24:H26),SUMPRODUCT(H30:H53,H3:H26)/SUMPRODUCT((H30:H53&lt;&gt;"")*H3:H26))</f>
        <v/>
      </c>
      <c r="I61" s="8">
        <f>IFERROR(SUMPRODUCT(I51:I53,I24:I26)/SUMPRODUCT((I51:I53&lt;&gt;"")*I24:I26),SUMPRODUCT(I30:I53,I3:I26)/SUMPRODUCT((I30:I53&lt;&gt;"")*I3:I26))</f>
        <v/>
      </c>
      <c r="J61" s="8">
        <f>IFERROR(SUMPRODUCT(J51:J53,J24:J26)/SUMPRODUCT((J51:J53&lt;&gt;"")*J24:J26),SUMPRODUCT(J30:J53,J3:J26)/SUMPRODUCT((J30:J53&lt;&gt;"")*J3:J26))</f>
        <v/>
      </c>
      <c r="K61" s="8">
        <f>IFERROR(SUMPRODUCT(K51:K53,K24:K26)/SUMPRODUCT((K51:K53&lt;&gt;"")*K24:K26),SUMPRODUCT(K30:K53,K3:K26)/SUMPRODUCT((K30:K53&lt;&gt;"")*K3:K26))</f>
        <v/>
      </c>
      <c r="L61" s="8">
        <f>IFERROR(SUMPRODUCT(L51:L53,L24:L26)/SUMPRODUCT((L51:L53&lt;&gt;"")*L24:L26),SUMPRODUCT(L30:L53,L3:L26)/SUMPRODUCT((L30:L53&lt;&gt;"")*L3:L26))</f>
        <v/>
      </c>
      <c r="M61" s="8">
        <f>IFERROR(SUMPRODUCT(M51:M53,M24:M26)/SUMPRODUCT((M51:M53&lt;&gt;"")*M24:M26),SUMPRODUCT(M30:M53,M3:M26)/SUMPRODUCT((M30:M53&lt;&gt;"")*M3:M26))</f>
        <v/>
      </c>
      <c r="N61" s="8">
        <f>IFERROR(SUMPRODUCT(N51:N53,N24:N26)/SUMPRODUCT((N51:N53&lt;&gt;"")*N24:N26),SUMPRODUCT(N30:N53,N3:N26)/SUMPRODUCT((N30:N53&lt;&gt;"")*N3:N26))</f>
        <v/>
      </c>
      <c r="O61" s="8">
        <f>IFERROR(SUMPRODUCT(O51:O53,O24:O26)/SUMPRODUCT((O51:O53&lt;&gt;"")*O24:O26),SUMPRODUCT(O30:O53,O3:O26)/SUMPRODUCT((O30:O53&lt;&gt;"")*O3:O26))</f>
        <v/>
      </c>
      <c r="P61" s="8">
        <f>IFERROR(SUMPRODUCT(P51:P53,P24:P26)/SUMPRODUCT((P51:P53&lt;&gt;"")*P24:P26),SUMPRODUCT(P30:P53,P3:P26)/SUMPRODUCT((P30:P53&lt;&gt;"")*P3:P26))</f>
        <v/>
      </c>
      <c r="Q61" s="8">
        <f>IFERROR(SUMPRODUCT(Q51:Q53,Q24:Q26)/SUMPRODUCT((Q51:Q53&lt;&gt;"")*Q24:Q26),SUMPRODUCT(Q30:Q53,Q3:Q26)/SUMPRODUCT((Q30:Q53&lt;&gt;"")*Q3:Q26))</f>
        <v/>
      </c>
      <c r="R61" s="8">
        <f>IFERROR(SUMPRODUCT(R51:R53,R24:R26)/SUMPRODUCT((R51:R53&lt;&gt;"")*R24:R26),SUMPRODUCT(R30:R53,R3:R26)/SUMPRODUCT((R30:R53&lt;&gt;"")*R3:R26))</f>
        <v/>
      </c>
      <c r="S61" s="8">
        <f>IFERROR(SUMPRODUCT(S51:S53,S24:S26)/SUMPRODUCT((S51:S53&lt;&gt;"")*S24:S26),SUMPRODUCT(S30:S53,S3:S26)/SUMPRODUCT((S30:S53&lt;&gt;"")*S3:S26))</f>
        <v/>
      </c>
      <c r="T61" s="8">
        <f>IFERROR(SUMPRODUCT(T51:T53,T24:T26)/SUMPRODUCT((T51:T53&lt;&gt;"")*T24:T26),SUMPRODUCT(T30:T53,T3:T26)/SUMPRODUCT((T30:T53&lt;&gt;"")*T3:T26))</f>
        <v/>
      </c>
      <c r="U61" s="8">
        <f>IFERROR(SUMPRODUCT(U51:U53,U24:U26)/SUMPRODUCT((U51:U53&lt;&gt;"")*U24:U26),SUMPRODUCT(U30:U53,U3:U26)/SUMPRODUCT((U30:U53&lt;&gt;"")*U3:U26))</f>
        <v/>
      </c>
      <c r="V61" s="8">
        <f>IFERROR(SUMPRODUCT(V51:V53,V24:V26)/SUMPRODUCT((V51:V53&lt;&gt;"")*V24:V26),SUMPRODUCT(V30:V53,V3:V26)/SUMPRODUCT((V30:V53&lt;&gt;"")*V3:V26))</f>
        <v/>
      </c>
      <c r="W61" s="8">
        <f>IFERROR(SUMPRODUCT(W51:W53,W24:W26)/SUMPRODUCT((W51:W53&lt;&gt;"")*W24:W26),SUMPRODUCT(W30:W53,W3:W26)/SUMPRODUCT((W30:W53&lt;&gt;"")*W3:W26))</f>
        <v/>
      </c>
      <c r="X61" s="8">
        <f>IFERROR(SUMPRODUCT(X51:X53,X24:X26)/SUMPRODUCT((X51:X53&lt;&gt;"")*X24:X26),SUMPRODUCT(X30:X53,X3:X26)/SUMPRODUCT((X30:X53&lt;&gt;"")*X3:X26))</f>
        <v/>
      </c>
      <c r="Y61" s="8" t="inlineStr"/>
    </row>
    <row r="62">
      <c r="A62" s="10" t="inlineStr">
        <is>
          <t>exclude_high_low_3yr</t>
        </is>
      </c>
      <c r="B62" s="8">
        <f>IFERROR(TRIMMEAN(B51:B53,2/COUNT(B51:B53)),AVERAGE(B30:B53))</f>
        <v/>
      </c>
      <c r="C62" s="8">
        <f>IFERROR(TRIMMEAN(C51:C53,2/COUNT(C51:C53)),AVERAGE(C30:C53))</f>
        <v/>
      </c>
      <c r="D62" s="8">
        <f>IFERROR(TRIMMEAN(D51:D53,2/COUNT(D51:D53)),AVERAGE(D30:D53))</f>
        <v/>
      </c>
      <c r="E62" s="8">
        <f>IFERROR(TRIMMEAN(E51:E53,2/COUNT(E51:E53)),AVERAGE(E30:E53))</f>
        <v/>
      </c>
      <c r="F62" s="8">
        <f>IFERROR(TRIMMEAN(F51:F53,2/COUNT(F51:F53)),AVERAGE(F30:F53))</f>
        <v/>
      </c>
      <c r="G62" s="8">
        <f>IFERROR(TRIMMEAN(G51:G53,2/COUNT(G51:G53)),AVERAGE(G30:G53))</f>
        <v/>
      </c>
      <c r="H62" s="8">
        <f>IFERROR(TRIMMEAN(H51:H53,2/COUNT(H51:H53)),AVERAGE(H30:H53))</f>
        <v/>
      </c>
      <c r="I62" s="8">
        <f>IFERROR(TRIMMEAN(I51:I53,2/COUNT(I51:I53)),AVERAGE(I30:I53))</f>
        <v/>
      </c>
      <c r="J62" s="8">
        <f>IFERROR(TRIMMEAN(J51:J53,2/COUNT(J51:J53)),AVERAGE(J30:J53))</f>
        <v/>
      </c>
      <c r="K62" s="8">
        <f>IFERROR(TRIMMEAN(K51:K53,2/COUNT(K51:K53)),AVERAGE(K30:K53))</f>
        <v/>
      </c>
      <c r="L62" s="8">
        <f>IFERROR(TRIMMEAN(L51:L53,2/COUNT(L51:L53)),AVERAGE(L30:L53))</f>
        <v/>
      </c>
      <c r="M62" s="8">
        <f>IFERROR(TRIMMEAN(M51:M53,2/COUNT(M51:M53)),AVERAGE(M30:M53))</f>
        <v/>
      </c>
      <c r="N62" s="8">
        <f>IFERROR(TRIMMEAN(N51:N53,2/COUNT(N51:N53)),AVERAGE(N30:N53))</f>
        <v/>
      </c>
      <c r="O62" s="8">
        <f>IFERROR(TRIMMEAN(O51:O53,2/COUNT(O51:O53)),AVERAGE(O30:O53))</f>
        <v/>
      </c>
      <c r="P62" s="8">
        <f>IFERROR(TRIMMEAN(P51:P53,2/COUNT(P51:P53)),AVERAGE(P30:P53))</f>
        <v/>
      </c>
      <c r="Q62" s="8">
        <f>IFERROR(TRIMMEAN(Q51:Q53,2/COUNT(Q51:Q53)),AVERAGE(Q30:Q53))</f>
        <v/>
      </c>
      <c r="R62" s="8">
        <f>IFERROR(TRIMMEAN(R51:R53,2/COUNT(R51:R53)),AVERAGE(R30:R53))</f>
        <v/>
      </c>
      <c r="S62" s="8">
        <f>IFERROR(TRIMMEAN(S51:S53,2/COUNT(S51:S53)),AVERAGE(S30:S53))</f>
        <v/>
      </c>
      <c r="T62" s="8">
        <f>IFERROR(TRIMMEAN(T51:T53,2/COUNT(T51:T53)),AVERAGE(T30:T53))</f>
        <v/>
      </c>
      <c r="U62" s="8">
        <f>IFERROR(TRIMMEAN(U51:U53,2/COUNT(U51:U53)),AVERAGE(U30:U53))</f>
        <v/>
      </c>
      <c r="V62" s="8">
        <f>IFERROR(TRIMMEAN(V51:V53,2/COUNT(V51:V53)),AVERAGE(V30:V53))</f>
        <v/>
      </c>
      <c r="W62" s="8">
        <f>IFERROR(TRIMMEAN(W51:W53,2/COUNT(W51:W53)),AVERAGE(W30:W53))</f>
        <v/>
      </c>
      <c r="X62" s="8">
        <f>IFERROR(TRIMMEAN(X51:X53,2/COUNT(X51:X53)),AVERAGE(X30:X53))</f>
        <v/>
      </c>
      <c r="Y62" s="8" t="inlineStr"/>
    </row>
    <row r="63">
      <c r="A63" s="10" t="inlineStr">
        <is>
          <t>simple_5yr</t>
        </is>
      </c>
      <c r="B63" s="8">
        <f>IFERROR(AVERAGE(B49:B53),AVERAGE(B30:B53))</f>
        <v/>
      </c>
      <c r="C63" s="8">
        <f>IFERROR(AVERAGE(C49:C53),AVERAGE(C30:C53))</f>
        <v/>
      </c>
      <c r="D63" s="8">
        <f>IFERROR(AVERAGE(D49:D53),AVERAGE(D30:D53))</f>
        <v/>
      </c>
      <c r="E63" s="8">
        <f>IFERROR(AVERAGE(E49:E53),AVERAGE(E30:E53))</f>
        <v/>
      </c>
      <c r="F63" s="8">
        <f>IFERROR(AVERAGE(F49:F53),AVERAGE(F30:F53))</f>
        <v/>
      </c>
      <c r="G63" s="8">
        <f>IFERROR(AVERAGE(G49:G53),AVERAGE(G30:G53))</f>
        <v/>
      </c>
      <c r="H63" s="8">
        <f>IFERROR(AVERAGE(H49:H53),AVERAGE(H30:H53))</f>
        <v/>
      </c>
      <c r="I63" s="8">
        <f>IFERROR(AVERAGE(I49:I53),AVERAGE(I30:I53))</f>
        <v/>
      </c>
      <c r="J63" s="8">
        <f>IFERROR(AVERAGE(J49:J53),AVERAGE(J30:J53))</f>
        <v/>
      </c>
      <c r="K63" s="8">
        <f>IFERROR(AVERAGE(K49:K53),AVERAGE(K30:K53))</f>
        <v/>
      </c>
      <c r="L63" s="8">
        <f>IFERROR(AVERAGE(L49:L53),AVERAGE(L30:L53))</f>
        <v/>
      </c>
      <c r="M63" s="8">
        <f>IFERROR(AVERAGE(M49:M53),AVERAGE(M30:M53))</f>
        <v/>
      </c>
      <c r="N63" s="8">
        <f>IFERROR(AVERAGE(N49:N53),AVERAGE(N30:N53))</f>
        <v/>
      </c>
      <c r="O63" s="8">
        <f>IFERROR(AVERAGE(O49:O53),AVERAGE(O30:O53))</f>
        <v/>
      </c>
      <c r="P63" s="8">
        <f>IFERROR(AVERAGE(P49:P53),AVERAGE(P30:P53))</f>
        <v/>
      </c>
      <c r="Q63" s="8">
        <f>IFERROR(AVERAGE(Q49:Q53),AVERAGE(Q30:Q53))</f>
        <v/>
      </c>
      <c r="R63" s="8">
        <f>IFERROR(AVERAGE(R49:R53),AVERAGE(R30:R53))</f>
        <v/>
      </c>
      <c r="S63" s="8">
        <f>IFERROR(AVERAGE(S49:S53),AVERAGE(S30:S53))</f>
        <v/>
      </c>
      <c r="T63" s="8">
        <f>IFERROR(AVERAGE(T49:T53),AVERAGE(T30:T53))</f>
        <v/>
      </c>
      <c r="U63" s="8">
        <f>IFERROR(AVERAGE(U49:U53),AVERAGE(U30:U53))</f>
        <v/>
      </c>
      <c r="V63" s="8">
        <f>IFERROR(AVERAGE(V49:V53),AVERAGE(V30:V53))</f>
        <v/>
      </c>
      <c r="W63" s="8">
        <f>IFERROR(AVERAGE(W49:W53),AVERAGE(W30:W53))</f>
        <v/>
      </c>
      <c r="X63" s="8">
        <f>IFERROR(AVERAGE(X49:X53),AVERAGE(X30:X53))</f>
        <v/>
      </c>
      <c r="Y63" s="8" t="inlineStr"/>
    </row>
    <row r="64">
      <c r="A64" s="10" t="inlineStr">
        <is>
          <t>weighted_5yr</t>
        </is>
      </c>
      <c r="B64" s="8">
        <f>IFERROR(SUMPRODUCT(B49:B53,B22:B26)/SUMPRODUCT((B49:B53&lt;&gt;"")*B22:B26),SUMPRODUCT(B30:B53,B3:B26)/SUMPRODUCT((B30:B53&lt;&gt;"")*B3:B26))</f>
        <v/>
      </c>
      <c r="C64" s="8">
        <f>IFERROR(SUMPRODUCT(C49:C53,C22:C26)/SUMPRODUCT((C49:C53&lt;&gt;"")*C22:C26),SUMPRODUCT(C30:C53,C3:C26)/SUMPRODUCT((C30:C53&lt;&gt;"")*C3:C26))</f>
        <v/>
      </c>
      <c r="D64" s="8">
        <f>IFERROR(SUMPRODUCT(D49:D53,D22:D26)/SUMPRODUCT((D49:D53&lt;&gt;"")*D22:D26),SUMPRODUCT(D30:D53,D3:D26)/SUMPRODUCT((D30:D53&lt;&gt;"")*D3:D26))</f>
        <v/>
      </c>
      <c r="E64" s="8">
        <f>IFERROR(SUMPRODUCT(E49:E53,E22:E26)/SUMPRODUCT((E49:E53&lt;&gt;"")*E22:E26),SUMPRODUCT(E30:E53,E3:E26)/SUMPRODUCT((E30:E53&lt;&gt;"")*E3:E26))</f>
        <v/>
      </c>
      <c r="F64" s="8">
        <f>IFERROR(SUMPRODUCT(F49:F53,F22:F26)/SUMPRODUCT((F49:F53&lt;&gt;"")*F22:F26),SUMPRODUCT(F30:F53,F3:F26)/SUMPRODUCT((F30:F53&lt;&gt;"")*F3:F26))</f>
        <v/>
      </c>
      <c r="G64" s="8">
        <f>IFERROR(SUMPRODUCT(G49:G53,G22:G26)/SUMPRODUCT((G49:G53&lt;&gt;"")*G22:G26),SUMPRODUCT(G30:G53,G3:G26)/SUMPRODUCT((G30:G53&lt;&gt;"")*G3:G26))</f>
        <v/>
      </c>
      <c r="H64" s="8">
        <f>IFERROR(SUMPRODUCT(H49:H53,H22:H26)/SUMPRODUCT((H49:H53&lt;&gt;"")*H22:H26),SUMPRODUCT(H30:H53,H3:H26)/SUMPRODUCT((H30:H53&lt;&gt;"")*H3:H26))</f>
        <v/>
      </c>
      <c r="I64" s="8">
        <f>IFERROR(SUMPRODUCT(I49:I53,I22:I26)/SUMPRODUCT((I49:I53&lt;&gt;"")*I22:I26),SUMPRODUCT(I30:I53,I3:I26)/SUMPRODUCT((I30:I53&lt;&gt;"")*I3:I26))</f>
        <v/>
      </c>
      <c r="J64" s="8">
        <f>IFERROR(SUMPRODUCT(J49:J53,J22:J26)/SUMPRODUCT((J49:J53&lt;&gt;"")*J22:J26),SUMPRODUCT(J30:J53,J3:J26)/SUMPRODUCT((J30:J53&lt;&gt;"")*J3:J26))</f>
        <v/>
      </c>
      <c r="K64" s="8">
        <f>IFERROR(SUMPRODUCT(K49:K53,K22:K26)/SUMPRODUCT((K49:K53&lt;&gt;"")*K22:K26),SUMPRODUCT(K30:K53,K3:K26)/SUMPRODUCT((K30:K53&lt;&gt;"")*K3:K26))</f>
        <v/>
      </c>
      <c r="L64" s="8">
        <f>IFERROR(SUMPRODUCT(L49:L53,L22:L26)/SUMPRODUCT((L49:L53&lt;&gt;"")*L22:L26),SUMPRODUCT(L30:L53,L3:L26)/SUMPRODUCT((L30:L53&lt;&gt;"")*L3:L26))</f>
        <v/>
      </c>
      <c r="M64" s="8">
        <f>IFERROR(SUMPRODUCT(M49:M53,M22:M26)/SUMPRODUCT((M49:M53&lt;&gt;"")*M22:M26),SUMPRODUCT(M30:M53,M3:M26)/SUMPRODUCT((M30:M53&lt;&gt;"")*M3:M26))</f>
        <v/>
      </c>
      <c r="N64" s="8">
        <f>IFERROR(SUMPRODUCT(N49:N53,N22:N26)/SUMPRODUCT((N49:N53&lt;&gt;"")*N22:N26),SUMPRODUCT(N30:N53,N3:N26)/SUMPRODUCT((N30:N53&lt;&gt;"")*N3:N26))</f>
        <v/>
      </c>
      <c r="O64" s="8">
        <f>IFERROR(SUMPRODUCT(O49:O53,O22:O26)/SUMPRODUCT((O49:O53&lt;&gt;"")*O22:O26),SUMPRODUCT(O30:O53,O3:O26)/SUMPRODUCT((O30:O53&lt;&gt;"")*O3:O26))</f>
        <v/>
      </c>
      <c r="P64" s="8">
        <f>IFERROR(SUMPRODUCT(P49:P53,P22:P26)/SUMPRODUCT((P49:P53&lt;&gt;"")*P22:P26),SUMPRODUCT(P30:P53,P3:P26)/SUMPRODUCT((P30:P53&lt;&gt;"")*P3:P26))</f>
        <v/>
      </c>
      <c r="Q64" s="8">
        <f>IFERROR(SUMPRODUCT(Q49:Q53,Q22:Q26)/SUMPRODUCT((Q49:Q53&lt;&gt;"")*Q22:Q26),SUMPRODUCT(Q30:Q53,Q3:Q26)/SUMPRODUCT((Q30:Q53&lt;&gt;"")*Q3:Q26))</f>
        <v/>
      </c>
      <c r="R64" s="8">
        <f>IFERROR(SUMPRODUCT(R49:R53,R22:R26)/SUMPRODUCT((R49:R53&lt;&gt;"")*R22:R26),SUMPRODUCT(R30:R53,R3:R26)/SUMPRODUCT((R30:R53&lt;&gt;"")*R3:R26))</f>
        <v/>
      </c>
      <c r="S64" s="8">
        <f>IFERROR(SUMPRODUCT(S49:S53,S22:S26)/SUMPRODUCT((S49:S53&lt;&gt;"")*S22:S26),SUMPRODUCT(S30:S53,S3:S26)/SUMPRODUCT((S30:S53&lt;&gt;"")*S3:S26))</f>
        <v/>
      </c>
      <c r="T64" s="8">
        <f>IFERROR(SUMPRODUCT(T49:T53,T22:T26)/SUMPRODUCT((T49:T53&lt;&gt;"")*T22:T26),SUMPRODUCT(T30:T53,T3:T26)/SUMPRODUCT((T30:T53&lt;&gt;"")*T3:T26))</f>
        <v/>
      </c>
      <c r="U64" s="8">
        <f>IFERROR(SUMPRODUCT(U49:U53,U22:U26)/SUMPRODUCT((U49:U53&lt;&gt;"")*U22:U26),SUMPRODUCT(U30:U53,U3:U26)/SUMPRODUCT((U30:U53&lt;&gt;"")*U3:U26))</f>
        <v/>
      </c>
      <c r="V64" s="8">
        <f>IFERROR(SUMPRODUCT(V49:V53,V22:V26)/SUMPRODUCT((V49:V53&lt;&gt;"")*V22:V26),SUMPRODUCT(V30:V53,V3:V26)/SUMPRODUCT((V30:V53&lt;&gt;"")*V3:V26))</f>
        <v/>
      </c>
      <c r="W64" s="8">
        <f>IFERROR(SUMPRODUCT(W49:W53,W22:W26)/SUMPRODUCT((W49:W53&lt;&gt;"")*W22:W26),SUMPRODUCT(W30:W53,W3:W26)/SUMPRODUCT((W30:W53&lt;&gt;"")*W3:W26))</f>
        <v/>
      </c>
      <c r="X64" s="8">
        <f>IFERROR(SUMPRODUCT(X49:X53,X22:X26)/SUMPRODUCT((X49:X53&lt;&gt;"")*X22:X26),SUMPRODUCT(X30:X53,X3:X26)/SUMPRODUCT((X30:X53&lt;&gt;"")*X3:X26))</f>
        <v/>
      </c>
      <c r="Y64" s="8" t="inlineStr"/>
    </row>
    <row r="65">
      <c r="A65" s="10" t="inlineStr">
        <is>
          <t>exclude_high_low_5yr</t>
        </is>
      </c>
      <c r="B65" s="8">
        <f>IFERROR(TRIMMEAN(B49:B53,2/COUNT(B49:B53)),AVERAGE(B30:B53))</f>
        <v/>
      </c>
      <c r="C65" s="8">
        <f>IFERROR(TRIMMEAN(C49:C53,2/COUNT(C49:C53)),AVERAGE(C30:C53))</f>
        <v/>
      </c>
      <c r="D65" s="8">
        <f>IFERROR(TRIMMEAN(D49:D53,2/COUNT(D49:D53)),AVERAGE(D30:D53))</f>
        <v/>
      </c>
      <c r="E65" s="8">
        <f>IFERROR(TRIMMEAN(E49:E53,2/COUNT(E49:E53)),AVERAGE(E30:E53))</f>
        <v/>
      </c>
      <c r="F65" s="8">
        <f>IFERROR(TRIMMEAN(F49:F53,2/COUNT(F49:F53)),AVERAGE(F30:F53))</f>
        <v/>
      </c>
      <c r="G65" s="8">
        <f>IFERROR(TRIMMEAN(G49:G53,2/COUNT(G49:G53)),AVERAGE(G30:G53))</f>
        <v/>
      </c>
      <c r="H65" s="8">
        <f>IFERROR(TRIMMEAN(H49:H53,2/COUNT(H49:H53)),AVERAGE(H30:H53))</f>
        <v/>
      </c>
      <c r="I65" s="8">
        <f>IFERROR(TRIMMEAN(I49:I53,2/COUNT(I49:I53)),AVERAGE(I30:I53))</f>
        <v/>
      </c>
      <c r="J65" s="8">
        <f>IFERROR(TRIMMEAN(J49:J53,2/COUNT(J49:J53)),AVERAGE(J30:J53))</f>
        <v/>
      </c>
      <c r="K65" s="8">
        <f>IFERROR(TRIMMEAN(K49:K53,2/COUNT(K49:K53)),AVERAGE(K30:K53))</f>
        <v/>
      </c>
      <c r="L65" s="8">
        <f>IFERROR(TRIMMEAN(L49:L53,2/COUNT(L49:L53)),AVERAGE(L30:L53))</f>
        <v/>
      </c>
      <c r="M65" s="8">
        <f>IFERROR(TRIMMEAN(M49:M53,2/COUNT(M49:M53)),AVERAGE(M30:M53))</f>
        <v/>
      </c>
      <c r="N65" s="8">
        <f>IFERROR(TRIMMEAN(N49:N53,2/COUNT(N49:N53)),AVERAGE(N30:N53))</f>
        <v/>
      </c>
      <c r="O65" s="8">
        <f>IFERROR(TRIMMEAN(O49:O53,2/COUNT(O49:O53)),AVERAGE(O30:O53))</f>
        <v/>
      </c>
      <c r="P65" s="8">
        <f>IFERROR(TRIMMEAN(P49:P53,2/COUNT(P49:P53)),AVERAGE(P30:P53))</f>
        <v/>
      </c>
      <c r="Q65" s="8">
        <f>IFERROR(TRIMMEAN(Q49:Q53,2/COUNT(Q49:Q53)),AVERAGE(Q30:Q53))</f>
        <v/>
      </c>
      <c r="R65" s="8">
        <f>IFERROR(TRIMMEAN(R49:R53,2/COUNT(R49:R53)),AVERAGE(R30:R53))</f>
        <v/>
      </c>
      <c r="S65" s="8">
        <f>IFERROR(TRIMMEAN(S49:S53,2/COUNT(S49:S53)),AVERAGE(S30:S53))</f>
        <v/>
      </c>
      <c r="T65" s="8">
        <f>IFERROR(TRIMMEAN(T49:T53,2/COUNT(T49:T53)),AVERAGE(T30:T53))</f>
        <v/>
      </c>
      <c r="U65" s="8">
        <f>IFERROR(TRIMMEAN(U49:U53,2/COUNT(U49:U53)),AVERAGE(U30:U53))</f>
        <v/>
      </c>
      <c r="V65" s="8">
        <f>IFERROR(TRIMMEAN(V49:V53,2/COUNT(V49:V53)),AVERAGE(V30:V53))</f>
        <v/>
      </c>
      <c r="W65" s="8">
        <f>IFERROR(TRIMMEAN(W49:W53,2/COUNT(W49:W53)),AVERAGE(W30:W53))</f>
        <v/>
      </c>
      <c r="X65" s="8">
        <f>IFERROR(TRIMMEAN(X49:X53,2/COUNT(X49:X53)),AVERAGE(X30:X53))</f>
        <v/>
      </c>
      <c r="Y65" s="8" t="inlineStr"/>
    </row>
    <row r="66">
      <c r="A66" s="10" t="inlineStr">
        <is>
          <t>simple_10yr</t>
        </is>
      </c>
      <c r="B66" s="8">
        <f>IFERROR(AVERAGE(B44:B53),AVERAGE(B30:B53))</f>
        <v/>
      </c>
      <c r="C66" s="8">
        <f>IFERROR(AVERAGE(C44:C53),AVERAGE(C30:C53))</f>
        <v/>
      </c>
      <c r="D66" s="8">
        <f>IFERROR(AVERAGE(D44:D53),AVERAGE(D30:D53))</f>
        <v/>
      </c>
      <c r="E66" s="8">
        <f>IFERROR(AVERAGE(E44:E53),AVERAGE(E30:E53))</f>
        <v/>
      </c>
      <c r="F66" s="8">
        <f>IFERROR(AVERAGE(F44:F53),AVERAGE(F30:F53))</f>
        <v/>
      </c>
      <c r="G66" s="8">
        <f>IFERROR(AVERAGE(G44:G53),AVERAGE(G30:G53))</f>
        <v/>
      </c>
      <c r="H66" s="8">
        <f>IFERROR(AVERAGE(H44:H53),AVERAGE(H30:H53))</f>
        <v/>
      </c>
      <c r="I66" s="8">
        <f>IFERROR(AVERAGE(I44:I53),AVERAGE(I30:I53))</f>
        <v/>
      </c>
      <c r="J66" s="8">
        <f>IFERROR(AVERAGE(J44:J53),AVERAGE(J30:J53))</f>
        <v/>
      </c>
      <c r="K66" s="8">
        <f>IFERROR(AVERAGE(K44:K53),AVERAGE(K30:K53))</f>
        <v/>
      </c>
      <c r="L66" s="8">
        <f>IFERROR(AVERAGE(L44:L53),AVERAGE(L30:L53))</f>
        <v/>
      </c>
      <c r="M66" s="8">
        <f>IFERROR(AVERAGE(M44:M53),AVERAGE(M30:M53))</f>
        <v/>
      </c>
      <c r="N66" s="8">
        <f>IFERROR(AVERAGE(N44:N53),AVERAGE(N30:N53))</f>
        <v/>
      </c>
      <c r="O66" s="8">
        <f>IFERROR(AVERAGE(O44:O53),AVERAGE(O30:O53))</f>
        <v/>
      </c>
      <c r="P66" s="8">
        <f>IFERROR(AVERAGE(P44:P53),AVERAGE(P30:P53))</f>
        <v/>
      </c>
      <c r="Q66" s="8">
        <f>IFERROR(AVERAGE(Q44:Q53),AVERAGE(Q30:Q53))</f>
        <v/>
      </c>
      <c r="R66" s="8">
        <f>IFERROR(AVERAGE(R44:R53),AVERAGE(R30:R53))</f>
        <v/>
      </c>
      <c r="S66" s="8">
        <f>IFERROR(AVERAGE(S44:S53),AVERAGE(S30:S53))</f>
        <v/>
      </c>
      <c r="T66" s="8">
        <f>IFERROR(AVERAGE(T44:T53),AVERAGE(T30:T53))</f>
        <v/>
      </c>
      <c r="U66" s="8">
        <f>IFERROR(AVERAGE(U44:U53),AVERAGE(U30:U53))</f>
        <v/>
      </c>
      <c r="V66" s="8">
        <f>IFERROR(AVERAGE(V44:V53),AVERAGE(V30:V53))</f>
        <v/>
      </c>
      <c r="W66" s="8">
        <f>IFERROR(AVERAGE(W44:W53),AVERAGE(W30:W53))</f>
        <v/>
      </c>
      <c r="X66" s="8">
        <f>IFERROR(AVERAGE(X44:X53),AVERAGE(X30:X53))</f>
        <v/>
      </c>
      <c r="Y66" s="8" t="inlineStr"/>
    </row>
    <row r="67">
      <c r="A67" s="10" t="inlineStr">
        <is>
          <t>weighted_10yr</t>
        </is>
      </c>
      <c r="B67" s="8">
        <f>IFERROR(SUMPRODUCT(B44:B53,B17:B26)/SUMPRODUCT((B44:B53&lt;&gt;"")*B17:B26),SUMPRODUCT(B30:B53,B3:B26)/SUMPRODUCT((B30:B53&lt;&gt;"")*B3:B26))</f>
        <v/>
      </c>
      <c r="C67" s="8">
        <f>IFERROR(SUMPRODUCT(C44:C53,C17:C26)/SUMPRODUCT((C44:C53&lt;&gt;"")*C17:C26),SUMPRODUCT(C30:C53,C3:C26)/SUMPRODUCT((C30:C53&lt;&gt;"")*C3:C26))</f>
        <v/>
      </c>
      <c r="D67" s="8">
        <f>IFERROR(SUMPRODUCT(D44:D53,D17:D26)/SUMPRODUCT((D44:D53&lt;&gt;"")*D17:D26),SUMPRODUCT(D30:D53,D3:D26)/SUMPRODUCT((D30:D53&lt;&gt;"")*D3:D26))</f>
        <v/>
      </c>
      <c r="E67" s="8">
        <f>IFERROR(SUMPRODUCT(E44:E53,E17:E26)/SUMPRODUCT((E44:E53&lt;&gt;"")*E17:E26),SUMPRODUCT(E30:E53,E3:E26)/SUMPRODUCT((E30:E53&lt;&gt;"")*E3:E26))</f>
        <v/>
      </c>
      <c r="F67" s="8">
        <f>IFERROR(SUMPRODUCT(F44:F53,F17:F26)/SUMPRODUCT((F44:F53&lt;&gt;"")*F17:F26),SUMPRODUCT(F30:F53,F3:F26)/SUMPRODUCT((F30:F53&lt;&gt;"")*F3:F26))</f>
        <v/>
      </c>
      <c r="G67" s="8">
        <f>IFERROR(SUMPRODUCT(G44:G53,G17:G26)/SUMPRODUCT((G44:G53&lt;&gt;"")*G17:G26),SUMPRODUCT(G30:G53,G3:G26)/SUMPRODUCT((G30:G53&lt;&gt;"")*G3:G26))</f>
        <v/>
      </c>
      <c r="H67" s="8">
        <f>IFERROR(SUMPRODUCT(H44:H53,H17:H26)/SUMPRODUCT((H44:H53&lt;&gt;"")*H17:H26),SUMPRODUCT(H30:H53,H3:H26)/SUMPRODUCT((H30:H53&lt;&gt;"")*H3:H26))</f>
        <v/>
      </c>
      <c r="I67" s="8">
        <f>IFERROR(SUMPRODUCT(I44:I53,I17:I26)/SUMPRODUCT((I44:I53&lt;&gt;"")*I17:I26),SUMPRODUCT(I30:I53,I3:I26)/SUMPRODUCT((I30:I53&lt;&gt;"")*I3:I26))</f>
        <v/>
      </c>
      <c r="J67" s="8">
        <f>IFERROR(SUMPRODUCT(J44:J53,J17:J26)/SUMPRODUCT((J44:J53&lt;&gt;"")*J17:J26),SUMPRODUCT(J30:J53,J3:J26)/SUMPRODUCT((J30:J53&lt;&gt;"")*J3:J26))</f>
        <v/>
      </c>
      <c r="K67" s="8">
        <f>IFERROR(SUMPRODUCT(K44:K53,K17:K26)/SUMPRODUCT((K44:K53&lt;&gt;"")*K17:K26),SUMPRODUCT(K30:K53,K3:K26)/SUMPRODUCT((K30:K53&lt;&gt;"")*K3:K26))</f>
        <v/>
      </c>
      <c r="L67" s="8">
        <f>IFERROR(SUMPRODUCT(L44:L53,L17:L26)/SUMPRODUCT((L44:L53&lt;&gt;"")*L17:L26),SUMPRODUCT(L30:L53,L3:L26)/SUMPRODUCT((L30:L53&lt;&gt;"")*L3:L26))</f>
        <v/>
      </c>
      <c r="M67" s="8">
        <f>IFERROR(SUMPRODUCT(M44:M53,M17:M26)/SUMPRODUCT((M44:M53&lt;&gt;"")*M17:M26),SUMPRODUCT(M30:M53,M3:M26)/SUMPRODUCT((M30:M53&lt;&gt;"")*M3:M26))</f>
        <v/>
      </c>
      <c r="N67" s="8">
        <f>IFERROR(SUMPRODUCT(N44:N53,N17:N26)/SUMPRODUCT((N44:N53&lt;&gt;"")*N17:N26),SUMPRODUCT(N30:N53,N3:N26)/SUMPRODUCT((N30:N53&lt;&gt;"")*N3:N26))</f>
        <v/>
      </c>
      <c r="O67" s="8">
        <f>IFERROR(SUMPRODUCT(O44:O53,O17:O26)/SUMPRODUCT((O44:O53&lt;&gt;"")*O17:O26),SUMPRODUCT(O30:O53,O3:O26)/SUMPRODUCT((O30:O53&lt;&gt;"")*O3:O26))</f>
        <v/>
      </c>
      <c r="P67" s="8">
        <f>IFERROR(SUMPRODUCT(P44:P53,P17:P26)/SUMPRODUCT((P44:P53&lt;&gt;"")*P17:P26),SUMPRODUCT(P30:P53,P3:P26)/SUMPRODUCT((P30:P53&lt;&gt;"")*P3:P26))</f>
        <v/>
      </c>
      <c r="Q67" s="8">
        <f>IFERROR(SUMPRODUCT(Q44:Q53,Q17:Q26)/SUMPRODUCT((Q44:Q53&lt;&gt;"")*Q17:Q26),SUMPRODUCT(Q30:Q53,Q3:Q26)/SUMPRODUCT((Q30:Q53&lt;&gt;"")*Q3:Q26))</f>
        <v/>
      </c>
      <c r="R67" s="8">
        <f>IFERROR(SUMPRODUCT(R44:R53,R17:R26)/SUMPRODUCT((R44:R53&lt;&gt;"")*R17:R26),SUMPRODUCT(R30:R53,R3:R26)/SUMPRODUCT((R30:R53&lt;&gt;"")*R3:R26))</f>
        <v/>
      </c>
      <c r="S67" s="8">
        <f>IFERROR(SUMPRODUCT(S44:S53,S17:S26)/SUMPRODUCT((S44:S53&lt;&gt;"")*S17:S26),SUMPRODUCT(S30:S53,S3:S26)/SUMPRODUCT((S30:S53&lt;&gt;"")*S3:S26))</f>
        <v/>
      </c>
      <c r="T67" s="8">
        <f>IFERROR(SUMPRODUCT(T44:T53,T17:T26)/SUMPRODUCT((T44:T53&lt;&gt;"")*T17:T26),SUMPRODUCT(T30:T53,T3:T26)/SUMPRODUCT((T30:T53&lt;&gt;"")*T3:T26))</f>
        <v/>
      </c>
      <c r="U67" s="8">
        <f>IFERROR(SUMPRODUCT(U44:U53,U17:U26)/SUMPRODUCT((U44:U53&lt;&gt;"")*U17:U26),SUMPRODUCT(U30:U53,U3:U26)/SUMPRODUCT((U30:U53&lt;&gt;"")*U3:U26))</f>
        <v/>
      </c>
      <c r="V67" s="8">
        <f>IFERROR(SUMPRODUCT(V44:V53,V17:V26)/SUMPRODUCT((V44:V53&lt;&gt;"")*V17:V26),SUMPRODUCT(V30:V53,V3:V26)/SUMPRODUCT((V30:V53&lt;&gt;"")*V3:V26))</f>
        <v/>
      </c>
      <c r="W67" s="8">
        <f>IFERROR(SUMPRODUCT(W44:W53,W17:W26)/SUMPRODUCT((W44:W53&lt;&gt;"")*W17:W26),SUMPRODUCT(W30:W53,W3:W26)/SUMPRODUCT((W30:W53&lt;&gt;"")*W3:W26))</f>
        <v/>
      </c>
      <c r="X67" s="8">
        <f>IFERROR(SUMPRODUCT(X44:X53,X17:X26)/SUMPRODUCT((X44:X53&lt;&gt;"")*X17:X26),SUMPRODUCT(X30:X53,X3:X26)/SUMPRODUCT((X30:X53&lt;&gt;"")*X3:X26))</f>
        <v/>
      </c>
      <c r="Y67" s="8" t="inlineStr"/>
    </row>
    <row r="68">
      <c r="A68" s="10" t="inlineStr">
        <is>
          <t>exclude_high_low_10yr</t>
        </is>
      </c>
      <c r="B68" s="8">
        <f>IFERROR(TRIMMEAN(B44:B53,2/COUNT(B44:B53)),AVERAGE(B30:B53))</f>
        <v/>
      </c>
      <c r="C68" s="8">
        <f>IFERROR(TRIMMEAN(C44:C53,2/COUNT(C44:C53)),AVERAGE(C30:C53))</f>
        <v/>
      </c>
      <c r="D68" s="8">
        <f>IFERROR(TRIMMEAN(D44:D53,2/COUNT(D44:D53)),AVERAGE(D30:D53))</f>
        <v/>
      </c>
      <c r="E68" s="8">
        <f>IFERROR(TRIMMEAN(E44:E53,2/COUNT(E44:E53)),AVERAGE(E30:E53))</f>
        <v/>
      </c>
      <c r="F68" s="8">
        <f>IFERROR(TRIMMEAN(F44:F53,2/COUNT(F44:F53)),AVERAGE(F30:F53))</f>
        <v/>
      </c>
      <c r="G68" s="8">
        <f>IFERROR(TRIMMEAN(G44:G53,2/COUNT(G44:G53)),AVERAGE(G30:G53))</f>
        <v/>
      </c>
      <c r="H68" s="8">
        <f>IFERROR(TRIMMEAN(H44:H53,2/COUNT(H44:H53)),AVERAGE(H30:H53))</f>
        <v/>
      </c>
      <c r="I68" s="8">
        <f>IFERROR(TRIMMEAN(I44:I53,2/COUNT(I44:I53)),AVERAGE(I30:I53))</f>
        <v/>
      </c>
      <c r="J68" s="8">
        <f>IFERROR(TRIMMEAN(J44:J53,2/COUNT(J44:J53)),AVERAGE(J30:J53))</f>
        <v/>
      </c>
      <c r="K68" s="8">
        <f>IFERROR(TRIMMEAN(K44:K53,2/COUNT(K44:K53)),AVERAGE(K30:K53))</f>
        <v/>
      </c>
      <c r="L68" s="8">
        <f>IFERROR(TRIMMEAN(L44:L53,2/COUNT(L44:L53)),AVERAGE(L30:L53))</f>
        <v/>
      </c>
      <c r="M68" s="8">
        <f>IFERROR(TRIMMEAN(M44:M53,2/COUNT(M44:M53)),AVERAGE(M30:M53))</f>
        <v/>
      </c>
      <c r="N68" s="8">
        <f>IFERROR(TRIMMEAN(N44:N53,2/COUNT(N44:N53)),AVERAGE(N30:N53))</f>
        <v/>
      </c>
      <c r="O68" s="8">
        <f>IFERROR(TRIMMEAN(O44:O53,2/COUNT(O44:O53)),AVERAGE(O30:O53))</f>
        <v/>
      </c>
      <c r="P68" s="8">
        <f>IFERROR(TRIMMEAN(P44:P53,2/COUNT(P44:P53)),AVERAGE(P30:P53))</f>
        <v/>
      </c>
      <c r="Q68" s="8">
        <f>IFERROR(TRIMMEAN(Q44:Q53,2/COUNT(Q44:Q53)),AVERAGE(Q30:Q53))</f>
        <v/>
      </c>
      <c r="R68" s="8">
        <f>IFERROR(TRIMMEAN(R44:R53,2/COUNT(R44:R53)),AVERAGE(R30:R53))</f>
        <v/>
      </c>
      <c r="S68" s="8">
        <f>IFERROR(TRIMMEAN(S44:S53,2/COUNT(S44:S53)),AVERAGE(S30:S53))</f>
        <v/>
      </c>
      <c r="T68" s="8">
        <f>IFERROR(TRIMMEAN(T44:T53,2/COUNT(T44:T53)),AVERAGE(T30:T53))</f>
        <v/>
      </c>
      <c r="U68" s="8">
        <f>IFERROR(TRIMMEAN(U44:U53,2/COUNT(U44:U53)),AVERAGE(U30:U53))</f>
        <v/>
      </c>
      <c r="V68" s="8">
        <f>IFERROR(TRIMMEAN(V44:V53,2/COUNT(V44:V53)),AVERAGE(V30:V53))</f>
        <v/>
      </c>
      <c r="W68" s="8">
        <f>IFERROR(TRIMMEAN(W44:W53,2/COUNT(W44:W53)),AVERAGE(W30:W53))</f>
        <v/>
      </c>
      <c r="X68" s="8">
        <f>IFERROR(TRIMMEAN(X44:X53,2/COUNT(X44:X53)),AVERAGE(X30:X53))</f>
        <v/>
      </c>
      <c r="Y68" s="8" t="inlineStr"/>
    </row>
    <row r="70">
      <c r="A70" s="1" t="inlineStr">
        <is>
          <t>LDF Selections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3" t="n"/>
    </row>
    <row r="71">
      <c r="A71" s="4" t="inlineStr"/>
      <c r="B71" s="5" t="inlineStr">
        <is>
          <t>11-23</t>
        </is>
      </c>
      <c r="C71" s="5" t="inlineStr">
        <is>
          <t>23-35</t>
        </is>
      </c>
      <c r="D71" s="5" t="inlineStr">
        <is>
          <t>35-47</t>
        </is>
      </c>
      <c r="E71" s="5" t="inlineStr">
        <is>
          <t>47-59</t>
        </is>
      </c>
      <c r="F71" s="5" t="inlineStr">
        <is>
          <t>59-71</t>
        </is>
      </c>
      <c r="G71" s="5" t="inlineStr">
        <is>
          <t>71-83</t>
        </is>
      </c>
      <c r="H71" s="5" t="inlineStr">
        <is>
          <t>83-95</t>
        </is>
      </c>
      <c r="I71" s="5" t="inlineStr">
        <is>
          <t>95-107</t>
        </is>
      </c>
      <c r="J71" s="5" t="inlineStr">
        <is>
          <t>107-119</t>
        </is>
      </c>
      <c r="K71" s="5" t="inlineStr">
        <is>
          <t>119-131</t>
        </is>
      </c>
      <c r="L71" s="5" t="inlineStr">
        <is>
          <t>131-143</t>
        </is>
      </c>
      <c r="M71" s="5" t="inlineStr">
        <is>
          <t>143-155</t>
        </is>
      </c>
      <c r="N71" s="5" t="inlineStr">
        <is>
          <t>155-167</t>
        </is>
      </c>
      <c r="O71" s="5" t="inlineStr">
        <is>
          <t>167-179</t>
        </is>
      </c>
      <c r="P71" s="5" t="inlineStr">
        <is>
          <t>179-191</t>
        </is>
      </c>
      <c r="Q71" s="5" t="inlineStr">
        <is>
          <t>191-203</t>
        </is>
      </c>
      <c r="R71" s="5" t="inlineStr">
        <is>
          <t>203-215</t>
        </is>
      </c>
      <c r="S71" s="5" t="inlineStr">
        <is>
          <t>215-227</t>
        </is>
      </c>
      <c r="T71" s="5" t="inlineStr">
        <is>
          <t>227-239</t>
        </is>
      </c>
      <c r="U71" s="5" t="inlineStr">
        <is>
          <t>239-251</t>
        </is>
      </c>
      <c r="V71" s="5" t="inlineStr">
        <is>
          <t>251-263</t>
        </is>
      </c>
      <c r="W71" s="5" t="inlineStr">
        <is>
          <t>263-275</t>
        </is>
      </c>
      <c r="X71" s="5" t="inlineStr">
        <is>
          <t>275-287</t>
        </is>
      </c>
      <c r="Y71" s="5" t="inlineStr">
        <is>
          <t>Tail</t>
        </is>
      </c>
    </row>
    <row r="72">
      <c r="A72" s="11" t="inlineStr">
        <is>
          <t>Rules-Based AI Selection</t>
        </is>
      </c>
      <c r="B72" s="12" t="inlineStr"/>
      <c r="C72" s="12" t="inlineStr"/>
      <c r="D72" s="12" t="inlineStr"/>
      <c r="E72" s="12" t="inlineStr"/>
      <c r="F72" s="12" t="inlineStr"/>
      <c r="G72" s="12" t="inlineStr"/>
      <c r="H72" s="12" t="inlineStr"/>
      <c r="I72" s="12" t="inlineStr"/>
      <c r="J72" s="12" t="inlineStr"/>
      <c r="K72" s="12" t="inlineStr"/>
      <c r="L72" s="12" t="inlineStr"/>
      <c r="M72" s="12" t="inlineStr"/>
      <c r="N72" s="12" t="inlineStr"/>
      <c r="O72" s="12" t="inlineStr"/>
      <c r="P72" s="12" t="inlineStr"/>
      <c r="Q72" s="12" t="inlineStr"/>
      <c r="R72" s="12" t="inlineStr"/>
      <c r="S72" s="12" t="inlineStr"/>
      <c r="T72" s="12" t="inlineStr"/>
      <c r="U72" s="12" t="inlineStr"/>
      <c r="V72" s="12" t="inlineStr"/>
      <c r="W72" s="12" t="inlineStr"/>
      <c r="X72" s="12" t="inlineStr"/>
      <c r="Y72" s="12" t="inlineStr"/>
    </row>
    <row r="73">
      <c r="A73" s="11" t="inlineStr">
        <is>
          <t>Rules-Based AI Reasoning</t>
        </is>
      </c>
      <c r="B73" s="13" t="inlineStr"/>
      <c r="C73" s="13" t="inlineStr"/>
      <c r="D73" s="13" t="inlineStr"/>
      <c r="E73" s="13" t="inlineStr"/>
      <c r="F73" s="13" t="inlineStr"/>
      <c r="G73" s="13" t="inlineStr"/>
      <c r="H73" s="13" t="inlineStr"/>
      <c r="I73" s="13" t="inlineStr"/>
      <c r="J73" s="13" t="inlineStr"/>
      <c r="K73" s="13" t="inlineStr"/>
      <c r="L73" s="13" t="inlineStr"/>
      <c r="M73" s="13" t="inlineStr"/>
      <c r="N73" s="13" t="inlineStr"/>
      <c r="O73" s="13" t="inlineStr"/>
      <c r="P73" s="13" t="inlineStr"/>
      <c r="Q73" s="13" t="inlineStr"/>
      <c r="R73" s="13" t="inlineStr"/>
      <c r="S73" s="13" t="inlineStr"/>
      <c r="T73" s="13" t="inlineStr"/>
      <c r="U73" s="13" t="inlineStr"/>
      <c r="V73" s="13" t="inlineStr"/>
      <c r="W73" s="13" t="inlineStr"/>
      <c r="X73" s="13" t="inlineStr"/>
      <c r="Y73" s="13" t="inlineStr"/>
    </row>
    <row r="75">
      <c r="A75" s="14" t="inlineStr">
        <is>
          <t>Open-Ended AI Selection</t>
        </is>
      </c>
      <c r="B75" s="15" t="inlineStr"/>
      <c r="C75" s="15" t="inlineStr"/>
      <c r="D75" s="15" t="inlineStr"/>
      <c r="E75" s="15" t="inlineStr"/>
      <c r="F75" s="15" t="inlineStr"/>
      <c r="G75" s="15" t="inlineStr"/>
      <c r="H75" s="15" t="inlineStr"/>
      <c r="I75" s="15" t="inlineStr"/>
      <c r="J75" s="15" t="inlineStr"/>
      <c r="K75" s="15" t="inlineStr"/>
      <c r="L75" s="15" t="inlineStr"/>
      <c r="M75" s="15" t="inlineStr"/>
      <c r="N75" s="15" t="inlineStr"/>
      <c r="O75" s="15" t="inlineStr"/>
      <c r="P75" s="15" t="inlineStr"/>
      <c r="Q75" s="15" t="inlineStr"/>
      <c r="R75" s="15" t="inlineStr"/>
      <c r="S75" s="15" t="inlineStr"/>
      <c r="T75" s="15" t="inlineStr"/>
      <c r="U75" s="15" t="inlineStr"/>
      <c r="V75" s="15" t="inlineStr"/>
      <c r="W75" s="15" t="inlineStr"/>
      <c r="X75" s="15" t="inlineStr"/>
      <c r="Y75" s="15" t="inlineStr"/>
    </row>
    <row r="76">
      <c r="A76" s="14" t="inlineStr">
        <is>
          <t>Open-Ended AI Reasoning</t>
        </is>
      </c>
      <c r="B76" s="16" t="inlineStr"/>
      <c r="C76" s="16" t="inlineStr"/>
      <c r="D76" s="16" t="inlineStr"/>
      <c r="E76" s="16" t="inlineStr"/>
      <c r="F76" s="16" t="inlineStr"/>
      <c r="G76" s="16" t="inlineStr"/>
      <c r="H76" s="16" t="inlineStr"/>
      <c r="I76" s="16" t="inlineStr"/>
      <c r="J76" s="16" t="inlineStr"/>
      <c r="K76" s="16" t="inlineStr"/>
      <c r="L76" s="16" t="inlineStr"/>
      <c r="M76" s="16" t="inlineStr"/>
      <c r="N76" s="16" t="inlineStr"/>
      <c r="O76" s="16" t="inlineStr"/>
      <c r="P76" s="16" t="inlineStr"/>
      <c r="Q76" s="16" t="inlineStr"/>
      <c r="R76" s="16" t="inlineStr"/>
      <c r="S76" s="16" t="inlineStr"/>
      <c r="T76" s="16" t="inlineStr"/>
      <c r="U76" s="16" t="inlineStr"/>
      <c r="V76" s="16" t="inlineStr"/>
      <c r="W76" s="16" t="inlineStr"/>
      <c r="X76" s="16" t="inlineStr"/>
      <c r="Y76" s="16" t="inlineStr"/>
    </row>
    <row r="78">
      <c r="A78" s="17" t="inlineStr">
        <is>
          <t>User Selection</t>
        </is>
      </c>
      <c r="B78" s="18" t="inlineStr"/>
      <c r="C78" s="18" t="inlineStr"/>
      <c r="D78" s="18" t="inlineStr"/>
      <c r="E78" s="18" t="inlineStr"/>
      <c r="F78" s="18" t="inlineStr"/>
      <c r="G78" s="18" t="inlineStr"/>
      <c r="H78" s="18" t="inlineStr"/>
      <c r="I78" s="18" t="inlineStr"/>
      <c r="J78" s="18" t="inlineStr"/>
      <c r="K78" s="18" t="inlineStr"/>
      <c r="L78" s="18" t="inlineStr"/>
      <c r="M78" s="18" t="inlineStr"/>
      <c r="N78" s="18" t="inlineStr"/>
      <c r="O78" s="18" t="inlineStr"/>
      <c r="P78" s="18" t="inlineStr"/>
      <c r="Q78" s="18" t="inlineStr"/>
      <c r="R78" s="18" t="inlineStr"/>
      <c r="S78" s="18" t="inlineStr"/>
      <c r="T78" s="18" t="inlineStr"/>
      <c r="U78" s="18" t="inlineStr"/>
      <c r="V78" s="18" t="inlineStr"/>
      <c r="W78" s="18" t="inlineStr"/>
      <c r="X78" s="18" t="inlineStr"/>
      <c r="Y78" s="18" t="inlineStr"/>
    </row>
    <row r="79">
      <c r="A79" s="17" t="inlineStr">
        <is>
          <t>User Reasoning</t>
        </is>
      </c>
      <c r="B79" s="19" t="inlineStr"/>
      <c r="C79" s="19" t="inlineStr"/>
      <c r="D79" s="19" t="inlineStr"/>
      <c r="E79" s="19" t="inlineStr"/>
      <c r="F79" s="19" t="inlineStr"/>
      <c r="G79" s="19" t="inlineStr"/>
      <c r="H79" s="19" t="inlineStr"/>
      <c r="I79" s="19" t="inlineStr"/>
      <c r="J79" s="19" t="inlineStr"/>
      <c r="K79" s="19" t="inlineStr"/>
      <c r="L79" s="19" t="inlineStr"/>
      <c r="M79" s="19" t="inlineStr"/>
      <c r="N79" s="19" t="inlineStr"/>
      <c r="O79" s="19" t="inlineStr"/>
      <c r="P79" s="19" t="inlineStr"/>
      <c r="Q79" s="19" t="inlineStr"/>
      <c r="R79" s="19" t="inlineStr"/>
      <c r="S79" s="19" t="inlineStr"/>
      <c r="T79" s="19" t="inlineStr"/>
      <c r="U79" s="19" t="inlineStr"/>
      <c r="V79" s="19" t="inlineStr"/>
      <c r="W79" s="19" t="inlineStr"/>
      <c r="X79" s="19" t="inlineStr"/>
      <c r="Y79" s="19" t="inlineStr"/>
    </row>
    <row r="81">
      <c r="A81" s="20" t="inlineStr">
        <is>
          <t>Cumulative Development Factors</t>
        </is>
      </c>
    </row>
    <row r="82">
      <c r="A82" s="21" t="inlineStr">
        <is>
          <t>Age</t>
        </is>
      </c>
      <c r="B82" s="21">
        <f>$B$2</f>
        <v/>
      </c>
      <c r="C82" s="21">
        <f>$C$2</f>
        <v/>
      </c>
      <c r="D82" s="21">
        <f>$D$2</f>
        <v/>
      </c>
      <c r="E82" s="21">
        <f>$E$2</f>
        <v/>
      </c>
      <c r="F82" s="21">
        <f>$F$2</f>
        <v/>
      </c>
      <c r="G82" s="21">
        <f>$G$2</f>
        <v/>
      </c>
      <c r="H82" s="21">
        <f>$H$2</f>
        <v/>
      </c>
      <c r="I82" s="21">
        <f>$I$2</f>
        <v/>
      </c>
      <c r="J82" s="21">
        <f>$J$2</f>
        <v/>
      </c>
      <c r="K82" s="21">
        <f>$K$2</f>
        <v/>
      </c>
      <c r="L82" s="21">
        <f>$L$2</f>
        <v/>
      </c>
      <c r="M82" s="21">
        <f>$M$2</f>
        <v/>
      </c>
      <c r="N82" s="21">
        <f>$N$2</f>
        <v/>
      </c>
      <c r="O82" s="21">
        <f>$O$2</f>
        <v/>
      </c>
      <c r="P82" s="21">
        <f>$P$2</f>
        <v/>
      </c>
      <c r="Q82" s="21">
        <f>$Q$2</f>
        <v/>
      </c>
      <c r="R82" s="21">
        <f>$R$2</f>
        <v/>
      </c>
      <c r="S82" s="21">
        <f>$S$2</f>
        <v/>
      </c>
      <c r="T82" s="21">
        <f>$T$2</f>
        <v/>
      </c>
      <c r="U82" s="21">
        <f>$U$2</f>
        <v/>
      </c>
      <c r="V82" s="21">
        <f>$V$2</f>
        <v/>
      </c>
      <c r="W82" s="21">
        <f>$W$2</f>
        <v/>
      </c>
      <c r="X82" s="21">
        <f>$X$2</f>
        <v/>
      </c>
      <c r="Y82" s="21">
        <f>$Y$2</f>
        <v/>
      </c>
    </row>
    <row r="83">
      <c r="A83" s="21" t="inlineStr">
        <is>
          <t>CDF</t>
        </is>
      </c>
      <c r="B83" s="22">
        <f>B78*C83</f>
        <v/>
      </c>
      <c r="C83" s="22">
        <f>C78*D83</f>
        <v/>
      </c>
      <c r="D83" s="22">
        <f>D78*E83</f>
        <v/>
      </c>
      <c r="E83" s="22">
        <f>E78*F83</f>
        <v/>
      </c>
      <c r="F83" s="22">
        <f>F78*G83</f>
        <v/>
      </c>
      <c r="G83" s="22">
        <f>G78*H83</f>
        <v/>
      </c>
      <c r="H83" s="22">
        <f>H78*I83</f>
        <v/>
      </c>
      <c r="I83" s="22">
        <f>I78*J83</f>
        <v/>
      </c>
      <c r="J83" s="22">
        <f>J78*K83</f>
        <v/>
      </c>
      <c r="K83" s="22">
        <f>K78*L83</f>
        <v/>
      </c>
      <c r="L83" s="22">
        <f>L78*M83</f>
        <v/>
      </c>
      <c r="M83" s="22">
        <f>M78*N83</f>
        <v/>
      </c>
      <c r="N83" s="22">
        <f>N78*O83</f>
        <v/>
      </c>
      <c r="O83" s="22">
        <f>O78*P83</f>
        <v/>
      </c>
      <c r="P83" s="22">
        <f>P78*Q83</f>
        <v/>
      </c>
      <c r="Q83" s="22">
        <f>Q78*R83</f>
        <v/>
      </c>
      <c r="R83" s="22">
        <f>R78*S83</f>
        <v/>
      </c>
      <c r="S83" s="22">
        <f>S78*T83</f>
        <v/>
      </c>
      <c r="T83" s="22">
        <f>T78*U83</f>
        <v/>
      </c>
      <c r="U83" s="22">
        <f>U78*V83</f>
        <v/>
      </c>
      <c r="V83" s="22">
        <f>V78*W83</f>
        <v/>
      </c>
      <c r="W83" s="22">
        <f>W78*X83</f>
        <v/>
      </c>
      <c r="X83" s="22">
        <f>X78*Y83</f>
        <v/>
      </c>
      <c r="Y83" s="22">
        <f>Y78</f>
        <v/>
      </c>
    </row>
    <row r="85">
      <c r="A85" s="20" t="inlineStr">
        <is>
          <t>Projected Ultimates</t>
        </is>
      </c>
    </row>
    <row r="86">
      <c r="A86" s="23" t="inlineStr">
        <is>
          <t>Period</t>
        </is>
      </c>
      <c r="B86" s="23" t="inlineStr">
        <is>
          <t>Latest Age</t>
        </is>
      </c>
      <c r="C86" s="23" t="inlineStr">
        <is>
          <t>Latest Value</t>
        </is>
      </c>
      <c r="D86" s="23" t="inlineStr">
        <is>
          <t>CDF at Age</t>
        </is>
      </c>
      <c r="E86" s="23" t="inlineStr">
        <is>
          <t>Projected Ultimate</t>
        </is>
      </c>
      <c r="F86" s="23" t="inlineStr">
        <is>
          <t>IBNR</t>
        </is>
      </c>
    </row>
    <row r="87">
      <c r="A87">
        <f>A3</f>
        <v/>
      </c>
      <c r="B87">
        <f>LOOKUP(2,1/(B3:Y3&lt;&gt;""),$B$2:$Y$2)</f>
        <v/>
      </c>
      <c r="C87" s="24">
        <f>LOOKUP(2,1/(B3:Y3&lt;&gt;""),B3:Y3)</f>
        <v/>
      </c>
      <c r="D87" s="22">
        <f>HLOOKUP(B87,$B$82:$Y$83,2,FALSE)</f>
        <v/>
      </c>
      <c r="E87" s="24">
        <f>C87*D87</f>
        <v/>
      </c>
      <c r="F87" s="24">
        <f>E87-C87</f>
        <v/>
      </c>
    </row>
    <row r="88">
      <c r="A88">
        <f>A4</f>
        <v/>
      </c>
      <c r="B88">
        <f>LOOKUP(2,1/(B4:Y4&lt;&gt;""),$B$2:$Y$2)</f>
        <v/>
      </c>
      <c r="C88" s="24">
        <f>LOOKUP(2,1/(B4:Y4&lt;&gt;""),B4:Y4)</f>
        <v/>
      </c>
      <c r="D88" s="22">
        <f>HLOOKUP(B88,$B$82:$Y$83,2,FALSE)</f>
        <v/>
      </c>
      <c r="E88" s="24">
        <f>C88*D88</f>
        <v/>
      </c>
      <c r="F88" s="24">
        <f>E88-C88</f>
        <v/>
      </c>
    </row>
    <row r="89">
      <c r="A89">
        <f>A5</f>
        <v/>
      </c>
      <c r="B89">
        <f>LOOKUP(2,1/(B5:Y5&lt;&gt;""),$B$2:$Y$2)</f>
        <v/>
      </c>
      <c r="C89" s="24">
        <f>LOOKUP(2,1/(B5:Y5&lt;&gt;""),B5:Y5)</f>
        <v/>
      </c>
      <c r="D89" s="22">
        <f>HLOOKUP(B89,$B$82:$Y$83,2,FALSE)</f>
        <v/>
      </c>
      <c r="E89" s="24">
        <f>C89*D89</f>
        <v/>
      </c>
      <c r="F89" s="24">
        <f>E89-C89</f>
        <v/>
      </c>
    </row>
    <row r="90">
      <c r="A90">
        <f>A6</f>
        <v/>
      </c>
      <c r="B90">
        <f>LOOKUP(2,1/(B6:Y6&lt;&gt;""),$B$2:$Y$2)</f>
        <v/>
      </c>
      <c r="C90" s="24">
        <f>LOOKUP(2,1/(B6:Y6&lt;&gt;""),B6:Y6)</f>
        <v/>
      </c>
      <c r="D90" s="22">
        <f>HLOOKUP(B90,$B$82:$Y$83,2,FALSE)</f>
        <v/>
      </c>
      <c r="E90" s="24">
        <f>C90*D90</f>
        <v/>
      </c>
      <c r="F90" s="24">
        <f>E90-C90</f>
        <v/>
      </c>
    </row>
    <row r="91">
      <c r="A91">
        <f>A7</f>
        <v/>
      </c>
      <c r="B91">
        <f>LOOKUP(2,1/(B7:Y7&lt;&gt;""),$B$2:$Y$2)</f>
        <v/>
      </c>
      <c r="C91" s="24">
        <f>LOOKUP(2,1/(B7:Y7&lt;&gt;""),B7:Y7)</f>
        <v/>
      </c>
      <c r="D91" s="22">
        <f>HLOOKUP(B91,$B$82:$Y$83,2,FALSE)</f>
        <v/>
      </c>
      <c r="E91" s="24">
        <f>C91*D91</f>
        <v/>
      </c>
      <c r="F91" s="24">
        <f>E91-C91</f>
        <v/>
      </c>
    </row>
    <row r="92">
      <c r="A92">
        <f>A8</f>
        <v/>
      </c>
      <c r="B92">
        <f>LOOKUP(2,1/(B8:Y8&lt;&gt;""),$B$2:$Y$2)</f>
        <v/>
      </c>
      <c r="C92" s="24">
        <f>LOOKUP(2,1/(B8:Y8&lt;&gt;""),B8:Y8)</f>
        <v/>
      </c>
      <c r="D92" s="22">
        <f>HLOOKUP(B92,$B$82:$Y$83,2,FALSE)</f>
        <v/>
      </c>
      <c r="E92" s="24">
        <f>C92*D92</f>
        <v/>
      </c>
      <c r="F92" s="24">
        <f>E92-C92</f>
        <v/>
      </c>
    </row>
    <row r="93">
      <c r="A93">
        <f>A9</f>
        <v/>
      </c>
      <c r="B93">
        <f>LOOKUP(2,1/(B9:Y9&lt;&gt;""),$B$2:$Y$2)</f>
        <v/>
      </c>
      <c r="C93" s="24">
        <f>LOOKUP(2,1/(B9:Y9&lt;&gt;""),B9:Y9)</f>
        <v/>
      </c>
      <c r="D93" s="22">
        <f>HLOOKUP(B93,$B$82:$Y$83,2,FALSE)</f>
        <v/>
      </c>
      <c r="E93" s="24">
        <f>C93*D93</f>
        <v/>
      </c>
      <c r="F93" s="24">
        <f>E93-C93</f>
        <v/>
      </c>
    </row>
    <row r="94">
      <c r="A94">
        <f>A10</f>
        <v/>
      </c>
      <c r="B94">
        <f>LOOKUP(2,1/(B10:Y10&lt;&gt;""),$B$2:$Y$2)</f>
        <v/>
      </c>
      <c r="C94" s="24">
        <f>LOOKUP(2,1/(B10:Y10&lt;&gt;""),B10:Y10)</f>
        <v/>
      </c>
      <c r="D94" s="22">
        <f>HLOOKUP(B94,$B$82:$Y$83,2,FALSE)</f>
        <v/>
      </c>
      <c r="E94" s="24">
        <f>C94*D94</f>
        <v/>
      </c>
      <c r="F94" s="24">
        <f>E94-C94</f>
        <v/>
      </c>
    </row>
    <row r="95">
      <c r="A95">
        <f>A11</f>
        <v/>
      </c>
      <c r="B95">
        <f>LOOKUP(2,1/(B11:Y11&lt;&gt;""),$B$2:$Y$2)</f>
        <v/>
      </c>
      <c r="C95" s="24">
        <f>LOOKUP(2,1/(B11:Y11&lt;&gt;""),B11:Y11)</f>
        <v/>
      </c>
      <c r="D95" s="22">
        <f>HLOOKUP(B95,$B$82:$Y$83,2,FALSE)</f>
        <v/>
      </c>
      <c r="E95" s="24">
        <f>C95*D95</f>
        <v/>
      </c>
      <c r="F95" s="24">
        <f>E95-C95</f>
        <v/>
      </c>
    </row>
    <row r="96">
      <c r="A96">
        <f>A12</f>
        <v/>
      </c>
      <c r="B96">
        <f>LOOKUP(2,1/(B12:Y12&lt;&gt;""),$B$2:$Y$2)</f>
        <v/>
      </c>
      <c r="C96" s="24">
        <f>LOOKUP(2,1/(B12:Y12&lt;&gt;""),B12:Y12)</f>
        <v/>
      </c>
      <c r="D96" s="22">
        <f>HLOOKUP(B96,$B$82:$Y$83,2,FALSE)</f>
        <v/>
      </c>
      <c r="E96" s="24">
        <f>C96*D96</f>
        <v/>
      </c>
      <c r="F96" s="24">
        <f>E96-C96</f>
        <v/>
      </c>
    </row>
    <row r="97">
      <c r="A97">
        <f>A13</f>
        <v/>
      </c>
      <c r="B97">
        <f>LOOKUP(2,1/(B13:Y13&lt;&gt;""),$B$2:$Y$2)</f>
        <v/>
      </c>
      <c r="C97" s="24">
        <f>LOOKUP(2,1/(B13:Y13&lt;&gt;""),B13:Y13)</f>
        <v/>
      </c>
      <c r="D97" s="22">
        <f>HLOOKUP(B97,$B$82:$Y$83,2,FALSE)</f>
        <v/>
      </c>
      <c r="E97" s="24">
        <f>C97*D97</f>
        <v/>
      </c>
      <c r="F97" s="24">
        <f>E97-C97</f>
        <v/>
      </c>
    </row>
    <row r="98">
      <c r="A98">
        <f>A14</f>
        <v/>
      </c>
      <c r="B98">
        <f>LOOKUP(2,1/(B14:Y14&lt;&gt;""),$B$2:$Y$2)</f>
        <v/>
      </c>
      <c r="C98" s="24">
        <f>LOOKUP(2,1/(B14:Y14&lt;&gt;""),B14:Y14)</f>
        <v/>
      </c>
      <c r="D98" s="22">
        <f>HLOOKUP(B98,$B$82:$Y$83,2,FALSE)</f>
        <v/>
      </c>
      <c r="E98" s="24">
        <f>C98*D98</f>
        <v/>
      </c>
      <c r="F98" s="24">
        <f>E98-C98</f>
        <v/>
      </c>
    </row>
    <row r="99">
      <c r="A99">
        <f>A15</f>
        <v/>
      </c>
      <c r="B99">
        <f>LOOKUP(2,1/(B15:Y15&lt;&gt;""),$B$2:$Y$2)</f>
        <v/>
      </c>
      <c r="C99" s="24">
        <f>LOOKUP(2,1/(B15:Y15&lt;&gt;""),B15:Y15)</f>
        <v/>
      </c>
      <c r="D99" s="22">
        <f>HLOOKUP(B99,$B$82:$Y$83,2,FALSE)</f>
        <v/>
      </c>
      <c r="E99" s="24">
        <f>C99*D99</f>
        <v/>
      </c>
      <c r="F99" s="24">
        <f>E99-C99</f>
        <v/>
      </c>
    </row>
    <row r="100">
      <c r="A100">
        <f>A16</f>
        <v/>
      </c>
      <c r="B100">
        <f>LOOKUP(2,1/(B16:Y16&lt;&gt;""),$B$2:$Y$2)</f>
        <v/>
      </c>
      <c r="C100" s="24">
        <f>LOOKUP(2,1/(B16:Y16&lt;&gt;""),B16:Y16)</f>
        <v/>
      </c>
      <c r="D100" s="22">
        <f>HLOOKUP(B100,$B$82:$Y$83,2,FALSE)</f>
        <v/>
      </c>
      <c r="E100" s="24">
        <f>C100*D100</f>
        <v/>
      </c>
      <c r="F100" s="24">
        <f>E100-C100</f>
        <v/>
      </c>
    </row>
    <row r="101">
      <c r="A101">
        <f>A17</f>
        <v/>
      </c>
      <c r="B101">
        <f>LOOKUP(2,1/(B17:Y17&lt;&gt;""),$B$2:$Y$2)</f>
        <v/>
      </c>
      <c r="C101" s="24">
        <f>LOOKUP(2,1/(B17:Y17&lt;&gt;""),B17:Y17)</f>
        <v/>
      </c>
      <c r="D101" s="22">
        <f>HLOOKUP(B101,$B$82:$Y$83,2,FALSE)</f>
        <v/>
      </c>
      <c r="E101" s="24">
        <f>C101*D101</f>
        <v/>
      </c>
      <c r="F101" s="24">
        <f>E101-C101</f>
        <v/>
      </c>
    </row>
    <row r="102">
      <c r="A102">
        <f>A18</f>
        <v/>
      </c>
      <c r="B102">
        <f>LOOKUP(2,1/(B18:Y18&lt;&gt;""),$B$2:$Y$2)</f>
        <v/>
      </c>
      <c r="C102" s="24">
        <f>LOOKUP(2,1/(B18:Y18&lt;&gt;""),B18:Y18)</f>
        <v/>
      </c>
      <c r="D102" s="22">
        <f>HLOOKUP(B102,$B$82:$Y$83,2,FALSE)</f>
        <v/>
      </c>
      <c r="E102" s="24">
        <f>C102*D102</f>
        <v/>
      </c>
      <c r="F102" s="24">
        <f>E102-C102</f>
        <v/>
      </c>
    </row>
    <row r="103">
      <c r="A103">
        <f>A19</f>
        <v/>
      </c>
      <c r="B103">
        <f>LOOKUP(2,1/(B19:Y19&lt;&gt;""),$B$2:$Y$2)</f>
        <v/>
      </c>
      <c r="C103" s="24">
        <f>LOOKUP(2,1/(B19:Y19&lt;&gt;""),B19:Y19)</f>
        <v/>
      </c>
      <c r="D103" s="22">
        <f>HLOOKUP(B103,$B$82:$Y$83,2,FALSE)</f>
        <v/>
      </c>
      <c r="E103" s="24">
        <f>C103*D103</f>
        <v/>
      </c>
      <c r="F103" s="24">
        <f>E103-C103</f>
        <v/>
      </c>
    </row>
    <row r="104">
      <c r="A104">
        <f>A20</f>
        <v/>
      </c>
      <c r="B104">
        <f>LOOKUP(2,1/(B20:Y20&lt;&gt;""),$B$2:$Y$2)</f>
        <v/>
      </c>
      <c r="C104" s="24">
        <f>LOOKUP(2,1/(B20:Y20&lt;&gt;""),B20:Y20)</f>
        <v/>
      </c>
      <c r="D104" s="22">
        <f>HLOOKUP(B104,$B$82:$Y$83,2,FALSE)</f>
        <v/>
      </c>
      <c r="E104" s="24">
        <f>C104*D104</f>
        <v/>
      </c>
      <c r="F104" s="24">
        <f>E104-C104</f>
        <v/>
      </c>
    </row>
    <row r="105">
      <c r="A105">
        <f>A21</f>
        <v/>
      </c>
      <c r="B105">
        <f>LOOKUP(2,1/(B21:Y21&lt;&gt;""),$B$2:$Y$2)</f>
        <v/>
      </c>
      <c r="C105" s="24">
        <f>LOOKUP(2,1/(B21:Y21&lt;&gt;""),B21:Y21)</f>
        <v/>
      </c>
      <c r="D105" s="22">
        <f>HLOOKUP(B105,$B$82:$Y$83,2,FALSE)</f>
        <v/>
      </c>
      <c r="E105" s="24">
        <f>C105*D105</f>
        <v/>
      </c>
      <c r="F105" s="24">
        <f>E105-C105</f>
        <v/>
      </c>
    </row>
    <row r="106">
      <c r="A106">
        <f>A22</f>
        <v/>
      </c>
      <c r="B106">
        <f>LOOKUP(2,1/(B22:Y22&lt;&gt;""),$B$2:$Y$2)</f>
        <v/>
      </c>
      <c r="C106" s="24">
        <f>LOOKUP(2,1/(B22:Y22&lt;&gt;""),B22:Y22)</f>
        <v/>
      </c>
      <c r="D106" s="22">
        <f>HLOOKUP(B106,$B$82:$Y$83,2,FALSE)</f>
        <v/>
      </c>
      <c r="E106" s="24">
        <f>C106*D106</f>
        <v/>
      </c>
      <c r="F106" s="24">
        <f>E106-C106</f>
        <v/>
      </c>
    </row>
    <row r="107">
      <c r="A107">
        <f>A23</f>
        <v/>
      </c>
      <c r="B107">
        <f>LOOKUP(2,1/(B23:Y23&lt;&gt;""),$B$2:$Y$2)</f>
        <v/>
      </c>
      <c r="C107" s="24">
        <f>LOOKUP(2,1/(B23:Y23&lt;&gt;""),B23:Y23)</f>
        <v/>
      </c>
      <c r="D107" s="22">
        <f>HLOOKUP(B107,$B$82:$Y$83,2,FALSE)</f>
        <v/>
      </c>
      <c r="E107" s="24">
        <f>C107*D107</f>
        <v/>
      </c>
      <c r="F107" s="24">
        <f>E107-C107</f>
        <v/>
      </c>
    </row>
    <row r="108">
      <c r="A108">
        <f>A24</f>
        <v/>
      </c>
      <c r="B108">
        <f>LOOKUP(2,1/(B24:Y24&lt;&gt;""),$B$2:$Y$2)</f>
        <v/>
      </c>
      <c r="C108" s="24">
        <f>LOOKUP(2,1/(B24:Y24&lt;&gt;""),B24:Y24)</f>
        <v/>
      </c>
      <c r="D108" s="22">
        <f>HLOOKUP(B108,$B$82:$Y$83,2,FALSE)</f>
        <v/>
      </c>
      <c r="E108" s="24">
        <f>C108*D108</f>
        <v/>
      </c>
      <c r="F108" s="24">
        <f>E108-C108</f>
        <v/>
      </c>
    </row>
    <row r="109">
      <c r="A109">
        <f>A25</f>
        <v/>
      </c>
      <c r="B109">
        <f>LOOKUP(2,1/(B25:Y25&lt;&gt;""),$B$2:$Y$2)</f>
        <v/>
      </c>
      <c r="C109" s="24">
        <f>LOOKUP(2,1/(B25:Y25&lt;&gt;""),B25:Y25)</f>
        <v/>
      </c>
      <c r="D109" s="22">
        <f>HLOOKUP(B109,$B$82:$Y$83,2,FALSE)</f>
        <v/>
      </c>
      <c r="E109" s="24">
        <f>C109*D109</f>
        <v/>
      </c>
      <c r="F109" s="24">
        <f>E109-C109</f>
        <v/>
      </c>
    </row>
    <row r="110">
      <c r="A110">
        <f>A26</f>
        <v/>
      </c>
      <c r="B110">
        <f>LOOKUP(2,1/(B26:Y26&lt;&gt;""),$B$2:$Y$2)</f>
        <v/>
      </c>
      <c r="C110" s="24">
        <f>LOOKUP(2,1/(B26:Y26&lt;&gt;""),B26:Y26)</f>
        <v/>
      </c>
      <c r="D110" s="22">
        <f>HLOOKUP(B110,$B$82:$Y$83,2,FALSE)</f>
        <v/>
      </c>
      <c r="E110" s="24">
        <f>C110*D110</f>
        <v/>
      </c>
      <c r="F110" s="24">
        <f>E110-C110</f>
        <v/>
      </c>
    </row>
  </sheetData>
  <mergeCells count="6">
    <mergeCell ref="A85:F85"/>
    <mergeCell ref="A81:X81"/>
    <mergeCell ref="A28:X28"/>
    <mergeCell ref="A1:Y1"/>
    <mergeCell ref="A70:Y70"/>
    <mergeCell ref="A55:Y5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10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Paid Loss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3" t="n"/>
    </row>
    <row r="2">
      <c r="A2" s="4" t="inlineStr"/>
      <c r="B2" s="5" t="inlineStr">
        <is>
          <t>11</t>
        </is>
      </c>
      <c r="C2" s="5" t="inlineStr">
        <is>
          <t>23</t>
        </is>
      </c>
      <c r="D2" s="5" t="inlineStr">
        <is>
          <t>35</t>
        </is>
      </c>
      <c r="E2" s="5" t="inlineStr">
        <is>
          <t>47</t>
        </is>
      </c>
      <c r="F2" s="5" t="inlineStr">
        <is>
          <t>59</t>
        </is>
      </c>
      <c r="G2" s="5" t="inlineStr">
        <is>
          <t>71</t>
        </is>
      </c>
      <c r="H2" s="5" t="inlineStr">
        <is>
          <t>83</t>
        </is>
      </c>
      <c r="I2" s="5" t="inlineStr">
        <is>
          <t>95</t>
        </is>
      </c>
      <c r="J2" s="5" t="inlineStr">
        <is>
          <t>107</t>
        </is>
      </c>
      <c r="K2" s="5" t="inlineStr">
        <is>
          <t>119</t>
        </is>
      </c>
      <c r="L2" s="5" t="inlineStr">
        <is>
          <t>131</t>
        </is>
      </c>
      <c r="M2" s="5" t="inlineStr">
        <is>
          <t>143</t>
        </is>
      </c>
      <c r="N2" s="5" t="inlineStr">
        <is>
          <t>155</t>
        </is>
      </c>
      <c r="O2" s="5" t="inlineStr">
        <is>
          <t>167</t>
        </is>
      </c>
      <c r="P2" s="5" t="inlineStr">
        <is>
          <t>179</t>
        </is>
      </c>
      <c r="Q2" s="5" t="inlineStr">
        <is>
          <t>191</t>
        </is>
      </c>
      <c r="R2" s="5" t="inlineStr">
        <is>
          <t>203</t>
        </is>
      </c>
      <c r="S2" s="5" t="inlineStr">
        <is>
          <t>215</t>
        </is>
      </c>
      <c r="T2" s="5" t="inlineStr">
        <is>
          <t>227</t>
        </is>
      </c>
      <c r="U2" s="5" t="inlineStr">
        <is>
          <t>239</t>
        </is>
      </c>
      <c r="V2" s="5" t="inlineStr">
        <is>
          <t>251</t>
        </is>
      </c>
      <c r="W2" s="5" t="inlineStr">
        <is>
          <t>263</t>
        </is>
      </c>
      <c r="X2" s="5" t="inlineStr">
        <is>
          <t>275</t>
        </is>
      </c>
      <c r="Y2" s="5" t="inlineStr">
        <is>
          <t>287</t>
        </is>
      </c>
    </row>
    <row r="3">
      <c r="A3" s="6" t="inlineStr">
        <is>
          <t>2001</t>
        </is>
      </c>
      <c r="B3" s="7" t="n">
        <v>326044.1288</v>
      </c>
      <c r="C3" s="7" t="n">
        <v>1047371.7984</v>
      </c>
      <c r="D3" s="7" t="n">
        <v>1545726.656</v>
      </c>
      <c r="E3" s="7" t="n">
        <v>1910965.544</v>
      </c>
      <c r="F3" s="7" t="n">
        <v>2224220.1096</v>
      </c>
      <c r="G3" s="7" t="n">
        <v>2283775.9933</v>
      </c>
      <c r="H3" s="7" t="n">
        <v>2261772.9961</v>
      </c>
      <c r="I3" s="7" t="n">
        <v>2292314.1748</v>
      </c>
      <c r="J3" s="7" t="n">
        <v>2314545.3704</v>
      </c>
      <c r="K3" s="7" t="n">
        <v>2342384.5889</v>
      </c>
      <c r="L3" s="7" t="n">
        <v>2398200.0136</v>
      </c>
      <c r="M3" s="7" t="n">
        <v>2455705.4765</v>
      </c>
      <c r="N3" s="7" t="n">
        <v>2495723.8508</v>
      </c>
      <c r="O3" s="7" t="n">
        <v>2559116.709</v>
      </c>
      <c r="P3" s="7" t="n">
        <v>2614164.5488</v>
      </c>
      <c r="Q3" s="7" t="n">
        <v>2694350.0428</v>
      </c>
      <c r="R3" s="7" t="n">
        <v>2782412.2292</v>
      </c>
      <c r="S3" s="7" t="n">
        <v>2857646.1353</v>
      </c>
      <c r="T3" s="7" t="n">
        <v>2967071.854</v>
      </c>
      <c r="U3" s="7" t="n">
        <v>2967071.854</v>
      </c>
      <c r="V3" s="7" t="n">
        <v>2989162.0372</v>
      </c>
      <c r="W3" s="7" t="n">
        <v>3011385.8034</v>
      </c>
      <c r="X3" s="7" t="n">
        <v>3030381.2211</v>
      </c>
      <c r="Y3" s="7" t="n">
        <v>3042294.6623</v>
      </c>
    </row>
    <row r="4">
      <c r="A4" s="6" t="inlineStr">
        <is>
          <t>2002</t>
        </is>
      </c>
      <c r="B4" s="7" t="n">
        <v>357360.876</v>
      </c>
      <c r="C4" s="7" t="n">
        <v>911072.9536</v>
      </c>
      <c r="D4" s="7" t="n">
        <v>1220370.0388</v>
      </c>
      <c r="E4" s="7" t="n">
        <v>1318345.0604</v>
      </c>
      <c r="F4" s="7" t="n">
        <v>1483442.0638</v>
      </c>
      <c r="G4" s="7" t="n">
        <v>1621735.0882</v>
      </c>
      <c r="H4" s="7" t="n">
        <v>1658328.8102</v>
      </c>
      <c r="I4" s="7" t="n">
        <v>1687704.3334</v>
      </c>
      <c r="J4" s="7" t="n">
        <v>1729579.7281</v>
      </c>
      <c r="K4" s="7" t="n">
        <v>1750198.8871</v>
      </c>
      <c r="L4" s="7" t="n">
        <v>1780997.2031</v>
      </c>
      <c r="M4" s="7" t="n">
        <v>1814423.608</v>
      </c>
      <c r="N4" s="7" t="n">
        <v>1856047.2362</v>
      </c>
      <c r="O4" s="7" t="n">
        <v>1903391.04</v>
      </c>
      <c r="P4" s="7" t="n">
        <v>1943619.046</v>
      </c>
      <c r="Q4" s="7" t="n">
        <v>1981569.4224</v>
      </c>
      <c r="R4" s="7" t="n">
        <v>2038029.9204</v>
      </c>
      <c r="S4" s="7" t="n">
        <v>2079212.9737</v>
      </c>
      <c r="T4" s="7" t="n">
        <v>2112239.6718</v>
      </c>
      <c r="U4" s="7" t="n">
        <v>2137830.2787</v>
      </c>
      <c r="V4" s="7" t="n">
        <v>2159388.4123</v>
      </c>
      <c r="W4" s="7" t="n">
        <v>2180051.1446</v>
      </c>
      <c r="X4" s="7" t="n">
        <v>2199646.2281</v>
      </c>
    </row>
    <row r="5">
      <c r="A5" s="6" t="inlineStr">
        <is>
          <t>2003</t>
        </is>
      </c>
      <c r="B5" s="7" t="n">
        <v>463735.1516</v>
      </c>
      <c r="C5" s="7" t="n">
        <v>1151781.1896</v>
      </c>
      <c r="D5" s="7" t="n">
        <v>1329665.9088</v>
      </c>
      <c r="E5" s="7" t="n">
        <v>1449345.2757</v>
      </c>
      <c r="F5" s="7" t="n">
        <v>1676909.3456</v>
      </c>
      <c r="G5" s="7" t="n">
        <v>1760385.6185</v>
      </c>
      <c r="H5" s="7" t="n">
        <v>1763038.7139</v>
      </c>
      <c r="I5" s="7" t="n">
        <v>1775400.1197</v>
      </c>
      <c r="J5" s="7" t="n">
        <v>1772848.0925</v>
      </c>
      <c r="K5" s="7" t="n">
        <v>1777183.1896</v>
      </c>
      <c r="L5" s="7" t="n">
        <v>1773811.5984</v>
      </c>
      <c r="M5" s="7" t="n">
        <v>1774200.3262</v>
      </c>
      <c r="N5" s="7" t="n">
        <v>1774330.2012</v>
      </c>
      <c r="O5" s="7" t="n">
        <v>1774330.7158</v>
      </c>
      <c r="P5" s="7" t="n">
        <v>1774330.7158</v>
      </c>
      <c r="Q5" s="7" t="n">
        <v>1774330.1088</v>
      </c>
      <c r="R5" s="7" t="n">
        <v>1778091.5758</v>
      </c>
      <c r="S5" s="7" t="n">
        <v>1778091.5758</v>
      </c>
      <c r="T5" s="7" t="n">
        <v>1778091.5758</v>
      </c>
      <c r="U5" s="7" t="n">
        <v>1778091.5758</v>
      </c>
      <c r="V5" s="7" t="n">
        <v>1778091.5758</v>
      </c>
      <c r="W5" s="7" t="n">
        <v>1778091.5758</v>
      </c>
    </row>
    <row r="6">
      <c r="A6" s="6" t="inlineStr">
        <is>
          <t>2004</t>
        </is>
      </c>
      <c r="B6" s="7" t="n">
        <v>256887.8516</v>
      </c>
      <c r="C6" s="7" t="n">
        <v>625982.6108</v>
      </c>
      <c r="D6" s="7" t="n">
        <v>806963.7318</v>
      </c>
      <c r="E6" s="7" t="n">
        <v>903626.9918</v>
      </c>
      <c r="F6" s="7" t="n">
        <v>1055143.9785</v>
      </c>
      <c r="G6" s="7" t="n">
        <v>1059021.0952</v>
      </c>
      <c r="H6" s="7" t="n">
        <v>1076244.8971</v>
      </c>
      <c r="I6" s="7" t="n">
        <v>1084642.2245</v>
      </c>
      <c r="J6" s="7" t="n">
        <v>1104688.4001</v>
      </c>
      <c r="K6" s="7" t="n">
        <v>1097915.1176</v>
      </c>
      <c r="L6" s="7" t="n">
        <v>1101856.2482</v>
      </c>
      <c r="M6" s="7" t="n">
        <v>1108902.1072</v>
      </c>
      <c r="N6" s="7" t="n">
        <v>1109362.6476</v>
      </c>
      <c r="O6" s="7" t="n">
        <v>1111377.6768</v>
      </c>
      <c r="P6" s="7" t="n">
        <v>1112023.7134</v>
      </c>
      <c r="Q6" s="7" t="n">
        <v>1122581.0808</v>
      </c>
      <c r="R6" s="7" t="n">
        <v>1122581.0808</v>
      </c>
      <c r="S6" s="7" t="n">
        <v>1122581.0808</v>
      </c>
      <c r="T6" s="7" t="n">
        <v>1122581.0808</v>
      </c>
      <c r="U6" s="7" t="n">
        <v>1122614.7306</v>
      </c>
      <c r="V6" s="7" t="n">
        <v>1122614.7306</v>
      </c>
    </row>
    <row r="7">
      <c r="A7" s="6" t="inlineStr">
        <is>
          <t>2005</t>
        </is>
      </c>
      <c r="B7" s="7" t="n">
        <v>608992.7608</v>
      </c>
      <c r="C7" s="7" t="n">
        <v>1236895.4952</v>
      </c>
      <c r="D7" s="7" t="n">
        <v>1567631.4222</v>
      </c>
      <c r="E7" s="7" t="n">
        <v>1636425.4164</v>
      </c>
      <c r="F7" s="7" t="n">
        <v>1758637.9007</v>
      </c>
      <c r="G7" s="7" t="n">
        <v>1795133.3653</v>
      </c>
      <c r="H7" s="7" t="n">
        <v>1833000.6993</v>
      </c>
      <c r="I7" s="7" t="n">
        <v>1852087.552</v>
      </c>
      <c r="J7" s="7" t="n">
        <v>1859809.9304</v>
      </c>
      <c r="K7" s="7" t="n">
        <v>1915619.628</v>
      </c>
      <c r="L7" s="7" t="n">
        <v>1970034.7988</v>
      </c>
      <c r="M7" s="7" t="n">
        <v>2009947.4204</v>
      </c>
      <c r="N7" s="7" t="n">
        <v>2075716.2844</v>
      </c>
      <c r="O7" s="7" t="n">
        <v>2114878.8058</v>
      </c>
      <c r="P7" s="7" t="n">
        <v>2178586.6261</v>
      </c>
      <c r="Q7" s="7" t="n">
        <v>2195933.5863</v>
      </c>
      <c r="R7" s="7" t="n">
        <v>2238397.7073</v>
      </c>
      <c r="S7" s="7" t="n">
        <v>2242149.1321</v>
      </c>
      <c r="T7" s="7" t="n">
        <v>2242149.1321</v>
      </c>
      <c r="U7" s="7" t="n">
        <v>2242149.1321</v>
      </c>
    </row>
    <row r="8">
      <c r="A8" s="6" t="inlineStr">
        <is>
          <t>2006</t>
        </is>
      </c>
      <c r="B8" s="7" t="n">
        <v>284786.4257</v>
      </c>
      <c r="C8" s="7" t="n">
        <v>699582.2055</v>
      </c>
      <c r="D8" s="7" t="n">
        <v>893260.3462</v>
      </c>
      <c r="E8" s="7" t="n">
        <v>972843.9706</v>
      </c>
      <c r="F8" s="7" t="n">
        <v>1032368.8569</v>
      </c>
      <c r="G8" s="7" t="n">
        <v>1080435.6828</v>
      </c>
      <c r="H8" s="7" t="n">
        <v>1125111.9944</v>
      </c>
      <c r="I8" s="7" t="n">
        <v>1132751.238</v>
      </c>
      <c r="J8" s="7" t="n">
        <v>1168539.0935</v>
      </c>
      <c r="K8" s="7" t="n">
        <v>1216433.672</v>
      </c>
      <c r="L8" s="7" t="n">
        <v>1328624.7444</v>
      </c>
      <c r="M8" s="7" t="n">
        <v>1365342.6144</v>
      </c>
      <c r="N8" s="7" t="n">
        <v>1379576.1499</v>
      </c>
      <c r="O8" s="7" t="n">
        <v>1405359.4184</v>
      </c>
      <c r="P8" s="7" t="n">
        <v>1414931.5329</v>
      </c>
      <c r="Q8" s="7" t="n">
        <v>1426750.1344</v>
      </c>
      <c r="R8" s="7" t="n">
        <v>1443114.7447</v>
      </c>
      <c r="S8" s="7" t="n">
        <v>1454133.0748</v>
      </c>
      <c r="T8" s="7" t="n">
        <v>1462141.0279</v>
      </c>
    </row>
    <row r="9">
      <c r="A9" s="6" t="inlineStr">
        <is>
          <t>2007</t>
        </is>
      </c>
      <c r="B9" s="7" t="n">
        <v>503577.874</v>
      </c>
      <c r="C9" s="7" t="n">
        <v>1103237.7506</v>
      </c>
      <c r="D9" s="7" t="n">
        <v>1428526.0389</v>
      </c>
      <c r="E9" s="7" t="n">
        <v>1819136.8101</v>
      </c>
      <c r="F9" s="7" t="n">
        <v>2157661.0559</v>
      </c>
      <c r="G9" s="7" t="n">
        <v>2620801.9125</v>
      </c>
      <c r="H9" s="7" t="n">
        <v>2924146.5064</v>
      </c>
      <c r="I9" s="7" t="n">
        <v>3151184.5969</v>
      </c>
      <c r="J9" s="7" t="n">
        <v>3405400.6676</v>
      </c>
      <c r="K9" s="7" t="n">
        <v>3694439.2536</v>
      </c>
      <c r="L9" s="7" t="n">
        <v>3998197.9776</v>
      </c>
      <c r="M9" s="7" t="n">
        <v>4198107.2299</v>
      </c>
      <c r="N9" s="7" t="n">
        <v>4370392.0813</v>
      </c>
      <c r="O9" s="7" t="n">
        <v>4496731.0472</v>
      </c>
      <c r="P9" s="7" t="n">
        <v>4617311.0543</v>
      </c>
      <c r="Q9" s="7" t="n">
        <v>4751466.0901</v>
      </c>
      <c r="R9" s="7" t="n">
        <v>4781329.5223</v>
      </c>
      <c r="S9" s="7" t="n">
        <v>4790693.1532</v>
      </c>
    </row>
    <row r="10">
      <c r="A10" s="6" t="inlineStr">
        <is>
          <t>2008</t>
        </is>
      </c>
      <c r="B10" s="7" t="n">
        <v>353516.7624</v>
      </c>
      <c r="C10" s="7" t="n">
        <v>646575.048</v>
      </c>
      <c r="D10" s="7" t="n">
        <v>869637.4344</v>
      </c>
      <c r="E10" s="7" t="n">
        <v>1188355.7378</v>
      </c>
      <c r="F10" s="7" t="n">
        <v>1229852.5392</v>
      </c>
      <c r="G10" s="7" t="n">
        <v>1267751.5964</v>
      </c>
      <c r="H10" s="7" t="n">
        <v>1276615.5211</v>
      </c>
      <c r="I10" s="7" t="n">
        <v>1284777.0756</v>
      </c>
      <c r="J10" s="7" t="n">
        <v>1299869.3408</v>
      </c>
      <c r="K10" s="7" t="n">
        <v>1317293.3392</v>
      </c>
      <c r="L10" s="7" t="n">
        <v>1331381.9562</v>
      </c>
      <c r="M10" s="7" t="n">
        <v>1333966.5248</v>
      </c>
      <c r="N10" s="7" t="n">
        <v>1337060.2082</v>
      </c>
      <c r="O10" s="7" t="n">
        <v>1338579.3845</v>
      </c>
      <c r="P10" s="7" t="n">
        <v>1339456.8657</v>
      </c>
      <c r="Q10" s="7" t="n">
        <v>1343001.2058</v>
      </c>
      <c r="R10" s="7" t="n">
        <v>1378427.9395</v>
      </c>
    </row>
    <row r="11">
      <c r="A11" s="6" t="inlineStr">
        <is>
          <t>2009</t>
        </is>
      </c>
      <c r="B11" s="7" t="n">
        <v>228667.6382</v>
      </c>
      <c r="C11" s="7" t="n">
        <v>742247.3016</v>
      </c>
      <c r="D11" s="7" t="n">
        <v>811950.8169</v>
      </c>
      <c r="E11" s="7" t="n">
        <v>834061.9289000001</v>
      </c>
      <c r="F11" s="7" t="n">
        <v>894984.3904</v>
      </c>
      <c r="G11" s="7" t="n">
        <v>941084.9331</v>
      </c>
      <c r="H11" s="7" t="n">
        <v>969391.356</v>
      </c>
      <c r="I11" s="7" t="n">
        <v>1018256.144</v>
      </c>
      <c r="J11" s="7" t="n">
        <v>1055610.0612</v>
      </c>
      <c r="K11" s="7" t="n">
        <v>1071106.0052</v>
      </c>
      <c r="L11" s="7" t="n">
        <v>1081182.3785</v>
      </c>
      <c r="M11" s="7" t="n">
        <v>1114205.6456</v>
      </c>
      <c r="N11" s="7" t="n">
        <v>1169581.0893</v>
      </c>
      <c r="O11" s="7" t="n">
        <v>1169581.0893</v>
      </c>
      <c r="P11" s="7" t="n">
        <v>1169581.0893</v>
      </c>
      <c r="Q11" s="7" t="n">
        <v>1169581.0893</v>
      </c>
    </row>
    <row r="12">
      <c r="A12" s="6" t="inlineStr">
        <is>
          <t>2010</t>
        </is>
      </c>
      <c r="B12" s="7" t="n">
        <v>243623.1532</v>
      </c>
      <c r="C12" s="7" t="n">
        <v>673150.5647</v>
      </c>
      <c r="D12" s="7" t="n">
        <v>915252.7733999999</v>
      </c>
      <c r="E12" s="7" t="n">
        <v>1076920.2816</v>
      </c>
      <c r="F12" s="7" t="n">
        <v>1176984.3356</v>
      </c>
      <c r="G12" s="7" t="n">
        <v>1201535.388</v>
      </c>
      <c r="H12" s="7" t="n">
        <v>1260309.0524</v>
      </c>
      <c r="I12" s="7" t="n">
        <v>1262502.2276</v>
      </c>
      <c r="J12" s="7" t="n">
        <v>1266822.057</v>
      </c>
      <c r="K12" s="7" t="n">
        <v>1267621.5366</v>
      </c>
      <c r="L12" s="7" t="n">
        <v>1268264.0499</v>
      </c>
      <c r="M12" s="7" t="n">
        <v>1268337.9475</v>
      </c>
      <c r="N12" s="7" t="n">
        <v>1269144.7773</v>
      </c>
      <c r="O12" s="7" t="n">
        <v>1270069.2627</v>
      </c>
      <c r="P12" s="7" t="n">
        <v>1277672.0721</v>
      </c>
    </row>
    <row r="13">
      <c r="A13" s="6" t="inlineStr">
        <is>
          <t>2011</t>
        </is>
      </c>
      <c r="B13" s="7" t="n">
        <v>364078.0359</v>
      </c>
      <c r="C13" s="7" t="n">
        <v>839046.0318</v>
      </c>
      <c r="D13" s="7" t="n">
        <v>1308017.8708</v>
      </c>
      <c r="E13" s="7" t="n">
        <v>1406826.3913</v>
      </c>
      <c r="F13" s="7" t="n">
        <v>1523414.8592</v>
      </c>
      <c r="G13" s="7" t="n">
        <v>1658815.0564</v>
      </c>
      <c r="H13" s="7" t="n">
        <v>1822167.0208</v>
      </c>
      <c r="I13" s="7" t="n">
        <v>1825756.0557</v>
      </c>
      <c r="J13" s="7" t="n">
        <v>1834064.2045</v>
      </c>
      <c r="K13" s="7" t="n">
        <v>1848125.5322</v>
      </c>
      <c r="L13" s="7" t="n">
        <v>1857745.403</v>
      </c>
      <c r="M13" s="7" t="n">
        <v>1876941.6374</v>
      </c>
      <c r="N13" s="7" t="n">
        <v>1886612.5767</v>
      </c>
      <c r="O13" s="7" t="n">
        <v>1892658.2977</v>
      </c>
    </row>
    <row r="14">
      <c r="A14" s="6" t="inlineStr">
        <is>
          <t>2012</t>
        </is>
      </c>
      <c r="B14" s="7" t="n">
        <v>227809.9905</v>
      </c>
      <c r="C14" s="7" t="n">
        <v>634577.1655999999</v>
      </c>
      <c r="D14" s="7" t="n">
        <v>799343.7148</v>
      </c>
      <c r="E14" s="7" t="n">
        <v>951570.1580000001</v>
      </c>
      <c r="F14" s="7" t="n">
        <v>961178.1655999999</v>
      </c>
      <c r="G14" s="7" t="n">
        <v>967435.7088</v>
      </c>
      <c r="H14" s="7" t="n">
        <v>977662.0018</v>
      </c>
      <c r="I14" s="7" t="n">
        <v>1016181.6668</v>
      </c>
      <c r="J14" s="7" t="n">
        <v>1048240.5835</v>
      </c>
      <c r="K14" s="7" t="n">
        <v>1053040.6285</v>
      </c>
      <c r="L14" s="7" t="n">
        <v>1084319.7934</v>
      </c>
      <c r="M14" s="7" t="n">
        <v>1145575.5199</v>
      </c>
      <c r="N14" s="7" t="n">
        <v>1194236.8783</v>
      </c>
    </row>
    <row r="15">
      <c r="A15" s="6" t="inlineStr">
        <is>
          <t>2013</t>
        </is>
      </c>
      <c r="B15" s="7" t="n">
        <v>202558.6</v>
      </c>
      <c r="C15" s="7" t="n">
        <v>466110.2601</v>
      </c>
      <c r="D15" s="7" t="n">
        <v>544741.4368</v>
      </c>
      <c r="E15" s="7" t="n">
        <v>597598.0148</v>
      </c>
      <c r="F15" s="7" t="n">
        <v>708646.3136</v>
      </c>
      <c r="G15" s="7" t="n">
        <v>706804.6403</v>
      </c>
      <c r="H15" s="7" t="n">
        <v>707153.1202</v>
      </c>
      <c r="I15" s="7" t="n">
        <v>707153.1202</v>
      </c>
      <c r="J15" s="7" t="n">
        <v>708518.7743</v>
      </c>
      <c r="K15" s="7" t="n">
        <v>708518.7743</v>
      </c>
      <c r="L15" s="7" t="n">
        <v>708529.9909</v>
      </c>
      <c r="M15" s="7" t="n">
        <v>708529.9909</v>
      </c>
    </row>
    <row r="16">
      <c r="A16" s="6" t="inlineStr">
        <is>
          <t>2014</t>
        </is>
      </c>
      <c r="B16" s="7" t="n">
        <v>411721.1514</v>
      </c>
      <c r="C16" s="7" t="n">
        <v>738237.024</v>
      </c>
      <c r="D16" s="7" t="n">
        <v>926318.2924</v>
      </c>
      <c r="E16" s="7" t="n">
        <v>1179532.3776</v>
      </c>
      <c r="F16" s="7" t="n">
        <v>1258547.8747</v>
      </c>
      <c r="G16" s="7" t="n">
        <v>1279437.0107</v>
      </c>
      <c r="H16" s="7" t="n">
        <v>1287255.5747</v>
      </c>
      <c r="I16" s="7" t="n">
        <v>1291077.2419</v>
      </c>
      <c r="J16" s="7" t="n">
        <v>1299245.6846</v>
      </c>
      <c r="K16" s="7" t="n">
        <v>1379318.0229</v>
      </c>
      <c r="L16" s="7" t="n">
        <v>1389603.6847</v>
      </c>
    </row>
    <row r="17">
      <c r="A17" s="6" t="inlineStr">
        <is>
          <t>2015</t>
        </is>
      </c>
      <c r="B17" s="7" t="n">
        <v>380424.8448</v>
      </c>
      <c r="C17" s="7" t="n">
        <v>844695.754</v>
      </c>
      <c r="D17" s="7" t="n">
        <v>1420142.9632</v>
      </c>
      <c r="E17" s="7" t="n">
        <v>2080874.3633</v>
      </c>
      <c r="F17" s="7" t="n">
        <v>2234622.0018</v>
      </c>
      <c r="G17" s="7" t="n">
        <v>2488067.8351</v>
      </c>
      <c r="H17" s="7" t="n">
        <v>2763681.6553</v>
      </c>
      <c r="I17" s="7" t="n">
        <v>2914940.4622</v>
      </c>
      <c r="J17" s="7" t="n">
        <v>2956733.3158</v>
      </c>
      <c r="K17" s="7" t="n">
        <v>3364231.2985</v>
      </c>
    </row>
    <row r="18">
      <c r="A18" s="6" t="inlineStr">
        <is>
          <t>2016</t>
        </is>
      </c>
      <c r="B18" s="7" t="n">
        <v>339622.8128</v>
      </c>
      <c r="C18" s="7" t="n">
        <v>1125902.514</v>
      </c>
      <c r="D18" s="7" t="n">
        <v>1591493.1288</v>
      </c>
      <c r="E18" s="7" t="n">
        <v>1791123.5232</v>
      </c>
      <c r="F18" s="7" t="n">
        <v>1925889.9033</v>
      </c>
      <c r="G18" s="7" t="n">
        <v>2122828.5116</v>
      </c>
      <c r="H18" s="7" t="n">
        <v>2419166.3463</v>
      </c>
      <c r="I18" s="7" t="n">
        <v>2435189.8136</v>
      </c>
      <c r="J18" s="7" t="n">
        <v>2462208.6764</v>
      </c>
    </row>
    <row r="19">
      <c r="A19" s="6" t="inlineStr">
        <is>
          <t>2017</t>
        </is>
      </c>
      <c r="B19" s="7" t="n">
        <v>336652.3932</v>
      </c>
      <c r="C19" s="7" t="n">
        <v>584790.2939</v>
      </c>
      <c r="D19" s="7" t="n">
        <v>630127.1445000001</v>
      </c>
      <c r="E19" s="7" t="n">
        <v>710567.1893</v>
      </c>
      <c r="F19" s="7" t="n">
        <v>772675.5753</v>
      </c>
      <c r="G19" s="7" t="n">
        <v>855730.1436</v>
      </c>
      <c r="H19" s="7" t="n">
        <v>1105087.777</v>
      </c>
      <c r="I19" s="7" t="n">
        <v>1205811.8289</v>
      </c>
    </row>
    <row r="20">
      <c r="A20" s="6" t="inlineStr">
        <is>
          <t>2018</t>
        </is>
      </c>
      <c r="B20" s="7" t="n">
        <v>345419.169</v>
      </c>
      <c r="C20" s="7" t="n">
        <v>993120.1128999999</v>
      </c>
      <c r="D20" s="7" t="n">
        <v>1473722.3521</v>
      </c>
      <c r="E20" s="7" t="n">
        <v>2024103.1787</v>
      </c>
      <c r="F20" s="7" t="n">
        <v>2140405.0822</v>
      </c>
      <c r="G20" s="7" t="n">
        <v>2260849.3157</v>
      </c>
      <c r="H20" s="7" t="n">
        <v>2395448.4233</v>
      </c>
    </row>
    <row r="21">
      <c r="A21" s="6" t="inlineStr">
        <is>
          <t>2019</t>
        </is>
      </c>
      <c r="B21" s="7" t="n">
        <v>289279.8617</v>
      </c>
      <c r="C21" s="7" t="n">
        <v>773667.7694</v>
      </c>
      <c r="D21" s="7" t="n">
        <v>1353683.4733</v>
      </c>
      <c r="E21" s="7" t="n">
        <v>1600695.7816</v>
      </c>
      <c r="F21" s="7" t="n">
        <v>1970840.4806</v>
      </c>
      <c r="G21" s="7" t="n">
        <v>2395189.8345</v>
      </c>
    </row>
    <row r="22">
      <c r="A22" s="6" t="inlineStr">
        <is>
          <t>2020</t>
        </is>
      </c>
      <c r="B22" s="7" t="n">
        <v>285916.1353</v>
      </c>
      <c r="C22" s="7" t="n">
        <v>730087.9662</v>
      </c>
      <c r="D22" s="7" t="n">
        <v>861703.8541</v>
      </c>
      <c r="E22" s="7" t="n">
        <v>965936.0494</v>
      </c>
      <c r="F22" s="7" t="n">
        <v>976050.8626</v>
      </c>
    </row>
    <row r="23">
      <c r="A23" s="6" t="inlineStr">
        <is>
          <t>2021</t>
        </is>
      </c>
      <c r="B23" s="7" t="n">
        <v>273712.105</v>
      </c>
      <c r="C23" s="7" t="n">
        <v>546911.8753</v>
      </c>
      <c r="D23" s="7" t="n">
        <v>911379.2328</v>
      </c>
      <c r="E23" s="7" t="n">
        <v>974979.4133</v>
      </c>
    </row>
    <row r="24">
      <c r="A24" s="6" t="inlineStr">
        <is>
          <t>2022</t>
        </is>
      </c>
      <c r="B24" s="7" t="n">
        <v>307340.8838</v>
      </c>
      <c r="C24" s="7" t="n">
        <v>746644.5651</v>
      </c>
      <c r="D24" s="7" t="n">
        <v>791103.7101</v>
      </c>
    </row>
    <row r="25">
      <c r="A25" s="6" t="inlineStr">
        <is>
          <t>2023</t>
        </is>
      </c>
      <c r="B25" s="7" t="n">
        <v>367267.232</v>
      </c>
      <c r="C25" s="7" t="n">
        <v>1199242.0684</v>
      </c>
    </row>
    <row r="26">
      <c r="A26" s="6" t="inlineStr">
        <is>
          <t>2024</t>
        </is>
      </c>
      <c r="B26" s="7" t="n">
        <v>355247.7609</v>
      </c>
    </row>
    <row r="28">
      <c r="A28" s="1" t="inlineStr">
        <is>
          <t>Age-to-Age Factors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3" t="n"/>
    </row>
    <row r="29">
      <c r="A29" s="4" t="inlineStr"/>
      <c r="B29" s="5" t="inlineStr">
        <is>
          <t>11-23</t>
        </is>
      </c>
      <c r="C29" s="5" t="inlineStr">
        <is>
          <t>23-35</t>
        </is>
      </c>
      <c r="D29" s="5" t="inlineStr">
        <is>
          <t>35-47</t>
        </is>
      </c>
      <c r="E29" s="5" t="inlineStr">
        <is>
          <t>47-59</t>
        </is>
      </c>
      <c r="F29" s="5" t="inlineStr">
        <is>
          <t>59-71</t>
        </is>
      </c>
      <c r="G29" s="5" t="inlineStr">
        <is>
          <t>71-83</t>
        </is>
      </c>
      <c r="H29" s="5" t="inlineStr">
        <is>
          <t>83-95</t>
        </is>
      </c>
      <c r="I29" s="5" t="inlineStr">
        <is>
          <t>95-107</t>
        </is>
      </c>
      <c r="J29" s="5" t="inlineStr">
        <is>
          <t>107-119</t>
        </is>
      </c>
      <c r="K29" s="5" t="inlineStr">
        <is>
          <t>119-131</t>
        </is>
      </c>
      <c r="L29" s="5" t="inlineStr">
        <is>
          <t>131-143</t>
        </is>
      </c>
      <c r="M29" s="5" t="inlineStr">
        <is>
          <t>143-155</t>
        </is>
      </c>
      <c r="N29" s="5" t="inlineStr">
        <is>
          <t>155-167</t>
        </is>
      </c>
      <c r="O29" s="5" t="inlineStr">
        <is>
          <t>167-179</t>
        </is>
      </c>
      <c r="P29" s="5" t="inlineStr">
        <is>
          <t>179-191</t>
        </is>
      </c>
      <c r="Q29" s="5" t="inlineStr">
        <is>
          <t>191-203</t>
        </is>
      </c>
      <c r="R29" s="5" t="inlineStr">
        <is>
          <t>203-215</t>
        </is>
      </c>
      <c r="S29" s="5" t="inlineStr">
        <is>
          <t>215-227</t>
        </is>
      </c>
      <c r="T29" s="5" t="inlineStr">
        <is>
          <t>227-239</t>
        </is>
      </c>
      <c r="U29" s="5" t="inlineStr">
        <is>
          <t>239-251</t>
        </is>
      </c>
      <c r="V29" s="5" t="inlineStr">
        <is>
          <t>251-263</t>
        </is>
      </c>
      <c r="W29" s="5" t="inlineStr">
        <is>
          <t>263-275</t>
        </is>
      </c>
      <c r="X29" s="5" t="inlineStr">
        <is>
          <t>275-287</t>
        </is>
      </c>
    </row>
    <row r="30">
      <c r="A30" s="6" t="inlineStr">
        <is>
          <t>2001</t>
        </is>
      </c>
      <c r="B30" s="8">
        <f>IFERROR(IF(C3="","",C3/B3),"")</f>
        <v/>
      </c>
      <c r="C30" s="8">
        <f>IFERROR(IF(D3="","",D3/C3),"")</f>
        <v/>
      </c>
      <c r="D30" s="8">
        <f>IFERROR(IF(E3="","",E3/D3),"")</f>
        <v/>
      </c>
      <c r="E30" s="8">
        <f>IFERROR(IF(F3="","",F3/E3),"")</f>
        <v/>
      </c>
      <c r="F30" s="8">
        <f>IFERROR(IF(G3="","",G3/F3),"")</f>
        <v/>
      </c>
      <c r="G30" s="8">
        <f>IFERROR(IF(H3="","",H3/G3),"")</f>
        <v/>
      </c>
      <c r="H30" s="8">
        <f>IFERROR(IF(I3="","",I3/H3),"")</f>
        <v/>
      </c>
      <c r="I30" s="8">
        <f>IFERROR(IF(J3="","",J3/I3),"")</f>
        <v/>
      </c>
      <c r="J30" s="8">
        <f>IFERROR(IF(K3="","",K3/J3),"")</f>
        <v/>
      </c>
      <c r="K30" s="8">
        <f>IFERROR(IF(L3="","",L3/K3),"")</f>
        <v/>
      </c>
      <c r="L30" s="8">
        <f>IFERROR(IF(M3="","",M3/L3),"")</f>
        <v/>
      </c>
      <c r="M30" s="8">
        <f>IFERROR(IF(N3="","",N3/M3),"")</f>
        <v/>
      </c>
      <c r="N30" s="8">
        <f>IFERROR(IF(O3="","",O3/N3),"")</f>
        <v/>
      </c>
      <c r="O30" s="8">
        <f>IFERROR(IF(P3="","",P3/O3),"")</f>
        <v/>
      </c>
      <c r="P30" s="8">
        <f>IFERROR(IF(Q3="","",Q3/P3),"")</f>
        <v/>
      </c>
      <c r="Q30" s="8">
        <f>IFERROR(IF(R3="","",R3/Q3),"")</f>
        <v/>
      </c>
      <c r="R30" s="8">
        <f>IFERROR(IF(S3="","",S3/R3),"")</f>
        <v/>
      </c>
      <c r="S30" s="8">
        <f>IFERROR(IF(T3="","",T3/S3),"")</f>
        <v/>
      </c>
      <c r="T30" s="8">
        <f>IFERROR(IF(U3="","",U3/T3),"")</f>
        <v/>
      </c>
      <c r="U30" s="8">
        <f>IFERROR(IF(V3="","",V3/U3),"")</f>
        <v/>
      </c>
      <c r="V30" s="8">
        <f>IFERROR(IF(W3="","",W3/V3),"")</f>
        <v/>
      </c>
      <c r="W30" s="8">
        <f>IFERROR(IF(X3="","",X3/W3),"")</f>
        <v/>
      </c>
      <c r="X30" s="8">
        <f>IFERROR(IF(Y3="","",Y3/X3),"")</f>
        <v/>
      </c>
    </row>
    <row r="31">
      <c r="A31" s="6" t="inlineStr">
        <is>
          <t>2002</t>
        </is>
      </c>
      <c r="B31" s="8">
        <f>IFERROR(IF(C4="","",C4/B4),"")</f>
        <v/>
      </c>
      <c r="C31" s="8">
        <f>IFERROR(IF(D4="","",D4/C4),"")</f>
        <v/>
      </c>
      <c r="D31" s="8">
        <f>IFERROR(IF(E4="","",E4/D4),"")</f>
        <v/>
      </c>
      <c r="E31" s="8">
        <f>IFERROR(IF(F4="","",F4/E4),"")</f>
        <v/>
      </c>
      <c r="F31" s="8">
        <f>IFERROR(IF(G4="","",G4/F4),"")</f>
        <v/>
      </c>
      <c r="G31" s="8">
        <f>IFERROR(IF(H4="","",H4/G4),"")</f>
        <v/>
      </c>
      <c r="H31" s="8">
        <f>IFERROR(IF(I4="","",I4/H4),"")</f>
        <v/>
      </c>
      <c r="I31" s="8">
        <f>IFERROR(IF(J4="","",J4/I4),"")</f>
        <v/>
      </c>
      <c r="J31" s="8">
        <f>IFERROR(IF(K4="","",K4/J4),"")</f>
        <v/>
      </c>
      <c r="K31" s="8">
        <f>IFERROR(IF(L4="","",L4/K4),"")</f>
        <v/>
      </c>
      <c r="L31" s="8">
        <f>IFERROR(IF(M4="","",M4/L4),"")</f>
        <v/>
      </c>
      <c r="M31" s="8">
        <f>IFERROR(IF(N4="","",N4/M4),"")</f>
        <v/>
      </c>
      <c r="N31" s="8">
        <f>IFERROR(IF(O4="","",O4/N4),"")</f>
        <v/>
      </c>
      <c r="O31" s="8">
        <f>IFERROR(IF(P4="","",P4/O4),"")</f>
        <v/>
      </c>
      <c r="P31" s="8">
        <f>IFERROR(IF(Q4="","",Q4/P4),"")</f>
        <v/>
      </c>
      <c r="Q31" s="8">
        <f>IFERROR(IF(R4="","",R4/Q4),"")</f>
        <v/>
      </c>
      <c r="R31" s="8">
        <f>IFERROR(IF(S4="","",S4/R4),"")</f>
        <v/>
      </c>
      <c r="S31" s="8">
        <f>IFERROR(IF(T4="","",T4/S4),"")</f>
        <v/>
      </c>
      <c r="T31" s="8">
        <f>IFERROR(IF(U4="","",U4/T4),"")</f>
        <v/>
      </c>
      <c r="U31" s="8">
        <f>IFERROR(IF(V4="","",V4/U4),"")</f>
        <v/>
      </c>
      <c r="V31" s="8">
        <f>IFERROR(IF(W4="","",W4/V4),"")</f>
        <v/>
      </c>
      <c r="W31" s="8">
        <f>IFERROR(IF(X4="","",X4/W4),"")</f>
        <v/>
      </c>
      <c r="X31" s="8">
        <f>IFERROR(IF(Y4="","",Y4/X4),"")</f>
        <v/>
      </c>
    </row>
    <row r="32">
      <c r="A32" s="6" t="inlineStr">
        <is>
          <t>2003</t>
        </is>
      </c>
      <c r="B32" s="8">
        <f>IFERROR(IF(C5="","",C5/B5),"")</f>
        <v/>
      </c>
      <c r="C32" s="8">
        <f>IFERROR(IF(D5="","",D5/C5),"")</f>
        <v/>
      </c>
      <c r="D32" s="8">
        <f>IFERROR(IF(E5="","",E5/D5),"")</f>
        <v/>
      </c>
      <c r="E32" s="8">
        <f>IFERROR(IF(F5="","",F5/E5),"")</f>
        <v/>
      </c>
      <c r="F32" s="8">
        <f>IFERROR(IF(G5="","",G5/F5),"")</f>
        <v/>
      </c>
      <c r="G32" s="8">
        <f>IFERROR(IF(H5="","",H5/G5),"")</f>
        <v/>
      </c>
      <c r="H32" s="8">
        <f>IFERROR(IF(I5="","",I5/H5),"")</f>
        <v/>
      </c>
      <c r="I32" s="8">
        <f>IFERROR(IF(J5="","",J5/I5),"")</f>
        <v/>
      </c>
      <c r="J32" s="8">
        <f>IFERROR(IF(K5="","",K5/J5),"")</f>
        <v/>
      </c>
      <c r="K32" s="8">
        <f>IFERROR(IF(L5="","",L5/K5),"")</f>
        <v/>
      </c>
      <c r="L32" s="8">
        <f>IFERROR(IF(M5="","",M5/L5),"")</f>
        <v/>
      </c>
      <c r="M32" s="8">
        <f>IFERROR(IF(N5="","",N5/M5),"")</f>
        <v/>
      </c>
      <c r="N32" s="8">
        <f>IFERROR(IF(O5="","",O5/N5),"")</f>
        <v/>
      </c>
      <c r="O32" s="8">
        <f>IFERROR(IF(P5="","",P5/O5),"")</f>
        <v/>
      </c>
      <c r="P32" s="8">
        <f>IFERROR(IF(Q5="","",Q5/P5),"")</f>
        <v/>
      </c>
      <c r="Q32" s="8">
        <f>IFERROR(IF(R5="","",R5/Q5),"")</f>
        <v/>
      </c>
      <c r="R32" s="8">
        <f>IFERROR(IF(S5="","",S5/R5),"")</f>
        <v/>
      </c>
      <c r="S32" s="8">
        <f>IFERROR(IF(T5="","",T5/S5),"")</f>
        <v/>
      </c>
      <c r="T32" s="8">
        <f>IFERROR(IF(U5="","",U5/T5),"")</f>
        <v/>
      </c>
      <c r="U32" s="8">
        <f>IFERROR(IF(V5="","",V5/U5),"")</f>
        <v/>
      </c>
      <c r="V32" s="8">
        <f>IFERROR(IF(W5="","",W5/V5),"")</f>
        <v/>
      </c>
      <c r="W32" s="8">
        <f>IFERROR(IF(X5="","",X5/W5),"")</f>
        <v/>
      </c>
      <c r="X32" s="8">
        <f>IFERROR(IF(Y5="","",Y5/X5),"")</f>
        <v/>
      </c>
    </row>
    <row r="33">
      <c r="A33" s="6" t="inlineStr">
        <is>
          <t>2004</t>
        </is>
      </c>
      <c r="B33" s="8">
        <f>IFERROR(IF(C6="","",C6/B6),"")</f>
        <v/>
      </c>
      <c r="C33" s="8">
        <f>IFERROR(IF(D6="","",D6/C6),"")</f>
        <v/>
      </c>
      <c r="D33" s="8">
        <f>IFERROR(IF(E6="","",E6/D6),"")</f>
        <v/>
      </c>
      <c r="E33" s="8">
        <f>IFERROR(IF(F6="","",F6/E6),"")</f>
        <v/>
      </c>
      <c r="F33" s="8">
        <f>IFERROR(IF(G6="","",G6/F6),"")</f>
        <v/>
      </c>
      <c r="G33" s="8">
        <f>IFERROR(IF(H6="","",H6/G6),"")</f>
        <v/>
      </c>
      <c r="H33" s="8">
        <f>IFERROR(IF(I6="","",I6/H6),"")</f>
        <v/>
      </c>
      <c r="I33" s="8">
        <f>IFERROR(IF(J6="","",J6/I6),"")</f>
        <v/>
      </c>
      <c r="J33" s="8">
        <f>IFERROR(IF(K6="","",K6/J6),"")</f>
        <v/>
      </c>
      <c r="K33" s="8">
        <f>IFERROR(IF(L6="","",L6/K6),"")</f>
        <v/>
      </c>
      <c r="L33" s="8">
        <f>IFERROR(IF(M6="","",M6/L6),"")</f>
        <v/>
      </c>
      <c r="M33" s="8">
        <f>IFERROR(IF(N6="","",N6/M6),"")</f>
        <v/>
      </c>
      <c r="N33" s="8">
        <f>IFERROR(IF(O6="","",O6/N6),"")</f>
        <v/>
      </c>
      <c r="O33" s="8">
        <f>IFERROR(IF(P6="","",P6/O6),"")</f>
        <v/>
      </c>
      <c r="P33" s="8">
        <f>IFERROR(IF(Q6="","",Q6/P6),"")</f>
        <v/>
      </c>
      <c r="Q33" s="8">
        <f>IFERROR(IF(R6="","",R6/Q6),"")</f>
        <v/>
      </c>
      <c r="R33" s="8">
        <f>IFERROR(IF(S6="","",S6/R6),"")</f>
        <v/>
      </c>
      <c r="S33" s="8">
        <f>IFERROR(IF(T6="","",T6/S6),"")</f>
        <v/>
      </c>
      <c r="T33" s="8">
        <f>IFERROR(IF(U6="","",U6/T6),"")</f>
        <v/>
      </c>
      <c r="U33" s="8">
        <f>IFERROR(IF(V6="","",V6/U6),"")</f>
        <v/>
      </c>
      <c r="V33" s="8">
        <f>IFERROR(IF(W6="","",W6/V6),"")</f>
        <v/>
      </c>
      <c r="W33" s="8">
        <f>IFERROR(IF(X6="","",X6/W6),"")</f>
        <v/>
      </c>
      <c r="X33" s="8">
        <f>IFERROR(IF(Y6="","",Y6/X6),"")</f>
        <v/>
      </c>
    </row>
    <row r="34">
      <c r="A34" s="6" t="inlineStr">
        <is>
          <t>2005</t>
        </is>
      </c>
      <c r="B34" s="8">
        <f>IFERROR(IF(C7="","",C7/B7),"")</f>
        <v/>
      </c>
      <c r="C34" s="8">
        <f>IFERROR(IF(D7="","",D7/C7),"")</f>
        <v/>
      </c>
      <c r="D34" s="8">
        <f>IFERROR(IF(E7="","",E7/D7),"")</f>
        <v/>
      </c>
      <c r="E34" s="8">
        <f>IFERROR(IF(F7="","",F7/E7),"")</f>
        <v/>
      </c>
      <c r="F34" s="8">
        <f>IFERROR(IF(G7="","",G7/F7),"")</f>
        <v/>
      </c>
      <c r="G34" s="8">
        <f>IFERROR(IF(H7="","",H7/G7),"")</f>
        <v/>
      </c>
      <c r="H34" s="8">
        <f>IFERROR(IF(I7="","",I7/H7),"")</f>
        <v/>
      </c>
      <c r="I34" s="8">
        <f>IFERROR(IF(J7="","",J7/I7),"")</f>
        <v/>
      </c>
      <c r="J34" s="8">
        <f>IFERROR(IF(K7="","",K7/J7),"")</f>
        <v/>
      </c>
      <c r="K34" s="8">
        <f>IFERROR(IF(L7="","",L7/K7),"")</f>
        <v/>
      </c>
      <c r="L34" s="8">
        <f>IFERROR(IF(M7="","",M7/L7),"")</f>
        <v/>
      </c>
      <c r="M34" s="8">
        <f>IFERROR(IF(N7="","",N7/M7),"")</f>
        <v/>
      </c>
      <c r="N34" s="8">
        <f>IFERROR(IF(O7="","",O7/N7),"")</f>
        <v/>
      </c>
      <c r="O34" s="8">
        <f>IFERROR(IF(P7="","",P7/O7),"")</f>
        <v/>
      </c>
      <c r="P34" s="8">
        <f>IFERROR(IF(Q7="","",Q7/P7),"")</f>
        <v/>
      </c>
      <c r="Q34" s="8">
        <f>IFERROR(IF(R7="","",R7/Q7),"")</f>
        <v/>
      </c>
      <c r="R34" s="8">
        <f>IFERROR(IF(S7="","",S7/R7),"")</f>
        <v/>
      </c>
      <c r="S34" s="8">
        <f>IFERROR(IF(T7="","",T7/S7),"")</f>
        <v/>
      </c>
      <c r="T34" s="8">
        <f>IFERROR(IF(U7="","",U7/T7),"")</f>
        <v/>
      </c>
      <c r="U34" s="8">
        <f>IFERROR(IF(V7="","",V7/U7),"")</f>
        <v/>
      </c>
      <c r="V34" s="8">
        <f>IFERROR(IF(W7="","",W7/V7),"")</f>
        <v/>
      </c>
      <c r="W34" s="8">
        <f>IFERROR(IF(X7="","",X7/W7),"")</f>
        <v/>
      </c>
      <c r="X34" s="8">
        <f>IFERROR(IF(Y7="","",Y7/X7),"")</f>
        <v/>
      </c>
    </row>
    <row r="35">
      <c r="A35" s="6" t="inlineStr">
        <is>
          <t>2006</t>
        </is>
      </c>
      <c r="B35" s="8">
        <f>IFERROR(IF(C8="","",C8/B8),"")</f>
        <v/>
      </c>
      <c r="C35" s="8">
        <f>IFERROR(IF(D8="","",D8/C8),"")</f>
        <v/>
      </c>
      <c r="D35" s="8">
        <f>IFERROR(IF(E8="","",E8/D8),"")</f>
        <v/>
      </c>
      <c r="E35" s="8">
        <f>IFERROR(IF(F8="","",F8/E8),"")</f>
        <v/>
      </c>
      <c r="F35" s="8">
        <f>IFERROR(IF(G8="","",G8/F8),"")</f>
        <v/>
      </c>
      <c r="G35" s="8">
        <f>IFERROR(IF(H8="","",H8/G8),"")</f>
        <v/>
      </c>
      <c r="H35" s="8">
        <f>IFERROR(IF(I8="","",I8/H8),"")</f>
        <v/>
      </c>
      <c r="I35" s="8">
        <f>IFERROR(IF(J8="","",J8/I8),"")</f>
        <v/>
      </c>
      <c r="J35" s="8">
        <f>IFERROR(IF(K8="","",K8/J8),"")</f>
        <v/>
      </c>
      <c r="K35" s="8">
        <f>IFERROR(IF(L8="","",L8/K8),"")</f>
        <v/>
      </c>
      <c r="L35" s="8">
        <f>IFERROR(IF(M8="","",M8/L8),"")</f>
        <v/>
      </c>
      <c r="M35" s="8">
        <f>IFERROR(IF(N8="","",N8/M8),"")</f>
        <v/>
      </c>
      <c r="N35" s="8">
        <f>IFERROR(IF(O8="","",O8/N8),"")</f>
        <v/>
      </c>
      <c r="O35" s="8">
        <f>IFERROR(IF(P8="","",P8/O8),"")</f>
        <v/>
      </c>
      <c r="P35" s="8">
        <f>IFERROR(IF(Q8="","",Q8/P8),"")</f>
        <v/>
      </c>
      <c r="Q35" s="8">
        <f>IFERROR(IF(R8="","",R8/Q8),"")</f>
        <v/>
      </c>
      <c r="R35" s="8">
        <f>IFERROR(IF(S8="","",S8/R8),"")</f>
        <v/>
      </c>
      <c r="S35" s="8">
        <f>IFERROR(IF(T8="","",T8/S8),"")</f>
        <v/>
      </c>
      <c r="T35" s="8">
        <f>IFERROR(IF(U8="","",U8/T8),"")</f>
        <v/>
      </c>
      <c r="U35" s="8">
        <f>IFERROR(IF(V8="","",V8/U8),"")</f>
        <v/>
      </c>
      <c r="V35" s="8">
        <f>IFERROR(IF(W8="","",W8/V8),"")</f>
        <v/>
      </c>
      <c r="W35" s="8">
        <f>IFERROR(IF(X8="","",X8/W8),"")</f>
        <v/>
      </c>
      <c r="X35" s="8">
        <f>IFERROR(IF(Y8="","",Y8/X8),"")</f>
        <v/>
      </c>
    </row>
    <row r="36">
      <c r="A36" s="6" t="inlineStr">
        <is>
          <t>2007</t>
        </is>
      </c>
      <c r="B36" s="8">
        <f>IFERROR(IF(C9="","",C9/B9),"")</f>
        <v/>
      </c>
      <c r="C36" s="8">
        <f>IFERROR(IF(D9="","",D9/C9),"")</f>
        <v/>
      </c>
      <c r="D36" s="8">
        <f>IFERROR(IF(E9="","",E9/D9),"")</f>
        <v/>
      </c>
      <c r="E36" s="8">
        <f>IFERROR(IF(F9="","",F9/E9),"")</f>
        <v/>
      </c>
      <c r="F36" s="8">
        <f>IFERROR(IF(G9="","",G9/F9),"")</f>
        <v/>
      </c>
      <c r="G36" s="8">
        <f>IFERROR(IF(H9="","",H9/G9),"")</f>
        <v/>
      </c>
      <c r="H36" s="8">
        <f>IFERROR(IF(I9="","",I9/H9),"")</f>
        <v/>
      </c>
      <c r="I36" s="8">
        <f>IFERROR(IF(J9="","",J9/I9),"")</f>
        <v/>
      </c>
      <c r="J36" s="8">
        <f>IFERROR(IF(K9="","",K9/J9),"")</f>
        <v/>
      </c>
      <c r="K36" s="8">
        <f>IFERROR(IF(L9="","",L9/K9),"")</f>
        <v/>
      </c>
      <c r="L36" s="8">
        <f>IFERROR(IF(M9="","",M9/L9),"")</f>
        <v/>
      </c>
      <c r="M36" s="8">
        <f>IFERROR(IF(N9="","",N9/M9),"")</f>
        <v/>
      </c>
      <c r="N36" s="8">
        <f>IFERROR(IF(O9="","",O9/N9),"")</f>
        <v/>
      </c>
      <c r="O36" s="8">
        <f>IFERROR(IF(P9="","",P9/O9),"")</f>
        <v/>
      </c>
      <c r="P36" s="8">
        <f>IFERROR(IF(Q9="","",Q9/P9),"")</f>
        <v/>
      </c>
      <c r="Q36" s="8">
        <f>IFERROR(IF(R9="","",R9/Q9),"")</f>
        <v/>
      </c>
      <c r="R36" s="8">
        <f>IFERROR(IF(S9="","",S9/R9),"")</f>
        <v/>
      </c>
      <c r="S36" s="8">
        <f>IFERROR(IF(T9="","",T9/S9),"")</f>
        <v/>
      </c>
      <c r="T36" s="8">
        <f>IFERROR(IF(U9="","",U9/T9),"")</f>
        <v/>
      </c>
      <c r="U36" s="8">
        <f>IFERROR(IF(V9="","",V9/U9),"")</f>
        <v/>
      </c>
      <c r="V36" s="8">
        <f>IFERROR(IF(W9="","",W9/V9),"")</f>
        <v/>
      </c>
      <c r="W36" s="8">
        <f>IFERROR(IF(X9="","",X9/W9),"")</f>
        <v/>
      </c>
      <c r="X36" s="8">
        <f>IFERROR(IF(Y9="","",Y9/X9),"")</f>
        <v/>
      </c>
    </row>
    <row r="37">
      <c r="A37" s="6" t="inlineStr">
        <is>
          <t>2008</t>
        </is>
      </c>
      <c r="B37" s="8">
        <f>IFERROR(IF(C10="","",C10/B10),"")</f>
        <v/>
      </c>
      <c r="C37" s="8">
        <f>IFERROR(IF(D10="","",D10/C10),"")</f>
        <v/>
      </c>
      <c r="D37" s="8">
        <f>IFERROR(IF(E10="","",E10/D10),"")</f>
        <v/>
      </c>
      <c r="E37" s="8">
        <f>IFERROR(IF(F10="","",F10/E10),"")</f>
        <v/>
      </c>
      <c r="F37" s="8">
        <f>IFERROR(IF(G10="","",G10/F10),"")</f>
        <v/>
      </c>
      <c r="G37" s="8">
        <f>IFERROR(IF(H10="","",H10/G10),"")</f>
        <v/>
      </c>
      <c r="H37" s="8">
        <f>IFERROR(IF(I10="","",I10/H10),"")</f>
        <v/>
      </c>
      <c r="I37" s="8">
        <f>IFERROR(IF(J10="","",J10/I10),"")</f>
        <v/>
      </c>
      <c r="J37" s="8">
        <f>IFERROR(IF(K10="","",K10/J10),"")</f>
        <v/>
      </c>
      <c r="K37" s="8">
        <f>IFERROR(IF(L10="","",L10/K10),"")</f>
        <v/>
      </c>
      <c r="L37" s="8">
        <f>IFERROR(IF(M10="","",M10/L10),"")</f>
        <v/>
      </c>
      <c r="M37" s="8">
        <f>IFERROR(IF(N10="","",N10/M10),"")</f>
        <v/>
      </c>
      <c r="N37" s="8">
        <f>IFERROR(IF(O10="","",O10/N10),"")</f>
        <v/>
      </c>
      <c r="O37" s="8">
        <f>IFERROR(IF(P10="","",P10/O10),"")</f>
        <v/>
      </c>
      <c r="P37" s="8">
        <f>IFERROR(IF(Q10="","",Q10/P10),"")</f>
        <v/>
      </c>
      <c r="Q37" s="8">
        <f>IFERROR(IF(R10="","",R10/Q10),"")</f>
        <v/>
      </c>
      <c r="R37" s="8">
        <f>IFERROR(IF(S10="","",S10/R10),"")</f>
        <v/>
      </c>
      <c r="S37" s="8">
        <f>IFERROR(IF(T10="","",T10/S10),"")</f>
        <v/>
      </c>
      <c r="T37" s="8">
        <f>IFERROR(IF(U10="","",U10/T10),"")</f>
        <v/>
      </c>
      <c r="U37" s="8">
        <f>IFERROR(IF(V10="","",V10/U10),"")</f>
        <v/>
      </c>
      <c r="V37" s="8">
        <f>IFERROR(IF(W10="","",W10/V10),"")</f>
        <v/>
      </c>
      <c r="W37" s="8">
        <f>IFERROR(IF(X10="","",X10/W10),"")</f>
        <v/>
      </c>
      <c r="X37" s="8">
        <f>IFERROR(IF(Y10="","",Y10/X10),"")</f>
        <v/>
      </c>
    </row>
    <row r="38">
      <c r="A38" s="6" t="inlineStr">
        <is>
          <t>2009</t>
        </is>
      </c>
      <c r="B38" s="8">
        <f>IFERROR(IF(C11="","",C11/B11),"")</f>
        <v/>
      </c>
      <c r="C38" s="8">
        <f>IFERROR(IF(D11="","",D11/C11),"")</f>
        <v/>
      </c>
      <c r="D38" s="8">
        <f>IFERROR(IF(E11="","",E11/D11),"")</f>
        <v/>
      </c>
      <c r="E38" s="8">
        <f>IFERROR(IF(F11="","",F11/E11),"")</f>
        <v/>
      </c>
      <c r="F38" s="8">
        <f>IFERROR(IF(G11="","",G11/F11),"")</f>
        <v/>
      </c>
      <c r="G38" s="8">
        <f>IFERROR(IF(H11="","",H11/G11),"")</f>
        <v/>
      </c>
      <c r="H38" s="8">
        <f>IFERROR(IF(I11="","",I11/H11),"")</f>
        <v/>
      </c>
      <c r="I38" s="8">
        <f>IFERROR(IF(J11="","",J11/I11),"")</f>
        <v/>
      </c>
      <c r="J38" s="8">
        <f>IFERROR(IF(K11="","",K11/J11),"")</f>
        <v/>
      </c>
      <c r="K38" s="8">
        <f>IFERROR(IF(L11="","",L11/K11),"")</f>
        <v/>
      </c>
      <c r="L38" s="8">
        <f>IFERROR(IF(M11="","",M11/L11),"")</f>
        <v/>
      </c>
      <c r="M38" s="8">
        <f>IFERROR(IF(N11="","",N11/M11),"")</f>
        <v/>
      </c>
      <c r="N38" s="8">
        <f>IFERROR(IF(O11="","",O11/N11),"")</f>
        <v/>
      </c>
      <c r="O38" s="8">
        <f>IFERROR(IF(P11="","",P11/O11),"")</f>
        <v/>
      </c>
      <c r="P38" s="8">
        <f>IFERROR(IF(Q11="","",Q11/P11),"")</f>
        <v/>
      </c>
      <c r="Q38" s="8">
        <f>IFERROR(IF(R11="","",R11/Q11),"")</f>
        <v/>
      </c>
      <c r="R38" s="8">
        <f>IFERROR(IF(S11="","",S11/R11),"")</f>
        <v/>
      </c>
      <c r="S38" s="8">
        <f>IFERROR(IF(T11="","",T11/S11),"")</f>
        <v/>
      </c>
      <c r="T38" s="8">
        <f>IFERROR(IF(U11="","",U11/T11),"")</f>
        <v/>
      </c>
      <c r="U38" s="8">
        <f>IFERROR(IF(V11="","",V11/U11),"")</f>
        <v/>
      </c>
      <c r="V38" s="8">
        <f>IFERROR(IF(W11="","",W11/V11),"")</f>
        <v/>
      </c>
      <c r="W38" s="8">
        <f>IFERROR(IF(X11="","",X11/W11),"")</f>
        <v/>
      </c>
      <c r="X38" s="8">
        <f>IFERROR(IF(Y11="","",Y11/X11),"")</f>
        <v/>
      </c>
    </row>
    <row r="39">
      <c r="A39" s="6" t="inlineStr">
        <is>
          <t>2010</t>
        </is>
      </c>
      <c r="B39" s="8">
        <f>IFERROR(IF(C12="","",C12/B12),"")</f>
        <v/>
      </c>
      <c r="C39" s="8">
        <f>IFERROR(IF(D12="","",D12/C12),"")</f>
        <v/>
      </c>
      <c r="D39" s="8">
        <f>IFERROR(IF(E12="","",E12/D12),"")</f>
        <v/>
      </c>
      <c r="E39" s="8">
        <f>IFERROR(IF(F12="","",F12/E12),"")</f>
        <v/>
      </c>
      <c r="F39" s="8">
        <f>IFERROR(IF(G12="","",G12/F12),"")</f>
        <v/>
      </c>
      <c r="G39" s="8">
        <f>IFERROR(IF(H12="","",H12/G12),"")</f>
        <v/>
      </c>
      <c r="H39" s="8">
        <f>IFERROR(IF(I12="","",I12/H12),"")</f>
        <v/>
      </c>
      <c r="I39" s="8">
        <f>IFERROR(IF(J12="","",J12/I12),"")</f>
        <v/>
      </c>
      <c r="J39" s="8">
        <f>IFERROR(IF(K12="","",K12/J12),"")</f>
        <v/>
      </c>
      <c r="K39" s="8">
        <f>IFERROR(IF(L12="","",L12/K12),"")</f>
        <v/>
      </c>
      <c r="L39" s="8">
        <f>IFERROR(IF(M12="","",M12/L12),"")</f>
        <v/>
      </c>
      <c r="M39" s="8">
        <f>IFERROR(IF(N12="","",N12/M12),"")</f>
        <v/>
      </c>
      <c r="N39" s="8">
        <f>IFERROR(IF(O12="","",O12/N12),"")</f>
        <v/>
      </c>
      <c r="O39" s="8">
        <f>IFERROR(IF(P12="","",P12/O12),"")</f>
        <v/>
      </c>
      <c r="P39" s="8">
        <f>IFERROR(IF(Q12="","",Q12/P12),"")</f>
        <v/>
      </c>
      <c r="Q39" s="8">
        <f>IFERROR(IF(R12="","",R12/Q12),"")</f>
        <v/>
      </c>
      <c r="R39" s="8">
        <f>IFERROR(IF(S12="","",S12/R12),"")</f>
        <v/>
      </c>
      <c r="S39" s="8">
        <f>IFERROR(IF(T12="","",T12/S12),"")</f>
        <v/>
      </c>
      <c r="T39" s="8">
        <f>IFERROR(IF(U12="","",U12/T12),"")</f>
        <v/>
      </c>
      <c r="U39" s="8">
        <f>IFERROR(IF(V12="","",V12/U12),"")</f>
        <v/>
      </c>
      <c r="V39" s="8">
        <f>IFERROR(IF(W12="","",W12/V12),"")</f>
        <v/>
      </c>
      <c r="W39" s="8">
        <f>IFERROR(IF(X12="","",X12/W12),"")</f>
        <v/>
      </c>
      <c r="X39" s="8">
        <f>IFERROR(IF(Y12="","",Y12/X12),"")</f>
        <v/>
      </c>
    </row>
    <row r="40">
      <c r="A40" s="6" t="inlineStr">
        <is>
          <t>2011</t>
        </is>
      </c>
      <c r="B40" s="8">
        <f>IFERROR(IF(C13="","",C13/B13),"")</f>
        <v/>
      </c>
      <c r="C40" s="8">
        <f>IFERROR(IF(D13="","",D13/C13),"")</f>
        <v/>
      </c>
      <c r="D40" s="8">
        <f>IFERROR(IF(E13="","",E13/D13),"")</f>
        <v/>
      </c>
      <c r="E40" s="8">
        <f>IFERROR(IF(F13="","",F13/E13),"")</f>
        <v/>
      </c>
      <c r="F40" s="8">
        <f>IFERROR(IF(G13="","",G13/F13),"")</f>
        <v/>
      </c>
      <c r="G40" s="8">
        <f>IFERROR(IF(H13="","",H13/G13),"")</f>
        <v/>
      </c>
      <c r="H40" s="8">
        <f>IFERROR(IF(I13="","",I13/H13),"")</f>
        <v/>
      </c>
      <c r="I40" s="8">
        <f>IFERROR(IF(J13="","",J13/I13),"")</f>
        <v/>
      </c>
      <c r="J40" s="8">
        <f>IFERROR(IF(K13="","",K13/J13),"")</f>
        <v/>
      </c>
      <c r="K40" s="8">
        <f>IFERROR(IF(L13="","",L13/K13),"")</f>
        <v/>
      </c>
      <c r="L40" s="8">
        <f>IFERROR(IF(M13="","",M13/L13),"")</f>
        <v/>
      </c>
      <c r="M40" s="8">
        <f>IFERROR(IF(N13="","",N13/M13),"")</f>
        <v/>
      </c>
      <c r="N40" s="8">
        <f>IFERROR(IF(O13="","",O13/N13),"")</f>
        <v/>
      </c>
      <c r="O40" s="8">
        <f>IFERROR(IF(P13="","",P13/O13),"")</f>
        <v/>
      </c>
      <c r="P40" s="8">
        <f>IFERROR(IF(Q13="","",Q13/P13),"")</f>
        <v/>
      </c>
      <c r="Q40" s="8">
        <f>IFERROR(IF(R13="","",R13/Q13),"")</f>
        <v/>
      </c>
      <c r="R40" s="8">
        <f>IFERROR(IF(S13="","",S13/R13),"")</f>
        <v/>
      </c>
      <c r="S40" s="8">
        <f>IFERROR(IF(T13="","",T13/S13),"")</f>
        <v/>
      </c>
      <c r="T40" s="8">
        <f>IFERROR(IF(U13="","",U13/T13),"")</f>
        <v/>
      </c>
      <c r="U40" s="8">
        <f>IFERROR(IF(V13="","",V13/U13),"")</f>
        <v/>
      </c>
      <c r="V40" s="8">
        <f>IFERROR(IF(W13="","",W13/V13),"")</f>
        <v/>
      </c>
      <c r="W40" s="8">
        <f>IFERROR(IF(X13="","",X13/W13),"")</f>
        <v/>
      </c>
      <c r="X40" s="8">
        <f>IFERROR(IF(Y13="","",Y13/X13),"")</f>
        <v/>
      </c>
    </row>
    <row r="41">
      <c r="A41" s="6" t="inlineStr">
        <is>
          <t>2012</t>
        </is>
      </c>
      <c r="B41" s="8">
        <f>IFERROR(IF(C14="","",C14/B14),"")</f>
        <v/>
      </c>
      <c r="C41" s="8">
        <f>IFERROR(IF(D14="","",D14/C14),"")</f>
        <v/>
      </c>
      <c r="D41" s="8">
        <f>IFERROR(IF(E14="","",E14/D14),"")</f>
        <v/>
      </c>
      <c r="E41" s="8">
        <f>IFERROR(IF(F14="","",F14/E14),"")</f>
        <v/>
      </c>
      <c r="F41" s="8">
        <f>IFERROR(IF(G14="","",G14/F14),"")</f>
        <v/>
      </c>
      <c r="G41" s="8">
        <f>IFERROR(IF(H14="","",H14/G14),"")</f>
        <v/>
      </c>
      <c r="H41" s="8">
        <f>IFERROR(IF(I14="","",I14/H14),"")</f>
        <v/>
      </c>
      <c r="I41" s="8">
        <f>IFERROR(IF(J14="","",J14/I14),"")</f>
        <v/>
      </c>
      <c r="J41" s="8">
        <f>IFERROR(IF(K14="","",K14/J14),"")</f>
        <v/>
      </c>
      <c r="K41" s="8">
        <f>IFERROR(IF(L14="","",L14/K14),"")</f>
        <v/>
      </c>
      <c r="L41" s="8">
        <f>IFERROR(IF(M14="","",M14/L14),"")</f>
        <v/>
      </c>
      <c r="M41" s="8">
        <f>IFERROR(IF(N14="","",N14/M14),"")</f>
        <v/>
      </c>
      <c r="N41" s="8">
        <f>IFERROR(IF(O14="","",O14/N14),"")</f>
        <v/>
      </c>
      <c r="O41" s="8">
        <f>IFERROR(IF(P14="","",P14/O14),"")</f>
        <v/>
      </c>
      <c r="P41" s="8">
        <f>IFERROR(IF(Q14="","",Q14/P14),"")</f>
        <v/>
      </c>
      <c r="Q41" s="8">
        <f>IFERROR(IF(R14="","",R14/Q14),"")</f>
        <v/>
      </c>
      <c r="R41" s="8">
        <f>IFERROR(IF(S14="","",S14/R14),"")</f>
        <v/>
      </c>
      <c r="S41" s="8">
        <f>IFERROR(IF(T14="","",T14/S14),"")</f>
        <v/>
      </c>
      <c r="T41" s="8">
        <f>IFERROR(IF(U14="","",U14/T14),"")</f>
        <v/>
      </c>
      <c r="U41" s="8">
        <f>IFERROR(IF(V14="","",V14/U14),"")</f>
        <v/>
      </c>
      <c r="V41" s="8">
        <f>IFERROR(IF(W14="","",W14/V14),"")</f>
        <v/>
      </c>
      <c r="W41" s="8">
        <f>IFERROR(IF(X14="","",X14/W14),"")</f>
        <v/>
      </c>
      <c r="X41" s="8">
        <f>IFERROR(IF(Y14="","",Y14/X14),"")</f>
        <v/>
      </c>
    </row>
    <row r="42">
      <c r="A42" s="6" t="inlineStr">
        <is>
          <t>2013</t>
        </is>
      </c>
      <c r="B42" s="8">
        <f>IFERROR(IF(C15="","",C15/B15),"")</f>
        <v/>
      </c>
      <c r="C42" s="8">
        <f>IFERROR(IF(D15="","",D15/C15),"")</f>
        <v/>
      </c>
      <c r="D42" s="8">
        <f>IFERROR(IF(E15="","",E15/D15),"")</f>
        <v/>
      </c>
      <c r="E42" s="8">
        <f>IFERROR(IF(F15="","",F15/E15),"")</f>
        <v/>
      </c>
      <c r="F42" s="8">
        <f>IFERROR(IF(G15="","",G15/F15),"")</f>
        <v/>
      </c>
      <c r="G42" s="8">
        <f>IFERROR(IF(H15="","",H15/G15),"")</f>
        <v/>
      </c>
      <c r="H42" s="8">
        <f>IFERROR(IF(I15="","",I15/H15),"")</f>
        <v/>
      </c>
      <c r="I42" s="8">
        <f>IFERROR(IF(J15="","",J15/I15),"")</f>
        <v/>
      </c>
      <c r="J42" s="8">
        <f>IFERROR(IF(K15="","",K15/J15),"")</f>
        <v/>
      </c>
      <c r="K42" s="8">
        <f>IFERROR(IF(L15="","",L15/K15),"")</f>
        <v/>
      </c>
      <c r="L42" s="8">
        <f>IFERROR(IF(M15="","",M15/L15),"")</f>
        <v/>
      </c>
      <c r="M42" s="8">
        <f>IFERROR(IF(N15="","",N15/M15),"")</f>
        <v/>
      </c>
      <c r="N42" s="8">
        <f>IFERROR(IF(O15="","",O15/N15),"")</f>
        <v/>
      </c>
      <c r="O42" s="8">
        <f>IFERROR(IF(P15="","",P15/O15),"")</f>
        <v/>
      </c>
      <c r="P42" s="8">
        <f>IFERROR(IF(Q15="","",Q15/P15),"")</f>
        <v/>
      </c>
      <c r="Q42" s="8">
        <f>IFERROR(IF(R15="","",R15/Q15),"")</f>
        <v/>
      </c>
      <c r="R42" s="8">
        <f>IFERROR(IF(S15="","",S15/R15),"")</f>
        <v/>
      </c>
      <c r="S42" s="8">
        <f>IFERROR(IF(T15="","",T15/S15),"")</f>
        <v/>
      </c>
      <c r="T42" s="8">
        <f>IFERROR(IF(U15="","",U15/T15),"")</f>
        <v/>
      </c>
      <c r="U42" s="8">
        <f>IFERROR(IF(V15="","",V15/U15),"")</f>
        <v/>
      </c>
      <c r="V42" s="8">
        <f>IFERROR(IF(W15="","",W15/V15),"")</f>
        <v/>
      </c>
      <c r="W42" s="8">
        <f>IFERROR(IF(X15="","",X15/W15),"")</f>
        <v/>
      </c>
      <c r="X42" s="8">
        <f>IFERROR(IF(Y15="","",Y15/X15),"")</f>
        <v/>
      </c>
    </row>
    <row r="43">
      <c r="A43" s="6" t="inlineStr">
        <is>
          <t>2014</t>
        </is>
      </c>
      <c r="B43" s="8">
        <f>IFERROR(IF(C16="","",C16/B16),"")</f>
        <v/>
      </c>
      <c r="C43" s="8">
        <f>IFERROR(IF(D16="","",D16/C16),"")</f>
        <v/>
      </c>
      <c r="D43" s="8">
        <f>IFERROR(IF(E16="","",E16/D16),"")</f>
        <v/>
      </c>
      <c r="E43" s="8">
        <f>IFERROR(IF(F16="","",F16/E16),"")</f>
        <v/>
      </c>
      <c r="F43" s="8">
        <f>IFERROR(IF(G16="","",G16/F16),"")</f>
        <v/>
      </c>
      <c r="G43" s="8">
        <f>IFERROR(IF(H16="","",H16/G16),"")</f>
        <v/>
      </c>
      <c r="H43" s="8">
        <f>IFERROR(IF(I16="","",I16/H16),"")</f>
        <v/>
      </c>
      <c r="I43" s="8">
        <f>IFERROR(IF(J16="","",J16/I16),"")</f>
        <v/>
      </c>
      <c r="J43" s="8">
        <f>IFERROR(IF(K16="","",K16/J16),"")</f>
        <v/>
      </c>
      <c r="K43" s="8">
        <f>IFERROR(IF(L16="","",L16/K16),"")</f>
        <v/>
      </c>
      <c r="L43" s="8">
        <f>IFERROR(IF(M16="","",M16/L16),"")</f>
        <v/>
      </c>
      <c r="M43" s="8">
        <f>IFERROR(IF(N16="","",N16/M16),"")</f>
        <v/>
      </c>
      <c r="N43" s="8">
        <f>IFERROR(IF(O16="","",O16/N16),"")</f>
        <v/>
      </c>
      <c r="O43" s="8">
        <f>IFERROR(IF(P16="","",P16/O16),"")</f>
        <v/>
      </c>
      <c r="P43" s="8">
        <f>IFERROR(IF(Q16="","",Q16/P16),"")</f>
        <v/>
      </c>
      <c r="Q43" s="8">
        <f>IFERROR(IF(R16="","",R16/Q16),"")</f>
        <v/>
      </c>
      <c r="R43" s="8">
        <f>IFERROR(IF(S16="","",S16/R16),"")</f>
        <v/>
      </c>
      <c r="S43" s="8">
        <f>IFERROR(IF(T16="","",T16/S16),"")</f>
        <v/>
      </c>
      <c r="T43" s="8">
        <f>IFERROR(IF(U16="","",U16/T16),"")</f>
        <v/>
      </c>
      <c r="U43" s="8">
        <f>IFERROR(IF(V16="","",V16/U16),"")</f>
        <v/>
      </c>
      <c r="V43" s="8">
        <f>IFERROR(IF(W16="","",W16/V16),"")</f>
        <v/>
      </c>
      <c r="W43" s="8">
        <f>IFERROR(IF(X16="","",X16/W16),"")</f>
        <v/>
      </c>
      <c r="X43" s="8">
        <f>IFERROR(IF(Y16="","",Y16/X16),"")</f>
        <v/>
      </c>
    </row>
    <row r="44">
      <c r="A44" s="6" t="inlineStr">
        <is>
          <t>2015</t>
        </is>
      </c>
      <c r="B44" s="8">
        <f>IFERROR(IF(C17="","",C17/B17),"")</f>
        <v/>
      </c>
      <c r="C44" s="8">
        <f>IFERROR(IF(D17="","",D17/C17),"")</f>
        <v/>
      </c>
      <c r="D44" s="8">
        <f>IFERROR(IF(E17="","",E17/D17),"")</f>
        <v/>
      </c>
      <c r="E44" s="8">
        <f>IFERROR(IF(F17="","",F17/E17),"")</f>
        <v/>
      </c>
      <c r="F44" s="8">
        <f>IFERROR(IF(G17="","",G17/F17),"")</f>
        <v/>
      </c>
      <c r="G44" s="8">
        <f>IFERROR(IF(H17="","",H17/G17),"")</f>
        <v/>
      </c>
      <c r="H44" s="8">
        <f>IFERROR(IF(I17="","",I17/H17),"")</f>
        <v/>
      </c>
      <c r="I44" s="8">
        <f>IFERROR(IF(J17="","",J17/I17),"")</f>
        <v/>
      </c>
      <c r="J44" s="8">
        <f>IFERROR(IF(K17="","",K17/J17),"")</f>
        <v/>
      </c>
      <c r="K44" s="8">
        <f>IFERROR(IF(L17="","",L17/K17),"")</f>
        <v/>
      </c>
      <c r="L44" s="8">
        <f>IFERROR(IF(M17="","",M17/L17),"")</f>
        <v/>
      </c>
      <c r="M44" s="8">
        <f>IFERROR(IF(N17="","",N17/M17),"")</f>
        <v/>
      </c>
      <c r="N44" s="8">
        <f>IFERROR(IF(O17="","",O17/N17),"")</f>
        <v/>
      </c>
      <c r="O44" s="8">
        <f>IFERROR(IF(P17="","",P17/O17),"")</f>
        <v/>
      </c>
      <c r="P44" s="8">
        <f>IFERROR(IF(Q17="","",Q17/P17),"")</f>
        <v/>
      </c>
      <c r="Q44" s="8">
        <f>IFERROR(IF(R17="","",R17/Q17),"")</f>
        <v/>
      </c>
      <c r="R44" s="8">
        <f>IFERROR(IF(S17="","",S17/R17),"")</f>
        <v/>
      </c>
      <c r="S44" s="8">
        <f>IFERROR(IF(T17="","",T17/S17),"")</f>
        <v/>
      </c>
      <c r="T44" s="8">
        <f>IFERROR(IF(U17="","",U17/T17),"")</f>
        <v/>
      </c>
      <c r="U44" s="8">
        <f>IFERROR(IF(V17="","",V17/U17),"")</f>
        <v/>
      </c>
      <c r="V44" s="8">
        <f>IFERROR(IF(W17="","",W17/V17),"")</f>
        <v/>
      </c>
      <c r="W44" s="8">
        <f>IFERROR(IF(X17="","",X17/W17),"")</f>
        <v/>
      </c>
      <c r="X44" s="8">
        <f>IFERROR(IF(Y17="","",Y17/X17),"")</f>
        <v/>
      </c>
    </row>
    <row r="45">
      <c r="A45" s="6" t="inlineStr">
        <is>
          <t>2016</t>
        </is>
      </c>
      <c r="B45" s="8">
        <f>IFERROR(IF(C18="","",C18/B18),"")</f>
        <v/>
      </c>
      <c r="C45" s="8">
        <f>IFERROR(IF(D18="","",D18/C18),"")</f>
        <v/>
      </c>
      <c r="D45" s="8">
        <f>IFERROR(IF(E18="","",E18/D18),"")</f>
        <v/>
      </c>
      <c r="E45" s="8">
        <f>IFERROR(IF(F18="","",F18/E18),"")</f>
        <v/>
      </c>
      <c r="F45" s="8">
        <f>IFERROR(IF(G18="","",G18/F18),"")</f>
        <v/>
      </c>
      <c r="G45" s="8">
        <f>IFERROR(IF(H18="","",H18/G18),"")</f>
        <v/>
      </c>
      <c r="H45" s="8">
        <f>IFERROR(IF(I18="","",I18/H18),"")</f>
        <v/>
      </c>
      <c r="I45" s="8">
        <f>IFERROR(IF(J18="","",J18/I18),"")</f>
        <v/>
      </c>
      <c r="J45" s="8">
        <f>IFERROR(IF(K18="","",K18/J18),"")</f>
        <v/>
      </c>
      <c r="K45" s="8">
        <f>IFERROR(IF(L18="","",L18/K18),"")</f>
        <v/>
      </c>
      <c r="L45" s="8">
        <f>IFERROR(IF(M18="","",M18/L18),"")</f>
        <v/>
      </c>
      <c r="M45" s="8">
        <f>IFERROR(IF(N18="","",N18/M18),"")</f>
        <v/>
      </c>
      <c r="N45" s="8">
        <f>IFERROR(IF(O18="","",O18/N18),"")</f>
        <v/>
      </c>
      <c r="O45" s="8">
        <f>IFERROR(IF(P18="","",P18/O18),"")</f>
        <v/>
      </c>
      <c r="P45" s="8">
        <f>IFERROR(IF(Q18="","",Q18/P18),"")</f>
        <v/>
      </c>
      <c r="Q45" s="8">
        <f>IFERROR(IF(R18="","",R18/Q18),"")</f>
        <v/>
      </c>
      <c r="R45" s="8">
        <f>IFERROR(IF(S18="","",S18/R18),"")</f>
        <v/>
      </c>
      <c r="S45" s="8">
        <f>IFERROR(IF(T18="","",T18/S18),"")</f>
        <v/>
      </c>
      <c r="T45" s="8">
        <f>IFERROR(IF(U18="","",U18/T18),"")</f>
        <v/>
      </c>
      <c r="U45" s="8">
        <f>IFERROR(IF(V18="","",V18/U18),"")</f>
        <v/>
      </c>
      <c r="V45" s="8">
        <f>IFERROR(IF(W18="","",W18/V18),"")</f>
        <v/>
      </c>
      <c r="W45" s="8">
        <f>IFERROR(IF(X18="","",X18/W18),"")</f>
        <v/>
      </c>
      <c r="X45" s="8">
        <f>IFERROR(IF(Y18="","",Y18/X18),"")</f>
        <v/>
      </c>
    </row>
    <row r="46">
      <c r="A46" s="6" t="inlineStr">
        <is>
          <t>2017</t>
        </is>
      </c>
      <c r="B46" s="8">
        <f>IFERROR(IF(C19="","",C19/B19),"")</f>
        <v/>
      </c>
      <c r="C46" s="8">
        <f>IFERROR(IF(D19="","",D19/C19),"")</f>
        <v/>
      </c>
      <c r="D46" s="8">
        <f>IFERROR(IF(E19="","",E19/D19),"")</f>
        <v/>
      </c>
      <c r="E46" s="8">
        <f>IFERROR(IF(F19="","",F19/E19),"")</f>
        <v/>
      </c>
      <c r="F46" s="8">
        <f>IFERROR(IF(G19="","",G19/F19),"")</f>
        <v/>
      </c>
      <c r="G46" s="8">
        <f>IFERROR(IF(H19="","",H19/G19),"")</f>
        <v/>
      </c>
      <c r="H46" s="8">
        <f>IFERROR(IF(I19="","",I19/H19),"")</f>
        <v/>
      </c>
      <c r="I46" s="8">
        <f>IFERROR(IF(J19="","",J19/I19),"")</f>
        <v/>
      </c>
      <c r="J46" s="8">
        <f>IFERROR(IF(K19="","",K19/J19),"")</f>
        <v/>
      </c>
      <c r="K46" s="8">
        <f>IFERROR(IF(L19="","",L19/K19),"")</f>
        <v/>
      </c>
      <c r="L46" s="8">
        <f>IFERROR(IF(M19="","",M19/L19),"")</f>
        <v/>
      </c>
      <c r="M46" s="8">
        <f>IFERROR(IF(N19="","",N19/M19),"")</f>
        <v/>
      </c>
      <c r="N46" s="8">
        <f>IFERROR(IF(O19="","",O19/N19),"")</f>
        <v/>
      </c>
      <c r="O46" s="8">
        <f>IFERROR(IF(P19="","",P19/O19),"")</f>
        <v/>
      </c>
      <c r="P46" s="8">
        <f>IFERROR(IF(Q19="","",Q19/P19),"")</f>
        <v/>
      </c>
      <c r="Q46" s="8">
        <f>IFERROR(IF(R19="","",R19/Q19),"")</f>
        <v/>
      </c>
      <c r="R46" s="8">
        <f>IFERROR(IF(S19="","",S19/R19),"")</f>
        <v/>
      </c>
      <c r="S46" s="8">
        <f>IFERROR(IF(T19="","",T19/S19),"")</f>
        <v/>
      </c>
      <c r="T46" s="8">
        <f>IFERROR(IF(U19="","",U19/T19),"")</f>
        <v/>
      </c>
      <c r="U46" s="8">
        <f>IFERROR(IF(V19="","",V19/U19),"")</f>
        <v/>
      </c>
      <c r="V46" s="8">
        <f>IFERROR(IF(W19="","",W19/V19),"")</f>
        <v/>
      </c>
      <c r="W46" s="8">
        <f>IFERROR(IF(X19="","",X19/W19),"")</f>
        <v/>
      </c>
      <c r="X46" s="8">
        <f>IFERROR(IF(Y19="","",Y19/X19),"")</f>
        <v/>
      </c>
    </row>
    <row r="47">
      <c r="A47" s="6" t="inlineStr">
        <is>
          <t>2018</t>
        </is>
      </c>
      <c r="B47" s="8">
        <f>IFERROR(IF(C20="","",C20/B20),"")</f>
        <v/>
      </c>
      <c r="C47" s="8">
        <f>IFERROR(IF(D20="","",D20/C20),"")</f>
        <v/>
      </c>
      <c r="D47" s="8">
        <f>IFERROR(IF(E20="","",E20/D20),"")</f>
        <v/>
      </c>
      <c r="E47" s="8">
        <f>IFERROR(IF(F20="","",F20/E20),"")</f>
        <v/>
      </c>
      <c r="F47" s="8">
        <f>IFERROR(IF(G20="","",G20/F20),"")</f>
        <v/>
      </c>
      <c r="G47" s="8">
        <f>IFERROR(IF(H20="","",H20/G20),"")</f>
        <v/>
      </c>
      <c r="H47" s="8">
        <f>IFERROR(IF(I20="","",I20/H20),"")</f>
        <v/>
      </c>
      <c r="I47" s="8">
        <f>IFERROR(IF(J20="","",J20/I20),"")</f>
        <v/>
      </c>
      <c r="J47" s="8">
        <f>IFERROR(IF(K20="","",K20/J20),"")</f>
        <v/>
      </c>
      <c r="K47" s="8">
        <f>IFERROR(IF(L20="","",L20/K20),"")</f>
        <v/>
      </c>
      <c r="L47" s="8">
        <f>IFERROR(IF(M20="","",M20/L20),"")</f>
        <v/>
      </c>
      <c r="M47" s="8">
        <f>IFERROR(IF(N20="","",N20/M20),"")</f>
        <v/>
      </c>
      <c r="N47" s="8">
        <f>IFERROR(IF(O20="","",O20/N20),"")</f>
        <v/>
      </c>
      <c r="O47" s="8">
        <f>IFERROR(IF(P20="","",P20/O20),"")</f>
        <v/>
      </c>
      <c r="P47" s="8">
        <f>IFERROR(IF(Q20="","",Q20/P20),"")</f>
        <v/>
      </c>
      <c r="Q47" s="8">
        <f>IFERROR(IF(R20="","",R20/Q20),"")</f>
        <v/>
      </c>
      <c r="R47" s="8">
        <f>IFERROR(IF(S20="","",S20/R20),"")</f>
        <v/>
      </c>
      <c r="S47" s="8">
        <f>IFERROR(IF(T20="","",T20/S20),"")</f>
        <v/>
      </c>
      <c r="T47" s="8">
        <f>IFERROR(IF(U20="","",U20/T20),"")</f>
        <v/>
      </c>
      <c r="U47" s="8">
        <f>IFERROR(IF(V20="","",V20/U20),"")</f>
        <v/>
      </c>
      <c r="V47" s="8">
        <f>IFERROR(IF(W20="","",W20/V20),"")</f>
        <v/>
      </c>
      <c r="W47" s="8">
        <f>IFERROR(IF(X20="","",X20/W20),"")</f>
        <v/>
      </c>
      <c r="X47" s="8">
        <f>IFERROR(IF(Y20="","",Y20/X20),"")</f>
        <v/>
      </c>
    </row>
    <row r="48">
      <c r="A48" s="6" t="inlineStr">
        <is>
          <t>2019</t>
        </is>
      </c>
      <c r="B48" s="8">
        <f>IFERROR(IF(C21="","",C21/B21),"")</f>
        <v/>
      </c>
      <c r="C48" s="8">
        <f>IFERROR(IF(D21="","",D21/C21),"")</f>
        <v/>
      </c>
      <c r="D48" s="8">
        <f>IFERROR(IF(E21="","",E21/D21),"")</f>
        <v/>
      </c>
      <c r="E48" s="8">
        <f>IFERROR(IF(F21="","",F21/E21),"")</f>
        <v/>
      </c>
      <c r="F48" s="8">
        <f>IFERROR(IF(G21="","",G21/F21),"")</f>
        <v/>
      </c>
      <c r="G48" s="8">
        <f>IFERROR(IF(H21="","",H21/G21),"")</f>
        <v/>
      </c>
      <c r="H48" s="8">
        <f>IFERROR(IF(I21="","",I21/H21),"")</f>
        <v/>
      </c>
      <c r="I48" s="8">
        <f>IFERROR(IF(J21="","",J21/I21),"")</f>
        <v/>
      </c>
      <c r="J48" s="8">
        <f>IFERROR(IF(K21="","",K21/J21),"")</f>
        <v/>
      </c>
      <c r="K48" s="8">
        <f>IFERROR(IF(L21="","",L21/K21),"")</f>
        <v/>
      </c>
      <c r="L48" s="8">
        <f>IFERROR(IF(M21="","",M21/L21),"")</f>
        <v/>
      </c>
      <c r="M48" s="8">
        <f>IFERROR(IF(N21="","",N21/M21),"")</f>
        <v/>
      </c>
      <c r="N48" s="8">
        <f>IFERROR(IF(O21="","",O21/N21),"")</f>
        <v/>
      </c>
      <c r="O48" s="8">
        <f>IFERROR(IF(P21="","",P21/O21),"")</f>
        <v/>
      </c>
      <c r="P48" s="8">
        <f>IFERROR(IF(Q21="","",Q21/P21),"")</f>
        <v/>
      </c>
      <c r="Q48" s="8">
        <f>IFERROR(IF(R21="","",R21/Q21),"")</f>
        <v/>
      </c>
      <c r="R48" s="8">
        <f>IFERROR(IF(S21="","",S21/R21),"")</f>
        <v/>
      </c>
      <c r="S48" s="8">
        <f>IFERROR(IF(T21="","",T21/S21),"")</f>
        <v/>
      </c>
      <c r="T48" s="8">
        <f>IFERROR(IF(U21="","",U21/T21),"")</f>
        <v/>
      </c>
      <c r="U48" s="8">
        <f>IFERROR(IF(V21="","",V21/U21),"")</f>
        <v/>
      </c>
      <c r="V48" s="8">
        <f>IFERROR(IF(W21="","",W21/V21),"")</f>
        <v/>
      </c>
      <c r="W48" s="8">
        <f>IFERROR(IF(X21="","",X21/W21),"")</f>
        <v/>
      </c>
      <c r="X48" s="8">
        <f>IFERROR(IF(Y21="","",Y21/X21),"")</f>
        <v/>
      </c>
    </row>
    <row r="49">
      <c r="A49" s="6" t="inlineStr">
        <is>
          <t>2020</t>
        </is>
      </c>
      <c r="B49" s="8">
        <f>IFERROR(IF(C22="","",C22/B22),"")</f>
        <v/>
      </c>
      <c r="C49" s="8">
        <f>IFERROR(IF(D22="","",D22/C22),"")</f>
        <v/>
      </c>
      <c r="D49" s="8">
        <f>IFERROR(IF(E22="","",E22/D22),"")</f>
        <v/>
      </c>
      <c r="E49" s="8">
        <f>IFERROR(IF(F22="","",F22/E22),"")</f>
        <v/>
      </c>
      <c r="F49" s="8">
        <f>IFERROR(IF(G22="","",G22/F22),"")</f>
        <v/>
      </c>
      <c r="G49" s="8">
        <f>IFERROR(IF(H22="","",H22/G22),"")</f>
        <v/>
      </c>
      <c r="H49" s="8">
        <f>IFERROR(IF(I22="","",I22/H22),"")</f>
        <v/>
      </c>
      <c r="I49" s="8">
        <f>IFERROR(IF(J22="","",J22/I22),"")</f>
        <v/>
      </c>
      <c r="J49" s="8">
        <f>IFERROR(IF(K22="","",K22/J22),"")</f>
        <v/>
      </c>
      <c r="K49" s="8">
        <f>IFERROR(IF(L22="","",L22/K22),"")</f>
        <v/>
      </c>
      <c r="L49" s="8">
        <f>IFERROR(IF(M22="","",M22/L22),"")</f>
        <v/>
      </c>
      <c r="M49" s="8">
        <f>IFERROR(IF(N22="","",N22/M22),"")</f>
        <v/>
      </c>
      <c r="N49" s="8">
        <f>IFERROR(IF(O22="","",O22/N22),"")</f>
        <v/>
      </c>
      <c r="O49" s="8">
        <f>IFERROR(IF(P22="","",P22/O22),"")</f>
        <v/>
      </c>
      <c r="P49" s="8">
        <f>IFERROR(IF(Q22="","",Q22/P22),"")</f>
        <v/>
      </c>
      <c r="Q49" s="8">
        <f>IFERROR(IF(R22="","",R22/Q22),"")</f>
        <v/>
      </c>
      <c r="R49" s="8">
        <f>IFERROR(IF(S22="","",S22/R22),"")</f>
        <v/>
      </c>
      <c r="S49" s="8">
        <f>IFERROR(IF(T22="","",T22/S22),"")</f>
        <v/>
      </c>
      <c r="T49" s="8">
        <f>IFERROR(IF(U22="","",U22/T22),"")</f>
        <v/>
      </c>
      <c r="U49" s="8">
        <f>IFERROR(IF(V22="","",V22/U22),"")</f>
        <v/>
      </c>
      <c r="V49" s="8">
        <f>IFERROR(IF(W22="","",W22/V22),"")</f>
        <v/>
      </c>
      <c r="W49" s="8">
        <f>IFERROR(IF(X22="","",X22/W22),"")</f>
        <v/>
      </c>
      <c r="X49" s="8">
        <f>IFERROR(IF(Y22="","",Y22/X22),"")</f>
        <v/>
      </c>
    </row>
    <row r="50">
      <c r="A50" s="6" t="inlineStr">
        <is>
          <t>2021</t>
        </is>
      </c>
      <c r="B50" s="8">
        <f>IFERROR(IF(C23="","",C23/B23),"")</f>
        <v/>
      </c>
      <c r="C50" s="8">
        <f>IFERROR(IF(D23="","",D23/C23),"")</f>
        <v/>
      </c>
      <c r="D50" s="8">
        <f>IFERROR(IF(E23="","",E23/D23),"")</f>
        <v/>
      </c>
      <c r="E50" s="8">
        <f>IFERROR(IF(F23="","",F23/E23),"")</f>
        <v/>
      </c>
      <c r="F50" s="8">
        <f>IFERROR(IF(G23="","",G23/F23),"")</f>
        <v/>
      </c>
      <c r="G50" s="8">
        <f>IFERROR(IF(H23="","",H23/G23),"")</f>
        <v/>
      </c>
      <c r="H50" s="8">
        <f>IFERROR(IF(I23="","",I23/H23),"")</f>
        <v/>
      </c>
      <c r="I50" s="8">
        <f>IFERROR(IF(J23="","",J23/I23),"")</f>
        <v/>
      </c>
      <c r="J50" s="8">
        <f>IFERROR(IF(K23="","",K23/J23),"")</f>
        <v/>
      </c>
      <c r="K50" s="8">
        <f>IFERROR(IF(L23="","",L23/K23),"")</f>
        <v/>
      </c>
      <c r="L50" s="8">
        <f>IFERROR(IF(M23="","",M23/L23),"")</f>
        <v/>
      </c>
      <c r="M50" s="8">
        <f>IFERROR(IF(N23="","",N23/M23),"")</f>
        <v/>
      </c>
      <c r="N50" s="8">
        <f>IFERROR(IF(O23="","",O23/N23),"")</f>
        <v/>
      </c>
      <c r="O50" s="8">
        <f>IFERROR(IF(P23="","",P23/O23),"")</f>
        <v/>
      </c>
      <c r="P50" s="8">
        <f>IFERROR(IF(Q23="","",Q23/P23),"")</f>
        <v/>
      </c>
      <c r="Q50" s="8">
        <f>IFERROR(IF(R23="","",R23/Q23),"")</f>
        <v/>
      </c>
      <c r="R50" s="8">
        <f>IFERROR(IF(S23="","",S23/R23),"")</f>
        <v/>
      </c>
      <c r="S50" s="8">
        <f>IFERROR(IF(T23="","",T23/S23),"")</f>
        <v/>
      </c>
      <c r="T50" s="8">
        <f>IFERROR(IF(U23="","",U23/T23),"")</f>
        <v/>
      </c>
      <c r="U50" s="8">
        <f>IFERROR(IF(V23="","",V23/U23),"")</f>
        <v/>
      </c>
      <c r="V50" s="8">
        <f>IFERROR(IF(W23="","",W23/V23),"")</f>
        <v/>
      </c>
      <c r="W50" s="8">
        <f>IFERROR(IF(X23="","",X23/W23),"")</f>
        <v/>
      </c>
      <c r="X50" s="8">
        <f>IFERROR(IF(Y23="","",Y23/X23),"")</f>
        <v/>
      </c>
    </row>
    <row r="51">
      <c r="A51" s="6" t="inlineStr">
        <is>
          <t>2022</t>
        </is>
      </c>
      <c r="B51" s="8">
        <f>IFERROR(IF(C24="","",C24/B24),"")</f>
        <v/>
      </c>
      <c r="C51" s="8">
        <f>IFERROR(IF(D24="","",D24/C24),"")</f>
        <v/>
      </c>
      <c r="D51" s="8">
        <f>IFERROR(IF(E24="","",E24/D24),"")</f>
        <v/>
      </c>
      <c r="E51" s="8">
        <f>IFERROR(IF(F24="","",F24/E24),"")</f>
        <v/>
      </c>
      <c r="F51" s="8">
        <f>IFERROR(IF(G24="","",G24/F24),"")</f>
        <v/>
      </c>
      <c r="G51" s="8">
        <f>IFERROR(IF(H24="","",H24/G24),"")</f>
        <v/>
      </c>
      <c r="H51" s="8">
        <f>IFERROR(IF(I24="","",I24/H24),"")</f>
        <v/>
      </c>
      <c r="I51" s="8">
        <f>IFERROR(IF(J24="","",J24/I24),"")</f>
        <v/>
      </c>
      <c r="J51" s="8">
        <f>IFERROR(IF(K24="","",K24/J24),"")</f>
        <v/>
      </c>
      <c r="K51" s="8">
        <f>IFERROR(IF(L24="","",L24/K24),"")</f>
        <v/>
      </c>
      <c r="L51" s="8">
        <f>IFERROR(IF(M24="","",M24/L24),"")</f>
        <v/>
      </c>
      <c r="M51" s="8">
        <f>IFERROR(IF(N24="","",N24/M24),"")</f>
        <v/>
      </c>
      <c r="N51" s="8">
        <f>IFERROR(IF(O24="","",O24/N24),"")</f>
        <v/>
      </c>
      <c r="O51" s="8">
        <f>IFERROR(IF(P24="","",P24/O24),"")</f>
        <v/>
      </c>
      <c r="P51" s="8">
        <f>IFERROR(IF(Q24="","",Q24/P24),"")</f>
        <v/>
      </c>
      <c r="Q51" s="8">
        <f>IFERROR(IF(R24="","",R24/Q24),"")</f>
        <v/>
      </c>
      <c r="R51" s="8">
        <f>IFERROR(IF(S24="","",S24/R24),"")</f>
        <v/>
      </c>
      <c r="S51" s="8">
        <f>IFERROR(IF(T24="","",T24/S24),"")</f>
        <v/>
      </c>
      <c r="T51" s="8">
        <f>IFERROR(IF(U24="","",U24/T24),"")</f>
        <v/>
      </c>
      <c r="U51" s="8">
        <f>IFERROR(IF(V24="","",V24/U24),"")</f>
        <v/>
      </c>
      <c r="V51" s="8">
        <f>IFERROR(IF(W24="","",W24/V24),"")</f>
        <v/>
      </c>
      <c r="W51" s="8">
        <f>IFERROR(IF(X24="","",X24/W24),"")</f>
        <v/>
      </c>
      <c r="X51" s="8">
        <f>IFERROR(IF(Y24="","",Y24/X24),"")</f>
        <v/>
      </c>
    </row>
    <row r="52">
      <c r="A52" s="6" t="inlineStr">
        <is>
          <t>2023</t>
        </is>
      </c>
      <c r="B52" s="8">
        <f>IFERROR(IF(C25="","",C25/B25),"")</f>
        <v/>
      </c>
      <c r="C52" s="8">
        <f>IFERROR(IF(D25="","",D25/C25),"")</f>
        <v/>
      </c>
      <c r="D52" s="8">
        <f>IFERROR(IF(E25="","",E25/D25),"")</f>
        <v/>
      </c>
      <c r="E52" s="8">
        <f>IFERROR(IF(F25="","",F25/E25),"")</f>
        <v/>
      </c>
      <c r="F52" s="8">
        <f>IFERROR(IF(G25="","",G25/F25),"")</f>
        <v/>
      </c>
      <c r="G52" s="8">
        <f>IFERROR(IF(H25="","",H25/G25),"")</f>
        <v/>
      </c>
      <c r="H52" s="8">
        <f>IFERROR(IF(I25="","",I25/H25),"")</f>
        <v/>
      </c>
      <c r="I52" s="8">
        <f>IFERROR(IF(J25="","",J25/I25),"")</f>
        <v/>
      </c>
      <c r="J52" s="8">
        <f>IFERROR(IF(K25="","",K25/J25),"")</f>
        <v/>
      </c>
      <c r="K52" s="8">
        <f>IFERROR(IF(L25="","",L25/K25),"")</f>
        <v/>
      </c>
      <c r="L52" s="8">
        <f>IFERROR(IF(M25="","",M25/L25),"")</f>
        <v/>
      </c>
      <c r="M52" s="8">
        <f>IFERROR(IF(N25="","",N25/M25),"")</f>
        <v/>
      </c>
      <c r="N52" s="8">
        <f>IFERROR(IF(O25="","",O25/N25),"")</f>
        <v/>
      </c>
      <c r="O52" s="8">
        <f>IFERROR(IF(P25="","",P25/O25),"")</f>
        <v/>
      </c>
      <c r="P52" s="8">
        <f>IFERROR(IF(Q25="","",Q25/P25),"")</f>
        <v/>
      </c>
      <c r="Q52" s="8">
        <f>IFERROR(IF(R25="","",R25/Q25),"")</f>
        <v/>
      </c>
      <c r="R52" s="8">
        <f>IFERROR(IF(S25="","",S25/R25),"")</f>
        <v/>
      </c>
      <c r="S52" s="8">
        <f>IFERROR(IF(T25="","",T25/S25),"")</f>
        <v/>
      </c>
      <c r="T52" s="8">
        <f>IFERROR(IF(U25="","",U25/T25),"")</f>
        <v/>
      </c>
      <c r="U52" s="8">
        <f>IFERROR(IF(V25="","",V25/U25),"")</f>
        <v/>
      </c>
      <c r="V52" s="8">
        <f>IFERROR(IF(W25="","",W25/V25),"")</f>
        <v/>
      </c>
      <c r="W52" s="8">
        <f>IFERROR(IF(X25="","",X25/W25),"")</f>
        <v/>
      </c>
      <c r="X52" s="8">
        <f>IFERROR(IF(Y25="","",Y25/X25),"")</f>
        <v/>
      </c>
    </row>
    <row r="53">
      <c r="A53" s="6" t="inlineStr">
        <is>
          <t>2024</t>
        </is>
      </c>
      <c r="B53" s="8">
        <f>IFERROR(IF(C26="","",C26/B26),"")</f>
        <v/>
      </c>
      <c r="C53" s="8">
        <f>IFERROR(IF(D26="","",D26/C26),"")</f>
        <v/>
      </c>
      <c r="D53" s="8">
        <f>IFERROR(IF(E26="","",E26/D26),"")</f>
        <v/>
      </c>
      <c r="E53" s="8">
        <f>IFERROR(IF(F26="","",F26/E26),"")</f>
        <v/>
      </c>
      <c r="F53" s="8">
        <f>IFERROR(IF(G26="","",G26/F26),"")</f>
        <v/>
      </c>
      <c r="G53" s="8">
        <f>IFERROR(IF(H26="","",H26/G26),"")</f>
        <v/>
      </c>
      <c r="H53" s="8">
        <f>IFERROR(IF(I26="","",I26/H26),"")</f>
        <v/>
      </c>
      <c r="I53" s="8">
        <f>IFERROR(IF(J26="","",J26/I26),"")</f>
        <v/>
      </c>
      <c r="J53" s="8">
        <f>IFERROR(IF(K26="","",K26/J26),"")</f>
        <v/>
      </c>
      <c r="K53" s="8">
        <f>IFERROR(IF(L26="","",L26/K26),"")</f>
        <v/>
      </c>
      <c r="L53" s="8">
        <f>IFERROR(IF(M26="","",M26/L26),"")</f>
        <v/>
      </c>
      <c r="M53" s="8">
        <f>IFERROR(IF(N26="","",N26/M26),"")</f>
        <v/>
      </c>
      <c r="N53" s="8">
        <f>IFERROR(IF(O26="","",O26/N26),"")</f>
        <v/>
      </c>
      <c r="O53" s="8">
        <f>IFERROR(IF(P26="","",P26/O26),"")</f>
        <v/>
      </c>
      <c r="P53" s="8">
        <f>IFERROR(IF(Q26="","",Q26/P26),"")</f>
        <v/>
      </c>
      <c r="Q53" s="8">
        <f>IFERROR(IF(R26="","",R26/Q26),"")</f>
        <v/>
      </c>
      <c r="R53" s="8">
        <f>IFERROR(IF(S26="","",S26/R26),"")</f>
        <v/>
      </c>
      <c r="S53" s="8">
        <f>IFERROR(IF(T26="","",T26/S26),"")</f>
        <v/>
      </c>
      <c r="T53" s="8">
        <f>IFERROR(IF(U26="","",U26/T26),"")</f>
        <v/>
      </c>
      <c r="U53" s="8">
        <f>IFERROR(IF(V26="","",V26/U26),"")</f>
        <v/>
      </c>
      <c r="V53" s="8">
        <f>IFERROR(IF(W26="","",W26/V26),"")</f>
        <v/>
      </c>
      <c r="W53" s="8">
        <f>IFERROR(IF(X26="","",X26/W26),"")</f>
        <v/>
      </c>
      <c r="X53" s="8">
        <f>IFERROR(IF(Y26="","",Y26/X26),"")</f>
        <v/>
      </c>
    </row>
    <row r="55">
      <c r="A55" s="1" t="inlineStr">
        <is>
          <t>Averages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3" t="n"/>
    </row>
    <row r="56">
      <c r="A56" s="9" t="inlineStr">
        <is>
          <t>Metric</t>
        </is>
      </c>
      <c r="B56" s="5" t="inlineStr">
        <is>
          <t>11-23</t>
        </is>
      </c>
      <c r="C56" s="5" t="inlineStr">
        <is>
          <t>23-35</t>
        </is>
      </c>
      <c r="D56" s="5" t="inlineStr">
        <is>
          <t>35-47</t>
        </is>
      </c>
      <c r="E56" s="5" t="inlineStr">
        <is>
          <t>47-59</t>
        </is>
      </c>
      <c r="F56" s="5" t="inlineStr">
        <is>
          <t>59-71</t>
        </is>
      </c>
      <c r="G56" s="5" t="inlineStr">
        <is>
          <t>71-83</t>
        </is>
      </c>
      <c r="H56" s="5" t="inlineStr">
        <is>
          <t>83-95</t>
        </is>
      </c>
      <c r="I56" s="5" t="inlineStr">
        <is>
          <t>95-107</t>
        </is>
      </c>
      <c r="J56" s="5" t="inlineStr">
        <is>
          <t>107-119</t>
        </is>
      </c>
      <c r="K56" s="5" t="inlineStr">
        <is>
          <t>119-131</t>
        </is>
      </c>
      <c r="L56" s="5" t="inlineStr">
        <is>
          <t>131-143</t>
        </is>
      </c>
      <c r="M56" s="5" t="inlineStr">
        <is>
          <t>143-155</t>
        </is>
      </c>
      <c r="N56" s="5" t="inlineStr">
        <is>
          <t>155-167</t>
        </is>
      </c>
      <c r="O56" s="5" t="inlineStr">
        <is>
          <t>167-179</t>
        </is>
      </c>
      <c r="P56" s="5" t="inlineStr">
        <is>
          <t>179-191</t>
        </is>
      </c>
      <c r="Q56" s="5" t="inlineStr">
        <is>
          <t>191-203</t>
        </is>
      </c>
      <c r="R56" s="5" t="inlineStr">
        <is>
          <t>203-215</t>
        </is>
      </c>
      <c r="S56" s="5" t="inlineStr">
        <is>
          <t>215-227</t>
        </is>
      </c>
      <c r="T56" s="5" t="inlineStr">
        <is>
          <t>227-239</t>
        </is>
      </c>
      <c r="U56" s="5" t="inlineStr">
        <is>
          <t>239-251</t>
        </is>
      </c>
      <c r="V56" s="5" t="inlineStr">
        <is>
          <t>251-263</t>
        </is>
      </c>
      <c r="W56" s="5" t="inlineStr">
        <is>
          <t>263-275</t>
        </is>
      </c>
      <c r="X56" s="5" t="inlineStr">
        <is>
          <t>275-287</t>
        </is>
      </c>
      <c r="Y56" s="5" t="inlineStr">
        <is>
          <t>Tail</t>
        </is>
      </c>
    </row>
    <row r="57">
      <c r="A57" s="10" t="inlineStr">
        <is>
          <t>simple_all</t>
        </is>
      </c>
      <c r="B57" s="8">
        <f>IFERROR(AVERAGE(B30:B53),AVERAGE(B30:B53))</f>
        <v/>
      </c>
      <c r="C57" s="8">
        <f>IFERROR(AVERAGE(C30:C53),AVERAGE(C30:C53))</f>
        <v/>
      </c>
      <c r="D57" s="8">
        <f>IFERROR(AVERAGE(D30:D53),AVERAGE(D30:D53))</f>
        <v/>
      </c>
      <c r="E57" s="8">
        <f>IFERROR(AVERAGE(E30:E53),AVERAGE(E30:E53))</f>
        <v/>
      </c>
      <c r="F57" s="8">
        <f>IFERROR(AVERAGE(F30:F53),AVERAGE(F30:F53))</f>
        <v/>
      </c>
      <c r="G57" s="8">
        <f>IFERROR(AVERAGE(G30:G53),AVERAGE(G30:G53))</f>
        <v/>
      </c>
      <c r="H57" s="8">
        <f>IFERROR(AVERAGE(H30:H53),AVERAGE(H30:H53))</f>
        <v/>
      </c>
      <c r="I57" s="8">
        <f>IFERROR(AVERAGE(I30:I53),AVERAGE(I30:I53))</f>
        <v/>
      </c>
      <c r="J57" s="8">
        <f>IFERROR(AVERAGE(J30:J53),AVERAGE(J30:J53))</f>
        <v/>
      </c>
      <c r="K57" s="8">
        <f>IFERROR(AVERAGE(K30:K53),AVERAGE(K30:K53))</f>
        <v/>
      </c>
      <c r="L57" s="8">
        <f>IFERROR(AVERAGE(L30:L53),AVERAGE(L30:L53))</f>
        <v/>
      </c>
      <c r="M57" s="8">
        <f>IFERROR(AVERAGE(M30:M53),AVERAGE(M30:M53))</f>
        <v/>
      </c>
      <c r="N57" s="8">
        <f>IFERROR(AVERAGE(N30:N53),AVERAGE(N30:N53))</f>
        <v/>
      </c>
      <c r="O57" s="8">
        <f>IFERROR(AVERAGE(O30:O53),AVERAGE(O30:O53))</f>
        <v/>
      </c>
      <c r="P57" s="8">
        <f>IFERROR(AVERAGE(P30:P53),AVERAGE(P30:P53))</f>
        <v/>
      </c>
      <c r="Q57" s="8">
        <f>IFERROR(AVERAGE(Q30:Q53),AVERAGE(Q30:Q53))</f>
        <v/>
      </c>
      <c r="R57" s="8">
        <f>IFERROR(AVERAGE(R30:R53),AVERAGE(R30:R53))</f>
        <v/>
      </c>
      <c r="S57" s="8">
        <f>IFERROR(AVERAGE(S30:S53),AVERAGE(S30:S53))</f>
        <v/>
      </c>
      <c r="T57" s="8">
        <f>IFERROR(AVERAGE(T30:T53),AVERAGE(T30:T53))</f>
        <v/>
      </c>
      <c r="U57" s="8">
        <f>IFERROR(AVERAGE(U30:U53),AVERAGE(U30:U53))</f>
        <v/>
      </c>
      <c r="V57" s="8">
        <f>IFERROR(AVERAGE(V30:V53),AVERAGE(V30:V53))</f>
        <v/>
      </c>
      <c r="W57" s="8">
        <f>IFERROR(AVERAGE(W30:W53),AVERAGE(W30:W53))</f>
        <v/>
      </c>
      <c r="X57" s="8">
        <f>IFERROR(AVERAGE(X30:X53),AVERAGE(X30:X53))</f>
        <v/>
      </c>
      <c r="Y57" s="8" t="inlineStr"/>
    </row>
    <row r="58">
      <c r="A58" s="10" t="inlineStr">
        <is>
          <t>weighted_all</t>
        </is>
      </c>
      <c r="B58" s="8">
        <f>IFERROR(SUMPRODUCT(B30:B53,B3:B26)/SUMPRODUCT((B30:B53&lt;&gt;"")*B3:B26),SUMPRODUCT(B30:B53,B3:B26)/SUMPRODUCT((B30:B53&lt;&gt;"")*B3:B26))</f>
        <v/>
      </c>
      <c r="C58" s="8">
        <f>IFERROR(SUMPRODUCT(C30:C53,C3:C26)/SUMPRODUCT((C30:C53&lt;&gt;"")*C3:C26),SUMPRODUCT(C30:C53,C3:C26)/SUMPRODUCT((C30:C53&lt;&gt;"")*C3:C26))</f>
        <v/>
      </c>
      <c r="D58" s="8">
        <f>IFERROR(SUMPRODUCT(D30:D53,D3:D26)/SUMPRODUCT((D30:D53&lt;&gt;"")*D3:D26),SUMPRODUCT(D30:D53,D3:D26)/SUMPRODUCT((D30:D53&lt;&gt;"")*D3:D26))</f>
        <v/>
      </c>
      <c r="E58" s="8">
        <f>IFERROR(SUMPRODUCT(E30:E53,E3:E26)/SUMPRODUCT((E30:E53&lt;&gt;"")*E3:E26),SUMPRODUCT(E30:E53,E3:E26)/SUMPRODUCT((E30:E53&lt;&gt;"")*E3:E26))</f>
        <v/>
      </c>
      <c r="F58" s="8">
        <f>IFERROR(SUMPRODUCT(F30:F53,F3:F26)/SUMPRODUCT((F30:F53&lt;&gt;"")*F3:F26),SUMPRODUCT(F30:F53,F3:F26)/SUMPRODUCT((F30:F53&lt;&gt;"")*F3:F26))</f>
        <v/>
      </c>
      <c r="G58" s="8">
        <f>IFERROR(SUMPRODUCT(G30:G53,G3:G26)/SUMPRODUCT((G30:G53&lt;&gt;"")*G3:G26),SUMPRODUCT(G30:G53,G3:G26)/SUMPRODUCT((G30:G53&lt;&gt;"")*G3:G26))</f>
        <v/>
      </c>
      <c r="H58" s="8">
        <f>IFERROR(SUMPRODUCT(H30:H53,H3:H26)/SUMPRODUCT((H30:H53&lt;&gt;"")*H3:H26),SUMPRODUCT(H30:H53,H3:H26)/SUMPRODUCT((H30:H53&lt;&gt;"")*H3:H26))</f>
        <v/>
      </c>
      <c r="I58" s="8">
        <f>IFERROR(SUMPRODUCT(I30:I53,I3:I26)/SUMPRODUCT((I30:I53&lt;&gt;"")*I3:I26),SUMPRODUCT(I30:I53,I3:I26)/SUMPRODUCT((I30:I53&lt;&gt;"")*I3:I26))</f>
        <v/>
      </c>
      <c r="J58" s="8">
        <f>IFERROR(SUMPRODUCT(J30:J53,J3:J26)/SUMPRODUCT((J30:J53&lt;&gt;"")*J3:J26),SUMPRODUCT(J30:J53,J3:J26)/SUMPRODUCT((J30:J53&lt;&gt;"")*J3:J26))</f>
        <v/>
      </c>
      <c r="K58" s="8">
        <f>IFERROR(SUMPRODUCT(K30:K53,K3:K26)/SUMPRODUCT((K30:K53&lt;&gt;"")*K3:K26),SUMPRODUCT(K30:K53,K3:K26)/SUMPRODUCT((K30:K53&lt;&gt;"")*K3:K26))</f>
        <v/>
      </c>
      <c r="L58" s="8">
        <f>IFERROR(SUMPRODUCT(L30:L53,L3:L26)/SUMPRODUCT((L30:L53&lt;&gt;"")*L3:L26),SUMPRODUCT(L30:L53,L3:L26)/SUMPRODUCT((L30:L53&lt;&gt;"")*L3:L26))</f>
        <v/>
      </c>
      <c r="M58" s="8">
        <f>IFERROR(SUMPRODUCT(M30:M53,M3:M26)/SUMPRODUCT((M30:M53&lt;&gt;"")*M3:M26),SUMPRODUCT(M30:M53,M3:M26)/SUMPRODUCT((M30:M53&lt;&gt;"")*M3:M26))</f>
        <v/>
      </c>
      <c r="N58" s="8">
        <f>IFERROR(SUMPRODUCT(N30:N53,N3:N26)/SUMPRODUCT((N30:N53&lt;&gt;"")*N3:N26),SUMPRODUCT(N30:N53,N3:N26)/SUMPRODUCT((N30:N53&lt;&gt;"")*N3:N26))</f>
        <v/>
      </c>
      <c r="O58" s="8">
        <f>IFERROR(SUMPRODUCT(O30:O53,O3:O26)/SUMPRODUCT((O30:O53&lt;&gt;"")*O3:O26),SUMPRODUCT(O30:O53,O3:O26)/SUMPRODUCT((O30:O53&lt;&gt;"")*O3:O26))</f>
        <v/>
      </c>
      <c r="P58" s="8">
        <f>IFERROR(SUMPRODUCT(P30:P53,P3:P26)/SUMPRODUCT((P30:P53&lt;&gt;"")*P3:P26),SUMPRODUCT(P30:P53,P3:P26)/SUMPRODUCT((P30:P53&lt;&gt;"")*P3:P26))</f>
        <v/>
      </c>
      <c r="Q58" s="8">
        <f>IFERROR(SUMPRODUCT(Q30:Q53,Q3:Q26)/SUMPRODUCT((Q30:Q53&lt;&gt;"")*Q3:Q26),SUMPRODUCT(Q30:Q53,Q3:Q26)/SUMPRODUCT((Q30:Q53&lt;&gt;"")*Q3:Q26))</f>
        <v/>
      </c>
      <c r="R58" s="8">
        <f>IFERROR(SUMPRODUCT(R30:R53,R3:R26)/SUMPRODUCT((R30:R53&lt;&gt;"")*R3:R26),SUMPRODUCT(R30:R53,R3:R26)/SUMPRODUCT((R30:R53&lt;&gt;"")*R3:R26))</f>
        <v/>
      </c>
      <c r="S58" s="8">
        <f>IFERROR(SUMPRODUCT(S30:S53,S3:S26)/SUMPRODUCT((S30:S53&lt;&gt;"")*S3:S26),SUMPRODUCT(S30:S53,S3:S26)/SUMPRODUCT((S30:S53&lt;&gt;"")*S3:S26))</f>
        <v/>
      </c>
      <c r="T58" s="8">
        <f>IFERROR(SUMPRODUCT(T30:T53,T3:T26)/SUMPRODUCT((T30:T53&lt;&gt;"")*T3:T26),SUMPRODUCT(T30:T53,T3:T26)/SUMPRODUCT((T30:T53&lt;&gt;"")*T3:T26))</f>
        <v/>
      </c>
      <c r="U58" s="8">
        <f>IFERROR(SUMPRODUCT(U30:U53,U3:U26)/SUMPRODUCT((U30:U53&lt;&gt;"")*U3:U26),SUMPRODUCT(U30:U53,U3:U26)/SUMPRODUCT((U30:U53&lt;&gt;"")*U3:U26))</f>
        <v/>
      </c>
      <c r="V58" s="8">
        <f>IFERROR(SUMPRODUCT(V30:V53,V3:V26)/SUMPRODUCT((V30:V53&lt;&gt;"")*V3:V26),SUMPRODUCT(V30:V53,V3:V26)/SUMPRODUCT((V30:V53&lt;&gt;"")*V3:V26))</f>
        <v/>
      </c>
      <c r="W58" s="8">
        <f>IFERROR(SUMPRODUCT(W30:W53,W3:W26)/SUMPRODUCT((W30:W53&lt;&gt;"")*W3:W26),SUMPRODUCT(W30:W53,W3:W26)/SUMPRODUCT((W30:W53&lt;&gt;"")*W3:W26))</f>
        <v/>
      </c>
      <c r="X58" s="8">
        <f>IFERROR(SUMPRODUCT(X30:X53,X3:X26)/SUMPRODUCT((X30:X53&lt;&gt;"")*X3:X26),SUMPRODUCT(X30:X53,X3:X26)/SUMPRODUCT((X30:X53&lt;&gt;"")*X3:X26))</f>
        <v/>
      </c>
      <c r="Y58" s="8" t="inlineStr"/>
    </row>
    <row r="59">
      <c r="A59" s="10" t="inlineStr">
        <is>
          <t>exclude_high_low_all</t>
        </is>
      </c>
      <c r="B59" s="8">
        <f>IFERROR(TRIMMEAN(B30:B53,2/COUNT(B30:B53)),AVERAGE(B30:B53))</f>
        <v/>
      </c>
      <c r="C59" s="8">
        <f>IFERROR(TRIMMEAN(C30:C53,2/COUNT(C30:C53)),AVERAGE(C30:C53))</f>
        <v/>
      </c>
      <c r="D59" s="8">
        <f>IFERROR(TRIMMEAN(D30:D53,2/COUNT(D30:D53)),AVERAGE(D30:D53))</f>
        <v/>
      </c>
      <c r="E59" s="8">
        <f>IFERROR(TRIMMEAN(E30:E53,2/COUNT(E30:E53)),AVERAGE(E30:E53))</f>
        <v/>
      </c>
      <c r="F59" s="8">
        <f>IFERROR(TRIMMEAN(F30:F53,2/COUNT(F30:F53)),AVERAGE(F30:F53))</f>
        <v/>
      </c>
      <c r="G59" s="8">
        <f>IFERROR(TRIMMEAN(G30:G53,2/COUNT(G30:G53)),AVERAGE(G30:G53))</f>
        <v/>
      </c>
      <c r="H59" s="8">
        <f>IFERROR(TRIMMEAN(H30:H53,2/COUNT(H30:H53)),AVERAGE(H30:H53))</f>
        <v/>
      </c>
      <c r="I59" s="8">
        <f>IFERROR(TRIMMEAN(I30:I53,2/COUNT(I30:I53)),AVERAGE(I30:I53))</f>
        <v/>
      </c>
      <c r="J59" s="8">
        <f>IFERROR(TRIMMEAN(J30:J53,2/COUNT(J30:J53)),AVERAGE(J30:J53))</f>
        <v/>
      </c>
      <c r="K59" s="8">
        <f>IFERROR(TRIMMEAN(K30:K53,2/COUNT(K30:K53)),AVERAGE(K30:K53))</f>
        <v/>
      </c>
      <c r="L59" s="8">
        <f>IFERROR(TRIMMEAN(L30:L53,2/COUNT(L30:L53)),AVERAGE(L30:L53))</f>
        <v/>
      </c>
      <c r="M59" s="8">
        <f>IFERROR(TRIMMEAN(M30:M53,2/COUNT(M30:M53)),AVERAGE(M30:M53))</f>
        <v/>
      </c>
      <c r="N59" s="8">
        <f>IFERROR(TRIMMEAN(N30:N53,2/COUNT(N30:N53)),AVERAGE(N30:N53))</f>
        <v/>
      </c>
      <c r="O59" s="8">
        <f>IFERROR(TRIMMEAN(O30:O53,2/COUNT(O30:O53)),AVERAGE(O30:O53))</f>
        <v/>
      </c>
      <c r="P59" s="8">
        <f>IFERROR(TRIMMEAN(P30:P53,2/COUNT(P30:P53)),AVERAGE(P30:P53))</f>
        <v/>
      </c>
      <c r="Q59" s="8">
        <f>IFERROR(TRIMMEAN(Q30:Q53,2/COUNT(Q30:Q53)),AVERAGE(Q30:Q53))</f>
        <v/>
      </c>
      <c r="R59" s="8">
        <f>IFERROR(TRIMMEAN(R30:R53,2/COUNT(R30:R53)),AVERAGE(R30:R53))</f>
        <v/>
      </c>
      <c r="S59" s="8">
        <f>IFERROR(TRIMMEAN(S30:S53,2/COUNT(S30:S53)),AVERAGE(S30:S53))</f>
        <v/>
      </c>
      <c r="T59" s="8">
        <f>IFERROR(TRIMMEAN(T30:T53,2/COUNT(T30:T53)),AVERAGE(T30:T53))</f>
        <v/>
      </c>
      <c r="U59" s="8">
        <f>IFERROR(TRIMMEAN(U30:U53,2/COUNT(U30:U53)),AVERAGE(U30:U53))</f>
        <v/>
      </c>
      <c r="V59" s="8">
        <f>IFERROR(TRIMMEAN(V30:V53,2/COUNT(V30:V53)),AVERAGE(V30:V53))</f>
        <v/>
      </c>
      <c r="W59" s="8">
        <f>IFERROR(TRIMMEAN(W30:W53,2/COUNT(W30:W53)),AVERAGE(W30:W53))</f>
        <v/>
      </c>
      <c r="X59" s="8">
        <f>IFERROR(TRIMMEAN(X30:X53,2/COUNT(X30:X53)),AVERAGE(X30:X53))</f>
        <v/>
      </c>
      <c r="Y59" s="8" t="inlineStr"/>
    </row>
    <row r="60">
      <c r="A60" s="10" t="inlineStr">
        <is>
          <t>simple_3yr</t>
        </is>
      </c>
      <c r="B60" s="8">
        <f>IFERROR(AVERAGE(B51:B53),AVERAGE(B30:B53))</f>
        <v/>
      </c>
      <c r="C60" s="8">
        <f>IFERROR(AVERAGE(C51:C53),AVERAGE(C30:C53))</f>
        <v/>
      </c>
      <c r="D60" s="8">
        <f>IFERROR(AVERAGE(D51:D53),AVERAGE(D30:D53))</f>
        <v/>
      </c>
      <c r="E60" s="8">
        <f>IFERROR(AVERAGE(E51:E53),AVERAGE(E30:E53))</f>
        <v/>
      </c>
      <c r="F60" s="8">
        <f>IFERROR(AVERAGE(F51:F53),AVERAGE(F30:F53))</f>
        <v/>
      </c>
      <c r="G60" s="8">
        <f>IFERROR(AVERAGE(G51:G53),AVERAGE(G30:G53))</f>
        <v/>
      </c>
      <c r="H60" s="8">
        <f>IFERROR(AVERAGE(H51:H53),AVERAGE(H30:H53))</f>
        <v/>
      </c>
      <c r="I60" s="8">
        <f>IFERROR(AVERAGE(I51:I53),AVERAGE(I30:I53))</f>
        <v/>
      </c>
      <c r="J60" s="8">
        <f>IFERROR(AVERAGE(J51:J53),AVERAGE(J30:J53))</f>
        <v/>
      </c>
      <c r="K60" s="8">
        <f>IFERROR(AVERAGE(K51:K53),AVERAGE(K30:K53))</f>
        <v/>
      </c>
      <c r="L60" s="8">
        <f>IFERROR(AVERAGE(L51:L53),AVERAGE(L30:L53))</f>
        <v/>
      </c>
      <c r="M60" s="8">
        <f>IFERROR(AVERAGE(M51:M53),AVERAGE(M30:M53))</f>
        <v/>
      </c>
      <c r="N60" s="8">
        <f>IFERROR(AVERAGE(N51:N53),AVERAGE(N30:N53))</f>
        <v/>
      </c>
      <c r="O60" s="8">
        <f>IFERROR(AVERAGE(O51:O53),AVERAGE(O30:O53))</f>
        <v/>
      </c>
      <c r="P60" s="8">
        <f>IFERROR(AVERAGE(P51:P53),AVERAGE(P30:P53))</f>
        <v/>
      </c>
      <c r="Q60" s="8">
        <f>IFERROR(AVERAGE(Q51:Q53),AVERAGE(Q30:Q53))</f>
        <v/>
      </c>
      <c r="R60" s="8">
        <f>IFERROR(AVERAGE(R51:R53),AVERAGE(R30:R53))</f>
        <v/>
      </c>
      <c r="S60" s="8">
        <f>IFERROR(AVERAGE(S51:S53),AVERAGE(S30:S53))</f>
        <v/>
      </c>
      <c r="T60" s="8">
        <f>IFERROR(AVERAGE(T51:T53),AVERAGE(T30:T53))</f>
        <v/>
      </c>
      <c r="U60" s="8">
        <f>IFERROR(AVERAGE(U51:U53),AVERAGE(U30:U53))</f>
        <v/>
      </c>
      <c r="V60" s="8">
        <f>IFERROR(AVERAGE(V51:V53),AVERAGE(V30:V53))</f>
        <v/>
      </c>
      <c r="W60" s="8">
        <f>IFERROR(AVERAGE(W51:W53),AVERAGE(W30:W53))</f>
        <v/>
      </c>
      <c r="X60" s="8">
        <f>IFERROR(AVERAGE(X51:X53),AVERAGE(X30:X53))</f>
        <v/>
      </c>
      <c r="Y60" s="8" t="inlineStr"/>
    </row>
    <row r="61">
      <c r="A61" s="10" t="inlineStr">
        <is>
          <t>weighted_3yr</t>
        </is>
      </c>
      <c r="B61" s="8">
        <f>IFERROR(SUMPRODUCT(B51:B53,B24:B26)/SUMPRODUCT((B51:B53&lt;&gt;"")*B24:B26),SUMPRODUCT(B30:B53,B3:B26)/SUMPRODUCT((B30:B53&lt;&gt;"")*B3:B26))</f>
        <v/>
      </c>
      <c r="C61" s="8">
        <f>IFERROR(SUMPRODUCT(C51:C53,C24:C26)/SUMPRODUCT((C51:C53&lt;&gt;"")*C24:C26),SUMPRODUCT(C30:C53,C3:C26)/SUMPRODUCT((C30:C53&lt;&gt;"")*C3:C26))</f>
        <v/>
      </c>
      <c r="D61" s="8">
        <f>IFERROR(SUMPRODUCT(D51:D53,D24:D26)/SUMPRODUCT((D51:D53&lt;&gt;"")*D24:D26),SUMPRODUCT(D30:D53,D3:D26)/SUMPRODUCT((D30:D53&lt;&gt;"")*D3:D26))</f>
        <v/>
      </c>
      <c r="E61" s="8">
        <f>IFERROR(SUMPRODUCT(E51:E53,E24:E26)/SUMPRODUCT((E51:E53&lt;&gt;"")*E24:E26),SUMPRODUCT(E30:E53,E3:E26)/SUMPRODUCT((E30:E53&lt;&gt;"")*E3:E26))</f>
        <v/>
      </c>
      <c r="F61" s="8">
        <f>IFERROR(SUMPRODUCT(F51:F53,F24:F26)/SUMPRODUCT((F51:F53&lt;&gt;"")*F24:F26),SUMPRODUCT(F30:F53,F3:F26)/SUMPRODUCT((F30:F53&lt;&gt;"")*F3:F26))</f>
        <v/>
      </c>
      <c r="G61" s="8">
        <f>IFERROR(SUMPRODUCT(G51:G53,G24:G26)/SUMPRODUCT((G51:G53&lt;&gt;"")*G24:G26),SUMPRODUCT(G30:G53,G3:G26)/SUMPRODUCT((G30:G53&lt;&gt;"")*G3:G26))</f>
        <v/>
      </c>
      <c r="H61" s="8">
        <f>IFERROR(SUMPRODUCT(H51:H53,H24:H26)/SUMPRODUCT((H51:H53&lt;&gt;"")*H24:H26),SUMPRODUCT(H30:H53,H3:H26)/SUMPRODUCT((H30:H53&lt;&gt;"")*H3:H26))</f>
        <v/>
      </c>
      <c r="I61" s="8">
        <f>IFERROR(SUMPRODUCT(I51:I53,I24:I26)/SUMPRODUCT((I51:I53&lt;&gt;"")*I24:I26),SUMPRODUCT(I30:I53,I3:I26)/SUMPRODUCT((I30:I53&lt;&gt;"")*I3:I26))</f>
        <v/>
      </c>
      <c r="J61" s="8">
        <f>IFERROR(SUMPRODUCT(J51:J53,J24:J26)/SUMPRODUCT((J51:J53&lt;&gt;"")*J24:J26),SUMPRODUCT(J30:J53,J3:J26)/SUMPRODUCT((J30:J53&lt;&gt;"")*J3:J26))</f>
        <v/>
      </c>
      <c r="K61" s="8">
        <f>IFERROR(SUMPRODUCT(K51:K53,K24:K26)/SUMPRODUCT((K51:K53&lt;&gt;"")*K24:K26),SUMPRODUCT(K30:K53,K3:K26)/SUMPRODUCT((K30:K53&lt;&gt;"")*K3:K26))</f>
        <v/>
      </c>
      <c r="L61" s="8">
        <f>IFERROR(SUMPRODUCT(L51:L53,L24:L26)/SUMPRODUCT((L51:L53&lt;&gt;"")*L24:L26),SUMPRODUCT(L30:L53,L3:L26)/SUMPRODUCT((L30:L53&lt;&gt;"")*L3:L26))</f>
        <v/>
      </c>
      <c r="M61" s="8">
        <f>IFERROR(SUMPRODUCT(M51:M53,M24:M26)/SUMPRODUCT((M51:M53&lt;&gt;"")*M24:M26),SUMPRODUCT(M30:M53,M3:M26)/SUMPRODUCT((M30:M53&lt;&gt;"")*M3:M26))</f>
        <v/>
      </c>
      <c r="N61" s="8">
        <f>IFERROR(SUMPRODUCT(N51:N53,N24:N26)/SUMPRODUCT((N51:N53&lt;&gt;"")*N24:N26),SUMPRODUCT(N30:N53,N3:N26)/SUMPRODUCT((N30:N53&lt;&gt;"")*N3:N26))</f>
        <v/>
      </c>
      <c r="O61" s="8">
        <f>IFERROR(SUMPRODUCT(O51:O53,O24:O26)/SUMPRODUCT((O51:O53&lt;&gt;"")*O24:O26),SUMPRODUCT(O30:O53,O3:O26)/SUMPRODUCT((O30:O53&lt;&gt;"")*O3:O26))</f>
        <v/>
      </c>
      <c r="P61" s="8">
        <f>IFERROR(SUMPRODUCT(P51:P53,P24:P26)/SUMPRODUCT((P51:P53&lt;&gt;"")*P24:P26),SUMPRODUCT(P30:P53,P3:P26)/SUMPRODUCT((P30:P53&lt;&gt;"")*P3:P26))</f>
        <v/>
      </c>
      <c r="Q61" s="8">
        <f>IFERROR(SUMPRODUCT(Q51:Q53,Q24:Q26)/SUMPRODUCT((Q51:Q53&lt;&gt;"")*Q24:Q26),SUMPRODUCT(Q30:Q53,Q3:Q26)/SUMPRODUCT((Q30:Q53&lt;&gt;"")*Q3:Q26))</f>
        <v/>
      </c>
      <c r="R61" s="8">
        <f>IFERROR(SUMPRODUCT(R51:R53,R24:R26)/SUMPRODUCT((R51:R53&lt;&gt;"")*R24:R26),SUMPRODUCT(R30:R53,R3:R26)/SUMPRODUCT((R30:R53&lt;&gt;"")*R3:R26))</f>
        <v/>
      </c>
      <c r="S61" s="8">
        <f>IFERROR(SUMPRODUCT(S51:S53,S24:S26)/SUMPRODUCT((S51:S53&lt;&gt;"")*S24:S26),SUMPRODUCT(S30:S53,S3:S26)/SUMPRODUCT((S30:S53&lt;&gt;"")*S3:S26))</f>
        <v/>
      </c>
      <c r="T61" s="8">
        <f>IFERROR(SUMPRODUCT(T51:T53,T24:T26)/SUMPRODUCT((T51:T53&lt;&gt;"")*T24:T26),SUMPRODUCT(T30:T53,T3:T26)/SUMPRODUCT((T30:T53&lt;&gt;"")*T3:T26))</f>
        <v/>
      </c>
      <c r="U61" s="8">
        <f>IFERROR(SUMPRODUCT(U51:U53,U24:U26)/SUMPRODUCT((U51:U53&lt;&gt;"")*U24:U26),SUMPRODUCT(U30:U53,U3:U26)/SUMPRODUCT((U30:U53&lt;&gt;"")*U3:U26))</f>
        <v/>
      </c>
      <c r="V61" s="8">
        <f>IFERROR(SUMPRODUCT(V51:V53,V24:V26)/SUMPRODUCT((V51:V53&lt;&gt;"")*V24:V26),SUMPRODUCT(V30:V53,V3:V26)/SUMPRODUCT((V30:V53&lt;&gt;"")*V3:V26))</f>
        <v/>
      </c>
      <c r="W61" s="8">
        <f>IFERROR(SUMPRODUCT(W51:W53,W24:W26)/SUMPRODUCT((W51:W53&lt;&gt;"")*W24:W26),SUMPRODUCT(W30:W53,W3:W26)/SUMPRODUCT((W30:W53&lt;&gt;"")*W3:W26))</f>
        <v/>
      </c>
      <c r="X61" s="8">
        <f>IFERROR(SUMPRODUCT(X51:X53,X24:X26)/SUMPRODUCT((X51:X53&lt;&gt;"")*X24:X26),SUMPRODUCT(X30:X53,X3:X26)/SUMPRODUCT((X30:X53&lt;&gt;"")*X3:X26))</f>
        <v/>
      </c>
      <c r="Y61" s="8" t="inlineStr"/>
    </row>
    <row r="62">
      <c r="A62" s="10" t="inlineStr">
        <is>
          <t>exclude_high_low_3yr</t>
        </is>
      </c>
      <c r="B62" s="8">
        <f>IFERROR(TRIMMEAN(B51:B53,2/COUNT(B51:B53)),AVERAGE(B30:B53))</f>
        <v/>
      </c>
      <c r="C62" s="8">
        <f>IFERROR(TRIMMEAN(C51:C53,2/COUNT(C51:C53)),AVERAGE(C30:C53))</f>
        <v/>
      </c>
      <c r="D62" s="8">
        <f>IFERROR(TRIMMEAN(D51:D53,2/COUNT(D51:D53)),AVERAGE(D30:D53))</f>
        <v/>
      </c>
      <c r="E62" s="8">
        <f>IFERROR(TRIMMEAN(E51:E53,2/COUNT(E51:E53)),AVERAGE(E30:E53))</f>
        <v/>
      </c>
      <c r="F62" s="8">
        <f>IFERROR(TRIMMEAN(F51:F53,2/COUNT(F51:F53)),AVERAGE(F30:F53))</f>
        <v/>
      </c>
      <c r="G62" s="8">
        <f>IFERROR(TRIMMEAN(G51:G53,2/COUNT(G51:G53)),AVERAGE(G30:G53))</f>
        <v/>
      </c>
      <c r="H62" s="8">
        <f>IFERROR(TRIMMEAN(H51:H53,2/COUNT(H51:H53)),AVERAGE(H30:H53))</f>
        <v/>
      </c>
      <c r="I62" s="8">
        <f>IFERROR(TRIMMEAN(I51:I53,2/COUNT(I51:I53)),AVERAGE(I30:I53))</f>
        <v/>
      </c>
      <c r="J62" s="8">
        <f>IFERROR(TRIMMEAN(J51:J53,2/COUNT(J51:J53)),AVERAGE(J30:J53))</f>
        <v/>
      </c>
      <c r="K62" s="8">
        <f>IFERROR(TRIMMEAN(K51:K53,2/COUNT(K51:K53)),AVERAGE(K30:K53))</f>
        <v/>
      </c>
      <c r="L62" s="8">
        <f>IFERROR(TRIMMEAN(L51:L53,2/COUNT(L51:L53)),AVERAGE(L30:L53))</f>
        <v/>
      </c>
      <c r="M62" s="8">
        <f>IFERROR(TRIMMEAN(M51:M53,2/COUNT(M51:M53)),AVERAGE(M30:M53))</f>
        <v/>
      </c>
      <c r="N62" s="8">
        <f>IFERROR(TRIMMEAN(N51:N53,2/COUNT(N51:N53)),AVERAGE(N30:N53))</f>
        <v/>
      </c>
      <c r="O62" s="8">
        <f>IFERROR(TRIMMEAN(O51:O53,2/COUNT(O51:O53)),AVERAGE(O30:O53))</f>
        <v/>
      </c>
      <c r="P62" s="8">
        <f>IFERROR(TRIMMEAN(P51:P53,2/COUNT(P51:P53)),AVERAGE(P30:P53))</f>
        <v/>
      </c>
      <c r="Q62" s="8">
        <f>IFERROR(TRIMMEAN(Q51:Q53,2/COUNT(Q51:Q53)),AVERAGE(Q30:Q53))</f>
        <v/>
      </c>
      <c r="R62" s="8">
        <f>IFERROR(TRIMMEAN(R51:R53,2/COUNT(R51:R53)),AVERAGE(R30:R53))</f>
        <v/>
      </c>
      <c r="S62" s="8">
        <f>IFERROR(TRIMMEAN(S51:S53,2/COUNT(S51:S53)),AVERAGE(S30:S53))</f>
        <v/>
      </c>
      <c r="T62" s="8">
        <f>IFERROR(TRIMMEAN(T51:T53,2/COUNT(T51:T53)),AVERAGE(T30:T53))</f>
        <v/>
      </c>
      <c r="U62" s="8">
        <f>IFERROR(TRIMMEAN(U51:U53,2/COUNT(U51:U53)),AVERAGE(U30:U53))</f>
        <v/>
      </c>
      <c r="V62" s="8">
        <f>IFERROR(TRIMMEAN(V51:V53,2/COUNT(V51:V53)),AVERAGE(V30:V53))</f>
        <v/>
      </c>
      <c r="W62" s="8">
        <f>IFERROR(TRIMMEAN(W51:W53,2/COUNT(W51:W53)),AVERAGE(W30:W53))</f>
        <v/>
      </c>
      <c r="X62" s="8">
        <f>IFERROR(TRIMMEAN(X51:X53,2/COUNT(X51:X53)),AVERAGE(X30:X53))</f>
        <v/>
      </c>
      <c r="Y62" s="8" t="inlineStr"/>
    </row>
    <row r="63">
      <c r="A63" s="10" t="inlineStr">
        <is>
          <t>simple_5yr</t>
        </is>
      </c>
      <c r="B63" s="8">
        <f>IFERROR(AVERAGE(B49:B53),AVERAGE(B30:B53))</f>
        <v/>
      </c>
      <c r="C63" s="8">
        <f>IFERROR(AVERAGE(C49:C53),AVERAGE(C30:C53))</f>
        <v/>
      </c>
      <c r="D63" s="8">
        <f>IFERROR(AVERAGE(D49:D53),AVERAGE(D30:D53))</f>
        <v/>
      </c>
      <c r="E63" s="8">
        <f>IFERROR(AVERAGE(E49:E53),AVERAGE(E30:E53))</f>
        <v/>
      </c>
      <c r="F63" s="8">
        <f>IFERROR(AVERAGE(F49:F53),AVERAGE(F30:F53))</f>
        <v/>
      </c>
      <c r="G63" s="8">
        <f>IFERROR(AVERAGE(G49:G53),AVERAGE(G30:G53))</f>
        <v/>
      </c>
      <c r="H63" s="8">
        <f>IFERROR(AVERAGE(H49:H53),AVERAGE(H30:H53))</f>
        <v/>
      </c>
      <c r="I63" s="8">
        <f>IFERROR(AVERAGE(I49:I53),AVERAGE(I30:I53))</f>
        <v/>
      </c>
      <c r="J63" s="8">
        <f>IFERROR(AVERAGE(J49:J53),AVERAGE(J30:J53))</f>
        <v/>
      </c>
      <c r="K63" s="8">
        <f>IFERROR(AVERAGE(K49:K53),AVERAGE(K30:K53))</f>
        <v/>
      </c>
      <c r="L63" s="8">
        <f>IFERROR(AVERAGE(L49:L53),AVERAGE(L30:L53))</f>
        <v/>
      </c>
      <c r="M63" s="8">
        <f>IFERROR(AVERAGE(M49:M53),AVERAGE(M30:M53))</f>
        <v/>
      </c>
      <c r="N63" s="8">
        <f>IFERROR(AVERAGE(N49:N53),AVERAGE(N30:N53))</f>
        <v/>
      </c>
      <c r="O63" s="8">
        <f>IFERROR(AVERAGE(O49:O53),AVERAGE(O30:O53))</f>
        <v/>
      </c>
      <c r="P63" s="8">
        <f>IFERROR(AVERAGE(P49:P53),AVERAGE(P30:P53))</f>
        <v/>
      </c>
      <c r="Q63" s="8">
        <f>IFERROR(AVERAGE(Q49:Q53),AVERAGE(Q30:Q53))</f>
        <v/>
      </c>
      <c r="R63" s="8">
        <f>IFERROR(AVERAGE(R49:R53),AVERAGE(R30:R53))</f>
        <v/>
      </c>
      <c r="S63" s="8">
        <f>IFERROR(AVERAGE(S49:S53),AVERAGE(S30:S53))</f>
        <v/>
      </c>
      <c r="T63" s="8">
        <f>IFERROR(AVERAGE(T49:T53),AVERAGE(T30:T53))</f>
        <v/>
      </c>
      <c r="U63" s="8">
        <f>IFERROR(AVERAGE(U49:U53),AVERAGE(U30:U53))</f>
        <v/>
      </c>
      <c r="V63" s="8">
        <f>IFERROR(AVERAGE(V49:V53),AVERAGE(V30:V53))</f>
        <v/>
      </c>
      <c r="W63" s="8">
        <f>IFERROR(AVERAGE(W49:W53),AVERAGE(W30:W53))</f>
        <v/>
      </c>
      <c r="X63" s="8">
        <f>IFERROR(AVERAGE(X49:X53),AVERAGE(X30:X53))</f>
        <v/>
      </c>
      <c r="Y63" s="8" t="inlineStr"/>
    </row>
    <row r="64">
      <c r="A64" s="10" t="inlineStr">
        <is>
          <t>weighted_5yr</t>
        </is>
      </c>
      <c r="B64" s="8">
        <f>IFERROR(SUMPRODUCT(B49:B53,B22:B26)/SUMPRODUCT((B49:B53&lt;&gt;"")*B22:B26),SUMPRODUCT(B30:B53,B3:B26)/SUMPRODUCT((B30:B53&lt;&gt;"")*B3:B26))</f>
        <v/>
      </c>
      <c r="C64" s="8">
        <f>IFERROR(SUMPRODUCT(C49:C53,C22:C26)/SUMPRODUCT((C49:C53&lt;&gt;"")*C22:C26),SUMPRODUCT(C30:C53,C3:C26)/SUMPRODUCT((C30:C53&lt;&gt;"")*C3:C26))</f>
        <v/>
      </c>
      <c r="D64" s="8">
        <f>IFERROR(SUMPRODUCT(D49:D53,D22:D26)/SUMPRODUCT((D49:D53&lt;&gt;"")*D22:D26),SUMPRODUCT(D30:D53,D3:D26)/SUMPRODUCT((D30:D53&lt;&gt;"")*D3:D26))</f>
        <v/>
      </c>
      <c r="E64" s="8">
        <f>IFERROR(SUMPRODUCT(E49:E53,E22:E26)/SUMPRODUCT((E49:E53&lt;&gt;"")*E22:E26),SUMPRODUCT(E30:E53,E3:E26)/SUMPRODUCT((E30:E53&lt;&gt;"")*E3:E26))</f>
        <v/>
      </c>
      <c r="F64" s="8">
        <f>IFERROR(SUMPRODUCT(F49:F53,F22:F26)/SUMPRODUCT((F49:F53&lt;&gt;"")*F22:F26),SUMPRODUCT(F30:F53,F3:F26)/SUMPRODUCT((F30:F53&lt;&gt;"")*F3:F26))</f>
        <v/>
      </c>
      <c r="G64" s="8">
        <f>IFERROR(SUMPRODUCT(G49:G53,G22:G26)/SUMPRODUCT((G49:G53&lt;&gt;"")*G22:G26),SUMPRODUCT(G30:G53,G3:G26)/SUMPRODUCT((G30:G53&lt;&gt;"")*G3:G26))</f>
        <v/>
      </c>
      <c r="H64" s="8">
        <f>IFERROR(SUMPRODUCT(H49:H53,H22:H26)/SUMPRODUCT((H49:H53&lt;&gt;"")*H22:H26),SUMPRODUCT(H30:H53,H3:H26)/SUMPRODUCT((H30:H53&lt;&gt;"")*H3:H26))</f>
        <v/>
      </c>
      <c r="I64" s="8">
        <f>IFERROR(SUMPRODUCT(I49:I53,I22:I26)/SUMPRODUCT((I49:I53&lt;&gt;"")*I22:I26),SUMPRODUCT(I30:I53,I3:I26)/SUMPRODUCT((I30:I53&lt;&gt;"")*I3:I26))</f>
        <v/>
      </c>
      <c r="J64" s="8">
        <f>IFERROR(SUMPRODUCT(J49:J53,J22:J26)/SUMPRODUCT((J49:J53&lt;&gt;"")*J22:J26),SUMPRODUCT(J30:J53,J3:J26)/SUMPRODUCT((J30:J53&lt;&gt;"")*J3:J26))</f>
        <v/>
      </c>
      <c r="K64" s="8">
        <f>IFERROR(SUMPRODUCT(K49:K53,K22:K26)/SUMPRODUCT((K49:K53&lt;&gt;"")*K22:K26),SUMPRODUCT(K30:K53,K3:K26)/SUMPRODUCT((K30:K53&lt;&gt;"")*K3:K26))</f>
        <v/>
      </c>
      <c r="L64" s="8">
        <f>IFERROR(SUMPRODUCT(L49:L53,L22:L26)/SUMPRODUCT((L49:L53&lt;&gt;"")*L22:L26),SUMPRODUCT(L30:L53,L3:L26)/SUMPRODUCT((L30:L53&lt;&gt;"")*L3:L26))</f>
        <v/>
      </c>
      <c r="M64" s="8">
        <f>IFERROR(SUMPRODUCT(M49:M53,M22:M26)/SUMPRODUCT((M49:M53&lt;&gt;"")*M22:M26),SUMPRODUCT(M30:M53,M3:M26)/SUMPRODUCT((M30:M53&lt;&gt;"")*M3:M26))</f>
        <v/>
      </c>
      <c r="N64" s="8">
        <f>IFERROR(SUMPRODUCT(N49:N53,N22:N26)/SUMPRODUCT((N49:N53&lt;&gt;"")*N22:N26),SUMPRODUCT(N30:N53,N3:N26)/SUMPRODUCT((N30:N53&lt;&gt;"")*N3:N26))</f>
        <v/>
      </c>
      <c r="O64" s="8">
        <f>IFERROR(SUMPRODUCT(O49:O53,O22:O26)/SUMPRODUCT((O49:O53&lt;&gt;"")*O22:O26),SUMPRODUCT(O30:O53,O3:O26)/SUMPRODUCT((O30:O53&lt;&gt;"")*O3:O26))</f>
        <v/>
      </c>
      <c r="P64" s="8">
        <f>IFERROR(SUMPRODUCT(P49:P53,P22:P26)/SUMPRODUCT((P49:P53&lt;&gt;"")*P22:P26),SUMPRODUCT(P30:P53,P3:P26)/SUMPRODUCT((P30:P53&lt;&gt;"")*P3:P26))</f>
        <v/>
      </c>
      <c r="Q64" s="8">
        <f>IFERROR(SUMPRODUCT(Q49:Q53,Q22:Q26)/SUMPRODUCT((Q49:Q53&lt;&gt;"")*Q22:Q26),SUMPRODUCT(Q30:Q53,Q3:Q26)/SUMPRODUCT((Q30:Q53&lt;&gt;"")*Q3:Q26))</f>
        <v/>
      </c>
      <c r="R64" s="8">
        <f>IFERROR(SUMPRODUCT(R49:R53,R22:R26)/SUMPRODUCT((R49:R53&lt;&gt;"")*R22:R26),SUMPRODUCT(R30:R53,R3:R26)/SUMPRODUCT((R30:R53&lt;&gt;"")*R3:R26))</f>
        <v/>
      </c>
      <c r="S64" s="8">
        <f>IFERROR(SUMPRODUCT(S49:S53,S22:S26)/SUMPRODUCT((S49:S53&lt;&gt;"")*S22:S26),SUMPRODUCT(S30:S53,S3:S26)/SUMPRODUCT((S30:S53&lt;&gt;"")*S3:S26))</f>
        <v/>
      </c>
      <c r="T64" s="8">
        <f>IFERROR(SUMPRODUCT(T49:T53,T22:T26)/SUMPRODUCT((T49:T53&lt;&gt;"")*T22:T26),SUMPRODUCT(T30:T53,T3:T26)/SUMPRODUCT((T30:T53&lt;&gt;"")*T3:T26))</f>
        <v/>
      </c>
      <c r="U64" s="8">
        <f>IFERROR(SUMPRODUCT(U49:U53,U22:U26)/SUMPRODUCT((U49:U53&lt;&gt;"")*U22:U26),SUMPRODUCT(U30:U53,U3:U26)/SUMPRODUCT((U30:U53&lt;&gt;"")*U3:U26))</f>
        <v/>
      </c>
      <c r="V64" s="8">
        <f>IFERROR(SUMPRODUCT(V49:V53,V22:V26)/SUMPRODUCT((V49:V53&lt;&gt;"")*V22:V26),SUMPRODUCT(V30:V53,V3:V26)/SUMPRODUCT((V30:V53&lt;&gt;"")*V3:V26))</f>
        <v/>
      </c>
      <c r="W64" s="8">
        <f>IFERROR(SUMPRODUCT(W49:W53,W22:W26)/SUMPRODUCT((W49:W53&lt;&gt;"")*W22:W26),SUMPRODUCT(W30:W53,W3:W26)/SUMPRODUCT((W30:W53&lt;&gt;"")*W3:W26))</f>
        <v/>
      </c>
      <c r="X64" s="8">
        <f>IFERROR(SUMPRODUCT(X49:X53,X22:X26)/SUMPRODUCT((X49:X53&lt;&gt;"")*X22:X26),SUMPRODUCT(X30:X53,X3:X26)/SUMPRODUCT((X30:X53&lt;&gt;"")*X3:X26))</f>
        <v/>
      </c>
      <c r="Y64" s="8" t="inlineStr"/>
    </row>
    <row r="65">
      <c r="A65" s="10" t="inlineStr">
        <is>
          <t>exclude_high_low_5yr</t>
        </is>
      </c>
      <c r="B65" s="8">
        <f>IFERROR(TRIMMEAN(B49:B53,2/COUNT(B49:B53)),AVERAGE(B30:B53))</f>
        <v/>
      </c>
      <c r="C65" s="8">
        <f>IFERROR(TRIMMEAN(C49:C53,2/COUNT(C49:C53)),AVERAGE(C30:C53))</f>
        <v/>
      </c>
      <c r="D65" s="8">
        <f>IFERROR(TRIMMEAN(D49:D53,2/COUNT(D49:D53)),AVERAGE(D30:D53))</f>
        <v/>
      </c>
      <c r="E65" s="8">
        <f>IFERROR(TRIMMEAN(E49:E53,2/COUNT(E49:E53)),AVERAGE(E30:E53))</f>
        <v/>
      </c>
      <c r="F65" s="8">
        <f>IFERROR(TRIMMEAN(F49:F53,2/COUNT(F49:F53)),AVERAGE(F30:F53))</f>
        <v/>
      </c>
      <c r="G65" s="8">
        <f>IFERROR(TRIMMEAN(G49:G53,2/COUNT(G49:G53)),AVERAGE(G30:G53))</f>
        <v/>
      </c>
      <c r="H65" s="8">
        <f>IFERROR(TRIMMEAN(H49:H53,2/COUNT(H49:H53)),AVERAGE(H30:H53))</f>
        <v/>
      </c>
      <c r="I65" s="8">
        <f>IFERROR(TRIMMEAN(I49:I53,2/COUNT(I49:I53)),AVERAGE(I30:I53))</f>
        <v/>
      </c>
      <c r="J65" s="8">
        <f>IFERROR(TRIMMEAN(J49:J53,2/COUNT(J49:J53)),AVERAGE(J30:J53))</f>
        <v/>
      </c>
      <c r="K65" s="8">
        <f>IFERROR(TRIMMEAN(K49:K53,2/COUNT(K49:K53)),AVERAGE(K30:K53))</f>
        <v/>
      </c>
      <c r="L65" s="8">
        <f>IFERROR(TRIMMEAN(L49:L53,2/COUNT(L49:L53)),AVERAGE(L30:L53))</f>
        <v/>
      </c>
      <c r="M65" s="8">
        <f>IFERROR(TRIMMEAN(M49:M53,2/COUNT(M49:M53)),AVERAGE(M30:M53))</f>
        <v/>
      </c>
      <c r="N65" s="8">
        <f>IFERROR(TRIMMEAN(N49:N53,2/COUNT(N49:N53)),AVERAGE(N30:N53))</f>
        <v/>
      </c>
      <c r="O65" s="8">
        <f>IFERROR(TRIMMEAN(O49:O53,2/COUNT(O49:O53)),AVERAGE(O30:O53))</f>
        <v/>
      </c>
      <c r="P65" s="8">
        <f>IFERROR(TRIMMEAN(P49:P53,2/COUNT(P49:P53)),AVERAGE(P30:P53))</f>
        <v/>
      </c>
      <c r="Q65" s="8">
        <f>IFERROR(TRIMMEAN(Q49:Q53,2/COUNT(Q49:Q53)),AVERAGE(Q30:Q53))</f>
        <v/>
      </c>
      <c r="R65" s="8">
        <f>IFERROR(TRIMMEAN(R49:R53,2/COUNT(R49:R53)),AVERAGE(R30:R53))</f>
        <v/>
      </c>
      <c r="S65" s="8">
        <f>IFERROR(TRIMMEAN(S49:S53,2/COUNT(S49:S53)),AVERAGE(S30:S53))</f>
        <v/>
      </c>
      <c r="T65" s="8">
        <f>IFERROR(TRIMMEAN(T49:T53,2/COUNT(T49:T53)),AVERAGE(T30:T53))</f>
        <v/>
      </c>
      <c r="U65" s="8">
        <f>IFERROR(TRIMMEAN(U49:U53,2/COUNT(U49:U53)),AVERAGE(U30:U53))</f>
        <v/>
      </c>
      <c r="V65" s="8">
        <f>IFERROR(TRIMMEAN(V49:V53,2/COUNT(V49:V53)),AVERAGE(V30:V53))</f>
        <v/>
      </c>
      <c r="W65" s="8">
        <f>IFERROR(TRIMMEAN(W49:W53,2/COUNT(W49:W53)),AVERAGE(W30:W53))</f>
        <v/>
      </c>
      <c r="X65" s="8">
        <f>IFERROR(TRIMMEAN(X49:X53,2/COUNT(X49:X53)),AVERAGE(X30:X53))</f>
        <v/>
      </c>
      <c r="Y65" s="8" t="inlineStr"/>
    </row>
    <row r="66">
      <c r="A66" s="10" t="inlineStr">
        <is>
          <t>simple_10yr</t>
        </is>
      </c>
      <c r="B66" s="8">
        <f>IFERROR(AVERAGE(B44:B53),AVERAGE(B30:B53))</f>
        <v/>
      </c>
      <c r="C66" s="8">
        <f>IFERROR(AVERAGE(C44:C53),AVERAGE(C30:C53))</f>
        <v/>
      </c>
      <c r="D66" s="8">
        <f>IFERROR(AVERAGE(D44:D53),AVERAGE(D30:D53))</f>
        <v/>
      </c>
      <c r="E66" s="8">
        <f>IFERROR(AVERAGE(E44:E53),AVERAGE(E30:E53))</f>
        <v/>
      </c>
      <c r="F66" s="8">
        <f>IFERROR(AVERAGE(F44:F53),AVERAGE(F30:F53))</f>
        <v/>
      </c>
      <c r="G66" s="8">
        <f>IFERROR(AVERAGE(G44:G53),AVERAGE(G30:G53))</f>
        <v/>
      </c>
      <c r="H66" s="8">
        <f>IFERROR(AVERAGE(H44:H53),AVERAGE(H30:H53))</f>
        <v/>
      </c>
      <c r="I66" s="8">
        <f>IFERROR(AVERAGE(I44:I53),AVERAGE(I30:I53))</f>
        <v/>
      </c>
      <c r="J66" s="8">
        <f>IFERROR(AVERAGE(J44:J53),AVERAGE(J30:J53))</f>
        <v/>
      </c>
      <c r="K66" s="8">
        <f>IFERROR(AVERAGE(K44:K53),AVERAGE(K30:K53))</f>
        <v/>
      </c>
      <c r="L66" s="8">
        <f>IFERROR(AVERAGE(L44:L53),AVERAGE(L30:L53))</f>
        <v/>
      </c>
      <c r="M66" s="8">
        <f>IFERROR(AVERAGE(M44:M53),AVERAGE(M30:M53))</f>
        <v/>
      </c>
      <c r="N66" s="8">
        <f>IFERROR(AVERAGE(N44:N53),AVERAGE(N30:N53))</f>
        <v/>
      </c>
      <c r="O66" s="8">
        <f>IFERROR(AVERAGE(O44:O53),AVERAGE(O30:O53))</f>
        <v/>
      </c>
      <c r="P66" s="8">
        <f>IFERROR(AVERAGE(P44:P53),AVERAGE(P30:P53))</f>
        <v/>
      </c>
      <c r="Q66" s="8">
        <f>IFERROR(AVERAGE(Q44:Q53),AVERAGE(Q30:Q53))</f>
        <v/>
      </c>
      <c r="R66" s="8">
        <f>IFERROR(AVERAGE(R44:R53),AVERAGE(R30:R53))</f>
        <v/>
      </c>
      <c r="S66" s="8">
        <f>IFERROR(AVERAGE(S44:S53),AVERAGE(S30:S53))</f>
        <v/>
      </c>
      <c r="T66" s="8">
        <f>IFERROR(AVERAGE(T44:T53),AVERAGE(T30:T53))</f>
        <v/>
      </c>
      <c r="U66" s="8">
        <f>IFERROR(AVERAGE(U44:U53),AVERAGE(U30:U53))</f>
        <v/>
      </c>
      <c r="V66" s="8">
        <f>IFERROR(AVERAGE(V44:V53),AVERAGE(V30:V53))</f>
        <v/>
      </c>
      <c r="W66" s="8">
        <f>IFERROR(AVERAGE(W44:W53),AVERAGE(W30:W53))</f>
        <v/>
      </c>
      <c r="X66" s="8">
        <f>IFERROR(AVERAGE(X44:X53),AVERAGE(X30:X53))</f>
        <v/>
      </c>
      <c r="Y66" s="8" t="inlineStr"/>
    </row>
    <row r="67">
      <c r="A67" s="10" t="inlineStr">
        <is>
          <t>weighted_10yr</t>
        </is>
      </c>
      <c r="B67" s="8">
        <f>IFERROR(SUMPRODUCT(B44:B53,B17:B26)/SUMPRODUCT((B44:B53&lt;&gt;"")*B17:B26),SUMPRODUCT(B30:B53,B3:B26)/SUMPRODUCT((B30:B53&lt;&gt;"")*B3:B26))</f>
        <v/>
      </c>
      <c r="C67" s="8">
        <f>IFERROR(SUMPRODUCT(C44:C53,C17:C26)/SUMPRODUCT((C44:C53&lt;&gt;"")*C17:C26),SUMPRODUCT(C30:C53,C3:C26)/SUMPRODUCT((C30:C53&lt;&gt;"")*C3:C26))</f>
        <v/>
      </c>
      <c r="D67" s="8">
        <f>IFERROR(SUMPRODUCT(D44:D53,D17:D26)/SUMPRODUCT((D44:D53&lt;&gt;"")*D17:D26),SUMPRODUCT(D30:D53,D3:D26)/SUMPRODUCT((D30:D53&lt;&gt;"")*D3:D26))</f>
        <v/>
      </c>
      <c r="E67" s="8">
        <f>IFERROR(SUMPRODUCT(E44:E53,E17:E26)/SUMPRODUCT((E44:E53&lt;&gt;"")*E17:E26),SUMPRODUCT(E30:E53,E3:E26)/SUMPRODUCT((E30:E53&lt;&gt;"")*E3:E26))</f>
        <v/>
      </c>
      <c r="F67" s="8">
        <f>IFERROR(SUMPRODUCT(F44:F53,F17:F26)/SUMPRODUCT((F44:F53&lt;&gt;"")*F17:F26),SUMPRODUCT(F30:F53,F3:F26)/SUMPRODUCT((F30:F53&lt;&gt;"")*F3:F26))</f>
        <v/>
      </c>
      <c r="G67" s="8">
        <f>IFERROR(SUMPRODUCT(G44:G53,G17:G26)/SUMPRODUCT((G44:G53&lt;&gt;"")*G17:G26),SUMPRODUCT(G30:G53,G3:G26)/SUMPRODUCT((G30:G53&lt;&gt;"")*G3:G26))</f>
        <v/>
      </c>
      <c r="H67" s="8">
        <f>IFERROR(SUMPRODUCT(H44:H53,H17:H26)/SUMPRODUCT((H44:H53&lt;&gt;"")*H17:H26),SUMPRODUCT(H30:H53,H3:H26)/SUMPRODUCT((H30:H53&lt;&gt;"")*H3:H26))</f>
        <v/>
      </c>
      <c r="I67" s="8">
        <f>IFERROR(SUMPRODUCT(I44:I53,I17:I26)/SUMPRODUCT((I44:I53&lt;&gt;"")*I17:I26),SUMPRODUCT(I30:I53,I3:I26)/SUMPRODUCT((I30:I53&lt;&gt;"")*I3:I26))</f>
        <v/>
      </c>
      <c r="J67" s="8">
        <f>IFERROR(SUMPRODUCT(J44:J53,J17:J26)/SUMPRODUCT((J44:J53&lt;&gt;"")*J17:J26),SUMPRODUCT(J30:J53,J3:J26)/SUMPRODUCT((J30:J53&lt;&gt;"")*J3:J26))</f>
        <v/>
      </c>
      <c r="K67" s="8">
        <f>IFERROR(SUMPRODUCT(K44:K53,K17:K26)/SUMPRODUCT((K44:K53&lt;&gt;"")*K17:K26),SUMPRODUCT(K30:K53,K3:K26)/SUMPRODUCT((K30:K53&lt;&gt;"")*K3:K26))</f>
        <v/>
      </c>
      <c r="L67" s="8">
        <f>IFERROR(SUMPRODUCT(L44:L53,L17:L26)/SUMPRODUCT((L44:L53&lt;&gt;"")*L17:L26),SUMPRODUCT(L30:L53,L3:L26)/SUMPRODUCT((L30:L53&lt;&gt;"")*L3:L26))</f>
        <v/>
      </c>
      <c r="M67" s="8">
        <f>IFERROR(SUMPRODUCT(M44:M53,M17:M26)/SUMPRODUCT((M44:M53&lt;&gt;"")*M17:M26),SUMPRODUCT(M30:M53,M3:M26)/SUMPRODUCT((M30:M53&lt;&gt;"")*M3:M26))</f>
        <v/>
      </c>
      <c r="N67" s="8">
        <f>IFERROR(SUMPRODUCT(N44:N53,N17:N26)/SUMPRODUCT((N44:N53&lt;&gt;"")*N17:N26),SUMPRODUCT(N30:N53,N3:N26)/SUMPRODUCT((N30:N53&lt;&gt;"")*N3:N26))</f>
        <v/>
      </c>
      <c r="O67" s="8">
        <f>IFERROR(SUMPRODUCT(O44:O53,O17:O26)/SUMPRODUCT((O44:O53&lt;&gt;"")*O17:O26),SUMPRODUCT(O30:O53,O3:O26)/SUMPRODUCT((O30:O53&lt;&gt;"")*O3:O26))</f>
        <v/>
      </c>
      <c r="P67" s="8">
        <f>IFERROR(SUMPRODUCT(P44:P53,P17:P26)/SUMPRODUCT((P44:P53&lt;&gt;"")*P17:P26),SUMPRODUCT(P30:P53,P3:P26)/SUMPRODUCT((P30:P53&lt;&gt;"")*P3:P26))</f>
        <v/>
      </c>
      <c r="Q67" s="8">
        <f>IFERROR(SUMPRODUCT(Q44:Q53,Q17:Q26)/SUMPRODUCT((Q44:Q53&lt;&gt;"")*Q17:Q26),SUMPRODUCT(Q30:Q53,Q3:Q26)/SUMPRODUCT((Q30:Q53&lt;&gt;"")*Q3:Q26))</f>
        <v/>
      </c>
      <c r="R67" s="8">
        <f>IFERROR(SUMPRODUCT(R44:R53,R17:R26)/SUMPRODUCT((R44:R53&lt;&gt;"")*R17:R26),SUMPRODUCT(R30:R53,R3:R26)/SUMPRODUCT((R30:R53&lt;&gt;"")*R3:R26))</f>
        <v/>
      </c>
      <c r="S67" s="8">
        <f>IFERROR(SUMPRODUCT(S44:S53,S17:S26)/SUMPRODUCT((S44:S53&lt;&gt;"")*S17:S26),SUMPRODUCT(S30:S53,S3:S26)/SUMPRODUCT((S30:S53&lt;&gt;"")*S3:S26))</f>
        <v/>
      </c>
      <c r="T67" s="8">
        <f>IFERROR(SUMPRODUCT(T44:T53,T17:T26)/SUMPRODUCT((T44:T53&lt;&gt;"")*T17:T26),SUMPRODUCT(T30:T53,T3:T26)/SUMPRODUCT((T30:T53&lt;&gt;"")*T3:T26))</f>
        <v/>
      </c>
      <c r="U67" s="8">
        <f>IFERROR(SUMPRODUCT(U44:U53,U17:U26)/SUMPRODUCT((U44:U53&lt;&gt;"")*U17:U26),SUMPRODUCT(U30:U53,U3:U26)/SUMPRODUCT((U30:U53&lt;&gt;"")*U3:U26))</f>
        <v/>
      </c>
      <c r="V67" s="8">
        <f>IFERROR(SUMPRODUCT(V44:V53,V17:V26)/SUMPRODUCT((V44:V53&lt;&gt;"")*V17:V26),SUMPRODUCT(V30:V53,V3:V26)/SUMPRODUCT((V30:V53&lt;&gt;"")*V3:V26))</f>
        <v/>
      </c>
      <c r="W67" s="8">
        <f>IFERROR(SUMPRODUCT(W44:W53,W17:W26)/SUMPRODUCT((W44:W53&lt;&gt;"")*W17:W26),SUMPRODUCT(W30:W53,W3:W26)/SUMPRODUCT((W30:W53&lt;&gt;"")*W3:W26))</f>
        <v/>
      </c>
      <c r="X67" s="8">
        <f>IFERROR(SUMPRODUCT(X44:X53,X17:X26)/SUMPRODUCT((X44:X53&lt;&gt;"")*X17:X26),SUMPRODUCT(X30:X53,X3:X26)/SUMPRODUCT((X30:X53&lt;&gt;"")*X3:X26))</f>
        <v/>
      </c>
      <c r="Y67" s="8" t="inlineStr"/>
    </row>
    <row r="68">
      <c r="A68" s="10" t="inlineStr">
        <is>
          <t>exclude_high_low_10yr</t>
        </is>
      </c>
      <c r="B68" s="8">
        <f>IFERROR(TRIMMEAN(B44:B53,2/COUNT(B44:B53)),AVERAGE(B30:B53))</f>
        <v/>
      </c>
      <c r="C68" s="8">
        <f>IFERROR(TRIMMEAN(C44:C53,2/COUNT(C44:C53)),AVERAGE(C30:C53))</f>
        <v/>
      </c>
      <c r="D68" s="8">
        <f>IFERROR(TRIMMEAN(D44:D53,2/COUNT(D44:D53)),AVERAGE(D30:D53))</f>
        <v/>
      </c>
      <c r="E68" s="8">
        <f>IFERROR(TRIMMEAN(E44:E53,2/COUNT(E44:E53)),AVERAGE(E30:E53))</f>
        <v/>
      </c>
      <c r="F68" s="8">
        <f>IFERROR(TRIMMEAN(F44:F53,2/COUNT(F44:F53)),AVERAGE(F30:F53))</f>
        <v/>
      </c>
      <c r="G68" s="8">
        <f>IFERROR(TRIMMEAN(G44:G53,2/COUNT(G44:G53)),AVERAGE(G30:G53))</f>
        <v/>
      </c>
      <c r="H68" s="8">
        <f>IFERROR(TRIMMEAN(H44:H53,2/COUNT(H44:H53)),AVERAGE(H30:H53))</f>
        <v/>
      </c>
      <c r="I68" s="8">
        <f>IFERROR(TRIMMEAN(I44:I53,2/COUNT(I44:I53)),AVERAGE(I30:I53))</f>
        <v/>
      </c>
      <c r="J68" s="8">
        <f>IFERROR(TRIMMEAN(J44:J53,2/COUNT(J44:J53)),AVERAGE(J30:J53))</f>
        <v/>
      </c>
      <c r="K68" s="8">
        <f>IFERROR(TRIMMEAN(K44:K53,2/COUNT(K44:K53)),AVERAGE(K30:K53))</f>
        <v/>
      </c>
      <c r="L68" s="8">
        <f>IFERROR(TRIMMEAN(L44:L53,2/COUNT(L44:L53)),AVERAGE(L30:L53))</f>
        <v/>
      </c>
      <c r="M68" s="8">
        <f>IFERROR(TRIMMEAN(M44:M53,2/COUNT(M44:M53)),AVERAGE(M30:M53))</f>
        <v/>
      </c>
      <c r="N68" s="8">
        <f>IFERROR(TRIMMEAN(N44:N53,2/COUNT(N44:N53)),AVERAGE(N30:N53))</f>
        <v/>
      </c>
      <c r="O68" s="8">
        <f>IFERROR(TRIMMEAN(O44:O53,2/COUNT(O44:O53)),AVERAGE(O30:O53))</f>
        <v/>
      </c>
      <c r="P68" s="8">
        <f>IFERROR(TRIMMEAN(P44:P53,2/COUNT(P44:P53)),AVERAGE(P30:P53))</f>
        <v/>
      </c>
      <c r="Q68" s="8">
        <f>IFERROR(TRIMMEAN(Q44:Q53,2/COUNT(Q44:Q53)),AVERAGE(Q30:Q53))</f>
        <v/>
      </c>
      <c r="R68" s="8">
        <f>IFERROR(TRIMMEAN(R44:R53,2/COUNT(R44:R53)),AVERAGE(R30:R53))</f>
        <v/>
      </c>
      <c r="S68" s="8">
        <f>IFERROR(TRIMMEAN(S44:S53,2/COUNT(S44:S53)),AVERAGE(S30:S53))</f>
        <v/>
      </c>
      <c r="T68" s="8">
        <f>IFERROR(TRIMMEAN(T44:T53,2/COUNT(T44:T53)),AVERAGE(T30:T53))</f>
        <v/>
      </c>
      <c r="U68" s="8">
        <f>IFERROR(TRIMMEAN(U44:U53,2/COUNT(U44:U53)),AVERAGE(U30:U53))</f>
        <v/>
      </c>
      <c r="V68" s="8">
        <f>IFERROR(TRIMMEAN(V44:V53,2/COUNT(V44:V53)),AVERAGE(V30:V53))</f>
        <v/>
      </c>
      <c r="W68" s="8">
        <f>IFERROR(TRIMMEAN(W44:W53,2/COUNT(W44:W53)),AVERAGE(W30:W53))</f>
        <v/>
      </c>
      <c r="X68" s="8">
        <f>IFERROR(TRIMMEAN(X44:X53,2/COUNT(X44:X53)),AVERAGE(X30:X53))</f>
        <v/>
      </c>
      <c r="Y68" s="8" t="inlineStr"/>
    </row>
    <row r="70">
      <c r="A70" s="1" t="inlineStr">
        <is>
          <t>LDF Selections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3" t="n"/>
    </row>
    <row r="71">
      <c r="A71" s="4" t="inlineStr"/>
      <c r="B71" s="5" t="inlineStr">
        <is>
          <t>11-23</t>
        </is>
      </c>
      <c r="C71" s="5" t="inlineStr">
        <is>
          <t>23-35</t>
        </is>
      </c>
      <c r="D71" s="5" t="inlineStr">
        <is>
          <t>35-47</t>
        </is>
      </c>
      <c r="E71" s="5" t="inlineStr">
        <is>
          <t>47-59</t>
        </is>
      </c>
      <c r="F71" s="5" t="inlineStr">
        <is>
          <t>59-71</t>
        </is>
      </c>
      <c r="G71" s="5" t="inlineStr">
        <is>
          <t>71-83</t>
        </is>
      </c>
      <c r="H71" s="5" t="inlineStr">
        <is>
          <t>83-95</t>
        </is>
      </c>
      <c r="I71" s="5" t="inlineStr">
        <is>
          <t>95-107</t>
        </is>
      </c>
      <c r="J71" s="5" t="inlineStr">
        <is>
          <t>107-119</t>
        </is>
      </c>
      <c r="K71" s="5" t="inlineStr">
        <is>
          <t>119-131</t>
        </is>
      </c>
      <c r="L71" s="5" t="inlineStr">
        <is>
          <t>131-143</t>
        </is>
      </c>
      <c r="M71" s="5" t="inlineStr">
        <is>
          <t>143-155</t>
        </is>
      </c>
      <c r="N71" s="5" t="inlineStr">
        <is>
          <t>155-167</t>
        </is>
      </c>
      <c r="O71" s="5" t="inlineStr">
        <is>
          <t>167-179</t>
        </is>
      </c>
      <c r="P71" s="5" t="inlineStr">
        <is>
          <t>179-191</t>
        </is>
      </c>
      <c r="Q71" s="5" t="inlineStr">
        <is>
          <t>191-203</t>
        </is>
      </c>
      <c r="R71" s="5" t="inlineStr">
        <is>
          <t>203-215</t>
        </is>
      </c>
      <c r="S71" s="5" t="inlineStr">
        <is>
          <t>215-227</t>
        </is>
      </c>
      <c r="T71" s="5" t="inlineStr">
        <is>
          <t>227-239</t>
        </is>
      </c>
      <c r="U71" s="5" t="inlineStr">
        <is>
          <t>239-251</t>
        </is>
      </c>
      <c r="V71" s="5" t="inlineStr">
        <is>
          <t>251-263</t>
        </is>
      </c>
      <c r="W71" s="5" t="inlineStr">
        <is>
          <t>263-275</t>
        </is>
      </c>
      <c r="X71" s="5" t="inlineStr">
        <is>
          <t>275-287</t>
        </is>
      </c>
      <c r="Y71" s="5" t="inlineStr">
        <is>
          <t>Tail</t>
        </is>
      </c>
    </row>
    <row r="72">
      <c r="A72" s="11" t="inlineStr">
        <is>
          <t>Rules-Based AI Selection</t>
        </is>
      </c>
      <c r="B72" s="12" t="inlineStr"/>
      <c r="C72" s="12" t="inlineStr"/>
      <c r="D72" s="12" t="inlineStr"/>
      <c r="E72" s="12" t="inlineStr"/>
      <c r="F72" s="12" t="inlineStr"/>
      <c r="G72" s="12" t="inlineStr"/>
      <c r="H72" s="12" t="inlineStr"/>
      <c r="I72" s="12" t="inlineStr"/>
      <c r="J72" s="12" t="inlineStr"/>
      <c r="K72" s="12" t="inlineStr"/>
      <c r="L72" s="12" t="inlineStr"/>
      <c r="M72" s="12" t="inlineStr"/>
      <c r="N72" s="12" t="inlineStr"/>
      <c r="O72" s="12" t="inlineStr"/>
      <c r="P72" s="12" t="inlineStr"/>
      <c r="Q72" s="12" t="inlineStr"/>
      <c r="R72" s="12" t="inlineStr"/>
      <c r="S72" s="12" t="inlineStr"/>
      <c r="T72" s="12" t="inlineStr"/>
      <c r="U72" s="12" t="inlineStr"/>
      <c r="V72" s="12" t="inlineStr"/>
      <c r="W72" s="12" t="inlineStr"/>
      <c r="X72" s="12" t="inlineStr"/>
      <c r="Y72" s="12" t="inlineStr"/>
    </row>
    <row r="73">
      <c r="A73" s="11" t="inlineStr">
        <is>
          <t>Rules-Based AI Reasoning</t>
        </is>
      </c>
      <c r="B73" s="13" t="inlineStr"/>
      <c r="C73" s="13" t="inlineStr"/>
      <c r="D73" s="13" t="inlineStr"/>
      <c r="E73" s="13" t="inlineStr"/>
      <c r="F73" s="13" t="inlineStr"/>
      <c r="G73" s="13" t="inlineStr"/>
      <c r="H73" s="13" t="inlineStr"/>
      <c r="I73" s="13" t="inlineStr"/>
      <c r="J73" s="13" t="inlineStr"/>
      <c r="K73" s="13" t="inlineStr"/>
      <c r="L73" s="13" t="inlineStr"/>
      <c r="M73" s="13" t="inlineStr"/>
      <c r="N73" s="13" t="inlineStr"/>
      <c r="O73" s="13" t="inlineStr"/>
      <c r="P73" s="13" t="inlineStr"/>
      <c r="Q73" s="13" t="inlineStr"/>
      <c r="R73" s="13" t="inlineStr"/>
      <c r="S73" s="13" t="inlineStr"/>
      <c r="T73" s="13" t="inlineStr"/>
      <c r="U73" s="13" t="inlineStr"/>
      <c r="V73" s="13" t="inlineStr"/>
      <c r="W73" s="13" t="inlineStr"/>
      <c r="X73" s="13" t="inlineStr"/>
      <c r="Y73" s="13" t="inlineStr"/>
    </row>
    <row r="75">
      <c r="A75" s="14" t="inlineStr">
        <is>
          <t>Open-Ended AI Selection</t>
        </is>
      </c>
      <c r="B75" s="15" t="inlineStr"/>
      <c r="C75" s="15" t="inlineStr"/>
      <c r="D75" s="15" t="inlineStr"/>
      <c r="E75" s="15" t="inlineStr"/>
      <c r="F75" s="15" t="inlineStr"/>
      <c r="G75" s="15" t="inlineStr"/>
      <c r="H75" s="15" t="inlineStr"/>
      <c r="I75" s="15" t="inlineStr"/>
      <c r="J75" s="15" t="inlineStr"/>
      <c r="K75" s="15" t="inlineStr"/>
      <c r="L75" s="15" t="inlineStr"/>
      <c r="M75" s="15" t="inlineStr"/>
      <c r="N75" s="15" t="inlineStr"/>
      <c r="O75" s="15" t="inlineStr"/>
      <c r="P75" s="15" t="inlineStr"/>
      <c r="Q75" s="15" t="inlineStr"/>
      <c r="R75" s="15" t="inlineStr"/>
      <c r="S75" s="15" t="inlineStr"/>
      <c r="T75" s="15" t="inlineStr"/>
      <c r="U75" s="15" t="inlineStr"/>
      <c r="V75" s="15" t="inlineStr"/>
      <c r="W75" s="15" t="inlineStr"/>
      <c r="X75" s="15" t="inlineStr"/>
      <c r="Y75" s="15" t="inlineStr"/>
    </row>
    <row r="76">
      <c r="A76" s="14" t="inlineStr">
        <is>
          <t>Open-Ended AI Reasoning</t>
        </is>
      </c>
      <c r="B76" s="16" t="inlineStr"/>
      <c r="C76" s="16" t="inlineStr"/>
      <c r="D76" s="16" t="inlineStr"/>
      <c r="E76" s="16" t="inlineStr"/>
      <c r="F76" s="16" t="inlineStr"/>
      <c r="G76" s="16" t="inlineStr"/>
      <c r="H76" s="16" t="inlineStr"/>
      <c r="I76" s="16" t="inlineStr"/>
      <c r="J76" s="16" t="inlineStr"/>
      <c r="K76" s="16" t="inlineStr"/>
      <c r="L76" s="16" t="inlineStr"/>
      <c r="M76" s="16" t="inlineStr"/>
      <c r="N76" s="16" t="inlineStr"/>
      <c r="O76" s="16" t="inlineStr"/>
      <c r="P76" s="16" t="inlineStr"/>
      <c r="Q76" s="16" t="inlineStr"/>
      <c r="R76" s="16" t="inlineStr"/>
      <c r="S76" s="16" t="inlineStr"/>
      <c r="T76" s="16" t="inlineStr"/>
      <c r="U76" s="16" t="inlineStr"/>
      <c r="V76" s="16" t="inlineStr"/>
      <c r="W76" s="16" t="inlineStr"/>
      <c r="X76" s="16" t="inlineStr"/>
      <c r="Y76" s="16" t="inlineStr"/>
    </row>
    <row r="78">
      <c r="A78" s="17" t="inlineStr">
        <is>
          <t>User Selection</t>
        </is>
      </c>
      <c r="B78" s="18" t="inlineStr"/>
      <c r="C78" s="18" t="inlineStr"/>
      <c r="D78" s="18" t="inlineStr"/>
      <c r="E78" s="18" t="inlineStr"/>
      <c r="F78" s="18" t="inlineStr"/>
      <c r="G78" s="18" t="inlineStr"/>
      <c r="H78" s="18" t="inlineStr"/>
      <c r="I78" s="18" t="inlineStr"/>
      <c r="J78" s="18" t="inlineStr"/>
      <c r="K78" s="18" t="inlineStr"/>
      <c r="L78" s="18" t="inlineStr"/>
      <c r="M78" s="18" t="inlineStr"/>
      <c r="N78" s="18" t="inlineStr"/>
      <c r="O78" s="18" t="inlineStr"/>
      <c r="P78" s="18" t="inlineStr"/>
      <c r="Q78" s="18" t="inlineStr"/>
      <c r="R78" s="18" t="inlineStr"/>
      <c r="S78" s="18" t="inlineStr"/>
      <c r="T78" s="18" t="inlineStr"/>
      <c r="U78" s="18" t="inlineStr"/>
      <c r="V78" s="18" t="inlineStr"/>
      <c r="W78" s="18" t="inlineStr"/>
      <c r="X78" s="18" t="inlineStr"/>
      <c r="Y78" s="18" t="inlineStr"/>
    </row>
    <row r="79">
      <c r="A79" s="17" t="inlineStr">
        <is>
          <t>User Reasoning</t>
        </is>
      </c>
      <c r="B79" s="19" t="inlineStr"/>
      <c r="C79" s="19" t="inlineStr"/>
      <c r="D79" s="19" t="inlineStr"/>
      <c r="E79" s="19" t="inlineStr"/>
      <c r="F79" s="19" t="inlineStr"/>
      <c r="G79" s="19" t="inlineStr"/>
      <c r="H79" s="19" t="inlineStr"/>
      <c r="I79" s="19" t="inlineStr"/>
      <c r="J79" s="19" t="inlineStr"/>
      <c r="K79" s="19" t="inlineStr"/>
      <c r="L79" s="19" t="inlineStr"/>
      <c r="M79" s="19" t="inlineStr"/>
      <c r="N79" s="19" t="inlineStr"/>
      <c r="O79" s="19" t="inlineStr"/>
      <c r="P79" s="19" t="inlineStr"/>
      <c r="Q79" s="19" t="inlineStr"/>
      <c r="R79" s="19" t="inlineStr"/>
      <c r="S79" s="19" t="inlineStr"/>
      <c r="T79" s="19" t="inlineStr"/>
      <c r="U79" s="19" t="inlineStr"/>
      <c r="V79" s="19" t="inlineStr"/>
      <c r="W79" s="19" t="inlineStr"/>
      <c r="X79" s="19" t="inlineStr"/>
      <c r="Y79" s="19" t="inlineStr"/>
    </row>
    <row r="81">
      <c r="A81" s="20" t="inlineStr">
        <is>
          <t>Cumulative Development Factors</t>
        </is>
      </c>
    </row>
    <row r="82">
      <c r="A82" s="21" t="inlineStr">
        <is>
          <t>Age</t>
        </is>
      </c>
      <c r="B82" s="21">
        <f>$B$2</f>
        <v/>
      </c>
      <c r="C82" s="21">
        <f>$C$2</f>
        <v/>
      </c>
      <c r="D82" s="21">
        <f>$D$2</f>
        <v/>
      </c>
      <c r="E82" s="21">
        <f>$E$2</f>
        <v/>
      </c>
      <c r="F82" s="21">
        <f>$F$2</f>
        <v/>
      </c>
      <c r="G82" s="21">
        <f>$G$2</f>
        <v/>
      </c>
      <c r="H82" s="21">
        <f>$H$2</f>
        <v/>
      </c>
      <c r="I82" s="21">
        <f>$I$2</f>
        <v/>
      </c>
      <c r="J82" s="21">
        <f>$J$2</f>
        <v/>
      </c>
      <c r="K82" s="21">
        <f>$K$2</f>
        <v/>
      </c>
      <c r="L82" s="21">
        <f>$L$2</f>
        <v/>
      </c>
      <c r="M82" s="21">
        <f>$M$2</f>
        <v/>
      </c>
      <c r="N82" s="21">
        <f>$N$2</f>
        <v/>
      </c>
      <c r="O82" s="21">
        <f>$O$2</f>
        <v/>
      </c>
      <c r="P82" s="21">
        <f>$P$2</f>
        <v/>
      </c>
      <c r="Q82" s="21">
        <f>$Q$2</f>
        <v/>
      </c>
      <c r="R82" s="21">
        <f>$R$2</f>
        <v/>
      </c>
      <c r="S82" s="21">
        <f>$S$2</f>
        <v/>
      </c>
      <c r="T82" s="21">
        <f>$T$2</f>
        <v/>
      </c>
      <c r="U82" s="21">
        <f>$U$2</f>
        <v/>
      </c>
      <c r="V82" s="21">
        <f>$V$2</f>
        <v/>
      </c>
      <c r="W82" s="21">
        <f>$W$2</f>
        <v/>
      </c>
      <c r="X82" s="21">
        <f>$X$2</f>
        <v/>
      </c>
      <c r="Y82" s="21">
        <f>$Y$2</f>
        <v/>
      </c>
    </row>
    <row r="83">
      <c r="A83" s="21" t="inlineStr">
        <is>
          <t>CDF</t>
        </is>
      </c>
      <c r="B83" s="22">
        <f>B78*C83</f>
        <v/>
      </c>
      <c r="C83" s="22">
        <f>C78*D83</f>
        <v/>
      </c>
      <c r="D83" s="22">
        <f>D78*E83</f>
        <v/>
      </c>
      <c r="E83" s="22">
        <f>E78*F83</f>
        <v/>
      </c>
      <c r="F83" s="22">
        <f>F78*G83</f>
        <v/>
      </c>
      <c r="G83" s="22">
        <f>G78*H83</f>
        <v/>
      </c>
      <c r="H83" s="22">
        <f>H78*I83</f>
        <v/>
      </c>
      <c r="I83" s="22">
        <f>I78*J83</f>
        <v/>
      </c>
      <c r="J83" s="22">
        <f>J78*K83</f>
        <v/>
      </c>
      <c r="K83" s="22">
        <f>K78*L83</f>
        <v/>
      </c>
      <c r="L83" s="22">
        <f>L78*M83</f>
        <v/>
      </c>
      <c r="M83" s="22">
        <f>M78*N83</f>
        <v/>
      </c>
      <c r="N83" s="22">
        <f>N78*O83</f>
        <v/>
      </c>
      <c r="O83" s="22">
        <f>O78*P83</f>
        <v/>
      </c>
      <c r="P83" s="22">
        <f>P78*Q83</f>
        <v/>
      </c>
      <c r="Q83" s="22">
        <f>Q78*R83</f>
        <v/>
      </c>
      <c r="R83" s="22">
        <f>R78*S83</f>
        <v/>
      </c>
      <c r="S83" s="22">
        <f>S78*T83</f>
        <v/>
      </c>
      <c r="T83" s="22">
        <f>T78*U83</f>
        <v/>
      </c>
      <c r="U83" s="22">
        <f>U78*V83</f>
        <v/>
      </c>
      <c r="V83" s="22">
        <f>V78*W83</f>
        <v/>
      </c>
      <c r="W83" s="22">
        <f>W78*X83</f>
        <v/>
      </c>
      <c r="X83" s="22">
        <f>X78*Y83</f>
        <v/>
      </c>
      <c r="Y83" s="22">
        <f>Y78</f>
        <v/>
      </c>
    </row>
    <row r="85">
      <c r="A85" s="20" t="inlineStr">
        <is>
          <t>Projected Ultimates</t>
        </is>
      </c>
    </row>
    <row r="86">
      <c r="A86" s="23" t="inlineStr">
        <is>
          <t>Period</t>
        </is>
      </c>
      <c r="B86" s="23" t="inlineStr">
        <is>
          <t>Latest Age</t>
        </is>
      </c>
      <c r="C86" s="23" t="inlineStr">
        <is>
          <t>Latest Value</t>
        </is>
      </c>
      <c r="D86" s="23" t="inlineStr">
        <is>
          <t>CDF at Age</t>
        </is>
      </c>
      <c r="E86" s="23" t="inlineStr">
        <is>
          <t>Projected Ultimate</t>
        </is>
      </c>
      <c r="F86" s="23" t="inlineStr">
        <is>
          <t>IBNR</t>
        </is>
      </c>
    </row>
    <row r="87">
      <c r="A87">
        <f>A3</f>
        <v/>
      </c>
      <c r="B87">
        <f>LOOKUP(2,1/(B3:Y3&lt;&gt;""),$B$2:$Y$2)</f>
        <v/>
      </c>
      <c r="C87" s="24">
        <f>LOOKUP(2,1/(B3:Y3&lt;&gt;""),B3:Y3)</f>
        <v/>
      </c>
      <c r="D87" s="22">
        <f>HLOOKUP(B87,$B$82:$Y$83,2,FALSE)</f>
        <v/>
      </c>
      <c r="E87" s="24">
        <f>C87*D87</f>
        <v/>
      </c>
      <c r="F87" s="24">
        <f>E87-C87</f>
        <v/>
      </c>
    </row>
    <row r="88">
      <c r="A88">
        <f>A4</f>
        <v/>
      </c>
      <c r="B88">
        <f>LOOKUP(2,1/(B4:Y4&lt;&gt;""),$B$2:$Y$2)</f>
        <v/>
      </c>
      <c r="C88" s="24">
        <f>LOOKUP(2,1/(B4:Y4&lt;&gt;""),B4:Y4)</f>
        <v/>
      </c>
      <c r="D88" s="22">
        <f>HLOOKUP(B88,$B$82:$Y$83,2,FALSE)</f>
        <v/>
      </c>
      <c r="E88" s="24">
        <f>C88*D88</f>
        <v/>
      </c>
      <c r="F88" s="24">
        <f>E88-C88</f>
        <v/>
      </c>
    </row>
    <row r="89">
      <c r="A89">
        <f>A5</f>
        <v/>
      </c>
      <c r="B89">
        <f>LOOKUP(2,1/(B5:Y5&lt;&gt;""),$B$2:$Y$2)</f>
        <v/>
      </c>
      <c r="C89" s="24">
        <f>LOOKUP(2,1/(B5:Y5&lt;&gt;""),B5:Y5)</f>
        <v/>
      </c>
      <c r="D89" s="22">
        <f>HLOOKUP(B89,$B$82:$Y$83,2,FALSE)</f>
        <v/>
      </c>
      <c r="E89" s="24">
        <f>C89*D89</f>
        <v/>
      </c>
      <c r="F89" s="24">
        <f>E89-C89</f>
        <v/>
      </c>
    </row>
    <row r="90">
      <c r="A90">
        <f>A6</f>
        <v/>
      </c>
      <c r="B90">
        <f>LOOKUP(2,1/(B6:Y6&lt;&gt;""),$B$2:$Y$2)</f>
        <v/>
      </c>
      <c r="C90" s="24">
        <f>LOOKUP(2,1/(B6:Y6&lt;&gt;""),B6:Y6)</f>
        <v/>
      </c>
      <c r="D90" s="22">
        <f>HLOOKUP(B90,$B$82:$Y$83,2,FALSE)</f>
        <v/>
      </c>
      <c r="E90" s="24">
        <f>C90*D90</f>
        <v/>
      </c>
      <c r="F90" s="24">
        <f>E90-C90</f>
        <v/>
      </c>
    </row>
    <row r="91">
      <c r="A91">
        <f>A7</f>
        <v/>
      </c>
      <c r="B91">
        <f>LOOKUP(2,1/(B7:Y7&lt;&gt;""),$B$2:$Y$2)</f>
        <v/>
      </c>
      <c r="C91" s="24">
        <f>LOOKUP(2,1/(B7:Y7&lt;&gt;""),B7:Y7)</f>
        <v/>
      </c>
      <c r="D91" s="22">
        <f>HLOOKUP(B91,$B$82:$Y$83,2,FALSE)</f>
        <v/>
      </c>
      <c r="E91" s="24">
        <f>C91*D91</f>
        <v/>
      </c>
      <c r="F91" s="24">
        <f>E91-C91</f>
        <v/>
      </c>
    </row>
    <row r="92">
      <c r="A92">
        <f>A8</f>
        <v/>
      </c>
      <c r="B92">
        <f>LOOKUP(2,1/(B8:Y8&lt;&gt;""),$B$2:$Y$2)</f>
        <v/>
      </c>
      <c r="C92" s="24">
        <f>LOOKUP(2,1/(B8:Y8&lt;&gt;""),B8:Y8)</f>
        <v/>
      </c>
      <c r="D92" s="22">
        <f>HLOOKUP(B92,$B$82:$Y$83,2,FALSE)</f>
        <v/>
      </c>
      <c r="E92" s="24">
        <f>C92*D92</f>
        <v/>
      </c>
      <c r="F92" s="24">
        <f>E92-C92</f>
        <v/>
      </c>
    </row>
    <row r="93">
      <c r="A93">
        <f>A9</f>
        <v/>
      </c>
      <c r="B93">
        <f>LOOKUP(2,1/(B9:Y9&lt;&gt;""),$B$2:$Y$2)</f>
        <v/>
      </c>
      <c r="C93" s="24">
        <f>LOOKUP(2,1/(B9:Y9&lt;&gt;""),B9:Y9)</f>
        <v/>
      </c>
      <c r="D93" s="22">
        <f>HLOOKUP(B93,$B$82:$Y$83,2,FALSE)</f>
        <v/>
      </c>
      <c r="E93" s="24">
        <f>C93*D93</f>
        <v/>
      </c>
      <c r="F93" s="24">
        <f>E93-C93</f>
        <v/>
      </c>
    </row>
    <row r="94">
      <c r="A94">
        <f>A10</f>
        <v/>
      </c>
      <c r="B94">
        <f>LOOKUP(2,1/(B10:Y10&lt;&gt;""),$B$2:$Y$2)</f>
        <v/>
      </c>
      <c r="C94" s="24">
        <f>LOOKUP(2,1/(B10:Y10&lt;&gt;""),B10:Y10)</f>
        <v/>
      </c>
      <c r="D94" s="22">
        <f>HLOOKUP(B94,$B$82:$Y$83,2,FALSE)</f>
        <v/>
      </c>
      <c r="E94" s="24">
        <f>C94*D94</f>
        <v/>
      </c>
      <c r="F94" s="24">
        <f>E94-C94</f>
        <v/>
      </c>
    </row>
    <row r="95">
      <c r="A95">
        <f>A11</f>
        <v/>
      </c>
      <c r="B95">
        <f>LOOKUP(2,1/(B11:Y11&lt;&gt;""),$B$2:$Y$2)</f>
        <v/>
      </c>
      <c r="C95" s="24">
        <f>LOOKUP(2,1/(B11:Y11&lt;&gt;""),B11:Y11)</f>
        <v/>
      </c>
      <c r="D95" s="22">
        <f>HLOOKUP(B95,$B$82:$Y$83,2,FALSE)</f>
        <v/>
      </c>
      <c r="E95" s="24">
        <f>C95*D95</f>
        <v/>
      </c>
      <c r="F95" s="24">
        <f>E95-C95</f>
        <v/>
      </c>
    </row>
    <row r="96">
      <c r="A96">
        <f>A12</f>
        <v/>
      </c>
      <c r="B96">
        <f>LOOKUP(2,1/(B12:Y12&lt;&gt;""),$B$2:$Y$2)</f>
        <v/>
      </c>
      <c r="C96" s="24">
        <f>LOOKUP(2,1/(B12:Y12&lt;&gt;""),B12:Y12)</f>
        <v/>
      </c>
      <c r="D96" s="22">
        <f>HLOOKUP(B96,$B$82:$Y$83,2,FALSE)</f>
        <v/>
      </c>
      <c r="E96" s="24">
        <f>C96*D96</f>
        <v/>
      </c>
      <c r="F96" s="24">
        <f>E96-C96</f>
        <v/>
      </c>
    </row>
    <row r="97">
      <c r="A97">
        <f>A13</f>
        <v/>
      </c>
      <c r="B97">
        <f>LOOKUP(2,1/(B13:Y13&lt;&gt;""),$B$2:$Y$2)</f>
        <v/>
      </c>
      <c r="C97" s="24">
        <f>LOOKUP(2,1/(B13:Y13&lt;&gt;""),B13:Y13)</f>
        <v/>
      </c>
      <c r="D97" s="22">
        <f>HLOOKUP(B97,$B$82:$Y$83,2,FALSE)</f>
        <v/>
      </c>
      <c r="E97" s="24">
        <f>C97*D97</f>
        <v/>
      </c>
      <c r="F97" s="24">
        <f>E97-C97</f>
        <v/>
      </c>
    </row>
    <row r="98">
      <c r="A98">
        <f>A14</f>
        <v/>
      </c>
      <c r="B98">
        <f>LOOKUP(2,1/(B14:Y14&lt;&gt;""),$B$2:$Y$2)</f>
        <v/>
      </c>
      <c r="C98" s="24">
        <f>LOOKUP(2,1/(B14:Y14&lt;&gt;""),B14:Y14)</f>
        <v/>
      </c>
      <c r="D98" s="22">
        <f>HLOOKUP(B98,$B$82:$Y$83,2,FALSE)</f>
        <v/>
      </c>
      <c r="E98" s="24">
        <f>C98*D98</f>
        <v/>
      </c>
      <c r="F98" s="24">
        <f>E98-C98</f>
        <v/>
      </c>
    </row>
    <row r="99">
      <c r="A99">
        <f>A15</f>
        <v/>
      </c>
      <c r="B99">
        <f>LOOKUP(2,1/(B15:Y15&lt;&gt;""),$B$2:$Y$2)</f>
        <v/>
      </c>
      <c r="C99" s="24">
        <f>LOOKUP(2,1/(B15:Y15&lt;&gt;""),B15:Y15)</f>
        <v/>
      </c>
      <c r="D99" s="22">
        <f>HLOOKUP(B99,$B$82:$Y$83,2,FALSE)</f>
        <v/>
      </c>
      <c r="E99" s="24">
        <f>C99*D99</f>
        <v/>
      </c>
      <c r="F99" s="24">
        <f>E99-C99</f>
        <v/>
      </c>
    </row>
    <row r="100">
      <c r="A100">
        <f>A16</f>
        <v/>
      </c>
      <c r="B100">
        <f>LOOKUP(2,1/(B16:Y16&lt;&gt;""),$B$2:$Y$2)</f>
        <v/>
      </c>
      <c r="C100" s="24">
        <f>LOOKUP(2,1/(B16:Y16&lt;&gt;""),B16:Y16)</f>
        <v/>
      </c>
      <c r="D100" s="22">
        <f>HLOOKUP(B100,$B$82:$Y$83,2,FALSE)</f>
        <v/>
      </c>
      <c r="E100" s="24">
        <f>C100*D100</f>
        <v/>
      </c>
      <c r="F100" s="24">
        <f>E100-C100</f>
        <v/>
      </c>
    </row>
    <row r="101">
      <c r="A101">
        <f>A17</f>
        <v/>
      </c>
      <c r="B101">
        <f>LOOKUP(2,1/(B17:Y17&lt;&gt;""),$B$2:$Y$2)</f>
        <v/>
      </c>
      <c r="C101" s="24">
        <f>LOOKUP(2,1/(B17:Y17&lt;&gt;""),B17:Y17)</f>
        <v/>
      </c>
      <c r="D101" s="22">
        <f>HLOOKUP(B101,$B$82:$Y$83,2,FALSE)</f>
        <v/>
      </c>
      <c r="E101" s="24">
        <f>C101*D101</f>
        <v/>
      </c>
      <c r="F101" s="24">
        <f>E101-C101</f>
        <v/>
      </c>
    </row>
    <row r="102">
      <c r="A102">
        <f>A18</f>
        <v/>
      </c>
      <c r="B102">
        <f>LOOKUP(2,1/(B18:Y18&lt;&gt;""),$B$2:$Y$2)</f>
        <v/>
      </c>
      <c r="C102" s="24">
        <f>LOOKUP(2,1/(B18:Y18&lt;&gt;""),B18:Y18)</f>
        <v/>
      </c>
      <c r="D102" s="22">
        <f>HLOOKUP(B102,$B$82:$Y$83,2,FALSE)</f>
        <v/>
      </c>
      <c r="E102" s="24">
        <f>C102*D102</f>
        <v/>
      </c>
      <c r="F102" s="24">
        <f>E102-C102</f>
        <v/>
      </c>
    </row>
    <row r="103">
      <c r="A103">
        <f>A19</f>
        <v/>
      </c>
      <c r="B103">
        <f>LOOKUP(2,1/(B19:Y19&lt;&gt;""),$B$2:$Y$2)</f>
        <v/>
      </c>
      <c r="C103" s="24">
        <f>LOOKUP(2,1/(B19:Y19&lt;&gt;""),B19:Y19)</f>
        <v/>
      </c>
      <c r="D103" s="22">
        <f>HLOOKUP(B103,$B$82:$Y$83,2,FALSE)</f>
        <v/>
      </c>
      <c r="E103" s="24">
        <f>C103*D103</f>
        <v/>
      </c>
      <c r="F103" s="24">
        <f>E103-C103</f>
        <v/>
      </c>
    </row>
    <row r="104">
      <c r="A104">
        <f>A20</f>
        <v/>
      </c>
      <c r="B104">
        <f>LOOKUP(2,1/(B20:Y20&lt;&gt;""),$B$2:$Y$2)</f>
        <v/>
      </c>
      <c r="C104" s="24">
        <f>LOOKUP(2,1/(B20:Y20&lt;&gt;""),B20:Y20)</f>
        <v/>
      </c>
      <c r="D104" s="22">
        <f>HLOOKUP(B104,$B$82:$Y$83,2,FALSE)</f>
        <v/>
      </c>
      <c r="E104" s="24">
        <f>C104*D104</f>
        <v/>
      </c>
      <c r="F104" s="24">
        <f>E104-C104</f>
        <v/>
      </c>
    </row>
    <row r="105">
      <c r="A105">
        <f>A21</f>
        <v/>
      </c>
      <c r="B105">
        <f>LOOKUP(2,1/(B21:Y21&lt;&gt;""),$B$2:$Y$2)</f>
        <v/>
      </c>
      <c r="C105" s="24">
        <f>LOOKUP(2,1/(B21:Y21&lt;&gt;""),B21:Y21)</f>
        <v/>
      </c>
      <c r="D105" s="22">
        <f>HLOOKUP(B105,$B$82:$Y$83,2,FALSE)</f>
        <v/>
      </c>
      <c r="E105" s="24">
        <f>C105*D105</f>
        <v/>
      </c>
      <c r="F105" s="24">
        <f>E105-C105</f>
        <v/>
      </c>
    </row>
    <row r="106">
      <c r="A106">
        <f>A22</f>
        <v/>
      </c>
      <c r="B106">
        <f>LOOKUP(2,1/(B22:Y22&lt;&gt;""),$B$2:$Y$2)</f>
        <v/>
      </c>
      <c r="C106" s="24">
        <f>LOOKUP(2,1/(B22:Y22&lt;&gt;""),B22:Y22)</f>
        <v/>
      </c>
      <c r="D106" s="22">
        <f>HLOOKUP(B106,$B$82:$Y$83,2,FALSE)</f>
        <v/>
      </c>
      <c r="E106" s="24">
        <f>C106*D106</f>
        <v/>
      </c>
      <c r="F106" s="24">
        <f>E106-C106</f>
        <v/>
      </c>
    </row>
    <row r="107">
      <c r="A107">
        <f>A23</f>
        <v/>
      </c>
      <c r="B107">
        <f>LOOKUP(2,1/(B23:Y23&lt;&gt;""),$B$2:$Y$2)</f>
        <v/>
      </c>
      <c r="C107" s="24">
        <f>LOOKUP(2,1/(B23:Y23&lt;&gt;""),B23:Y23)</f>
        <v/>
      </c>
      <c r="D107" s="22">
        <f>HLOOKUP(B107,$B$82:$Y$83,2,FALSE)</f>
        <v/>
      </c>
      <c r="E107" s="24">
        <f>C107*D107</f>
        <v/>
      </c>
      <c r="F107" s="24">
        <f>E107-C107</f>
        <v/>
      </c>
    </row>
    <row r="108">
      <c r="A108">
        <f>A24</f>
        <v/>
      </c>
      <c r="B108">
        <f>LOOKUP(2,1/(B24:Y24&lt;&gt;""),$B$2:$Y$2)</f>
        <v/>
      </c>
      <c r="C108" s="24">
        <f>LOOKUP(2,1/(B24:Y24&lt;&gt;""),B24:Y24)</f>
        <v/>
      </c>
      <c r="D108" s="22">
        <f>HLOOKUP(B108,$B$82:$Y$83,2,FALSE)</f>
        <v/>
      </c>
      <c r="E108" s="24">
        <f>C108*D108</f>
        <v/>
      </c>
      <c r="F108" s="24">
        <f>E108-C108</f>
        <v/>
      </c>
    </row>
    <row r="109">
      <c r="A109">
        <f>A25</f>
        <v/>
      </c>
      <c r="B109">
        <f>LOOKUP(2,1/(B25:Y25&lt;&gt;""),$B$2:$Y$2)</f>
        <v/>
      </c>
      <c r="C109" s="24">
        <f>LOOKUP(2,1/(B25:Y25&lt;&gt;""),B25:Y25)</f>
        <v/>
      </c>
      <c r="D109" s="22">
        <f>HLOOKUP(B109,$B$82:$Y$83,2,FALSE)</f>
        <v/>
      </c>
      <c r="E109" s="24">
        <f>C109*D109</f>
        <v/>
      </c>
      <c r="F109" s="24">
        <f>E109-C109</f>
        <v/>
      </c>
    </row>
    <row r="110">
      <c r="A110">
        <f>A26</f>
        <v/>
      </c>
      <c r="B110">
        <f>LOOKUP(2,1/(B26:Y26&lt;&gt;""),$B$2:$Y$2)</f>
        <v/>
      </c>
      <c r="C110" s="24">
        <f>LOOKUP(2,1/(B26:Y26&lt;&gt;""),B26:Y26)</f>
        <v/>
      </c>
      <c r="D110" s="22">
        <f>HLOOKUP(B110,$B$82:$Y$83,2,FALSE)</f>
        <v/>
      </c>
      <c r="E110" s="24">
        <f>C110*D110</f>
        <v/>
      </c>
      <c r="F110" s="24">
        <f>E110-C110</f>
        <v/>
      </c>
    </row>
  </sheetData>
  <mergeCells count="6">
    <mergeCell ref="A85:F85"/>
    <mergeCell ref="A81:X81"/>
    <mergeCell ref="A28:X28"/>
    <mergeCell ref="A1:Y1"/>
    <mergeCell ref="A70:Y70"/>
    <mergeCell ref="A55:Y5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8" customWidth="1" min="3" max="3"/>
    <col width="20" customWidth="1" min="4" max="4"/>
    <col width="14" customWidth="1" min="5" max="5"/>
  </cols>
  <sheetData>
    <row r="1">
      <c r="A1" s="25" t="inlineStr">
        <is>
          <t>Selected Ultimates — Closed Count</t>
        </is>
      </c>
    </row>
    <row r="2">
      <c r="A2" s="26" t="inlineStr">
        <is>
          <t>Accident Period</t>
        </is>
      </c>
      <c r="B2" s="26" t="inlineStr">
        <is>
          <t>Actual (Latest)</t>
        </is>
      </c>
      <c r="C2" s="26" t="inlineStr">
        <is>
          <t>Chain Ladder Ult</t>
        </is>
      </c>
      <c r="D2" s="26" t="inlineStr">
        <is>
          <t>Selected Ultimate</t>
        </is>
      </c>
      <c r="E2" s="26" t="inlineStr">
        <is>
          <t>IBNR</t>
        </is>
      </c>
    </row>
    <row r="3">
      <c r="A3">
        <f>'Closed Count'!A87</f>
        <v/>
      </c>
      <c r="B3" s="24">
        <f>'Closed Count'!C87</f>
        <v/>
      </c>
      <c r="C3" s="24">
        <f>'Closed Count'!E87</f>
        <v/>
      </c>
      <c r="D3" s="24">
        <f>C3</f>
        <v/>
      </c>
      <c r="E3" s="24">
        <f>D3-B3</f>
        <v/>
      </c>
    </row>
    <row r="4">
      <c r="A4">
        <f>'Closed Count'!A88</f>
        <v/>
      </c>
      <c r="B4" s="24">
        <f>'Closed Count'!C88</f>
        <v/>
      </c>
      <c r="C4" s="24">
        <f>'Closed Count'!E88</f>
        <v/>
      </c>
      <c r="D4" s="24">
        <f>C4</f>
        <v/>
      </c>
      <c r="E4" s="24">
        <f>D4-B4</f>
        <v/>
      </c>
    </row>
    <row r="5">
      <c r="A5">
        <f>'Closed Count'!A89</f>
        <v/>
      </c>
      <c r="B5" s="24">
        <f>'Closed Count'!C89</f>
        <v/>
      </c>
      <c r="C5" s="24">
        <f>'Closed Count'!E89</f>
        <v/>
      </c>
      <c r="D5" s="24">
        <f>C5</f>
        <v/>
      </c>
      <c r="E5" s="24">
        <f>D5-B5</f>
        <v/>
      </c>
    </row>
    <row r="6">
      <c r="A6">
        <f>'Closed Count'!A90</f>
        <v/>
      </c>
      <c r="B6" s="24">
        <f>'Closed Count'!C90</f>
        <v/>
      </c>
      <c r="C6" s="24">
        <f>'Closed Count'!E90</f>
        <v/>
      </c>
      <c r="D6" s="24">
        <f>C6</f>
        <v/>
      </c>
      <c r="E6" s="24">
        <f>D6-B6</f>
        <v/>
      </c>
    </row>
    <row r="7">
      <c r="A7">
        <f>'Closed Count'!A91</f>
        <v/>
      </c>
      <c r="B7" s="24">
        <f>'Closed Count'!C91</f>
        <v/>
      </c>
      <c r="C7" s="24">
        <f>'Closed Count'!E91</f>
        <v/>
      </c>
      <c r="D7" s="24">
        <f>C7</f>
        <v/>
      </c>
      <c r="E7" s="24">
        <f>D7-B7</f>
        <v/>
      </c>
    </row>
    <row r="8">
      <c r="A8">
        <f>'Closed Count'!A92</f>
        <v/>
      </c>
      <c r="B8" s="24">
        <f>'Closed Count'!C92</f>
        <v/>
      </c>
      <c r="C8" s="24">
        <f>'Closed Count'!E92</f>
        <v/>
      </c>
      <c r="D8" s="24">
        <f>C8</f>
        <v/>
      </c>
      <c r="E8" s="24">
        <f>D8-B8</f>
        <v/>
      </c>
    </row>
    <row r="9">
      <c r="A9">
        <f>'Closed Count'!A93</f>
        <v/>
      </c>
      <c r="B9" s="24">
        <f>'Closed Count'!C93</f>
        <v/>
      </c>
      <c r="C9" s="24">
        <f>'Closed Count'!E93</f>
        <v/>
      </c>
      <c r="D9" s="24">
        <f>C9</f>
        <v/>
      </c>
      <c r="E9" s="24">
        <f>D9-B9</f>
        <v/>
      </c>
    </row>
    <row r="10">
      <c r="A10">
        <f>'Closed Count'!A94</f>
        <v/>
      </c>
      <c r="B10" s="24">
        <f>'Closed Count'!C94</f>
        <v/>
      </c>
      <c r="C10" s="24">
        <f>'Closed Count'!E94</f>
        <v/>
      </c>
      <c r="D10" s="24">
        <f>C10</f>
        <v/>
      </c>
      <c r="E10" s="24">
        <f>D10-B10</f>
        <v/>
      </c>
    </row>
    <row r="11">
      <c r="A11">
        <f>'Closed Count'!A95</f>
        <v/>
      </c>
      <c r="B11" s="24">
        <f>'Closed Count'!C95</f>
        <v/>
      </c>
      <c r="C11" s="24">
        <f>'Closed Count'!E95</f>
        <v/>
      </c>
      <c r="D11" s="24">
        <f>C11</f>
        <v/>
      </c>
      <c r="E11" s="24">
        <f>D11-B11</f>
        <v/>
      </c>
    </row>
    <row r="12">
      <c r="A12">
        <f>'Closed Count'!A96</f>
        <v/>
      </c>
      <c r="B12" s="24">
        <f>'Closed Count'!C96</f>
        <v/>
      </c>
      <c r="C12" s="24">
        <f>'Closed Count'!E96</f>
        <v/>
      </c>
      <c r="D12" s="24">
        <f>C12</f>
        <v/>
      </c>
      <c r="E12" s="24">
        <f>D12-B12</f>
        <v/>
      </c>
    </row>
    <row r="13">
      <c r="A13">
        <f>'Closed Count'!A97</f>
        <v/>
      </c>
      <c r="B13" s="24">
        <f>'Closed Count'!C97</f>
        <v/>
      </c>
      <c r="C13" s="24">
        <f>'Closed Count'!E97</f>
        <v/>
      </c>
      <c r="D13" s="24">
        <f>C13</f>
        <v/>
      </c>
      <c r="E13" s="24">
        <f>D13-B13</f>
        <v/>
      </c>
    </row>
    <row r="14">
      <c r="A14">
        <f>'Closed Count'!A98</f>
        <v/>
      </c>
      <c r="B14" s="24">
        <f>'Closed Count'!C98</f>
        <v/>
      </c>
      <c r="C14" s="24">
        <f>'Closed Count'!E98</f>
        <v/>
      </c>
      <c r="D14" s="24">
        <f>C14</f>
        <v/>
      </c>
      <c r="E14" s="24">
        <f>D14-B14</f>
        <v/>
      </c>
    </row>
    <row r="15">
      <c r="A15">
        <f>'Closed Count'!A99</f>
        <v/>
      </c>
      <c r="B15" s="24">
        <f>'Closed Count'!C99</f>
        <v/>
      </c>
      <c r="C15" s="24">
        <f>'Closed Count'!E99</f>
        <v/>
      </c>
      <c r="D15" s="24">
        <f>C15</f>
        <v/>
      </c>
      <c r="E15" s="24">
        <f>D15-B15</f>
        <v/>
      </c>
    </row>
    <row r="16">
      <c r="A16">
        <f>'Closed Count'!A100</f>
        <v/>
      </c>
      <c r="B16" s="24">
        <f>'Closed Count'!C100</f>
        <v/>
      </c>
      <c r="C16" s="24">
        <f>'Closed Count'!E100</f>
        <v/>
      </c>
      <c r="D16" s="24">
        <f>C16</f>
        <v/>
      </c>
      <c r="E16" s="24">
        <f>D16-B16</f>
        <v/>
      </c>
    </row>
    <row r="17">
      <c r="A17">
        <f>'Closed Count'!A101</f>
        <v/>
      </c>
      <c r="B17" s="24">
        <f>'Closed Count'!C101</f>
        <v/>
      </c>
      <c r="C17" s="24">
        <f>'Closed Count'!E101</f>
        <v/>
      </c>
      <c r="D17" s="24">
        <f>C17</f>
        <v/>
      </c>
      <c r="E17" s="24">
        <f>D17-B17</f>
        <v/>
      </c>
    </row>
    <row r="18">
      <c r="A18">
        <f>'Closed Count'!A102</f>
        <v/>
      </c>
      <c r="B18" s="24">
        <f>'Closed Count'!C102</f>
        <v/>
      </c>
      <c r="C18" s="24">
        <f>'Closed Count'!E102</f>
        <v/>
      </c>
      <c r="D18" s="24">
        <f>C18</f>
        <v/>
      </c>
      <c r="E18" s="24">
        <f>D18-B18</f>
        <v/>
      </c>
    </row>
    <row r="19">
      <c r="A19">
        <f>'Closed Count'!A103</f>
        <v/>
      </c>
      <c r="B19" s="24">
        <f>'Closed Count'!C103</f>
        <v/>
      </c>
      <c r="C19" s="24">
        <f>'Closed Count'!E103</f>
        <v/>
      </c>
      <c r="D19" s="24">
        <f>C19</f>
        <v/>
      </c>
      <c r="E19" s="24">
        <f>D19-B19</f>
        <v/>
      </c>
    </row>
    <row r="20">
      <c r="A20">
        <f>'Closed Count'!A104</f>
        <v/>
      </c>
      <c r="B20" s="24">
        <f>'Closed Count'!C104</f>
        <v/>
      </c>
      <c r="C20" s="24">
        <f>'Closed Count'!E104</f>
        <v/>
      </c>
      <c r="D20" s="24">
        <f>C20</f>
        <v/>
      </c>
      <c r="E20" s="24">
        <f>D20-B20</f>
        <v/>
      </c>
    </row>
    <row r="21">
      <c r="A21">
        <f>'Closed Count'!A105</f>
        <v/>
      </c>
      <c r="B21" s="24">
        <f>'Closed Count'!C105</f>
        <v/>
      </c>
      <c r="C21" s="24">
        <f>'Closed Count'!E105</f>
        <v/>
      </c>
      <c r="D21" s="24">
        <f>C21</f>
        <v/>
      </c>
      <c r="E21" s="24">
        <f>D21-B21</f>
        <v/>
      </c>
    </row>
    <row r="22">
      <c r="A22">
        <f>'Closed Count'!A106</f>
        <v/>
      </c>
      <c r="B22" s="24">
        <f>'Closed Count'!C106</f>
        <v/>
      </c>
      <c r="C22" s="24">
        <f>'Closed Count'!E106</f>
        <v/>
      </c>
      <c r="D22" s="24">
        <f>C22</f>
        <v/>
      </c>
      <c r="E22" s="24">
        <f>D22-B22</f>
        <v/>
      </c>
    </row>
    <row r="23">
      <c r="A23">
        <f>'Closed Count'!A107</f>
        <v/>
      </c>
      <c r="B23" s="24">
        <f>'Closed Count'!C107</f>
        <v/>
      </c>
      <c r="C23" s="24">
        <f>'Closed Count'!E107</f>
        <v/>
      </c>
      <c r="D23" s="24">
        <f>C23</f>
        <v/>
      </c>
      <c r="E23" s="24">
        <f>D23-B23</f>
        <v/>
      </c>
    </row>
    <row r="24">
      <c r="A24">
        <f>'Closed Count'!A108</f>
        <v/>
      </c>
      <c r="B24" s="24">
        <f>'Closed Count'!C108</f>
        <v/>
      </c>
      <c r="C24" s="24">
        <f>'Closed Count'!E108</f>
        <v/>
      </c>
      <c r="D24" s="24">
        <f>C24</f>
        <v/>
      </c>
      <c r="E24" s="24">
        <f>D24-B24</f>
        <v/>
      </c>
    </row>
    <row r="25">
      <c r="A25">
        <f>'Closed Count'!A109</f>
        <v/>
      </c>
      <c r="B25" s="24">
        <f>'Closed Count'!C109</f>
        <v/>
      </c>
      <c r="C25" s="24">
        <f>'Closed Count'!E109</f>
        <v/>
      </c>
      <c r="D25" s="24">
        <f>C25</f>
        <v/>
      </c>
      <c r="E25" s="24">
        <f>D25-B25</f>
        <v/>
      </c>
    </row>
    <row r="26">
      <c r="A26">
        <f>'Closed Count'!A110</f>
        <v/>
      </c>
      <c r="B26" s="24">
        <f>'Closed Count'!C110</f>
        <v/>
      </c>
      <c r="C26" s="24">
        <f>'Closed Count'!E110</f>
        <v/>
      </c>
      <c r="D26" s="24">
        <f>C26</f>
        <v/>
      </c>
      <c r="E26" s="24">
        <f>D26-B26</f>
        <v/>
      </c>
    </row>
    <row r="27">
      <c r="A27" s="27" t="inlineStr">
        <is>
          <t>Total</t>
        </is>
      </c>
      <c r="B27" s="28">
        <f>SUM(B3:B26)</f>
        <v/>
      </c>
      <c r="C27" s="28">
        <f>SUM(C3:C26)</f>
        <v/>
      </c>
      <c r="D27" s="28">
        <f>SUM(D3:D26)</f>
        <v/>
      </c>
      <c r="E27" s="28">
        <f>SUM(E3:E26)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8" customWidth="1" min="3" max="3"/>
    <col width="20" customWidth="1" min="4" max="4"/>
    <col width="14" customWidth="1" min="5" max="5"/>
  </cols>
  <sheetData>
    <row r="1">
      <c r="A1" s="25" t="inlineStr">
        <is>
          <t>Selected Ultimates — Incurred Loss</t>
        </is>
      </c>
    </row>
    <row r="2">
      <c r="A2" s="26" t="inlineStr">
        <is>
          <t>Accident Period</t>
        </is>
      </c>
      <c r="B2" s="26" t="inlineStr">
        <is>
          <t>Actual (Latest)</t>
        </is>
      </c>
      <c r="C2" s="26" t="inlineStr">
        <is>
          <t>Chain Ladder Ult</t>
        </is>
      </c>
      <c r="D2" s="26" t="inlineStr">
        <is>
          <t>Selected Ultimate</t>
        </is>
      </c>
      <c r="E2" s="26" t="inlineStr">
        <is>
          <t>IBNR</t>
        </is>
      </c>
    </row>
    <row r="3">
      <c r="A3">
        <f>'Incurred Loss'!A87</f>
        <v/>
      </c>
      <c r="B3" s="24">
        <f>'Incurred Loss'!C87</f>
        <v/>
      </c>
      <c r="C3" s="24">
        <f>'Incurred Loss'!E87</f>
        <v/>
      </c>
      <c r="D3" s="24">
        <f>C3</f>
        <v/>
      </c>
      <c r="E3" s="24">
        <f>D3-B3</f>
        <v/>
      </c>
    </row>
    <row r="4">
      <c r="A4">
        <f>'Incurred Loss'!A88</f>
        <v/>
      </c>
      <c r="B4" s="24">
        <f>'Incurred Loss'!C88</f>
        <v/>
      </c>
      <c r="C4" s="24">
        <f>'Incurred Loss'!E88</f>
        <v/>
      </c>
      <c r="D4" s="24">
        <f>C4</f>
        <v/>
      </c>
      <c r="E4" s="24">
        <f>D4-B4</f>
        <v/>
      </c>
    </row>
    <row r="5">
      <c r="A5">
        <f>'Incurred Loss'!A89</f>
        <v/>
      </c>
      <c r="B5" s="24">
        <f>'Incurred Loss'!C89</f>
        <v/>
      </c>
      <c r="C5" s="24">
        <f>'Incurred Loss'!E89</f>
        <v/>
      </c>
      <c r="D5" s="24">
        <f>C5</f>
        <v/>
      </c>
      <c r="E5" s="24">
        <f>D5-B5</f>
        <v/>
      </c>
    </row>
    <row r="6">
      <c r="A6">
        <f>'Incurred Loss'!A90</f>
        <v/>
      </c>
      <c r="B6" s="24">
        <f>'Incurred Loss'!C90</f>
        <v/>
      </c>
      <c r="C6" s="24">
        <f>'Incurred Loss'!E90</f>
        <v/>
      </c>
      <c r="D6" s="24">
        <f>C6</f>
        <v/>
      </c>
      <c r="E6" s="24">
        <f>D6-B6</f>
        <v/>
      </c>
    </row>
    <row r="7">
      <c r="A7">
        <f>'Incurred Loss'!A91</f>
        <v/>
      </c>
      <c r="B7" s="24">
        <f>'Incurred Loss'!C91</f>
        <v/>
      </c>
      <c r="C7" s="24">
        <f>'Incurred Loss'!E91</f>
        <v/>
      </c>
      <c r="D7" s="24">
        <f>C7</f>
        <v/>
      </c>
      <c r="E7" s="24">
        <f>D7-B7</f>
        <v/>
      </c>
    </row>
    <row r="8">
      <c r="A8">
        <f>'Incurred Loss'!A92</f>
        <v/>
      </c>
      <c r="B8" s="24">
        <f>'Incurred Loss'!C92</f>
        <v/>
      </c>
      <c r="C8" s="24">
        <f>'Incurred Loss'!E92</f>
        <v/>
      </c>
      <c r="D8" s="24">
        <f>C8</f>
        <v/>
      </c>
      <c r="E8" s="24">
        <f>D8-B8</f>
        <v/>
      </c>
    </row>
    <row r="9">
      <c r="A9">
        <f>'Incurred Loss'!A93</f>
        <v/>
      </c>
      <c r="B9" s="24">
        <f>'Incurred Loss'!C93</f>
        <v/>
      </c>
      <c r="C9" s="24">
        <f>'Incurred Loss'!E93</f>
        <v/>
      </c>
      <c r="D9" s="24">
        <f>C9</f>
        <v/>
      </c>
      <c r="E9" s="24">
        <f>D9-B9</f>
        <v/>
      </c>
    </row>
    <row r="10">
      <c r="A10">
        <f>'Incurred Loss'!A94</f>
        <v/>
      </c>
      <c r="B10" s="24">
        <f>'Incurred Loss'!C94</f>
        <v/>
      </c>
      <c r="C10" s="24">
        <f>'Incurred Loss'!E94</f>
        <v/>
      </c>
      <c r="D10" s="24">
        <f>C10</f>
        <v/>
      </c>
      <c r="E10" s="24">
        <f>D10-B10</f>
        <v/>
      </c>
    </row>
    <row r="11">
      <c r="A11">
        <f>'Incurred Loss'!A95</f>
        <v/>
      </c>
      <c r="B11" s="24">
        <f>'Incurred Loss'!C95</f>
        <v/>
      </c>
      <c r="C11" s="24">
        <f>'Incurred Loss'!E95</f>
        <v/>
      </c>
      <c r="D11" s="24">
        <f>C11</f>
        <v/>
      </c>
      <c r="E11" s="24">
        <f>D11-B11</f>
        <v/>
      </c>
    </row>
    <row r="12">
      <c r="A12">
        <f>'Incurred Loss'!A96</f>
        <v/>
      </c>
      <c r="B12" s="24">
        <f>'Incurred Loss'!C96</f>
        <v/>
      </c>
      <c r="C12" s="24">
        <f>'Incurred Loss'!E96</f>
        <v/>
      </c>
      <c r="D12" s="24">
        <f>C12</f>
        <v/>
      </c>
      <c r="E12" s="24">
        <f>D12-B12</f>
        <v/>
      </c>
    </row>
    <row r="13">
      <c r="A13">
        <f>'Incurred Loss'!A97</f>
        <v/>
      </c>
      <c r="B13" s="24">
        <f>'Incurred Loss'!C97</f>
        <v/>
      </c>
      <c r="C13" s="24">
        <f>'Incurred Loss'!E97</f>
        <v/>
      </c>
      <c r="D13" s="24">
        <f>C13</f>
        <v/>
      </c>
      <c r="E13" s="24">
        <f>D13-B13</f>
        <v/>
      </c>
    </row>
    <row r="14">
      <c r="A14">
        <f>'Incurred Loss'!A98</f>
        <v/>
      </c>
      <c r="B14" s="24">
        <f>'Incurred Loss'!C98</f>
        <v/>
      </c>
      <c r="C14" s="24">
        <f>'Incurred Loss'!E98</f>
        <v/>
      </c>
      <c r="D14" s="24">
        <f>C14</f>
        <v/>
      </c>
      <c r="E14" s="24">
        <f>D14-B14</f>
        <v/>
      </c>
    </row>
    <row r="15">
      <c r="A15">
        <f>'Incurred Loss'!A99</f>
        <v/>
      </c>
      <c r="B15" s="24">
        <f>'Incurred Loss'!C99</f>
        <v/>
      </c>
      <c r="C15" s="24">
        <f>'Incurred Loss'!E99</f>
        <v/>
      </c>
      <c r="D15" s="24">
        <f>C15</f>
        <v/>
      </c>
      <c r="E15" s="24">
        <f>D15-B15</f>
        <v/>
      </c>
    </row>
    <row r="16">
      <c r="A16">
        <f>'Incurred Loss'!A100</f>
        <v/>
      </c>
      <c r="B16" s="24">
        <f>'Incurred Loss'!C100</f>
        <v/>
      </c>
      <c r="C16" s="24">
        <f>'Incurred Loss'!E100</f>
        <v/>
      </c>
      <c r="D16" s="24">
        <f>C16</f>
        <v/>
      </c>
      <c r="E16" s="24">
        <f>D16-B16</f>
        <v/>
      </c>
    </row>
    <row r="17">
      <c r="A17">
        <f>'Incurred Loss'!A101</f>
        <v/>
      </c>
      <c r="B17" s="24">
        <f>'Incurred Loss'!C101</f>
        <v/>
      </c>
      <c r="C17" s="24">
        <f>'Incurred Loss'!E101</f>
        <v/>
      </c>
      <c r="D17" s="24">
        <f>C17</f>
        <v/>
      </c>
      <c r="E17" s="24">
        <f>D17-B17</f>
        <v/>
      </c>
    </row>
    <row r="18">
      <c r="A18">
        <f>'Incurred Loss'!A102</f>
        <v/>
      </c>
      <c r="B18" s="24">
        <f>'Incurred Loss'!C102</f>
        <v/>
      </c>
      <c r="C18" s="24">
        <f>'Incurred Loss'!E102</f>
        <v/>
      </c>
      <c r="D18" s="24">
        <f>C18</f>
        <v/>
      </c>
      <c r="E18" s="24">
        <f>D18-B18</f>
        <v/>
      </c>
    </row>
    <row r="19">
      <c r="A19">
        <f>'Incurred Loss'!A103</f>
        <v/>
      </c>
      <c r="B19" s="24">
        <f>'Incurred Loss'!C103</f>
        <v/>
      </c>
      <c r="C19" s="24">
        <f>'Incurred Loss'!E103</f>
        <v/>
      </c>
      <c r="D19" s="24">
        <f>C19</f>
        <v/>
      </c>
      <c r="E19" s="24">
        <f>D19-B19</f>
        <v/>
      </c>
    </row>
    <row r="20">
      <c r="A20">
        <f>'Incurred Loss'!A104</f>
        <v/>
      </c>
      <c r="B20" s="24">
        <f>'Incurred Loss'!C104</f>
        <v/>
      </c>
      <c r="C20" s="24">
        <f>'Incurred Loss'!E104</f>
        <v/>
      </c>
      <c r="D20" s="24">
        <f>C20</f>
        <v/>
      </c>
      <c r="E20" s="24">
        <f>D20-B20</f>
        <v/>
      </c>
    </row>
    <row r="21">
      <c r="A21">
        <f>'Incurred Loss'!A105</f>
        <v/>
      </c>
      <c r="B21" s="24">
        <f>'Incurred Loss'!C105</f>
        <v/>
      </c>
      <c r="C21" s="24">
        <f>'Incurred Loss'!E105</f>
        <v/>
      </c>
      <c r="D21" s="24">
        <f>C21</f>
        <v/>
      </c>
      <c r="E21" s="24">
        <f>D21-B21</f>
        <v/>
      </c>
    </row>
    <row r="22">
      <c r="A22">
        <f>'Incurred Loss'!A106</f>
        <v/>
      </c>
      <c r="B22" s="24">
        <f>'Incurred Loss'!C106</f>
        <v/>
      </c>
      <c r="C22" s="24">
        <f>'Incurred Loss'!E106</f>
        <v/>
      </c>
      <c r="D22" s="24">
        <f>C22</f>
        <v/>
      </c>
      <c r="E22" s="24">
        <f>D22-B22</f>
        <v/>
      </c>
    </row>
    <row r="23">
      <c r="A23">
        <f>'Incurred Loss'!A107</f>
        <v/>
      </c>
      <c r="B23" s="24">
        <f>'Incurred Loss'!C107</f>
        <v/>
      </c>
      <c r="C23" s="24">
        <f>'Incurred Loss'!E107</f>
        <v/>
      </c>
      <c r="D23" s="24">
        <f>C23</f>
        <v/>
      </c>
      <c r="E23" s="24">
        <f>D23-B23</f>
        <v/>
      </c>
    </row>
    <row r="24">
      <c r="A24">
        <f>'Incurred Loss'!A108</f>
        <v/>
      </c>
      <c r="B24" s="24">
        <f>'Incurred Loss'!C108</f>
        <v/>
      </c>
      <c r="C24" s="24">
        <f>'Incurred Loss'!E108</f>
        <v/>
      </c>
      <c r="D24" s="24">
        <f>C24</f>
        <v/>
      </c>
      <c r="E24" s="24">
        <f>D24-B24</f>
        <v/>
      </c>
    </row>
    <row r="25">
      <c r="A25">
        <f>'Incurred Loss'!A109</f>
        <v/>
      </c>
      <c r="B25" s="24">
        <f>'Incurred Loss'!C109</f>
        <v/>
      </c>
      <c r="C25" s="24">
        <f>'Incurred Loss'!E109</f>
        <v/>
      </c>
      <c r="D25" s="24">
        <f>C25</f>
        <v/>
      </c>
      <c r="E25" s="24">
        <f>D25-B25</f>
        <v/>
      </c>
    </row>
    <row r="26">
      <c r="A26">
        <f>'Incurred Loss'!A110</f>
        <v/>
      </c>
      <c r="B26" s="24">
        <f>'Incurred Loss'!C110</f>
        <v/>
      </c>
      <c r="C26" s="24">
        <f>'Incurred Loss'!E110</f>
        <v/>
      </c>
      <c r="D26" s="24">
        <f>C26</f>
        <v/>
      </c>
      <c r="E26" s="24">
        <f>D26-B26</f>
        <v/>
      </c>
    </row>
    <row r="27">
      <c r="A27" s="27" t="inlineStr">
        <is>
          <t>Total</t>
        </is>
      </c>
      <c r="B27" s="28">
        <f>SUM(B3:B26)</f>
        <v/>
      </c>
      <c r="C27" s="28">
        <f>SUM(C3:C26)</f>
        <v/>
      </c>
      <c r="D27" s="28">
        <f>SUM(D3:D26)</f>
        <v/>
      </c>
      <c r="E27" s="28">
        <f>SUM(E3:E26)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8" customWidth="1" min="3" max="3"/>
    <col width="20" customWidth="1" min="4" max="4"/>
    <col width="14" customWidth="1" min="5" max="5"/>
  </cols>
  <sheetData>
    <row r="1">
      <c r="A1" s="25" t="inlineStr">
        <is>
          <t>Selected Ultimates — Paid Loss</t>
        </is>
      </c>
    </row>
    <row r="2">
      <c r="A2" s="26" t="inlineStr">
        <is>
          <t>Accident Period</t>
        </is>
      </c>
      <c r="B2" s="26" t="inlineStr">
        <is>
          <t>Actual (Latest)</t>
        </is>
      </c>
      <c r="C2" s="26" t="inlineStr">
        <is>
          <t>Chain Ladder Ult</t>
        </is>
      </c>
      <c r="D2" s="26" t="inlineStr">
        <is>
          <t>Selected Ultimate</t>
        </is>
      </c>
      <c r="E2" s="26" t="inlineStr">
        <is>
          <t>IBNR</t>
        </is>
      </c>
    </row>
    <row r="3">
      <c r="A3">
        <f>'Paid Loss'!A87</f>
        <v/>
      </c>
      <c r="B3" s="24">
        <f>'Paid Loss'!C87</f>
        <v/>
      </c>
      <c r="C3" s="24">
        <f>'Paid Loss'!E87</f>
        <v/>
      </c>
      <c r="D3" s="24">
        <f>C3</f>
        <v/>
      </c>
      <c r="E3" s="24">
        <f>D3-B3</f>
        <v/>
      </c>
    </row>
    <row r="4">
      <c r="A4">
        <f>'Paid Loss'!A88</f>
        <v/>
      </c>
      <c r="B4" s="24">
        <f>'Paid Loss'!C88</f>
        <v/>
      </c>
      <c r="C4" s="24">
        <f>'Paid Loss'!E88</f>
        <v/>
      </c>
      <c r="D4" s="24">
        <f>C4</f>
        <v/>
      </c>
      <c r="E4" s="24">
        <f>D4-B4</f>
        <v/>
      </c>
    </row>
    <row r="5">
      <c r="A5">
        <f>'Paid Loss'!A89</f>
        <v/>
      </c>
      <c r="B5" s="24">
        <f>'Paid Loss'!C89</f>
        <v/>
      </c>
      <c r="C5" s="24">
        <f>'Paid Loss'!E89</f>
        <v/>
      </c>
      <c r="D5" s="24">
        <f>C5</f>
        <v/>
      </c>
      <c r="E5" s="24">
        <f>D5-B5</f>
        <v/>
      </c>
    </row>
    <row r="6">
      <c r="A6">
        <f>'Paid Loss'!A90</f>
        <v/>
      </c>
      <c r="B6" s="24">
        <f>'Paid Loss'!C90</f>
        <v/>
      </c>
      <c r="C6" s="24">
        <f>'Paid Loss'!E90</f>
        <v/>
      </c>
      <c r="D6" s="24">
        <f>C6</f>
        <v/>
      </c>
      <c r="E6" s="24">
        <f>D6-B6</f>
        <v/>
      </c>
    </row>
    <row r="7">
      <c r="A7">
        <f>'Paid Loss'!A91</f>
        <v/>
      </c>
      <c r="B7" s="24">
        <f>'Paid Loss'!C91</f>
        <v/>
      </c>
      <c r="C7" s="24">
        <f>'Paid Loss'!E91</f>
        <v/>
      </c>
      <c r="D7" s="24">
        <f>C7</f>
        <v/>
      </c>
      <c r="E7" s="24">
        <f>D7-B7</f>
        <v/>
      </c>
    </row>
    <row r="8">
      <c r="A8">
        <f>'Paid Loss'!A92</f>
        <v/>
      </c>
      <c r="B8" s="24">
        <f>'Paid Loss'!C92</f>
        <v/>
      </c>
      <c r="C8" s="24">
        <f>'Paid Loss'!E92</f>
        <v/>
      </c>
      <c r="D8" s="24">
        <f>C8</f>
        <v/>
      </c>
      <c r="E8" s="24">
        <f>D8-B8</f>
        <v/>
      </c>
    </row>
    <row r="9">
      <c r="A9">
        <f>'Paid Loss'!A93</f>
        <v/>
      </c>
      <c r="B9" s="24">
        <f>'Paid Loss'!C93</f>
        <v/>
      </c>
      <c r="C9" s="24">
        <f>'Paid Loss'!E93</f>
        <v/>
      </c>
      <c r="D9" s="24">
        <f>C9</f>
        <v/>
      </c>
      <c r="E9" s="24">
        <f>D9-B9</f>
        <v/>
      </c>
    </row>
    <row r="10">
      <c r="A10">
        <f>'Paid Loss'!A94</f>
        <v/>
      </c>
      <c r="B10" s="24">
        <f>'Paid Loss'!C94</f>
        <v/>
      </c>
      <c r="C10" s="24">
        <f>'Paid Loss'!E94</f>
        <v/>
      </c>
      <c r="D10" s="24">
        <f>C10</f>
        <v/>
      </c>
      <c r="E10" s="24">
        <f>D10-B10</f>
        <v/>
      </c>
    </row>
    <row r="11">
      <c r="A11">
        <f>'Paid Loss'!A95</f>
        <v/>
      </c>
      <c r="B11" s="24">
        <f>'Paid Loss'!C95</f>
        <v/>
      </c>
      <c r="C11" s="24">
        <f>'Paid Loss'!E95</f>
        <v/>
      </c>
      <c r="D11" s="24">
        <f>C11</f>
        <v/>
      </c>
      <c r="E11" s="24">
        <f>D11-B11</f>
        <v/>
      </c>
    </row>
    <row r="12">
      <c r="A12">
        <f>'Paid Loss'!A96</f>
        <v/>
      </c>
      <c r="B12" s="24">
        <f>'Paid Loss'!C96</f>
        <v/>
      </c>
      <c r="C12" s="24">
        <f>'Paid Loss'!E96</f>
        <v/>
      </c>
      <c r="D12" s="24">
        <f>C12</f>
        <v/>
      </c>
      <c r="E12" s="24">
        <f>D12-B12</f>
        <v/>
      </c>
    </row>
    <row r="13">
      <c r="A13">
        <f>'Paid Loss'!A97</f>
        <v/>
      </c>
      <c r="B13" s="24">
        <f>'Paid Loss'!C97</f>
        <v/>
      </c>
      <c r="C13" s="24">
        <f>'Paid Loss'!E97</f>
        <v/>
      </c>
      <c r="D13" s="24">
        <f>C13</f>
        <v/>
      </c>
      <c r="E13" s="24">
        <f>D13-B13</f>
        <v/>
      </c>
    </row>
    <row r="14">
      <c r="A14">
        <f>'Paid Loss'!A98</f>
        <v/>
      </c>
      <c r="B14" s="24">
        <f>'Paid Loss'!C98</f>
        <v/>
      </c>
      <c r="C14" s="24">
        <f>'Paid Loss'!E98</f>
        <v/>
      </c>
      <c r="D14" s="24">
        <f>C14</f>
        <v/>
      </c>
      <c r="E14" s="24">
        <f>D14-B14</f>
        <v/>
      </c>
    </row>
    <row r="15">
      <c r="A15">
        <f>'Paid Loss'!A99</f>
        <v/>
      </c>
      <c r="B15" s="24">
        <f>'Paid Loss'!C99</f>
        <v/>
      </c>
      <c r="C15" s="24">
        <f>'Paid Loss'!E99</f>
        <v/>
      </c>
      <c r="D15" s="24">
        <f>C15</f>
        <v/>
      </c>
      <c r="E15" s="24">
        <f>D15-B15</f>
        <v/>
      </c>
    </row>
    <row r="16">
      <c r="A16">
        <f>'Paid Loss'!A100</f>
        <v/>
      </c>
      <c r="B16" s="24">
        <f>'Paid Loss'!C100</f>
        <v/>
      </c>
      <c r="C16" s="24">
        <f>'Paid Loss'!E100</f>
        <v/>
      </c>
      <c r="D16" s="24">
        <f>C16</f>
        <v/>
      </c>
      <c r="E16" s="24">
        <f>D16-B16</f>
        <v/>
      </c>
    </row>
    <row r="17">
      <c r="A17">
        <f>'Paid Loss'!A101</f>
        <v/>
      </c>
      <c r="B17" s="24">
        <f>'Paid Loss'!C101</f>
        <v/>
      </c>
      <c r="C17" s="24">
        <f>'Paid Loss'!E101</f>
        <v/>
      </c>
      <c r="D17" s="24">
        <f>C17</f>
        <v/>
      </c>
      <c r="E17" s="24">
        <f>D17-B17</f>
        <v/>
      </c>
    </row>
    <row r="18">
      <c r="A18">
        <f>'Paid Loss'!A102</f>
        <v/>
      </c>
      <c r="B18" s="24">
        <f>'Paid Loss'!C102</f>
        <v/>
      </c>
      <c r="C18" s="24">
        <f>'Paid Loss'!E102</f>
        <v/>
      </c>
      <c r="D18" s="24">
        <f>C18</f>
        <v/>
      </c>
      <c r="E18" s="24">
        <f>D18-B18</f>
        <v/>
      </c>
    </row>
    <row r="19">
      <c r="A19">
        <f>'Paid Loss'!A103</f>
        <v/>
      </c>
      <c r="B19" s="24">
        <f>'Paid Loss'!C103</f>
        <v/>
      </c>
      <c r="C19" s="24">
        <f>'Paid Loss'!E103</f>
        <v/>
      </c>
      <c r="D19" s="24">
        <f>C19</f>
        <v/>
      </c>
      <c r="E19" s="24">
        <f>D19-B19</f>
        <v/>
      </c>
    </row>
    <row r="20">
      <c r="A20">
        <f>'Paid Loss'!A104</f>
        <v/>
      </c>
      <c r="B20" s="24">
        <f>'Paid Loss'!C104</f>
        <v/>
      </c>
      <c r="C20" s="24">
        <f>'Paid Loss'!E104</f>
        <v/>
      </c>
      <c r="D20" s="24">
        <f>C20</f>
        <v/>
      </c>
      <c r="E20" s="24">
        <f>D20-B20</f>
        <v/>
      </c>
    </row>
    <row r="21">
      <c r="A21">
        <f>'Paid Loss'!A105</f>
        <v/>
      </c>
      <c r="B21" s="24">
        <f>'Paid Loss'!C105</f>
        <v/>
      </c>
      <c r="C21" s="24">
        <f>'Paid Loss'!E105</f>
        <v/>
      </c>
      <c r="D21" s="24">
        <f>C21</f>
        <v/>
      </c>
      <c r="E21" s="24">
        <f>D21-B21</f>
        <v/>
      </c>
    </row>
    <row r="22">
      <c r="A22">
        <f>'Paid Loss'!A106</f>
        <v/>
      </c>
      <c r="B22" s="24">
        <f>'Paid Loss'!C106</f>
        <v/>
      </c>
      <c r="C22" s="24">
        <f>'Paid Loss'!E106</f>
        <v/>
      </c>
      <c r="D22" s="24">
        <f>C22</f>
        <v/>
      </c>
      <c r="E22" s="24">
        <f>D22-B22</f>
        <v/>
      </c>
    </row>
    <row r="23">
      <c r="A23">
        <f>'Paid Loss'!A107</f>
        <v/>
      </c>
      <c r="B23" s="24">
        <f>'Paid Loss'!C107</f>
        <v/>
      </c>
      <c r="C23" s="24">
        <f>'Paid Loss'!E107</f>
        <v/>
      </c>
      <c r="D23" s="24">
        <f>C23</f>
        <v/>
      </c>
      <c r="E23" s="24">
        <f>D23-B23</f>
        <v/>
      </c>
    </row>
    <row r="24">
      <c r="A24">
        <f>'Paid Loss'!A108</f>
        <v/>
      </c>
      <c r="B24" s="24">
        <f>'Paid Loss'!C108</f>
        <v/>
      </c>
      <c r="C24" s="24">
        <f>'Paid Loss'!E108</f>
        <v/>
      </c>
      <c r="D24" s="24">
        <f>C24</f>
        <v/>
      </c>
      <c r="E24" s="24">
        <f>D24-B24</f>
        <v/>
      </c>
    </row>
    <row r="25">
      <c r="A25">
        <f>'Paid Loss'!A109</f>
        <v/>
      </c>
      <c r="B25" s="24">
        <f>'Paid Loss'!C109</f>
        <v/>
      </c>
      <c r="C25" s="24">
        <f>'Paid Loss'!E109</f>
        <v/>
      </c>
      <c r="D25" s="24">
        <f>C25</f>
        <v/>
      </c>
      <c r="E25" s="24">
        <f>D25-B25</f>
        <v/>
      </c>
    </row>
    <row r="26">
      <c r="A26">
        <f>'Paid Loss'!A110</f>
        <v/>
      </c>
      <c r="B26" s="24">
        <f>'Paid Loss'!C110</f>
        <v/>
      </c>
      <c r="C26" s="24">
        <f>'Paid Loss'!E110</f>
        <v/>
      </c>
      <c r="D26" s="24">
        <f>C26</f>
        <v/>
      </c>
      <c r="E26" s="24">
        <f>D26-B26</f>
        <v/>
      </c>
    </row>
    <row r="27">
      <c r="A27" s="27" t="inlineStr">
        <is>
          <t>Total</t>
        </is>
      </c>
      <c r="B27" s="28">
        <f>SUM(B3:B26)</f>
        <v/>
      </c>
      <c r="C27" s="28">
        <f>SUM(C3:C26)</f>
        <v/>
      </c>
      <c r="D27" s="28">
        <f>SUM(D3:D26)</f>
        <v/>
      </c>
      <c r="E27" s="28">
        <f>SUM(E3:E26)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25" t="inlineStr">
        <is>
          <t>Closed to Ultimate — ratio triangle</t>
        </is>
      </c>
    </row>
    <row r="2">
      <c r="A2" s="20" t="inlineStr">
        <is>
          <t>Period</t>
        </is>
      </c>
      <c r="B2" s="26">
        <f>'Closed Count'!B$2</f>
        <v/>
      </c>
      <c r="C2" s="26">
        <f>'Closed Count'!C$2</f>
        <v/>
      </c>
      <c r="D2" s="26">
        <f>'Closed Count'!D$2</f>
        <v/>
      </c>
      <c r="E2" s="26">
        <f>'Closed Count'!E$2</f>
        <v/>
      </c>
      <c r="F2" s="26">
        <f>'Closed Count'!F$2</f>
        <v/>
      </c>
      <c r="G2" s="26">
        <f>'Closed Count'!G$2</f>
        <v/>
      </c>
      <c r="H2" s="26">
        <f>'Closed Count'!H$2</f>
        <v/>
      </c>
      <c r="I2" s="26">
        <f>'Closed Count'!I$2</f>
        <v/>
      </c>
      <c r="J2" s="26">
        <f>'Closed Count'!J$2</f>
        <v/>
      </c>
      <c r="K2" s="26">
        <f>'Closed Count'!K$2</f>
        <v/>
      </c>
      <c r="L2" s="26">
        <f>'Closed Count'!L$2</f>
        <v/>
      </c>
      <c r="M2" s="26">
        <f>'Closed Count'!M$2</f>
        <v/>
      </c>
      <c r="N2" s="26">
        <f>'Closed Count'!N$2</f>
        <v/>
      </c>
      <c r="O2" s="26">
        <f>'Closed Count'!O$2</f>
        <v/>
      </c>
      <c r="P2" s="26">
        <f>'Closed Count'!P$2</f>
        <v/>
      </c>
      <c r="Q2" s="26">
        <f>'Closed Count'!Q$2</f>
        <v/>
      </c>
      <c r="R2" s="26">
        <f>'Closed Count'!R$2</f>
        <v/>
      </c>
      <c r="S2" s="26">
        <f>'Closed Count'!S$2</f>
        <v/>
      </c>
      <c r="T2" s="26">
        <f>'Closed Count'!T$2</f>
        <v/>
      </c>
      <c r="U2" s="26">
        <f>'Closed Count'!U$2</f>
        <v/>
      </c>
      <c r="V2" s="26">
        <f>'Closed Count'!V$2</f>
        <v/>
      </c>
      <c r="W2" s="26">
        <f>'Closed Count'!W$2</f>
        <v/>
      </c>
      <c r="X2" s="26">
        <f>'Closed Count'!X$2</f>
        <v/>
      </c>
      <c r="Y2" s="26">
        <f>'Closed Count'!Y$2</f>
        <v/>
      </c>
    </row>
    <row r="3">
      <c r="A3">
        <f>'Closed Count'!A3</f>
        <v/>
      </c>
      <c r="B3" s="22">
        <f>IFERROR(IF('Closed Count'!B3="","",'Closed Count'!B3/'Sel Ults - Closed Count'!D3),"")</f>
        <v/>
      </c>
      <c r="C3" s="22">
        <f>IFERROR(IF('Closed Count'!C3="","",'Closed Count'!C3/'Sel Ults - Closed Count'!D3),"")</f>
        <v/>
      </c>
      <c r="D3" s="22">
        <f>IFERROR(IF('Closed Count'!D3="","",'Closed Count'!D3/'Sel Ults - Closed Count'!D3),"")</f>
        <v/>
      </c>
      <c r="E3" s="22">
        <f>IFERROR(IF('Closed Count'!E3="","",'Closed Count'!E3/'Sel Ults - Closed Count'!D3),"")</f>
        <v/>
      </c>
      <c r="F3" s="22">
        <f>IFERROR(IF('Closed Count'!F3="","",'Closed Count'!F3/'Sel Ults - Closed Count'!D3),"")</f>
        <v/>
      </c>
      <c r="G3" s="22">
        <f>IFERROR(IF('Closed Count'!G3="","",'Closed Count'!G3/'Sel Ults - Closed Count'!D3),"")</f>
        <v/>
      </c>
      <c r="H3" s="22">
        <f>IFERROR(IF('Closed Count'!H3="","",'Closed Count'!H3/'Sel Ults - Closed Count'!D3),"")</f>
        <v/>
      </c>
      <c r="I3" s="22">
        <f>IFERROR(IF('Closed Count'!I3="","",'Closed Count'!I3/'Sel Ults - Closed Count'!D3),"")</f>
        <v/>
      </c>
      <c r="J3" s="22">
        <f>IFERROR(IF('Closed Count'!J3="","",'Closed Count'!J3/'Sel Ults - Closed Count'!D3),"")</f>
        <v/>
      </c>
      <c r="K3" s="22">
        <f>IFERROR(IF('Closed Count'!K3="","",'Closed Count'!K3/'Sel Ults - Closed Count'!D3),"")</f>
        <v/>
      </c>
      <c r="L3" s="22">
        <f>IFERROR(IF('Closed Count'!L3="","",'Closed Count'!L3/'Sel Ults - Closed Count'!D3),"")</f>
        <v/>
      </c>
      <c r="M3" s="22">
        <f>IFERROR(IF('Closed Count'!M3="","",'Closed Count'!M3/'Sel Ults - Closed Count'!D3),"")</f>
        <v/>
      </c>
      <c r="N3" s="22">
        <f>IFERROR(IF('Closed Count'!N3="","",'Closed Count'!N3/'Sel Ults - Closed Count'!D3),"")</f>
        <v/>
      </c>
      <c r="O3" s="22">
        <f>IFERROR(IF('Closed Count'!O3="","",'Closed Count'!O3/'Sel Ults - Closed Count'!D3),"")</f>
        <v/>
      </c>
      <c r="P3" s="22">
        <f>IFERROR(IF('Closed Count'!P3="","",'Closed Count'!P3/'Sel Ults - Closed Count'!D3),"")</f>
        <v/>
      </c>
      <c r="Q3" s="22">
        <f>IFERROR(IF('Closed Count'!Q3="","",'Closed Count'!Q3/'Sel Ults - Closed Count'!D3),"")</f>
        <v/>
      </c>
      <c r="R3" s="22">
        <f>IFERROR(IF('Closed Count'!R3="","",'Closed Count'!R3/'Sel Ults - Closed Count'!D3),"")</f>
        <v/>
      </c>
      <c r="S3" s="22">
        <f>IFERROR(IF('Closed Count'!S3="","",'Closed Count'!S3/'Sel Ults - Closed Count'!D3),"")</f>
        <v/>
      </c>
      <c r="T3" s="22">
        <f>IFERROR(IF('Closed Count'!T3="","",'Closed Count'!T3/'Sel Ults - Closed Count'!D3),"")</f>
        <v/>
      </c>
      <c r="U3" s="22">
        <f>IFERROR(IF('Closed Count'!U3="","",'Closed Count'!U3/'Sel Ults - Closed Count'!D3),"")</f>
        <v/>
      </c>
      <c r="V3" s="22">
        <f>IFERROR(IF('Closed Count'!V3="","",'Closed Count'!V3/'Sel Ults - Closed Count'!D3),"")</f>
        <v/>
      </c>
      <c r="W3" s="22">
        <f>IFERROR(IF('Closed Count'!W3="","",'Closed Count'!W3/'Sel Ults - Closed Count'!D3),"")</f>
        <v/>
      </c>
      <c r="X3" s="22">
        <f>IFERROR(IF('Closed Count'!X3="","",'Closed Count'!X3/'Sel Ults - Closed Count'!D3),"")</f>
        <v/>
      </c>
      <c r="Y3" s="22">
        <f>IFERROR(IF('Closed Count'!Y3="","",'Closed Count'!Y3/'Sel Ults - Closed Count'!D3),"")</f>
        <v/>
      </c>
    </row>
    <row r="4">
      <c r="A4">
        <f>'Closed Count'!A4</f>
        <v/>
      </c>
      <c r="B4" s="22">
        <f>IFERROR(IF('Closed Count'!B4="","",'Closed Count'!B4/'Sel Ults - Closed Count'!D4),"")</f>
        <v/>
      </c>
      <c r="C4" s="22">
        <f>IFERROR(IF('Closed Count'!C4="","",'Closed Count'!C4/'Sel Ults - Closed Count'!D4),"")</f>
        <v/>
      </c>
      <c r="D4" s="22">
        <f>IFERROR(IF('Closed Count'!D4="","",'Closed Count'!D4/'Sel Ults - Closed Count'!D4),"")</f>
        <v/>
      </c>
      <c r="E4" s="22">
        <f>IFERROR(IF('Closed Count'!E4="","",'Closed Count'!E4/'Sel Ults - Closed Count'!D4),"")</f>
        <v/>
      </c>
      <c r="F4" s="22">
        <f>IFERROR(IF('Closed Count'!F4="","",'Closed Count'!F4/'Sel Ults - Closed Count'!D4),"")</f>
        <v/>
      </c>
      <c r="G4" s="22">
        <f>IFERROR(IF('Closed Count'!G4="","",'Closed Count'!G4/'Sel Ults - Closed Count'!D4),"")</f>
        <v/>
      </c>
      <c r="H4" s="22">
        <f>IFERROR(IF('Closed Count'!H4="","",'Closed Count'!H4/'Sel Ults - Closed Count'!D4),"")</f>
        <v/>
      </c>
      <c r="I4" s="22">
        <f>IFERROR(IF('Closed Count'!I4="","",'Closed Count'!I4/'Sel Ults - Closed Count'!D4),"")</f>
        <v/>
      </c>
      <c r="J4" s="22">
        <f>IFERROR(IF('Closed Count'!J4="","",'Closed Count'!J4/'Sel Ults - Closed Count'!D4),"")</f>
        <v/>
      </c>
      <c r="K4" s="22">
        <f>IFERROR(IF('Closed Count'!K4="","",'Closed Count'!K4/'Sel Ults - Closed Count'!D4),"")</f>
        <v/>
      </c>
      <c r="L4" s="22">
        <f>IFERROR(IF('Closed Count'!L4="","",'Closed Count'!L4/'Sel Ults - Closed Count'!D4),"")</f>
        <v/>
      </c>
      <c r="M4" s="22">
        <f>IFERROR(IF('Closed Count'!M4="","",'Closed Count'!M4/'Sel Ults - Closed Count'!D4),"")</f>
        <v/>
      </c>
      <c r="N4" s="22">
        <f>IFERROR(IF('Closed Count'!N4="","",'Closed Count'!N4/'Sel Ults - Closed Count'!D4),"")</f>
        <v/>
      </c>
      <c r="O4" s="22">
        <f>IFERROR(IF('Closed Count'!O4="","",'Closed Count'!O4/'Sel Ults - Closed Count'!D4),"")</f>
        <v/>
      </c>
      <c r="P4" s="22">
        <f>IFERROR(IF('Closed Count'!P4="","",'Closed Count'!P4/'Sel Ults - Closed Count'!D4),"")</f>
        <v/>
      </c>
      <c r="Q4" s="22">
        <f>IFERROR(IF('Closed Count'!Q4="","",'Closed Count'!Q4/'Sel Ults - Closed Count'!D4),"")</f>
        <v/>
      </c>
      <c r="R4" s="22">
        <f>IFERROR(IF('Closed Count'!R4="","",'Closed Count'!R4/'Sel Ults - Closed Count'!D4),"")</f>
        <v/>
      </c>
      <c r="S4" s="22">
        <f>IFERROR(IF('Closed Count'!S4="","",'Closed Count'!S4/'Sel Ults - Closed Count'!D4),"")</f>
        <v/>
      </c>
      <c r="T4" s="22">
        <f>IFERROR(IF('Closed Count'!T4="","",'Closed Count'!T4/'Sel Ults - Closed Count'!D4),"")</f>
        <v/>
      </c>
      <c r="U4" s="22">
        <f>IFERROR(IF('Closed Count'!U4="","",'Closed Count'!U4/'Sel Ults - Closed Count'!D4),"")</f>
        <v/>
      </c>
      <c r="V4" s="22">
        <f>IFERROR(IF('Closed Count'!V4="","",'Closed Count'!V4/'Sel Ults - Closed Count'!D4),"")</f>
        <v/>
      </c>
      <c r="W4" s="22">
        <f>IFERROR(IF('Closed Count'!W4="","",'Closed Count'!W4/'Sel Ults - Closed Count'!D4),"")</f>
        <v/>
      </c>
      <c r="X4" s="22">
        <f>IFERROR(IF('Closed Count'!X4="","",'Closed Count'!X4/'Sel Ults - Closed Count'!D4),"")</f>
        <v/>
      </c>
      <c r="Y4" s="22">
        <f>IFERROR(IF('Closed Count'!Y4="","",'Closed Count'!Y4/'Sel Ults - Closed Count'!D4),"")</f>
        <v/>
      </c>
    </row>
    <row r="5">
      <c r="A5">
        <f>'Closed Count'!A5</f>
        <v/>
      </c>
      <c r="B5" s="22">
        <f>IFERROR(IF('Closed Count'!B5="","",'Closed Count'!B5/'Sel Ults - Closed Count'!D5),"")</f>
        <v/>
      </c>
      <c r="C5" s="22">
        <f>IFERROR(IF('Closed Count'!C5="","",'Closed Count'!C5/'Sel Ults - Closed Count'!D5),"")</f>
        <v/>
      </c>
      <c r="D5" s="22">
        <f>IFERROR(IF('Closed Count'!D5="","",'Closed Count'!D5/'Sel Ults - Closed Count'!D5),"")</f>
        <v/>
      </c>
      <c r="E5" s="22">
        <f>IFERROR(IF('Closed Count'!E5="","",'Closed Count'!E5/'Sel Ults - Closed Count'!D5),"")</f>
        <v/>
      </c>
      <c r="F5" s="22">
        <f>IFERROR(IF('Closed Count'!F5="","",'Closed Count'!F5/'Sel Ults - Closed Count'!D5),"")</f>
        <v/>
      </c>
      <c r="G5" s="22">
        <f>IFERROR(IF('Closed Count'!G5="","",'Closed Count'!G5/'Sel Ults - Closed Count'!D5),"")</f>
        <v/>
      </c>
      <c r="H5" s="22">
        <f>IFERROR(IF('Closed Count'!H5="","",'Closed Count'!H5/'Sel Ults - Closed Count'!D5),"")</f>
        <v/>
      </c>
      <c r="I5" s="22">
        <f>IFERROR(IF('Closed Count'!I5="","",'Closed Count'!I5/'Sel Ults - Closed Count'!D5),"")</f>
        <v/>
      </c>
      <c r="J5" s="22">
        <f>IFERROR(IF('Closed Count'!J5="","",'Closed Count'!J5/'Sel Ults - Closed Count'!D5),"")</f>
        <v/>
      </c>
      <c r="K5" s="22">
        <f>IFERROR(IF('Closed Count'!K5="","",'Closed Count'!K5/'Sel Ults - Closed Count'!D5),"")</f>
        <v/>
      </c>
      <c r="L5" s="22">
        <f>IFERROR(IF('Closed Count'!L5="","",'Closed Count'!L5/'Sel Ults - Closed Count'!D5),"")</f>
        <v/>
      </c>
      <c r="M5" s="22">
        <f>IFERROR(IF('Closed Count'!M5="","",'Closed Count'!M5/'Sel Ults - Closed Count'!D5),"")</f>
        <v/>
      </c>
      <c r="N5" s="22">
        <f>IFERROR(IF('Closed Count'!N5="","",'Closed Count'!N5/'Sel Ults - Closed Count'!D5),"")</f>
        <v/>
      </c>
      <c r="O5" s="22">
        <f>IFERROR(IF('Closed Count'!O5="","",'Closed Count'!O5/'Sel Ults - Closed Count'!D5),"")</f>
        <v/>
      </c>
      <c r="P5" s="22">
        <f>IFERROR(IF('Closed Count'!P5="","",'Closed Count'!P5/'Sel Ults - Closed Count'!D5),"")</f>
        <v/>
      </c>
      <c r="Q5" s="22">
        <f>IFERROR(IF('Closed Count'!Q5="","",'Closed Count'!Q5/'Sel Ults - Closed Count'!D5),"")</f>
        <v/>
      </c>
      <c r="R5" s="22">
        <f>IFERROR(IF('Closed Count'!R5="","",'Closed Count'!R5/'Sel Ults - Closed Count'!D5),"")</f>
        <v/>
      </c>
      <c r="S5" s="22">
        <f>IFERROR(IF('Closed Count'!S5="","",'Closed Count'!S5/'Sel Ults - Closed Count'!D5),"")</f>
        <v/>
      </c>
      <c r="T5" s="22">
        <f>IFERROR(IF('Closed Count'!T5="","",'Closed Count'!T5/'Sel Ults - Closed Count'!D5),"")</f>
        <v/>
      </c>
      <c r="U5" s="22">
        <f>IFERROR(IF('Closed Count'!U5="","",'Closed Count'!U5/'Sel Ults - Closed Count'!D5),"")</f>
        <v/>
      </c>
      <c r="V5" s="22">
        <f>IFERROR(IF('Closed Count'!V5="","",'Closed Count'!V5/'Sel Ults - Closed Count'!D5),"")</f>
        <v/>
      </c>
      <c r="W5" s="22">
        <f>IFERROR(IF('Closed Count'!W5="","",'Closed Count'!W5/'Sel Ults - Closed Count'!D5),"")</f>
        <v/>
      </c>
      <c r="X5" s="22">
        <f>IFERROR(IF('Closed Count'!X5="","",'Closed Count'!X5/'Sel Ults - Closed Count'!D5),"")</f>
        <v/>
      </c>
      <c r="Y5" s="22">
        <f>IFERROR(IF('Closed Count'!Y5="","",'Closed Count'!Y5/'Sel Ults - Closed Count'!D5),"")</f>
        <v/>
      </c>
    </row>
    <row r="6">
      <c r="A6">
        <f>'Closed Count'!A6</f>
        <v/>
      </c>
      <c r="B6" s="22">
        <f>IFERROR(IF('Closed Count'!B6="","",'Closed Count'!B6/'Sel Ults - Closed Count'!D6),"")</f>
        <v/>
      </c>
      <c r="C6" s="22">
        <f>IFERROR(IF('Closed Count'!C6="","",'Closed Count'!C6/'Sel Ults - Closed Count'!D6),"")</f>
        <v/>
      </c>
      <c r="D6" s="22">
        <f>IFERROR(IF('Closed Count'!D6="","",'Closed Count'!D6/'Sel Ults - Closed Count'!D6),"")</f>
        <v/>
      </c>
      <c r="E6" s="22">
        <f>IFERROR(IF('Closed Count'!E6="","",'Closed Count'!E6/'Sel Ults - Closed Count'!D6),"")</f>
        <v/>
      </c>
      <c r="F6" s="22">
        <f>IFERROR(IF('Closed Count'!F6="","",'Closed Count'!F6/'Sel Ults - Closed Count'!D6),"")</f>
        <v/>
      </c>
      <c r="G6" s="22">
        <f>IFERROR(IF('Closed Count'!G6="","",'Closed Count'!G6/'Sel Ults - Closed Count'!D6),"")</f>
        <v/>
      </c>
      <c r="H6" s="22">
        <f>IFERROR(IF('Closed Count'!H6="","",'Closed Count'!H6/'Sel Ults - Closed Count'!D6),"")</f>
        <v/>
      </c>
      <c r="I6" s="22">
        <f>IFERROR(IF('Closed Count'!I6="","",'Closed Count'!I6/'Sel Ults - Closed Count'!D6),"")</f>
        <v/>
      </c>
      <c r="J6" s="22">
        <f>IFERROR(IF('Closed Count'!J6="","",'Closed Count'!J6/'Sel Ults - Closed Count'!D6),"")</f>
        <v/>
      </c>
      <c r="K6" s="22">
        <f>IFERROR(IF('Closed Count'!K6="","",'Closed Count'!K6/'Sel Ults - Closed Count'!D6),"")</f>
        <v/>
      </c>
      <c r="L6" s="22">
        <f>IFERROR(IF('Closed Count'!L6="","",'Closed Count'!L6/'Sel Ults - Closed Count'!D6),"")</f>
        <v/>
      </c>
      <c r="M6" s="22">
        <f>IFERROR(IF('Closed Count'!M6="","",'Closed Count'!M6/'Sel Ults - Closed Count'!D6),"")</f>
        <v/>
      </c>
      <c r="N6" s="22">
        <f>IFERROR(IF('Closed Count'!N6="","",'Closed Count'!N6/'Sel Ults - Closed Count'!D6),"")</f>
        <v/>
      </c>
      <c r="O6" s="22">
        <f>IFERROR(IF('Closed Count'!O6="","",'Closed Count'!O6/'Sel Ults - Closed Count'!D6),"")</f>
        <v/>
      </c>
      <c r="P6" s="22">
        <f>IFERROR(IF('Closed Count'!P6="","",'Closed Count'!P6/'Sel Ults - Closed Count'!D6),"")</f>
        <v/>
      </c>
      <c r="Q6" s="22">
        <f>IFERROR(IF('Closed Count'!Q6="","",'Closed Count'!Q6/'Sel Ults - Closed Count'!D6),"")</f>
        <v/>
      </c>
      <c r="R6" s="22">
        <f>IFERROR(IF('Closed Count'!R6="","",'Closed Count'!R6/'Sel Ults - Closed Count'!D6),"")</f>
        <v/>
      </c>
      <c r="S6" s="22">
        <f>IFERROR(IF('Closed Count'!S6="","",'Closed Count'!S6/'Sel Ults - Closed Count'!D6),"")</f>
        <v/>
      </c>
      <c r="T6" s="22">
        <f>IFERROR(IF('Closed Count'!T6="","",'Closed Count'!T6/'Sel Ults - Closed Count'!D6),"")</f>
        <v/>
      </c>
      <c r="U6" s="22">
        <f>IFERROR(IF('Closed Count'!U6="","",'Closed Count'!U6/'Sel Ults - Closed Count'!D6),"")</f>
        <v/>
      </c>
      <c r="V6" s="22">
        <f>IFERROR(IF('Closed Count'!V6="","",'Closed Count'!V6/'Sel Ults - Closed Count'!D6),"")</f>
        <v/>
      </c>
      <c r="W6" s="22">
        <f>IFERROR(IF('Closed Count'!W6="","",'Closed Count'!W6/'Sel Ults - Closed Count'!D6),"")</f>
        <v/>
      </c>
      <c r="X6" s="22">
        <f>IFERROR(IF('Closed Count'!X6="","",'Closed Count'!X6/'Sel Ults - Closed Count'!D6),"")</f>
        <v/>
      </c>
      <c r="Y6" s="22">
        <f>IFERROR(IF('Closed Count'!Y6="","",'Closed Count'!Y6/'Sel Ults - Closed Count'!D6),"")</f>
        <v/>
      </c>
    </row>
    <row r="7">
      <c r="A7">
        <f>'Closed Count'!A7</f>
        <v/>
      </c>
      <c r="B7" s="22">
        <f>IFERROR(IF('Closed Count'!B7="","",'Closed Count'!B7/'Sel Ults - Closed Count'!D7),"")</f>
        <v/>
      </c>
      <c r="C7" s="22">
        <f>IFERROR(IF('Closed Count'!C7="","",'Closed Count'!C7/'Sel Ults - Closed Count'!D7),"")</f>
        <v/>
      </c>
      <c r="D7" s="22">
        <f>IFERROR(IF('Closed Count'!D7="","",'Closed Count'!D7/'Sel Ults - Closed Count'!D7),"")</f>
        <v/>
      </c>
      <c r="E7" s="22">
        <f>IFERROR(IF('Closed Count'!E7="","",'Closed Count'!E7/'Sel Ults - Closed Count'!D7),"")</f>
        <v/>
      </c>
      <c r="F7" s="22">
        <f>IFERROR(IF('Closed Count'!F7="","",'Closed Count'!F7/'Sel Ults - Closed Count'!D7),"")</f>
        <v/>
      </c>
      <c r="G7" s="22">
        <f>IFERROR(IF('Closed Count'!G7="","",'Closed Count'!G7/'Sel Ults - Closed Count'!D7),"")</f>
        <v/>
      </c>
      <c r="H7" s="22">
        <f>IFERROR(IF('Closed Count'!H7="","",'Closed Count'!H7/'Sel Ults - Closed Count'!D7),"")</f>
        <v/>
      </c>
      <c r="I7" s="22">
        <f>IFERROR(IF('Closed Count'!I7="","",'Closed Count'!I7/'Sel Ults - Closed Count'!D7),"")</f>
        <v/>
      </c>
      <c r="J7" s="22">
        <f>IFERROR(IF('Closed Count'!J7="","",'Closed Count'!J7/'Sel Ults - Closed Count'!D7),"")</f>
        <v/>
      </c>
      <c r="K7" s="22">
        <f>IFERROR(IF('Closed Count'!K7="","",'Closed Count'!K7/'Sel Ults - Closed Count'!D7),"")</f>
        <v/>
      </c>
      <c r="L7" s="22">
        <f>IFERROR(IF('Closed Count'!L7="","",'Closed Count'!L7/'Sel Ults - Closed Count'!D7),"")</f>
        <v/>
      </c>
      <c r="M7" s="22">
        <f>IFERROR(IF('Closed Count'!M7="","",'Closed Count'!M7/'Sel Ults - Closed Count'!D7),"")</f>
        <v/>
      </c>
      <c r="N7" s="22">
        <f>IFERROR(IF('Closed Count'!N7="","",'Closed Count'!N7/'Sel Ults - Closed Count'!D7),"")</f>
        <v/>
      </c>
      <c r="O7" s="22">
        <f>IFERROR(IF('Closed Count'!O7="","",'Closed Count'!O7/'Sel Ults - Closed Count'!D7),"")</f>
        <v/>
      </c>
      <c r="P7" s="22">
        <f>IFERROR(IF('Closed Count'!P7="","",'Closed Count'!P7/'Sel Ults - Closed Count'!D7),"")</f>
        <v/>
      </c>
      <c r="Q7" s="22">
        <f>IFERROR(IF('Closed Count'!Q7="","",'Closed Count'!Q7/'Sel Ults - Closed Count'!D7),"")</f>
        <v/>
      </c>
      <c r="R7" s="22">
        <f>IFERROR(IF('Closed Count'!R7="","",'Closed Count'!R7/'Sel Ults - Closed Count'!D7),"")</f>
        <v/>
      </c>
      <c r="S7" s="22">
        <f>IFERROR(IF('Closed Count'!S7="","",'Closed Count'!S7/'Sel Ults - Closed Count'!D7),"")</f>
        <v/>
      </c>
      <c r="T7" s="22">
        <f>IFERROR(IF('Closed Count'!T7="","",'Closed Count'!T7/'Sel Ults - Closed Count'!D7),"")</f>
        <v/>
      </c>
      <c r="U7" s="22">
        <f>IFERROR(IF('Closed Count'!U7="","",'Closed Count'!U7/'Sel Ults - Closed Count'!D7),"")</f>
        <v/>
      </c>
      <c r="V7" s="22">
        <f>IFERROR(IF('Closed Count'!V7="","",'Closed Count'!V7/'Sel Ults - Closed Count'!D7),"")</f>
        <v/>
      </c>
      <c r="W7" s="22">
        <f>IFERROR(IF('Closed Count'!W7="","",'Closed Count'!W7/'Sel Ults - Closed Count'!D7),"")</f>
        <v/>
      </c>
      <c r="X7" s="22">
        <f>IFERROR(IF('Closed Count'!X7="","",'Closed Count'!X7/'Sel Ults - Closed Count'!D7),"")</f>
        <v/>
      </c>
      <c r="Y7" s="22">
        <f>IFERROR(IF('Closed Count'!Y7="","",'Closed Count'!Y7/'Sel Ults - Closed Count'!D7),"")</f>
        <v/>
      </c>
    </row>
    <row r="8">
      <c r="A8">
        <f>'Closed Count'!A8</f>
        <v/>
      </c>
      <c r="B8" s="22">
        <f>IFERROR(IF('Closed Count'!B8="","",'Closed Count'!B8/'Sel Ults - Closed Count'!D8),"")</f>
        <v/>
      </c>
      <c r="C8" s="22">
        <f>IFERROR(IF('Closed Count'!C8="","",'Closed Count'!C8/'Sel Ults - Closed Count'!D8),"")</f>
        <v/>
      </c>
      <c r="D8" s="22">
        <f>IFERROR(IF('Closed Count'!D8="","",'Closed Count'!D8/'Sel Ults - Closed Count'!D8),"")</f>
        <v/>
      </c>
      <c r="E8" s="22">
        <f>IFERROR(IF('Closed Count'!E8="","",'Closed Count'!E8/'Sel Ults - Closed Count'!D8),"")</f>
        <v/>
      </c>
      <c r="F8" s="22">
        <f>IFERROR(IF('Closed Count'!F8="","",'Closed Count'!F8/'Sel Ults - Closed Count'!D8),"")</f>
        <v/>
      </c>
      <c r="G8" s="22">
        <f>IFERROR(IF('Closed Count'!G8="","",'Closed Count'!G8/'Sel Ults - Closed Count'!D8),"")</f>
        <v/>
      </c>
      <c r="H8" s="22">
        <f>IFERROR(IF('Closed Count'!H8="","",'Closed Count'!H8/'Sel Ults - Closed Count'!D8),"")</f>
        <v/>
      </c>
      <c r="I8" s="22">
        <f>IFERROR(IF('Closed Count'!I8="","",'Closed Count'!I8/'Sel Ults - Closed Count'!D8),"")</f>
        <v/>
      </c>
      <c r="J8" s="22">
        <f>IFERROR(IF('Closed Count'!J8="","",'Closed Count'!J8/'Sel Ults - Closed Count'!D8),"")</f>
        <v/>
      </c>
      <c r="K8" s="22">
        <f>IFERROR(IF('Closed Count'!K8="","",'Closed Count'!K8/'Sel Ults - Closed Count'!D8),"")</f>
        <v/>
      </c>
      <c r="L8" s="22">
        <f>IFERROR(IF('Closed Count'!L8="","",'Closed Count'!L8/'Sel Ults - Closed Count'!D8),"")</f>
        <v/>
      </c>
      <c r="M8" s="22">
        <f>IFERROR(IF('Closed Count'!M8="","",'Closed Count'!M8/'Sel Ults - Closed Count'!D8),"")</f>
        <v/>
      </c>
      <c r="N8" s="22">
        <f>IFERROR(IF('Closed Count'!N8="","",'Closed Count'!N8/'Sel Ults - Closed Count'!D8),"")</f>
        <v/>
      </c>
      <c r="O8" s="22">
        <f>IFERROR(IF('Closed Count'!O8="","",'Closed Count'!O8/'Sel Ults - Closed Count'!D8),"")</f>
        <v/>
      </c>
      <c r="P8" s="22">
        <f>IFERROR(IF('Closed Count'!P8="","",'Closed Count'!P8/'Sel Ults - Closed Count'!D8),"")</f>
        <v/>
      </c>
      <c r="Q8" s="22">
        <f>IFERROR(IF('Closed Count'!Q8="","",'Closed Count'!Q8/'Sel Ults - Closed Count'!D8),"")</f>
        <v/>
      </c>
      <c r="R8" s="22">
        <f>IFERROR(IF('Closed Count'!R8="","",'Closed Count'!R8/'Sel Ults - Closed Count'!D8),"")</f>
        <v/>
      </c>
      <c r="S8" s="22">
        <f>IFERROR(IF('Closed Count'!S8="","",'Closed Count'!S8/'Sel Ults - Closed Count'!D8),"")</f>
        <v/>
      </c>
      <c r="T8" s="22">
        <f>IFERROR(IF('Closed Count'!T8="","",'Closed Count'!T8/'Sel Ults - Closed Count'!D8),"")</f>
        <v/>
      </c>
      <c r="U8" s="22">
        <f>IFERROR(IF('Closed Count'!U8="","",'Closed Count'!U8/'Sel Ults - Closed Count'!D8),"")</f>
        <v/>
      </c>
      <c r="V8" s="22">
        <f>IFERROR(IF('Closed Count'!V8="","",'Closed Count'!V8/'Sel Ults - Closed Count'!D8),"")</f>
        <v/>
      </c>
      <c r="W8" s="22">
        <f>IFERROR(IF('Closed Count'!W8="","",'Closed Count'!W8/'Sel Ults - Closed Count'!D8),"")</f>
        <v/>
      </c>
      <c r="X8" s="22">
        <f>IFERROR(IF('Closed Count'!X8="","",'Closed Count'!X8/'Sel Ults - Closed Count'!D8),"")</f>
        <v/>
      </c>
      <c r="Y8" s="22">
        <f>IFERROR(IF('Closed Count'!Y8="","",'Closed Count'!Y8/'Sel Ults - Closed Count'!D8),"")</f>
        <v/>
      </c>
    </row>
    <row r="9">
      <c r="A9">
        <f>'Closed Count'!A9</f>
        <v/>
      </c>
      <c r="B9" s="22">
        <f>IFERROR(IF('Closed Count'!B9="","",'Closed Count'!B9/'Sel Ults - Closed Count'!D9),"")</f>
        <v/>
      </c>
      <c r="C9" s="22">
        <f>IFERROR(IF('Closed Count'!C9="","",'Closed Count'!C9/'Sel Ults - Closed Count'!D9),"")</f>
        <v/>
      </c>
      <c r="D9" s="22">
        <f>IFERROR(IF('Closed Count'!D9="","",'Closed Count'!D9/'Sel Ults - Closed Count'!D9),"")</f>
        <v/>
      </c>
      <c r="E9" s="22">
        <f>IFERROR(IF('Closed Count'!E9="","",'Closed Count'!E9/'Sel Ults - Closed Count'!D9),"")</f>
        <v/>
      </c>
      <c r="F9" s="22">
        <f>IFERROR(IF('Closed Count'!F9="","",'Closed Count'!F9/'Sel Ults - Closed Count'!D9),"")</f>
        <v/>
      </c>
      <c r="G9" s="22">
        <f>IFERROR(IF('Closed Count'!G9="","",'Closed Count'!G9/'Sel Ults - Closed Count'!D9),"")</f>
        <v/>
      </c>
      <c r="H9" s="22">
        <f>IFERROR(IF('Closed Count'!H9="","",'Closed Count'!H9/'Sel Ults - Closed Count'!D9),"")</f>
        <v/>
      </c>
      <c r="I9" s="22">
        <f>IFERROR(IF('Closed Count'!I9="","",'Closed Count'!I9/'Sel Ults - Closed Count'!D9),"")</f>
        <v/>
      </c>
      <c r="J9" s="22">
        <f>IFERROR(IF('Closed Count'!J9="","",'Closed Count'!J9/'Sel Ults - Closed Count'!D9),"")</f>
        <v/>
      </c>
      <c r="K9" s="22">
        <f>IFERROR(IF('Closed Count'!K9="","",'Closed Count'!K9/'Sel Ults - Closed Count'!D9),"")</f>
        <v/>
      </c>
      <c r="L9" s="22">
        <f>IFERROR(IF('Closed Count'!L9="","",'Closed Count'!L9/'Sel Ults - Closed Count'!D9),"")</f>
        <v/>
      </c>
      <c r="M9" s="22">
        <f>IFERROR(IF('Closed Count'!M9="","",'Closed Count'!M9/'Sel Ults - Closed Count'!D9),"")</f>
        <v/>
      </c>
      <c r="N9" s="22">
        <f>IFERROR(IF('Closed Count'!N9="","",'Closed Count'!N9/'Sel Ults - Closed Count'!D9),"")</f>
        <v/>
      </c>
      <c r="O9" s="22">
        <f>IFERROR(IF('Closed Count'!O9="","",'Closed Count'!O9/'Sel Ults - Closed Count'!D9),"")</f>
        <v/>
      </c>
      <c r="P9" s="22">
        <f>IFERROR(IF('Closed Count'!P9="","",'Closed Count'!P9/'Sel Ults - Closed Count'!D9),"")</f>
        <v/>
      </c>
      <c r="Q9" s="22">
        <f>IFERROR(IF('Closed Count'!Q9="","",'Closed Count'!Q9/'Sel Ults - Closed Count'!D9),"")</f>
        <v/>
      </c>
      <c r="R9" s="22">
        <f>IFERROR(IF('Closed Count'!R9="","",'Closed Count'!R9/'Sel Ults - Closed Count'!D9),"")</f>
        <v/>
      </c>
      <c r="S9" s="22">
        <f>IFERROR(IF('Closed Count'!S9="","",'Closed Count'!S9/'Sel Ults - Closed Count'!D9),"")</f>
        <v/>
      </c>
      <c r="T9" s="22">
        <f>IFERROR(IF('Closed Count'!T9="","",'Closed Count'!T9/'Sel Ults - Closed Count'!D9),"")</f>
        <v/>
      </c>
      <c r="U9" s="22">
        <f>IFERROR(IF('Closed Count'!U9="","",'Closed Count'!U9/'Sel Ults - Closed Count'!D9),"")</f>
        <v/>
      </c>
      <c r="V9" s="22">
        <f>IFERROR(IF('Closed Count'!V9="","",'Closed Count'!V9/'Sel Ults - Closed Count'!D9),"")</f>
        <v/>
      </c>
      <c r="W9" s="22">
        <f>IFERROR(IF('Closed Count'!W9="","",'Closed Count'!W9/'Sel Ults - Closed Count'!D9),"")</f>
        <v/>
      </c>
      <c r="X9" s="22">
        <f>IFERROR(IF('Closed Count'!X9="","",'Closed Count'!X9/'Sel Ults - Closed Count'!D9),"")</f>
        <v/>
      </c>
      <c r="Y9" s="22">
        <f>IFERROR(IF('Closed Count'!Y9="","",'Closed Count'!Y9/'Sel Ults - Closed Count'!D9),"")</f>
        <v/>
      </c>
    </row>
    <row r="10">
      <c r="A10">
        <f>'Closed Count'!A10</f>
        <v/>
      </c>
      <c r="B10" s="22">
        <f>IFERROR(IF('Closed Count'!B10="","",'Closed Count'!B10/'Sel Ults - Closed Count'!D10),"")</f>
        <v/>
      </c>
      <c r="C10" s="22">
        <f>IFERROR(IF('Closed Count'!C10="","",'Closed Count'!C10/'Sel Ults - Closed Count'!D10),"")</f>
        <v/>
      </c>
      <c r="D10" s="22">
        <f>IFERROR(IF('Closed Count'!D10="","",'Closed Count'!D10/'Sel Ults - Closed Count'!D10),"")</f>
        <v/>
      </c>
      <c r="E10" s="22">
        <f>IFERROR(IF('Closed Count'!E10="","",'Closed Count'!E10/'Sel Ults - Closed Count'!D10),"")</f>
        <v/>
      </c>
      <c r="F10" s="22">
        <f>IFERROR(IF('Closed Count'!F10="","",'Closed Count'!F10/'Sel Ults - Closed Count'!D10),"")</f>
        <v/>
      </c>
      <c r="G10" s="22">
        <f>IFERROR(IF('Closed Count'!G10="","",'Closed Count'!G10/'Sel Ults - Closed Count'!D10),"")</f>
        <v/>
      </c>
      <c r="H10" s="22">
        <f>IFERROR(IF('Closed Count'!H10="","",'Closed Count'!H10/'Sel Ults - Closed Count'!D10),"")</f>
        <v/>
      </c>
      <c r="I10" s="22">
        <f>IFERROR(IF('Closed Count'!I10="","",'Closed Count'!I10/'Sel Ults - Closed Count'!D10),"")</f>
        <v/>
      </c>
      <c r="J10" s="22">
        <f>IFERROR(IF('Closed Count'!J10="","",'Closed Count'!J10/'Sel Ults - Closed Count'!D10),"")</f>
        <v/>
      </c>
      <c r="K10" s="22">
        <f>IFERROR(IF('Closed Count'!K10="","",'Closed Count'!K10/'Sel Ults - Closed Count'!D10),"")</f>
        <v/>
      </c>
      <c r="L10" s="22">
        <f>IFERROR(IF('Closed Count'!L10="","",'Closed Count'!L10/'Sel Ults - Closed Count'!D10),"")</f>
        <v/>
      </c>
      <c r="M10" s="22">
        <f>IFERROR(IF('Closed Count'!M10="","",'Closed Count'!M10/'Sel Ults - Closed Count'!D10),"")</f>
        <v/>
      </c>
      <c r="N10" s="22">
        <f>IFERROR(IF('Closed Count'!N10="","",'Closed Count'!N10/'Sel Ults - Closed Count'!D10),"")</f>
        <v/>
      </c>
      <c r="O10" s="22">
        <f>IFERROR(IF('Closed Count'!O10="","",'Closed Count'!O10/'Sel Ults - Closed Count'!D10),"")</f>
        <v/>
      </c>
      <c r="P10" s="22">
        <f>IFERROR(IF('Closed Count'!P10="","",'Closed Count'!P10/'Sel Ults - Closed Count'!D10),"")</f>
        <v/>
      </c>
      <c r="Q10" s="22">
        <f>IFERROR(IF('Closed Count'!Q10="","",'Closed Count'!Q10/'Sel Ults - Closed Count'!D10),"")</f>
        <v/>
      </c>
      <c r="R10" s="22">
        <f>IFERROR(IF('Closed Count'!R10="","",'Closed Count'!R10/'Sel Ults - Closed Count'!D10),"")</f>
        <v/>
      </c>
      <c r="S10" s="22">
        <f>IFERROR(IF('Closed Count'!S10="","",'Closed Count'!S10/'Sel Ults - Closed Count'!D10),"")</f>
        <v/>
      </c>
      <c r="T10" s="22">
        <f>IFERROR(IF('Closed Count'!T10="","",'Closed Count'!T10/'Sel Ults - Closed Count'!D10),"")</f>
        <v/>
      </c>
      <c r="U10" s="22">
        <f>IFERROR(IF('Closed Count'!U10="","",'Closed Count'!U10/'Sel Ults - Closed Count'!D10),"")</f>
        <v/>
      </c>
      <c r="V10" s="22">
        <f>IFERROR(IF('Closed Count'!V10="","",'Closed Count'!V10/'Sel Ults - Closed Count'!D10),"")</f>
        <v/>
      </c>
      <c r="W10" s="22">
        <f>IFERROR(IF('Closed Count'!W10="","",'Closed Count'!W10/'Sel Ults - Closed Count'!D10),"")</f>
        <v/>
      </c>
      <c r="X10" s="22">
        <f>IFERROR(IF('Closed Count'!X10="","",'Closed Count'!X10/'Sel Ults - Closed Count'!D10),"")</f>
        <v/>
      </c>
      <c r="Y10" s="22">
        <f>IFERROR(IF('Closed Count'!Y10="","",'Closed Count'!Y10/'Sel Ults - Closed Count'!D10),"")</f>
        <v/>
      </c>
    </row>
    <row r="11">
      <c r="A11">
        <f>'Closed Count'!A11</f>
        <v/>
      </c>
      <c r="B11" s="22">
        <f>IFERROR(IF('Closed Count'!B11="","",'Closed Count'!B11/'Sel Ults - Closed Count'!D11),"")</f>
        <v/>
      </c>
      <c r="C11" s="22">
        <f>IFERROR(IF('Closed Count'!C11="","",'Closed Count'!C11/'Sel Ults - Closed Count'!D11),"")</f>
        <v/>
      </c>
      <c r="D11" s="22">
        <f>IFERROR(IF('Closed Count'!D11="","",'Closed Count'!D11/'Sel Ults - Closed Count'!D11),"")</f>
        <v/>
      </c>
      <c r="E11" s="22">
        <f>IFERROR(IF('Closed Count'!E11="","",'Closed Count'!E11/'Sel Ults - Closed Count'!D11),"")</f>
        <v/>
      </c>
      <c r="F11" s="22">
        <f>IFERROR(IF('Closed Count'!F11="","",'Closed Count'!F11/'Sel Ults - Closed Count'!D11),"")</f>
        <v/>
      </c>
      <c r="G11" s="22">
        <f>IFERROR(IF('Closed Count'!G11="","",'Closed Count'!G11/'Sel Ults - Closed Count'!D11),"")</f>
        <v/>
      </c>
      <c r="H11" s="22">
        <f>IFERROR(IF('Closed Count'!H11="","",'Closed Count'!H11/'Sel Ults - Closed Count'!D11),"")</f>
        <v/>
      </c>
      <c r="I11" s="22">
        <f>IFERROR(IF('Closed Count'!I11="","",'Closed Count'!I11/'Sel Ults - Closed Count'!D11),"")</f>
        <v/>
      </c>
      <c r="J11" s="22">
        <f>IFERROR(IF('Closed Count'!J11="","",'Closed Count'!J11/'Sel Ults - Closed Count'!D11),"")</f>
        <v/>
      </c>
      <c r="K11" s="22">
        <f>IFERROR(IF('Closed Count'!K11="","",'Closed Count'!K11/'Sel Ults - Closed Count'!D11),"")</f>
        <v/>
      </c>
      <c r="L11" s="22">
        <f>IFERROR(IF('Closed Count'!L11="","",'Closed Count'!L11/'Sel Ults - Closed Count'!D11),"")</f>
        <v/>
      </c>
      <c r="M11" s="22">
        <f>IFERROR(IF('Closed Count'!M11="","",'Closed Count'!M11/'Sel Ults - Closed Count'!D11),"")</f>
        <v/>
      </c>
      <c r="N11" s="22">
        <f>IFERROR(IF('Closed Count'!N11="","",'Closed Count'!N11/'Sel Ults - Closed Count'!D11),"")</f>
        <v/>
      </c>
      <c r="O11" s="22">
        <f>IFERROR(IF('Closed Count'!O11="","",'Closed Count'!O11/'Sel Ults - Closed Count'!D11),"")</f>
        <v/>
      </c>
      <c r="P11" s="22">
        <f>IFERROR(IF('Closed Count'!P11="","",'Closed Count'!P11/'Sel Ults - Closed Count'!D11),"")</f>
        <v/>
      </c>
      <c r="Q11" s="22">
        <f>IFERROR(IF('Closed Count'!Q11="","",'Closed Count'!Q11/'Sel Ults - Closed Count'!D11),"")</f>
        <v/>
      </c>
      <c r="R11" s="22">
        <f>IFERROR(IF('Closed Count'!R11="","",'Closed Count'!R11/'Sel Ults - Closed Count'!D11),"")</f>
        <v/>
      </c>
      <c r="S11" s="22">
        <f>IFERROR(IF('Closed Count'!S11="","",'Closed Count'!S11/'Sel Ults - Closed Count'!D11),"")</f>
        <v/>
      </c>
      <c r="T11" s="22">
        <f>IFERROR(IF('Closed Count'!T11="","",'Closed Count'!T11/'Sel Ults - Closed Count'!D11),"")</f>
        <v/>
      </c>
      <c r="U11" s="22">
        <f>IFERROR(IF('Closed Count'!U11="","",'Closed Count'!U11/'Sel Ults - Closed Count'!D11),"")</f>
        <v/>
      </c>
      <c r="V11" s="22">
        <f>IFERROR(IF('Closed Count'!V11="","",'Closed Count'!V11/'Sel Ults - Closed Count'!D11),"")</f>
        <v/>
      </c>
      <c r="W11" s="22">
        <f>IFERROR(IF('Closed Count'!W11="","",'Closed Count'!W11/'Sel Ults - Closed Count'!D11),"")</f>
        <v/>
      </c>
      <c r="X11" s="22">
        <f>IFERROR(IF('Closed Count'!X11="","",'Closed Count'!X11/'Sel Ults - Closed Count'!D11),"")</f>
        <v/>
      </c>
      <c r="Y11" s="22">
        <f>IFERROR(IF('Closed Count'!Y11="","",'Closed Count'!Y11/'Sel Ults - Closed Count'!D11),"")</f>
        <v/>
      </c>
    </row>
    <row r="12">
      <c r="A12">
        <f>'Closed Count'!A12</f>
        <v/>
      </c>
      <c r="B12" s="22">
        <f>IFERROR(IF('Closed Count'!B12="","",'Closed Count'!B12/'Sel Ults - Closed Count'!D12),"")</f>
        <v/>
      </c>
      <c r="C12" s="22">
        <f>IFERROR(IF('Closed Count'!C12="","",'Closed Count'!C12/'Sel Ults - Closed Count'!D12),"")</f>
        <v/>
      </c>
      <c r="D12" s="22">
        <f>IFERROR(IF('Closed Count'!D12="","",'Closed Count'!D12/'Sel Ults - Closed Count'!D12),"")</f>
        <v/>
      </c>
      <c r="E12" s="22">
        <f>IFERROR(IF('Closed Count'!E12="","",'Closed Count'!E12/'Sel Ults - Closed Count'!D12),"")</f>
        <v/>
      </c>
      <c r="F12" s="22">
        <f>IFERROR(IF('Closed Count'!F12="","",'Closed Count'!F12/'Sel Ults - Closed Count'!D12),"")</f>
        <v/>
      </c>
      <c r="G12" s="22">
        <f>IFERROR(IF('Closed Count'!G12="","",'Closed Count'!G12/'Sel Ults - Closed Count'!D12),"")</f>
        <v/>
      </c>
      <c r="H12" s="22">
        <f>IFERROR(IF('Closed Count'!H12="","",'Closed Count'!H12/'Sel Ults - Closed Count'!D12),"")</f>
        <v/>
      </c>
      <c r="I12" s="22">
        <f>IFERROR(IF('Closed Count'!I12="","",'Closed Count'!I12/'Sel Ults - Closed Count'!D12),"")</f>
        <v/>
      </c>
      <c r="J12" s="22">
        <f>IFERROR(IF('Closed Count'!J12="","",'Closed Count'!J12/'Sel Ults - Closed Count'!D12),"")</f>
        <v/>
      </c>
      <c r="K12" s="22">
        <f>IFERROR(IF('Closed Count'!K12="","",'Closed Count'!K12/'Sel Ults - Closed Count'!D12),"")</f>
        <v/>
      </c>
      <c r="L12" s="22">
        <f>IFERROR(IF('Closed Count'!L12="","",'Closed Count'!L12/'Sel Ults - Closed Count'!D12),"")</f>
        <v/>
      </c>
      <c r="M12" s="22">
        <f>IFERROR(IF('Closed Count'!M12="","",'Closed Count'!M12/'Sel Ults - Closed Count'!D12),"")</f>
        <v/>
      </c>
      <c r="N12" s="22">
        <f>IFERROR(IF('Closed Count'!N12="","",'Closed Count'!N12/'Sel Ults - Closed Count'!D12),"")</f>
        <v/>
      </c>
      <c r="O12" s="22">
        <f>IFERROR(IF('Closed Count'!O12="","",'Closed Count'!O12/'Sel Ults - Closed Count'!D12),"")</f>
        <v/>
      </c>
      <c r="P12" s="22">
        <f>IFERROR(IF('Closed Count'!P12="","",'Closed Count'!P12/'Sel Ults - Closed Count'!D12),"")</f>
        <v/>
      </c>
      <c r="Q12" s="22">
        <f>IFERROR(IF('Closed Count'!Q12="","",'Closed Count'!Q12/'Sel Ults - Closed Count'!D12),"")</f>
        <v/>
      </c>
      <c r="R12" s="22">
        <f>IFERROR(IF('Closed Count'!R12="","",'Closed Count'!R12/'Sel Ults - Closed Count'!D12),"")</f>
        <v/>
      </c>
      <c r="S12" s="22">
        <f>IFERROR(IF('Closed Count'!S12="","",'Closed Count'!S12/'Sel Ults - Closed Count'!D12),"")</f>
        <v/>
      </c>
      <c r="T12" s="22">
        <f>IFERROR(IF('Closed Count'!T12="","",'Closed Count'!T12/'Sel Ults - Closed Count'!D12),"")</f>
        <v/>
      </c>
      <c r="U12" s="22">
        <f>IFERROR(IF('Closed Count'!U12="","",'Closed Count'!U12/'Sel Ults - Closed Count'!D12),"")</f>
        <v/>
      </c>
      <c r="V12" s="22">
        <f>IFERROR(IF('Closed Count'!V12="","",'Closed Count'!V12/'Sel Ults - Closed Count'!D12),"")</f>
        <v/>
      </c>
      <c r="W12" s="22">
        <f>IFERROR(IF('Closed Count'!W12="","",'Closed Count'!W12/'Sel Ults - Closed Count'!D12),"")</f>
        <v/>
      </c>
      <c r="X12" s="22">
        <f>IFERROR(IF('Closed Count'!X12="","",'Closed Count'!X12/'Sel Ults - Closed Count'!D12),"")</f>
        <v/>
      </c>
      <c r="Y12" s="22">
        <f>IFERROR(IF('Closed Count'!Y12="","",'Closed Count'!Y12/'Sel Ults - Closed Count'!D12),"")</f>
        <v/>
      </c>
    </row>
    <row r="13">
      <c r="A13">
        <f>'Closed Count'!A13</f>
        <v/>
      </c>
      <c r="B13" s="22">
        <f>IFERROR(IF('Closed Count'!B13="","",'Closed Count'!B13/'Sel Ults - Closed Count'!D13),"")</f>
        <v/>
      </c>
      <c r="C13" s="22">
        <f>IFERROR(IF('Closed Count'!C13="","",'Closed Count'!C13/'Sel Ults - Closed Count'!D13),"")</f>
        <v/>
      </c>
      <c r="D13" s="22">
        <f>IFERROR(IF('Closed Count'!D13="","",'Closed Count'!D13/'Sel Ults - Closed Count'!D13),"")</f>
        <v/>
      </c>
      <c r="E13" s="22">
        <f>IFERROR(IF('Closed Count'!E13="","",'Closed Count'!E13/'Sel Ults - Closed Count'!D13),"")</f>
        <v/>
      </c>
      <c r="F13" s="22">
        <f>IFERROR(IF('Closed Count'!F13="","",'Closed Count'!F13/'Sel Ults - Closed Count'!D13),"")</f>
        <v/>
      </c>
      <c r="G13" s="22">
        <f>IFERROR(IF('Closed Count'!G13="","",'Closed Count'!G13/'Sel Ults - Closed Count'!D13),"")</f>
        <v/>
      </c>
      <c r="H13" s="22">
        <f>IFERROR(IF('Closed Count'!H13="","",'Closed Count'!H13/'Sel Ults - Closed Count'!D13),"")</f>
        <v/>
      </c>
      <c r="I13" s="22">
        <f>IFERROR(IF('Closed Count'!I13="","",'Closed Count'!I13/'Sel Ults - Closed Count'!D13),"")</f>
        <v/>
      </c>
      <c r="J13" s="22">
        <f>IFERROR(IF('Closed Count'!J13="","",'Closed Count'!J13/'Sel Ults - Closed Count'!D13),"")</f>
        <v/>
      </c>
      <c r="K13" s="22">
        <f>IFERROR(IF('Closed Count'!K13="","",'Closed Count'!K13/'Sel Ults - Closed Count'!D13),"")</f>
        <v/>
      </c>
      <c r="L13" s="22">
        <f>IFERROR(IF('Closed Count'!L13="","",'Closed Count'!L13/'Sel Ults - Closed Count'!D13),"")</f>
        <v/>
      </c>
      <c r="M13" s="22">
        <f>IFERROR(IF('Closed Count'!M13="","",'Closed Count'!M13/'Sel Ults - Closed Count'!D13),"")</f>
        <v/>
      </c>
      <c r="N13" s="22">
        <f>IFERROR(IF('Closed Count'!N13="","",'Closed Count'!N13/'Sel Ults - Closed Count'!D13),"")</f>
        <v/>
      </c>
      <c r="O13" s="22">
        <f>IFERROR(IF('Closed Count'!O13="","",'Closed Count'!O13/'Sel Ults - Closed Count'!D13),"")</f>
        <v/>
      </c>
      <c r="P13" s="22">
        <f>IFERROR(IF('Closed Count'!P13="","",'Closed Count'!P13/'Sel Ults - Closed Count'!D13),"")</f>
        <v/>
      </c>
      <c r="Q13" s="22">
        <f>IFERROR(IF('Closed Count'!Q13="","",'Closed Count'!Q13/'Sel Ults - Closed Count'!D13),"")</f>
        <v/>
      </c>
      <c r="R13" s="22">
        <f>IFERROR(IF('Closed Count'!R13="","",'Closed Count'!R13/'Sel Ults - Closed Count'!D13),"")</f>
        <v/>
      </c>
      <c r="S13" s="22">
        <f>IFERROR(IF('Closed Count'!S13="","",'Closed Count'!S13/'Sel Ults - Closed Count'!D13),"")</f>
        <v/>
      </c>
      <c r="T13" s="22">
        <f>IFERROR(IF('Closed Count'!T13="","",'Closed Count'!T13/'Sel Ults - Closed Count'!D13),"")</f>
        <v/>
      </c>
      <c r="U13" s="22">
        <f>IFERROR(IF('Closed Count'!U13="","",'Closed Count'!U13/'Sel Ults - Closed Count'!D13),"")</f>
        <v/>
      </c>
      <c r="V13" s="22">
        <f>IFERROR(IF('Closed Count'!V13="","",'Closed Count'!V13/'Sel Ults - Closed Count'!D13),"")</f>
        <v/>
      </c>
      <c r="W13" s="22">
        <f>IFERROR(IF('Closed Count'!W13="","",'Closed Count'!W13/'Sel Ults - Closed Count'!D13),"")</f>
        <v/>
      </c>
      <c r="X13" s="22">
        <f>IFERROR(IF('Closed Count'!X13="","",'Closed Count'!X13/'Sel Ults - Closed Count'!D13),"")</f>
        <v/>
      </c>
      <c r="Y13" s="22">
        <f>IFERROR(IF('Closed Count'!Y13="","",'Closed Count'!Y13/'Sel Ults - Closed Count'!D13),"")</f>
        <v/>
      </c>
    </row>
    <row r="14">
      <c r="A14">
        <f>'Closed Count'!A14</f>
        <v/>
      </c>
      <c r="B14" s="22">
        <f>IFERROR(IF('Closed Count'!B14="","",'Closed Count'!B14/'Sel Ults - Closed Count'!D14),"")</f>
        <v/>
      </c>
      <c r="C14" s="22">
        <f>IFERROR(IF('Closed Count'!C14="","",'Closed Count'!C14/'Sel Ults - Closed Count'!D14),"")</f>
        <v/>
      </c>
      <c r="D14" s="22">
        <f>IFERROR(IF('Closed Count'!D14="","",'Closed Count'!D14/'Sel Ults - Closed Count'!D14),"")</f>
        <v/>
      </c>
      <c r="E14" s="22">
        <f>IFERROR(IF('Closed Count'!E14="","",'Closed Count'!E14/'Sel Ults - Closed Count'!D14),"")</f>
        <v/>
      </c>
      <c r="F14" s="22">
        <f>IFERROR(IF('Closed Count'!F14="","",'Closed Count'!F14/'Sel Ults - Closed Count'!D14),"")</f>
        <v/>
      </c>
      <c r="G14" s="22">
        <f>IFERROR(IF('Closed Count'!G14="","",'Closed Count'!G14/'Sel Ults - Closed Count'!D14),"")</f>
        <v/>
      </c>
      <c r="H14" s="22">
        <f>IFERROR(IF('Closed Count'!H14="","",'Closed Count'!H14/'Sel Ults - Closed Count'!D14),"")</f>
        <v/>
      </c>
      <c r="I14" s="22">
        <f>IFERROR(IF('Closed Count'!I14="","",'Closed Count'!I14/'Sel Ults - Closed Count'!D14),"")</f>
        <v/>
      </c>
      <c r="J14" s="22">
        <f>IFERROR(IF('Closed Count'!J14="","",'Closed Count'!J14/'Sel Ults - Closed Count'!D14),"")</f>
        <v/>
      </c>
      <c r="K14" s="22">
        <f>IFERROR(IF('Closed Count'!K14="","",'Closed Count'!K14/'Sel Ults - Closed Count'!D14),"")</f>
        <v/>
      </c>
      <c r="L14" s="22">
        <f>IFERROR(IF('Closed Count'!L14="","",'Closed Count'!L14/'Sel Ults - Closed Count'!D14),"")</f>
        <v/>
      </c>
      <c r="M14" s="22">
        <f>IFERROR(IF('Closed Count'!M14="","",'Closed Count'!M14/'Sel Ults - Closed Count'!D14),"")</f>
        <v/>
      </c>
      <c r="N14" s="22">
        <f>IFERROR(IF('Closed Count'!N14="","",'Closed Count'!N14/'Sel Ults - Closed Count'!D14),"")</f>
        <v/>
      </c>
      <c r="O14" s="22">
        <f>IFERROR(IF('Closed Count'!O14="","",'Closed Count'!O14/'Sel Ults - Closed Count'!D14),"")</f>
        <v/>
      </c>
      <c r="P14" s="22">
        <f>IFERROR(IF('Closed Count'!P14="","",'Closed Count'!P14/'Sel Ults - Closed Count'!D14),"")</f>
        <v/>
      </c>
      <c r="Q14" s="22">
        <f>IFERROR(IF('Closed Count'!Q14="","",'Closed Count'!Q14/'Sel Ults - Closed Count'!D14),"")</f>
        <v/>
      </c>
      <c r="R14" s="22">
        <f>IFERROR(IF('Closed Count'!R14="","",'Closed Count'!R14/'Sel Ults - Closed Count'!D14),"")</f>
        <v/>
      </c>
      <c r="S14" s="22">
        <f>IFERROR(IF('Closed Count'!S14="","",'Closed Count'!S14/'Sel Ults - Closed Count'!D14),"")</f>
        <v/>
      </c>
      <c r="T14" s="22">
        <f>IFERROR(IF('Closed Count'!T14="","",'Closed Count'!T14/'Sel Ults - Closed Count'!D14),"")</f>
        <v/>
      </c>
      <c r="U14" s="22">
        <f>IFERROR(IF('Closed Count'!U14="","",'Closed Count'!U14/'Sel Ults - Closed Count'!D14),"")</f>
        <v/>
      </c>
      <c r="V14" s="22">
        <f>IFERROR(IF('Closed Count'!V14="","",'Closed Count'!V14/'Sel Ults - Closed Count'!D14),"")</f>
        <v/>
      </c>
      <c r="W14" s="22">
        <f>IFERROR(IF('Closed Count'!W14="","",'Closed Count'!W14/'Sel Ults - Closed Count'!D14),"")</f>
        <v/>
      </c>
      <c r="X14" s="22">
        <f>IFERROR(IF('Closed Count'!X14="","",'Closed Count'!X14/'Sel Ults - Closed Count'!D14),"")</f>
        <v/>
      </c>
      <c r="Y14" s="22">
        <f>IFERROR(IF('Closed Count'!Y14="","",'Closed Count'!Y14/'Sel Ults - Closed Count'!D14),"")</f>
        <v/>
      </c>
    </row>
    <row r="15">
      <c r="A15">
        <f>'Closed Count'!A15</f>
        <v/>
      </c>
      <c r="B15" s="22">
        <f>IFERROR(IF('Closed Count'!B15="","",'Closed Count'!B15/'Sel Ults - Closed Count'!D15),"")</f>
        <v/>
      </c>
      <c r="C15" s="22">
        <f>IFERROR(IF('Closed Count'!C15="","",'Closed Count'!C15/'Sel Ults - Closed Count'!D15),"")</f>
        <v/>
      </c>
      <c r="D15" s="22">
        <f>IFERROR(IF('Closed Count'!D15="","",'Closed Count'!D15/'Sel Ults - Closed Count'!D15),"")</f>
        <v/>
      </c>
      <c r="E15" s="22">
        <f>IFERROR(IF('Closed Count'!E15="","",'Closed Count'!E15/'Sel Ults - Closed Count'!D15),"")</f>
        <v/>
      </c>
      <c r="F15" s="22">
        <f>IFERROR(IF('Closed Count'!F15="","",'Closed Count'!F15/'Sel Ults - Closed Count'!D15),"")</f>
        <v/>
      </c>
      <c r="G15" s="22">
        <f>IFERROR(IF('Closed Count'!G15="","",'Closed Count'!G15/'Sel Ults - Closed Count'!D15),"")</f>
        <v/>
      </c>
      <c r="H15" s="22">
        <f>IFERROR(IF('Closed Count'!H15="","",'Closed Count'!H15/'Sel Ults - Closed Count'!D15),"")</f>
        <v/>
      </c>
      <c r="I15" s="22">
        <f>IFERROR(IF('Closed Count'!I15="","",'Closed Count'!I15/'Sel Ults - Closed Count'!D15),"")</f>
        <v/>
      </c>
      <c r="J15" s="22">
        <f>IFERROR(IF('Closed Count'!J15="","",'Closed Count'!J15/'Sel Ults - Closed Count'!D15),"")</f>
        <v/>
      </c>
      <c r="K15" s="22">
        <f>IFERROR(IF('Closed Count'!K15="","",'Closed Count'!K15/'Sel Ults - Closed Count'!D15),"")</f>
        <v/>
      </c>
      <c r="L15" s="22">
        <f>IFERROR(IF('Closed Count'!L15="","",'Closed Count'!L15/'Sel Ults - Closed Count'!D15),"")</f>
        <v/>
      </c>
      <c r="M15" s="22">
        <f>IFERROR(IF('Closed Count'!M15="","",'Closed Count'!M15/'Sel Ults - Closed Count'!D15),"")</f>
        <v/>
      </c>
      <c r="N15" s="22">
        <f>IFERROR(IF('Closed Count'!N15="","",'Closed Count'!N15/'Sel Ults - Closed Count'!D15),"")</f>
        <v/>
      </c>
      <c r="O15" s="22">
        <f>IFERROR(IF('Closed Count'!O15="","",'Closed Count'!O15/'Sel Ults - Closed Count'!D15),"")</f>
        <v/>
      </c>
      <c r="P15" s="22">
        <f>IFERROR(IF('Closed Count'!P15="","",'Closed Count'!P15/'Sel Ults - Closed Count'!D15),"")</f>
        <v/>
      </c>
      <c r="Q15" s="22">
        <f>IFERROR(IF('Closed Count'!Q15="","",'Closed Count'!Q15/'Sel Ults - Closed Count'!D15),"")</f>
        <v/>
      </c>
      <c r="R15" s="22">
        <f>IFERROR(IF('Closed Count'!R15="","",'Closed Count'!R15/'Sel Ults - Closed Count'!D15),"")</f>
        <v/>
      </c>
      <c r="S15" s="22">
        <f>IFERROR(IF('Closed Count'!S15="","",'Closed Count'!S15/'Sel Ults - Closed Count'!D15),"")</f>
        <v/>
      </c>
      <c r="T15" s="22">
        <f>IFERROR(IF('Closed Count'!T15="","",'Closed Count'!T15/'Sel Ults - Closed Count'!D15),"")</f>
        <v/>
      </c>
      <c r="U15" s="22">
        <f>IFERROR(IF('Closed Count'!U15="","",'Closed Count'!U15/'Sel Ults - Closed Count'!D15),"")</f>
        <v/>
      </c>
      <c r="V15" s="22">
        <f>IFERROR(IF('Closed Count'!V15="","",'Closed Count'!V15/'Sel Ults - Closed Count'!D15),"")</f>
        <v/>
      </c>
      <c r="W15" s="22">
        <f>IFERROR(IF('Closed Count'!W15="","",'Closed Count'!W15/'Sel Ults - Closed Count'!D15),"")</f>
        <v/>
      </c>
      <c r="X15" s="22">
        <f>IFERROR(IF('Closed Count'!X15="","",'Closed Count'!X15/'Sel Ults - Closed Count'!D15),"")</f>
        <v/>
      </c>
      <c r="Y15" s="22">
        <f>IFERROR(IF('Closed Count'!Y15="","",'Closed Count'!Y15/'Sel Ults - Closed Count'!D15),"")</f>
        <v/>
      </c>
    </row>
    <row r="16">
      <c r="A16">
        <f>'Closed Count'!A16</f>
        <v/>
      </c>
      <c r="B16" s="22">
        <f>IFERROR(IF('Closed Count'!B16="","",'Closed Count'!B16/'Sel Ults - Closed Count'!D16),"")</f>
        <v/>
      </c>
      <c r="C16" s="22">
        <f>IFERROR(IF('Closed Count'!C16="","",'Closed Count'!C16/'Sel Ults - Closed Count'!D16),"")</f>
        <v/>
      </c>
      <c r="D16" s="22">
        <f>IFERROR(IF('Closed Count'!D16="","",'Closed Count'!D16/'Sel Ults - Closed Count'!D16),"")</f>
        <v/>
      </c>
      <c r="E16" s="22">
        <f>IFERROR(IF('Closed Count'!E16="","",'Closed Count'!E16/'Sel Ults - Closed Count'!D16),"")</f>
        <v/>
      </c>
      <c r="F16" s="22">
        <f>IFERROR(IF('Closed Count'!F16="","",'Closed Count'!F16/'Sel Ults - Closed Count'!D16),"")</f>
        <v/>
      </c>
      <c r="G16" s="22">
        <f>IFERROR(IF('Closed Count'!G16="","",'Closed Count'!G16/'Sel Ults - Closed Count'!D16),"")</f>
        <v/>
      </c>
      <c r="H16" s="22">
        <f>IFERROR(IF('Closed Count'!H16="","",'Closed Count'!H16/'Sel Ults - Closed Count'!D16),"")</f>
        <v/>
      </c>
      <c r="I16" s="22">
        <f>IFERROR(IF('Closed Count'!I16="","",'Closed Count'!I16/'Sel Ults - Closed Count'!D16),"")</f>
        <v/>
      </c>
      <c r="J16" s="22">
        <f>IFERROR(IF('Closed Count'!J16="","",'Closed Count'!J16/'Sel Ults - Closed Count'!D16),"")</f>
        <v/>
      </c>
      <c r="K16" s="22">
        <f>IFERROR(IF('Closed Count'!K16="","",'Closed Count'!K16/'Sel Ults - Closed Count'!D16),"")</f>
        <v/>
      </c>
      <c r="L16" s="22">
        <f>IFERROR(IF('Closed Count'!L16="","",'Closed Count'!L16/'Sel Ults - Closed Count'!D16),"")</f>
        <v/>
      </c>
      <c r="M16" s="22">
        <f>IFERROR(IF('Closed Count'!M16="","",'Closed Count'!M16/'Sel Ults - Closed Count'!D16),"")</f>
        <v/>
      </c>
      <c r="N16" s="22">
        <f>IFERROR(IF('Closed Count'!N16="","",'Closed Count'!N16/'Sel Ults - Closed Count'!D16),"")</f>
        <v/>
      </c>
      <c r="O16" s="22">
        <f>IFERROR(IF('Closed Count'!O16="","",'Closed Count'!O16/'Sel Ults - Closed Count'!D16),"")</f>
        <v/>
      </c>
      <c r="P16" s="22">
        <f>IFERROR(IF('Closed Count'!P16="","",'Closed Count'!P16/'Sel Ults - Closed Count'!D16),"")</f>
        <v/>
      </c>
      <c r="Q16" s="22">
        <f>IFERROR(IF('Closed Count'!Q16="","",'Closed Count'!Q16/'Sel Ults - Closed Count'!D16),"")</f>
        <v/>
      </c>
      <c r="R16" s="22">
        <f>IFERROR(IF('Closed Count'!R16="","",'Closed Count'!R16/'Sel Ults - Closed Count'!D16),"")</f>
        <v/>
      </c>
      <c r="S16" s="22">
        <f>IFERROR(IF('Closed Count'!S16="","",'Closed Count'!S16/'Sel Ults - Closed Count'!D16),"")</f>
        <v/>
      </c>
      <c r="T16" s="22">
        <f>IFERROR(IF('Closed Count'!T16="","",'Closed Count'!T16/'Sel Ults - Closed Count'!D16),"")</f>
        <v/>
      </c>
      <c r="U16" s="22">
        <f>IFERROR(IF('Closed Count'!U16="","",'Closed Count'!U16/'Sel Ults - Closed Count'!D16),"")</f>
        <v/>
      </c>
      <c r="V16" s="22">
        <f>IFERROR(IF('Closed Count'!V16="","",'Closed Count'!V16/'Sel Ults - Closed Count'!D16),"")</f>
        <v/>
      </c>
      <c r="W16" s="22">
        <f>IFERROR(IF('Closed Count'!W16="","",'Closed Count'!W16/'Sel Ults - Closed Count'!D16),"")</f>
        <v/>
      </c>
      <c r="X16" s="22">
        <f>IFERROR(IF('Closed Count'!X16="","",'Closed Count'!X16/'Sel Ults - Closed Count'!D16),"")</f>
        <v/>
      </c>
      <c r="Y16" s="22">
        <f>IFERROR(IF('Closed Count'!Y16="","",'Closed Count'!Y16/'Sel Ults - Closed Count'!D16),"")</f>
        <v/>
      </c>
    </row>
    <row r="17">
      <c r="A17">
        <f>'Closed Count'!A17</f>
        <v/>
      </c>
      <c r="B17" s="22">
        <f>IFERROR(IF('Closed Count'!B17="","",'Closed Count'!B17/'Sel Ults - Closed Count'!D17),"")</f>
        <v/>
      </c>
      <c r="C17" s="22">
        <f>IFERROR(IF('Closed Count'!C17="","",'Closed Count'!C17/'Sel Ults - Closed Count'!D17),"")</f>
        <v/>
      </c>
      <c r="D17" s="22">
        <f>IFERROR(IF('Closed Count'!D17="","",'Closed Count'!D17/'Sel Ults - Closed Count'!D17),"")</f>
        <v/>
      </c>
      <c r="E17" s="22">
        <f>IFERROR(IF('Closed Count'!E17="","",'Closed Count'!E17/'Sel Ults - Closed Count'!D17),"")</f>
        <v/>
      </c>
      <c r="F17" s="22">
        <f>IFERROR(IF('Closed Count'!F17="","",'Closed Count'!F17/'Sel Ults - Closed Count'!D17),"")</f>
        <v/>
      </c>
      <c r="G17" s="22">
        <f>IFERROR(IF('Closed Count'!G17="","",'Closed Count'!G17/'Sel Ults - Closed Count'!D17),"")</f>
        <v/>
      </c>
      <c r="H17" s="22">
        <f>IFERROR(IF('Closed Count'!H17="","",'Closed Count'!H17/'Sel Ults - Closed Count'!D17),"")</f>
        <v/>
      </c>
      <c r="I17" s="22">
        <f>IFERROR(IF('Closed Count'!I17="","",'Closed Count'!I17/'Sel Ults - Closed Count'!D17),"")</f>
        <v/>
      </c>
      <c r="J17" s="22">
        <f>IFERROR(IF('Closed Count'!J17="","",'Closed Count'!J17/'Sel Ults - Closed Count'!D17),"")</f>
        <v/>
      </c>
      <c r="K17" s="22">
        <f>IFERROR(IF('Closed Count'!K17="","",'Closed Count'!K17/'Sel Ults - Closed Count'!D17),"")</f>
        <v/>
      </c>
      <c r="L17" s="22">
        <f>IFERROR(IF('Closed Count'!L17="","",'Closed Count'!L17/'Sel Ults - Closed Count'!D17),"")</f>
        <v/>
      </c>
      <c r="M17" s="22">
        <f>IFERROR(IF('Closed Count'!M17="","",'Closed Count'!M17/'Sel Ults - Closed Count'!D17),"")</f>
        <v/>
      </c>
      <c r="N17" s="22">
        <f>IFERROR(IF('Closed Count'!N17="","",'Closed Count'!N17/'Sel Ults - Closed Count'!D17),"")</f>
        <v/>
      </c>
      <c r="O17" s="22">
        <f>IFERROR(IF('Closed Count'!O17="","",'Closed Count'!O17/'Sel Ults - Closed Count'!D17),"")</f>
        <v/>
      </c>
      <c r="P17" s="22">
        <f>IFERROR(IF('Closed Count'!P17="","",'Closed Count'!P17/'Sel Ults - Closed Count'!D17),"")</f>
        <v/>
      </c>
      <c r="Q17" s="22">
        <f>IFERROR(IF('Closed Count'!Q17="","",'Closed Count'!Q17/'Sel Ults - Closed Count'!D17),"")</f>
        <v/>
      </c>
      <c r="R17" s="22">
        <f>IFERROR(IF('Closed Count'!R17="","",'Closed Count'!R17/'Sel Ults - Closed Count'!D17),"")</f>
        <v/>
      </c>
      <c r="S17" s="22">
        <f>IFERROR(IF('Closed Count'!S17="","",'Closed Count'!S17/'Sel Ults - Closed Count'!D17),"")</f>
        <v/>
      </c>
      <c r="T17" s="22">
        <f>IFERROR(IF('Closed Count'!T17="","",'Closed Count'!T17/'Sel Ults - Closed Count'!D17),"")</f>
        <v/>
      </c>
      <c r="U17" s="22">
        <f>IFERROR(IF('Closed Count'!U17="","",'Closed Count'!U17/'Sel Ults - Closed Count'!D17),"")</f>
        <v/>
      </c>
      <c r="V17" s="22">
        <f>IFERROR(IF('Closed Count'!V17="","",'Closed Count'!V17/'Sel Ults - Closed Count'!D17),"")</f>
        <v/>
      </c>
      <c r="W17" s="22">
        <f>IFERROR(IF('Closed Count'!W17="","",'Closed Count'!W17/'Sel Ults - Closed Count'!D17),"")</f>
        <v/>
      </c>
      <c r="X17" s="22">
        <f>IFERROR(IF('Closed Count'!X17="","",'Closed Count'!X17/'Sel Ults - Closed Count'!D17),"")</f>
        <v/>
      </c>
      <c r="Y17" s="22">
        <f>IFERROR(IF('Closed Count'!Y17="","",'Closed Count'!Y17/'Sel Ults - Closed Count'!D17),"")</f>
        <v/>
      </c>
    </row>
    <row r="18">
      <c r="A18">
        <f>'Closed Count'!A18</f>
        <v/>
      </c>
      <c r="B18" s="22">
        <f>IFERROR(IF('Closed Count'!B18="","",'Closed Count'!B18/'Sel Ults - Closed Count'!D18),"")</f>
        <v/>
      </c>
      <c r="C18" s="22">
        <f>IFERROR(IF('Closed Count'!C18="","",'Closed Count'!C18/'Sel Ults - Closed Count'!D18),"")</f>
        <v/>
      </c>
      <c r="D18" s="22">
        <f>IFERROR(IF('Closed Count'!D18="","",'Closed Count'!D18/'Sel Ults - Closed Count'!D18),"")</f>
        <v/>
      </c>
      <c r="E18" s="22">
        <f>IFERROR(IF('Closed Count'!E18="","",'Closed Count'!E18/'Sel Ults - Closed Count'!D18),"")</f>
        <v/>
      </c>
      <c r="F18" s="22">
        <f>IFERROR(IF('Closed Count'!F18="","",'Closed Count'!F18/'Sel Ults - Closed Count'!D18),"")</f>
        <v/>
      </c>
      <c r="G18" s="22">
        <f>IFERROR(IF('Closed Count'!G18="","",'Closed Count'!G18/'Sel Ults - Closed Count'!D18),"")</f>
        <v/>
      </c>
      <c r="H18" s="22">
        <f>IFERROR(IF('Closed Count'!H18="","",'Closed Count'!H18/'Sel Ults - Closed Count'!D18),"")</f>
        <v/>
      </c>
      <c r="I18" s="22">
        <f>IFERROR(IF('Closed Count'!I18="","",'Closed Count'!I18/'Sel Ults - Closed Count'!D18),"")</f>
        <v/>
      </c>
      <c r="J18" s="22">
        <f>IFERROR(IF('Closed Count'!J18="","",'Closed Count'!J18/'Sel Ults - Closed Count'!D18),"")</f>
        <v/>
      </c>
      <c r="K18" s="22">
        <f>IFERROR(IF('Closed Count'!K18="","",'Closed Count'!K18/'Sel Ults - Closed Count'!D18),"")</f>
        <v/>
      </c>
      <c r="L18" s="22">
        <f>IFERROR(IF('Closed Count'!L18="","",'Closed Count'!L18/'Sel Ults - Closed Count'!D18),"")</f>
        <v/>
      </c>
      <c r="M18" s="22">
        <f>IFERROR(IF('Closed Count'!M18="","",'Closed Count'!M18/'Sel Ults - Closed Count'!D18),"")</f>
        <v/>
      </c>
      <c r="N18" s="22">
        <f>IFERROR(IF('Closed Count'!N18="","",'Closed Count'!N18/'Sel Ults - Closed Count'!D18),"")</f>
        <v/>
      </c>
      <c r="O18" s="22">
        <f>IFERROR(IF('Closed Count'!O18="","",'Closed Count'!O18/'Sel Ults - Closed Count'!D18),"")</f>
        <v/>
      </c>
      <c r="P18" s="22">
        <f>IFERROR(IF('Closed Count'!P18="","",'Closed Count'!P18/'Sel Ults - Closed Count'!D18),"")</f>
        <v/>
      </c>
      <c r="Q18" s="22">
        <f>IFERROR(IF('Closed Count'!Q18="","",'Closed Count'!Q18/'Sel Ults - Closed Count'!D18),"")</f>
        <v/>
      </c>
      <c r="R18" s="22">
        <f>IFERROR(IF('Closed Count'!R18="","",'Closed Count'!R18/'Sel Ults - Closed Count'!D18),"")</f>
        <v/>
      </c>
      <c r="S18" s="22">
        <f>IFERROR(IF('Closed Count'!S18="","",'Closed Count'!S18/'Sel Ults - Closed Count'!D18),"")</f>
        <v/>
      </c>
      <c r="T18" s="22">
        <f>IFERROR(IF('Closed Count'!T18="","",'Closed Count'!T18/'Sel Ults - Closed Count'!D18),"")</f>
        <v/>
      </c>
      <c r="U18" s="22">
        <f>IFERROR(IF('Closed Count'!U18="","",'Closed Count'!U18/'Sel Ults - Closed Count'!D18),"")</f>
        <v/>
      </c>
      <c r="V18" s="22">
        <f>IFERROR(IF('Closed Count'!V18="","",'Closed Count'!V18/'Sel Ults - Closed Count'!D18),"")</f>
        <v/>
      </c>
      <c r="W18" s="22">
        <f>IFERROR(IF('Closed Count'!W18="","",'Closed Count'!W18/'Sel Ults - Closed Count'!D18),"")</f>
        <v/>
      </c>
      <c r="X18" s="22">
        <f>IFERROR(IF('Closed Count'!X18="","",'Closed Count'!X18/'Sel Ults - Closed Count'!D18),"")</f>
        <v/>
      </c>
      <c r="Y18" s="22">
        <f>IFERROR(IF('Closed Count'!Y18="","",'Closed Count'!Y18/'Sel Ults - Closed Count'!D18),"")</f>
        <v/>
      </c>
    </row>
    <row r="19">
      <c r="A19">
        <f>'Closed Count'!A19</f>
        <v/>
      </c>
      <c r="B19" s="22">
        <f>IFERROR(IF('Closed Count'!B19="","",'Closed Count'!B19/'Sel Ults - Closed Count'!D19),"")</f>
        <v/>
      </c>
      <c r="C19" s="22">
        <f>IFERROR(IF('Closed Count'!C19="","",'Closed Count'!C19/'Sel Ults - Closed Count'!D19),"")</f>
        <v/>
      </c>
      <c r="D19" s="22">
        <f>IFERROR(IF('Closed Count'!D19="","",'Closed Count'!D19/'Sel Ults - Closed Count'!D19),"")</f>
        <v/>
      </c>
      <c r="E19" s="22">
        <f>IFERROR(IF('Closed Count'!E19="","",'Closed Count'!E19/'Sel Ults - Closed Count'!D19),"")</f>
        <v/>
      </c>
      <c r="F19" s="22">
        <f>IFERROR(IF('Closed Count'!F19="","",'Closed Count'!F19/'Sel Ults - Closed Count'!D19),"")</f>
        <v/>
      </c>
      <c r="G19" s="22">
        <f>IFERROR(IF('Closed Count'!G19="","",'Closed Count'!G19/'Sel Ults - Closed Count'!D19),"")</f>
        <v/>
      </c>
      <c r="H19" s="22">
        <f>IFERROR(IF('Closed Count'!H19="","",'Closed Count'!H19/'Sel Ults - Closed Count'!D19),"")</f>
        <v/>
      </c>
      <c r="I19" s="22">
        <f>IFERROR(IF('Closed Count'!I19="","",'Closed Count'!I19/'Sel Ults - Closed Count'!D19),"")</f>
        <v/>
      </c>
      <c r="J19" s="22">
        <f>IFERROR(IF('Closed Count'!J19="","",'Closed Count'!J19/'Sel Ults - Closed Count'!D19),"")</f>
        <v/>
      </c>
      <c r="K19" s="22">
        <f>IFERROR(IF('Closed Count'!K19="","",'Closed Count'!K19/'Sel Ults - Closed Count'!D19),"")</f>
        <v/>
      </c>
      <c r="L19" s="22">
        <f>IFERROR(IF('Closed Count'!L19="","",'Closed Count'!L19/'Sel Ults - Closed Count'!D19),"")</f>
        <v/>
      </c>
      <c r="M19" s="22">
        <f>IFERROR(IF('Closed Count'!M19="","",'Closed Count'!M19/'Sel Ults - Closed Count'!D19),"")</f>
        <v/>
      </c>
      <c r="N19" s="22">
        <f>IFERROR(IF('Closed Count'!N19="","",'Closed Count'!N19/'Sel Ults - Closed Count'!D19),"")</f>
        <v/>
      </c>
      <c r="O19" s="22">
        <f>IFERROR(IF('Closed Count'!O19="","",'Closed Count'!O19/'Sel Ults - Closed Count'!D19),"")</f>
        <v/>
      </c>
      <c r="P19" s="22">
        <f>IFERROR(IF('Closed Count'!P19="","",'Closed Count'!P19/'Sel Ults - Closed Count'!D19),"")</f>
        <v/>
      </c>
      <c r="Q19" s="22">
        <f>IFERROR(IF('Closed Count'!Q19="","",'Closed Count'!Q19/'Sel Ults - Closed Count'!D19),"")</f>
        <v/>
      </c>
      <c r="R19" s="22">
        <f>IFERROR(IF('Closed Count'!R19="","",'Closed Count'!R19/'Sel Ults - Closed Count'!D19),"")</f>
        <v/>
      </c>
      <c r="S19" s="22">
        <f>IFERROR(IF('Closed Count'!S19="","",'Closed Count'!S19/'Sel Ults - Closed Count'!D19),"")</f>
        <v/>
      </c>
      <c r="T19" s="22">
        <f>IFERROR(IF('Closed Count'!T19="","",'Closed Count'!T19/'Sel Ults - Closed Count'!D19),"")</f>
        <v/>
      </c>
      <c r="U19" s="22">
        <f>IFERROR(IF('Closed Count'!U19="","",'Closed Count'!U19/'Sel Ults - Closed Count'!D19),"")</f>
        <v/>
      </c>
      <c r="V19" s="22">
        <f>IFERROR(IF('Closed Count'!V19="","",'Closed Count'!V19/'Sel Ults - Closed Count'!D19),"")</f>
        <v/>
      </c>
      <c r="W19" s="22">
        <f>IFERROR(IF('Closed Count'!W19="","",'Closed Count'!W19/'Sel Ults - Closed Count'!D19),"")</f>
        <v/>
      </c>
      <c r="X19" s="22">
        <f>IFERROR(IF('Closed Count'!X19="","",'Closed Count'!X19/'Sel Ults - Closed Count'!D19),"")</f>
        <v/>
      </c>
      <c r="Y19" s="22">
        <f>IFERROR(IF('Closed Count'!Y19="","",'Closed Count'!Y19/'Sel Ults - Closed Count'!D19),"")</f>
        <v/>
      </c>
    </row>
    <row r="20">
      <c r="A20">
        <f>'Closed Count'!A20</f>
        <v/>
      </c>
      <c r="B20" s="22">
        <f>IFERROR(IF('Closed Count'!B20="","",'Closed Count'!B20/'Sel Ults - Closed Count'!D20),"")</f>
        <v/>
      </c>
      <c r="C20" s="22">
        <f>IFERROR(IF('Closed Count'!C20="","",'Closed Count'!C20/'Sel Ults - Closed Count'!D20),"")</f>
        <v/>
      </c>
      <c r="D20" s="22">
        <f>IFERROR(IF('Closed Count'!D20="","",'Closed Count'!D20/'Sel Ults - Closed Count'!D20),"")</f>
        <v/>
      </c>
      <c r="E20" s="22">
        <f>IFERROR(IF('Closed Count'!E20="","",'Closed Count'!E20/'Sel Ults - Closed Count'!D20),"")</f>
        <v/>
      </c>
      <c r="F20" s="22">
        <f>IFERROR(IF('Closed Count'!F20="","",'Closed Count'!F20/'Sel Ults - Closed Count'!D20),"")</f>
        <v/>
      </c>
      <c r="G20" s="22">
        <f>IFERROR(IF('Closed Count'!G20="","",'Closed Count'!G20/'Sel Ults - Closed Count'!D20),"")</f>
        <v/>
      </c>
      <c r="H20" s="22">
        <f>IFERROR(IF('Closed Count'!H20="","",'Closed Count'!H20/'Sel Ults - Closed Count'!D20),"")</f>
        <v/>
      </c>
      <c r="I20" s="22">
        <f>IFERROR(IF('Closed Count'!I20="","",'Closed Count'!I20/'Sel Ults - Closed Count'!D20),"")</f>
        <v/>
      </c>
      <c r="J20" s="22">
        <f>IFERROR(IF('Closed Count'!J20="","",'Closed Count'!J20/'Sel Ults - Closed Count'!D20),"")</f>
        <v/>
      </c>
      <c r="K20" s="22">
        <f>IFERROR(IF('Closed Count'!K20="","",'Closed Count'!K20/'Sel Ults - Closed Count'!D20),"")</f>
        <v/>
      </c>
      <c r="L20" s="22">
        <f>IFERROR(IF('Closed Count'!L20="","",'Closed Count'!L20/'Sel Ults - Closed Count'!D20),"")</f>
        <v/>
      </c>
      <c r="M20" s="22">
        <f>IFERROR(IF('Closed Count'!M20="","",'Closed Count'!M20/'Sel Ults - Closed Count'!D20),"")</f>
        <v/>
      </c>
      <c r="N20" s="22">
        <f>IFERROR(IF('Closed Count'!N20="","",'Closed Count'!N20/'Sel Ults - Closed Count'!D20),"")</f>
        <v/>
      </c>
      <c r="O20" s="22">
        <f>IFERROR(IF('Closed Count'!O20="","",'Closed Count'!O20/'Sel Ults - Closed Count'!D20),"")</f>
        <v/>
      </c>
      <c r="P20" s="22">
        <f>IFERROR(IF('Closed Count'!P20="","",'Closed Count'!P20/'Sel Ults - Closed Count'!D20),"")</f>
        <v/>
      </c>
      <c r="Q20" s="22">
        <f>IFERROR(IF('Closed Count'!Q20="","",'Closed Count'!Q20/'Sel Ults - Closed Count'!D20),"")</f>
        <v/>
      </c>
      <c r="R20" s="22">
        <f>IFERROR(IF('Closed Count'!R20="","",'Closed Count'!R20/'Sel Ults - Closed Count'!D20),"")</f>
        <v/>
      </c>
      <c r="S20" s="22">
        <f>IFERROR(IF('Closed Count'!S20="","",'Closed Count'!S20/'Sel Ults - Closed Count'!D20),"")</f>
        <v/>
      </c>
      <c r="T20" s="22">
        <f>IFERROR(IF('Closed Count'!T20="","",'Closed Count'!T20/'Sel Ults - Closed Count'!D20),"")</f>
        <v/>
      </c>
      <c r="U20" s="22">
        <f>IFERROR(IF('Closed Count'!U20="","",'Closed Count'!U20/'Sel Ults - Closed Count'!D20),"")</f>
        <v/>
      </c>
      <c r="V20" s="22">
        <f>IFERROR(IF('Closed Count'!V20="","",'Closed Count'!V20/'Sel Ults - Closed Count'!D20),"")</f>
        <v/>
      </c>
      <c r="W20" s="22">
        <f>IFERROR(IF('Closed Count'!W20="","",'Closed Count'!W20/'Sel Ults - Closed Count'!D20),"")</f>
        <v/>
      </c>
      <c r="X20" s="22">
        <f>IFERROR(IF('Closed Count'!X20="","",'Closed Count'!X20/'Sel Ults - Closed Count'!D20),"")</f>
        <v/>
      </c>
      <c r="Y20" s="22">
        <f>IFERROR(IF('Closed Count'!Y20="","",'Closed Count'!Y20/'Sel Ults - Closed Count'!D20),"")</f>
        <v/>
      </c>
    </row>
    <row r="21">
      <c r="A21">
        <f>'Closed Count'!A21</f>
        <v/>
      </c>
      <c r="B21" s="22">
        <f>IFERROR(IF('Closed Count'!B21="","",'Closed Count'!B21/'Sel Ults - Closed Count'!D21),"")</f>
        <v/>
      </c>
      <c r="C21" s="22">
        <f>IFERROR(IF('Closed Count'!C21="","",'Closed Count'!C21/'Sel Ults - Closed Count'!D21),"")</f>
        <v/>
      </c>
      <c r="D21" s="22">
        <f>IFERROR(IF('Closed Count'!D21="","",'Closed Count'!D21/'Sel Ults - Closed Count'!D21),"")</f>
        <v/>
      </c>
      <c r="E21" s="22">
        <f>IFERROR(IF('Closed Count'!E21="","",'Closed Count'!E21/'Sel Ults - Closed Count'!D21),"")</f>
        <v/>
      </c>
      <c r="F21" s="22">
        <f>IFERROR(IF('Closed Count'!F21="","",'Closed Count'!F21/'Sel Ults - Closed Count'!D21),"")</f>
        <v/>
      </c>
      <c r="G21" s="22">
        <f>IFERROR(IF('Closed Count'!G21="","",'Closed Count'!G21/'Sel Ults - Closed Count'!D21),"")</f>
        <v/>
      </c>
      <c r="H21" s="22">
        <f>IFERROR(IF('Closed Count'!H21="","",'Closed Count'!H21/'Sel Ults - Closed Count'!D21),"")</f>
        <v/>
      </c>
      <c r="I21" s="22">
        <f>IFERROR(IF('Closed Count'!I21="","",'Closed Count'!I21/'Sel Ults - Closed Count'!D21),"")</f>
        <v/>
      </c>
      <c r="J21" s="22">
        <f>IFERROR(IF('Closed Count'!J21="","",'Closed Count'!J21/'Sel Ults - Closed Count'!D21),"")</f>
        <v/>
      </c>
      <c r="K21" s="22">
        <f>IFERROR(IF('Closed Count'!K21="","",'Closed Count'!K21/'Sel Ults - Closed Count'!D21),"")</f>
        <v/>
      </c>
      <c r="L21" s="22">
        <f>IFERROR(IF('Closed Count'!L21="","",'Closed Count'!L21/'Sel Ults - Closed Count'!D21),"")</f>
        <v/>
      </c>
      <c r="M21" s="22">
        <f>IFERROR(IF('Closed Count'!M21="","",'Closed Count'!M21/'Sel Ults - Closed Count'!D21),"")</f>
        <v/>
      </c>
      <c r="N21" s="22">
        <f>IFERROR(IF('Closed Count'!N21="","",'Closed Count'!N21/'Sel Ults - Closed Count'!D21),"")</f>
        <v/>
      </c>
      <c r="O21" s="22">
        <f>IFERROR(IF('Closed Count'!O21="","",'Closed Count'!O21/'Sel Ults - Closed Count'!D21),"")</f>
        <v/>
      </c>
      <c r="P21" s="22">
        <f>IFERROR(IF('Closed Count'!P21="","",'Closed Count'!P21/'Sel Ults - Closed Count'!D21),"")</f>
        <v/>
      </c>
      <c r="Q21" s="22">
        <f>IFERROR(IF('Closed Count'!Q21="","",'Closed Count'!Q21/'Sel Ults - Closed Count'!D21),"")</f>
        <v/>
      </c>
      <c r="R21" s="22">
        <f>IFERROR(IF('Closed Count'!R21="","",'Closed Count'!R21/'Sel Ults - Closed Count'!D21),"")</f>
        <v/>
      </c>
      <c r="S21" s="22">
        <f>IFERROR(IF('Closed Count'!S21="","",'Closed Count'!S21/'Sel Ults - Closed Count'!D21),"")</f>
        <v/>
      </c>
      <c r="T21" s="22">
        <f>IFERROR(IF('Closed Count'!T21="","",'Closed Count'!T21/'Sel Ults - Closed Count'!D21),"")</f>
        <v/>
      </c>
      <c r="U21" s="22">
        <f>IFERROR(IF('Closed Count'!U21="","",'Closed Count'!U21/'Sel Ults - Closed Count'!D21),"")</f>
        <v/>
      </c>
      <c r="V21" s="22">
        <f>IFERROR(IF('Closed Count'!V21="","",'Closed Count'!V21/'Sel Ults - Closed Count'!D21),"")</f>
        <v/>
      </c>
      <c r="W21" s="22">
        <f>IFERROR(IF('Closed Count'!W21="","",'Closed Count'!W21/'Sel Ults - Closed Count'!D21),"")</f>
        <v/>
      </c>
      <c r="X21" s="22">
        <f>IFERROR(IF('Closed Count'!X21="","",'Closed Count'!X21/'Sel Ults - Closed Count'!D21),"")</f>
        <v/>
      </c>
      <c r="Y21" s="22">
        <f>IFERROR(IF('Closed Count'!Y21="","",'Closed Count'!Y21/'Sel Ults - Closed Count'!D21),"")</f>
        <v/>
      </c>
    </row>
    <row r="22">
      <c r="A22">
        <f>'Closed Count'!A22</f>
        <v/>
      </c>
      <c r="B22" s="22">
        <f>IFERROR(IF('Closed Count'!B22="","",'Closed Count'!B22/'Sel Ults - Closed Count'!D22),"")</f>
        <v/>
      </c>
      <c r="C22" s="22">
        <f>IFERROR(IF('Closed Count'!C22="","",'Closed Count'!C22/'Sel Ults - Closed Count'!D22),"")</f>
        <v/>
      </c>
      <c r="D22" s="22">
        <f>IFERROR(IF('Closed Count'!D22="","",'Closed Count'!D22/'Sel Ults - Closed Count'!D22),"")</f>
        <v/>
      </c>
      <c r="E22" s="22">
        <f>IFERROR(IF('Closed Count'!E22="","",'Closed Count'!E22/'Sel Ults - Closed Count'!D22),"")</f>
        <v/>
      </c>
      <c r="F22" s="22">
        <f>IFERROR(IF('Closed Count'!F22="","",'Closed Count'!F22/'Sel Ults - Closed Count'!D22),"")</f>
        <v/>
      </c>
      <c r="G22" s="22">
        <f>IFERROR(IF('Closed Count'!G22="","",'Closed Count'!G22/'Sel Ults - Closed Count'!D22),"")</f>
        <v/>
      </c>
      <c r="H22" s="22">
        <f>IFERROR(IF('Closed Count'!H22="","",'Closed Count'!H22/'Sel Ults - Closed Count'!D22),"")</f>
        <v/>
      </c>
      <c r="I22" s="22">
        <f>IFERROR(IF('Closed Count'!I22="","",'Closed Count'!I22/'Sel Ults - Closed Count'!D22),"")</f>
        <v/>
      </c>
      <c r="J22" s="22">
        <f>IFERROR(IF('Closed Count'!J22="","",'Closed Count'!J22/'Sel Ults - Closed Count'!D22),"")</f>
        <v/>
      </c>
      <c r="K22" s="22">
        <f>IFERROR(IF('Closed Count'!K22="","",'Closed Count'!K22/'Sel Ults - Closed Count'!D22),"")</f>
        <v/>
      </c>
      <c r="L22" s="22">
        <f>IFERROR(IF('Closed Count'!L22="","",'Closed Count'!L22/'Sel Ults - Closed Count'!D22),"")</f>
        <v/>
      </c>
      <c r="M22" s="22">
        <f>IFERROR(IF('Closed Count'!M22="","",'Closed Count'!M22/'Sel Ults - Closed Count'!D22),"")</f>
        <v/>
      </c>
      <c r="N22" s="22">
        <f>IFERROR(IF('Closed Count'!N22="","",'Closed Count'!N22/'Sel Ults - Closed Count'!D22),"")</f>
        <v/>
      </c>
      <c r="O22" s="22">
        <f>IFERROR(IF('Closed Count'!O22="","",'Closed Count'!O22/'Sel Ults - Closed Count'!D22),"")</f>
        <v/>
      </c>
      <c r="P22" s="22">
        <f>IFERROR(IF('Closed Count'!P22="","",'Closed Count'!P22/'Sel Ults - Closed Count'!D22),"")</f>
        <v/>
      </c>
      <c r="Q22" s="22">
        <f>IFERROR(IF('Closed Count'!Q22="","",'Closed Count'!Q22/'Sel Ults - Closed Count'!D22),"")</f>
        <v/>
      </c>
      <c r="R22" s="22">
        <f>IFERROR(IF('Closed Count'!R22="","",'Closed Count'!R22/'Sel Ults - Closed Count'!D22),"")</f>
        <v/>
      </c>
      <c r="S22" s="22">
        <f>IFERROR(IF('Closed Count'!S22="","",'Closed Count'!S22/'Sel Ults - Closed Count'!D22),"")</f>
        <v/>
      </c>
      <c r="T22" s="22">
        <f>IFERROR(IF('Closed Count'!T22="","",'Closed Count'!T22/'Sel Ults - Closed Count'!D22),"")</f>
        <v/>
      </c>
      <c r="U22" s="22">
        <f>IFERROR(IF('Closed Count'!U22="","",'Closed Count'!U22/'Sel Ults - Closed Count'!D22),"")</f>
        <v/>
      </c>
      <c r="V22" s="22">
        <f>IFERROR(IF('Closed Count'!V22="","",'Closed Count'!V22/'Sel Ults - Closed Count'!D22),"")</f>
        <v/>
      </c>
      <c r="W22" s="22">
        <f>IFERROR(IF('Closed Count'!W22="","",'Closed Count'!W22/'Sel Ults - Closed Count'!D22),"")</f>
        <v/>
      </c>
      <c r="X22" s="22">
        <f>IFERROR(IF('Closed Count'!X22="","",'Closed Count'!X22/'Sel Ults - Closed Count'!D22),"")</f>
        <v/>
      </c>
      <c r="Y22" s="22">
        <f>IFERROR(IF('Closed Count'!Y22="","",'Closed Count'!Y22/'Sel Ults - Closed Count'!D22),"")</f>
        <v/>
      </c>
    </row>
    <row r="23">
      <c r="A23">
        <f>'Closed Count'!A23</f>
        <v/>
      </c>
      <c r="B23" s="22">
        <f>IFERROR(IF('Closed Count'!B23="","",'Closed Count'!B23/'Sel Ults - Closed Count'!D23),"")</f>
        <v/>
      </c>
      <c r="C23" s="22">
        <f>IFERROR(IF('Closed Count'!C23="","",'Closed Count'!C23/'Sel Ults - Closed Count'!D23),"")</f>
        <v/>
      </c>
      <c r="D23" s="22">
        <f>IFERROR(IF('Closed Count'!D23="","",'Closed Count'!D23/'Sel Ults - Closed Count'!D23),"")</f>
        <v/>
      </c>
      <c r="E23" s="22">
        <f>IFERROR(IF('Closed Count'!E23="","",'Closed Count'!E23/'Sel Ults - Closed Count'!D23),"")</f>
        <v/>
      </c>
      <c r="F23" s="22">
        <f>IFERROR(IF('Closed Count'!F23="","",'Closed Count'!F23/'Sel Ults - Closed Count'!D23),"")</f>
        <v/>
      </c>
      <c r="G23" s="22">
        <f>IFERROR(IF('Closed Count'!G23="","",'Closed Count'!G23/'Sel Ults - Closed Count'!D23),"")</f>
        <v/>
      </c>
      <c r="H23" s="22">
        <f>IFERROR(IF('Closed Count'!H23="","",'Closed Count'!H23/'Sel Ults - Closed Count'!D23),"")</f>
        <v/>
      </c>
      <c r="I23" s="22">
        <f>IFERROR(IF('Closed Count'!I23="","",'Closed Count'!I23/'Sel Ults - Closed Count'!D23),"")</f>
        <v/>
      </c>
      <c r="J23" s="22">
        <f>IFERROR(IF('Closed Count'!J23="","",'Closed Count'!J23/'Sel Ults - Closed Count'!D23),"")</f>
        <v/>
      </c>
      <c r="K23" s="22">
        <f>IFERROR(IF('Closed Count'!K23="","",'Closed Count'!K23/'Sel Ults - Closed Count'!D23),"")</f>
        <v/>
      </c>
      <c r="L23" s="22">
        <f>IFERROR(IF('Closed Count'!L23="","",'Closed Count'!L23/'Sel Ults - Closed Count'!D23),"")</f>
        <v/>
      </c>
      <c r="M23" s="22">
        <f>IFERROR(IF('Closed Count'!M23="","",'Closed Count'!M23/'Sel Ults - Closed Count'!D23),"")</f>
        <v/>
      </c>
      <c r="N23" s="22">
        <f>IFERROR(IF('Closed Count'!N23="","",'Closed Count'!N23/'Sel Ults - Closed Count'!D23),"")</f>
        <v/>
      </c>
      <c r="O23" s="22">
        <f>IFERROR(IF('Closed Count'!O23="","",'Closed Count'!O23/'Sel Ults - Closed Count'!D23),"")</f>
        <v/>
      </c>
      <c r="P23" s="22">
        <f>IFERROR(IF('Closed Count'!P23="","",'Closed Count'!P23/'Sel Ults - Closed Count'!D23),"")</f>
        <v/>
      </c>
      <c r="Q23" s="22">
        <f>IFERROR(IF('Closed Count'!Q23="","",'Closed Count'!Q23/'Sel Ults - Closed Count'!D23),"")</f>
        <v/>
      </c>
      <c r="R23" s="22">
        <f>IFERROR(IF('Closed Count'!R23="","",'Closed Count'!R23/'Sel Ults - Closed Count'!D23),"")</f>
        <v/>
      </c>
      <c r="S23" s="22">
        <f>IFERROR(IF('Closed Count'!S23="","",'Closed Count'!S23/'Sel Ults - Closed Count'!D23),"")</f>
        <v/>
      </c>
      <c r="T23" s="22">
        <f>IFERROR(IF('Closed Count'!T23="","",'Closed Count'!T23/'Sel Ults - Closed Count'!D23),"")</f>
        <v/>
      </c>
      <c r="U23" s="22">
        <f>IFERROR(IF('Closed Count'!U23="","",'Closed Count'!U23/'Sel Ults - Closed Count'!D23),"")</f>
        <v/>
      </c>
      <c r="V23" s="22">
        <f>IFERROR(IF('Closed Count'!V23="","",'Closed Count'!V23/'Sel Ults - Closed Count'!D23),"")</f>
        <v/>
      </c>
      <c r="W23" s="22">
        <f>IFERROR(IF('Closed Count'!W23="","",'Closed Count'!W23/'Sel Ults - Closed Count'!D23),"")</f>
        <v/>
      </c>
      <c r="X23" s="22">
        <f>IFERROR(IF('Closed Count'!X23="","",'Closed Count'!X23/'Sel Ults - Closed Count'!D23),"")</f>
        <v/>
      </c>
      <c r="Y23" s="22">
        <f>IFERROR(IF('Closed Count'!Y23="","",'Closed Count'!Y23/'Sel Ults - Closed Count'!D23),"")</f>
        <v/>
      </c>
    </row>
    <row r="24">
      <c r="A24">
        <f>'Closed Count'!A24</f>
        <v/>
      </c>
      <c r="B24" s="22">
        <f>IFERROR(IF('Closed Count'!B24="","",'Closed Count'!B24/'Sel Ults - Closed Count'!D24),"")</f>
        <v/>
      </c>
      <c r="C24" s="22">
        <f>IFERROR(IF('Closed Count'!C24="","",'Closed Count'!C24/'Sel Ults - Closed Count'!D24),"")</f>
        <v/>
      </c>
      <c r="D24" s="22">
        <f>IFERROR(IF('Closed Count'!D24="","",'Closed Count'!D24/'Sel Ults - Closed Count'!D24),"")</f>
        <v/>
      </c>
      <c r="E24" s="22">
        <f>IFERROR(IF('Closed Count'!E24="","",'Closed Count'!E24/'Sel Ults - Closed Count'!D24),"")</f>
        <v/>
      </c>
      <c r="F24" s="22">
        <f>IFERROR(IF('Closed Count'!F24="","",'Closed Count'!F24/'Sel Ults - Closed Count'!D24),"")</f>
        <v/>
      </c>
      <c r="G24" s="22">
        <f>IFERROR(IF('Closed Count'!G24="","",'Closed Count'!G24/'Sel Ults - Closed Count'!D24),"")</f>
        <v/>
      </c>
      <c r="H24" s="22">
        <f>IFERROR(IF('Closed Count'!H24="","",'Closed Count'!H24/'Sel Ults - Closed Count'!D24),"")</f>
        <v/>
      </c>
      <c r="I24" s="22">
        <f>IFERROR(IF('Closed Count'!I24="","",'Closed Count'!I24/'Sel Ults - Closed Count'!D24),"")</f>
        <v/>
      </c>
      <c r="J24" s="22">
        <f>IFERROR(IF('Closed Count'!J24="","",'Closed Count'!J24/'Sel Ults - Closed Count'!D24),"")</f>
        <v/>
      </c>
      <c r="K24" s="22">
        <f>IFERROR(IF('Closed Count'!K24="","",'Closed Count'!K24/'Sel Ults - Closed Count'!D24),"")</f>
        <v/>
      </c>
      <c r="L24" s="22">
        <f>IFERROR(IF('Closed Count'!L24="","",'Closed Count'!L24/'Sel Ults - Closed Count'!D24),"")</f>
        <v/>
      </c>
      <c r="M24" s="22">
        <f>IFERROR(IF('Closed Count'!M24="","",'Closed Count'!M24/'Sel Ults - Closed Count'!D24),"")</f>
        <v/>
      </c>
      <c r="N24" s="22">
        <f>IFERROR(IF('Closed Count'!N24="","",'Closed Count'!N24/'Sel Ults - Closed Count'!D24),"")</f>
        <v/>
      </c>
      <c r="O24" s="22">
        <f>IFERROR(IF('Closed Count'!O24="","",'Closed Count'!O24/'Sel Ults - Closed Count'!D24),"")</f>
        <v/>
      </c>
      <c r="P24" s="22">
        <f>IFERROR(IF('Closed Count'!P24="","",'Closed Count'!P24/'Sel Ults - Closed Count'!D24),"")</f>
        <v/>
      </c>
      <c r="Q24" s="22">
        <f>IFERROR(IF('Closed Count'!Q24="","",'Closed Count'!Q24/'Sel Ults - Closed Count'!D24),"")</f>
        <v/>
      </c>
      <c r="R24" s="22">
        <f>IFERROR(IF('Closed Count'!R24="","",'Closed Count'!R24/'Sel Ults - Closed Count'!D24),"")</f>
        <v/>
      </c>
      <c r="S24" s="22">
        <f>IFERROR(IF('Closed Count'!S24="","",'Closed Count'!S24/'Sel Ults - Closed Count'!D24),"")</f>
        <v/>
      </c>
      <c r="T24" s="22">
        <f>IFERROR(IF('Closed Count'!T24="","",'Closed Count'!T24/'Sel Ults - Closed Count'!D24),"")</f>
        <v/>
      </c>
      <c r="U24" s="22">
        <f>IFERROR(IF('Closed Count'!U24="","",'Closed Count'!U24/'Sel Ults - Closed Count'!D24),"")</f>
        <v/>
      </c>
      <c r="V24" s="22">
        <f>IFERROR(IF('Closed Count'!V24="","",'Closed Count'!V24/'Sel Ults - Closed Count'!D24),"")</f>
        <v/>
      </c>
      <c r="W24" s="22">
        <f>IFERROR(IF('Closed Count'!W24="","",'Closed Count'!W24/'Sel Ults - Closed Count'!D24),"")</f>
        <v/>
      </c>
      <c r="X24" s="22">
        <f>IFERROR(IF('Closed Count'!X24="","",'Closed Count'!X24/'Sel Ults - Closed Count'!D24),"")</f>
        <v/>
      </c>
      <c r="Y24" s="22">
        <f>IFERROR(IF('Closed Count'!Y24="","",'Closed Count'!Y24/'Sel Ults - Closed Count'!D24),"")</f>
        <v/>
      </c>
    </row>
    <row r="25">
      <c r="A25">
        <f>'Closed Count'!A25</f>
        <v/>
      </c>
      <c r="B25" s="22">
        <f>IFERROR(IF('Closed Count'!B25="","",'Closed Count'!B25/'Sel Ults - Closed Count'!D25),"")</f>
        <v/>
      </c>
      <c r="C25" s="22">
        <f>IFERROR(IF('Closed Count'!C25="","",'Closed Count'!C25/'Sel Ults - Closed Count'!D25),"")</f>
        <v/>
      </c>
      <c r="D25" s="22">
        <f>IFERROR(IF('Closed Count'!D25="","",'Closed Count'!D25/'Sel Ults - Closed Count'!D25),"")</f>
        <v/>
      </c>
      <c r="E25" s="22">
        <f>IFERROR(IF('Closed Count'!E25="","",'Closed Count'!E25/'Sel Ults - Closed Count'!D25),"")</f>
        <v/>
      </c>
      <c r="F25" s="22">
        <f>IFERROR(IF('Closed Count'!F25="","",'Closed Count'!F25/'Sel Ults - Closed Count'!D25),"")</f>
        <v/>
      </c>
      <c r="G25" s="22">
        <f>IFERROR(IF('Closed Count'!G25="","",'Closed Count'!G25/'Sel Ults - Closed Count'!D25),"")</f>
        <v/>
      </c>
      <c r="H25" s="22">
        <f>IFERROR(IF('Closed Count'!H25="","",'Closed Count'!H25/'Sel Ults - Closed Count'!D25),"")</f>
        <v/>
      </c>
      <c r="I25" s="22">
        <f>IFERROR(IF('Closed Count'!I25="","",'Closed Count'!I25/'Sel Ults - Closed Count'!D25),"")</f>
        <v/>
      </c>
      <c r="J25" s="22">
        <f>IFERROR(IF('Closed Count'!J25="","",'Closed Count'!J25/'Sel Ults - Closed Count'!D25),"")</f>
        <v/>
      </c>
      <c r="K25" s="22">
        <f>IFERROR(IF('Closed Count'!K25="","",'Closed Count'!K25/'Sel Ults - Closed Count'!D25),"")</f>
        <v/>
      </c>
      <c r="L25" s="22">
        <f>IFERROR(IF('Closed Count'!L25="","",'Closed Count'!L25/'Sel Ults - Closed Count'!D25),"")</f>
        <v/>
      </c>
      <c r="M25" s="22">
        <f>IFERROR(IF('Closed Count'!M25="","",'Closed Count'!M25/'Sel Ults - Closed Count'!D25),"")</f>
        <v/>
      </c>
      <c r="N25" s="22">
        <f>IFERROR(IF('Closed Count'!N25="","",'Closed Count'!N25/'Sel Ults - Closed Count'!D25),"")</f>
        <v/>
      </c>
      <c r="O25" s="22">
        <f>IFERROR(IF('Closed Count'!O25="","",'Closed Count'!O25/'Sel Ults - Closed Count'!D25),"")</f>
        <v/>
      </c>
      <c r="P25" s="22">
        <f>IFERROR(IF('Closed Count'!P25="","",'Closed Count'!P25/'Sel Ults - Closed Count'!D25),"")</f>
        <v/>
      </c>
      <c r="Q25" s="22">
        <f>IFERROR(IF('Closed Count'!Q25="","",'Closed Count'!Q25/'Sel Ults - Closed Count'!D25),"")</f>
        <v/>
      </c>
      <c r="R25" s="22">
        <f>IFERROR(IF('Closed Count'!R25="","",'Closed Count'!R25/'Sel Ults - Closed Count'!D25),"")</f>
        <v/>
      </c>
      <c r="S25" s="22">
        <f>IFERROR(IF('Closed Count'!S25="","",'Closed Count'!S25/'Sel Ults - Closed Count'!D25),"")</f>
        <v/>
      </c>
      <c r="T25" s="22">
        <f>IFERROR(IF('Closed Count'!T25="","",'Closed Count'!T25/'Sel Ults - Closed Count'!D25),"")</f>
        <v/>
      </c>
      <c r="U25" s="22">
        <f>IFERROR(IF('Closed Count'!U25="","",'Closed Count'!U25/'Sel Ults - Closed Count'!D25),"")</f>
        <v/>
      </c>
      <c r="V25" s="22">
        <f>IFERROR(IF('Closed Count'!V25="","",'Closed Count'!V25/'Sel Ults - Closed Count'!D25),"")</f>
        <v/>
      </c>
      <c r="W25" s="22">
        <f>IFERROR(IF('Closed Count'!W25="","",'Closed Count'!W25/'Sel Ults - Closed Count'!D25),"")</f>
        <v/>
      </c>
      <c r="X25" s="22">
        <f>IFERROR(IF('Closed Count'!X25="","",'Closed Count'!X25/'Sel Ults - Closed Count'!D25),"")</f>
        <v/>
      </c>
      <c r="Y25" s="22">
        <f>IFERROR(IF('Closed Count'!Y25="","",'Closed Count'!Y25/'Sel Ults - Closed Count'!D25),"")</f>
        <v/>
      </c>
    </row>
    <row r="26">
      <c r="A26">
        <f>'Closed Count'!A26</f>
        <v/>
      </c>
      <c r="B26" s="22">
        <f>IFERROR(IF('Closed Count'!B26="","",'Closed Count'!B26/'Sel Ults - Closed Count'!D26),"")</f>
        <v/>
      </c>
      <c r="C26" s="22">
        <f>IFERROR(IF('Closed Count'!C26="","",'Closed Count'!C26/'Sel Ults - Closed Count'!D26),"")</f>
        <v/>
      </c>
      <c r="D26" s="22">
        <f>IFERROR(IF('Closed Count'!D26="","",'Closed Count'!D26/'Sel Ults - Closed Count'!D26),"")</f>
        <v/>
      </c>
      <c r="E26" s="22">
        <f>IFERROR(IF('Closed Count'!E26="","",'Closed Count'!E26/'Sel Ults - Closed Count'!D26),"")</f>
        <v/>
      </c>
      <c r="F26" s="22">
        <f>IFERROR(IF('Closed Count'!F26="","",'Closed Count'!F26/'Sel Ults - Closed Count'!D26),"")</f>
        <v/>
      </c>
      <c r="G26" s="22">
        <f>IFERROR(IF('Closed Count'!G26="","",'Closed Count'!G26/'Sel Ults - Closed Count'!D26),"")</f>
        <v/>
      </c>
      <c r="H26" s="22">
        <f>IFERROR(IF('Closed Count'!H26="","",'Closed Count'!H26/'Sel Ults - Closed Count'!D26),"")</f>
        <v/>
      </c>
      <c r="I26" s="22">
        <f>IFERROR(IF('Closed Count'!I26="","",'Closed Count'!I26/'Sel Ults - Closed Count'!D26),"")</f>
        <v/>
      </c>
      <c r="J26" s="22">
        <f>IFERROR(IF('Closed Count'!J26="","",'Closed Count'!J26/'Sel Ults - Closed Count'!D26),"")</f>
        <v/>
      </c>
      <c r="K26" s="22">
        <f>IFERROR(IF('Closed Count'!K26="","",'Closed Count'!K26/'Sel Ults - Closed Count'!D26),"")</f>
        <v/>
      </c>
      <c r="L26" s="22">
        <f>IFERROR(IF('Closed Count'!L26="","",'Closed Count'!L26/'Sel Ults - Closed Count'!D26),"")</f>
        <v/>
      </c>
      <c r="M26" s="22">
        <f>IFERROR(IF('Closed Count'!M26="","",'Closed Count'!M26/'Sel Ults - Closed Count'!D26),"")</f>
        <v/>
      </c>
      <c r="N26" s="22">
        <f>IFERROR(IF('Closed Count'!N26="","",'Closed Count'!N26/'Sel Ults - Closed Count'!D26),"")</f>
        <v/>
      </c>
      <c r="O26" s="22">
        <f>IFERROR(IF('Closed Count'!O26="","",'Closed Count'!O26/'Sel Ults - Closed Count'!D26),"")</f>
        <v/>
      </c>
      <c r="P26" s="22">
        <f>IFERROR(IF('Closed Count'!P26="","",'Closed Count'!P26/'Sel Ults - Closed Count'!D26),"")</f>
        <v/>
      </c>
      <c r="Q26" s="22">
        <f>IFERROR(IF('Closed Count'!Q26="","",'Closed Count'!Q26/'Sel Ults - Closed Count'!D26),"")</f>
        <v/>
      </c>
      <c r="R26" s="22">
        <f>IFERROR(IF('Closed Count'!R26="","",'Closed Count'!R26/'Sel Ults - Closed Count'!D26),"")</f>
        <v/>
      </c>
      <c r="S26" s="22">
        <f>IFERROR(IF('Closed Count'!S26="","",'Closed Count'!S26/'Sel Ults - Closed Count'!D26),"")</f>
        <v/>
      </c>
      <c r="T26" s="22">
        <f>IFERROR(IF('Closed Count'!T26="","",'Closed Count'!T26/'Sel Ults - Closed Count'!D26),"")</f>
        <v/>
      </c>
      <c r="U26" s="22">
        <f>IFERROR(IF('Closed Count'!U26="","",'Closed Count'!U26/'Sel Ults - Closed Count'!D26),"")</f>
        <v/>
      </c>
      <c r="V26" s="22">
        <f>IFERROR(IF('Closed Count'!V26="","",'Closed Count'!V26/'Sel Ults - Closed Count'!D26),"")</f>
        <v/>
      </c>
      <c r="W26" s="22">
        <f>IFERROR(IF('Closed Count'!W26="","",'Closed Count'!W26/'Sel Ults - Closed Count'!D26),"")</f>
        <v/>
      </c>
      <c r="X26" s="22">
        <f>IFERROR(IF('Closed Count'!X26="","",'Closed Count'!X26/'Sel Ults - Closed Count'!D26),"")</f>
        <v/>
      </c>
      <c r="Y26" s="22">
        <f>IFERROR(IF('Closed Count'!Y26="","",'Closed Count'!Y26/'Sel Ults - Closed Count'!D26),"")</f>
        <v/>
      </c>
    </row>
  </sheetData>
  <mergeCells count="1">
    <mergeCell ref="A1: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25" t="inlineStr">
        <is>
          <t>Incurred to Ultimate — ratio triangle</t>
        </is>
      </c>
    </row>
    <row r="2">
      <c r="A2" s="20" t="inlineStr">
        <is>
          <t>Period</t>
        </is>
      </c>
      <c r="B2" s="26">
        <f>'Incurred Loss'!B$2</f>
        <v/>
      </c>
      <c r="C2" s="26">
        <f>'Incurred Loss'!C$2</f>
        <v/>
      </c>
      <c r="D2" s="26">
        <f>'Incurred Loss'!D$2</f>
        <v/>
      </c>
      <c r="E2" s="26">
        <f>'Incurred Loss'!E$2</f>
        <v/>
      </c>
      <c r="F2" s="26">
        <f>'Incurred Loss'!F$2</f>
        <v/>
      </c>
      <c r="G2" s="26">
        <f>'Incurred Loss'!G$2</f>
        <v/>
      </c>
      <c r="H2" s="26">
        <f>'Incurred Loss'!H$2</f>
        <v/>
      </c>
      <c r="I2" s="26">
        <f>'Incurred Loss'!I$2</f>
        <v/>
      </c>
      <c r="J2" s="26">
        <f>'Incurred Loss'!J$2</f>
        <v/>
      </c>
      <c r="K2" s="26">
        <f>'Incurred Loss'!K$2</f>
        <v/>
      </c>
      <c r="L2" s="26">
        <f>'Incurred Loss'!L$2</f>
        <v/>
      </c>
      <c r="M2" s="26">
        <f>'Incurred Loss'!M$2</f>
        <v/>
      </c>
      <c r="N2" s="26">
        <f>'Incurred Loss'!N$2</f>
        <v/>
      </c>
      <c r="O2" s="26">
        <f>'Incurred Loss'!O$2</f>
        <v/>
      </c>
      <c r="P2" s="26">
        <f>'Incurred Loss'!P$2</f>
        <v/>
      </c>
      <c r="Q2" s="26">
        <f>'Incurred Loss'!Q$2</f>
        <v/>
      </c>
      <c r="R2" s="26">
        <f>'Incurred Loss'!R$2</f>
        <v/>
      </c>
      <c r="S2" s="26">
        <f>'Incurred Loss'!S$2</f>
        <v/>
      </c>
      <c r="T2" s="26">
        <f>'Incurred Loss'!T$2</f>
        <v/>
      </c>
      <c r="U2" s="26">
        <f>'Incurred Loss'!U$2</f>
        <v/>
      </c>
      <c r="V2" s="26">
        <f>'Incurred Loss'!V$2</f>
        <v/>
      </c>
      <c r="W2" s="26">
        <f>'Incurred Loss'!W$2</f>
        <v/>
      </c>
      <c r="X2" s="26">
        <f>'Incurred Loss'!X$2</f>
        <v/>
      </c>
      <c r="Y2" s="26">
        <f>'Incurred Loss'!Y$2</f>
        <v/>
      </c>
    </row>
    <row r="3">
      <c r="A3">
        <f>'Incurred Loss'!A3</f>
        <v/>
      </c>
      <c r="B3" s="22">
        <f>IFERROR(IF('Incurred Loss'!B3="","",'Incurred Loss'!B3/'Sel Ults - Incurred Loss'!D3),"")</f>
        <v/>
      </c>
      <c r="C3" s="22">
        <f>IFERROR(IF('Incurred Loss'!C3="","",'Incurred Loss'!C3/'Sel Ults - Incurred Loss'!D3),"")</f>
        <v/>
      </c>
      <c r="D3" s="22">
        <f>IFERROR(IF('Incurred Loss'!D3="","",'Incurred Loss'!D3/'Sel Ults - Incurred Loss'!D3),"")</f>
        <v/>
      </c>
      <c r="E3" s="22">
        <f>IFERROR(IF('Incurred Loss'!E3="","",'Incurred Loss'!E3/'Sel Ults - Incurred Loss'!D3),"")</f>
        <v/>
      </c>
      <c r="F3" s="22">
        <f>IFERROR(IF('Incurred Loss'!F3="","",'Incurred Loss'!F3/'Sel Ults - Incurred Loss'!D3),"")</f>
        <v/>
      </c>
      <c r="G3" s="22">
        <f>IFERROR(IF('Incurred Loss'!G3="","",'Incurred Loss'!G3/'Sel Ults - Incurred Loss'!D3),"")</f>
        <v/>
      </c>
      <c r="H3" s="22">
        <f>IFERROR(IF('Incurred Loss'!H3="","",'Incurred Loss'!H3/'Sel Ults - Incurred Loss'!D3),"")</f>
        <v/>
      </c>
      <c r="I3" s="22">
        <f>IFERROR(IF('Incurred Loss'!I3="","",'Incurred Loss'!I3/'Sel Ults - Incurred Loss'!D3),"")</f>
        <v/>
      </c>
      <c r="J3" s="22">
        <f>IFERROR(IF('Incurred Loss'!J3="","",'Incurred Loss'!J3/'Sel Ults - Incurred Loss'!D3),"")</f>
        <v/>
      </c>
      <c r="K3" s="22">
        <f>IFERROR(IF('Incurred Loss'!K3="","",'Incurred Loss'!K3/'Sel Ults - Incurred Loss'!D3),"")</f>
        <v/>
      </c>
      <c r="L3" s="22">
        <f>IFERROR(IF('Incurred Loss'!L3="","",'Incurred Loss'!L3/'Sel Ults - Incurred Loss'!D3),"")</f>
        <v/>
      </c>
      <c r="M3" s="22">
        <f>IFERROR(IF('Incurred Loss'!M3="","",'Incurred Loss'!M3/'Sel Ults - Incurred Loss'!D3),"")</f>
        <v/>
      </c>
      <c r="N3" s="22">
        <f>IFERROR(IF('Incurred Loss'!N3="","",'Incurred Loss'!N3/'Sel Ults - Incurred Loss'!D3),"")</f>
        <v/>
      </c>
      <c r="O3" s="22">
        <f>IFERROR(IF('Incurred Loss'!O3="","",'Incurred Loss'!O3/'Sel Ults - Incurred Loss'!D3),"")</f>
        <v/>
      </c>
      <c r="P3" s="22">
        <f>IFERROR(IF('Incurred Loss'!P3="","",'Incurred Loss'!P3/'Sel Ults - Incurred Loss'!D3),"")</f>
        <v/>
      </c>
      <c r="Q3" s="22">
        <f>IFERROR(IF('Incurred Loss'!Q3="","",'Incurred Loss'!Q3/'Sel Ults - Incurred Loss'!D3),"")</f>
        <v/>
      </c>
      <c r="R3" s="22">
        <f>IFERROR(IF('Incurred Loss'!R3="","",'Incurred Loss'!R3/'Sel Ults - Incurred Loss'!D3),"")</f>
        <v/>
      </c>
      <c r="S3" s="22">
        <f>IFERROR(IF('Incurred Loss'!S3="","",'Incurred Loss'!S3/'Sel Ults - Incurred Loss'!D3),"")</f>
        <v/>
      </c>
      <c r="T3" s="22">
        <f>IFERROR(IF('Incurred Loss'!T3="","",'Incurred Loss'!T3/'Sel Ults - Incurred Loss'!D3),"")</f>
        <v/>
      </c>
      <c r="U3" s="22">
        <f>IFERROR(IF('Incurred Loss'!U3="","",'Incurred Loss'!U3/'Sel Ults - Incurred Loss'!D3),"")</f>
        <v/>
      </c>
      <c r="V3" s="22">
        <f>IFERROR(IF('Incurred Loss'!V3="","",'Incurred Loss'!V3/'Sel Ults - Incurred Loss'!D3),"")</f>
        <v/>
      </c>
      <c r="W3" s="22">
        <f>IFERROR(IF('Incurred Loss'!W3="","",'Incurred Loss'!W3/'Sel Ults - Incurred Loss'!D3),"")</f>
        <v/>
      </c>
      <c r="X3" s="22">
        <f>IFERROR(IF('Incurred Loss'!X3="","",'Incurred Loss'!X3/'Sel Ults - Incurred Loss'!D3),"")</f>
        <v/>
      </c>
      <c r="Y3" s="22">
        <f>IFERROR(IF('Incurred Loss'!Y3="","",'Incurred Loss'!Y3/'Sel Ults - Incurred Loss'!D3),"")</f>
        <v/>
      </c>
    </row>
    <row r="4">
      <c r="A4">
        <f>'Incurred Loss'!A4</f>
        <v/>
      </c>
      <c r="B4" s="22">
        <f>IFERROR(IF('Incurred Loss'!B4="","",'Incurred Loss'!B4/'Sel Ults - Incurred Loss'!D4),"")</f>
        <v/>
      </c>
      <c r="C4" s="22">
        <f>IFERROR(IF('Incurred Loss'!C4="","",'Incurred Loss'!C4/'Sel Ults - Incurred Loss'!D4),"")</f>
        <v/>
      </c>
      <c r="D4" s="22">
        <f>IFERROR(IF('Incurred Loss'!D4="","",'Incurred Loss'!D4/'Sel Ults - Incurred Loss'!D4),"")</f>
        <v/>
      </c>
      <c r="E4" s="22">
        <f>IFERROR(IF('Incurred Loss'!E4="","",'Incurred Loss'!E4/'Sel Ults - Incurred Loss'!D4),"")</f>
        <v/>
      </c>
      <c r="F4" s="22">
        <f>IFERROR(IF('Incurred Loss'!F4="","",'Incurred Loss'!F4/'Sel Ults - Incurred Loss'!D4),"")</f>
        <v/>
      </c>
      <c r="G4" s="22">
        <f>IFERROR(IF('Incurred Loss'!G4="","",'Incurred Loss'!G4/'Sel Ults - Incurred Loss'!D4),"")</f>
        <v/>
      </c>
      <c r="H4" s="22">
        <f>IFERROR(IF('Incurred Loss'!H4="","",'Incurred Loss'!H4/'Sel Ults - Incurred Loss'!D4),"")</f>
        <v/>
      </c>
      <c r="I4" s="22">
        <f>IFERROR(IF('Incurred Loss'!I4="","",'Incurred Loss'!I4/'Sel Ults - Incurred Loss'!D4),"")</f>
        <v/>
      </c>
      <c r="J4" s="22">
        <f>IFERROR(IF('Incurred Loss'!J4="","",'Incurred Loss'!J4/'Sel Ults - Incurred Loss'!D4),"")</f>
        <v/>
      </c>
      <c r="K4" s="22">
        <f>IFERROR(IF('Incurred Loss'!K4="","",'Incurred Loss'!K4/'Sel Ults - Incurred Loss'!D4),"")</f>
        <v/>
      </c>
      <c r="L4" s="22">
        <f>IFERROR(IF('Incurred Loss'!L4="","",'Incurred Loss'!L4/'Sel Ults - Incurred Loss'!D4),"")</f>
        <v/>
      </c>
      <c r="M4" s="22">
        <f>IFERROR(IF('Incurred Loss'!M4="","",'Incurred Loss'!M4/'Sel Ults - Incurred Loss'!D4),"")</f>
        <v/>
      </c>
      <c r="N4" s="22">
        <f>IFERROR(IF('Incurred Loss'!N4="","",'Incurred Loss'!N4/'Sel Ults - Incurred Loss'!D4),"")</f>
        <v/>
      </c>
      <c r="O4" s="22">
        <f>IFERROR(IF('Incurred Loss'!O4="","",'Incurred Loss'!O4/'Sel Ults - Incurred Loss'!D4),"")</f>
        <v/>
      </c>
      <c r="P4" s="22">
        <f>IFERROR(IF('Incurred Loss'!P4="","",'Incurred Loss'!P4/'Sel Ults - Incurred Loss'!D4),"")</f>
        <v/>
      </c>
      <c r="Q4" s="22">
        <f>IFERROR(IF('Incurred Loss'!Q4="","",'Incurred Loss'!Q4/'Sel Ults - Incurred Loss'!D4),"")</f>
        <v/>
      </c>
      <c r="R4" s="22">
        <f>IFERROR(IF('Incurred Loss'!R4="","",'Incurred Loss'!R4/'Sel Ults - Incurred Loss'!D4),"")</f>
        <v/>
      </c>
      <c r="S4" s="22">
        <f>IFERROR(IF('Incurred Loss'!S4="","",'Incurred Loss'!S4/'Sel Ults - Incurred Loss'!D4),"")</f>
        <v/>
      </c>
      <c r="T4" s="22">
        <f>IFERROR(IF('Incurred Loss'!T4="","",'Incurred Loss'!T4/'Sel Ults - Incurred Loss'!D4),"")</f>
        <v/>
      </c>
      <c r="U4" s="22">
        <f>IFERROR(IF('Incurred Loss'!U4="","",'Incurred Loss'!U4/'Sel Ults - Incurred Loss'!D4),"")</f>
        <v/>
      </c>
      <c r="V4" s="22">
        <f>IFERROR(IF('Incurred Loss'!V4="","",'Incurred Loss'!V4/'Sel Ults - Incurred Loss'!D4),"")</f>
        <v/>
      </c>
      <c r="W4" s="22">
        <f>IFERROR(IF('Incurred Loss'!W4="","",'Incurred Loss'!W4/'Sel Ults - Incurred Loss'!D4),"")</f>
        <v/>
      </c>
      <c r="X4" s="22">
        <f>IFERROR(IF('Incurred Loss'!X4="","",'Incurred Loss'!X4/'Sel Ults - Incurred Loss'!D4),"")</f>
        <v/>
      </c>
      <c r="Y4" s="22">
        <f>IFERROR(IF('Incurred Loss'!Y4="","",'Incurred Loss'!Y4/'Sel Ults - Incurred Loss'!D4),"")</f>
        <v/>
      </c>
    </row>
    <row r="5">
      <c r="A5">
        <f>'Incurred Loss'!A5</f>
        <v/>
      </c>
      <c r="B5" s="22">
        <f>IFERROR(IF('Incurred Loss'!B5="","",'Incurred Loss'!B5/'Sel Ults - Incurred Loss'!D5),"")</f>
        <v/>
      </c>
      <c r="C5" s="22">
        <f>IFERROR(IF('Incurred Loss'!C5="","",'Incurred Loss'!C5/'Sel Ults - Incurred Loss'!D5),"")</f>
        <v/>
      </c>
      <c r="D5" s="22">
        <f>IFERROR(IF('Incurred Loss'!D5="","",'Incurred Loss'!D5/'Sel Ults - Incurred Loss'!D5),"")</f>
        <v/>
      </c>
      <c r="E5" s="22">
        <f>IFERROR(IF('Incurred Loss'!E5="","",'Incurred Loss'!E5/'Sel Ults - Incurred Loss'!D5),"")</f>
        <v/>
      </c>
      <c r="F5" s="22">
        <f>IFERROR(IF('Incurred Loss'!F5="","",'Incurred Loss'!F5/'Sel Ults - Incurred Loss'!D5),"")</f>
        <v/>
      </c>
      <c r="G5" s="22">
        <f>IFERROR(IF('Incurred Loss'!G5="","",'Incurred Loss'!G5/'Sel Ults - Incurred Loss'!D5),"")</f>
        <v/>
      </c>
      <c r="H5" s="22">
        <f>IFERROR(IF('Incurred Loss'!H5="","",'Incurred Loss'!H5/'Sel Ults - Incurred Loss'!D5),"")</f>
        <v/>
      </c>
      <c r="I5" s="22">
        <f>IFERROR(IF('Incurred Loss'!I5="","",'Incurred Loss'!I5/'Sel Ults - Incurred Loss'!D5),"")</f>
        <v/>
      </c>
      <c r="J5" s="22">
        <f>IFERROR(IF('Incurred Loss'!J5="","",'Incurred Loss'!J5/'Sel Ults - Incurred Loss'!D5),"")</f>
        <v/>
      </c>
      <c r="K5" s="22">
        <f>IFERROR(IF('Incurred Loss'!K5="","",'Incurred Loss'!K5/'Sel Ults - Incurred Loss'!D5),"")</f>
        <v/>
      </c>
      <c r="L5" s="22">
        <f>IFERROR(IF('Incurred Loss'!L5="","",'Incurred Loss'!L5/'Sel Ults - Incurred Loss'!D5),"")</f>
        <v/>
      </c>
      <c r="M5" s="22">
        <f>IFERROR(IF('Incurred Loss'!M5="","",'Incurred Loss'!M5/'Sel Ults - Incurred Loss'!D5),"")</f>
        <v/>
      </c>
      <c r="N5" s="22">
        <f>IFERROR(IF('Incurred Loss'!N5="","",'Incurred Loss'!N5/'Sel Ults - Incurred Loss'!D5),"")</f>
        <v/>
      </c>
      <c r="O5" s="22">
        <f>IFERROR(IF('Incurred Loss'!O5="","",'Incurred Loss'!O5/'Sel Ults - Incurred Loss'!D5),"")</f>
        <v/>
      </c>
      <c r="P5" s="22">
        <f>IFERROR(IF('Incurred Loss'!P5="","",'Incurred Loss'!P5/'Sel Ults - Incurred Loss'!D5),"")</f>
        <v/>
      </c>
      <c r="Q5" s="22">
        <f>IFERROR(IF('Incurred Loss'!Q5="","",'Incurred Loss'!Q5/'Sel Ults - Incurred Loss'!D5),"")</f>
        <v/>
      </c>
      <c r="R5" s="22">
        <f>IFERROR(IF('Incurred Loss'!R5="","",'Incurred Loss'!R5/'Sel Ults - Incurred Loss'!D5),"")</f>
        <v/>
      </c>
      <c r="S5" s="22">
        <f>IFERROR(IF('Incurred Loss'!S5="","",'Incurred Loss'!S5/'Sel Ults - Incurred Loss'!D5),"")</f>
        <v/>
      </c>
      <c r="T5" s="22">
        <f>IFERROR(IF('Incurred Loss'!T5="","",'Incurred Loss'!T5/'Sel Ults - Incurred Loss'!D5),"")</f>
        <v/>
      </c>
      <c r="U5" s="22">
        <f>IFERROR(IF('Incurred Loss'!U5="","",'Incurred Loss'!U5/'Sel Ults - Incurred Loss'!D5),"")</f>
        <v/>
      </c>
      <c r="V5" s="22">
        <f>IFERROR(IF('Incurred Loss'!V5="","",'Incurred Loss'!V5/'Sel Ults - Incurred Loss'!D5),"")</f>
        <v/>
      </c>
      <c r="W5" s="22">
        <f>IFERROR(IF('Incurred Loss'!W5="","",'Incurred Loss'!W5/'Sel Ults - Incurred Loss'!D5),"")</f>
        <v/>
      </c>
      <c r="X5" s="22">
        <f>IFERROR(IF('Incurred Loss'!X5="","",'Incurred Loss'!X5/'Sel Ults - Incurred Loss'!D5),"")</f>
        <v/>
      </c>
      <c r="Y5" s="22">
        <f>IFERROR(IF('Incurred Loss'!Y5="","",'Incurred Loss'!Y5/'Sel Ults - Incurred Loss'!D5),"")</f>
        <v/>
      </c>
    </row>
    <row r="6">
      <c r="A6">
        <f>'Incurred Loss'!A6</f>
        <v/>
      </c>
      <c r="B6" s="22">
        <f>IFERROR(IF('Incurred Loss'!B6="","",'Incurred Loss'!B6/'Sel Ults - Incurred Loss'!D6),"")</f>
        <v/>
      </c>
      <c r="C6" s="22">
        <f>IFERROR(IF('Incurred Loss'!C6="","",'Incurred Loss'!C6/'Sel Ults - Incurred Loss'!D6),"")</f>
        <v/>
      </c>
      <c r="D6" s="22">
        <f>IFERROR(IF('Incurred Loss'!D6="","",'Incurred Loss'!D6/'Sel Ults - Incurred Loss'!D6),"")</f>
        <v/>
      </c>
      <c r="E6" s="22">
        <f>IFERROR(IF('Incurred Loss'!E6="","",'Incurred Loss'!E6/'Sel Ults - Incurred Loss'!D6),"")</f>
        <v/>
      </c>
      <c r="F6" s="22">
        <f>IFERROR(IF('Incurred Loss'!F6="","",'Incurred Loss'!F6/'Sel Ults - Incurred Loss'!D6),"")</f>
        <v/>
      </c>
      <c r="G6" s="22">
        <f>IFERROR(IF('Incurred Loss'!G6="","",'Incurred Loss'!G6/'Sel Ults - Incurred Loss'!D6),"")</f>
        <v/>
      </c>
      <c r="H6" s="22">
        <f>IFERROR(IF('Incurred Loss'!H6="","",'Incurred Loss'!H6/'Sel Ults - Incurred Loss'!D6),"")</f>
        <v/>
      </c>
      <c r="I6" s="22">
        <f>IFERROR(IF('Incurred Loss'!I6="","",'Incurred Loss'!I6/'Sel Ults - Incurred Loss'!D6),"")</f>
        <v/>
      </c>
      <c r="J6" s="22">
        <f>IFERROR(IF('Incurred Loss'!J6="","",'Incurred Loss'!J6/'Sel Ults - Incurred Loss'!D6),"")</f>
        <v/>
      </c>
      <c r="K6" s="22">
        <f>IFERROR(IF('Incurred Loss'!K6="","",'Incurred Loss'!K6/'Sel Ults - Incurred Loss'!D6),"")</f>
        <v/>
      </c>
      <c r="L6" s="22">
        <f>IFERROR(IF('Incurred Loss'!L6="","",'Incurred Loss'!L6/'Sel Ults - Incurred Loss'!D6),"")</f>
        <v/>
      </c>
      <c r="M6" s="22">
        <f>IFERROR(IF('Incurred Loss'!M6="","",'Incurred Loss'!M6/'Sel Ults - Incurred Loss'!D6),"")</f>
        <v/>
      </c>
      <c r="N6" s="22">
        <f>IFERROR(IF('Incurred Loss'!N6="","",'Incurred Loss'!N6/'Sel Ults - Incurred Loss'!D6),"")</f>
        <v/>
      </c>
      <c r="O6" s="22">
        <f>IFERROR(IF('Incurred Loss'!O6="","",'Incurred Loss'!O6/'Sel Ults - Incurred Loss'!D6),"")</f>
        <v/>
      </c>
      <c r="P6" s="22">
        <f>IFERROR(IF('Incurred Loss'!P6="","",'Incurred Loss'!P6/'Sel Ults - Incurred Loss'!D6),"")</f>
        <v/>
      </c>
      <c r="Q6" s="22">
        <f>IFERROR(IF('Incurred Loss'!Q6="","",'Incurred Loss'!Q6/'Sel Ults - Incurred Loss'!D6),"")</f>
        <v/>
      </c>
      <c r="R6" s="22">
        <f>IFERROR(IF('Incurred Loss'!R6="","",'Incurred Loss'!R6/'Sel Ults - Incurred Loss'!D6),"")</f>
        <v/>
      </c>
      <c r="S6" s="22">
        <f>IFERROR(IF('Incurred Loss'!S6="","",'Incurred Loss'!S6/'Sel Ults - Incurred Loss'!D6),"")</f>
        <v/>
      </c>
      <c r="T6" s="22">
        <f>IFERROR(IF('Incurred Loss'!T6="","",'Incurred Loss'!T6/'Sel Ults - Incurred Loss'!D6),"")</f>
        <v/>
      </c>
      <c r="U6" s="22">
        <f>IFERROR(IF('Incurred Loss'!U6="","",'Incurred Loss'!U6/'Sel Ults - Incurred Loss'!D6),"")</f>
        <v/>
      </c>
      <c r="V6" s="22">
        <f>IFERROR(IF('Incurred Loss'!V6="","",'Incurred Loss'!V6/'Sel Ults - Incurred Loss'!D6),"")</f>
        <v/>
      </c>
      <c r="W6" s="22">
        <f>IFERROR(IF('Incurred Loss'!W6="","",'Incurred Loss'!W6/'Sel Ults - Incurred Loss'!D6),"")</f>
        <v/>
      </c>
      <c r="X6" s="22">
        <f>IFERROR(IF('Incurred Loss'!X6="","",'Incurred Loss'!X6/'Sel Ults - Incurred Loss'!D6),"")</f>
        <v/>
      </c>
      <c r="Y6" s="22">
        <f>IFERROR(IF('Incurred Loss'!Y6="","",'Incurred Loss'!Y6/'Sel Ults - Incurred Loss'!D6),"")</f>
        <v/>
      </c>
    </row>
    <row r="7">
      <c r="A7">
        <f>'Incurred Loss'!A7</f>
        <v/>
      </c>
      <c r="B7" s="22">
        <f>IFERROR(IF('Incurred Loss'!B7="","",'Incurred Loss'!B7/'Sel Ults - Incurred Loss'!D7),"")</f>
        <v/>
      </c>
      <c r="C7" s="22">
        <f>IFERROR(IF('Incurred Loss'!C7="","",'Incurred Loss'!C7/'Sel Ults - Incurred Loss'!D7),"")</f>
        <v/>
      </c>
      <c r="D7" s="22">
        <f>IFERROR(IF('Incurred Loss'!D7="","",'Incurred Loss'!D7/'Sel Ults - Incurred Loss'!D7),"")</f>
        <v/>
      </c>
      <c r="E7" s="22">
        <f>IFERROR(IF('Incurred Loss'!E7="","",'Incurred Loss'!E7/'Sel Ults - Incurred Loss'!D7),"")</f>
        <v/>
      </c>
      <c r="F7" s="22">
        <f>IFERROR(IF('Incurred Loss'!F7="","",'Incurred Loss'!F7/'Sel Ults - Incurred Loss'!D7),"")</f>
        <v/>
      </c>
      <c r="G7" s="22">
        <f>IFERROR(IF('Incurred Loss'!G7="","",'Incurred Loss'!G7/'Sel Ults - Incurred Loss'!D7),"")</f>
        <v/>
      </c>
      <c r="H7" s="22">
        <f>IFERROR(IF('Incurred Loss'!H7="","",'Incurred Loss'!H7/'Sel Ults - Incurred Loss'!D7),"")</f>
        <v/>
      </c>
      <c r="I7" s="22">
        <f>IFERROR(IF('Incurred Loss'!I7="","",'Incurred Loss'!I7/'Sel Ults - Incurred Loss'!D7),"")</f>
        <v/>
      </c>
      <c r="J7" s="22">
        <f>IFERROR(IF('Incurred Loss'!J7="","",'Incurred Loss'!J7/'Sel Ults - Incurred Loss'!D7),"")</f>
        <v/>
      </c>
      <c r="K7" s="22">
        <f>IFERROR(IF('Incurred Loss'!K7="","",'Incurred Loss'!K7/'Sel Ults - Incurred Loss'!D7),"")</f>
        <v/>
      </c>
      <c r="L7" s="22">
        <f>IFERROR(IF('Incurred Loss'!L7="","",'Incurred Loss'!L7/'Sel Ults - Incurred Loss'!D7),"")</f>
        <v/>
      </c>
      <c r="M7" s="22">
        <f>IFERROR(IF('Incurred Loss'!M7="","",'Incurred Loss'!M7/'Sel Ults - Incurred Loss'!D7),"")</f>
        <v/>
      </c>
      <c r="N7" s="22">
        <f>IFERROR(IF('Incurred Loss'!N7="","",'Incurred Loss'!N7/'Sel Ults - Incurred Loss'!D7),"")</f>
        <v/>
      </c>
      <c r="O7" s="22">
        <f>IFERROR(IF('Incurred Loss'!O7="","",'Incurred Loss'!O7/'Sel Ults - Incurred Loss'!D7),"")</f>
        <v/>
      </c>
      <c r="P7" s="22">
        <f>IFERROR(IF('Incurred Loss'!P7="","",'Incurred Loss'!P7/'Sel Ults - Incurred Loss'!D7),"")</f>
        <v/>
      </c>
      <c r="Q7" s="22">
        <f>IFERROR(IF('Incurred Loss'!Q7="","",'Incurred Loss'!Q7/'Sel Ults - Incurred Loss'!D7),"")</f>
        <v/>
      </c>
      <c r="R7" s="22">
        <f>IFERROR(IF('Incurred Loss'!R7="","",'Incurred Loss'!R7/'Sel Ults - Incurred Loss'!D7),"")</f>
        <v/>
      </c>
      <c r="S7" s="22">
        <f>IFERROR(IF('Incurred Loss'!S7="","",'Incurred Loss'!S7/'Sel Ults - Incurred Loss'!D7),"")</f>
        <v/>
      </c>
      <c r="T7" s="22">
        <f>IFERROR(IF('Incurred Loss'!T7="","",'Incurred Loss'!T7/'Sel Ults - Incurred Loss'!D7),"")</f>
        <v/>
      </c>
      <c r="U7" s="22">
        <f>IFERROR(IF('Incurred Loss'!U7="","",'Incurred Loss'!U7/'Sel Ults - Incurred Loss'!D7),"")</f>
        <v/>
      </c>
      <c r="V7" s="22">
        <f>IFERROR(IF('Incurred Loss'!V7="","",'Incurred Loss'!V7/'Sel Ults - Incurred Loss'!D7),"")</f>
        <v/>
      </c>
      <c r="W7" s="22">
        <f>IFERROR(IF('Incurred Loss'!W7="","",'Incurred Loss'!W7/'Sel Ults - Incurred Loss'!D7),"")</f>
        <v/>
      </c>
      <c r="X7" s="22">
        <f>IFERROR(IF('Incurred Loss'!X7="","",'Incurred Loss'!X7/'Sel Ults - Incurred Loss'!D7),"")</f>
        <v/>
      </c>
      <c r="Y7" s="22">
        <f>IFERROR(IF('Incurred Loss'!Y7="","",'Incurred Loss'!Y7/'Sel Ults - Incurred Loss'!D7),"")</f>
        <v/>
      </c>
    </row>
    <row r="8">
      <c r="A8">
        <f>'Incurred Loss'!A8</f>
        <v/>
      </c>
      <c r="B8" s="22">
        <f>IFERROR(IF('Incurred Loss'!B8="","",'Incurred Loss'!B8/'Sel Ults - Incurred Loss'!D8),"")</f>
        <v/>
      </c>
      <c r="C8" s="22">
        <f>IFERROR(IF('Incurred Loss'!C8="","",'Incurred Loss'!C8/'Sel Ults - Incurred Loss'!D8),"")</f>
        <v/>
      </c>
      <c r="D8" s="22">
        <f>IFERROR(IF('Incurred Loss'!D8="","",'Incurred Loss'!D8/'Sel Ults - Incurred Loss'!D8),"")</f>
        <v/>
      </c>
      <c r="E8" s="22">
        <f>IFERROR(IF('Incurred Loss'!E8="","",'Incurred Loss'!E8/'Sel Ults - Incurred Loss'!D8),"")</f>
        <v/>
      </c>
      <c r="F8" s="22">
        <f>IFERROR(IF('Incurred Loss'!F8="","",'Incurred Loss'!F8/'Sel Ults - Incurred Loss'!D8),"")</f>
        <v/>
      </c>
      <c r="G8" s="22">
        <f>IFERROR(IF('Incurred Loss'!G8="","",'Incurred Loss'!G8/'Sel Ults - Incurred Loss'!D8),"")</f>
        <v/>
      </c>
      <c r="H8" s="22">
        <f>IFERROR(IF('Incurred Loss'!H8="","",'Incurred Loss'!H8/'Sel Ults - Incurred Loss'!D8),"")</f>
        <v/>
      </c>
      <c r="I8" s="22">
        <f>IFERROR(IF('Incurred Loss'!I8="","",'Incurred Loss'!I8/'Sel Ults - Incurred Loss'!D8),"")</f>
        <v/>
      </c>
      <c r="J8" s="22">
        <f>IFERROR(IF('Incurred Loss'!J8="","",'Incurred Loss'!J8/'Sel Ults - Incurred Loss'!D8),"")</f>
        <v/>
      </c>
      <c r="K8" s="22">
        <f>IFERROR(IF('Incurred Loss'!K8="","",'Incurred Loss'!K8/'Sel Ults - Incurred Loss'!D8),"")</f>
        <v/>
      </c>
      <c r="L8" s="22">
        <f>IFERROR(IF('Incurred Loss'!L8="","",'Incurred Loss'!L8/'Sel Ults - Incurred Loss'!D8),"")</f>
        <v/>
      </c>
      <c r="M8" s="22">
        <f>IFERROR(IF('Incurred Loss'!M8="","",'Incurred Loss'!M8/'Sel Ults - Incurred Loss'!D8),"")</f>
        <v/>
      </c>
      <c r="N8" s="22">
        <f>IFERROR(IF('Incurred Loss'!N8="","",'Incurred Loss'!N8/'Sel Ults - Incurred Loss'!D8),"")</f>
        <v/>
      </c>
      <c r="O8" s="22">
        <f>IFERROR(IF('Incurred Loss'!O8="","",'Incurred Loss'!O8/'Sel Ults - Incurred Loss'!D8),"")</f>
        <v/>
      </c>
      <c r="P8" s="22">
        <f>IFERROR(IF('Incurred Loss'!P8="","",'Incurred Loss'!P8/'Sel Ults - Incurred Loss'!D8),"")</f>
        <v/>
      </c>
      <c r="Q8" s="22">
        <f>IFERROR(IF('Incurred Loss'!Q8="","",'Incurred Loss'!Q8/'Sel Ults - Incurred Loss'!D8),"")</f>
        <v/>
      </c>
      <c r="R8" s="22">
        <f>IFERROR(IF('Incurred Loss'!R8="","",'Incurred Loss'!R8/'Sel Ults - Incurred Loss'!D8),"")</f>
        <v/>
      </c>
      <c r="S8" s="22">
        <f>IFERROR(IF('Incurred Loss'!S8="","",'Incurred Loss'!S8/'Sel Ults - Incurred Loss'!D8),"")</f>
        <v/>
      </c>
      <c r="T8" s="22">
        <f>IFERROR(IF('Incurred Loss'!T8="","",'Incurred Loss'!T8/'Sel Ults - Incurred Loss'!D8),"")</f>
        <v/>
      </c>
      <c r="U8" s="22">
        <f>IFERROR(IF('Incurred Loss'!U8="","",'Incurred Loss'!U8/'Sel Ults - Incurred Loss'!D8),"")</f>
        <v/>
      </c>
      <c r="V8" s="22">
        <f>IFERROR(IF('Incurred Loss'!V8="","",'Incurred Loss'!V8/'Sel Ults - Incurred Loss'!D8),"")</f>
        <v/>
      </c>
      <c r="W8" s="22">
        <f>IFERROR(IF('Incurred Loss'!W8="","",'Incurred Loss'!W8/'Sel Ults - Incurred Loss'!D8),"")</f>
        <v/>
      </c>
      <c r="X8" s="22">
        <f>IFERROR(IF('Incurred Loss'!X8="","",'Incurred Loss'!X8/'Sel Ults - Incurred Loss'!D8),"")</f>
        <v/>
      </c>
      <c r="Y8" s="22">
        <f>IFERROR(IF('Incurred Loss'!Y8="","",'Incurred Loss'!Y8/'Sel Ults - Incurred Loss'!D8),"")</f>
        <v/>
      </c>
    </row>
    <row r="9">
      <c r="A9">
        <f>'Incurred Loss'!A9</f>
        <v/>
      </c>
      <c r="B9" s="22">
        <f>IFERROR(IF('Incurred Loss'!B9="","",'Incurred Loss'!B9/'Sel Ults - Incurred Loss'!D9),"")</f>
        <v/>
      </c>
      <c r="C9" s="22">
        <f>IFERROR(IF('Incurred Loss'!C9="","",'Incurred Loss'!C9/'Sel Ults - Incurred Loss'!D9),"")</f>
        <v/>
      </c>
      <c r="D9" s="22">
        <f>IFERROR(IF('Incurred Loss'!D9="","",'Incurred Loss'!D9/'Sel Ults - Incurred Loss'!D9),"")</f>
        <v/>
      </c>
      <c r="E9" s="22">
        <f>IFERROR(IF('Incurred Loss'!E9="","",'Incurred Loss'!E9/'Sel Ults - Incurred Loss'!D9),"")</f>
        <v/>
      </c>
      <c r="F9" s="22">
        <f>IFERROR(IF('Incurred Loss'!F9="","",'Incurred Loss'!F9/'Sel Ults - Incurred Loss'!D9),"")</f>
        <v/>
      </c>
      <c r="G9" s="22">
        <f>IFERROR(IF('Incurred Loss'!G9="","",'Incurred Loss'!G9/'Sel Ults - Incurred Loss'!D9),"")</f>
        <v/>
      </c>
      <c r="H9" s="22">
        <f>IFERROR(IF('Incurred Loss'!H9="","",'Incurred Loss'!H9/'Sel Ults - Incurred Loss'!D9),"")</f>
        <v/>
      </c>
      <c r="I9" s="22">
        <f>IFERROR(IF('Incurred Loss'!I9="","",'Incurred Loss'!I9/'Sel Ults - Incurred Loss'!D9),"")</f>
        <v/>
      </c>
      <c r="J9" s="22">
        <f>IFERROR(IF('Incurred Loss'!J9="","",'Incurred Loss'!J9/'Sel Ults - Incurred Loss'!D9),"")</f>
        <v/>
      </c>
      <c r="K9" s="22">
        <f>IFERROR(IF('Incurred Loss'!K9="","",'Incurred Loss'!K9/'Sel Ults - Incurred Loss'!D9),"")</f>
        <v/>
      </c>
      <c r="L9" s="22">
        <f>IFERROR(IF('Incurred Loss'!L9="","",'Incurred Loss'!L9/'Sel Ults - Incurred Loss'!D9),"")</f>
        <v/>
      </c>
      <c r="M9" s="22">
        <f>IFERROR(IF('Incurred Loss'!M9="","",'Incurred Loss'!M9/'Sel Ults - Incurred Loss'!D9),"")</f>
        <v/>
      </c>
      <c r="N9" s="22">
        <f>IFERROR(IF('Incurred Loss'!N9="","",'Incurred Loss'!N9/'Sel Ults - Incurred Loss'!D9),"")</f>
        <v/>
      </c>
      <c r="O9" s="22">
        <f>IFERROR(IF('Incurred Loss'!O9="","",'Incurred Loss'!O9/'Sel Ults - Incurred Loss'!D9),"")</f>
        <v/>
      </c>
      <c r="P9" s="22">
        <f>IFERROR(IF('Incurred Loss'!P9="","",'Incurred Loss'!P9/'Sel Ults - Incurred Loss'!D9),"")</f>
        <v/>
      </c>
      <c r="Q9" s="22">
        <f>IFERROR(IF('Incurred Loss'!Q9="","",'Incurred Loss'!Q9/'Sel Ults - Incurred Loss'!D9),"")</f>
        <v/>
      </c>
      <c r="R9" s="22">
        <f>IFERROR(IF('Incurred Loss'!R9="","",'Incurred Loss'!R9/'Sel Ults - Incurred Loss'!D9),"")</f>
        <v/>
      </c>
      <c r="S9" s="22">
        <f>IFERROR(IF('Incurred Loss'!S9="","",'Incurred Loss'!S9/'Sel Ults - Incurred Loss'!D9),"")</f>
        <v/>
      </c>
      <c r="T9" s="22">
        <f>IFERROR(IF('Incurred Loss'!T9="","",'Incurred Loss'!T9/'Sel Ults - Incurred Loss'!D9),"")</f>
        <v/>
      </c>
      <c r="U9" s="22">
        <f>IFERROR(IF('Incurred Loss'!U9="","",'Incurred Loss'!U9/'Sel Ults - Incurred Loss'!D9),"")</f>
        <v/>
      </c>
      <c r="V9" s="22">
        <f>IFERROR(IF('Incurred Loss'!V9="","",'Incurred Loss'!V9/'Sel Ults - Incurred Loss'!D9),"")</f>
        <v/>
      </c>
      <c r="W9" s="22">
        <f>IFERROR(IF('Incurred Loss'!W9="","",'Incurred Loss'!W9/'Sel Ults - Incurred Loss'!D9),"")</f>
        <v/>
      </c>
      <c r="X9" s="22">
        <f>IFERROR(IF('Incurred Loss'!X9="","",'Incurred Loss'!X9/'Sel Ults - Incurred Loss'!D9),"")</f>
        <v/>
      </c>
      <c r="Y9" s="22">
        <f>IFERROR(IF('Incurred Loss'!Y9="","",'Incurred Loss'!Y9/'Sel Ults - Incurred Loss'!D9),"")</f>
        <v/>
      </c>
    </row>
    <row r="10">
      <c r="A10">
        <f>'Incurred Loss'!A10</f>
        <v/>
      </c>
      <c r="B10" s="22">
        <f>IFERROR(IF('Incurred Loss'!B10="","",'Incurred Loss'!B10/'Sel Ults - Incurred Loss'!D10),"")</f>
        <v/>
      </c>
      <c r="C10" s="22">
        <f>IFERROR(IF('Incurred Loss'!C10="","",'Incurred Loss'!C10/'Sel Ults - Incurred Loss'!D10),"")</f>
        <v/>
      </c>
      <c r="D10" s="22">
        <f>IFERROR(IF('Incurred Loss'!D10="","",'Incurred Loss'!D10/'Sel Ults - Incurred Loss'!D10),"")</f>
        <v/>
      </c>
      <c r="E10" s="22">
        <f>IFERROR(IF('Incurred Loss'!E10="","",'Incurred Loss'!E10/'Sel Ults - Incurred Loss'!D10),"")</f>
        <v/>
      </c>
      <c r="F10" s="22">
        <f>IFERROR(IF('Incurred Loss'!F10="","",'Incurred Loss'!F10/'Sel Ults - Incurred Loss'!D10),"")</f>
        <v/>
      </c>
      <c r="G10" s="22">
        <f>IFERROR(IF('Incurred Loss'!G10="","",'Incurred Loss'!G10/'Sel Ults - Incurred Loss'!D10),"")</f>
        <v/>
      </c>
      <c r="H10" s="22">
        <f>IFERROR(IF('Incurred Loss'!H10="","",'Incurred Loss'!H10/'Sel Ults - Incurred Loss'!D10),"")</f>
        <v/>
      </c>
      <c r="I10" s="22">
        <f>IFERROR(IF('Incurred Loss'!I10="","",'Incurred Loss'!I10/'Sel Ults - Incurred Loss'!D10),"")</f>
        <v/>
      </c>
      <c r="J10" s="22">
        <f>IFERROR(IF('Incurred Loss'!J10="","",'Incurred Loss'!J10/'Sel Ults - Incurred Loss'!D10),"")</f>
        <v/>
      </c>
      <c r="K10" s="22">
        <f>IFERROR(IF('Incurred Loss'!K10="","",'Incurred Loss'!K10/'Sel Ults - Incurred Loss'!D10),"")</f>
        <v/>
      </c>
      <c r="L10" s="22">
        <f>IFERROR(IF('Incurred Loss'!L10="","",'Incurred Loss'!L10/'Sel Ults - Incurred Loss'!D10),"")</f>
        <v/>
      </c>
      <c r="M10" s="22">
        <f>IFERROR(IF('Incurred Loss'!M10="","",'Incurred Loss'!M10/'Sel Ults - Incurred Loss'!D10),"")</f>
        <v/>
      </c>
      <c r="N10" s="22">
        <f>IFERROR(IF('Incurred Loss'!N10="","",'Incurred Loss'!N10/'Sel Ults - Incurred Loss'!D10),"")</f>
        <v/>
      </c>
      <c r="O10" s="22">
        <f>IFERROR(IF('Incurred Loss'!O10="","",'Incurred Loss'!O10/'Sel Ults - Incurred Loss'!D10),"")</f>
        <v/>
      </c>
      <c r="P10" s="22">
        <f>IFERROR(IF('Incurred Loss'!P10="","",'Incurred Loss'!P10/'Sel Ults - Incurred Loss'!D10),"")</f>
        <v/>
      </c>
      <c r="Q10" s="22">
        <f>IFERROR(IF('Incurred Loss'!Q10="","",'Incurred Loss'!Q10/'Sel Ults - Incurred Loss'!D10),"")</f>
        <v/>
      </c>
      <c r="R10" s="22">
        <f>IFERROR(IF('Incurred Loss'!R10="","",'Incurred Loss'!R10/'Sel Ults - Incurred Loss'!D10),"")</f>
        <v/>
      </c>
      <c r="S10" s="22">
        <f>IFERROR(IF('Incurred Loss'!S10="","",'Incurred Loss'!S10/'Sel Ults - Incurred Loss'!D10),"")</f>
        <v/>
      </c>
      <c r="T10" s="22">
        <f>IFERROR(IF('Incurred Loss'!T10="","",'Incurred Loss'!T10/'Sel Ults - Incurred Loss'!D10),"")</f>
        <v/>
      </c>
      <c r="U10" s="22">
        <f>IFERROR(IF('Incurred Loss'!U10="","",'Incurred Loss'!U10/'Sel Ults - Incurred Loss'!D10),"")</f>
        <v/>
      </c>
      <c r="V10" s="22">
        <f>IFERROR(IF('Incurred Loss'!V10="","",'Incurred Loss'!V10/'Sel Ults - Incurred Loss'!D10),"")</f>
        <v/>
      </c>
      <c r="W10" s="22">
        <f>IFERROR(IF('Incurred Loss'!W10="","",'Incurred Loss'!W10/'Sel Ults - Incurred Loss'!D10),"")</f>
        <v/>
      </c>
      <c r="X10" s="22">
        <f>IFERROR(IF('Incurred Loss'!X10="","",'Incurred Loss'!X10/'Sel Ults - Incurred Loss'!D10),"")</f>
        <v/>
      </c>
      <c r="Y10" s="22">
        <f>IFERROR(IF('Incurred Loss'!Y10="","",'Incurred Loss'!Y10/'Sel Ults - Incurred Loss'!D10),"")</f>
        <v/>
      </c>
    </row>
    <row r="11">
      <c r="A11">
        <f>'Incurred Loss'!A11</f>
        <v/>
      </c>
      <c r="B11" s="22">
        <f>IFERROR(IF('Incurred Loss'!B11="","",'Incurred Loss'!B11/'Sel Ults - Incurred Loss'!D11),"")</f>
        <v/>
      </c>
      <c r="C11" s="22">
        <f>IFERROR(IF('Incurred Loss'!C11="","",'Incurred Loss'!C11/'Sel Ults - Incurred Loss'!D11),"")</f>
        <v/>
      </c>
      <c r="D11" s="22">
        <f>IFERROR(IF('Incurred Loss'!D11="","",'Incurred Loss'!D11/'Sel Ults - Incurred Loss'!D11),"")</f>
        <v/>
      </c>
      <c r="E11" s="22">
        <f>IFERROR(IF('Incurred Loss'!E11="","",'Incurred Loss'!E11/'Sel Ults - Incurred Loss'!D11),"")</f>
        <v/>
      </c>
      <c r="F11" s="22">
        <f>IFERROR(IF('Incurred Loss'!F11="","",'Incurred Loss'!F11/'Sel Ults - Incurred Loss'!D11),"")</f>
        <v/>
      </c>
      <c r="G11" s="22">
        <f>IFERROR(IF('Incurred Loss'!G11="","",'Incurred Loss'!G11/'Sel Ults - Incurred Loss'!D11),"")</f>
        <v/>
      </c>
      <c r="H11" s="22">
        <f>IFERROR(IF('Incurred Loss'!H11="","",'Incurred Loss'!H11/'Sel Ults - Incurred Loss'!D11),"")</f>
        <v/>
      </c>
      <c r="I11" s="22">
        <f>IFERROR(IF('Incurred Loss'!I11="","",'Incurred Loss'!I11/'Sel Ults - Incurred Loss'!D11),"")</f>
        <v/>
      </c>
      <c r="J11" s="22">
        <f>IFERROR(IF('Incurred Loss'!J11="","",'Incurred Loss'!J11/'Sel Ults - Incurred Loss'!D11),"")</f>
        <v/>
      </c>
      <c r="K11" s="22">
        <f>IFERROR(IF('Incurred Loss'!K11="","",'Incurred Loss'!K11/'Sel Ults - Incurred Loss'!D11),"")</f>
        <v/>
      </c>
      <c r="L11" s="22">
        <f>IFERROR(IF('Incurred Loss'!L11="","",'Incurred Loss'!L11/'Sel Ults - Incurred Loss'!D11),"")</f>
        <v/>
      </c>
      <c r="M11" s="22">
        <f>IFERROR(IF('Incurred Loss'!M11="","",'Incurred Loss'!M11/'Sel Ults - Incurred Loss'!D11),"")</f>
        <v/>
      </c>
      <c r="N11" s="22">
        <f>IFERROR(IF('Incurred Loss'!N11="","",'Incurred Loss'!N11/'Sel Ults - Incurred Loss'!D11),"")</f>
        <v/>
      </c>
      <c r="O11" s="22">
        <f>IFERROR(IF('Incurred Loss'!O11="","",'Incurred Loss'!O11/'Sel Ults - Incurred Loss'!D11),"")</f>
        <v/>
      </c>
      <c r="P11" s="22">
        <f>IFERROR(IF('Incurred Loss'!P11="","",'Incurred Loss'!P11/'Sel Ults - Incurred Loss'!D11),"")</f>
        <v/>
      </c>
      <c r="Q11" s="22">
        <f>IFERROR(IF('Incurred Loss'!Q11="","",'Incurred Loss'!Q11/'Sel Ults - Incurred Loss'!D11),"")</f>
        <v/>
      </c>
      <c r="R11" s="22">
        <f>IFERROR(IF('Incurred Loss'!R11="","",'Incurred Loss'!R11/'Sel Ults - Incurred Loss'!D11),"")</f>
        <v/>
      </c>
      <c r="S11" s="22">
        <f>IFERROR(IF('Incurred Loss'!S11="","",'Incurred Loss'!S11/'Sel Ults - Incurred Loss'!D11),"")</f>
        <v/>
      </c>
      <c r="T11" s="22">
        <f>IFERROR(IF('Incurred Loss'!T11="","",'Incurred Loss'!T11/'Sel Ults - Incurred Loss'!D11),"")</f>
        <v/>
      </c>
      <c r="U11" s="22">
        <f>IFERROR(IF('Incurred Loss'!U11="","",'Incurred Loss'!U11/'Sel Ults - Incurred Loss'!D11),"")</f>
        <v/>
      </c>
      <c r="V11" s="22">
        <f>IFERROR(IF('Incurred Loss'!V11="","",'Incurred Loss'!V11/'Sel Ults - Incurred Loss'!D11),"")</f>
        <v/>
      </c>
      <c r="W11" s="22">
        <f>IFERROR(IF('Incurred Loss'!W11="","",'Incurred Loss'!W11/'Sel Ults - Incurred Loss'!D11),"")</f>
        <v/>
      </c>
      <c r="X11" s="22">
        <f>IFERROR(IF('Incurred Loss'!X11="","",'Incurred Loss'!X11/'Sel Ults - Incurred Loss'!D11),"")</f>
        <v/>
      </c>
      <c r="Y11" s="22">
        <f>IFERROR(IF('Incurred Loss'!Y11="","",'Incurred Loss'!Y11/'Sel Ults - Incurred Loss'!D11),"")</f>
        <v/>
      </c>
    </row>
    <row r="12">
      <c r="A12">
        <f>'Incurred Loss'!A12</f>
        <v/>
      </c>
      <c r="B12" s="22">
        <f>IFERROR(IF('Incurred Loss'!B12="","",'Incurred Loss'!B12/'Sel Ults - Incurred Loss'!D12),"")</f>
        <v/>
      </c>
      <c r="C12" s="22">
        <f>IFERROR(IF('Incurred Loss'!C12="","",'Incurred Loss'!C12/'Sel Ults - Incurred Loss'!D12),"")</f>
        <v/>
      </c>
      <c r="D12" s="22">
        <f>IFERROR(IF('Incurred Loss'!D12="","",'Incurred Loss'!D12/'Sel Ults - Incurred Loss'!D12),"")</f>
        <v/>
      </c>
      <c r="E12" s="22">
        <f>IFERROR(IF('Incurred Loss'!E12="","",'Incurred Loss'!E12/'Sel Ults - Incurred Loss'!D12),"")</f>
        <v/>
      </c>
      <c r="F12" s="22">
        <f>IFERROR(IF('Incurred Loss'!F12="","",'Incurred Loss'!F12/'Sel Ults - Incurred Loss'!D12),"")</f>
        <v/>
      </c>
      <c r="G12" s="22">
        <f>IFERROR(IF('Incurred Loss'!G12="","",'Incurred Loss'!G12/'Sel Ults - Incurred Loss'!D12),"")</f>
        <v/>
      </c>
      <c r="H12" s="22">
        <f>IFERROR(IF('Incurred Loss'!H12="","",'Incurred Loss'!H12/'Sel Ults - Incurred Loss'!D12),"")</f>
        <v/>
      </c>
      <c r="I12" s="22">
        <f>IFERROR(IF('Incurred Loss'!I12="","",'Incurred Loss'!I12/'Sel Ults - Incurred Loss'!D12),"")</f>
        <v/>
      </c>
      <c r="J12" s="22">
        <f>IFERROR(IF('Incurred Loss'!J12="","",'Incurred Loss'!J12/'Sel Ults - Incurred Loss'!D12),"")</f>
        <v/>
      </c>
      <c r="K12" s="22">
        <f>IFERROR(IF('Incurred Loss'!K12="","",'Incurred Loss'!K12/'Sel Ults - Incurred Loss'!D12),"")</f>
        <v/>
      </c>
      <c r="L12" s="22">
        <f>IFERROR(IF('Incurred Loss'!L12="","",'Incurred Loss'!L12/'Sel Ults - Incurred Loss'!D12),"")</f>
        <v/>
      </c>
      <c r="M12" s="22">
        <f>IFERROR(IF('Incurred Loss'!M12="","",'Incurred Loss'!M12/'Sel Ults - Incurred Loss'!D12),"")</f>
        <v/>
      </c>
      <c r="N12" s="22">
        <f>IFERROR(IF('Incurred Loss'!N12="","",'Incurred Loss'!N12/'Sel Ults - Incurred Loss'!D12),"")</f>
        <v/>
      </c>
      <c r="O12" s="22">
        <f>IFERROR(IF('Incurred Loss'!O12="","",'Incurred Loss'!O12/'Sel Ults - Incurred Loss'!D12),"")</f>
        <v/>
      </c>
      <c r="P12" s="22">
        <f>IFERROR(IF('Incurred Loss'!P12="","",'Incurred Loss'!P12/'Sel Ults - Incurred Loss'!D12),"")</f>
        <v/>
      </c>
      <c r="Q12" s="22">
        <f>IFERROR(IF('Incurred Loss'!Q12="","",'Incurred Loss'!Q12/'Sel Ults - Incurred Loss'!D12),"")</f>
        <v/>
      </c>
      <c r="R12" s="22">
        <f>IFERROR(IF('Incurred Loss'!R12="","",'Incurred Loss'!R12/'Sel Ults - Incurred Loss'!D12),"")</f>
        <v/>
      </c>
      <c r="S12" s="22">
        <f>IFERROR(IF('Incurred Loss'!S12="","",'Incurred Loss'!S12/'Sel Ults - Incurred Loss'!D12),"")</f>
        <v/>
      </c>
      <c r="T12" s="22">
        <f>IFERROR(IF('Incurred Loss'!T12="","",'Incurred Loss'!T12/'Sel Ults - Incurred Loss'!D12),"")</f>
        <v/>
      </c>
      <c r="U12" s="22">
        <f>IFERROR(IF('Incurred Loss'!U12="","",'Incurred Loss'!U12/'Sel Ults - Incurred Loss'!D12),"")</f>
        <v/>
      </c>
      <c r="V12" s="22">
        <f>IFERROR(IF('Incurred Loss'!V12="","",'Incurred Loss'!V12/'Sel Ults - Incurred Loss'!D12),"")</f>
        <v/>
      </c>
      <c r="W12" s="22">
        <f>IFERROR(IF('Incurred Loss'!W12="","",'Incurred Loss'!W12/'Sel Ults - Incurred Loss'!D12),"")</f>
        <v/>
      </c>
      <c r="X12" s="22">
        <f>IFERROR(IF('Incurred Loss'!X12="","",'Incurred Loss'!X12/'Sel Ults - Incurred Loss'!D12),"")</f>
        <v/>
      </c>
      <c r="Y12" s="22">
        <f>IFERROR(IF('Incurred Loss'!Y12="","",'Incurred Loss'!Y12/'Sel Ults - Incurred Loss'!D12),"")</f>
        <v/>
      </c>
    </row>
    <row r="13">
      <c r="A13">
        <f>'Incurred Loss'!A13</f>
        <v/>
      </c>
      <c r="B13" s="22">
        <f>IFERROR(IF('Incurred Loss'!B13="","",'Incurred Loss'!B13/'Sel Ults - Incurred Loss'!D13),"")</f>
        <v/>
      </c>
      <c r="C13" s="22">
        <f>IFERROR(IF('Incurred Loss'!C13="","",'Incurred Loss'!C13/'Sel Ults - Incurred Loss'!D13),"")</f>
        <v/>
      </c>
      <c r="D13" s="22">
        <f>IFERROR(IF('Incurred Loss'!D13="","",'Incurred Loss'!D13/'Sel Ults - Incurred Loss'!D13),"")</f>
        <v/>
      </c>
      <c r="E13" s="22">
        <f>IFERROR(IF('Incurred Loss'!E13="","",'Incurred Loss'!E13/'Sel Ults - Incurred Loss'!D13),"")</f>
        <v/>
      </c>
      <c r="F13" s="22">
        <f>IFERROR(IF('Incurred Loss'!F13="","",'Incurred Loss'!F13/'Sel Ults - Incurred Loss'!D13),"")</f>
        <v/>
      </c>
      <c r="G13" s="22">
        <f>IFERROR(IF('Incurred Loss'!G13="","",'Incurred Loss'!G13/'Sel Ults - Incurred Loss'!D13),"")</f>
        <v/>
      </c>
      <c r="H13" s="22">
        <f>IFERROR(IF('Incurred Loss'!H13="","",'Incurred Loss'!H13/'Sel Ults - Incurred Loss'!D13),"")</f>
        <v/>
      </c>
      <c r="I13" s="22">
        <f>IFERROR(IF('Incurred Loss'!I13="","",'Incurred Loss'!I13/'Sel Ults - Incurred Loss'!D13),"")</f>
        <v/>
      </c>
      <c r="J13" s="22">
        <f>IFERROR(IF('Incurred Loss'!J13="","",'Incurred Loss'!J13/'Sel Ults - Incurred Loss'!D13),"")</f>
        <v/>
      </c>
      <c r="K13" s="22">
        <f>IFERROR(IF('Incurred Loss'!K13="","",'Incurred Loss'!K13/'Sel Ults - Incurred Loss'!D13),"")</f>
        <v/>
      </c>
      <c r="L13" s="22">
        <f>IFERROR(IF('Incurred Loss'!L13="","",'Incurred Loss'!L13/'Sel Ults - Incurred Loss'!D13),"")</f>
        <v/>
      </c>
      <c r="M13" s="22">
        <f>IFERROR(IF('Incurred Loss'!M13="","",'Incurred Loss'!M13/'Sel Ults - Incurred Loss'!D13),"")</f>
        <v/>
      </c>
      <c r="N13" s="22">
        <f>IFERROR(IF('Incurred Loss'!N13="","",'Incurred Loss'!N13/'Sel Ults - Incurred Loss'!D13),"")</f>
        <v/>
      </c>
      <c r="O13" s="22">
        <f>IFERROR(IF('Incurred Loss'!O13="","",'Incurred Loss'!O13/'Sel Ults - Incurred Loss'!D13),"")</f>
        <v/>
      </c>
      <c r="P13" s="22">
        <f>IFERROR(IF('Incurred Loss'!P13="","",'Incurred Loss'!P13/'Sel Ults - Incurred Loss'!D13),"")</f>
        <v/>
      </c>
      <c r="Q13" s="22">
        <f>IFERROR(IF('Incurred Loss'!Q13="","",'Incurred Loss'!Q13/'Sel Ults - Incurred Loss'!D13),"")</f>
        <v/>
      </c>
      <c r="R13" s="22">
        <f>IFERROR(IF('Incurred Loss'!R13="","",'Incurred Loss'!R13/'Sel Ults - Incurred Loss'!D13),"")</f>
        <v/>
      </c>
      <c r="S13" s="22">
        <f>IFERROR(IF('Incurred Loss'!S13="","",'Incurred Loss'!S13/'Sel Ults - Incurred Loss'!D13),"")</f>
        <v/>
      </c>
      <c r="T13" s="22">
        <f>IFERROR(IF('Incurred Loss'!T13="","",'Incurred Loss'!T13/'Sel Ults - Incurred Loss'!D13),"")</f>
        <v/>
      </c>
      <c r="U13" s="22">
        <f>IFERROR(IF('Incurred Loss'!U13="","",'Incurred Loss'!U13/'Sel Ults - Incurred Loss'!D13),"")</f>
        <v/>
      </c>
      <c r="V13" s="22">
        <f>IFERROR(IF('Incurred Loss'!V13="","",'Incurred Loss'!V13/'Sel Ults - Incurred Loss'!D13),"")</f>
        <v/>
      </c>
      <c r="W13" s="22">
        <f>IFERROR(IF('Incurred Loss'!W13="","",'Incurred Loss'!W13/'Sel Ults - Incurred Loss'!D13),"")</f>
        <v/>
      </c>
      <c r="X13" s="22">
        <f>IFERROR(IF('Incurred Loss'!X13="","",'Incurred Loss'!X13/'Sel Ults - Incurred Loss'!D13),"")</f>
        <v/>
      </c>
      <c r="Y13" s="22">
        <f>IFERROR(IF('Incurred Loss'!Y13="","",'Incurred Loss'!Y13/'Sel Ults - Incurred Loss'!D13),"")</f>
        <v/>
      </c>
    </row>
    <row r="14">
      <c r="A14">
        <f>'Incurred Loss'!A14</f>
        <v/>
      </c>
      <c r="B14" s="22">
        <f>IFERROR(IF('Incurred Loss'!B14="","",'Incurred Loss'!B14/'Sel Ults - Incurred Loss'!D14),"")</f>
        <v/>
      </c>
      <c r="C14" s="22">
        <f>IFERROR(IF('Incurred Loss'!C14="","",'Incurred Loss'!C14/'Sel Ults - Incurred Loss'!D14),"")</f>
        <v/>
      </c>
      <c r="D14" s="22">
        <f>IFERROR(IF('Incurred Loss'!D14="","",'Incurred Loss'!D14/'Sel Ults - Incurred Loss'!D14),"")</f>
        <v/>
      </c>
      <c r="E14" s="22">
        <f>IFERROR(IF('Incurred Loss'!E14="","",'Incurred Loss'!E14/'Sel Ults - Incurred Loss'!D14),"")</f>
        <v/>
      </c>
      <c r="F14" s="22">
        <f>IFERROR(IF('Incurred Loss'!F14="","",'Incurred Loss'!F14/'Sel Ults - Incurred Loss'!D14),"")</f>
        <v/>
      </c>
      <c r="G14" s="22">
        <f>IFERROR(IF('Incurred Loss'!G14="","",'Incurred Loss'!G14/'Sel Ults - Incurred Loss'!D14),"")</f>
        <v/>
      </c>
      <c r="H14" s="22">
        <f>IFERROR(IF('Incurred Loss'!H14="","",'Incurred Loss'!H14/'Sel Ults - Incurred Loss'!D14),"")</f>
        <v/>
      </c>
      <c r="I14" s="22">
        <f>IFERROR(IF('Incurred Loss'!I14="","",'Incurred Loss'!I14/'Sel Ults - Incurred Loss'!D14),"")</f>
        <v/>
      </c>
      <c r="J14" s="22">
        <f>IFERROR(IF('Incurred Loss'!J14="","",'Incurred Loss'!J14/'Sel Ults - Incurred Loss'!D14),"")</f>
        <v/>
      </c>
      <c r="K14" s="22">
        <f>IFERROR(IF('Incurred Loss'!K14="","",'Incurred Loss'!K14/'Sel Ults - Incurred Loss'!D14),"")</f>
        <v/>
      </c>
      <c r="L14" s="22">
        <f>IFERROR(IF('Incurred Loss'!L14="","",'Incurred Loss'!L14/'Sel Ults - Incurred Loss'!D14),"")</f>
        <v/>
      </c>
      <c r="M14" s="22">
        <f>IFERROR(IF('Incurred Loss'!M14="","",'Incurred Loss'!M14/'Sel Ults - Incurred Loss'!D14),"")</f>
        <v/>
      </c>
      <c r="N14" s="22">
        <f>IFERROR(IF('Incurred Loss'!N14="","",'Incurred Loss'!N14/'Sel Ults - Incurred Loss'!D14),"")</f>
        <v/>
      </c>
      <c r="O14" s="22">
        <f>IFERROR(IF('Incurred Loss'!O14="","",'Incurred Loss'!O14/'Sel Ults - Incurred Loss'!D14),"")</f>
        <v/>
      </c>
      <c r="P14" s="22">
        <f>IFERROR(IF('Incurred Loss'!P14="","",'Incurred Loss'!P14/'Sel Ults - Incurred Loss'!D14),"")</f>
        <v/>
      </c>
      <c r="Q14" s="22">
        <f>IFERROR(IF('Incurred Loss'!Q14="","",'Incurred Loss'!Q14/'Sel Ults - Incurred Loss'!D14),"")</f>
        <v/>
      </c>
      <c r="R14" s="22">
        <f>IFERROR(IF('Incurred Loss'!R14="","",'Incurred Loss'!R14/'Sel Ults - Incurred Loss'!D14),"")</f>
        <v/>
      </c>
      <c r="S14" s="22">
        <f>IFERROR(IF('Incurred Loss'!S14="","",'Incurred Loss'!S14/'Sel Ults - Incurred Loss'!D14),"")</f>
        <v/>
      </c>
      <c r="T14" s="22">
        <f>IFERROR(IF('Incurred Loss'!T14="","",'Incurred Loss'!T14/'Sel Ults - Incurred Loss'!D14),"")</f>
        <v/>
      </c>
      <c r="U14" s="22">
        <f>IFERROR(IF('Incurred Loss'!U14="","",'Incurred Loss'!U14/'Sel Ults - Incurred Loss'!D14),"")</f>
        <v/>
      </c>
      <c r="V14" s="22">
        <f>IFERROR(IF('Incurred Loss'!V14="","",'Incurred Loss'!V14/'Sel Ults - Incurred Loss'!D14),"")</f>
        <v/>
      </c>
      <c r="W14" s="22">
        <f>IFERROR(IF('Incurred Loss'!W14="","",'Incurred Loss'!W14/'Sel Ults - Incurred Loss'!D14),"")</f>
        <v/>
      </c>
      <c r="X14" s="22">
        <f>IFERROR(IF('Incurred Loss'!X14="","",'Incurred Loss'!X14/'Sel Ults - Incurred Loss'!D14),"")</f>
        <v/>
      </c>
      <c r="Y14" s="22">
        <f>IFERROR(IF('Incurred Loss'!Y14="","",'Incurred Loss'!Y14/'Sel Ults - Incurred Loss'!D14),"")</f>
        <v/>
      </c>
    </row>
    <row r="15">
      <c r="A15">
        <f>'Incurred Loss'!A15</f>
        <v/>
      </c>
      <c r="B15" s="22">
        <f>IFERROR(IF('Incurred Loss'!B15="","",'Incurred Loss'!B15/'Sel Ults - Incurred Loss'!D15),"")</f>
        <v/>
      </c>
      <c r="C15" s="22">
        <f>IFERROR(IF('Incurred Loss'!C15="","",'Incurred Loss'!C15/'Sel Ults - Incurred Loss'!D15),"")</f>
        <v/>
      </c>
      <c r="D15" s="22">
        <f>IFERROR(IF('Incurred Loss'!D15="","",'Incurred Loss'!D15/'Sel Ults - Incurred Loss'!D15),"")</f>
        <v/>
      </c>
      <c r="E15" s="22">
        <f>IFERROR(IF('Incurred Loss'!E15="","",'Incurred Loss'!E15/'Sel Ults - Incurred Loss'!D15),"")</f>
        <v/>
      </c>
      <c r="F15" s="22">
        <f>IFERROR(IF('Incurred Loss'!F15="","",'Incurred Loss'!F15/'Sel Ults - Incurred Loss'!D15),"")</f>
        <v/>
      </c>
      <c r="G15" s="22">
        <f>IFERROR(IF('Incurred Loss'!G15="","",'Incurred Loss'!G15/'Sel Ults - Incurred Loss'!D15),"")</f>
        <v/>
      </c>
      <c r="H15" s="22">
        <f>IFERROR(IF('Incurred Loss'!H15="","",'Incurred Loss'!H15/'Sel Ults - Incurred Loss'!D15),"")</f>
        <v/>
      </c>
      <c r="I15" s="22">
        <f>IFERROR(IF('Incurred Loss'!I15="","",'Incurred Loss'!I15/'Sel Ults - Incurred Loss'!D15),"")</f>
        <v/>
      </c>
      <c r="J15" s="22">
        <f>IFERROR(IF('Incurred Loss'!J15="","",'Incurred Loss'!J15/'Sel Ults - Incurred Loss'!D15),"")</f>
        <v/>
      </c>
      <c r="K15" s="22">
        <f>IFERROR(IF('Incurred Loss'!K15="","",'Incurred Loss'!K15/'Sel Ults - Incurred Loss'!D15),"")</f>
        <v/>
      </c>
      <c r="L15" s="22">
        <f>IFERROR(IF('Incurred Loss'!L15="","",'Incurred Loss'!L15/'Sel Ults - Incurred Loss'!D15),"")</f>
        <v/>
      </c>
      <c r="M15" s="22">
        <f>IFERROR(IF('Incurred Loss'!M15="","",'Incurred Loss'!M15/'Sel Ults - Incurred Loss'!D15),"")</f>
        <v/>
      </c>
      <c r="N15" s="22">
        <f>IFERROR(IF('Incurred Loss'!N15="","",'Incurred Loss'!N15/'Sel Ults - Incurred Loss'!D15),"")</f>
        <v/>
      </c>
      <c r="O15" s="22">
        <f>IFERROR(IF('Incurred Loss'!O15="","",'Incurred Loss'!O15/'Sel Ults - Incurred Loss'!D15),"")</f>
        <v/>
      </c>
      <c r="P15" s="22">
        <f>IFERROR(IF('Incurred Loss'!P15="","",'Incurred Loss'!P15/'Sel Ults - Incurred Loss'!D15),"")</f>
        <v/>
      </c>
      <c r="Q15" s="22">
        <f>IFERROR(IF('Incurred Loss'!Q15="","",'Incurred Loss'!Q15/'Sel Ults - Incurred Loss'!D15),"")</f>
        <v/>
      </c>
      <c r="R15" s="22">
        <f>IFERROR(IF('Incurred Loss'!R15="","",'Incurred Loss'!R15/'Sel Ults - Incurred Loss'!D15),"")</f>
        <v/>
      </c>
      <c r="S15" s="22">
        <f>IFERROR(IF('Incurred Loss'!S15="","",'Incurred Loss'!S15/'Sel Ults - Incurred Loss'!D15),"")</f>
        <v/>
      </c>
      <c r="T15" s="22">
        <f>IFERROR(IF('Incurred Loss'!T15="","",'Incurred Loss'!T15/'Sel Ults - Incurred Loss'!D15),"")</f>
        <v/>
      </c>
      <c r="U15" s="22">
        <f>IFERROR(IF('Incurred Loss'!U15="","",'Incurred Loss'!U15/'Sel Ults - Incurred Loss'!D15),"")</f>
        <v/>
      </c>
      <c r="V15" s="22">
        <f>IFERROR(IF('Incurred Loss'!V15="","",'Incurred Loss'!V15/'Sel Ults - Incurred Loss'!D15),"")</f>
        <v/>
      </c>
      <c r="W15" s="22">
        <f>IFERROR(IF('Incurred Loss'!W15="","",'Incurred Loss'!W15/'Sel Ults - Incurred Loss'!D15),"")</f>
        <v/>
      </c>
      <c r="X15" s="22">
        <f>IFERROR(IF('Incurred Loss'!X15="","",'Incurred Loss'!X15/'Sel Ults - Incurred Loss'!D15),"")</f>
        <v/>
      </c>
      <c r="Y15" s="22">
        <f>IFERROR(IF('Incurred Loss'!Y15="","",'Incurred Loss'!Y15/'Sel Ults - Incurred Loss'!D15),"")</f>
        <v/>
      </c>
    </row>
    <row r="16">
      <c r="A16">
        <f>'Incurred Loss'!A16</f>
        <v/>
      </c>
      <c r="B16" s="22">
        <f>IFERROR(IF('Incurred Loss'!B16="","",'Incurred Loss'!B16/'Sel Ults - Incurred Loss'!D16),"")</f>
        <v/>
      </c>
      <c r="C16" s="22">
        <f>IFERROR(IF('Incurred Loss'!C16="","",'Incurred Loss'!C16/'Sel Ults - Incurred Loss'!D16),"")</f>
        <v/>
      </c>
      <c r="D16" s="22">
        <f>IFERROR(IF('Incurred Loss'!D16="","",'Incurred Loss'!D16/'Sel Ults - Incurred Loss'!D16),"")</f>
        <v/>
      </c>
      <c r="E16" s="22">
        <f>IFERROR(IF('Incurred Loss'!E16="","",'Incurred Loss'!E16/'Sel Ults - Incurred Loss'!D16),"")</f>
        <v/>
      </c>
      <c r="F16" s="22">
        <f>IFERROR(IF('Incurred Loss'!F16="","",'Incurred Loss'!F16/'Sel Ults - Incurred Loss'!D16),"")</f>
        <v/>
      </c>
      <c r="G16" s="22">
        <f>IFERROR(IF('Incurred Loss'!G16="","",'Incurred Loss'!G16/'Sel Ults - Incurred Loss'!D16),"")</f>
        <v/>
      </c>
      <c r="H16" s="22">
        <f>IFERROR(IF('Incurred Loss'!H16="","",'Incurred Loss'!H16/'Sel Ults - Incurred Loss'!D16),"")</f>
        <v/>
      </c>
      <c r="I16" s="22">
        <f>IFERROR(IF('Incurred Loss'!I16="","",'Incurred Loss'!I16/'Sel Ults - Incurred Loss'!D16),"")</f>
        <v/>
      </c>
      <c r="J16" s="22">
        <f>IFERROR(IF('Incurred Loss'!J16="","",'Incurred Loss'!J16/'Sel Ults - Incurred Loss'!D16),"")</f>
        <v/>
      </c>
      <c r="K16" s="22">
        <f>IFERROR(IF('Incurred Loss'!K16="","",'Incurred Loss'!K16/'Sel Ults - Incurred Loss'!D16),"")</f>
        <v/>
      </c>
      <c r="L16" s="22">
        <f>IFERROR(IF('Incurred Loss'!L16="","",'Incurred Loss'!L16/'Sel Ults - Incurred Loss'!D16),"")</f>
        <v/>
      </c>
      <c r="M16" s="22">
        <f>IFERROR(IF('Incurred Loss'!M16="","",'Incurred Loss'!M16/'Sel Ults - Incurred Loss'!D16),"")</f>
        <v/>
      </c>
      <c r="N16" s="22">
        <f>IFERROR(IF('Incurred Loss'!N16="","",'Incurred Loss'!N16/'Sel Ults - Incurred Loss'!D16),"")</f>
        <v/>
      </c>
      <c r="O16" s="22">
        <f>IFERROR(IF('Incurred Loss'!O16="","",'Incurred Loss'!O16/'Sel Ults - Incurred Loss'!D16),"")</f>
        <v/>
      </c>
      <c r="P16" s="22">
        <f>IFERROR(IF('Incurred Loss'!P16="","",'Incurred Loss'!P16/'Sel Ults - Incurred Loss'!D16),"")</f>
        <v/>
      </c>
      <c r="Q16" s="22">
        <f>IFERROR(IF('Incurred Loss'!Q16="","",'Incurred Loss'!Q16/'Sel Ults - Incurred Loss'!D16),"")</f>
        <v/>
      </c>
      <c r="R16" s="22">
        <f>IFERROR(IF('Incurred Loss'!R16="","",'Incurred Loss'!R16/'Sel Ults - Incurred Loss'!D16),"")</f>
        <v/>
      </c>
      <c r="S16" s="22">
        <f>IFERROR(IF('Incurred Loss'!S16="","",'Incurred Loss'!S16/'Sel Ults - Incurred Loss'!D16),"")</f>
        <v/>
      </c>
      <c r="T16" s="22">
        <f>IFERROR(IF('Incurred Loss'!T16="","",'Incurred Loss'!T16/'Sel Ults - Incurred Loss'!D16),"")</f>
        <v/>
      </c>
      <c r="U16" s="22">
        <f>IFERROR(IF('Incurred Loss'!U16="","",'Incurred Loss'!U16/'Sel Ults - Incurred Loss'!D16),"")</f>
        <v/>
      </c>
      <c r="V16" s="22">
        <f>IFERROR(IF('Incurred Loss'!V16="","",'Incurred Loss'!V16/'Sel Ults - Incurred Loss'!D16),"")</f>
        <v/>
      </c>
      <c r="W16" s="22">
        <f>IFERROR(IF('Incurred Loss'!W16="","",'Incurred Loss'!W16/'Sel Ults - Incurred Loss'!D16),"")</f>
        <v/>
      </c>
      <c r="X16" s="22">
        <f>IFERROR(IF('Incurred Loss'!X16="","",'Incurred Loss'!X16/'Sel Ults - Incurred Loss'!D16),"")</f>
        <v/>
      </c>
      <c r="Y16" s="22">
        <f>IFERROR(IF('Incurred Loss'!Y16="","",'Incurred Loss'!Y16/'Sel Ults - Incurred Loss'!D16),"")</f>
        <v/>
      </c>
    </row>
    <row r="17">
      <c r="A17">
        <f>'Incurred Loss'!A17</f>
        <v/>
      </c>
      <c r="B17" s="22">
        <f>IFERROR(IF('Incurred Loss'!B17="","",'Incurred Loss'!B17/'Sel Ults - Incurred Loss'!D17),"")</f>
        <v/>
      </c>
      <c r="C17" s="22">
        <f>IFERROR(IF('Incurred Loss'!C17="","",'Incurred Loss'!C17/'Sel Ults - Incurred Loss'!D17),"")</f>
        <v/>
      </c>
      <c r="D17" s="22">
        <f>IFERROR(IF('Incurred Loss'!D17="","",'Incurred Loss'!D17/'Sel Ults - Incurred Loss'!D17),"")</f>
        <v/>
      </c>
      <c r="E17" s="22">
        <f>IFERROR(IF('Incurred Loss'!E17="","",'Incurred Loss'!E17/'Sel Ults - Incurred Loss'!D17),"")</f>
        <v/>
      </c>
      <c r="F17" s="22">
        <f>IFERROR(IF('Incurred Loss'!F17="","",'Incurred Loss'!F17/'Sel Ults - Incurred Loss'!D17),"")</f>
        <v/>
      </c>
      <c r="G17" s="22">
        <f>IFERROR(IF('Incurred Loss'!G17="","",'Incurred Loss'!G17/'Sel Ults - Incurred Loss'!D17),"")</f>
        <v/>
      </c>
      <c r="H17" s="22">
        <f>IFERROR(IF('Incurred Loss'!H17="","",'Incurred Loss'!H17/'Sel Ults - Incurred Loss'!D17),"")</f>
        <v/>
      </c>
      <c r="I17" s="22">
        <f>IFERROR(IF('Incurred Loss'!I17="","",'Incurred Loss'!I17/'Sel Ults - Incurred Loss'!D17),"")</f>
        <v/>
      </c>
      <c r="J17" s="22">
        <f>IFERROR(IF('Incurred Loss'!J17="","",'Incurred Loss'!J17/'Sel Ults - Incurred Loss'!D17),"")</f>
        <v/>
      </c>
      <c r="K17" s="22">
        <f>IFERROR(IF('Incurred Loss'!K17="","",'Incurred Loss'!K17/'Sel Ults - Incurred Loss'!D17),"")</f>
        <v/>
      </c>
      <c r="L17" s="22">
        <f>IFERROR(IF('Incurred Loss'!L17="","",'Incurred Loss'!L17/'Sel Ults - Incurred Loss'!D17),"")</f>
        <v/>
      </c>
      <c r="M17" s="22">
        <f>IFERROR(IF('Incurred Loss'!M17="","",'Incurred Loss'!M17/'Sel Ults - Incurred Loss'!D17),"")</f>
        <v/>
      </c>
      <c r="N17" s="22">
        <f>IFERROR(IF('Incurred Loss'!N17="","",'Incurred Loss'!N17/'Sel Ults - Incurred Loss'!D17),"")</f>
        <v/>
      </c>
      <c r="O17" s="22">
        <f>IFERROR(IF('Incurred Loss'!O17="","",'Incurred Loss'!O17/'Sel Ults - Incurred Loss'!D17),"")</f>
        <v/>
      </c>
      <c r="P17" s="22">
        <f>IFERROR(IF('Incurred Loss'!P17="","",'Incurred Loss'!P17/'Sel Ults - Incurred Loss'!D17),"")</f>
        <v/>
      </c>
      <c r="Q17" s="22">
        <f>IFERROR(IF('Incurred Loss'!Q17="","",'Incurred Loss'!Q17/'Sel Ults - Incurred Loss'!D17),"")</f>
        <v/>
      </c>
      <c r="R17" s="22">
        <f>IFERROR(IF('Incurred Loss'!R17="","",'Incurred Loss'!R17/'Sel Ults - Incurred Loss'!D17),"")</f>
        <v/>
      </c>
      <c r="S17" s="22">
        <f>IFERROR(IF('Incurred Loss'!S17="","",'Incurred Loss'!S17/'Sel Ults - Incurred Loss'!D17),"")</f>
        <v/>
      </c>
      <c r="T17" s="22">
        <f>IFERROR(IF('Incurred Loss'!T17="","",'Incurred Loss'!T17/'Sel Ults - Incurred Loss'!D17),"")</f>
        <v/>
      </c>
      <c r="U17" s="22">
        <f>IFERROR(IF('Incurred Loss'!U17="","",'Incurred Loss'!U17/'Sel Ults - Incurred Loss'!D17),"")</f>
        <v/>
      </c>
      <c r="V17" s="22">
        <f>IFERROR(IF('Incurred Loss'!V17="","",'Incurred Loss'!V17/'Sel Ults - Incurred Loss'!D17),"")</f>
        <v/>
      </c>
      <c r="W17" s="22">
        <f>IFERROR(IF('Incurred Loss'!W17="","",'Incurred Loss'!W17/'Sel Ults - Incurred Loss'!D17),"")</f>
        <v/>
      </c>
      <c r="X17" s="22">
        <f>IFERROR(IF('Incurred Loss'!X17="","",'Incurred Loss'!X17/'Sel Ults - Incurred Loss'!D17),"")</f>
        <v/>
      </c>
      <c r="Y17" s="22">
        <f>IFERROR(IF('Incurred Loss'!Y17="","",'Incurred Loss'!Y17/'Sel Ults - Incurred Loss'!D17),"")</f>
        <v/>
      </c>
    </row>
    <row r="18">
      <c r="A18">
        <f>'Incurred Loss'!A18</f>
        <v/>
      </c>
      <c r="B18" s="22">
        <f>IFERROR(IF('Incurred Loss'!B18="","",'Incurred Loss'!B18/'Sel Ults - Incurred Loss'!D18),"")</f>
        <v/>
      </c>
      <c r="C18" s="22">
        <f>IFERROR(IF('Incurred Loss'!C18="","",'Incurred Loss'!C18/'Sel Ults - Incurred Loss'!D18),"")</f>
        <v/>
      </c>
      <c r="D18" s="22">
        <f>IFERROR(IF('Incurred Loss'!D18="","",'Incurred Loss'!D18/'Sel Ults - Incurred Loss'!D18),"")</f>
        <v/>
      </c>
      <c r="E18" s="22">
        <f>IFERROR(IF('Incurred Loss'!E18="","",'Incurred Loss'!E18/'Sel Ults - Incurred Loss'!D18),"")</f>
        <v/>
      </c>
      <c r="F18" s="22">
        <f>IFERROR(IF('Incurred Loss'!F18="","",'Incurred Loss'!F18/'Sel Ults - Incurred Loss'!D18),"")</f>
        <v/>
      </c>
      <c r="G18" s="22">
        <f>IFERROR(IF('Incurred Loss'!G18="","",'Incurred Loss'!G18/'Sel Ults - Incurred Loss'!D18),"")</f>
        <v/>
      </c>
      <c r="H18" s="22">
        <f>IFERROR(IF('Incurred Loss'!H18="","",'Incurred Loss'!H18/'Sel Ults - Incurred Loss'!D18),"")</f>
        <v/>
      </c>
      <c r="I18" s="22">
        <f>IFERROR(IF('Incurred Loss'!I18="","",'Incurred Loss'!I18/'Sel Ults - Incurred Loss'!D18),"")</f>
        <v/>
      </c>
      <c r="J18" s="22">
        <f>IFERROR(IF('Incurred Loss'!J18="","",'Incurred Loss'!J18/'Sel Ults - Incurred Loss'!D18),"")</f>
        <v/>
      </c>
      <c r="K18" s="22">
        <f>IFERROR(IF('Incurred Loss'!K18="","",'Incurred Loss'!K18/'Sel Ults - Incurred Loss'!D18),"")</f>
        <v/>
      </c>
      <c r="L18" s="22">
        <f>IFERROR(IF('Incurred Loss'!L18="","",'Incurred Loss'!L18/'Sel Ults - Incurred Loss'!D18),"")</f>
        <v/>
      </c>
      <c r="M18" s="22">
        <f>IFERROR(IF('Incurred Loss'!M18="","",'Incurred Loss'!M18/'Sel Ults - Incurred Loss'!D18),"")</f>
        <v/>
      </c>
      <c r="N18" s="22">
        <f>IFERROR(IF('Incurred Loss'!N18="","",'Incurred Loss'!N18/'Sel Ults - Incurred Loss'!D18),"")</f>
        <v/>
      </c>
      <c r="O18" s="22">
        <f>IFERROR(IF('Incurred Loss'!O18="","",'Incurred Loss'!O18/'Sel Ults - Incurred Loss'!D18),"")</f>
        <v/>
      </c>
      <c r="P18" s="22">
        <f>IFERROR(IF('Incurred Loss'!P18="","",'Incurred Loss'!P18/'Sel Ults - Incurred Loss'!D18),"")</f>
        <v/>
      </c>
      <c r="Q18" s="22">
        <f>IFERROR(IF('Incurred Loss'!Q18="","",'Incurred Loss'!Q18/'Sel Ults - Incurred Loss'!D18),"")</f>
        <v/>
      </c>
      <c r="R18" s="22">
        <f>IFERROR(IF('Incurred Loss'!R18="","",'Incurred Loss'!R18/'Sel Ults - Incurred Loss'!D18),"")</f>
        <v/>
      </c>
      <c r="S18" s="22">
        <f>IFERROR(IF('Incurred Loss'!S18="","",'Incurred Loss'!S18/'Sel Ults - Incurred Loss'!D18),"")</f>
        <v/>
      </c>
      <c r="T18" s="22">
        <f>IFERROR(IF('Incurred Loss'!T18="","",'Incurred Loss'!T18/'Sel Ults - Incurred Loss'!D18),"")</f>
        <v/>
      </c>
      <c r="U18" s="22">
        <f>IFERROR(IF('Incurred Loss'!U18="","",'Incurred Loss'!U18/'Sel Ults - Incurred Loss'!D18),"")</f>
        <v/>
      </c>
      <c r="V18" s="22">
        <f>IFERROR(IF('Incurred Loss'!V18="","",'Incurred Loss'!V18/'Sel Ults - Incurred Loss'!D18),"")</f>
        <v/>
      </c>
      <c r="W18" s="22">
        <f>IFERROR(IF('Incurred Loss'!W18="","",'Incurred Loss'!W18/'Sel Ults - Incurred Loss'!D18),"")</f>
        <v/>
      </c>
      <c r="X18" s="22">
        <f>IFERROR(IF('Incurred Loss'!X18="","",'Incurred Loss'!X18/'Sel Ults - Incurred Loss'!D18),"")</f>
        <v/>
      </c>
      <c r="Y18" s="22">
        <f>IFERROR(IF('Incurred Loss'!Y18="","",'Incurred Loss'!Y18/'Sel Ults - Incurred Loss'!D18),"")</f>
        <v/>
      </c>
    </row>
    <row r="19">
      <c r="A19">
        <f>'Incurred Loss'!A19</f>
        <v/>
      </c>
      <c r="B19" s="22">
        <f>IFERROR(IF('Incurred Loss'!B19="","",'Incurred Loss'!B19/'Sel Ults - Incurred Loss'!D19),"")</f>
        <v/>
      </c>
      <c r="C19" s="22">
        <f>IFERROR(IF('Incurred Loss'!C19="","",'Incurred Loss'!C19/'Sel Ults - Incurred Loss'!D19),"")</f>
        <v/>
      </c>
      <c r="D19" s="22">
        <f>IFERROR(IF('Incurred Loss'!D19="","",'Incurred Loss'!D19/'Sel Ults - Incurred Loss'!D19),"")</f>
        <v/>
      </c>
      <c r="E19" s="22">
        <f>IFERROR(IF('Incurred Loss'!E19="","",'Incurred Loss'!E19/'Sel Ults - Incurred Loss'!D19),"")</f>
        <v/>
      </c>
      <c r="F19" s="22">
        <f>IFERROR(IF('Incurred Loss'!F19="","",'Incurred Loss'!F19/'Sel Ults - Incurred Loss'!D19),"")</f>
        <v/>
      </c>
      <c r="G19" s="22">
        <f>IFERROR(IF('Incurred Loss'!G19="","",'Incurred Loss'!G19/'Sel Ults - Incurred Loss'!D19),"")</f>
        <v/>
      </c>
      <c r="H19" s="22">
        <f>IFERROR(IF('Incurred Loss'!H19="","",'Incurred Loss'!H19/'Sel Ults - Incurred Loss'!D19),"")</f>
        <v/>
      </c>
      <c r="I19" s="22">
        <f>IFERROR(IF('Incurred Loss'!I19="","",'Incurred Loss'!I19/'Sel Ults - Incurred Loss'!D19),"")</f>
        <v/>
      </c>
      <c r="J19" s="22">
        <f>IFERROR(IF('Incurred Loss'!J19="","",'Incurred Loss'!J19/'Sel Ults - Incurred Loss'!D19),"")</f>
        <v/>
      </c>
      <c r="K19" s="22">
        <f>IFERROR(IF('Incurred Loss'!K19="","",'Incurred Loss'!K19/'Sel Ults - Incurred Loss'!D19),"")</f>
        <v/>
      </c>
      <c r="L19" s="22">
        <f>IFERROR(IF('Incurred Loss'!L19="","",'Incurred Loss'!L19/'Sel Ults - Incurred Loss'!D19),"")</f>
        <v/>
      </c>
      <c r="M19" s="22">
        <f>IFERROR(IF('Incurred Loss'!M19="","",'Incurred Loss'!M19/'Sel Ults - Incurred Loss'!D19),"")</f>
        <v/>
      </c>
      <c r="N19" s="22">
        <f>IFERROR(IF('Incurred Loss'!N19="","",'Incurred Loss'!N19/'Sel Ults - Incurred Loss'!D19),"")</f>
        <v/>
      </c>
      <c r="O19" s="22">
        <f>IFERROR(IF('Incurred Loss'!O19="","",'Incurred Loss'!O19/'Sel Ults - Incurred Loss'!D19),"")</f>
        <v/>
      </c>
      <c r="P19" s="22">
        <f>IFERROR(IF('Incurred Loss'!P19="","",'Incurred Loss'!P19/'Sel Ults - Incurred Loss'!D19),"")</f>
        <v/>
      </c>
      <c r="Q19" s="22">
        <f>IFERROR(IF('Incurred Loss'!Q19="","",'Incurred Loss'!Q19/'Sel Ults - Incurred Loss'!D19),"")</f>
        <v/>
      </c>
      <c r="R19" s="22">
        <f>IFERROR(IF('Incurred Loss'!R19="","",'Incurred Loss'!R19/'Sel Ults - Incurred Loss'!D19),"")</f>
        <v/>
      </c>
      <c r="S19" s="22">
        <f>IFERROR(IF('Incurred Loss'!S19="","",'Incurred Loss'!S19/'Sel Ults - Incurred Loss'!D19),"")</f>
        <v/>
      </c>
      <c r="T19" s="22">
        <f>IFERROR(IF('Incurred Loss'!T19="","",'Incurred Loss'!T19/'Sel Ults - Incurred Loss'!D19),"")</f>
        <v/>
      </c>
      <c r="U19" s="22">
        <f>IFERROR(IF('Incurred Loss'!U19="","",'Incurred Loss'!U19/'Sel Ults - Incurred Loss'!D19),"")</f>
        <v/>
      </c>
      <c r="V19" s="22">
        <f>IFERROR(IF('Incurred Loss'!V19="","",'Incurred Loss'!V19/'Sel Ults - Incurred Loss'!D19),"")</f>
        <v/>
      </c>
      <c r="W19" s="22">
        <f>IFERROR(IF('Incurred Loss'!W19="","",'Incurred Loss'!W19/'Sel Ults - Incurred Loss'!D19),"")</f>
        <v/>
      </c>
      <c r="X19" s="22">
        <f>IFERROR(IF('Incurred Loss'!X19="","",'Incurred Loss'!X19/'Sel Ults - Incurred Loss'!D19),"")</f>
        <v/>
      </c>
      <c r="Y19" s="22">
        <f>IFERROR(IF('Incurred Loss'!Y19="","",'Incurred Loss'!Y19/'Sel Ults - Incurred Loss'!D19),"")</f>
        <v/>
      </c>
    </row>
    <row r="20">
      <c r="A20">
        <f>'Incurred Loss'!A20</f>
        <v/>
      </c>
      <c r="B20" s="22">
        <f>IFERROR(IF('Incurred Loss'!B20="","",'Incurred Loss'!B20/'Sel Ults - Incurred Loss'!D20),"")</f>
        <v/>
      </c>
      <c r="C20" s="22">
        <f>IFERROR(IF('Incurred Loss'!C20="","",'Incurred Loss'!C20/'Sel Ults - Incurred Loss'!D20),"")</f>
        <v/>
      </c>
      <c r="D20" s="22">
        <f>IFERROR(IF('Incurred Loss'!D20="","",'Incurred Loss'!D20/'Sel Ults - Incurred Loss'!D20),"")</f>
        <v/>
      </c>
      <c r="E20" s="22">
        <f>IFERROR(IF('Incurred Loss'!E20="","",'Incurred Loss'!E20/'Sel Ults - Incurred Loss'!D20),"")</f>
        <v/>
      </c>
      <c r="F20" s="22">
        <f>IFERROR(IF('Incurred Loss'!F20="","",'Incurred Loss'!F20/'Sel Ults - Incurred Loss'!D20),"")</f>
        <v/>
      </c>
      <c r="G20" s="22">
        <f>IFERROR(IF('Incurred Loss'!G20="","",'Incurred Loss'!G20/'Sel Ults - Incurred Loss'!D20),"")</f>
        <v/>
      </c>
      <c r="H20" s="22">
        <f>IFERROR(IF('Incurred Loss'!H20="","",'Incurred Loss'!H20/'Sel Ults - Incurred Loss'!D20),"")</f>
        <v/>
      </c>
      <c r="I20" s="22">
        <f>IFERROR(IF('Incurred Loss'!I20="","",'Incurred Loss'!I20/'Sel Ults - Incurred Loss'!D20),"")</f>
        <v/>
      </c>
      <c r="J20" s="22">
        <f>IFERROR(IF('Incurred Loss'!J20="","",'Incurred Loss'!J20/'Sel Ults - Incurred Loss'!D20),"")</f>
        <v/>
      </c>
      <c r="K20" s="22">
        <f>IFERROR(IF('Incurred Loss'!K20="","",'Incurred Loss'!K20/'Sel Ults - Incurred Loss'!D20),"")</f>
        <v/>
      </c>
      <c r="L20" s="22">
        <f>IFERROR(IF('Incurred Loss'!L20="","",'Incurred Loss'!L20/'Sel Ults - Incurred Loss'!D20),"")</f>
        <v/>
      </c>
      <c r="M20" s="22">
        <f>IFERROR(IF('Incurred Loss'!M20="","",'Incurred Loss'!M20/'Sel Ults - Incurred Loss'!D20),"")</f>
        <v/>
      </c>
      <c r="N20" s="22">
        <f>IFERROR(IF('Incurred Loss'!N20="","",'Incurred Loss'!N20/'Sel Ults - Incurred Loss'!D20),"")</f>
        <v/>
      </c>
      <c r="O20" s="22">
        <f>IFERROR(IF('Incurred Loss'!O20="","",'Incurred Loss'!O20/'Sel Ults - Incurred Loss'!D20),"")</f>
        <v/>
      </c>
      <c r="P20" s="22">
        <f>IFERROR(IF('Incurred Loss'!P20="","",'Incurred Loss'!P20/'Sel Ults - Incurred Loss'!D20),"")</f>
        <v/>
      </c>
      <c r="Q20" s="22">
        <f>IFERROR(IF('Incurred Loss'!Q20="","",'Incurred Loss'!Q20/'Sel Ults - Incurred Loss'!D20),"")</f>
        <v/>
      </c>
      <c r="R20" s="22">
        <f>IFERROR(IF('Incurred Loss'!R20="","",'Incurred Loss'!R20/'Sel Ults - Incurred Loss'!D20),"")</f>
        <v/>
      </c>
      <c r="S20" s="22">
        <f>IFERROR(IF('Incurred Loss'!S20="","",'Incurred Loss'!S20/'Sel Ults - Incurred Loss'!D20),"")</f>
        <v/>
      </c>
      <c r="T20" s="22">
        <f>IFERROR(IF('Incurred Loss'!T20="","",'Incurred Loss'!T20/'Sel Ults - Incurred Loss'!D20),"")</f>
        <v/>
      </c>
      <c r="U20" s="22">
        <f>IFERROR(IF('Incurred Loss'!U20="","",'Incurred Loss'!U20/'Sel Ults - Incurred Loss'!D20),"")</f>
        <v/>
      </c>
      <c r="V20" s="22">
        <f>IFERROR(IF('Incurred Loss'!V20="","",'Incurred Loss'!V20/'Sel Ults - Incurred Loss'!D20),"")</f>
        <v/>
      </c>
      <c r="W20" s="22">
        <f>IFERROR(IF('Incurred Loss'!W20="","",'Incurred Loss'!W20/'Sel Ults - Incurred Loss'!D20),"")</f>
        <v/>
      </c>
      <c r="X20" s="22">
        <f>IFERROR(IF('Incurred Loss'!X20="","",'Incurred Loss'!X20/'Sel Ults - Incurred Loss'!D20),"")</f>
        <v/>
      </c>
      <c r="Y20" s="22">
        <f>IFERROR(IF('Incurred Loss'!Y20="","",'Incurred Loss'!Y20/'Sel Ults - Incurred Loss'!D20),"")</f>
        <v/>
      </c>
    </row>
    <row r="21">
      <c r="A21">
        <f>'Incurred Loss'!A21</f>
        <v/>
      </c>
      <c r="B21" s="22">
        <f>IFERROR(IF('Incurred Loss'!B21="","",'Incurred Loss'!B21/'Sel Ults - Incurred Loss'!D21),"")</f>
        <v/>
      </c>
      <c r="C21" s="22">
        <f>IFERROR(IF('Incurred Loss'!C21="","",'Incurred Loss'!C21/'Sel Ults - Incurred Loss'!D21),"")</f>
        <v/>
      </c>
      <c r="D21" s="22">
        <f>IFERROR(IF('Incurred Loss'!D21="","",'Incurred Loss'!D21/'Sel Ults - Incurred Loss'!D21),"")</f>
        <v/>
      </c>
      <c r="E21" s="22">
        <f>IFERROR(IF('Incurred Loss'!E21="","",'Incurred Loss'!E21/'Sel Ults - Incurred Loss'!D21),"")</f>
        <v/>
      </c>
      <c r="F21" s="22">
        <f>IFERROR(IF('Incurred Loss'!F21="","",'Incurred Loss'!F21/'Sel Ults - Incurred Loss'!D21),"")</f>
        <v/>
      </c>
      <c r="G21" s="22">
        <f>IFERROR(IF('Incurred Loss'!G21="","",'Incurred Loss'!G21/'Sel Ults - Incurred Loss'!D21),"")</f>
        <v/>
      </c>
      <c r="H21" s="22">
        <f>IFERROR(IF('Incurred Loss'!H21="","",'Incurred Loss'!H21/'Sel Ults - Incurred Loss'!D21),"")</f>
        <v/>
      </c>
      <c r="I21" s="22">
        <f>IFERROR(IF('Incurred Loss'!I21="","",'Incurred Loss'!I21/'Sel Ults - Incurred Loss'!D21),"")</f>
        <v/>
      </c>
      <c r="J21" s="22">
        <f>IFERROR(IF('Incurred Loss'!J21="","",'Incurred Loss'!J21/'Sel Ults - Incurred Loss'!D21),"")</f>
        <v/>
      </c>
      <c r="K21" s="22">
        <f>IFERROR(IF('Incurred Loss'!K21="","",'Incurred Loss'!K21/'Sel Ults - Incurred Loss'!D21),"")</f>
        <v/>
      </c>
      <c r="L21" s="22">
        <f>IFERROR(IF('Incurred Loss'!L21="","",'Incurred Loss'!L21/'Sel Ults - Incurred Loss'!D21),"")</f>
        <v/>
      </c>
      <c r="M21" s="22">
        <f>IFERROR(IF('Incurred Loss'!M21="","",'Incurred Loss'!M21/'Sel Ults - Incurred Loss'!D21),"")</f>
        <v/>
      </c>
      <c r="N21" s="22">
        <f>IFERROR(IF('Incurred Loss'!N21="","",'Incurred Loss'!N21/'Sel Ults - Incurred Loss'!D21),"")</f>
        <v/>
      </c>
      <c r="O21" s="22">
        <f>IFERROR(IF('Incurred Loss'!O21="","",'Incurred Loss'!O21/'Sel Ults - Incurred Loss'!D21),"")</f>
        <v/>
      </c>
      <c r="P21" s="22">
        <f>IFERROR(IF('Incurred Loss'!P21="","",'Incurred Loss'!P21/'Sel Ults - Incurred Loss'!D21),"")</f>
        <v/>
      </c>
      <c r="Q21" s="22">
        <f>IFERROR(IF('Incurred Loss'!Q21="","",'Incurred Loss'!Q21/'Sel Ults - Incurred Loss'!D21),"")</f>
        <v/>
      </c>
      <c r="R21" s="22">
        <f>IFERROR(IF('Incurred Loss'!R21="","",'Incurred Loss'!R21/'Sel Ults - Incurred Loss'!D21),"")</f>
        <v/>
      </c>
      <c r="S21" s="22">
        <f>IFERROR(IF('Incurred Loss'!S21="","",'Incurred Loss'!S21/'Sel Ults - Incurred Loss'!D21),"")</f>
        <v/>
      </c>
      <c r="T21" s="22">
        <f>IFERROR(IF('Incurred Loss'!T21="","",'Incurred Loss'!T21/'Sel Ults - Incurred Loss'!D21),"")</f>
        <v/>
      </c>
      <c r="U21" s="22">
        <f>IFERROR(IF('Incurred Loss'!U21="","",'Incurred Loss'!U21/'Sel Ults - Incurred Loss'!D21),"")</f>
        <v/>
      </c>
      <c r="V21" s="22">
        <f>IFERROR(IF('Incurred Loss'!V21="","",'Incurred Loss'!V21/'Sel Ults - Incurred Loss'!D21),"")</f>
        <v/>
      </c>
      <c r="W21" s="22">
        <f>IFERROR(IF('Incurred Loss'!W21="","",'Incurred Loss'!W21/'Sel Ults - Incurred Loss'!D21),"")</f>
        <v/>
      </c>
      <c r="X21" s="22">
        <f>IFERROR(IF('Incurred Loss'!X21="","",'Incurred Loss'!X21/'Sel Ults - Incurred Loss'!D21),"")</f>
        <v/>
      </c>
      <c r="Y21" s="22">
        <f>IFERROR(IF('Incurred Loss'!Y21="","",'Incurred Loss'!Y21/'Sel Ults - Incurred Loss'!D21),"")</f>
        <v/>
      </c>
    </row>
    <row r="22">
      <c r="A22">
        <f>'Incurred Loss'!A22</f>
        <v/>
      </c>
      <c r="B22" s="22">
        <f>IFERROR(IF('Incurred Loss'!B22="","",'Incurred Loss'!B22/'Sel Ults - Incurred Loss'!D22),"")</f>
        <v/>
      </c>
      <c r="C22" s="22">
        <f>IFERROR(IF('Incurred Loss'!C22="","",'Incurred Loss'!C22/'Sel Ults - Incurred Loss'!D22),"")</f>
        <v/>
      </c>
      <c r="D22" s="22">
        <f>IFERROR(IF('Incurred Loss'!D22="","",'Incurred Loss'!D22/'Sel Ults - Incurred Loss'!D22),"")</f>
        <v/>
      </c>
      <c r="E22" s="22">
        <f>IFERROR(IF('Incurred Loss'!E22="","",'Incurred Loss'!E22/'Sel Ults - Incurred Loss'!D22),"")</f>
        <v/>
      </c>
      <c r="F22" s="22">
        <f>IFERROR(IF('Incurred Loss'!F22="","",'Incurred Loss'!F22/'Sel Ults - Incurred Loss'!D22),"")</f>
        <v/>
      </c>
      <c r="G22" s="22">
        <f>IFERROR(IF('Incurred Loss'!G22="","",'Incurred Loss'!G22/'Sel Ults - Incurred Loss'!D22),"")</f>
        <v/>
      </c>
      <c r="H22" s="22">
        <f>IFERROR(IF('Incurred Loss'!H22="","",'Incurred Loss'!H22/'Sel Ults - Incurred Loss'!D22),"")</f>
        <v/>
      </c>
      <c r="I22" s="22">
        <f>IFERROR(IF('Incurred Loss'!I22="","",'Incurred Loss'!I22/'Sel Ults - Incurred Loss'!D22),"")</f>
        <v/>
      </c>
      <c r="J22" s="22">
        <f>IFERROR(IF('Incurred Loss'!J22="","",'Incurred Loss'!J22/'Sel Ults - Incurred Loss'!D22),"")</f>
        <v/>
      </c>
      <c r="K22" s="22">
        <f>IFERROR(IF('Incurred Loss'!K22="","",'Incurred Loss'!K22/'Sel Ults - Incurred Loss'!D22),"")</f>
        <v/>
      </c>
      <c r="L22" s="22">
        <f>IFERROR(IF('Incurred Loss'!L22="","",'Incurred Loss'!L22/'Sel Ults - Incurred Loss'!D22),"")</f>
        <v/>
      </c>
      <c r="M22" s="22">
        <f>IFERROR(IF('Incurred Loss'!M22="","",'Incurred Loss'!M22/'Sel Ults - Incurred Loss'!D22),"")</f>
        <v/>
      </c>
      <c r="N22" s="22">
        <f>IFERROR(IF('Incurred Loss'!N22="","",'Incurred Loss'!N22/'Sel Ults - Incurred Loss'!D22),"")</f>
        <v/>
      </c>
      <c r="O22" s="22">
        <f>IFERROR(IF('Incurred Loss'!O22="","",'Incurred Loss'!O22/'Sel Ults - Incurred Loss'!D22),"")</f>
        <v/>
      </c>
      <c r="P22" s="22">
        <f>IFERROR(IF('Incurred Loss'!P22="","",'Incurred Loss'!P22/'Sel Ults - Incurred Loss'!D22),"")</f>
        <v/>
      </c>
      <c r="Q22" s="22">
        <f>IFERROR(IF('Incurred Loss'!Q22="","",'Incurred Loss'!Q22/'Sel Ults - Incurred Loss'!D22),"")</f>
        <v/>
      </c>
      <c r="R22" s="22">
        <f>IFERROR(IF('Incurred Loss'!R22="","",'Incurred Loss'!R22/'Sel Ults - Incurred Loss'!D22),"")</f>
        <v/>
      </c>
      <c r="S22" s="22">
        <f>IFERROR(IF('Incurred Loss'!S22="","",'Incurred Loss'!S22/'Sel Ults - Incurred Loss'!D22),"")</f>
        <v/>
      </c>
      <c r="T22" s="22">
        <f>IFERROR(IF('Incurred Loss'!T22="","",'Incurred Loss'!T22/'Sel Ults - Incurred Loss'!D22),"")</f>
        <v/>
      </c>
      <c r="U22" s="22">
        <f>IFERROR(IF('Incurred Loss'!U22="","",'Incurred Loss'!U22/'Sel Ults - Incurred Loss'!D22),"")</f>
        <v/>
      </c>
      <c r="V22" s="22">
        <f>IFERROR(IF('Incurred Loss'!V22="","",'Incurred Loss'!V22/'Sel Ults - Incurred Loss'!D22),"")</f>
        <v/>
      </c>
      <c r="W22" s="22">
        <f>IFERROR(IF('Incurred Loss'!W22="","",'Incurred Loss'!W22/'Sel Ults - Incurred Loss'!D22),"")</f>
        <v/>
      </c>
      <c r="X22" s="22">
        <f>IFERROR(IF('Incurred Loss'!X22="","",'Incurred Loss'!X22/'Sel Ults - Incurred Loss'!D22),"")</f>
        <v/>
      </c>
      <c r="Y22" s="22">
        <f>IFERROR(IF('Incurred Loss'!Y22="","",'Incurred Loss'!Y22/'Sel Ults - Incurred Loss'!D22),"")</f>
        <v/>
      </c>
    </row>
    <row r="23">
      <c r="A23">
        <f>'Incurred Loss'!A23</f>
        <v/>
      </c>
      <c r="B23" s="22">
        <f>IFERROR(IF('Incurred Loss'!B23="","",'Incurred Loss'!B23/'Sel Ults - Incurred Loss'!D23),"")</f>
        <v/>
      </c>
      <c r="C23" s="22">
        <f>IFERROR(IF('Incurred Loss'!C23="","",'Incurred Loss'!C23/'Sel Ults - Incurred Loss'!D23),"")</f>
        <v/>
      </c>
      <c r="D23" s="22">
        <f>IFERROR(IF('Incurred Loss'!D23="","",'Incurred Loss'!D23/'Sel Ults - Incurred Loss'!D23),"")</f>
        <v/>
      </c>
      <c r="E23" s="22">
        <f>IFERROR(IF('Incurred Loss'!E23="","",'Incurred Loss'!E23/'Sel Ults - Incurred Loss'!D23),"")</f>
        <v/>
      </c>
      <c r="F23" s="22">
        <f>IFERROR(IF('Incurred Loss'!F23="","",'Incurred Loss'!F23/'Sel Ults - Incurred Loss'!D23),"")</f>
        <v/>
      </c>
      <c r="G23" s="22">
        <f>IFERROR(IF('Incurred Loss'!G23="","",'Incurred Loss'!G23/'Sel Ults - Incurred Loss'!D23),"")</f>
        <v/>
      </c>
      <c r="H23" s="22">
        <f>IFERROR(IF('Incurred Loss'!H23="","",'Incurred Loss'!H23/'Sel Ults - Incurred Loss'!D23),"")</f>
        <v/>
      </c>
      <c r="I23" s="22">
        <f>IFERROR(IF('Incurred Loss'!I23="","",'Incurred Loss'!I23/'Sel Ults - Incurred Loss'!D23),"")</f>
        <v/>
      </c>
      <c r="J23" s="22">
        <f>IFERROR(IF('Incurred Loss'!J23="","",'Incurred Loss'!J23/'Sel Ults - Incurred Loss'!D23),"")</f>
        <v/>
      </c>
      <c r="K23" s="22">
        <f>IFERROR(IF('Incurred Loss'!K23="","",'Incurred Loss'!K23/'Sel Ults - Incurred Loss'!D23),"")</f>
        <v/>
      </c>
      <c r="L23" s="22">
        <f>IFERROR(IF('Incurred Loss'!L23="","",'Incurred Loss'!L23/'Sel Ults - Incurred Loss'!D23),"")</f>
        <v/>
      </c>
      <c r="M23" s="22">
        <f>IFERROR(IF('Incurred Loss'!M23="","",'Incurred Loss'!M23/'Sel Ults - Incurred Loss'!D23),"")</f>
        <v/>
      </c>
      <c r="N23" s="22">
        <f>IFERROR(IF('Incurred Loss'!N23="","",'Incurred Loss'!N23/'Sel Ults - Incurred Loss'!D23),"")</f>
        <v/>
      </c>
      <c r="O23" s="22">
        <f>IFERROR(IF('Incurred Loss'!O23="","",'Incurred Loss'!O23/'Sel Ults - Incurred Loss'!D23),"")</f>
        <v/>
      </c>
      <c r="P23" s="22">
        <f>IFERROR(IF('Incurred Loss'!P23="","",'Incurred Loss'!P23/'Sel Ults - Incurred Loss'!D23),"")</f>
        <v/>
      </c>
      <c r="Q23" s="22">
        <f>IFERROR(IF('Incurred Loss'!Q23="","",'Incurred Loss'!Q23/'Sel Ults - Incurred Loss'!D23),"")</f>
        <v/>
      </c>
      <c r="R23" s="22">
        <f>IFERROR(IF('Incurred Loss'!R23="","",'Incurred Loss'!R23/'Sel Ults - Incurred Loss'!D23),"")</f>
        <v/>
      </c>
      <c r="S23" s="22">
        <f>IFERROR(IF('Incurred Loss'!S23="","",'Incurred Loss'!S23/'Sel Ults - Incurred Loss'!D23),"")</f>
        <v/>
      </c>
      <c r="T23" s="22">
        <f>IFERROR(IF('Incurred Loss'!T23="","",'Incurred Loss'!T23/'Sel Ults - Incurred Loss'!D23),"")</f>
        <v/>
      </c>
      <c r="U23" s="22">
        <f>IFERROR(IF('Incurred Loss'!U23="","",'Incurred Loss'!U23/'Sel Ults - Incurred Loss'!D23),"")</f>
        <v/>
      </c>
      <c r="V23" s="22">
        <f>IFERROR(IF('Incurred Loss'!V23="","",'Incurred Loss'!V23/'Sel Ults - Incurred Loss'!D23),"")</f>
        <v/>
      </c>
      <c r="W23" s="22">
        <f>IFERROR(IF('Incurred Loss'!W23="","",'Incurred Loss'!W23/'Sel Ults - Incurred Loss'!D23),"")</f>
        <v/>
      </c>
      <c r="X23" s="22">
        <f>IFERROR(IF('Incurred Loss'!X23="","",'Incurred Loss'!X23/'Sel Ults - Incurred Loss'!D23),"")</f>
        <v/>
      </c>
      <c r="Y23" s="22">
        <f>IFERROR(IF('Incurred Loss'!Y23="","",'Incurred Loss'!Y23/'Sel Ults - Incurred Loss'!D23),"")</f>
        <v/>
      </c>
    </row>
    <row r="24">
      <c r="A24">
        <f>'Incurred Loss'!A24</f>
        <v/>
      </c>
      <c r="B24" s="22">
        <f>IFERROR(IF('Incurred Loss'!B24="","",'Incurred Loss'!B24/'Sel Ults - Incurred Loss'!D24),"")</f>
        <v/>
      </c>
      <c r="C24" s="22">
        <f>IFERROR(IF('Incurred Loss'!C24="","",'Incurred Loss'!C24/'Sel Ults - Incurred Loss'!D24),"")</f>
        <v/>
      </c>
      <c r="D24" s="22">
        <f>IFERROR(IF('Incurred Loss'!D24="","",'Incurred Loss'!D24/'Sel Ults - Incurred Loss'!D24),"")</f>
        <v/>
      </c>
      <c r="E24" s="22">
        <f>IFERROR(IF('Incurred Loss'!E24="","",'Incurred Loss'!E24/'Sel Ults - Incurred Loss'!D24),"")</f>
        <v/>
      </c>
      <c r="F24" s="22">
        <f>IFERROR(IF('Incurred Loss'!F24="","",'Incurred Loss'!F24/'Sel Ults - Incurred Loss'!D24),"")</f>
        <v/>
      </c>
      <c r="G24" s="22">
        <f>IFERROR(IF('Incurred Loss'!G24="","",'Incurred Loss'!G24/'Sel Ults - Incurred Loss'!D24),"")</f>
        <v/>
      </c>
      <c r="H24" s="22">
        <f>IFERROR(IF('Incurred Loss'!H24="","",'Incurred Loss'!H24/'Sel Ults - Incurred Loss'!D24),"")</f>
        <v/>
      </c>
      <c r="I24" s="22">
        <f>IFERROR(IF('Incurred Loss'!I24="","",'Incurred Loss'!I24/'Sel Ults - Incurred Loss'!D24),"")</f>
        <v/>
      </c>
      <c r="J24" s="22">
        <f>IFERROR(IF('Incurred Loss'!J24="","",'Incurred Loss'!J24/'Sel Ults - Incurred Loss'!D24),"")</f>
        <v/>
      </c>
      <c r="K24" s="22">
        <f>IFERROR(IF('Incurred Loss'!K24="","",'Incurred Loss'!K24/'Sel Ults - Incurred Loss'!D24),"")</f>
        <v/>
      </c>
      <c r="L24" s="22">
        <f>IFERROR(IF('Incurred Loss'!L24="","",'Incurred Loss'!L24/'Sel Ults - Incurred Loss'!D24),"")</f>
        <v/>
      </c>
      <c r="M24" s="22">
        <f>IFERROR(IF('Incurred Loss'!M24="","",'Incurred Loss'!M24/'Sel Ults - Incurred Loss'!D24),"")</f>
        <v/>
      </c>
      <c r="N24" s="22">
        <f>IFERROR(IF('Incurred Loss'!N24="","",'Incurred Loss'!N24/'Sel Ults - Incurred Loss'!D24),"")</f>
        <v/>
      </c>
      <c r="O24" s="22">
        <f>IFERROR(IF('Incurred Loss'!O24="","",'Incurred Loss'!O24/'Sel Ults - Incurred Loss'!D24),"")</f>
        <v/>
      </c>
      <c r="P24" s="22">
        <f>IFERROR(IF('Incurred Loss'!P24="","",'Incurred Loss'!P24/'Sel Ults - Incurred Loss'!D24),"")</f>
        <v/>
      </c>
      <c r="Q24" s="22">
        <f>IFERROR(IF('Incurred Loss'!Q24="","",'Incurred Loss'!Q24/'Sel Ults - Incurred Loss'!D24),"")</f>
        <v/>
      </c>
      <c r="R24" s="22">
        <f>IFERROR(IF('Incurred Loss'!R24="","",'Incurred Loss'!R24/'Sel Ults - Incurred Loss'!D24),"")</f>
        <v/>
      </c>
      <c r="S24" s="22">
        <f>IFERROR(IF('Incurred Loss'!S24="","",'Incurred Loss'!S24/'Sel Ults - Incurred Loss'!D24),"")</f>
        <v/>
      </c>
      <c r="T24" s="22">
        <f>IFERROR(IF('Incurred Loss'!T24="","",'Incurred Loss'!T24/'Sel Ults - Incurred Loss'!D24),"")</f>
        <v/>
      </c>
      <c r="U24" s="22">
        <f>IFERROR(IF('Incurred Loss'!U24="","",'Incurred Loss'!U24/'Sel Ults - Incurred Loss'!D24),"")</f>
        <v/>
      </c>
      <c r="V24" s="22">
        <f>IFERROR(IF('Incurred Loss'!V24="","",'Incurred Loss'!V24/'Sel Ults - Incurred Loss'!D24),"")</f>
        <v/>
      </c>
      <c r="W24" s="22">
        <f>IFERROR(IF('Incurred Loss'!W24="","",'Incurred Loss'!W24/'Sel Ults - Incurred Loss'!D24),"")</f>
        <v/>
      </c>
      <c r="X24" s="22">
        <f>IFERROR(IF('Incurred Loss'!X24="","",'Incurred Loss'!X24/'Sel Ults - Incurred Loss'!D24),"")</f>
        <v/>
      </c>
      <c r="Y24" s="22">
        <f>IFERROR(IF('Incurred Loss'!Y24="","",'Incurred Loss'!Y24/'Sel Ults - Incurred Loss'!D24),"")</f>
        <v/>
      </c>
    </row>
    <row r="25">
      <c r="A25">
        <f>'Incurred Loss'!A25</f>
        <v/>
      </c>
      <c r="B25" s="22">
        <f>IFERROR(IF('Incurred Loss'!B25="","",'Incurred Loss'!B25/'Sel Ults - Incurred Loss'!D25),"")</f>
        <v/>
      </c>
      <c r="C25" s="22">
        <f>IFERROR(IF('Incurred Loss'!C25="","",'Incurred Loss'!C25/'Sel Ults - Incurred Loss'!D25),"")</f>
        <v/>
      </c>
      <c r="D25" s="22">
        <f>IFERROR(IF('Incurred Loss'!D25="","",'Incurred Loss'!D25/'Sel Ults - Incurred Loss'!D25),"")</f>
        <v/>
      </c>
      <c r="E25" s="22">
        <f>IFERROR(IF('Incurred Loss'!E25="","",'Incurred Loss'!E25/'Sel Ults - Incurred Loss'!D25),"")</f>
        <v/>
      </c>
      <c r="F25" s="22">
        <f>IFERROR(IF('Incurred Loss'!F25="","",'Incurred Loss'!F25/'Sel Ults - Incurred Loss'!D25),"")</f>
        <v/>
      </c>
      <c r="G25" s="22">
        <f>IFERROR(IF('Incurred Loss'!G25="","",'Incurred Loss'!G25/'Sel Ults - Incurred Loss'!D25),"")</f>
        <v/>
      </c>
      <c r="H25" s="22">
        <f>IFERROR(IF('Incurred Loss'!H25="","",'Incurred Loss'!H25/'Sel Ults - Incurred Loss'!D25),"")</f>
        <v/>
      </c>
      <c r="I25" s="22">
        <f>IFERROR(IF('Incurred Loss'!I25="","",'Incurred Loss'!I25/'Sel Ults - Incurred Loss'!D25),"")</f>
        <v/>
      </c>
      <c r="J25" s="22">
        <f>IFERROR(IF('Incurred Loss'!J25="","",'Incurred Loss'!J25/'Sel Ults - Incurred Loss'!D25),"")</f>
        <v/>
      </c>
      <c r="K25" s="22">
        <f>IFERROR(IF('Incurred Loss'!K25="","",'Incurred Loss'!K25/'Sel Ults - Incurred Loss'!D25),"")</f>
        <v/>
      </c>
      <c r="L25" s="22">
        <f>IFERROR(IF('Incurred Loss'!L25="","",'Incurred Loss'!L25/'Sel Ults - Incurred Loss'!D25),"")</f>
        <v/>
      </c>
      <c r="M25" s="22">
        <f>IFERROR(IF('Incurred Loss'!M25="","",'Incurred Loss'!M25/'Sel Ults - Incurred Loss'!D25),"")</f>
        <v/>
      </c>
      <c r="N25" s="22">
        <f>IFERROR(IF('Incurred Loss'!N25="","",'Incurred Loss'!N25/'Sel Ults - Incurred Loss'!D25),"")</f>
        <v/>
      </c>
      <c r="O25" s="22">
        <f>IFERROR(IF('Incurred Loss'!O25="","",'Incurred Loss'!O25/'Sel Ults - Incurred Loss'!D25),"")</f>
        <v/>
      </c>
      <c r="P25" s="22">
        <f>IFERROR(IF('Incurred Loss'!P25="","",'Incurred Loss'!P25/'Sel Ults - Incurred Loss'!D25),"")</f>
        <v/>
      </c>
      <c r="Q25" s="22">
        <f>IFERROR(IF('Incurred Loss'!Q25="","",'Incurred Loss'!Q25/'Sel Ults - Incurred Loss'!D25),"")</f>
        <v/>
      </c>
      <c r="R25" s="22">
        <f>IFERROR(IF('Incurred Loss'!R25="","",'Incurred Loss'!R25/'Sel Ults - Incurred Loss'!D25),"")</f>
        <v/>
      </c>
      <c r="S25" s="22">
        <f>IFERROR(IF('Incurred Loss'!S25="","",'Incurred Loss'!S25/'Sel Ults - Incurred Loss'!D25),"")</f>
        <v/>
      </c>
      <c r="T25" s="22">
        <f>IFERROR(IF('Incurred Loss'!T25="","",'Incurred Loss'!T25/'Sel Ults - Incurred Loss'!D25),"")</f>
        <v/>
      </c>
      <c r="U25" s="22">
        <f>IFERROR(IF('Incurred Loss'!U25="","",'Incurred Loss'!U25/'Sel Ults - Incurred Loss'!D25),"")</f>
        <v/>
      </c>
      <c r="V25" s="22">
        <f>IFERROR(IF('Incurred Loss'!V25="","",'Incurred Loss'!V25/'Sel Ults - Incurred Loss'!D25),"")</f>
        <v/>
      </c>
      <c r="W25" s="22">
        <f>IFERROR(IF('Incurred Loss'!W25="","",'Incurred Loss'!W25/'Sel Ults - Incurred Loss'!D25),"")</f>
        <v/>
      </c>
      <c r="X25" s="22">
        <f>IFERROR(IF('Incurred Loss'!X25="","",'Incurred Loss'!X25/'Sel Ults - Incurred Loss'!D25),"")</f>
        <v/>
      </c>
      <c r="Y25" s="22">
        <f>IFERROR(IF('Incurred Loss'!Y25="","",'Incurred Loss'!Y25/'Sel Ults - Incurred Loss'!D25),"")</f>
        <v/>
      </c>
    </row>
    <row r="26">
      <c r="A26">
        <f>'Incurred Loss'!A26</f>
        <v/>
      </c>
      <c r="B26" s="22">
        <f>IFERROR(IF('Incurred Loss'!B26="","",'Incurred Loss'!B26/'Sel Ults - Incurred Loss'!D26),"")</f>
        <v/>
      </c>
      <c r="C26" s="22">
        <f>IFERROR(IF('Incurred Loss'!C26="","",'Incurred Loss'!C26/'Sel Ults - Incurred Loss'!D26),"")</f>
        <v/>
      </c>
      <c r="D26" s="22">
        <f>IFERROR(IF('Incurred Loss'!D26="","",'Incurred Loss'!D26/'Sel Ults - Incurred Loss'!D26),"")</f>
        <v/>
      </c>
      <c r="E26" s="22">
        <f>IFERROR(IF('Incurred Loss'!E26="","",'Incurred Loss'!E26/'Sel Ults - Incurred Loss'!D26),"")</f>
        <v/>
      </c>
      <c r="F26" s="22">
        <f>IFERROR(IF('Incurred Loss'!F26="","",'Incurred Loss'!F26/'Sel Ults - Incurred Loss'!D26),"")</f>
        <v/>
      </c>
      <c r="G26" s="22">
        <f>IFERROR(IF('Incurred Loss'!G26="","",'Incurred Loss'!G26/'Sel Ults - Incurred Loss'!D26),"")</f>
        <v/>
      </c>
      <c r="H26" s="22">
        <f>IFERROR(IF('Incurred Loss'!H26="","",'Incurred Loss'!H26/'Sel Ults - Incurred Loss'!D26),"")</f>
        <v/>
      </c>
      <c r="I26" s="22">
        <f>IFERROR(IF('Incurred Loss'!I26="","",'Incurred Loss'!I26/'Sel Ults - Incurred Loss'!D26),"")</f>
        <v/>
      </c>
      <c r="J26" s="22">
        <f>IFERROR(IF('Incurred Loss'!J26="","",'Incurred Loss'!J26/'Sel Ults - Incurred Loss'!D26),"")</f>
        <v/>
      </c>
      <c r="K26" s="22">
        <f>IFERROR(IF('Incurred Loss'!K26="","",'Incurred Loss'!K26/'Sel Ults - Incurred Loss'!D26),"")</f>
        <v/>
      </c>
      <c r="L26" s="22">
        <f>IFERROR(IF('Incurred Loss'!L26="","",'Incurred Loss'!L26/'Sel Ults - Incurred Loss'!D26),"")</f>
        <v/>
      </c>
      <c r="M26" s="22">
        <f>IFERROR(IF('Incurred Loss'!M26="","",'Incurred Loss'!M26/'Sel Ults - Incurred Loss'!D26),"")</f>
        <v/>
      </c>
      <c r="N26" s="22">
        <f>IFERROR(IF('Incurred Loss'!N26="","",'Incurred Loss'!N26/'Sel Ults - Incurred Loss'!D26),"")</f>
        <v/>
      </c>
      <c r="O26" s="22">
        <f>IFERROR(IF('Incurred Loss'!O26="","",'Incurred Loss'!O26/'Sel Ults - Incurred Loss'!D26),"")</f>
        <v/>
      </c>
      <c r="P26" s="22">
        <f>IFERROR(IF('Incurred Loss'!P26="","",'Incurred Loss'!P26/'Sel Ults - Incurred Loss'!D26),"")</f>
        <v/>
      </c>
      <c r="Q26" s="22">
        <f>IFERROR(IF('Incurred Loss'!Q26="","",'Incurred Loss'!Q26/'Sel Ults - Incurred Loss'!D26),"")</f>
        <v/>
      </c>
      <c r="R26" s="22">
        <f>IFERROR(IF('Incurred Loss'!R26="","",'Incurred Loss'!R26/'Sel Ults - Incurred Loss'!D26),"")</f>
        <v/>
      </c>
      <c r="S26" s="22">
        <f>IFERROR(IF('Incurred Loss'!S26="","",'Incurred Loss'!S26/'Sel Ults - Incurred Loss'!D26),"")</f>
        <v/>
      </c>
      <c r="T26" s="22">
        <f>IFERROR(IF('Incurred Loss'!T26="","",'Incurred Loss'!T26/'Sel Ults - Incurred Loss'!D26),"")</f>
        <v/>
      </c>
      <c r="U26" s="22">
        <f>IFERROR(IF('Incurred Loss'!U26="","",'Incurred Loss'!U26/'Sel Ults - Incurred Loss'!D26),"")</f>
        <v/>
      </c>
      <c r="V26" s="22">
        <f>IFERROR(IF('Incurred Loss'!V26="","",'Incurred Loss'!V26/'Sel Ults - Incurred Loss'!D26),"")</f>
        <v/>
      </c>
      <c r="W26" s="22">
        <f>IFERROR(IF('Incurred Loss'!W26="","",'Incurred Loss'!W26/'Sel Ults - Incurred Loss'!D26),"")</f>
        <v/>
      </c>
      <c r="X26" s="22">
        <f>IFERROR(IF('Incurred Loss'!X26="","",'Incurred Loss'!X26/'Sel Ults - Incurred Loss'!D26),"")</f>
        <v/>
      </c>
      <c r="Y26" s="22">
        <f>IFERROR(IF('Incurred Loss'!Y26="","",'Incurred Loss'!Y26/'Sel Ults - Incurred Loss'!D26),"")</f>
        <v/>
      </c>
    </row>
  </sheetData>
  <mergeCells count="1">
    <mergeCell ref="A1: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25" t="inlineStr">
        <is>
          <t>Paid to Ultimate — ratio triangle</t>
        </is>
      </c>
    </row>
    <row r="2">
      <c r="A2" s="20" t="inlineStr">
        <is>
          <t>Period</t>
        </is>
      </c>
      <c r="B2" s="26">
        <f>'Paid Loss'!B$2</f>
        <v/>
      </c>
      <c r="C2" s="26">
        <f>'Paid Loss'!C$2</f>
        <v/>
      </c>
      <c r="D2" s="26">
        <f>'Paid Loss'!D$2</f>
        <v/>
      </c>
      <c r="E2" s="26">
        <f>'Paid Loss'!E$2</f>
        <v/>
      </c>
      <c r="F2" s="26">
        <f>'Paid Loss'!F$2</f>
        <v/>
      </c>
      <c r="G2" s="26">
        <f>'Paid Loss'!G$2</f>
        <v/>
      </c>
      <c r="H2" s="26">
        <f>'Paid Loss'!H$2</f>
        <v/>
      </c>
      <c r="I2" s="26">
        <f>'Paid Loss'!I$2</f>
        <v/>
      </c>
      <c r="J2" s="26">
        <f>'Paid Loss'!J$2</f>
        <v/>
      </c>
      <c r="K2" s="26">
        <f>'Paid Loss'!K$2</f>
        <v/>
      </c>
      <c r="L2" s="26">
        <f>'Paid Loss'!L$2</f>
        <v/>
      </c>
      <c r="M2" s="26">
        <f>'Paid Loss'!M$2</f>
        <v/>
      </c>
      <c r="N2" s="26">
        <f>'Paid Loss'!N$2</f>
        <v/>
      </c>
      <c r="O2" s="26">
        <f>'Paid Loss'!O$2</f>
        <v/>
      </c>
      <c r="P2" s="26">
        <f>'Paid Loss'!P$2</f>
        <v/>
      </c>
      <c r="Q2" s="26">
        <f>'Paid Loss'!Q$2</f>
        <v/>
      </c>
      <c r="R2" s="26">
        <f>'Paid Loss'!R$2</f>
        <v/>
      </c>
      <c r="S2" s="26">
        <f>'Paid Loss'!S$2</f>
        <v/>
      </c>
      <c r="T2" s="26">
        <f>'Paid Loss'!T$2</f>
        <v/>
      </c>
      <c r="U2" s="26">
        <f>'Paid Loss'!U$2</f>
        <v/>
      </c>
      <c r="V2" s="26">
        <f>'Paid Loss'!V$2</f>
        <v/>
      </c>
      <c r="W2" s="26">
        <f>'Paid Loss'!W$2</f>
        <v/>
      </c>
      <c r="X2" s="26">
        <f>'Paid Loss'!X$2</f>
        <v/>
      </c>
      <c r="Y2" s="26">
        <f>'Paid Loss'!Y$2</f>
        <v/>
      </c>
    </row>
    <row r="3">
      <c r="A3">
        <f>'Paid Loss'!A3</f>
        <v/>
      </c>
      <c r="B3" s="22">
        <f>IFERROR(IF('Paid Loss'!B3="","",'Paid Loss'!B3/'Sel Ults - Paid Loss'!D3),"")</f>
        <v/>
      </c>
      <c r="C3" s="22">
        <f>IFERROR(IF('Paid Loss'!C3="","",'Paid Loss'!C3/'Sel Ults - Paid Loss'!D3),"")</f>
        <v/>
      </c>
      <c r="D3" s="22">
        <f>IFERROR(IF('Paid Loss'!D3="","",'Paid Loss'!D3/'Sel Ults - Paid Loss'!D3),"")</f>
        <v/>
      </c>
      <c r="E3" s="22">
        <f>IFERROR(IF('Paid Loss'!E3="","",'Paid Loss'!E3/'Sel Ults - Paid Loss'!D3),"")</f>
        <v/>
      </c>
      <c r="F3" s="22">
        <f>IFERROR(IF('Paid Loss'!F3="","",'Paid Loss'!F3/'Sel Ults - Paid Loss'!D3),"")</f>
        <v/>
      </c>
      <c r="G3" s="22">
        <f>IFERROR(IF('Paid Loss'!G3="","",'Paid Loss'!G3/'Sel Ults - Paid Loss'!D3),"")</f>
        <v/>
      </c>
      <c r="H3" s="22">
        <f>IFERROR(IF('Paid Loss'!H3="","",'Paid Loss'!H3/'Sel Ults - Paid Loss'!D3),"")</f>
        <v/>
      </c>
      <c r="I3" s="22">
        <f>IFERROR(IF('Paid Loss'!I3="","",'Paid Loss'!I3/'Sel Ults - Paid Loss'!D3),"")</f>
        <v/>
      </c>
      <c r="J3" s="22">
        <f>IFERROR(IF('Paid Loss'!J3="","",'Paid Loss'!J3/'Sel Ults - Paid Loss'!D3),"")</f>
        <v/>
      </c>
      <c r="K3" s="22">
        <f>IFERROR(IF('Paid Loss'!K3="","",'Paid Loss'!K3/'Sel Ults - Paid Loss'!D3),"")</f>
        <v/>
      </c>
      <c r="L3" s="22">
        <f>IFERROR(IF('Paid Loss'!L3="","",'Paid Loss'!L3/'Sel Ults - Paid Loss'!D3),"")</f>
        <v/>
      </c>
      <c r="M3" s="22">
        <f>IFERROR(IF('Paid Loss'!M3="","",'Paid Loss'!M3/'Sel Ults - Paid Loss'!D3),"")</f>
        <v/>
      </c>
      <c r="N3" s="22">
        <f>IFERROR(IF('Paid Loss'!N3="","",'Paid Loss'!N3/'Sel Ults - Paid Loss'!D3),"")</f>
        <v/>
      </c>
      <c r="O3" s="22">
        <f>IFERROR(IF('Paid Loss'!O3="","",'Paid Loss'!O3/'Sel Ults - Paid Loss'!D3),"")</f>
        <v/>
      </c>
      <c r="P3" s="22">
        <f>IFERROR(IF('Paid Loss'!P3="","",'Paid Loss'!P3/'Sel Ults - Paid Loss'!D3),"")</f>
        <v/>
      </c>
      <c r="Q3" s="22">
        <f>IFERROR(IF('Paid Loss'!Q3="","",'Paid Loss'!Q3/'Sel Ults - Paid Loss'!D3),"")</f>
        <v/>
      </c>
      <c r="R3" s="22">
        <f>IFERROR(IF('Paid Loss'!R3="","",'Paid Loss'!R3/'Sel Ults - Paid Loss'!D3),"")</f>
        <v/>
      </c>
      <c r="S3" s="22">
        <f>IFERROR(IF('Paid Loss'!S3="","",'Paid Loss'!S3/'Sel Ults - Paid Loss'!D3),"")</f>
        <v/>
      </c>
      <c r="T3" s="22">
        <f>IFERROR(IF('Paid Loss'!T3="","",'Paid Loss'!T3/'Sel Ults - Paid Loss'!D3),"")</f>
        <v/>
      </c>
      <c r="U3" s="22">
        <f>IFERROR(IF('Paid Loss'!U3="","",'Paid Loss'!U3/'Sel Ults - Paid Loss'!D3),"")</f>
        <v/>
      </c>
      <c r="V3" s="22">
        <f>IFERROR(IF('Paid Loss'!V3="","",'Paid Loss'!V3/'Sel Ults - Paid Loss'!D3),"")</f>
        <v/>
      </c>
      <c r="W3" s="22">
        <f>IFERROR(IF('Paid Loss'!W3="","",'Paid Loss'!W3/'Sel Ults - Paid Loss'!D3),"")</f>
        <v/>
      </c>
      <c r="X3" s="22">
        <f>IFERROR(IF('Paid Loss'!X3="","",'Paid Loss'!X3/'Sel Ults - Paid Loss'!D3),"")</f>
        <v/>
      </c>
      <c r="Y3" s="22">
        <f>IFERROR(IF('Paid Loss'!Y3="","",'Paid Loss'!Y3/'Sel Ults - Paid Loss'!D3),"")</f>
        <v/>
      </c>
    </row>
    <row r="4">
      <c r="A4">
        <f>'Paid Loss'!A4</f>
        <v/>
      </c>
      <c r="B4" s="22">
        <f>IFERROR(IF('Paid Loss'!B4="","",'Paid Loss'!B4/'Sel Ults - Paid Loss'!D4),"")</f>
        <v/>
      </c>
      <c r="C4" s="22">
        <f>IFERROR(IF('Paid Loss'!C4="","",'Paid Loss'!C4/'Sel Ults - Paid Loss'!D4),"")</f>
        <v/>
      </c>
      <c r="D4" s="22">
        <f>IFERROR(IF('Paid Loss'!D4="","",'Paid Loss'!D4/'Sel Ults - Paid Loss'!D4),"")</f>
        <v/>
      </c>
      <c r="E4" s="22">
        <f>IFERROR(IF('Paid Loss'!E4="","",'Paid Loss'!E4/'Sel Ults - Paid Loss'!D4),"")</f>
        <v/>
      </c>
      <c r="F4" s="22">
        <f>IFERROR(IF('Paid Loss'!F4="","",'Paid Loss'!F4/'Sel Ults - Paid Loss'!D4),"")</f>
        <v/>
      </c>
      <c r="G4" s="22">
        <f>IFERROR(IF('Paid Loss'!G4="","",'Paid Loss'!G4/'Sel Ults - Paid Loss'!D4),"")</f>
        <v/>
      </c>
      <c r="H4" s="22">
        <f>IFERROR(IF('Paid Loss'!H4="","",'Paid Loss'!H4/'Sel Ults - Paid Loss'!D4),"")</f>
        <v/>
      </c>
      <c r="I4" s="22">
        <f>IFERROR(IF('Paid Loss'!I4="","",'Paid Loss'!I4/'Sel Ults - Paid Loss'!D4),"")</f>
        <v/>
      </c>
      <c r="J4" s="22">
        <f>IFERROR(IF('Paid Loss'!J4="","",'Paid Loss'!J4/'Sel Ults - Paid Loss'!D4),"")</f>
        <v/>
      </c>
      <c r="K4" s="22">
        <f>IFERROR(IF('Paid Loss'!K4="","",'Paid Loss'!K4/'Sel Ults - Paid Loss'!D4),"")</f>
        <v/>
      </c>
      <c r="L4" s="22">
        <f>IFERROR(IF('Paid Loss'!L4="","",'Paid Loss'!L4/'Sel Ults - Paid Loss'!D4),"")</f>
        <v/>
      </c>
      <c r="M4" s="22">
        <f>IFERROR(IF('Paid Loss'!M4="","",'Paid Loss'!M4/'Sel Ults - Paid Loss'!D4),"")</f>
        <v/>
      </c>
      <c r="N4" s="22">
        <f>IFERROR(IF('Paid Loss'!N4="","",'Paid Loss'!N4/'Sel Ults - Paid Loss'!D4),"")</f>
        <v/>
      </c>
      <c r="O4" s="22">
        <f>IFERROR(IF('Paid Loss'!O4="","",'Paid Loss'!O4/'Sel Ults - Paid Loss'!D4),"")</f>
        <v/>
      </c>
      <c r="P4" s="22">
        <f>IFERROR(IF('Paid Loss'!P4="","",'Paid Loss'!P4/'Sel Ults - Paid Loss'!D4),"")</f>
        <v/>
      </c>
      <c r="Q4" s="22">
        <f>IFERROR(IF('Paid Loss'!Q4="","",'Paid Loss'!Q4/'Sel Ults - Paid Loss'!D4),"")</f>
        <v/>
      </c>
      <c r="R4" s="22">
        <f>IFERROR(IF('Paid Loss'!R4="","",'Paid Loss'!R4/'Sel Ults - Paid Loss'!D4),"")</f>
        <v/>
      </c>
      <c r="S4" s="22">
        <f>IFERROR(IF('Paid Loss'!S4="","",'Paid Loss'!S4/'Sel Ults - Paid Loss'!D4),"")</f>
        <v/>
      </c>
      <c r="T4" s="22">
        <f>IFERROR(IF('Paid Loss'!T4="","",'Paid Loss'!T4/'Sel Ults - Paid Loss'!D4),"")</f>
        <v/>
      </c>
      <c r="U4" s="22">
        <f>IFERROR(IF('Paid Loss'!U4="","",'Paid Loss'!U4/'Sel Ults - Paid Loss'!D4),"")</f>
        <v/>
      </c>
      <c r="V4" s="22">
        <f>IFERROR(IF('Paid Loss'!V4="","",'Paid Loss'!V4/'Sel Ults - Paid Loss'!D4),"")</f>
        <v/>
      </c>
      <c r="W4" s="22">
        <f>IFERROR(IF('Paid Loss'!W4="","",'Paid Loss'!W4/'Sel Ults - Paid Loss'!D4),"")</f>
        <v/>
      </c>
      <c r="X4" s="22">
        <f>IFERROR(IF('Paid Loss'!X4="","",'Paid Loss'!X4/'Sel Ults - Paid Loss'!D4),"")</f>
        <v/>
      </c>
      <c r="Y4" s="22">
        <f>IFERROR(IF('Paid Loss'!Y4="","",'Paid Loss'!Y4/'Sel Ults - Paid Loss'!D4),"")</f>
        <v/>
      </c>
    </row>
    <row r="5">
      <c r="A5">
        <f>'Paid Loss'!A5</f>
        <v/>
      </c>
      <c r="B5" s="22">
        <f>IFERROR(IF('Paid Loss'!B5="","",'Paid Loss'!B5/'Sel Ults - Paid Loss'!D5),"")</f>
        <v/>
      </c>
      <c r="C5" s="22">
        <f>IFERROR(IF('Paid Loss'!C5="","",'Paid Loss'!C5/'Sel Ults - Paid Loss'!D5),"")</f>
        <v/>
      </c>
      <c r="D5" s="22">
        <f>IFERROR(IF('Paid Loss'!D5="","",'Paid Loss'!D5/'Sel Ults - Paid Loss'!D5),"")</f>
        <v/>
      </c>
      <c r="E5" s="22">
        <f>IFERROR(IF('Paid Loss'!E5="","",'Paid Loss'!E5/'Sel Ults - Paid Loss'!D5),"")</f>
        <v/>
      </c>
      <c r="F5" s="22">
        <f>IFERROR(IF('Paid Loss'!F5="","",'Paid Loss'!F5/'Sel Ults - Paid Loss'!D5),"")</f>
        <v/>
      </c>
      <c r="G5" s="22">
        <f>IFERROR(IF('Paid Loss'!G5="","",'Paid Loss'!G5/'Sel Ults - Paid Loss'!D5),"")</f>
        <v/>
      </c>
      <c r="H5" s="22">
        <f>IFERROR(IF('Paid Loss'!H5="","",'Paid Loss'!H5/'Sel Ults - Paid Loss'!D5),"")</f>
        <v/>
      </c>
      <c r="I5" s="22">
        <f>IFERROR(IF('Paid Loss'!I5="","",'Paid Loss'!I5/'Sel Ults - Paid Loss'!D5),"")</f>
        <v/>
      </c>
      <c r="J5" s="22">
        <f>IFERROR(IF('Paid Loss'!J5="","",'Paid Loss'!J5/'Sel Ults - Paid Loss'!D5),"")</f>
        <v/>
      </c>
      <c r="K5" s="22">
        <f>IFERROR(IF('Paid Loss'!K5="","",'Paid Loss'!K5/'Sel Ults - Paid Loss'!D5),"")</f>
        <v/>
      </c>
      <c r="L5" s="22">
        <f>IFERROR(IF('Paid Loss'!L5="","",'Paid Loss'!L5/'Sel Ults - Paid Loss'!D5),"")</f>
        <v/>
      </c>
      <c r="M5" s="22">
        <f>IFERROR(IF('Paid Loss'!M5="","",'Paid Loss'!M5/'Sel Ults - Paid Loss'!D5),"")</f>
        <v/>
      </c>
      <c r="N5" s="22">
        <f>IFERROR(IF('Paid Loss'!N5="","",'Paid Loss'!N5/'Sel Ults - Paid Loss'!D5),"")</f>
        <v/>
      </c>
      <c r="O5" s="22">
        <f>IFERROR(IF('Paid Loss'!O5="","",'Paid Loss'!O5/'Sel Ults - Paid Loss'!D5),"")</f>
        <v/>
      </c>
      <c r="P5" s="22">
        <f>IFERROR(IF('Paid Loss'!P5="","",'Paid Loss'!P5/'Sel Ults - Paid Loss'!D5),"")</f>
        <v/>
      </c>
      <c r="Q5" s="22">
        <f>IFERROR(IF('Paid Loss'!Q5="","",'Paid Loss'!Q5/'Sel Ults - Paid Loss'!D5),"")</f>
        <v/>
      </c>
      <c r="R5" s="22">
        <f>IFERROR(IF('Paid Loss'!R5="","",'Paid Loss'!R5/'Sel Ults - Paid Loss'!D5),"")</f>
        <v/>
      </c>
      <c r="S5" s="22">
        <f>IFERROR(IF('Paid Loss'!S5="","",'Paid Loss'!S5/'Sel Ults - Paid Loss'!D5),"")</f>
        <v/>
      </c>
      <c r="T5" s="22">
        <f>IFERROR(IF('Paid Loss'!T5="","",'Paid Loss'!T5/'Sel Ults - Paid Loss'!D5),"")</f>
        <v/>
      </c>
      <c r="U5" s="22">
        <f>IFERROR(IF('Paid Loss'!U5="","",'Paid Loss'!U5/'Sel Ults - Paid Loss'!D5),"")</f>
        <v/>
      </c>
      <c r="V5" s="22">
        <f>IFERROR(IF('Paid Loss'!V5="","",'Paid Loss'!V5/'Sel Ults - Paid Loss'!D5),"")</f>
        <v/>
      </c>
      <c r="W5" s="22">
        <f>IFERROR(IF('Paid Loss'!W5="","",'Paid Loss'!W5/'Sel Ults - Paid Loss'!D5),"")</f>
        <v/>
      </c>
      <c r="X5" s="22">
        <f>IFERROR(IF('Paid Loss'!X5="","",'Paid Loss'!X5/'Sel Ults - Paid Loss'!D5),"")</f>
        <v/>
      </c>
      <c r="Y5" s="22">
        <f>IFERROR(IF('Paid Loss'!Y5="","",'Paid Loss'!Y5/'Sel Ults - Paid Loss'!D5),"")</f>
        <v/>
      </c>
    </row>
    <row r="6">
      <c r="A6">
        <f>'Paid Loss'!A6</f>
        <v/>
      </c>
      <c r="B6" s="22">
        <f>IFERROR(IF('Paid Loss'!B6="","",'Paid Loss'!B6/'Sel Ults - Paid Loss'!D6),"")</f>
        <v/>
      </c>
      <c r="C6" s="22">
        <f>IFERROR(IF('Paid Loss'!C6="","",'Paid Loss'!C6/'Sel Ults - Paid Loss'!D6),"")</f>
        <v/>
      </c>
      <c r="D6" s="22">
        <f>IFERROR(IF('Paid Loss'!D6="","",'Paid Loss'!D6/'Sel Ults - Paid Loss'!D6),"")</f>
        <v/>
      </c>
      <c r="E6" s="22">
        <f>IFERROR(IF('Paid Loss'!E6="","",'Paid Loss'!E6/'Sel Ults - Paid Loss'!D6),"")</f>
        <v/>
      </c>
      <c r="F6" s="22">
        <f>IFERROR(IF('Paid Loss'!F6="","",'Paid Loss'!F6/'Sel Ults - Paid Loss'!D6),"")</f>
        <v/>
      </c>
      <c r="G6" s="22">
        <f>IFERROR(IF('Paid Loss'!G6="","",'Paid Loss'!G6/'Sel Ults - Paid Loss'!D6),"")</f>
        <v/>
      </c>
      <c r="H6" s="22">
        <f>IFERROR(IF('Paid Loss'!H6="","",'Paid Loss'!H6/'Sel Ults - Paid Loss'!D6),"")</f>
        <v/>
      </c>
      <c r="I6" s="22">
        <f>IFERROR(IF('Paid Loss'!I6="","",'Paid Loss'!I6/'Sel Ults - Paid Loss'!D6),"")</f>
        <v/>
      </c>
      <c r="J6" s="22">
        <f>IFERROR(IF('Paid Loss'!J6="","",'Paid Loss'!J6/'Sel Ults - Paid Loss'!D6),"")</f>
        <v/>
      </c>
      <c r="K6" s="22">
        <f>IFERROR(IF('Paid Loss'!K6="","",'Paid Loss'!K6/'Sel Ults - Paid Loss'!D6),"")</f>
        <v/>
      </c>
      <c r="L6" s="22">
        <f>IFERROR(IF('Paid Loss'!L6="","",'Paid Loss'!L6/'Sel Ults - Paid Loss'!D6),"")</f>
        <v/>
      </c>
      <c r="M6" s="22">
        <f>IFERROR(IF('Paid Loss'!M6="","",'Paid Loss'!M6/'Sel Ults - Paid Loss'!D6),"")</f>
        <v/>
      </c>
      <c r="N6" s="22">
        <f>IFERROR(IF('Paid Loss'!N6="","",'Paid Loss'!N6/'Sel Ults - Paid Loss'!D6),"")</f>
        <v/>
      </c>
      <c r="O6" s="22">
        <f>IFERROR(IF('Paid Loss'!O6="","",'Paid Loss'!O6/'Sel Ults - Paid Loss'!D6),"")</f>
        <v/>
      </c>
      <c r="P6" s="22">
        <f>IFERROR(IF('Paid Loss'!P6="","",'Paid Loss'!P6/'Sel Ults - Paid Loss'!D6),"")</f>
        <v/>
      </c>
      <c r="Q6" s="22">
        <f>IFERROR(IF('Paid Loss'!Q6="","",'Paid Loss'!Q6/'Sel Ults - Paid Loss'!D6),"")</f>
        <v/>
      </c>
      <c r="R6" s="22">
        <f>IFERROR(IF('Paid Loss'!R6="","",'Paid Loss'!R6/'Sel Ults - Paid Loss'!D6),"")</f>
        <v/>
      </c>
      <c r="S6" s="22">
        <f>IFERROR(IF('Paid Loss'!S6="","",'Paid Loss'!S6/'Sel Ults - Paid Loss'!D6),"")</f>
        <v/>
      </c>
      <c r="T6" s="22">
        <f>IFERROR(IF('Paid Loss'!T6="","",'Paid Loss'!T6/'Sel Ults - Paid Loss'!D6),"")</f>
        <v/>
      </c>
      <c r="U6" s="22">
        <f>IFERROR(IF('Paid Loss'!U6="","",'Paid Loss'!U6/'Sel Ults - Paid Loss'!D6),"")</f>
        <v/>
      </c>
      <c r="V6" s="22">
        <f>IFERROR(IF('Paid Loss'!V6="","",'Paid Loss'!V6/'Sel Ults - Paid Loss'!D6),"")</f>
        <v/>
      </c>
      <c r="W6" s="22">
        <f>IFERROR(IF('Paid Loss'!W6="","",'Paid Loss'!W6/'Sel Ults - Paid Loss'!D6),"")</f>
        <v/>
      </c>
      <c r="X6" s="22">
        <f>IFERROR(IF('Paid Loss'!X6="","",'Paid Loss'!X6/'Sel Ults - Paid Loss'!D6),"")</f>
        <v/>
      </c>
      <c r="Y6" s="22">
        <f>IFERROR(IF('Paid Loss'!Y6="","",'Paid Loss'!Y6/'Sel Ults - Paid Loss'!D6),"")</f>
        <v/>
      </c>
    </row>
    <row r="7">
      <c r="A7">
        <f>'Paid Loss'!A7</f>
        <v/>
      </c>
      <c r="B7" s="22">
        <f>IFERROR(IF('Paid Loss'!B7="","",'Paid Loss'!B7/'Sel Ults - Paid Loss'!D7),"")</f>
        <v/>
      </c>
      <c r="C7" s="22">
        <f>IFERROR(IF('Paid Loss'!C7="","",'Paid Loss'!C7/'Sel Ults - Paid Loss'!D7),"")</f>
        <v/>
      </c>
      <c r="D7" s="22">
        <f>IFERROR(IF('Paid Loss'!D7="","",'Paid Loss'!D7/'Sel Ults - Paid Loss'!D7),"")</f>
        <v/>
      </c>
      <c r="E7" s="22">
        <f>IFERROR(IF('Paid Loss'!E7="","",'Paid Loss'!E7/'Sel Ults - Paid Loss'!D7),"")</f>
        <v/>
      </c>
      <c r="F7" s="22">
        <f>IFERROR(IF('Paid Loss'!F7="","",'Paid Loss'!F7/'Sel Ults - Paid Loss'!D7),"")</f>
        <v/>
      </c>
      <c r="G7" s="22">
        <f>IFERROR(IF('Paid Loss'!G7="","",'Paid Loss'!G7/'Sel Ults - Paid Loss'!D7),"")</f>
        <v/>
      </c>
      <c r="H7" s="22">
        <f>IFERROR(IF('Paid Loss'!H7="","",'Paid Loss'!H7/'Sel Ults - Paid Loss'!D7),"")</f>
        <v/>
      </c>
      <c r="I7" s="22">
        <f>IFERROR(IF('Paid Loss'!I7="","",'Paid Loss'!I7/'Sel Ults - Paid Loss'!D7),"")</f>
        <v/>
      </c>
      <c r="J7" s="22">
        <f>IFERROR(IF('Paid Loss'!J7="","",'Paid Loss'!J7/'Sel Ults - Paid Loss'!D7),"")</f>
        <v/>
      </c>
      <c r="K7" s="22">
        <f>IFERROR(IF('Paid Loss'!K7="","",'Paid Loss'!K7/'Sel Ults - Paid Loss'!D7),"")</f>
        <v/>
      </c>
      <c r="L7" s="22">
        <f>IFERROR(IF('Paid Loss'!L7="","",'Paid Loss'!L7/'Sel Ults - Paid Loss'!D7),"")</f>
        <v/>
      </c>
      <c r="M7" s="22">
        <f>IFERROR(IF('Paid Loss'!M7="","",'Paid Loss'!M7/'Sel Ults - Paid Loss'!D7),"")</f>
        <v/>
      </c>
      <c r="N7" s="22">
        <f>IFERROR(IF('Paid Loss'!N7="","",'Paid Loss'!N7/'Sel Ults - Paid Loss'!D7),"")</f>
        <v/>
      </c>
      <c r="O7" s="22">
        <f>IFERROR(IF('Paid Loss'!O7="","",'Paid Loss'!O7/'Sel Ults - Paid Loss'!D7),"")</f>
        <v/>
      </c>
      <c r="P7" s="22">
        <f>IFERROR(IF('Paid Loss'!P7="","",'Paid Loss'!P7/'Sel Ults - Paid Loss'!D7),"")</f>
        <v/>
      </c>
      <c r="Q7" s="22">
        <f>IFERROR(IF('Paid Loss'!Q7="","",'Paid Loss'!Q7/'Sel Ults - Paid Loss'!D7),"")</f>
        <v/>
      </c>
      <c r="R7" s="22">
        <f>IFERROR(IF('Paid Loss'!R7="","",'Paid Loss'!R7/'Sel Ults - Paid Loss'!D7),"")</f>
        <v/>
      </c>
      <c r="S7" s="22">
        <f>IFERROR(IF('Paid Loss'!S7="","",'Paid Loss'!S7/'Sel Ults - Paid Loss'!D7),"")</f>
        <v/>
      </c>
      <c r="T7" s="22">
        <f>IFERROR(IF('Paid Loss'!T7="","",'Paid Loss'!T7/'Sel Ults - Paid Loss'!D7),"")</f>
        <v/>
      </c>
      <c r="U7" s="22">
        <f>IFERROR(IF('Paid Loss'!U7="","",'Paid Loss'!U7/'Sel Ults - Paid Loss'!D7),"")</f>
        <v/>
      </c>
      <c r="V7" s="22">
        <f>IFERROR(IF('Paid Loss'!V7="","",'Paid Loss'!V7/'Sel Ults - Paid Loss'!D7),"")</f>
        <v/>
      </c>
      <c r="W7" s="22">
        <f>IFERROR(IF('Paid Loss'!W7="","",'Paid Loss'!W7/'Sel Ults - Paid Loss'!D7),"")</f>
        <v/>
      </c>
      <c r="X7" s="22">
        <f>IFERROR(IF('Paid Loss'!X7="","",'Paid Loss'!X7/'Sel Ults - Paid Loss'!D7),"")</f>
        <v/>
      </c>
      <c r="Y7" s="22">
        <f>IFERROR(IF('Paid Loss'!Y7="","",'Paid Loss'!Y7/'Sel Ults - Paid Loss'!D7),"")</f>
        <v/>
      </c>
    </row>
    <row r="8">
      <c r="A8">
        <f>'Paid Loss'!A8</f>
        <v/>
      </c>
      <c r="B8" s="22">
        <f>IFERROR(IF('Paid Loss'!B8="","",'Paid Loss'!B8/'Sel Ults - Paid Loss'!D8),"")</f>
        <v/>
      </c>
      <c r="C8" s="22">
        <f>IFERROR(IF('Paid Loss'!C8="","",'Paid Loss'!C8/'Sel Ults - Paid Loss'!D8),"")</f>
        <v/>
      </c>
      <c r="D8" s="22">
        <f>IFERROR(IF('Paid Loss'!D8="","",'Paid Loss'!D8/'Sel Ults - Paid Loss'!D8),"")</f>
        <v/>
      </c>
      <c r="E8" s="22">
        <f>IFERROR(IF('Paid Loss'!E8="","",'Paid Loss'!E8/'Sel Ults - Paid Loss'!D8),"")</f>
        <v/>
      </c>
      <c r="F8" s="22">
        <f>IFERROR(IF('Paid Loss'!F8="","",'Paid Loss'!F8/'Sel Ults - Paid Loss'!D8),"")</f>
        <v/>
      </c>
      <c r="G8" s="22">
        <f>IFERROR(IF('Paid Loss'!G8="","",'Paid Loss'!G8/'Sel Ults - Paid Loss'!D8),"")</f>
        <v/>
      </c>
      <c r="H8" s="22">
        <f>IFERROR(IF('Paid Loss'!H8="","",'Paid Loss'!H8/'Sel Ults - Paid Loss'!D8),"")</f>
        <v/>
      </c>
      <c r="I8" s="22">
        <f>IFERROR(IF('Paid Loss'!I8="","",'Paid Loss'!I8/'Sel Ults - Paid Loss'!D8),"")</f>
        <v/>
      </c>
      <c r="J8" s="22">
        <f>IFERROR(IF('Paid Loss'!J8="","",'Paid Loss'!J8/'Sel Ults - Paid Loss'!D8),"")</f>
        <v/>
      </c>
      <c r="K8" s="22">
        <f>IFERROR(IF('Paid Loss'!K8="","",'Paid Loss'!K8/'Sel Ults - Paid Loss'!D8),"")</f>
        <v/>
      </c>
      <c r="L8" s="22">
        <f>IFERROR(IF('Paid Loss'!L8="","",'Paid Loss'!L8/'Sel Ults - Paid Loss'!D8),"")</f>
        <v/>
      </c>
      <c r="M8" s="22">
        <f>IFERROR(IF('Paid Loss'!M8="","",'Paid Loss'!M8/'Sel Ults - Paid Loss'!D8),"")</f>
        <v/>
      </c>
      <c r="N8" s="22">
        <f>IFERROR(IF('Paid Loss'!N8="","",'Paid Loss'!N8/'Sel Ults - Paid Loss'!D8),"")</f>
        <v/>
      </c>
      <c r="O8" s="22">
        <f>IFERROR(IF('Paid Loss'!O8="","",'Paid Loss'!O8/'Sel Ults - Paid Loss'!D8),"")</f>
        <v/>
      </c>
      <c r="P8" s="22">
        <f>IFERROR(IF('Paid Loss'!P8="","",'Paid Loss'!P8/'Sel Ults - Paid Loss'!D8),"")</f>
        <v/>
      </c>
      <c r="Q8" s="22">
        <f>IFERROR(IF('Paid Loss'!Q8="","",'Paid Loss'!Q8/'Sel Ults - Paid Loss'!D8),"")</f>
        <v/>
      </c>
      <c r="R8" s="22">
        <f>IFERROR(IF('Paid Loss'!R8="","",'Paid Loss'!R8/'Sel Ults - Paid Loss'!D8),"")</f>
        <v/>
      </c>
      <c r="S8" s="22">
        <f>IFERROR(IF('Paid Loss'!S8="","",'Paid Loss'!S8/'Sel Ults - Paid Loss'!D8),"")</f>
        <v/>
      </c>
      <c r="T8" s="22">
        <f>IFERROR(IF('Paid Loss'!T8="","",'Paid Loss'!T8/'Sel Ults - Paid Loss'!D8),"")</f>
        <v/>
      </c>
      <c r="U8" s="22">
        <f>IFERROR(IF('Paid Loss'!U8="","",'Paid Loss'!U8/'Sel Ults - Paid Loss'!D8),"")</f>
        <v/>
      </c>
      <c r="V8" s="22">
        <f>IFERROR(IF('Paid Loss'!V8="","",'Paid Loss'!V8/'Sel Ults - Paid Loss'!D8),"")</f>
        <v/>
      </c>
      <c r="W8" s="22">
        <f>IFERROR(IF('Paid Loss'!W8="","",'Paid Loss'!W8/'Sel Ults - Paid Loss'!D8),"")</f>
        <v/>
      </c>
      <c r="X8" s="22">
        <f>IFERROR(IF('Paid Loss'!X8="","",'Paid Loss'!X8/'Sel Ults - Paid Loss'!D8),"")</f>
        <v/>
      </c>
      <c r="Y8" s="22">
        <f>IFERROR(IF('Paid Loss'!Y8="","",'Paid Loss'!Y8/'Sel Ults - Paid Loss'!D8),"")</f>
        <v/>
      </c>
    </row>
    <row r="9">
      <c r="A9">
        <f>'Paid Loss'!A9</f>
        <v/>
      </c>
      <c r="B9" s="22">
        <f>IFERROR(IF('Paid Loss'!B9="","",'Paid Loss'!B9/'Sel Ults - Paid Loss'!D9),"")</f>
        <v/>
      </c>
      <c r="C9" s="22">
        <f>IFERROR(IF('Paid Loss'!C9="","",'Paid Loss'!C9/'Sel Ults - Paid Loss'!D9),"")</f>
        <v/>
      </c>
      <c r="D9" s="22">
        <f>IFERROR(IF('Paid Loss'!D9="","",'Paid Loss'!D9/'Sel Ults - Paid Loss'!D9),"")</f>
        <v/>
      </c>
      <c r="E9" s="22">
        <f>IFERROR(IF('Paid Loss'!E9="","",'Paid Loss'!E9/'Sel Ults - Paid Loss'!D9),"")</f>
        <v/>
      </c>
      <c r="F9" s="22">
        <f>IFERROR(IF('Paid Loss'!F9="","",'Paid Loss'!F9/'Sel Ults - Paid Loss'!D9),"")</f>
        <v/>
      </c>
      <c r="G9" s="22">
        <f>IFERROR(IF('Paid Loss'!G9="","",'Paid Loss'!G9/'Sel Ults - Paid Loss'!D9),"")</f>
        <v/>
      </c>
      <c r="H9" s="22">
        <f>IFERROR(IF('Paid Loss'!H9="","",'Paid Loss'!H9/'Sel Ults - Paid Loss'!D9),"")</f>
        <v/>
      </c>
      <c r="I9" s="22">
        <f>IFERROR(IF('Paid Loss'!I9="","",'Paid Loss'!I9/'Sel Ults - Paid Loss'!D9),"")</f>
        <v/>
      </c>
      <c r="J9" s="22">
        <f>IFERROR(IF('Paid Loss'!J9="","",'Paid Loss'!J9/'Sel Ults - Paid Loss'!D9),"")</f>
        <v/>
      </c>
      <c r="K9" s="22">
        <f>IFERROR(IF('Paid Loss'!K9="","",'Paid Loss'!K9/'Sel Ults - Paid Loss'!D9),"")</f>
        <v/>
      </c>
      <c r="L9" s="22">
        <f>IFERROR(IF('Paid Loss'!L9="","",'Paid Loss'!L9/'Sel Ults - Paid Loss'!D9),"")</f>
        <v/>
      </c>
      <c r="M9" s="22">
        <f>IFERROR(IF('Paid Loss'!M9="","",'Paid Loss'!M9/'Sel Ults - Paid Loss'!D9),"")</f>
        <v/>
      </c>
      <c r="N9" s="22">
        <f>IFERROR(IF('Paid Loss'!N9="","",'Paid Loss'!N9/'Sel Ults - Paid Loss'!D9),"")</f>
        <v/>
      </c>
      <c r="O9" s="22">
        <f>IFERROR(IF('Paid Loss'!O9="","",'Paid Loss'!O9/'Sel Ults - Paid Loss'!D9),"")</f>
        <v/>
      </c>
      <c r="P9" s="22">
        <f>IFERROR(IF('Paid Loss'!P9="","",'Paid Loss'!P9/'Sel Ults - Paid Loss'!D9),"")</f>
        <v/>
      </c>
      <c r="Q9" s="22">
        <f>IFERROR(IF('Paid Loss'!Q9="","",'Paid Loss'!Q9/'Sel Ults - Paid Loss'!D9),"")</f>
        <v/>
      </c>
      <c r="R9" s="22">
        <f>IFERROR(IF('Paid Loss'!R9="","",'Paid Loss'!R9/'Sel Ults - Paid Loss'!D9),"")</f>
        <v/>
      </c>
      <c r="S9" s="22">
        <f>IFERROR(IF('Paid Loss'!S9="","",'Paid Loss'!S9/'Sel Ults - Paid Loss'!D9),"")</f>
        <v/>
      </c>
      <c r="T9" s="22">
        <f>IFERROR(IF('Paid Loss'!T9="","",'Paid Loss'!T9/'Sel Ults - Paid Loss'!D9),"")</f>
        <v/>
      </c>
      <c r="U9" s="22">
        <f>IFERROR(IF('Paid Loss'!U9="","",'Paid Loss'!U9/'Sel Ults - Paid Loss'!D9),"")</f>
        <v/>
      </c>
      <c r="V9" s="22">
        <f>IFERROR(IF('Paid Loss'!V9="","",'Paid Loss'!V9/'Sel Ults - Paid Loss'!D9),"")</f>
        <v/>
      </c>
      <c r="W9" s="22">
        <f>IFERROR(IF('Paid Loss'!W9="","",'Paid Loss'!W9/'Sel Ults - Paid Loss'!D9),"")</f>
        <v/>
      </c>
      <c r="X9" s="22">
        <f>IFERROR(IF('Paid Loss'!X9="","",'Paid Loss'!X9/'Sel Ults - Paid Loss'!D9),"")</f>
        <v/>
      </c>
      <c r="Y9" s="22">
        <f>IFERROR(IF('Paid Loss'!Y9="","",'Paid Loss'!Y9/'Sel Ults - Paid Loss'!D9),"")</f>
        <v/>
      </c>
    </row>
    <row r="10">
      <c r="A10">
        <f>'Paid Loss'!A10</f>
        <v/>
      </c>
      <c r="B10" s="22">
        <f>IFERROR(IF('Paid Loss'!B10="","",'Paid Loss'!B10/'Sel Ults - Paid Loss'!D10),"")</f>
        <v/>
      </c>
      <c r="C10" s="22">
        <f>IFERROR(IF('Paid Loss'!C10="","",'Paid Loss'!C10/'Sel Ults - Paid Loss'!D10),"")</f>
        <v/>
      </c>
      <c r="D10" s="22">
        <f>IFERROR(IF('Paid Loss'!D10="","",'Paid Loss'!D10/'Sel Ults - Paid Loss'!D10),"")</f>
        <v/>
      </c>
      <c r="E10" s="22">
        <f>IFERROR(IF('Paid Loss'!E10="","",'Paid Loss'!E10/'Sel Ults - Paid Loss'!D10),"")</f>
        <v/>
      </c>
      <c r="F10" s="22">
        <f>IFERROR(IF('Paid Loss'!F10="","",'Paid Loss'!F10/'Sel Ults - Paid Loss'!D10),"")</f>
        <v/>
      </c>
      <c r="G10" s="22">
        <f>IFERROR(IF('Paid Loss'!G10="","",'Paid Loss'!G10/'Sel Ults - Paid Loss'!D10),"")</f>
        <v/>
      </c>
      <c r="H10" s="22">
        <f>IFERROR(IF('Paid Loss'!H10="","",'Paid Loss'!H10/'Sel Ults - Paid Loss'!D10),"")</f>
        <v/>
      </c>
      <c r="I10" s="22">
        <f>IFERROR(IF('Paid Loss'!I10="","",'Paid Loss'!I10/'Sel Ults - Paid Loss'!D10),"")</f>
        <v/>
      </c>
      <c r="J10" s="22">
        <f>IFERROR(IF('Paid Loss'!J10="","",'Paid Loss'!J10/'Sel Ults - Paid Loss'!D10),"")</f>
        <v/>
      </c>
      <c r="K10" s="22">
        <f>IFERROR(IF('Paid Loss'!K10="","",'Paid Loss'!K10/'Sel Ults - Paid Loss'!D10),"")</f>
        <v/>
      </c>
      <c r="L10" s="22">
        <f>IFERROR(IF('Paid Loss'!L10="","",'Paid Loss'!L10/'Sel Ults - Paid Loss'!D10),"")</f>
        <v/>
      </c>
      <c r="M10" s="22">
        <f>IFERROR(IF('Paid Loss'!M10="","",'Paid Loss'!M10/'Sel Ults - Paid Loss'!D10),"")</f>
        <v/>
      </c>
      <c r="N10" s="22">
        <f>IFERROR(IF('Paid Loss'!N10="","",'Paid Loss'!N10/'Sel Ults - Paid Loss'!D10),"")</f>
        <v/>
      </c>
      <c r="O10" s="22">
        <f>IFERROR(IF('Paid Loss'!O10="","",'Paid Loss'!O10/'Sel Ults - Paid Loss'!D10),"")</f>
        <v/>
      </c>
      <c r="P10" s="22">
        <f>IFERROR(IF('Paid Loss'!P10="","",'Paid Loss'!P10/'Sel Ults - Paid Loss'!D10),"")</f>
        <v/>
      </c>
      <c r="Q10" s="22">
        <f>IFERROR(IF('Paid Loss'!Q10="","",'Paid Loss'!Q10/'Sel Ults - Paid Loss'!D10),"")</f>
        <v/>
      </c>
      <c r="R10" s="22">
        <f>IFERROR(IF('Paid Loss'!R10="","",'Paid Loss'!R10/'Sel Ults - Paid Loss'!D10),"")</f>
        <v/>
      </c>
      <c r="S10" s="22">
        <f>IFERROR(IF('Paid Loss'!S10="","",'Paid Loss'!S10/'Sel Ults - Paid Loss'!D10),"")</f>
        <v/>
      </c>
      <c r="T10" s="22">
        <f>IFERROR(IF('Paid Loss'!T10="","",'Paid Loss'!T10/'Sel Ults - Paid Loss'!D10),"")</f>
        <v/>
      </c>
      <c r="U10" s="22">
        <f>IFERROR(IF('Paid Loss'!U10="","",'Paid Loss'!U10/'Sel Ults - Paid Loss'!D10),"")</f>
        <v/>
      </c>
      <c r="V10" s="22">
        <f>IFERROR(IF('Paid Loss'!V10="","",'Paid Loss'!V10/'Sel Ults - Paid Loss'!D10),"")</f>
        <v/>
      </c>
      <c r="W10" s="22">
        <f>IFERROR(IF('Paid Loss'!W10="","",'Paid Loss'!W10/'Sel Ults - Paid Loss'!D10),"")</f>
        <v/>
      </c>
      <c r="X10" s="22">
        <f>IFERROR(IF('Paid Loss'!X10="","",'Paid Loss'!X10/'Sel Ults - Paid Loss'!D10),"")</f>
        <v/>
      </c>
      <c r="Y10" s="22">
        <f>IFERROR(IF('Paid Loss'!Y10="","",'Paid Loss'!Y10/'Sel Ults - Paid Loss'!D10),"")</f>
        <v/>
      </c>
    </row>
    <row r="11">
      <c r="A11">
        <f>'Paid Loss'!A11</f>
        <v/>
      </c>
      <c r="B11" s="22">
        <f>IFERROR(IF('Paid Loss'!B11="","",'Paid Loss'!B11/'Sel Ults - Paid Loss'!D11),"")</f>
        <v/>
      </c>
      <c r="C11" s="22">
        <f>IFERROR(IF('Paid Loss'!C11="","",'Paid Loss'!C11/'Sel Ults - Paid Loss'!D11),"")</f>
        <v/>
      </c>
      <c r="D11" s="22">
        <f>IFERROR(IF('Paid Loss'!D11="","",'Paid Loss'!D11/'Sel Ults - Paid Loss'!D11),"")</f>
        <v/>
      </c>
      <c r="E11" s="22">
        <f>IFERROR(IF('Paid Loss'!E11="","",'Paid Loss'!E11/'Sel Ults - Paid Loss'!D11),"")</f>
        <v/>
      </c>
      <c r="F11" s="22">
        <f>IFERROR(IF('Paid Loss'!F11="","",'Paid Loss'!F11/'Sel Ults - Paid Loss'!D11),"")</f>
        <v/>
      </c>
      <c r="G11" s="22">
        <f>IFERROR(IF('Paid Loss'!G11="","",'Paid Loss'!G11/'Sel Ults - Paid Loss'!D11),"")</f>
        <v/>
      </c>
      <c r="H11" s="22">
        <f>IFERROR(IF('Paid Loss'!H11="","",'Paid Loss'!H11/'Sel Ults - Paid Loss'!D11),"")</f>
        <v/>
      </c>
      <c r="I11" s="22">
        <f>IFERROR(IF('Paid Loss'!I11="","",'Paid Loss'!I11/'Sel Ults - Paid Loss'!D11),"")</f>
        <v/>
      </c>
      <c r="J11" s="22">
        <f>IFERROR(IF('Paid Loss'!J11="","",'Paid Loss'!J11/'Sel Ults - Paid Loss'!D11),"")</f>
        <v/>
      </c>
      <c r="K11" s="22">
        <f>IFERROR(IF('Paid Loss'!K11="","",'Paid Loss'!K11/'Sel Ults - Paid Loss'!D11),"")</f>
        <v/>
      </c>
      <c r="L11" s="22">
        <f>IFERROR(IF('Paid Loss'!L11="","",'Paid Loss'!L11/'Sel Ults - Paid Loss'!D11),"")</f>
        <v/>
      </c>
      <c r="M11" s="22">
        <f>IFERROR(IF('Paid Loss'!M11="","",'Paid Loss'!M11/'Sel Ults - Paid Loss'!D11),"")</f>
        <v/>
      </c>
      <c r="N11" s="22">
        <f>IFERROR(IF('Paid Loss'!N11="","",'Paid Loss'!N11/'Sel Ults - Paid Loss'!D11),"")</f>
        <v/>
      </c>
      <c r="O11" s="22">
        <f>IFERROR(IF('Paid Loss'!O11="","",'Paid Loss'!O11/'Sel Ults - Paid Loss'!D11),"")</f>
        <v/>
      </c>
      <c r="P11" s="22">
        <f>IFERROR(IF('Paid Loss'!P11="","",'Paid Loss'!P11/'Sel Ults - Paid Loss'!D11),"")</f>
        <v/>
      </c>
      <c r="Q11" s="22">
        <f>IFERROR(IF('Paid Loss'!Q11="","",'Paid Loss'!Q11/'Sel Ults - Paid Loss'!D11),"")</f>
        <v/>
      </c>
      <c r="R11" s="22">
        <f>IFERROR(IF('Paid Loss'!R11="","",'Paid Loss'!R11/'Sel Ults - Paid Loss'!D11),"")</f>
        <v/>
      </c>
      <c r="S11" s="22">
        <f>IFERROR(IF('Paid Loss'!S11="","",'Paid Loss'!S11/'Sel Ults - Paid Loss'!D11),"")</f>
        <v/>
      </c>
      <c r="T11" s="22">
        <f>IFERROR(IF('Paid Loss'!T11="","",'Paid Loss'!T11/'Sel Ults - Paid Loss'!D11),"")</f>
        <v/>
      </c>
      <c r="U11" s="22">
        <f>IFERROR(IF('Paid Loss'!U11="","",'Paid Loss'!U11/'Sel Ults - Paid Loss'!D11),"")</f>
        <v/>
      </c>
      <c r="V11" s="22">
        <f>IFERROR(IF('Paid Loss'!V11="","",'Paid Loss'!V11/'Sel Ults - Paid Loss'!D11),"")</f>
        <v/>
      </c>
      <c r="W11" s="22">
        <f>IFERROR(IF('Paid Loss'!W11="","",'Paid Loss'!W11/'Sel Ults - Paid Loss'!D11),"")</f>
        <v/>
      </c>
      <c r="X11" s="22">
        <f>IFERROR(IF('Paid Loss'!X11="","",'Paid Loss'!X11/'Sel Ults - Paid Loss'!D11),"")</f>
        <v/>
      </c>
      <c r="Y11" s="22">
        <f>IFERROR(IF('Paid Loss'!Y11="","",'Paid Loss'!Y11/'Sel Ults - Paid Loss'!D11),"")</f>
        <v/>
      </c>
    </row>
    <row r="12">
      <c r="A12">
        <f>'Paid Loss'!A12</f>
        <v/>
      </c>
      <c r="B12" s="22">
        <f>IFERROR(IF('Paid Loss'!B12="","",'Paid Loss'!B12/'Sel Ults - Paid Loss'!D12),"")</f>
        <v/>
      </c>
      <c r="C12" s="22">
        <f>IFERROR(IF('Paid Loss'!C12="","",'Paid Loss'!C12/'Sel Ults - Paid Loss'!D12),"")</f>
        <v/>
      </c>
      <c r="D12" s="22">
        <f>IFERROR(IF('Paid Loss'!D12="","",'Paid Loss'!D12/'Sel Ults - Paid Loss'!D12),"")</f>
        <v/>
      </c>
      <c r="E12" s="22">
        <f>IFERROR(IF('Paid Loss'!E12="","",'Paid Loss'!E12/'Sel Ults - Paid Loss'!D12),"")</f>
        <v/>
      </c>
      <c r="F12" s="22">
        <f>IFERROR(IF('Paid Loss'!F12="","",'Paid Loss'!F12/'Sel Ults - Paid Loss'!D12),"")</f>
        <v/>
      </c>
      <c r="G12" s="22">
        <f>IFERROR(IF('Paid Loss'!G12="","",'Paid Loss'!G12/'Sel Ults - Paid Loss'!D12),"")</f>
        <v/>
      </c>
      <c r="H12" s="22">
        <f>IFERROR(IF('Paid Loss'!H12="","",'Paid Loss'!H12/'Sel Ults - Paid Loss'!D12),"")</f>
        <v/>
      </c>
      <c r="I12" s="22">
        <f>IFERROR(IF('Paid Loss'!I12="","",'Paid Loss'!I12/'Sel Ults - Paid Loss'!D12),"")</f>
        <v/>
      </c>
      <c r="J12" s="22">
        <f>IFERROR(IF('Paid Loss'!J12="","",'Paid Loss'!J12/'Sel Ults - Paid Loss'!D12),"")</f>
        <v/>
      </c>
      <c r="K12" s="22">
        <f>IFERROR(IF('Paid Loss'!K12="","",'Paid Loss'!K12/'Sel Ults - Paid Loss'!D12),"")</f>
        <v/>
      </c>
      <c r="L12" s="22">
        <f>IFERROR(IF('Paid Loss'!L12="","",'Paid Loss'!L12/'Sel Ults - Paid Loss'!D12),"")</f>
        <v/>
      </c>
      <c r="M12" s="22">
        <f>IFERROR(IF('Paid Loss'!M12="","",'Paid Loss'!M12/'Sel Ults - Paid Loss'!D12),"")</f>
        <v/>
      </c>
      <c r="N12" s="22">
        <f>IFERROR(IF('Paid Loss'!N12="","",'Paid Loss'!N12/'Sel Ults - Paid Loss'!D12),"")</f>
        <v/>
      </c>
      <c r="O12" s="22">
        <f>IFERROR(IF('Paid Loss'!O12="","",'Paid Loss'!O12/'Sel Ults - Paid Loss'!D12),"")</f>
        <v/>
      </c>
      <c r="P12" s="22">
        <f>IFERROR(IF('Paid Loss'!P12="","",'Paid Loss'!P12/'Sel Ults - Paid Loss'!D12),"")</f>
        <v/>
      </c>
      <c r="Q12" s="22">
        <f>IFERROR(IF('Paid Loss'!Q12="","",'Paid Loss'!Q12/'Sel Ults - Paid Loss'!D12),"")</f>
        <v/>
      </c>
      <c r="R12" s="22">
        <f>IFERROR(IF('Paid Loss'!R12="","",'Paid Loss'!R12/'Sel Ults - Paid Loss'!D12),"")</f>
        <v/>
      </c>
      <c r="S12" s="22">
        <f>IFERROR(IF('Paid Loss'!S12="","",'Paid Loss'!S12/'Sel Ults - Paid Loss'!D12),"")</f>
        <v/>
      </c>
      <c r="T12" s="22">
        <f>IFERROR(IF('Paid Loss'!T12="","",'Paid Loss'!T12/'Sel Ults - Paid Loss'!D12),"")</f>
        <v/>
      </c>
      <c r="U12" s="22">
        <f>IFERROR(IF('Paid Loss'!U12="","",'Paid Loss'!U12/'Sel Ults - Paid Loss'!D12),"")</f>
        <v/>
      </c>
      <c r="V12" s="22">
        <f>IFERROR(IF('Paid Loss'!V12="","",'Paid Loss'!V12/'Sel Ults - Paid Loss'!D12),"")</f>
        <v/>
      </c>
      <c r="W12" s="22">
        <f>IFERROR(IF('Paid Loss'!W12="","",'Paid Loss'!W12/'Sel Ults - Paid Loss'!D12),"")</f>
        <v/>
      </c>
      <c r="X12" s="22">
        <f>IFERROR(IF('Paid Loss'!X12="","",'Paid Loss'!X12/'Sel Ults - Paid Loss'!D12),"")</f>
        <v/>
      </c>
      <c r="Y12" s="22">
        <f>IFERROR(IF('Paid Loss'!Y12="","",'Paid Loss'!Y12/'Sel Ults - Paid Loss'!D12),"")</f>
        <v/>
      </c>
    </row>
    <row r="13">
      <c r="A13">
        <f>'Paid Loss'!A13</f>
        <v/>
      </c>
      <c r="B13" s="22">
        <f>IFERROR(IF('Paid Loss'!B13="","",'Paid Loss'!B13/'Sel Ults - Paid Loss'!D13),"")</f>
        <v/>
      </c>
      <c r="C13" s="22">
        <f>IFERROR(IF('Paid Loss'!C13="","",'Paid Loss'!C13/'Sel Ults - Paid Loss'!D13),"")</f>
        <v/>
      </c>
      <c r="D13" s="22">
        <f>IFERROR(IF('Paid Loss'!D13="","",'Paid Loss'!D13/'Sel Ults - Paid Loss'!D13),"")</f>
        <v/>
      </c>
      <c r="E13" s="22">
        <f>IFERROR(IF('Paid Loss'!E13="","",'Paid Loss'!E13/'Sel Ults - Paid Loss'!D13),"")</f>
        <v/>
      </c>
      <c r="F13" s="22">
        <f>IFERROR(IF('Paid Loss'!F13="","",'Paid Loss'!F13/'Sel Ults - Paid Loss'!D13),"")</f>
        <v/>
      </c>
      <c r="G13" s="22">
        <f>IFERROR(IF('Paid Loss'!G13="","",'Paid Loss'!G13/'Sel Ults - Paid Loss'!D13),"")</f>
        <v/>
      </c>
      <c r="H13" s="22">
        <f>IFERROR(IF('Paid Loss'!H13="","",'Paid Loss'!H13/'Sel Ults - Paid Loss'!D13),"")</f>
        <v/>
      </c>
      <c r="I13" s="22">
        <f>IFERROR(IF('Paid Loss'!I13="","",'Paid Loss'!I13/'Sel Ults - Paid Loss'!D13),"")</f>
        <v/>
      </c>
      <c r="J13" s="22">
        <f>IFERROR(IF('Paid Loss'!J13="","",'Paid Loss'!J13/'Sel Ults - Paid Loss'!D13),"")</f>
        <v/>
      </c>
      <c r="K13" s="22">
        <f>IFERROR(IF('Paid Loss'!K13="","",'Paid Loss'!K13/'Sel Ults - Paid Loss'!D13),"")</f>
        <v/>
      </c>
      <c r="L13" s="22">
        <f>IFERROR(IF('Paid Loss'!L13="","",'Paid Loss'!L13/'Sel Ults - Paid Loss'!D13),"")</f>
        <v/>
      </c>
      <c r="M13" s="22">
        <f>IFERROR(IF('Paid Loss'!M13="","",'Paid Loss'!M13/'Sel Ults - Paid Loss'!D13),"")</f>
        <v/>
      </c>
      <c r="N13" s="22">
        <f>IFERROR(IF('Paid Loss'!N13="","",'Paid Loss'!N13/'Sel Ults - Paid Loss'!D13),"")</f>
        <v/>
      </c>
      <c r="O13" s="22">
        <f>IFERROR(IF('Paid Loss'!O13="","",'Paid Loss'!O13/'Sel Ults - Paid Loss'!D13),"")</f>
        <v/>
      </c>
      <c r="P13" s="22">
        <f>IFERROR(IF('Paid Loss'!P13="","",'Paid Loss'!P13/'Sel Ults - Paid Loss'!D13),"")</f>
        <v/>
      </c>
      <c r="Q13" s="22">
        <f>IFERROR(IF('Paid Loss'!Q13="","",'Paid Loss'!Q13/'Sel Ults - Paid Loss'!D13),"")</f>
        <v/>
      </c>
      <c r="R13" s="22">
        <f>IFERROR(IF('Paid Loss'!R13="","",'Paid Loss'!R13/'Sel Ults - Paid Loss'!D13),"")</f>
        <v/>
      </c>
      <c r="S13" s="22">
        <f>IFERROR(IF('Paid Loss'!S13="","",'Paid Loss'!S13/'Sel Ults - Paid Loss'!D13),"")</f>
        <v/>
      </c>
      <c r="T13" s="22">
        <f>IFERROR(IF('Paid Loss'!T13="","",'Paid Loss'!T13/'Sel Ults - Paid Loss'!D13),"")</f>
        <v/>
      </c>
      <c r="U13" s="22">
        <f>IFERROR(IF('Paid Loss'!U13="","",'Paid Loss'!U13/'Sel Ults - Paid Loss'!D13),"")</f>
        <v/>
      </c>
      <c r="V13" s="22">
        <f>IFERROR(IF('Paid Loss'!V13="","",'Paid Loss'!V13/'Sel Ults - Paid Loss'!D13),"")</f>
        <v/>
      </c>
      <c r="W13" s="22">
        <f>IFERROR(IF('Paid Loss'!W13="","",'Paid Loss'!W13/'Sel Ults - Paid Loss'!D13),"")</f>
        <v/>
      </c>
      <c r="X13" s="22">
        <f>IFERROR(IF('Paid Loss'!X13="","",'Paid Loss'!X13/'Sel Ults - Paid Loss'!D13),"")</f>
        <v/>
      </c>
      <c r="Y13" s="22">
        <f>IFERROR(IF('Paid Loss'!Y13="","",'Paid Loss'!Y13/'Sel Ults - Paid Loss'!D13),"")</f>
        <v/>
      </c>
    </row>
    <row r="14">
      <c r="A14">
        <f>'Paid Loss'!A14</f>
        <v/>
      </c>
      <c r="B14" s="22">
        <f>IFERROR(IF('Paid Loss'!B14="","",'Paid Loss'!B14/'Sel Ults - Paid Loss'!D14),"")</f>
        <v/>
      </c>
      <c r="C14" s="22">
        <f>IFERROR(IF('Paid Loss'!C14="","",'Paid Loss'!C14/'Sel Ults - Paid Loss'!D14),"")</f>
        <v/>
      </c>
      <c r="D14" s="22">
        <f>IFERROR(IF('Paid Loss'!D14="","",'Paid Loss'!D14/'Sel Ults - Paid Loss'!D14),"")</f>
        <v/>
      </c>
      <c r="E14" s="22">
        <f>IFERROR(IF('Paid Loss'!E14="","",'Paid Loss'!E14/'Sel Ults - Paid Loss'!D14),"")</f>
        <v/>
      </c>
      <c r="F14" s="22">
        <f>IFERROR(IF('Paid Loss'!F14="","",'Paid Loss'!F14/'Sel Ults - Paid Loss'!D14),"")</f>
        <v/>
      </c>
      <c r="G14" s="22">
        <f>IFERROR(IF('Paid Loss'!G14="","",'Paid Loss'!G14/'Sel Ults - Paid Loss'!D14),"")</f>
        <v/>
      </c>
      <c r="H14" s="22">
        <f>IFERROR(IF('Paid Loss'!H14="","",'Paid Loss'!H14/'Sel Ults - Paid Loss'!D14),"")</f>
        <v/>
      </c>
      <c r="I14" s="22">
        <f>IFERROR(IF('Paid Loss'!I14="","",'Paid Loss'!I14/'Sel Ults - Paid Loss'!D14),"")</f>
        <v/>
      </c>
      <c r="J14" s="22">
        <f>IFERROR(IF('Paid Loss'!J14="","",'Paid Loss'!J14/'Sel Ults - Paid Loss'!D14),"")</f>
        <v/>
      </c>
      <c r="K14" s="22">
        <f>IFERROR(IF('Paid Loss'!K14="","",'Paid Loss'!K14/'Sel Ults - Paid Loss'!D14),"")</f>
        <v/>
      </c>
      <c r="L14" s="22">
        <f>IFERROR(IF('Paid Loss'!L14="","",'Paid Loss'!L14/'Sel Ults - Paid Loss'!D14),"")</f>
        <v/>
      </c>
      <c r="M14" s="22">
        <f>IFERROR(IF('Paid Loss'!M14="","",'Paid Loss'!M14/'Sel Ults - Paid Loss'!D14),"")</f>
        <v/>
      </c>
      <c r="N14" s="22">
        <f>IFERROR(IF('Paid Loss'!N14="","",'Paid Loss'!N14/'Sel Ults - Paid Loss'!D14),"")</f>
        <v/>
      </c>
      <c r="O14" s="22">
        <f>IFERROR(IF('Paid Loss'!O14="","",'Paid Loss'!O14/'Sel Ults - Paid Loss'!D14),"")</f>
        <v/>
      </c>
      <c r="P14" s="22">
        <f>IFERROR(IF('Paid Loss'!P14="","",'Paid Loss'!P14/'Sel Ults - Paid Loss'!D14),"")</f>
        <v/>
      </c>
      <c r="Q14" s="22">
        <f>IFERROR(IF('Paid Loss'!Q14="","",'Paid Loss'!Q14/'Sel Ults - Paid Loss'!D14),"")</f>
        <v/>
      </c>
      <c r="R14" s="22">
        <f>IFERROR(IF('Paid Loss'!R14="","",'Paid Loss'!R14/'Sel Ults - Paid Loss'!D14),"")</f>
        <v/>
      </c>
      <c r="S14" s="22">
        <f>IFERROR(IF('Paid Loss'!S14="","",'Paid Loss'!S14/'Sel Ults - Paid Loss'!D14),"")</f>
        <v/>
      </c>
      <c r="T14" s="22">
        <f>IFERROR(IF('Paid Loss'!T14="","",'Paid Loss'!T14/'Sel Ults - Paid Loss'!D14),"")</f>
        <v/>
      </c>
      <c r="U14" s="22">
        <f>IFERROR(IF('Paid Loss'!U14="","",'Paid Loss'!U14/'Sel Ults - Paid Loss'!D14),"")</f>
        <v/>
      </c>
      <c r="V14" s="22">
        <f>IFERROR(IF('Paid Loss'!V14="","",'Paid Loss'!V14/'Sel Ults - Paid Loss'!D14),"")</f>
        <v/>
      </c>
      <c r="W14" s="22">
        <f>IFERROR(IF('Paid Loss'!W14="","",'Paid Loss'!W14/'Sel Ults - Paid Loss'!D14),"")</f>
        <v/>
      </c>
      <c r="X14" s="22">
        <f>IFERROR(IF('Paid Loss'!X14="","",'Paid Loss'!X14/'Sel Ults - Paid Loss'!D14),"")</f>
        <v/>
      </c>
      <c r="Y14" s="22">
        <f>IFERROR(IF('Paid Loss'!Y14="","",'Paid Loss'!Y14/'Sel Ults - Paid Loss'!D14),"")</f>
        <v/>
      </c>
    </row>
    <row r="15">
      <c r="A15">
        <f>'Paid Loss'!A15</f>
        <v/>
      </c>
      <c r="B15" s="22">
        <f>IFERROR(IF('Paid Loss'!B15="","",'Paid Loss'!B15/'Sel Ults - Paid Loss'!D15),"")</f>
        <v/>
      </c>
      <c r="C15" s="22">
        <f>IFERROR(IF('Paid Loss'!C15="","",'Paid Loss'!C15/'Sel Ults - Paid Loss'!D15),"")</f>
        <v/>
      </c>
      <c r="D15" s="22">
        <f>IFERROR(IF('Paid Loss'!D15="","",'Paid Loss'!D15/'Sel Ults - Paid Loss'!D15),"")</f>
        <v/>
      </c>
      <c r="E15" s="22">
        <f>IFERROR(IF('Paid Loss'!E15="","",'Paid Loss'!E15/'Sel Ults - Paid Loss'!D15),"")</f>
        <v/>
      </c>
      <c r="F15" s="22">
        <f>IFERROR(IF('Paid Loss'!F15="","",'Paid Loss'!F15/'Sel Ults - Paid Loss'!D15),"")</f>
        <v/>
      </c>
      <c r="G15" s="22">
        <f>IFERROR(IF('Paid Loss'!G15="","",'Paid Loss'!G15/'Sel Ults - Paid Loss'!D15),"")</f>
        <v/>
      </c>
      <c r="H15" s="22">
        <f>IFERROR(IF('Paid Loss'!H15="","",'Paid Loss'!H15/'Sel Ults - Paid Loss'!D15),"")</f>
        <v/>
      </c>
      <c r="I15" s="22">
        <f>IFERROR(IF('Paid Loss'!I15="","",'Paid Loss'!I15/'Sel Ults - Paid Loss'!D15),"")</f>
        <v/>
      </c>
      <c r="J15" s="22">
        <f>IFERROR(IF('Paid Loss'!J15="","",'Paid Loss'!J15/'Sel Ults - Paid Loss'!D15),"")</f>
        <v/>
      </c>
      <c r="K15" s="22">
        <f>IFERROR(IF('Paid Loss'!K15="","",'Paid Loss'!K15/'Sel Ults - Paid Loss'!D15),"")</f>
        <v/>
      </c>
      <c r="L15" s="22">
        <f>IFERROR(IF('Paid Loss'!L15="","",'Paid Loss'!L15/'Sel Ults - Paid Loss'!D15),"")</f>
        <v/>
      </c>
      <c r="M15" s="22">
        <f>IFERROR(IF('Paid Loss'!M15="","",'Paid Loss'!M15/'Sel Ults - Paid Loss'!D15),"")</f>
        <v/>
      </c>
      <c r="N15" s="22">
        <f>IFERROR(IF('Paid Loss'!N15="","",'Paid Loss'!N15/'Sel Ults - Paid Loss'!D15),"")</f>
        <v/>
      </c>
      <c r="O15" s="22">
        <f>IFERROR(IF('Paid Loss'!O15="","",'Paid Loss'!O15/'Sel Ults - Paid Loss'!D15),"")</f>
        <v/>
      </c>
      <c r="P15" s="22">
        <f>IFERROR(IF('Paid Loss'!P15="","",'Paid Loss'!P15/'Sel Ults - Paid Loss'!D15),"")</f>
        <v/>
      </c>
      <c r="Q15" s="22">
        <f>IFERROR(IF('Paid Loss'!Q15="","",'Paid Loss'!Q15/'Sel Ults - Paid Loss'!D15),"")</f>
        <v/>
      </c>
      <c r="R15" s="22">
        <f>IFERROR(IF('Paid Loss'!R15="","",'Paid Loss'!R15/'Sel Ults - Paid Loss'!D15),"")</f>
        <v/>
      </c>
      <c r="S15" s="22">
        <f>IFERROR(IF('Paid Loss'!S15="","",'Paid Loss'!S15/'Sel Ults - Paid Loss'!D15),"")</f>
        <v/>
      </c>
      <c r="T15" s="22">
        <f>IFERROR(IF('Paid Loss'!T15="","",'Paid Loss'!T15/'Sel Ults - Paid Loss'!D15),"")</f>
        <v/>
      </c>
      <c r="U15" s="22">
        <f>IFERROR(IF('Paid Loss'!U15="","",'Paid Loss'!U15/'Sel Ults - Paid Loss'!D15),"")</f>
        <v/>
      </c>
      <c r="V15" s="22">
        <f>IFERROR(IF('Paid Loss'!V15="","",'Paid Loss'!V15/'Sel Ults - Paid Loss'!D15),"")</f>
        <v/>
      </c>
      <c r="W15" s="22">
        <f>IFERROR(IF('Paid Loss'!W15="","",'Paid Loss'!W15/'Sel Ults - Paid Loss'!D15),"")</f>
        <v/>
      </c>
      <c r="X15" s="22">
        <f>IFERROR(IF('Paid Loss'!X15="","",'Paid Loss'!X15/'Sel Ults - Paid Loss'!D15),"")</f>
        <v/>
      </c>
      <c r="Y15" s="22">
        <f>IFERROR(IF('Paid Loss'!Y15="","",'Paid Loss'!Y15/'Sel Ults - Paid Loss'!D15),"")</f>
        <v/>
      </c>
    </row>
    <row r="16">
      <c r="A16">
        <f>'Paid Loss'!A16</f>
        <v/>
      </c>
      <c r="B16" s="22">
        <f>IFERROR(IF('Paid Loss'!B16="","",'Paid Loss'!B16/'Sel Ults - Paid Loss'!D16),"")</f>
        <v/>
      </c>
      <c r="C16" s="22">
        <f>IFERROR(IF('Paid Loss'!C16="","",'Paid Loss'!C16/'Sel Ults - Paid Loss'!D16),"")</f>
        <v/>
      </c>
      <c r="D16" s="22">
        <f>IFERROR(IF('Paid Loss'!D16="","",'Paid Loss'!D16/'Sel Ults - Paid Loss'!D16),"")</f>
        <v/>
      </c>
      <c r="E16" s="22">
        <f>IFERROR(IF('Paid Loss'!E16="","",'Paid Loss'!E16/'Sel Ults - Paid Loss'!D16),"")</f>
        <v/>
      </c>
      <c r="F16" s="22">
        <f>IFERROR(IF('Paid Loss'!F16="","",'Paid Loss'!F16/'Sel Ults - Paid Loss'!D16),"")</f>
        <v/>
      </c>
      <c r="G16" s="22">
        <f>IFERROR(IF('Paid Loss'!G16="","",'Paid Loss'!G16/'Sel Ults - Paid Loss'!D16),"")</f>
        <v/>
      </c>
      <c r="H16" s="22">
        <f>IFERROR(IF('Paid Loss'!H16="","",'Paid Loss'!H16/'Sel Ults - Paid Loss'!D16),"")</f>
        <v/>
      </c>
      <c r="I16" s="22">
        <f>IFERROR(IF('Paid Loss'!I16="","",'Paid Loss'!I16/'Sel Ults - Paid Loss'!D16),"")</f>
        <v/>
      </c>
      <c r="J16" s="22">
        <f>IFERROR(IF('Paid Loss'!J16="","",'Paid Loss'!J16/'Sel Ults - Paid Loss'!D16),"")</f>
        <v/>
      </c>
      <c r="K16" s="22">
        <f>IFERROR(IF('Paid Loss'!K16="","",'Paid Loss'!K16/'Sel Ults - Paid Loss'!D16),"")</f>
        <v/>
      </c>
      <c r="L16" s="22">
        <f>IFERROR(IF('Paid Loss'!L16="","",'Paid Loss'!L16/'Sel Ults - Paid Loss'!D16),"")</f>
        <v/>
      </c>
      <c r="M16" s="22">
        <f>IFERROR(IF('Paid Loss'!M16="","",'Paid Loss'!M16/'Sel Ults - Paid Loss'!D16),"")</f>
        <v/>
      </c>
      <c r="N16" s="22">
        <f>IFERROR(IF('Paid Loss'!N16="","",'Paid Loss'!N16/'Sel Ults - Paid Loss'!D16),"")</f>
        <v/>
      </c>
      <c r="O16" s="22">
        <f>IFERROR(IF('Paid Loss'!O16="","",'Paid Loss'!O16/'Sel Ults - Paid Loss'!D16),"")</f>
        <v/>
      </c>
      <c r="P16" s="22">
        <f>IFERROR(IF('Paid Loss'!P16="","",'Paid Loss'!P16/'Sel Ults - Paid Loss'!D16),"")</f>
        <v/>
      </c>
      <c r="Q16" s="22">
        <f>IFERROR(IF('Paid Loss'!Q16="","",'Paid Loss'!Q16/'Sel Ults - Paid Loss'!D16),"")</f>
        <v/>
      </c>
      <c r="R16" s="22">
        <f>IFERROR(IF('Paid Loss'!R16="","",'Paid Loss'!R16/'Sel Ults - Paid Loss'!D16),"")</f>
        <v/>
      </c>
      <c r="S16" s="22">
        <f>IFERROR(IF('Paid Loss'!S16="","",'Paid Loss'!S16/'Sel Ults - Paid Loss'!D16),"")</f>
        <v/>
      </c>
      <c r="T16" s="22">
        <f>IFERROR(IF('Paid Loss'!T16="","",'Paid Loss'!T16/'Sel Ults - Paid Loss'!D16),"")</f>
        <v/>
      </c>
      <c r="U16" s="22">
        <f>IFERROR(IF('Paid Loss'!U16="","",'Paid Loss'!U16/'Sel Ults - Paid Loss'!D16),"")</f>
        <v/>
      </c>
      <c r="V16" s="22">
        <f>IFERROR(IF('Paid Loss'!V16="","",'Paid Loss'!V16/'Sel Ults - Paid Loss'!D16),"")</f>
        <v/>
      </c>
      <c r="W16" s="22">
        <f>IFERROR(IF('Paid Loss'!W16="","",'Paid Loss'!W16/'Sel Ults - Paid Loss'!D16),"")</f>
        <v/>
      </c>
      <c r="X16" s="22">
        <f>IFERROR(IF('Paid Loss'!X16="","",'Paid Loss'!X16/'Sel Ults - Paid Loss'!D16),"")</f>
        <v/>
      </c>
      <c r="Y16" s="22">
        <f>IFERROR(IF('Paid Loss'!Y16="","",'Paid Loss'!Y16/'Sel Ults - Paid Loss'!D16),"")</f>
        <v/>
      </c>
    </row>
    <row r="17">
      <c r="A17">
        <f>'Paid Loss'!A17</f>
        <v/>
      </c>
      <c r="B17" s="22">
        <f>IFERROR(IF('Paid Loss'!B17="","",'Paid Loss'!B17/'Sel Ults - Paid Loss'!D17),"")</f>
        <v/>
      </c>
      <c r="C17" s="22">
        <f>IFERROR(IF('Paid Loss'!C17="","",'Paid Loss'!C17/'Sel Ults - Paid Loss'!D17),"")</f>
        <v/>
      </c>
      <c r="D17" s="22">
        <f>IFERROR(IF('Paid Loss'!D17="","",'Paid Loss'!D17/'Sel Ults - Paid Loss'!D17),"")</f>
        <v/>
      </c>
      <c r="E17" s="22">
        <f>IFERROR(IF('Paid Loss'!E17="","",'Paid Loss'!E17/'Sel Ults - Paid Loss'!D17),"")</f>
        <v/>
      </c>
      <c r="F17" s="22">
        <f>IFERROR(IF('Paid Loss'!F17="","",'Paid Loss'!F17/'Sel Ults - Paid Loss'!D17),"")</f>
        <v/>
      </c>
      <c r="G17" s="22">
        <f>IFERROR(IF('Paid Loss'!G17="","",'Paid Loss'!G17/'Sel Ults - Paid Loss'!D17),"")</f>
        <v/>
      </c>
      <c r="H17" s="22">
        <f>IFERROR(IF('Paid Loss'!H17="","",'Paid Loss'!H17/'Sel Ults - Paid Loss'!D17),"")</f>
        <v/>
      </c>
      <c r="I17" s="22">
        <f>IFERROR(IF('Paid Loss'!I17="","",'Paid Loss'!I17/'Sel Ults - Paid Loss'!D17),"")</f>
        <v/>
      </c>
      <c r="J17" s="22">
        <f>IFERROR(IF('Paid Loss'!J17="","",'Paid Loss'!J17/'Sel Ults - Paid Loss'!D17),"")</f>
        <v/>
      </c>
      <c r="K17" s="22">
        <f>IFERROR(IF('Paid Loss'!K17="","",'Paid Loss'!K17/'Sel Ults - Paid Loss'!D17),"")</f>
        <v/>
      </c>
      <c r="L17" s="22">
        <f>IFERROR(IF('Paid Loss'!L17="","",'Paid Loss'!L17/'Sel Ults - Paid Loss'!D17),"")</f>
        <v/>
      </c>
      <c r="M17" s="22">
        <f>IFERROR(IF('Paid Loss'!M17="","",'Paid Loss'!M17/'Sel Ults - Paid Loss'!D17),"")</f>
        <v/>
      </c>
      <c r="N17" s="22">
        <f>IFERROR(IF('Paid Loss'!N17="","",'Paid Loss'!N17/'Sel Ults - Paid Loss'!D17),"")</f>
        <v/>
      </c>
      <c r="O17" s="22">
        <f>IFERROR(IF('Paid Loss'!O17="","",'Paid Loss'!O17/'Sel Ults - Paid Loss'!D17),"")</f>
        <v/>
      </c>
      <c r="P17" s="22">
        <f>IFERROR(IF('Paid Loss'!P17="","",'Paid Loss'!P17/'Sel Ults - Paid Loss'!D17),"")</f>
        <v/>
      </c>
      <c r="Q17" s="22">
        <f>IFERROR(IF('Paid Loss'!Q17="","",'Paid Loss'!Q17/'Sel Ults - Paid Loss'!D17),"")</f>
        <v/>
      </c>
      <c r="R17" s="22">
        <f>IFERROR(IF('Paid Loss'!R17="","",'Paid Loss'!R17/'Sel Ults - Paid Loss'!D17),"")</f>
        <v/>
      </c>
      <c r="S17" s="22">
        <f>IFERROR(IF('Paid Loss'!S17="","",'Paid Loss'!S17/'Sel Ults - Paid Loss'!D17),"")</f>
        <v/>
      </c>
      <c r="T17" s="22">
        <f>IFERROR(IF('Paid Loss'!T17="","",'Paid Loss'!T17/'Sel Ults - Paid Loss'!D17),"")</f>
        <v/>
      </c>
      <c r="U17" s="22">
        <f>IFERROR(IF('Paid Loss'!U17="","",'Paid Loss'!U17/'Sel Ults - Paid Loss'!D17),"")</f>
        <v/>
      </c>
      <c r="V17" s="22">
        <f>IFERROR(IF('Paid Loss'!V17="","",'Paid Loss'!V17/'Sel Ults - Paid Loss'!D17),"")</f>
        <v/>
      </c>
      <c r="W17" s="22">
        <f>IFERROR(IF('Paid Loss'!W17="","",'Paid Loss'!W17/'Sel Ults - Paid Loss'!D17),"")</f>
        <v/>
      </c>
      <c r="X17" s="22">
        <f>IFERROR(IF('Paid Loss'!X17="","",'Paid Loss'!X17/'Sel Ults - Paid Loss'!D17),"")</f>
        <v/>
      </c>
      <c r="Y17" s="22">
        <f>IFERROR(IF('Paid Loss'!Y17="","",'Paid Loss'!Y17/'Sel Ults - Paid Loss'!D17),"")</f>
        <v/>
      </c>
    </row>
    <row r="18">
      <c r="A18">
        <f>'Paid Loss'!A18</f>
        <v/>
      </c>
      <c r="B18" s="22">
        <f>IFERROR(IF('Paid Loss'!B18="","",'Paid Loss'!B18/'Sel Ults - Paid Loss'!D18),"")</f>
        <v/>
      </c>
      <c r="C18" s="22">
        <f>IFERROR(IF('Paid Loss'!C18="","",'Paid Loss'!C18/'Sel Ults - Paid Loss'!D18),"")</f>
        <v/>
      </c>
      <c r="D18" s="22">
        <f>IFERROR(IF('Paid Loss'!D18="","",'Paid Loss'!D18/'Sel Ults - Paid Loss'!D18),"")</f>
        <v/>
      </c>
      <c r="E18" s="22">
        <f>IFERROR(IF('Paid Loss'!E18="","",'Paid Loss'!E18/'Sel Ults - Paid Loss'!D18),"")</f>
        <v/>
      </c>
      <c r="F18" s="22">
        <f>IFERROR(IF('Paid Loss'!F18="","",'Paid Loss'!F18/'Sel Ults - Paid Loss'!D18),"")</f>
        <v/>
      </c>
      <c r="G18" s="22">
        <f>IFERROR(IF('Paid Loss'!G18="","",'Paid Loss'!G18/'Sel Ults - Paid Loss'!D18),"")</f>
        <v/>
      </c>
      <c r="H18" s="22">
        <f>IFERROR(IF('Paid Loss'!H18="","",'Paid Loss'!H18/'Sel Ults - Paid Loss'!D18),"")</f>
        <v/>
      </c>
      <c r="I18" s="22">
        <f>IFERROR(IF('Paid Loss'!I18="","",'Paid Loss'!I18/'Sel Ults - Paid Loss'!D18),"")</f>
        <v/>
      </c>
      <c r="J18" s="22">
        <f>IFERROR(IF('Paid Loss'!J18="","",'Paid Loss'!J18/'Sel Ults - Paid Loss'!D18),"")</f>
        <v/>
      </c>
      <c r="K18" s="22">
        <f>IFERROR(IF('Paid Loss'!K18="","",'Paid Loss'!K18/'Sel Ults - Paid Loss'!D18),"")</f>
        <v/>
      </c>
      <c r="L18" s="22">
        <f>IFERROR(IF('Paid Loss'!L18="","",'Paid Loss'!L18/'Sel Ults - Paid Loss'!D18),"")</f>
        <v/>
      </c>
      <c r="M18" s="22">
        <f>IFERROR(IF('Paid Loss'!M18="","",'Paid Loss'!M18/'Sel Ults - Paid Loss'!D18),"")</f>
        <v/>
      </c>
      <c r="N18" s="22">
        <f>IFERROR(IF('Paid Loss'!N18="","",'Paid Loss'!N18/'Sel Ults - Paid Loss'!D18),"")</f>
        <v/>
      </c>
      <c r="O18" s="22">
        <f>IFERROR(IF('Paid Loss'!O18="","",'Paid Loss'!O18/'Sel Ults - Paid Loss'!D18),"")</f>
        <v/>
      </c>
      <c r="P18" s="22">
        <f>IFERROR(IF('Paid Loss'!P18="","",'Paid Loss'!P18/'Sel Ults - Paid Loss'!D18),"")</f>
        <v/>
      </c>
      <c r="Q18" s="22">
        <f>IFERROR(IF('Paid Loss'!Q18="","",'Paid Loss'!Q18/'Sel Ults - Paid Loss'!D18),"")</f>
        <v/>
      </c>
      <c r="R18" s="22">
        <f>IFERROR(IF('Paid Loss'!R18="","",'Paid Loss'!R18/'Sel Ults - Paid Loss'!D18),"")</f>
        <v/>
      </c>
      <c r="S18" s="22">
        <f>IFERROR(IF('Paid Loss'!S18="","",'Paid Loss'!S18/'Sel Ults - Paid Loss'!D18),"")</f>
        <v/>
      </c>
      <c r="T18" s="22">
        <f>IFERROR(IF('Paid Loss'!T18="","",'Paid Loss'!T18/'Sel Ults - Paid Loss'!D18),"")</f>
        <v/>
      </c>
      <c r="U18" s="22">
        <f>IFERROR(IF('Paid Loss'!U18="","",'Paid Loss'!U18/'Sel Ults - Paid Loss'!D18),"")</f>
        <v/>
      </c>
      <c r="V18" s="22">
        <f>IFERROR(IF('Paid Loss'!V18="","",'Paid Loss'!V18/'Sel Ults - Paid Loss'!D18),"")</f>
        <v/>
      </c>
      <c r="W18" s="22">
        <f>IFERROR(IF('Paid Loss'!W18="","",'Paid Loss'!W18/'Sel Ults - Paid Loss'!D18),"")</f>
        <v/>
      </c>
      <c r="X18" s="22">
        <f>IFERROR(IF('Paid Loss'!X18="","",'Paid Loss'!X18/'Sel Ults - Paid Loss'!D18),"")</f>
        <v/>
      </c>
      <c r="Y18" s="22">
        <f>IFERROR(IF('Paid Loss'!Y18="","",'Paid Loss'!Y18/'Sel Ults - Paid Loss'!D18),"")</f>
        <v/>
      </c>
    </row>
    <row r="19">
      <c r="A19">
        <f>'Paid Loss'!A19</f>
        <v/>
      </c>
      <c r="B19" s="22">
        <f>IFERROR(IF('Paid Loss'!B19="","",'Paid Loss'!B19/'Sel Ults - Paid Loss'!D19),"")</f>
        <v/>
      </c>
      <c r="C19" s="22">
        <f>IFERROR(IF('Paid Loss'!C19="","",'Paid Loss'!C19/'Sel Ults - Paid Loss'!D19),"")</f>
        <v/>
      </c>
      <c r="D19" s="22">
        <f>IFERROR(IF('Paid Loss'!D19="","",'Paid Loss'!D19/'Sel Ults - Paid Loss'!D19),"")</f>
        <v/>
      </c>
      <c r="E19" s="22">
        <f>IFERROR(IF('Paid Loss'!E19="","",'Paid Loss'!E19/'Sel Ults - Paid Loss'!D19),"")</f>
        <v/>
      </c>
      <c r="F19" s="22">
        <f>IFERROR(IF('Paid Loss'!F19="","",'Paid Loss'!F19/'Sel Ults - Paid Loss'!D19),"")</f>
        <v/>
      </c>
      <c r="G19" s="22">
        <f>IFERROR(IF('Paid Loss'!G19="","",'Paid Loss'!G19/'Sel Ults - Paid Loss'!D19),"")</f>
        <v/>
      </c>
      <c r="H19" s="22">
        <f>IFERROR(IF('Paid Loss'!H19="","",'Paid Loss'!H19/'Sel Ults - Paid Loss'!D19),"")</f>
        <v/>
      </c>
      <c r="I19" s="22">
        <f>IFERROR(IF('Paid Loss'!I19="","",'Paid Loss'!I19/'Sel Ults - Paid Loss'!D19),"")</f>
        <v/>
      </c>
      <c r="J19" s="22">
        <f>IFERROR(IF('Paid Loss'!J19="","",'Paid Loss'!J19/'Sel Ults - Paid Loss'!D19),"")</f>
        <v/>
      </c>
      <c r="K19" s="22">
        <f>IFERROR(IF('Paid Loss'!K19="","",'Paid Loss'!K19/'Sel Ults - Paid Loss'!D19),"")</f>
        <v/>
      </c>
      <c r="L19" s="22">
        <f>IFERROR(IF('Paid Loss'!L19="","",'Paid Loss'!L19/'Sel Ults - Paid Loss'!D19),"")</f>
        <v/>
      </c>
      <c r="M19" s="22">
        <f>IFERROR(IF('Paid Loss'!M19="","",'Paid Loss'!M19/'Sel Ults - Paid Loss'!D19),"")</f>
        <v/>
      </c>
      <c r="N19" s="22">
        <f>IFERROR(IF('Paid Loss'!N19="","",'Paid Loss'!N19/'Sel Ults - Paid Loss'!D19),"")</f>
        <v/>
      </c>
      <c r="O19" s="22">
        <f>IFERROR(IF('Paid Loss'!O19="","",'Paid Loss'!O19/'Sel Ults - Paid Loss'!D19),"")</f>
        <v/>
      </c>
      <c r="P19" s="22">
        <f>IFERROR(IF('Paid Loss'!P19="","",'Paid Loss'!P19/'Sel Ults - Paid Loss'!D19),"")</f>
        <v/>
      </c>
      <c r="Q19" s="22">
        <f>IFERROR(IF('Paid Loss'!Q19="","",'Paid Loss'!Q19/'Sel Ults - Paid Loss'!D19),"")</f>
        <v/>
      </c>
      <c r="R19" s="22">
        <f>IFERROR(IF('Paid Loss'!R19="","",'Paid Loss'!R19/'Sel Ults - Paid Loss'!D19),"")</f>
        <v/>
      </c>
      <c r="S19" s="22">
        <f>IFERROR(IF('Paid Loss'!S19="","",'Paid Loss'!S19/'Sel Ults - Paid Loss'!D19),"")</f>
        <v/>
      </c>
      <c r="T19" s="22">
        <f>IFERROR(IF('Paid Loss'!T19="","",'Paid Loss'!T19/'Sel Ults - Paid Loss'!D19),"")</f>
        <v/>
      </c>
      <c r="U19" s="22">
        <f>IFERROR(IF('Paid Loss'!U19="","",'Paid Loss'!U19/'Sel Ults - Paid Loss'!D19),"")</f>
        <v/>
      </c>
      <c r="V19" s="22">
        <f>IFERROR(IF('Paid Loss'!V19="","",'Paid Loss'!V19/'Sel Ults - Paid Loss'!D19),"")</f>
        <v/>
      </c>
      <c r="W19" s="22">
        <f>IFERROR(IF('Paid Loss'!W19="","",'Paid Loss'!W19/'Sel Ults - Paid Loss'!D19),"")</f>
        <v/>
      </c>
      <c r="X19" s="22">
        <f>IFERROR(IF('Paid Loss'!X19="","",'Paid Loss'!X19/'Sel Ults - Paid Loss'!D19),"")</f>
        <v/>
      </c>
      <c r="Y19" s="22">
        <f>IFERROR(IF('Paid Loss'!Y19="","",'Paid Loss'!Y19/'Sel Ults - Paid Loss'!D19),"")</f>
        <v/>
      </c>
    </row>
    <row r="20">
      <c r="A20">
        <f>'Paid Loss'!A20</f>
        <v/>
      </c>
      <c r="B20" s="22">
        <f>IFERROR(IF('Paid Loss'!B20="","",'Paid Loss'!B20/'Sel Ults - Paid Loss'!D20),"")</f>
        <v/>
      </c>
      <c r="C20" s="22">
        <f>IFERROR(IF('Paid Loss'!C20="","",'Paid Loss'!C20/'Sel Ults - Paid Loss'!D20),"")</f>
        <v/>
      </c>
      <c r="D20" s="22">
        <f>IFERROR(IF('Paid Loss'!D20="","",'Paid Loss'!D20/'Sel Ults - Paid Loss'!D20),"")</f>
        <v/>
      </c>
      <c r="E20" s="22">
        <f>IFERROR(IF('Paid Loss'!E20="","",'Paid Loss'!E20/'Sel Ults - Paid Loss'!D20),"")</f>
        <v/>
      </c>
      <c r="F20" s="22">
        <f>IFERROR(IF('Paid Loss'!F20="","",'Paid Loss'!F20/'Sel Ults - Paid Loss'!D20),"")</f>
        <v/>
      </c>
      <c r="G20" s="22">
        <f>IFERROR(IF('Paid Loss'!G20="","",'Paid Loss'!G20/'Sel Ults - Paid Loss'!D20),"")</f>
        <v/>
      </c>
      <c r="H20" s="22">
        <f>IFERROR(IF('Paid Loss'!H20="","",'Paid Loss'!H20/'Sel Ults - Paid Loss'!D20),"")</f>
        <v/>
      </c>
      <c r="I20" s="22">
        <f>IFERROR(IF('Paid Loss'!I20="","",'Paid Loss'!I20/'Sel Ults - Paid Loss'!D20),"")</f>
        <v/>
      </c>
      <c r="J20" s="22">
        <f>IFERROR(IF('Paid Loss'!J20="","",'Paid Loss'!J20/'Sel Ults - Paid Loss'!D20),"")</f>
        <v/>
      </c>
      <c r="K20" s="22">
        <f>IFERROR(IF('Paid Loss'!K20="","",'Paid Loss'!K20/'Sel Ults - Paid Loss'!D20),"")</f>
        <v/>
      </c>
      <c r="L20" s="22">
        <f>IFERROR(IF('Paid Loss'!L20="","",'Paid Loss'!L20/'Sel Ults - Paid Loss'!D20),"")</f>
        <v/>
      </c>
      <c r="M20" s="22">
        <f>IFERROR(IF('Paid Loss'!M20="","",'Paid Loss'!M20/'Sel Ults - Paid Loss'!D20),"")</f>
        <v/>
      </c>
      <c r="N20" s="22">
        <f>IFERROR(IF('Paid Loss'!N20="","",'Paid Loss'!N20/'Sel Ults - Paid Loss'!D20),"")</f>
        <v/>
      </c>
      <c r="O20" s="22">
        <f>IFERROR(IF('Paid Loss'!O20="","",'Paid Loss'!O20/'Sel Ults - Paid Loss'!D20),"")</f>
        <v/>
      </c>
      <c r="P20" s="22">
        <f>IFERROR(IF('Paid Loss'!P20="","",'Paid Loss'!P20/'Sel Ults - Paid Loss'!D20),"")</f>
        <v/>
      </c>
      <c r="Q20" s="22">
        <f>IFERROR(IF('Paid Loss'!Q20="","",'Paid Loss'!Q20/'Sel Ults - Paid Loss'!D20),"")</f>
        <v/>
      </c>
      <c r="R20" s="22">
        <f>IFERROR(IF('Paid Loss'!R20="","",'Paid Loss'!R20/'Sel Ults - Paid Loss'!D20),"")</f>
        <v/>
      </c>
      <c r="S20" s="22">
        <f>IFERROR(IF('Paid Loss'!S20="","",'Paid Loss'!S20/'Sel Ults - Paid Loss'!D20),"")</f>
        <v/>
      </c>
      <c r="T20" s="22">
        <f>IFERROR(IF('Paid Loss'!T20="","",'Paid Loss'!T20/'Sel Ults - Paid Loss'!D20),"")</f>
        <v/>
      </c>
      <c r="U20" s="22">
        <f>IFERROR(IF('Paid Loss'!U20="","",'Paid Loss'!U20/'Sel Ults - Paid Loss'!D20),"")</f>
        <v/>
      </c>
      <c r="V20" s="22">
        <f>IFERROR(IF('Paid Loss'!V20="","",'Paid Loss'!V20/'Sel Ults - Paid Loss'!D20),"")</f>
        <v/>
      </c>
      <c r="W20" s="22">
        <f>IFERROR(IF('Paid Loss'!W20="","",'Paid Loss'!W20/'Sel Ults - Paid Loss'!D20),"")</f>
        <v/>
      </c>
      <c r="X20" s="22">
        <f>IFERROR(IF('Paid Loss'!X20="","",'Paid Loss'!X20/'Sel Ults - Paid Loss'!D20),"")</f>
        <v/>
      </c>
      <c r="Y20" s="22">
        <f>IFERROR(IF('Paid Loss'!Y20="","",'Paid Loss'!Y20/'Sel Ults - Paid Loss'!D20),"")</f>
        <v/>
      </c>
    </row>
    <row r="21">
      <c r="A21">
        <f>'Paid Loss'!A21</f>
        <v/>
      </c>
      <c r="B21" s="22">
        <f>IFERROR(IF('Paid Loss'!B21="","",'Paid Loss'!B21/'Sel Ults - Paid Loss'!D21),"")</f>
        <v/>
      </c>
      <c r="C21" s="22">
        <f>IFERROR(IF('Paid Loss'!C21="","",'Paid Loss'!C21/'Sel Ults - Paid Loss'!D21),"")</f>
        <v/>
      </c>
      <c r="D21" s="22">
        <f>IFERROR(IF('Paid Loss'!D21="","",'Paid Loss'!D21/'Sel Ults - Paid Loss'!D21),"")</f>
        <v/>
      </c>
      <c r="E21" s="22">
        <f>IFERROR(IF('Paid Loss'!E21="","",'Paid Loss'!E21/'Sel Ults - Paid Loss'!D21),"")</f>
        <v/>
      </c>
      <c r="F21" s="22">
        <f>IFERROR(IF('Paid Loss'!F21="","",'Paid Loss'!F21/'Sel Ults - Paid Loss'!D21),"")</f>
        <v/>
      </c>
      <c r="G21" s="22">
        <f>IFERROR(IF('Paid Loss'!G21="","",'Paid Loss'!G21/'Sel Ults - Paid Loss'!D21),"")</f>
        <v/>
      </c>
      <c r="H21" s="22">
        <f>IFERROR(IF('Paid Loss'!H21="","",'Paid Loss'!H21/'Sel Ults - Paid Loss'!D21),"")</f>
        <v/>
      </c>
      <c r="I21" s="22">
        <f>IFERROR(IF('Paid Loss'!I21="","",'Paid Loss'!I21/'Sel Ults - Paid Loss'!D21),"")</f>
        <v/>
      </c>
      <c r="J21" s="22">
        <f>IFERROR(IF('Paid Loss'!J21="","",'Paid Loss'!J21/'Sel Ults - Paid Loss'!D21),"")</f>
        <v/>
      </c>
      <c r="K21" s="22">
        <f>IFERROR(IF('Paid Loss'!K21="","",'Paid Loss'!K21/'Sel Ults - Paid Loss'!D21),"")</f>
        <v/>
      </c>
      <c r="L21" s="22">
        <f>IFERROR(IF('Paid Loss'!L21="","",'Paid Loss'!L21/'Sel Ults - Paid Loss'!D21),"")</f>
        <v/>
      </c>
      <c r="M21" s="22">
        <f>IFERROR(IF('Paid Loss'!M21="","",'Paid Loss'!M21/'Sel Ults - Paid Loss'!D21),"")</f>
        <v/>
      </c>
      <c r="N21" s="22">
        <f>IFERROR(IF('Paid Loss'!N21="","",'Paid Loss'!N21/'Sel Ults - Paid Loss'!D21),"")</f>
        <v/>
      </c>
      <c r="O21" s="22">
        <f>IFERROR(IF('Paid Loss'!O21="","",'Paid Loss'!O21/'Sel Ults - Paid Loss'!D21),"")</f>
        <v/>
      </c>
      <c r="P21" s="22">
        <f>IFERROR(IF('Paid Loss'!P21="","",'Paid Loss'!P21/'Sel Ults - Paid Loss'!D21),"")</f>
        <v/>
      </c>
      <c r="Q21" s="22">
        <f>IFERROR(IF('Paid Loss'!Q21="","",'Paid Loss'!Q21/'Sel Ults - Paid Loss'!D21),"")</f>
        <v/>
      </c>
      <c r="R21" s="22">
        <f>IFERROR(IF('Paid Loss'!R21="","",'Paid Loss'!R21/'Sel Ults - Paid Loss'!D21),"")</f>
        <v/>
      </c>
      <c r="S21" s="22">
        <f>IFERROR(IF('Paid Loss'!S21="","",'Paid Loss'!S21/'Sel Ults - Paid Loss'!D21),"")</f>
        <v/>
      </c>
      <c r="T21" s="22">
        <f>IFERROR(IF('Paid Loss'!T21="","",'Paid Loss'!T21/'Sel Ults - Paid Loss'!D21),"")</f>
        <v/>
      </c>
      <c r="U21" s="22">
        <f>IFERROR(IF('Paid Loss'!U21="","",'Paid Loss'!U21/'Sel Ults - Paid Loss'!D21),"")</f>
        <v/>
      </c>
      <c r="V21" s="22">
        <f>IFERROR(IF('Paid Loss'!V21="","",'Paid Loss'!V21/'Sel Ults - Paid Loss'!D21),"")</f>
        <v/>
      </c>
      <c r="W21" s="22">
        <f>IFERROR(IF('Paid Loss'!W21="","",'Paid Loss'!W21/'Sel Ults - Paid Loss'!D21),"")</f>
        <v/>
      </c>
      <c r="X21" s="22">
        <f>IFERROR(IF('Paid Loss'!X21="","",'Paid Loss'!X21/'Sel Ults - Paid Loss'!D21),"")</f>
        <v/>
      </c>
      <c r="Y21" s="22">
        <f>IFERROR(IF('Paid Loss'!Y21="","",'Paid Loss'!Y21/'Sel Ults - Paid Loss'!D21),"")</f>
        <v/>
      </c>
    </row>
    <row r="22">
      <c r="A22">
        <f>'Paid Loss'!A22</f>
        <v/>
      </c>
      <c r="B22" s="22">
        <f>IFERROR(IF('Paid Loss'!B22="","",'Paid Loss'!B22/'Sel Ults - Paid Loss'!D22),"")</f>
        <v/>
      </c>
      <c r="C22" s="22">
        <f>IFERROR(IF('Paid Loss'!C22="","",'Paid Loss'!C22/'Sel Ults - Paid Loss'!D22),"")</f>
        <v/>
      </c>
      <c r="D22" s="22">
        <f>IFERROR(IF('Paid Loss'!D22="","",'Paid Loss'!D22/'Sel Ults - Paid Loss'!D22),"")</f>
        <v/>
      </c>
      <c r="E22" s="22">
        <f>IFERROR(IF('Paid Loss'!E22="","",'Paid Loss'!E22/'Sel Ults - Paid Loss'!D22),"")</f>
        <v/>
      </c>
      <c r="F22" s="22">
        <f>IFERROR(IF('Paid Loss'!F22="","",'Paid Loss'!F22/'Sel Ults - Paid Loss'!D22),"")</f>
        <v/>
      </c>
      <c r="G22" s="22">
        <f>IFERROR(IF('Paid Loss'!G22="","",'Paid Loss'!G22/'Sel Ults - Paid Loss'!D22),"")</f>
        <v/>
      </c>
      <c r="H22" s="22">
        <f>IFERROR(IF('Paid Loss'!H22="","",'Paid Loss'!H22/'Sel Ults - Paid Loss'!D22),"")</f>
        <v/>
      </c>
      <c r="I22" s="22">
        <f>IFERROR(IF('Paid Loss'!I22="","",'Paid Loss'!I22/'Sel Ults - Paid Loss'!D22),"")</f>
        <v/>
      </c>
      <c r="J22" s="22">
        <f>IFERROR(IF('Paid Loss'!J22="","",'Paid Loss'!J22/'Sel Ults - Paid Loss'!D22),"")</f>
        <v/>
      </c>
      <c r="K22" s="22">
        <f>IFERROR(IF('Paid Loss'!K22="","",'Paid Loss'!K22/'Sel Ults - Paid Loss'!D22),"")</f>
        <v/>
      </c>
      <c r="L22" s="22">
        <f>IFERROR(IF('Paid Loss'!L22="","",'Paid Loss'!L22/'Sel Ults - Paid Loss'!D22),"")</f>
        <v/>
      </c>
      <c r="M22" s="22">
        <f>IFERROR(IF('Paid Loss'!M22="","",'Paid Loss'!M22/'Sel Ults - Paid Loss'!D22),"")</f>
        <v/>
      </c>
      <c r="N22" s="22">
        <f>IFERROR(IF('Paid Loss'!N22="","",'Paid Loss'!N22/'Sel Ults - Paid Loss'!D22),"")</f>
        <v/>
      </c>
      <c r="O22" s="22">
        <f>IFERROR(IF('Paid Loss'!O22="","",'Paid Loss'!O22/'Sel Ults - Paid Loss'!D22),"")</f>
        <v/>
      </c>
      <c r="P22" s="22">
        <f>IFERROR(IF('Paid Loss'!P22="","",'Paid Loss'!P22/'Sel Ults - Paid Loss'!D22),"")</f>
        <v/>
      </c>
      <c r="Q22" s="22">
        <f>IFERROR(IF('Paid Loss'!Q22="","",'Paid Loss'!Q22/'Sel Ults - Paid Loss'!D22),"")</f>
        <v/>
      </c>
      <c r="R22" s="22">
        <f>IFERROR(IF('Paid Loss'!R22="","",'Paid Loss'!R22/'Sel Ults - Paid Loss'!D22),"")</f>
        <v/>
      </c>
      <c r="S22" s="22">
        <f>IFERROR(IF('Paid Loss'!S22="","",'Paid Loss'!S22/'Sel Ults - Paid Loss'!D22),"")</f>
        <v/>
      </c>
      <c r="T22" s="22">
        <f>IFERROR(IF('Paid Loss'!T22="","",'Paid Loss'!T22/'Sel Ults - Paid Loss'!D22),"")</f>
        <v/>
      </c>
      <c r="U22" s="22">
        <f>IFERROR(IF('Paid Loss'!U22="","",'Paid Loss'!U22/'Sel Ults - Paid Loss'!D22),"")</f>
        <v/>
      </c>
      <c r="V22" s="22">
        <f>IFERROR(IF('Paid Loss'!V22="","",'Paid Loss'!V22/'Sel Ults - Paid Loss'!D22),"")</f>
        <v/>
      </c>
      <c r="W22" s="22">
        <f>IFERROR(IF('Paid Loss'!W22="","",'Paid Loss'!W22/'Sel Ults - Paid Loss'!D22),"")</f>
        <v/>
      </c>
      <c r="X22" s="22">
        <f>IFERROR(IF('Paid Loss'!X22="","",'Paid Loss'!X22/'Sel Ults - Paid Loss'!D22),"")</f>
        <v/>
      </c>
      <c r="Y22" s="22">
        <f>IFERROR(IF('Paid Loss'!Y22="","",'Paid Loss'!Y22/'Sel Ults - Paid Loss'!D22),"")</f>
        <v/>
      </c>
    </row>
    <row r="23">
      <c r="A23">
        <f>'Paid Loss'!A23</f>
        <v/>
      </c>
      <c r="B23" s="22">
        <f>IFERROR(IF('Paid Loss'!B23="","",'Paid Loss'!B23/'Sel Ults - Paid Loss'!D23),"")</f>
        <v/>
      </c>
      <c r="C23" s="22">
        <f>IFERROR(IF('Paid Loss'!C23="","",'Paid Loss'!C23/'Sel Ults - Paid Loss'!D23),"")</f>
        <v/>
      </c>
      <c r="D23" s="22">
        <f>IFERROR(IF('Paid Loss'!D23="","",'Paid Loss'!D23/'Sel Ults - Paid Loss'!D23),"")</f>
        <v/>
      </c>
      <c r="E23" s="22">
        <f>IFERROR(IF('Paid Loss'!E23="","",'Paid Loss'!E23/'Sel Ults - Paid Loss'!D23),"")</f>
        <v/>
      </c>
      <c r="F23" s="22">
        <f>IFERROR(IF('Paid Loss'!F23="","",'Paid Loss'!F23/'Sel Ults - Paid Loss'!D23),"")</f>
        <v/>
      </c>
      <c r="G23" s="22">
        <f>IFERROR(IF('Paid Loss'!G23="","",'Paid Loss'!G23/'Sel Ults - Paid Loss'!D23),"")</f>
        <v/>
      </c>
      <c r="H23" s="22">
        <f>IFERROR(IF('Paid Loss'!H23="","",'Paid Loss'!H23/'Sel Ults - Paid Loss'!D23),"")</f>
        <v/>
      </c>
      <c r="I23" s="22">
        <f>IFERROR(IF('Paid Loss'!I23="","",'Paid Loss'!I23/'Sel Ults - Paid Loss'!D23),"")</f>
        <v/>
      </c>
      <c r="J23" s="22">
        <f>IFERROR(IF('Paid Loss'!J23="","",'Paid Loss'!J23/'Sel Ults - Paid Loss'!D23),"")</f>
        <v/>
      </c>
      <c r="K23" s="22">
        <f>IFERROR(IF('Paid Loss'!K23="","",'Paid Loss'!K23/'Sel Ults - Paid Loss'!D23),"")</f>
        <v/>
      </c>
      <c r="L23" s="22">
        <f>IFERROR(IF('Paid Loss'!L23="","",'Paid Loss'!L23/'Sel Ults - Paid Loss'!D23),"")</f>
        <v/>
      </c>
      <c r="M23" s="22">
        <f>IFERROR(IF('Paid Loss'!M23="","",'Paid Loss'!M23/'Sel Ults - Paid Loss'!D23),"")</f>
        <v/>
      </c>
      <c r="N23" s="22">
        <f>IFERROR(IF('Paid Loss'!N23="","",'Paid Loss'!N23/'Sel Ults - Paid Loss'!D23),"")</f>
        <v/>
      </c>
      <c r="O23" s="22">
        <f>IFERROR(IF('Paid Loss'!O23="","",'Paid Loss'!O23/'Sel Ults - Paid Loss'!D23),"")</f>
        <v/>
      </c>
      <c r="P23" s="22">
        <f>IFERROR(IF('Paid Loss'!P23="","",'Paid Loss'!P23/'Sel Ults - Paid Loss'!D23),"")</f>
        <v/>
      </c>
      <c r="Q23" s="22">
        <f>IFERROR(IF('Paid Loss'!Q23="","",'Paid Loss'!Q23/'Sel Ults - Paid Loss'!D23),"")</f>
        <v/>
      </c>
      <c r="R23" s="22">
        <f>IFERROR(IF('Paid Loss'!R23="","",'Paid Loss'!R23/'Sel Ults - Paid Loss'!D23),"")</f>
        <v/>
      </c>
      <c r="S23" s="22">
        <f>IFERROR(IF('Paid Loss'!S23="","",'Paid Loss'!S23/'Sel Ults - Paid Loss'!D23),"")</f>
        <v/>
      </c>
      <c r="T23" s="22">
        <f>IFERROR(IF('Paid Loss'!T23="","",'Paid Loss'!T23/'Sel Ults - Paid Loss'!D23),"")</f>
        <v/>
      </c>
      <c r="U23" s="22">
        <f>IFERROR(IF('Paid Loss'!U23="","",'Paid Loss'!U23/'Sel Ults - Paid Loss'!D23),"")</f>
        <v/>
      </c>
      <c r="V23" s="22">
        <f>IFERROR(IF('Paid Loss'!V23="","",'Paid Loss'!V23/'Sel Ults - Paid Loss'!D23),"")</f>
        <v/>
      </c>
      <c r="W23" s="22">
        <f>IFERROR(IF('Paid Loss'!W23="","",'Paid Loss'!W23/'Sel Ults - Paid Loss'!D23),"")</f>
        <v/>
      </c>
      <c r="X23" s="22">
        <f>IFERROR(IF('Paid Loss'!X23="","",'Paid Loss'!X23/'Sel Ults - Paid Loss'!D23),"")</f>
        <v/>
      </c>
      <c r="Y23" s="22">
        <f>IFERROR(IF('Paid Loss'!Y23="","",'Paid Loss'!Y23/'Sel Ults - Paid Loss'!D23),"")</f>
        <v/>
      </c>
    </row>
    <row r="24">
      <c r="A24">
        <f>'Paid Loss'!A24</f>
        <v/>
      </c>
      <c r="B24" s="22">
        <f>IFERROR(IF('Paid Loss'!B24="","",'Paid Loss'!B24/'Sel Ults - Paid Loss'!D24),"")</f>
        <v/>
      </c>
      <c r="C24" s="22">
        <f>IFERROR(IF('Paid Loss'!C24="","",'Paid Loss'!C24/'Sel Ults - Paid Loss'!D24),"")</f>
        <v/>
      </c>
      <c r="D24" s="22">
        <f>IFERROR(IF('Paid Loss'!D24="","",'Paid Loss'!D24/'Sel Ults - Paid Loss'!D24),"")</f>
        <v/>
      </c>
      <c r="E24" s="22">
        <f>IFERROR(IF('Paid Loss'!E24="","",'Paid Loss'!E24/'Sel Ults - Paid Loss'!D24),"")</f>
        <v/>
      </c>
      <c r="F24" s="22">
        <f>IFERROR(IF('Paid Loss'!F24="","",'Paid Loss'!F24/'Sel Ults - Paid Loss'!D24),"")</f>
        <v/>
      </c>
      <c r="G24" s="22">
        <f>IFERROR(IF('Paid Loss'!G24="","",'Paid Loss'!G24/'Sel Ults - Paid Loss'!D24),"")</f>
        <v/>
      </c>
      <c r="H24" s="22">
        <f>IFERROR(IF('Paid Loss'!H24="","",'Paid Loss'!H24/'Sel Ults - Paid Loss'!D24),"")</f>
        <v/>
      </c>
      <c r="I24" s="22">
        <f>IFERROR(IF('Paid Loss'!I24="","",'Paid Loss'!I24/'Sel Ults - Paid Loss'!D24),"")</f>
        <v/>
      </c>
      <c r="J24" s="22">
        <f>IFERROR(IF('Paid Loss'!J24="","",'Paid Loss'!J24/'Sel Ults - Paid Loss'!D24),"")</f>
        <v/>
      </c>
      <c r="K24" s="22">
        <f>IFERROR(IF('Paid Loss'!K24="","",'Paid Loss'!K24/'Sel Ults - Paid Loss'!D24),"")</f>
        <v/>
      </c>
      <c r="L24" s="22">
        <f>IFERROR(IF('Paid Loss'!L24="","",'Paid Loss'!L24/'Sel Ults - Paid Loss'!D24),"")</f>
        <v/>
      </c>
      <c r="M24" s="22">
        <f>IFERROR(IF('Paid Loss'!M24="","",'Paid Loss'!M24/'Sel Ults - Paid Loss'!D24),"")</f>
        <v/>
      </c>
      <c r="N24" s="22">
        <f>IFERROR(IF('Paid Loss'!N24="","",'Paid Loss'!N24/'Sel Ults - Paid Loss'!D24),"")</f>
        <v/>
      </c>
      <c r="O24" s="22">
        <f>IFERROR(IF('Paid Loss'!O24="","",'Paid Loss'!O24/'Sel Ults - Paid Loss'!D24),"")</f>
        <v/>
      </c>
      <c r="P24" s="22">
        <f>IFERROR(IF('Paid Loss'!P24="","",'Paid Loss'!P24/'Sel Ults - Paid Loss'!D24),"")</f>
        <v/>
      </c>
      <c r="Q24" s="22">
        <f>IFERROR(IF('Paid Loss'!Q24="","",'Paid Loss'!Q24/'Sel Ults - Paid Loss'!D24),"")</f>
        <v/>
      </c>
      <c r="R24" s="22">
        <f>IFERROR(IF('Paid Loss'!R24="","",'Paid Loss'!R24/'Sel Ults - Paid Loss'!D24),"")</f>
        <v/>
      </c>
      <c r="S24" s="22">
        <f>IFERROR(IF('Paid Loss'!S24="","",'Paid Loss'!S24/'Sel Ults - Paid Loss'!D24),"")</f>
        <v/>
      </c>
      <c r="T24" s="22">
        <f>IFERROR(IF('Paid Loss'!T24="","",'Paid Loss'!T24/'Sel Ults - Paid Loss'!D24),"")</f>
        <v/>
      </c>
      <c r="U24" s="22">
        <f>IFERROR(IF('Paid Loss'!U24="","",'Paid Loss'!U24/'Sel Ults - Paid Loss'!D24),"")</f>
        <v/>
      </c>
      <c r="V24" s="22">
        <f>IFERROR(IF('Paid Loss'!V24="","",'Paid Loss'!V24/'Sel Ults - Paid Loss'!D24),"")</f>
        <v/>
      </c>
      <c r="W24" s="22">
        <f>IFERROR(IF('Paid Loss'!W24="","",'Paid Loss'!W24/'Sel Ults - Paid Loss'!D24),"")</f>
        <v/>
      </c>
      <c r="X24" s="22">
        <f>IFERROR(IF('Paid Loss'!X24="","",'Paid Loss'!X24/'Sel Ults - Paid Loss'!D24),"")</f>
        <v/>
      </c>
      <c r="Y24" s="22">
        <f>IFERROR(IF('Paid Loss'!Y24="","",'Paid Loss'!Y24/'Sel Ults - Paid Loss'!D24),"")</f>
        <v/>
      </c>
    </row>
    <row r="25">
      <c r="A25">
        <f>'Paid Loss'!A25</f>
        <v/>
      </c>
      <c r="B25" s="22">
        <f>IFERROR(IF('Paid Loss'!B25="","",'Paid Loss'!B25/'Sel Ults - Paid Loss'!D25),"")</f>
        <v/>
      </c>
      <c r="C25" s="22">
        <f>IFERROR(IF('Paid Loss'!C25="","",'Paid Loss'!C25/'Sel Ults - Paid Loss'!D25),"")</f>
        <v/>
      </c>
      <c r="D25" s="22">
        <f>IFERROR(IF('Paid Loss'!D25="","",'Paid Loss'!D25/'Sel Ults - Paid Loss'!D25),"")</f>
        <v/>
      </c>
      <c r="E25" s="22">
        <f>IFERROR(IF('Paid Loss'!E25="","",'Paid Loss'!E25/'Sel Ults - Paid Loss'!D25),"")</f>
        <v/>
      </c>
      <c r="F25" s="22">
        <f>IFERROR(IF('Paid Loss'!F25="","",'Paid Loss'!F25/'Sel Ults - Paid Loss'!D25),"")</f>
        <v/>
      </c>
      <c r="G25" s="22">
        <f>IFERROR(IF('Paid Loss'!G25="","",'Paid Loss'!G25/'Sel Ults - Paid Loss'!D25),"")</f>
        <v/>
      </c>
      <c r="H25" s="22">
        <f>IFERROR(IF('Paid Loss'!H25="","",'Paid Loss'!H25/'Sel Ults - Paid Loss'!D25),"")</f>
        <v/>
      </c>
      <c r="I25" s="22">
        <f>IFERROR(IF('Paid Loss'!I25="","",'Paid Loss'!I25/'Sel Ults - Paid Loss'!D25),"")</f>
        <v/>
      </c>
      <c r="J25" s="22">
        <f>IFERROR(IF('Paid Loss'!J25="","",'Paid Loss'!J25/'Sel Ults - Paid Loss'!D25),"")</f>
        <v/>
      </c>
      <c r="K25" s="22">
        <f>IFERROR(IF('Paid Loss'!K25="","",'Paid Loss'!K25/'Sel Ults - Paid Loss'!D25),"")</f>
        <v/>
      </c>
      <c r="L25" s="22">
        <f>IFERROR(IF('Paid Loss'!L25="","",'Paid Loss'!L25/'Sel Ults - Paid Loss'!D25),"")</f>
        <v/>
      </c>
      <c r="M25" s="22">
        <f>IFERROR(IF('Paid Loss'!M25="","",'Paid Loss'!M25/'Sel Ults - Paid Loss'!D25),"")</f>
        <v/>
      </c>
      <c r="N25" s="22">
        <f>IFERROR(IF('Paid Loss'!N25="","",'Paid Loss'!N25/'Sel Ults - Paid Loss'!D25),"")</f>
        <v/>
      </c>
      <c r="O25" s="22">
        <f>IFERROR(IF('Paid Loss'!O25="","",'Paid Loss'!O25/'Sel Ults - Paid Loss'!D25),"")</f>
        <v/>
      </c>
      <c r="P25" s="22">
        <f>IFERROR(IF('Paid Loss'!P25="","",'Paid Loss'!P25/'Sel Ults - Paid Loss'!D25),"")</f>
        <v/>
      </c>
      <c r="Q25" s="22">
        <f>IFERROR(IF('Paid Loss'!Q25="","",'Paid Loss'!Q25/'Sel Ults - Paid Loss'!D25),"")</f>
        <v/>
      </c>
      <c r="R25" s="22">
        <f>IFERROR(IF('Paid Loss'!R25="","",'Paid Loss'!R25/'Sel Ults - Paid Loss'!D25),"")</f>
        <v/>
      </c>
      <c r="S25" s="22">
        <f>IFERROR(IF('Paid Loss'!S25="","",'Paid Loss'!S25/'Sel Ults - Paid Loss'!D25),"")</f>
        <v/>
      </c>
      <c r="T25" s="22">
        <f>IFERROR(IF('Paid Loss'!T25="","",'Paid Loss'!T25/'Sel Ults - Paid Loss'!D25),"")</f>
        <v/>
      </c>
      <c r="U25" s="22">
        <f>IFERROR(IF('Paid Loss'!U25="","",'Paid Loss'!U25/'Sel Ults - Paid Loss'!D25),"")</f>
        <v/>
      </c>
      <c r="V25" s="22">
        <f>IFERROR(IF('Paid Loss'!V25="","",'Paid Loss'!V25/'Sel Ults - Paid Loss'!D25),"")</f>
        <v/>
      </c>
      <c r="W25" s="22">
        <f>IFERROR(IF('Paid Loss'!W25="","",'Paid Loss'!W25/'Sel Ults - Paid Loss'!D25),"")</f>
        <v/>
      </c>
      <c r="X25" s="22">
        <f>IFERROR(IF('Paid Loss'!X25="","",'Paid Loss'!X25/'Sel Ults - Paid Loss'!D25),"")</f>
        <v/>
      </c>
      <c r="Y25" s="22">
        <f>IFERROR(IF('Paid Loss'!Y25="","",'Paid Loss'!Y25/'Sel Ults - Paid Loss'!D25),"")</f>
        <v/>
      </c>
    </row>
    <row r="26">
      <c r="A26">
        <f>'Paid Loss'!A26</f>
        <v/>
      </c>
      <c r="B26" s="22">
        <f>IFERROR(IF('Paid Loss'!B26="","",'Paid Loss'!B26/'Sel Ults - Paid Loss'!D26),"")</f>
        <v/>
      </c>
      <c r="C26" s="22">
        <f>IFERROR(IF('Paid Loss'!C26="","",'Paid Loss'!C26/'Sel Ults - Paid Loss'!D26),"")</f>
        <v/>
      </c>
      <c r="D26" s="22">
        <f>IFERROR(IF('Paid Loss'!D26="","",'Paid Loss'!D26/'Sel Ults - Paid Loss'!D26),"")</f>
        <v/>
      </c>
      <c r="E26" s="22">
        <f>IFERROR(IF('Paid Loss'!E26="","",'Paid Loss'!E26/'Sel Ults - Paid Loss'!D26),"")</f>
        <v/>
      </c>
      <c r="F26" s="22">
        <f>IFERROR(IF('Paid Loss'!F26="","",'Paid Loss'!F26/'Sel Ults - Paid Loss'!D26),"")</f>
        <v/>
      </c>
      <c r="G26" s="22">
        <f>IFERROR(IF('Paid Loss'!G26="","",'Paid Loss'!G26/'Sel Ults - Paid Loss'!D26),"")</f>
        <v/>
      </c>
      <c r="H26" s="22">
        <f>IFERROR(IF('Paid Loss'!H26="","",'Paid Loss'!H26/'Sel Ults - Paid Loss'!D26),"")</f>
        <v/>
      </c>
      <c r="I26" s="22">
        <f>IFERROR(IF('Paid Loss'!I26="","",'Paid Loss'!I26/'Sel Ults - Paid Loss'!D26),"")</f>
        <v/>
      </c>
      <c r="J26" s="22">
        <f>IFERROR(IF('Paid Loss'!J26="","",'Paid Loss'!J26/'Sel Ults - Paid Loss'!D26),"")</f>
        <v/>
      </c>
      <c r="K26" s="22">
        <f>IFERROR(IF('Paid Loss'!K26="","",'Paid Loss'!K26/'Sel Ults - Paid Loss'!D26),"")</f>
        <v/>
      </c>
      <c r="L26" s="22">
        <f>IFERROR(IF('Paid Loss'!L26="","",'Paid Loss'!L26/'Sel Ults - Paid Loss'!D26),"")</f>
        <v/>
      </c>
      <c r="M26" s="22">
        <f>IFERROR(IF('Paid Loss'!M26="","",'Paid Loss'!M26/'Sel Ults - Paid Loss'!D26),"")</f>
        <v/>
      </c>
      <c r="N26" s="22">
        <f>IFERROR(IF('Paid Loss'!N26="","",'Paid Loss'!N26/'Sel Ults - Paid Loss'!D26),"")</f>
        <v/>
      </c>
      <c r="O26" s="22">
        <f>IFERROR(IF('Paid Loss'!O26="","",'Paid Loss'!O26/'Sel Ults - Paid Loss'!D26),"")</f>
        <v/>
      </c>
      <c r="P26" s="22">
        <f>IFERROR(IF('Paid Loss'!P26="","",'Paid Loss'!P26/'Sel Ults - Paid Loss'!D26),"")</f>
        <v/>
      </c>
      <c r="Q26" s="22">
        <f>IFERROR(IF('Paid Loss'!Q26="","",'Paid Loss'!Q26/'Sel Ults - Paid Loss'!D26),"")</f>
        <v/>
      </c>
      <c r="R26" s="22">
        <f>IFERROR(IF('Paid Loss'!R26="","",'Paid Loss'!R26/'Sel Ults - Paid Loss'!D26),"")</f>
        <v/>
      </c>
      <c r="S26" s="22">
        <f>IFERROR(IF('Paid Loss'!S26="","",'Paid Loss'!S26/'Sel Ults - Paid Loss'!D26),"")</f>
        <v/>
      </c>
      <c r="T26" s="22">
        <f>IFERROR(IF('Paid Loss'!T26="","",'Paid Loss'!T26/'Sel Ults - Paid Loss'!D26),"")</f>
        <v/>
      </c>
      <c r="U26" s="22">
        <f>IFERROR(IF('Paid Loss'!U26="","",'Paid Loss'!U26/'Sel Ults - Paid Loss'!D26),"")</f>
        <v/>
      </c>
      <c r="V26" s="22">
        <f>IFERROR(IF('Paid Loss'!V26="","",'Paid Loss'!V26/'Sel Ults - Paid Loss'!D26),"")</f>
        <v/>
      </c>
      <c r="W26" s="22">
        <f>IFERROR(IF('Paid Loss'!W26="","",'Paid Loss'!W26/'Sel Ults - Paid Loss'!D26),"")</f>
        <v/>
      </c>
      <c r="X26" s="22">
        <f>IFERROR(IF('Paid Loss'!X26="","",'Paid Loss'!X26/'Sel Ults - Paid Loss'!D26),"")</f>
        <v/>
      </c>
      <c r="Y26" s="22">
        <f>IFERROR(IF('Paid Loss'!Y26="","",'Paid Loss'!Y26/'Sel Ults - Paid Loss'!D26),"")</f>
        <v/>
      </c>
    </row>
  </sheetData>
  <mergeCells count="1">
    <mergeCell ref="A1:Y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25" t="inlineStr">
        <is>
          <t>Average IBNR (Incurred Ult - Incurred)</t>
        </is>
      </c>
    </row>
    <row r="2">
      <c r="A2" s="20" t="inlineStr">
        <is>
          <t>Period</t>
        </is>
      </c>
      <c r="B2" s="26">
        <f>'Incurred Loss'!B$2</f>
        <v/>
      </c>
      <c r="C2" s="26">
        <f>'Incurred Loss'!C$2</f>
        <v/>
      </c>
      <c r="D2" s="26">
        <f>'Incurred Loss'!D$2</f>
        <v/>
      </c>
      <c r="E2" s="26">
        <f>'Incurred Loss'!E$2</f>
        <v/>
      </c>
      <c r="F2" s="26">
        <f>'Incurred Loss'!F$2</f>
        <v/>
      </c>
      <c r="G2" s="26">
        <f>'Incurred Loss'!G$2</f>
        <v/>
      </c>
      <c r="H2" s="26">
        <f>'Incurred Loss'!H$2</f>
        <v/>
      </c>
      <c r="I2" s="26">
        <f>'Incurred Loss'!I$2</f>
        <v/>
      </c>
      <c r="J2" s="26">
        <f>'Incurred Loss'!J$2</f>
        <v/>
      </c>
      <c r="K2" s="26">
        <f>'Incurred Loss'!K$2</f>
        <v/>
      </c>
      <c r="L2" s="26">
        <f>'Incurred Loss'!L$2</f>
        <v/>
      </c>
      <c r="M2" s="26">
        <f>'Incurred Loss'!M$2</f>
        <v/>
      </c>
      <c r="N2" s="26">
        <f>'Incurred Loss'!N$2</f>
        <v/>
      </c>
      <c r="O2" s="26">
        <f>'Incurred Loss'!O$2</f>
        <v/>
      </c>
      <c r="P2" s="26">
        <f>'Incurred Loss'!P$2</f>
        <v/>
      </c>
      <c r="Q2" s="26">
        <f>'Incurred Loss'!Q$2</f>
        <v/>
      </c>
      <c r="R2" s="26">
        <f>'Incurred Loss'!R$2</f>
        <v/>
      </c>
      <c r="S2" s="26">
        <f>'Incurred Loss'!S$2</f>
        <v/>
      </c>
      <c r="T2" s="26">
        <f>'Incurred Loss'!T$2</f>
        <v/>
      </c>
      <c r="U2" s="26">
        <f>'Incurred Loss'!U$2</f>
        <v/>
      </c>
      <c r="V2" s="26">
        <f>'Incurred Loss'!V$2</f>
        <v/>
      </c>
      <c r="W2" s="26">
        <f>'Incurred Loss'!W$2</f>
        <v/>
      </c>
      <c r="X2" s="26">
        <f>'Incurred Loss'!X$2</f>
        <v/>
      </c>
      <c r="Y2" s="26">
        <f>'Incurred Loss'!Y$2</f>
        <v/>
      </c>
    </row>
    <row r="3">
      <c r="A3">
        <f>'Incurred Loss'!A3</f>
        <v/>
      </c>
      <c r="B3" s="24">
        <f>IFERROR(IF('Incurred Loss'!B3="","",'Sel Ults - Incurred Loss'!D3-'Incurred Loss'!B3),"")</f>
        <v/>
      </c>
      <c r="C3" s="24">
        <f>IFERROR(IF('Incurred Loss'!C3="","",'Sel Ults - Incurred Loss'!D3-'Incurred Loss'!C3),"")</f>
        <v/>
      </c>
      <c r="D3" s="24">
        <f>IFERROR(IF('Incurred Loss'!D3="","",'Sel Ults - Incurred Loss'!D3-'Incurred Loss'!D3),"")</f>
        <v/>
      </c>
      <c r="E3" s="24">
        <f>IFERROR(IF('Incurred Loss'!E3="","",'Sel Ults - Incurred Loss'!D3-'Incurred Loss'!E3),"")</f>
        <v/>
      </c>
      <c r="F3" s="24">
        <f>IFERROR(IF('Incurred Loss'!F3="","",'Sel Ults - Incurred Loss'!D3-'Incurred Loss'!F3),"")</f>
        <v/>
      </c>
      <c r="G3" s="24">
        <f>IFERROR(IF('Incurred Loss'!G3="","",'Sel Ults - Incurred Loss'!D3-'Incurred Loss'!G3),"")</f>
        <v/>
      </c>
      <c r="H3" s="24">
        <f>IFERROR(IF('Incurred Loss'!H3="","",'Sel Ults - Incurred Loss'!D3-'Incurred Loss'!H3),"")</f>
        <v/>
      </c>
      <c r="I3" s="24">
        <f>IFERROR(IF('Incurred Loss'!I3="","",'Sel Ults - Incurred Loss'!D3-'Incurred Loss'!I3),"")</f>
        <v/>
      </c>
      <c r="J3" s="24">
        <f>IFERROR(IF('Incurred Loss'!J3="","",'Sel Ults - Incurred Loss'!D3-'Incurred Loss'!J3),"")</f>
        <v/>
      </c>
      <c r="K3" s="24">
        <f>IFERROR(IF('Incurred Loss'!K3="","",'Sel Ults - Incurred Loss'!D3-'Incurred Loss'!K3),"")</f>
        <v/>
      </c>
      <c r="L3" s="24">
        <f>IFERROR(IF('Incurred Loss'!L3="","",'Sel Ults - Incurred Loss'!D3-'Incurred Loss'!L3),"")</f>
        <v/>
      </c>
      <c r="M3" s="24">
        <f>IFERROR(IF('Incurred Loss'!M3="","",'Sel Ults - Incurred Loss'!D3-'Incurred Loss'!M3),"")</f>
        <v/>
      </c>
      <c r="N3" s="24">
        <f>IFERROR(IF('Incurred Loss'!N3="","",'Sel Ults - Incurred Loss'!D3-'Incurred Loss'!N3),"")</f>
        <v/>
      </c>
      <c r="O3" s="24">
        <f>IFERROR(IF('Incurred Loss'!O3="","",'Sel Ults - Incurred Loss'!D3-'Incurred Loss'!O3),"")</f>
        <v/>
      </c>
      <c r="P3" s="24">
        <f>IFERROR(IF('Incurred Loss'!P3="","",'Sel Ults - Incurred Loss'!D3-'Incurred Loss'!P3),"")</f>
        <v/>
      </c>
      <c r="Q3" s="24">
        <f>IFERROR(IF('Incurred Loss'!Q3="","",'Sel Ults - Incurred Loss'!D3-'Incurred Loss'!Q3),"")</f>
        <v/>
      </c>
      <c r="R3" s="24">
        <f>IFERROR(IF('Incurred Loss'!R3="","",'Sel Ults - Incurred Loss'!D3-'Incurred Loss'!R3),"")</f>
        <v/>
      </c>
      <c r="S3" s="24">
        <f>IFERROR(IF('Incurred Loss'!S3="","",'Sel Ults - Incurred Loss'!D3-'Incurred Loss'!S3),"")</f>
        <v/>
      </c>
      <c r="T3" s="24">
        <f>IFERROR(IF('Incurred Loss'!T3="","",'Sel Ults - Incurred Loss'!D3-'Incurred Loss'!T3),"")</f>
        <v/>
      </c>
      <c r="U3" s="24">
        <f>IFERROR(IF('Incurred Loss'!U3="","",'Sel Ults - Incurred Loss'!D3-'Incurred Loss'!U3),"")</f>
        <v/>
      </c>
      <c r="V3" s="24">
        <f>IFERROR(IF('Incurred Loss'!V3="","",'Sel Ults - Incurred Loss'!D3-'Incurred Loss'!V3),"")</f>
        <v/>
      </c>
      <c r="W3" s="24">
        <f>IFERROR(IF('Incurred Loss'!W3="","",'Sel Ults - Incurred Loss'!D3-'Incurred Loss'!W3),"")</f>
        <v/>
      </c>
      <c r="X3" s="24">
        <f>IFERROR(IF('Incurred Loss'!X3="","",'Sel Ults - Incurred Loss'!D3-'Incurred Loss'!X3),"")</f>
        <v/>
      </c>
      <c r="Y3" s="24">
        <f>IFERROR(IF('Incurred Loss'!Y3="","",'Sel Ults - Incurred Loss'!D3-'Incurred Loss'!Y3),"")</f>
        <v/>
      </c>
    </row>
    <row r="4">
      <c r="A4">
        <f>'Incurred Loss'!A4</f>
        <v/>
      </c>
      <c r="B4" s="24">
        <f>IFERROR(IF('Incurred Loss'!B4="","",'Sel Ults - Incurred Loss'!D4-'Incurred Loss'!B4),"")</f>
        <v/>
      </c>
      <c r="C4" s="24">
        <f>IFERROR(IF('Incurred Loss'!C4="","",'Sel Ults - Incurred Loss'!D4-'Incurred Loss'!C4),"")</f>
        <v/>
      </c>
      <c r="D4" s="24">
        <f>IFERROR(IF('Incurred Loss'!D4="","",'Sel Ults - Incurred Loss'!D4-'Incurred Loss'!D4),"")</f>
        <v/>
      </c>
      <c r="E4" s="24">
        <f>IFERROR(IF('Incurred Loss'!E4="","",'Sel Ults - Incurred Loss'!D4-'Incurred Loss'!E4),"")</f>
        <v/>
      </c>
      <c r="F4" s="24">
        <f>IFERROR(IF('Incurred Loss'!F4="","",'Sel Ults - Incurred Loss'!D4-'Incurred Loss'!F4),"")</f>
        <v/>
      </c>
      <c r="G4" s="24">
        <f>IFERROR(IF('Incurred Loss'!G4="","",'Sel Ults - Incurred Loss'!D4-'Incurred Loss'!G4),"")</f>
        <v/>
      </c>
      <c r="H4" s="24">
        <f>IFERROR(IF('Incurred Loss'!H4="","",'Sel Ults - Incurred Loss'!D4-'Incurred Loss'!H4),"")</f>
        <v/>
      </c>
      <c r="I4" s="24">
        <f>IFERROR(IF('Incurred Loss'!I4="","",'Sel Ults - Incurred Loss'!D4-'Incurred Loss'!I4),"")</f>
        <v/>
      </c>
      <c r="J4" s="24">
        <f>IFERROR(IF('Incurred Loss'!J4="","",'Sel Ults - Incurred Loss'!D4-'Incurred Loss'!J4),"")</f>
        <v/>
      </c>
      <c r="K4" s="24">
        <f>IFERROR(IF('Incurred Loss'!K4="","",'Sel Ults - Incurred Loss'!D4-'Incurred Loss'!K4),"")</f>
        <v/>
      </c>
      <c r="L4" s="24">
        <f>IFERROR(IF('Incurred Loss'!L4="","",'Sel Ults - Incurred Loss'!D4-'Incurred Loss'!L4),"")</f>
        <v/>
      </c>
      <c r="M4" s="24">
        <f>IFERROR(IF('Incurred Loss'!M4="","",'Sel Ults - Incurred Loss'!D4-'Incurred Loss'!M4),"")</f>
        <v/>
      </c>
      <c r="N4" s="24">
        <f>IFERROR(IF('Incurred Loss'!N4="","",'Sel Ults - Incurred Loss'!D4-'Incurred Loss'!N4),"")</f>
        <v/>
      </c>
      <c r="O4" s="24">
        <f>IFERROR(IF('Incurred Loss'!O4="","",'Sel Ults - Incurred Loss'!D4-'Incurred Loss'!O4),"")</f>
        <v/>
      </c>
      <c r="P4" s="24">
        <f>IFERROR(IF('Incurred Loss'!P4="","",'Sel Ults - Incurred Loss'!D4-'Incurred Loss'!P4),"")</f>
        <v/>
      </c>
      <c r="Q4" s="24">
        <f>IFERROR(IF('Incurred Loss'!Q4="","",'Sel Ults - Incurred Loss'!D4-'Incurred Loss'!Q4),"")</f>
        <v/>
      </c>
      <c r="R4" s="24">
        <f>IFERROR(IF('Incurred Loss'!R4="","",'Sel Ults - Incurred Loss'!D4-'Incurred Loss'!R4),"")</f>
        <v/>
      </c>
      <c r="S4" s="24">
        <f>IFERROR(IF('Incurred Loss'!S4="","",'Sel Ults - Incurred Loss'!D4-'Incurred Loss'!S4),"")</f>
        <v/>
      </c>
      <c r="T4" s="24">
        <f>IFERROR(IF('Incurred Loss'!T4="","",'Sel Ults - Incurred Loss'!D4-'Incurred Loss'!T4),"")</f>
        <v/>
      </c>
      <c r="U4" s="24">
        <f>IFERROR(IF('Incurred Loss'!U4="","",'Sel Ults - Incurred Loss'!D4-'Incurred Loss'!U4),"")</f>
        <v/>
      </c>
      <c r="V4" s="24">
        <f>IFERROR(IF('Incurred Loss'!V4="","",'Sel Ults - Incurred Loss'!D4-'Incurred Loss'!V4),"")</f>
        <v/>
      </c>
      <c r="W4" s="24">
        <f>IFERROR(IF('Incurred Loss'!W4="","",'Sel Ults - Incurred Loss'!D4-'Incurred Loss'!W4),"")</f>
        <v/>
      </c>
      <c r="X4" s="24">
        <f>IFERROR(IF('Incurred Loss'!X4="","",'Sel Ults - Incurred Loss'!D4-'Incurred Loss'!X4),"")</f>
        <v/>
      </c>
      <c r="Y4" s="24">
        <f>IFERROR(IF('Incurred Loss'!Y4="","",'Sel Ults - Incurred Loss'!D4-'Incurred Loss'!Y4),"")</f>
        <v/>
      </c>
    </row>
    <row r="5">
      <c r="A5">
        <f>'Incurred Loss'!A5</f>
        <v/>
      </c>
      <c r="B5" s="24">
        <f>IFERROR(IF('Incurred Loss'!B5="","",'Sel Ults - Incurred Loss'!D5-'Incurred Loss'!B5),"")</f>
        <v/>
      </c>
      <c r="C5" s="24">
        <f>IFERROR(IF('Incurred Loss'!C5="","",'Sel Ults - Incurred Loss'!D5-'Incurred Loss'!C5),"")</f>
        <v/>
      </c>
      <c r="D5" s="24">
        <f>IFERROR(IF('Incurred Loss'!D5="","",'Sel Ults - Incurred Loss'!D5-'Incurred Loss'!D5),"")</f>
        <v/>
      </c>
      <c r="E5" s="24">
        <f>IFERROR(IF('Incurred Loss'!E5="","",'Sel Ults - Incurred Loss'!D5-'Incurred Loss'!E5),"")</f>
        <v/>
      </c>
      <c r="F5" s="24">
        <f>IFERROR(IF('Incurred Loss'!F5="","",'Sel Ults - Incurred Loss'!D5-'Incurred Loss'!F5),"")</f>
        <v/>
      </c>
      <c r="G5" s="24">
        <f>IFERROR(IF('Incurred Loss'!G5="","",'Sel Ults - Incurred Loss'!D5-'Incurred Loss'!G5),"")</f>
        <v/>
      </c>
      <c r="H5" s="24">
        <f>IFERROR(IF('Incurred Loss'!H5="","",'Sel Ults - Incurred Loss'!D5-'Incurred Loss'!H5),"")</f>
        <v/>
      </c>
      <c r="I5" s="24">
        <f>IFERROR(IF('Incurred Loss'!I5="","",'Sel Ults - Incurred Loss'!D5-'Incurred Loss'!I5),"")</f>
        <v/>
      </c>
      <c r="J5" s="24">
        <f>IFERROR(IF('Incurred Loss'!J5="","",'Sel Ults - Incurred Loss'!D5-'Incurred Loss'!J5),"")</f>
        <v/>
      </c>
      <c r="K5" s="24">
        <f>IFERROR(IF('Incurred Loss'!K5="","",'Sel Ults - Incurred Loss'!D5-'Incurred Loss'!K5),"")</f>
        <v/>
      </c>
      <c r="L5" s="24">
        <f>IFERROR(IF('Incurred Loss'!L5="","",'Sel Ults - Incurred Loss'!D5-'Incurred Loss'!L5),"")</f>
        <v/>
      </c>
      <c r="M5" s="24">
        <f>IFERROR(IF('Incurred Loss'!M5="","",'Sel Ults - Incurred Loss'!D5-'Incurred Loss'!M5),"")</f>
        <v/>
      </c>
      <c r="N5" s="24">
        <f>IFERROR(IF('Incurred Loss'!N5="","",'Sel Ults - Incurred Loss'!D5-'Incurred Loss'!N5),"")</f>
        <v/>
      </c>
      <c r="O5" s="24">
        <f>IFERROR(IF('Incurred Loss'!O5="","",'Sel Ults - Incurred Loss'!D5-'Incurred Loss'!O5),"")</f>
        <v/>
      </c>
      <c r="P5" s="24">
        <f>IFERROR(IF('Incurred Loss'!P5="","",'Sel Ults - Incurred Loss'!D5-'Incurred Loss'!P5),"")</f>
        <v/>
      </c>
      <c r="Q5" s="24">
        <f>IFERROR(IF('Incurred Loss'!Q5="","",'Sel Ults - Incurred Loss'!D5-'Incurred Loss'!Q5),"")</f>
        <v/>
      </c>
      <c r="R5" s="24">
        <f>IFERROR(IF('Incurred Loss'!R5="","",'Sel Ults - Incurred Loss'!D5-'Incurred Loss'!R5),"")</f>
        <v/>
      </c>
      <c r="S5" s="24">
        <f>IFERROR(IF('Incurred Loss'!S5="","",'Sel Ults - Incurred Loss'!D5-'Incurred Loss'!S5),"")</f>
        <v/>
      </c>
      <c r="T5" s="24">
        <f>IFERROR(IF('Incurred Loss'!T5="","",'Sel Ults - Incurred Loss'!D5-'Incurred Loss'!T5),"")</f>
        <v/>
      </c>
      <c r="U5" s="24">
        <f>IFERROR(IF('Incurred Loss'!U5="","",'Sel Ults - Incurred Loss'!D5-'Incurred Loss'!U5),"")</f>
        <v/>
      </c>
      <c r="V5" s="24">
        <f>IFERROR(IF('Incurred Loss'!V5="","",'Sel Ults - Incurred Loss'!D5-'Incurred Loss'!V5),"")</f>
        <v/>
      </c>
      <c r="W5" s="24">
        <f>IFERROR(IF('Incurred Loss'!W5="","",'Sel Ults - Incurred Loss'!D5-'Incurred Loss'!W5),"")</f>
        <v/>
      </c>
      <c r="X5" s="24">
        <f>IFERROR(IF('Incurred Loss'!X5="","",'Sel Ults - Incurred Loss'!D5-'Incurred Loss'!X5),"")</f>
        <v/>
      </c>
      <c r="Y5" s="24">
        <f>IFERROR(IF('Incurred Loss'!Y5="","",'Sel Ults - Incurred Loss'!D5-'Incurred Loss'!Y5),"")</f>
        <v/>
      </c>
    </row>
    <row r="6">
      <c r="A6">
        <f>'Incurred Loss'!A6</f>
        <v/>
      </c>
      <c r="B6" s="24">
        <f>IFERROR(IF('Incurred Loss'!B6="","",'Sel Ults - Incurred Loss'!D6-'Incurred Loss'!B6),"")</f>
        <v/>
      </c>
      <c r="C6" s="24">
        <f>IFERROR(IF('Incurred Loss'!C6="","",'Sel Ults - Incurred Loss'!D6-'Incurred Loss'!C6),"")</f>
        <v/>
      </c>
      <c r="D6" s="24">
        <f>IFERROR(IF('Incurred Loss'!D6="","",'Sel Ults - Incurred Loss'!D6-'Incurred Loss'!D6),"")</f>
        <v/>
      </c>
      <c r="E6" s="24">
        <f>IFERROR(IF('Incurred Loss'!E6="","",'Sel Ults - Incurred Loss'!D6-'Incurred Loss'!E6),"")</f>
        <v/>
      </c>
      <c r="F6" s="24">
        <f>IFERROR(IF('Incurred Loss'!F6="","",'Sel Ults - Incurred Loss'!D6-'Incurred Loss'!F6),"")</f>
        <v/>
      </c>
      <c r="G6" s="24">
        <f>IFERROR(IF('Incurred Loss'!G6="","",'Sel Ults - Incurred Loss'!D6-'Incurred Loss'!G6),"")</f>
        <v/>
      </c>
      <c r="H6" s="24">
        <f>IFERROR(IF('Incurred Loss'!H6="","",'Sel Ults - Incurred Loss'!D6-'Incurred Loss'!H6),"")</f>
        <v/>
      </c>
      <c r="I6" s="24">
        <f>IFERROR(IF('Incurred Loss'!I6="","",'Sel Ults - Incurred Loss'!D6-'Incurred Loss'!I6),"")</f>
        <v/>
      </c>
      <c r="J6" s="24">
        <f>IFERROR(IF('Incurred Loss'!J6="","",'Sel Ults - Incurred Loss'!D6-'Incurred Loss'!J6),"")</f>
        <v/>
      </c>
      <c r="K6" s="24">
        <f>IFERROR(IF('Incurred Loss'!K6="","",'Sel Ults - Incurred Loss'!D6-'Incurred Loss'!K6),"")</f>
        <v/>
      </c>
      <c r="L6" s="24">
        <f>IFERROR(IF('Incurred Loss'!L6="","",'Sel Ults - Incurred Loss'!D6-'Incurred Loss'!L6),"")</f>
        <v/>
      </c>
      <c r="M6" s="24">
        <f>IFERROR(IF('Incurred Loss'!M6="","",'Sel Ults - Incurred Loss'!D6-'Incurred Loss'!M6),"")</f>
        <v/>
      </c>
      <c r="N6" s="24">
        <f>IFERROR(IF('Incurred Loss'!N6="","",'Sel Ults - Incurred Loss'!D6-'Incurred Loss'!N6),"")</f>
        <v/>
      </c>
      <c r="O6" s="24">
        <f>IFERROR(IF('Incurred Loss'!O6="","",'Sel Ults - Incurred Loss'!D6-'Incurred Loss'!O6),"")</f>
        <v/>
      </c>
      <c r="P6" s="24">
        <f>IFERROR(IF('Incurred Loss'!P6="","",'Sel Ults - Incurred Loss'!D6-'Incurred Loss'!P6),"")</f>
        <v/>
      </c>
      <c r="Q6" s="24">
        <f>IFERROR(IF('Incurred Loss'!Q6="","",'Sel Ults - Incurred Loss'!D6-'Incurred Loss'!Q6),"")</f>
        <v/>
      </c>
      <c r="R6" s="24">
        <f>IFERROR(IF('Incurred Loss'!R6="","",'Sel Ults - Incurred Loss'!D6-'Incurred Loss'!R6),"")</f>
        <v/>
      </c>
      <c r="S6" s="24">
        <f>IFERROR(IF('Incurred Loss'!S6="","",'Sel Ults - Incurred Loss'!D6-'Incurred Loss'!S6),"")</f>
        <v/>
      </c>
      <c r="T6" s="24">
        <f>IFERROR(IF('Incurred Loss'!T6="","",'Sel Ults - Incurred Loss'!D6-'Incurred Loss'!T6),"")</f>
        <v/>
      </c>
      <c r="U6" s="24">
        <f>IFERROR(IF('Incurred Loss'!U6="","",'Sel Ults - Incurred Loss'!D6-'Incurred Loss'!U6),"")</f>
        <v/>
      </c>
      <c r="V6" s="24">
        <f>IFERROR(IF('Incurred Loss'!V6="","",'Sel Ults - Incurred Loss'!D6-'Incurred Loss'!V6),"")</f>
        <v/>
      </c>
      <c r="W6" s="24">
        <f>IFERROR(IF('Incurred Loss'!W6="","",'Sel Ults - Incurred Loss'!D6-'Incurred Loss'!W6),"")</f>
        <v/>
      </c>
      <c r="X6" s="24">
        <f>IFERROR(IF('Incurred Loss'!X6="","",'Sel Ults - Incurred Loss'!D6-'Incurred Loss'!X6),"")</f>
        <v/>
      </c>
      <c r="Y6" s="24">
        <f>IFERROR(IF('Incurred Loss'!Y6="","",'Sel Ults - Incurred Loss'!D6-'Incurred Loss'!Y6),"")</f>
        <v/>
      </c>
    </row>
    <row r="7">
      <c r="A7">
        <f>'Incurred Loss'!A7</f>
        <v/>
      </c>
      <c r="B7" s="24">
        <f>IFERROR(IF('Incurred Loss'!B7="","",'Sel Ults - Incurred Loss'!D7-'Incurred Loss'!B7),"")</f>
        <v/>
      </c>
      <c r="C7" s="24">
        <f>IFERROR(IF('Incurred Loss'!C7="","",'Sel Ults - Incurred Loss'!D7-'Incurred Loss'!C7),"")</f>
        <v/>
      </c>
      <c r="D7" s="24">
        <f>IFERROR(IF('Incurred Loss'!D7="","",'Sel Ults - Incurred Loss'!D7-'Incurred Loss'!D7),"")</f>
        <v/>
      </c>
      <c r="E7" s="24">
        <f>IFERROR(IF('Incurred Loss'!E7="","",'Sel Ults - Incurred Loss'!D7-'Incurred Loss'!E7),"")</f>
        <v/>
      </c>
      <c r="F7" s="24">
        <f>IFERROR(IF('Incurred Loss'!F7="","",'Sel Ults - Incurred Loss'!D7-'Incurred Loss'!F7),"")</f>
        <v/>
      </c>
      <c r="G7" s="24">
        <f>IFERROR(IF('Incurred Loss'!G7="","",'Sel Ults - Incurred Loss'!D7-'Incurred Loss'!G7),"")</f>
        <v/>
      </c>
      <c r="H7" s="24">
        <f>IFERROR(IF('Incurred Loss'!H7="","",'Sel Ults - Incurred Loss'!D7-'Incurred Loss'!H7),"")</f>
        <v/>
      </c>
      <c r="I7" s="24">
        <f>IFERROR(IF('Incurred Loss'!I7="","",'Sel Ults - Incurred Loss'!D7-'Incurred Loss'!I7),"")</f>
        <v/>
      </c>
      <c r="J7" s="24">
        <f>IFERROR(IF('Incurred Loss'!J7="","",'Sel Ults - Incurred Loss'!D7-'Incurred Loss'!J7),"")</f>
        <v/>
      </c>
      <c r="K7" s="24">
        <f>IFERROR(IF('Incurred Loss'!K7="","",'Sel Ults - Incurred Loss'!D7-'Incurred Loss'!K7),"")</f>
        <v/>
      </c>
      <c r="L7" s="24">
        <f>IFERROR(IF('Incurred Loss'!L7="","",'Sel Ults - Incurred Loss'!D7-'Incurred Loss'!L7),"")</f>
        <v/>
      </c>
      <c r="M7" s="24">
        <f>IFERROR(IF('Incurred Loss'!M7="","",'Sel Ults - Incurred Loss'!D7-'Incurred Loss'!M7),"")</f>
        <v/>
      </c>
      <c r="N7" s="24">
        <f>IFERROR(IF('Incurred Loss'!N7="","",'Sel Ults - Incurred Loss'!D7-'Incurred Loss'!N7),"")</f>
        <v/>
      </c>
      <c r="O7" s="24">
        <f>IFERROR(IF('Incurred Loss'!O7="","",'Sel Ults - Incurred Loss'!D7-'Incurred Loss'!O7),"")</f>
        <v/>
      </c>
      <c r="P7" s="24">
        <f>IFERROR(IF('Incurred Loss'!P7="","",'Sel Ults - Incurred Loss'!D7-'Incurred Loss'!P7),"")</f>
        <v/>
      </c>
      <c r="Q7" s="24">
        <f>IFERROR(IF('Incurred Loss'!Q7="","",'Sel Ults - Incurred Loss'!D7-'Incurred Loss'!Q7),"")</f>
        <v/>
      </c>
      <c r="R7" s="24">
        <f>IFERROR(IF('Incurred Loss'!R7="","",'Sel Ults - Incurred Loss'!D7-'Incurred Loss'!R7),"")</f>
        <v/>
      </c>
      <c r="S7" s="24">
        <f>IFERROR(IF('Incurred Loss'!S7="","",'Sel Ults - Incurred Loss'!D7-'Incurred Loss'!S7),"")</f>
        <v/>
      </c>
      <c r="T7" s="24">
        <f>IFERROR(IF('Incurred Loss'!T7="","",'Sel Ults - Incurred Loss'!D7-'Incurred Loss'!T7),"")</f>
        <v/>
      </c>
      <c r="U7" s="24">
        <f>IFERROR(IF('Incurred Loss'!U7="","",'Sel Ults - Incurred Loss'!D7-'Incurred Loss'!U7),"")</f>
        <v/>
      </c>
      <c r="V7" s="24">
        <f>IFERROR(IF('Incurred Loss'!V7="","",'Sel Ults - Incurred Loss'!D7-'Incurred Loss'!V7),"")</f>
        <v/>
      </c>
      <c r="W7" s="24">
        <f>IFERROR(IF('Incurred Loss'!W7="","",'Sel Ults - Incurred Loss'!D7-'Incurred Loss'!W7),"")</f>
        <v/>
      </c>
      <c r="X7" s="24">
        <f>IFERROR(IF('Incurred Loss'!X7="","",'Sel Ults - Incurred Loss'!D7-'Incurred Loss'!X7),"")</f>
        <v/>
      </c>
      <c r="Y7" s="24">
        <f>IFERROR(IF('Incurred Loss'!Y7="","",'Sel Ults - Incurred Loss'!D7-'Incurred Loss'!Y7),"")</f>
        <v/>
      </c>
    </row>
    <row r="8">
      <c r="A8">
        <f>'Incurred Loss'!A8</f>
        <v/>
      </c>
      <c r="B8" s="24">
        <f>IFERROR(IF('Incurred Loss'!B8="","",'Sel Ults - Incurred Loss'!D8-'Incurred Loss'!B8),"")</f>
        <v/>
      </c>
      <c r="C8" s="24">
        <f>IFERROR(IF('Incurred Loss'!C8="","",'Sel Ults - Incurred Loss'!D8-'Incurred Loss'!C8),"")</f>
        <v/>
      </c>
      <c r="D8" s="24">
        <f>IFERROR(IF('Incurred Loss'!D8="","",'Sel Ults - Incurred Loss'!D8-'Incurred Loss'!D8),"")</f>
        <v/>
      </c>
      <c r="E8" s="24">
        <f>IFERROR(IF('Incurred Loss'!E8="","",'Sel Ults - Incurred Loss'!D8-'Incurred Loss'!E8),"")</f>
        <v/>
      </c>
      <c r="F8" s="24">
        <f>IFERROR(IF('Incurred Loss'!F8="","",'Sel Ults - Incurred Loss'!D8-'Incurred Loss'!F8),"")</f>
        <v/>
      </c>
      <c r="G8" s="24">
        <f>IFERROR(IF('Incurred Loss'!G8="","",'Sel Ults - Incurred Loss'!D8-'Incurred Loss'!G8),"")</f>
        <v/>
      </c>
      <c r="H8" s="24">
        <f>IFERROR(IF('Incurred Loss'!H8="","",'Sel Ults - Incurred Loss'!D8-'Incurred Loss'!H8),"")</f>
        <v/>
      </c>
      <c r="I8" s="24">
        <f>IFERROR(IF('Incurred Loss'!I8="","",'Sel Ults - Incurred Loss'!D8-'Incurred Loss'!I8),"")</f>
        <v/>
      </c>
      <c r="J8" s="24">
        <f>IFERROR(IF('Incurred Loss'!J8="","",'Sel Ults - Incurred Loss'!D8-'Incurred Loss'!J8),"")</f>
        <v/>
      </c>
      <c r="K8" s="24">
        <f>IFERROR(IF('Incurred Loss'!K8="","",'Sel Ults - Incurred Loss'!D8-'Incurred Loss'!K8),"")</f>
        <v/>
      </c>
      <c r="L8" s="24">
        <f>IFERROR(IF('Incurred Loss'!L8="","",'Sel Ults - Incurred Loss'!D8-'Incurred Loss'!L8),"")</f>
        <v/>
      </c>
      <c r="M8" s="24">
        <f>IFERROR(IF('Incurred Loss'!M8="","",'Sel Ults - Incurred Loss'!D8-'Incurred Loss'!M8),"")</f>
        <v/>
      </c>
      <c r="N8" s="24">
        <f>IFERROR(IF('Incurred Loss'!N8="","",'Sel Ults - Incurred Loss'!D8-'Incurred Loss'!N8),"")</f>
        <v/>
      </c>
      <c r="O8" s="24">
        <f>IFERROR(IF('Incurred Loss'!O8="","",'Sel Ults - Incurred Loss'!D8-'Incurred Loss'!O8),"")</f>
        <v/>
      </c>
      <c r="P8" s="24">
        <f>IFERROR(IF('Incurred Loss'!P8="","",'Sel Ults - Incurred Loss'!D8-'Incurred Loss'!P8),"")</f>
        <v/>
      </c>
      <c r="Q8" s="24">
        <f>IFERROR(IF('Incurred Loss'!Q8="","",'Sel Ults - Incurred Loss'!D8-'Incurred Loss'!Q8),"")</f>
        <v/>
      </c>
      <c r="R8" s="24">
        <f>IFERROR(IF('Incurred Loss'!R8="","",'Sel Ults - Incurred Loss'!D8-'Incurred Loss'!R8),"")</f>
        <v/>
      </c>
      <c r="S8" s="24">
        <f>IFERROR(IF('Incurred Loss'!S8="","",'Sel Ults - Incurred Loss'!D8-'Incurred Loss'!S8),"")</f>
        <v/>
      </c>
      <c r="T8" s="24">
        <f>IFERROR(IF('Incurred Loss'!T8="","",'Sel Ults - Incurred Loss'!D8-'Incurred Loss'!T8),"")</f>
        <v/>
      </c>
      <c r="U8" s="24">
        <f>IFERROR(IF('Incurred Loss'!U8="","",'Sel Ults - Incurred Loss'!D8-'Incurred Loss'!U8),"")</f>
        <v/>
      </c>
      <c r="V8" s="24">
        <f>IFERROR(IF('Incurred Loss'!V8="","",'Sel Ults - Incurred Loss'!D8-'Incurred Loss'!V8),"")</f>
        <v/>
      </c>
      <c r="W8" s="24">
        <f>IFERROR(IF('Incurred Loss'!W8="","",'Sel Ults - Incurred Loss'!D8-'Incurred Loss'!W8),"")</f>
        <v/>
      </c>
      <c r="X8" s="24">
        <f>IFERROR(IF('Incurred Loss'!X8="","",'Sel Ults - Incurred Loss'!D8-'Incurred Loss'!X8),"")</f>
        <v/>
      </c>
      <c r="Y8" s="24">
        <f>IFERROR(IF('Incurred Loss'!Y8="","",'Sel Ults - Incurred Loss'!D8-'Incurred Loss'!Y8),"")</f>
        <v/>
      </c>
    </row>
    <row r="9">
      <c r="A9">
        <f>'Incurred Loss'!A9</f>
        <v/>
      </c>
      <c r="B9" s="24">
        <f>IFERROR(IF('Incurred Loss'!B9="","",'Sel Ults - Incurred Loss'!D9-'Incurred Loss'!B9),"")</f>
        <v/>
      </c>
      <c r="C9" s="24">
        <f>IFERROR(IF('Incurred Loss'!C9="","",'Sel Ults - Incurred Loss'!D9-'Incurred Loss'!C9),"")</f>
        <v/>
      </c>
      <c r="D9" s="24">
        <f>IFERROR(IF('Incurred Loss'!D9="","",'Sel Ults - Incurred Loss'!D9-'Incurred Loss'!D9),"")</f>
        <v/>
      </c>
      <c r="E9" s="24">
        <f>IFERROR(IF('Incurred Loss'!E9="","",'Sel Ults - Incurred Loss'!D9-'Incurred Loss'!E9),"")</f>
        <v/>
      </c>
      <c r="F9" s="24">
        <f>IFERROR(IF('Incurred Loss'!F9="","",'Sel Ults - Incurred Loss'!D9-'Incurred Loss'!F9),"")</f>
        <v/>
      </c>
      <c r="G9" s="24">
        <f>IFERROR(IF('Incurred Loss'!G9="","",'Sel Ults - Incurred Loss'!D9-'Incurred Loss'!G9),"")</f>
        <v/>
      </c>
      <c r="H9" s="24">
        <f>IFERROR(IF('Incurred Loss'!H9="","",'Sel Ults - Incurred Loss'!D9-'Incurred Loss'!H9),"")</f>
        <v/>
      </c>
      <c r="I9" s="24">
        <f>IFERROR(IF('Incurred Loss'!I9="","",'Sel Ults - Incurred Loss'!D9-'Incurred Loss'!I9),"")</f>
        <v/>
      </c>
      <c r="J9" s="24">
        <f>IFERROR(IF('Incurred Loss'!J9="","",'Sel Ults - Incurred Loss'!D9-'Incurred Loss'!J9),"")</f>
        <v/>
      </c>
      <c r="K9" s="24">
        <f>IFERROR(IF('Incurred Loss'!K9="","",'Sel Ults - Incurred Loss'!D9-'Incurred Loss'!K9),"")</f>
        <v/>
      </c>
      <c r="L9" s="24">
        <f>IFERROR(IF('Incurred Loss'!L9="","",'Sel Ults - Incurred Loss'!D9-'Incurred Loss'!L9),"")</f>
        <v/>
      </c>
      <c r="M9" s="24">
        <f>IFERROR(IF('Incurred Loss'!M9="","",'Sel Ults - Incurred Loss'!D9-'Incurred Loss'!M9),"")</f>
        <v/>
      </c>
      <c r="N9" s="24">
        <f>IFERROR(IF('Incurred Loss'!N9="","",'Sel Ults - Incurred Loss'!D9-'Incurred Loss'!N9),"")</f>
        <v/>
      </c>
      <c r="O9" s="24">
        <f>IFERROR(IF('Incurred Loss'!O9="","",'Sel Ults - Incurred Loss'!D9-'Incurred Loss'!O9),"")</f>
        <v/>
      </c>
      <c r="P9" s="24">
        <f>IFERROR(IF('Incurred Loss'!P9="","",'Sel Ults - Incurred Loss'!D9-'Incurred Loss'!P9),"")</f>
        <v/>
      </c>
      <c r="Q9" s="24">
        <f>IFERROR(IF('Incurred Loss'!Q9="","",'Sel Ults - Incurred Loss'!D9-'Incurred Loss'!Q9),"")</f>
        <v/>
      </c>
      <c r="R9" s="24">
        <f>IFERROR(IF('Incurred Loss'!R9="","",'Sel Ults - Incurred Loss'!D9-'Incurred Loss'!R9),"")</f>
        <v/>
      </c>
      <c r="S9" s="24">
        <f>IFERROR(IF('Incurred Loss'!S9="","",'Sel Ults - Incurred Loss'!D9-'Incurred Loss'!S9),"")</f>
        <v/>
      </c>
      <c r="T9" s="24">
        <f>IFERROR(IF('Incurred Loss'!T9="","",'Sel Ults - Incurred Loss'!D9-'Incurred Loss'!T9),"")</f>
        <v/>
      </c>
      <c r="U9" s="24">
        <f>IFERROR(IF('Incurred Loss'!U9="","",'Sel Ults - Incurred Loss'!D9-'Incurred Loss'!U9),"")</f>
        <v/>
      </c>
      <c r="V9" s="24">
        <f>IFERROR(IF('Incurred Loss'!V9="","",'Sel Ults - Incurred Loss'!D9-'Incurred Loss'!V9),"")</f>
        <v/>
      </c>
      <c r="W9" s="24">
        <f>IFERROR(IF('Incurred Loss'!W9="","",'Sel Ults - Incurred Loss'!D9-'Incurred Loss'!W9),"")</f>
        <v/>
      </c>
      <c r="X9" s="24">
        <f>IFERROR(IF('Incurred Loss'!X9="","",'Sel Ults - Incurred Loss'!D9-'Incurred Loss'!X9),"")</f>
        <v/>
      </c>
      <c r="Y9" s="24">
        <f>IFERROR(IF('Incurred Loss'!Y9="","",'Sel Ults - Incurred Loss'!D9-'Incurred Loss'!Y9),"")</f>
        <v/>
      </c>
    </row>
    <row r="10">
      <c r="A10">
        <f>'Incurred Loss'!A10</f>
        <v/>
      </c>
      <c r="B10" s="24">
        <f>IFERROR(IF('Incurred Loss'!B10="","",'Sel Ults - Incurred Loss'!D10-'Incurred Loss'!B10),"")</f>
        <v/>
      </c>
      <c r="C10" s="24">
        <f>IFERROR(IF('Incurred Loss'!C10="","",'Sel Ults - Incurred Loss'!D10-'Incurred Loss'!C10),"")</f>
        <v/>
      </c>
      <c r="D10" s="24">
        <f>IFERROR(IF('Incurred Loss'!D10="","",'Sel Ults - Incurred Loss'!D10-'Incurred Loss'!D10),"")</f>
        <v/>
      </c>
      <c r="E10" s="24">
        <f>IFERROR(IF('Incurred Loss'!E10="","",'Sel Ults - Incurred Loss'!D10-'Incurred Loss'!E10),"")</f>
        <v/>
      </c>
      <c r="F10" s="24">
        <f>IFERROR(IF('Incurred Loss'!F10="","",'Sel Ults - Incurred Loss'!D10-'Incurred Loss'!F10),"")</f>
        <v/>
      </c>
      <c r="G10" s="24">
        <f>IFERROR(IF('Incurred Loss'!G10="","",'Sel Ults - Incurred Loss'!D10-'Incurred Loss'!G10),"")</f>
        <v/>
      </c>
      <c r="H10" s="24">
        <f>IFERROR(IF('Incurred Loss'!H10="","",'Sel Ults - Incurred Loss'!D10-'Incurred Loss'!H10),"")</f>
        <v/>
      </c>
      <c r="I10" s="24">
        <f>IFERROR(IF('Incurred Loss'!I10="","",'Sel Ults - Incurred Loss'!D10-'Incurred Loss'!I10),"")</f>
        <v/>
      </c>
      <c r="J10" s="24">
        <f>IFERROR(IF('Incurred Loss'!J10="","",'Sel Ults - Incurred Loss'!D10-'Incurred Loss'!J10),"")</f>
        <v/>
      </c>
      <c r="K10" s="24">
        <f>IFERROR(IF('Incurred Loss'!K10="","",'Sel Ults - Incurred Loss'!D10-'Incurred Loss'!K10),"")</f>
        <v/>
      </c>
      <c r="L10" s="24">
        <f>IFERROR(IF('Incurred Loss'!L10="","",'Sel Ults - Incurred Loss'!D10-'Incurred Loss'!L10),"")</f>
        <v/>
      </c>
      <c r="M10" s="24">
        <f>IFERROR(IF('Incurred Loss'!M10="","",'Sel Ults - Incurred Loss'!D10-'Incurred Loss'!M10),"")</f>
        <v/>
      </c>
      <c r="N10" s="24">
        <f>IFERROR(IF('Incurred Loss'!N10="","",'Sel Ults - Incurred Loss'!D10-'Incurred Loss'!N10),"")</f>
        <v/>
      </c>
      <c r="O10" s="24">
        <f>IFERROR(IF('Incurred Loss'!O10="","",'Sel Ults - Incurred Loss'!D10-'Incurred Loss'!O10),"")</f>
        <v/>
      </c>
      <c r="P10" s="24">
        <f>IFERROR(IF('Incurred Loss'!P10="","",'Sel Ults - Incurred Loss'!D10-'Incurred Loss'!P10),"")</f>
        <v/>
      </c>
      <c r="Q10" s="24">
        <f>IFERROR(IF('Incurred Loss'!Q10="","",'Sel Ults - Incurred Loss'!D10-'Incurred Loss'!Q10),"")</f>
        <v/>
      </c>
      <c r="R10" s="24">
        <f>IFERROR(IF('Incurred Loss'!R10="","",'Sel Ults - Incurred Loss'!D10-'Incurred Loss'!R10),"")</f>
        <v/>
      </c>
      <c r="S10" s="24">
        <f>IFERROR(IF('Incurred Loss'!S10="","",'Sel Ults - Incurred Loss'!D10-'Incurred Loss'!S10),"")</f>
        <v/>
      </c>
      <c r="T10" s="24">
        <f>IFERROR(IF('Incurred Loss'!T10="","",'Sel Ults - Incurred Loss'!D10-'Incurred Loss'!T10),"")</f>
        <v/>
      </c>
      <c r="U10" s="24">
        <f>IFERROR(IF('Incurred Loss'!U10="","",'Sel Ults - Incurred Loss'!D10-'Incurred Loss'!U10),"")</f>
        <v/>
      </c>
      <c r="V10" s="24">
        <f>IFERROR(IF('Incurred Loss'!V10="","",'Sel Ults - Incurred Loss'!D10-'Incurred Loss'!V10),"")</f>
        <v/>
      </c>
      <c r="W10" s="24">
        <f>IFERROR(IF('Incurred Loss'!W10="","",'Sel Ults - Incurred Loss'!D10-'Incurred Loss'!W10),"")</f>
        <v/>
      </c>
      <c r="X10" s="24">
        <f>IFERROR(IF('Incurred Loss'!X10="","",'Sel Ults - Incurred Loss'!D10-'Incurred Loss'!X10),"")</f>
        <v/>
      </c>
      <c r="Y10" s="24">
        <f>IFERROR(IF('Incurred Loss'!Y10="","",'Sel Ults - Incurred Loss'!D10-'Incurred Loss'!Y10),"")</f>
        <v/>
      </c>
    </row>
    <row r="11">
      <c r="A11">
        <f>'Incurred Loss'!A11</f>
        <v/>
      </c>
      <c r="B11" s="24">
        <f>IFERROR(IF('Incurred Loss'!B11="","",'Sel Ults - Incurred Loss'!D11-'Incurred Loss'!B11),"")</f>
        <v/>
      </c>
      <c r="C11" s="24">
        <f>IFERROR(IF('Incurred Loss'!C11="","",'Sel Ults - Incurred Loss'!D11-'Incurred Loss'!C11),"")</f>
        <v/>
      </c>
      <c r="D11" s="24">
        <f>IFERROR(IF('Incurred Loss'!D11="","",'Sel Ults - Incurred Loss'!D11-'Incurred Loss'!D11),"")</f>
        <v/>
      </c>
      <c r="E11" s="24">
        <f>IFERROR(IF('Incurred Loss'!E11="","",'Sel Ults - Incurred Loss'!D11-'Incurred Loss'!E11),"")</f>
        <v/>
      </c>
      <c r="F11" s="24">
        <f>IFERROR(IF('Incurred Loss'!F11="","",'Sel Ults - Incurred Loss'!D11-'Incurred Loss'!F11),"")</f>
        <v/>
      </c>
      <c r="G11" s="24">
        <f>IFERROR(IF('Incurred Loss'!G11="","",'Sel Ults - Incurred Loss'!D11-'Incurred Loss'!G11),"")</f>
        <v/>
      </c>
      <c r="H11" s="24">
        <f>IFERROR(IF('Incurred Loss'!H11="","",'Sel Ults - Incurred Loss'!D11-'Incurred Loss'!H11),"")</f>
        <v/>
      </c>
      <c r="I11" s="24">
        <f>IFERROR(IF('Incurred Loss'!I11="","",'Sel Ults - Incurred Loss'!D11-'Incurred Loss'!I11),"")</f>
        <v/>
      </c>
      <c r="J11" s="24">
        <f>IFERROR(IF('Incurred Loss'!J11="","",'Sel Ults - Incurred Loss'!D11-'Incurred Loss'!J11),"")</f>
        <v/>
      </c>
      <c r="K11" s="24">
        <f>IFERROR(IF('Incurred Loss'!K11="","",'Sel Ults - Incurred Loss'!D11-'Incurred Loss'!K11),"")</f>
        <v/>
      </c>
      <c r="L11" s="24">
        <f>IFERROR(IF('Incurred Loss'!L11="","",'Sel Ults - Incurred Loss'!D11-'Incurred Loss'!L11),"")</f>
        <v/>
      </c>
      <c r="M11" s="24">
        <f>IFERROR(IF('Incurred Loss'!M11="","",'Sel Ults - Incurred Loss'!D11-'Incurred Loss'!M11),"")</f>
        <v/>
      </c>
      <c r="N11" s="24">
        <f>IFERROR(IF('Incurred Loss'!N11="","",'Sel Ults - Incurred Loss'!D11-'Incurred Loss'!N11),"")</f>
        <v/>
      </c>
      <c r="O11" s="24">
        <f>IFERROR(IF('Incurred Loss'!O11="","",'Sel Ults - Incurred Loss'!D11-'Incurred Loss'!O11),"")</f>
        <v/>
      </c>
      <c r="P11" s="24">
        <f>IFERROR(IF('Incurred Loss'!P11="","",'Sel Ults - Incurred Loss'!D11-'Incurred Loss'!P11),"")</f>
        <v/>
      </c>
      <c r="Q11" s="24">
        <f>IFERROR(IF('Incurred Loss'!Q11="","",'Sel Ults - Incurred Loss'!D11-'Incurred Loss'!Q11),"")</f>
        <v/>
      </c>
      <c r="R11" s="24">
        <f>IFERROR(IF('Incurred Loss'!R11="","",'Sel Ults - Incurred Loss'!D11-'Incurred Loss'!R11),"")</f>
        <v/>
      </c>
      <c r="S11" s="24">
        <f>IFERROR(IF('Incurred Loss'!S11="","",'Sel Ults - Incurred Loss'!D11-'Incurred Loss'!S11),"")</f>
        <v/>
      </c>
      <c r="T11" s="24">
        <f>IFERROR(IF('Incurred Loss'!T11="","",'Sel Ults - Incurred Loss'!D11-'Incurred Loss'!T11),"")</f>
        <v/>
      </c>
      <c r="U11" s="24">
        <f>IFERROR(IF('Incurred Loss'!U11="","",'Sel Ults - Incurred Loss'!D11-'Incurred Loss'!U11),"")</f>
        <v/>
      </c>
      <c r="V11" s="24">
        <f>IFERROR(IF('Incurred Loss'!V11="","",'Sel Ults - Incurred Loss'!D11-'Incurred Loss'!V11),"")</f>
        <v/>
      </c>
      <c r="W11" s="24">
        <f>IFERROR(IF('Incurred Loss'!W11="","",'Sel Ults - Incurred Loss'!D11-'Incurred Loss'!W11),"")</f>
        <v/>
      </c>
      <c r="X11" s="24">
        <f>IFERROR(IF('Incurred Loss'!X11="","",'Sel Ults - Incurred Loss'!D11-'Incurred Loss'!X11),"")</f>
        <v/>
      </c>
      <c r="Y11" s="24">
        <f>IFERROR(IF('Incurred Loss'!Y11="","",'Sel Ults - Incurred Loss'!D11-'Incurred Loss'!Y11),"")</f>
        <v/>
      </c>
    </row>
    <row r="12">
      <c r="A12">
        <f>'Incurred Loss'!A12</f>
        <v/>
      </c>
      <c r="B12" s="24">
        <f>IFERROR(IF('Incurred Loss'!B12="","",'Sel Ults - Incurred Loss'!D12-'Incurred Loss'!B12),"")</f>
        <v/>
      </c>
      <c r="C12" s="24">
        <f>IFERROR(IF('Incurred Loss'!C12="","",'Sel Ults - Incurred Loss'!D12-'Incurred Loss'!C12),"")</f>
        <v/>
      </c>
      <c r="D12" s="24">
        <f>IFERROR(IF('Incurred Loss'!D12="","",'Sel Ults - Incurred Loss'!D12-'Incurred Loss'!D12),"")</f>
        <v/>
      </c>
      <c r="E12" s="24">
        <f>IFERROR(IF('Incurred Loss'!E12="","",'Sel Ults - Incurred Loss'!D12-'Incurred Loss'!E12),"")</f>
        <v/>
      </c>
      <c r="F12" s="24">
        <f>IFERROR(IF('Incurred Loss'!F12="","",'Sel Ults - Incurred Loss'!D12-'Incurred Loss'!F12),"")</f>
        <v/>
      </c>
      <c r="G12" s="24">
        <f>IFERROR(IF('Incurred Loss'!G12="","",'Sel Ults - Incurred Loss'!D12-'Incurred Loss'!G12),"")</f>
        <v/>
      </c>
      <c r="H12" s="24">
        <f>IFERROR(IF('Incurred Loss'!H12="","",'Sel Ults - Incurred Loss'!D12-'Incurred Loss'!H12),"")</f>
        <v/>
      </c>
      <c r="I12" s="24">
        <f>IFERROR(IF('Incurred Loss'!I12="","",'Sel Ults - Incurred Loss'!D12-'Incurred Loss'!I12),"")</f>
        <v/>
      </c>
      <c r="J12" s="24">
        <f>IFERROR(IF('Incurred Loss'!J12="","",'Sel Ults - Incurred Loss'!D12-'Incurred Loss'!J12),"")</f>
        <v/>
      </c>
      <c r="K12" s="24">
        <f>IFERROR(IF('Incurred Loss'!K12="","",'Sel Ults - Incurred Loss'!D12-'Incurred Loss'!K12),"")</f>
        <v/>
      </c>
      <c r="L12" s="24">
        <f>IFERROR(IF('Incurred Loss'!L12="","",'Sel Ults - Incurred Loss'!D12-'Incurred Loss'!L12),"")</f>
        <v/>
      </c>
      <c r="M12" s="24">
        <f>IFERROR(IF('Incurred Loss'!M12="","",'Sel Ults - Incurred Loss'!D12-'Incurred Loss'!M12),"")</f>
        <v/>
      </c>
      <c r="N12" s="24">
        <f>IFERROR(IF('Incurred Loss'!N12="","",'Sel Ults - Incurred Loss'!D12-'Incurred Loss'!N12),"")</f>
        <v/>
      </c>
      <c r="O12" s="24">
        <f>IFERROR(IF('Incurred Loss'!O12="","",'Sel Ults - Incurred Loss'!D12-'Incurred Loss'!O12),"")</f>
        <v/>
      </c>
      <c r="P12" s="24">
        <f>IFERROR(IF('Incurred Loss'!P12="","",'Sel Ults - Incurred Loss'!D12-'Incurred Loss'!P12),"")</f>
        <v/>
      </c>
      <c r="Q12" s="24">
        <f>IFERROR(IF('Incurred Loss'!Q12="","",'Sel Ults - Incurred Loss'!D12-'Incurred Loss'!Q12),"")</f>
        <v/>
      </c>
      <c r="R12" s="24">
        <f>IFERROR(IF('Incurred Loss'!R12="","",'Sel Ults - Incurred Loss'!D12-'Incurred Loss'!R12),"")</f>
        <v/>
      </c>
      <c r="S12" s="24">
        <f>IFERROR(IF('Incurred Loss'!S12="","",'Sel Ults - Incurred Loss'!D12-'Incurred Loss'!S12),"")</f>
        <v/>
      </c>
      <c r="T12" s="24">
        <f>IFERROR(IF('Incurred Loss'!T12="","",'Sel Ults - Incurred Loss'!D12-'Incurred Loss'!T12),"")</f>
        <v/>
      </c>
      <c r="U12" s="24">
        <f>IFERROR(IF('Incurred Loss'!U12="","",'Sel Ults - Incurred Loss'!D12-'Incurred Loss'!U12),"")</f>
        <v/>
      </c>
      <c r="V12" s="24">
        <f>IFERROR(IF('Incurred Loss'!V12="","",'Sel Ults - Incurred Loss'!D12-'Incurred Loss'!V12),"")</f>
        <v/>
      </c>
      <c r="W12" s="24">
        <f>IFERROR(IF('Incurred Loss'!W12="","",'Sel Ults - Incurred Loss'!D12-'Incurred Loss'!W12),"")</f>
        <v/>
      </c>
      <c r="X12" s="24">
        <f>IFERROR(IF('Incurred Loss'!X12="","",'Sel Ults - Incurred Loss'!D12-'Incurred Loss'!X12),"")</f>
        <v/>
      </c>
      <c r="Y12" s="24">
        <f>IFERROR(IF('Incurred Loss'!Y12="","",'Sel Ults - Incurred Loss'!D12-'Incurred Loss'!Y12),"")</f>
        <v/>
      </c>
    </row>
    <row r="13">
      <c r="A13">
        <f>'Incurred Loss'!A13</f>
        <v/>
      </c>
      <c r="B13" s="24">
        <f>IFERROR(IF('Incurred Loss'!B13="","",'Sel Ults - Incurred Loss'!D13-'Incurred Loss'!B13),"")</f>
        <v/>
      </c>
      <c r="C13" s="24">
        <f>IFERROR(IF('Incurred Loss'!C13="","",'Sel Ults - Incurred Loss'!D13-'Incurred Loss'!C13),"")</f>
        <v/>
      </c>
      <c r="D13" s="24">
        <f>IFERROR(IF('Incurred Loss'!D13="","",'Sel Ults - Incurred Loss'!D13-'Incurred Loss'!D13),"")</f>
        <v/>
      </c>
      <c r="E13" s="24">
        <f>IFERROR(IF('Incurred Loss'!E13="","",'Sel Ults - Incurred Loss'!D13-'Incurred Loss'!E13),"")</f>
        <v/>
      </c>
      <c r="F13" s="24">
        <f>IFERROR(IF('Incurred Loss'!F13="","",'Sel Ults - Incurred Loss'!D13-'Incurred Loss'!F13),"")</f>
        <v/>
      </c>
      <c r="G13" s="24">
        <f>IFERROR(IF('Incurred Loss'!G13="","",'Sel Ults - Incurred Loss'!D13-'Incurred Loss'!G13),"")</f>
        <v/>
      </c>
      <c r="H13" s="24">
        <f>IFERROR(IF('Incurred Loss'!H13="","",'Sel Ults - Incurred Loss'!D13-'Incurred Loss'!H13),"")</f>
        <v/>
      </c>
      <c r="I13" s="24">
        <f>IFERROR(IF('Incurred Loss'!I13="","",'Sel Ults - Incurred Loss'!D13-'Incurred Loss'!I13),"")</f>
        <v/>
      </c>
      <c r="J13" s="24">
        <f>IFERROR(IF('Incurred Loss'!J13="","",'Sel Ults - Incurred Loss'!D13-'Incurred Loss'!J13),"")</f>
        <v/>
      </c>
      <c r="K13" s="24">
        <f>IFERROR(IF('Incurred Loss'!K13="","",'Sel Ults - Incurred Loss'!D13-'Incurred Loss'!K13),"")</f>
        <v/>
      </c>
      <c r="L13" s="24">
        <f>IFERROR(IF('Incurred Loss'!L13="","",'Sel Ults - Incurred Loss'!D13-'Incurred Loss'!L13),"")</f>
        <v/>
      </c>
      <c r="M13" s="24">
        <f>IFERROR(IF('Incurred Loss'!M13="","",'Sel Ults - Incurred Loss'!D13-'Incurred Loss'!M13),"")</f>
        <v/>
      </c>
      <c r="N13" s="24">
        <f>IFERROR(IF('Incurred Loss'!N13="","",'Sel Ults - Incurred Loss'!D13-'Incurred Loss'!N13),"")</f>
        <v/>
      </c>
      <c r="O13" s="24">
        <f>IFERROR(IF('Incurred Loss'!O13="","",'Sel Ults - Incurred Loss'!D13-'Incurred Loss'!O13),"")</f>
        <v/>
      </c>
      <c r="P13" s="24">
        <f>IFERROR(IF('Incurred Loss'!P13="","",'Sel Ults - Incurred Loss'!D13-'Incurred Loss'!P13),"")</f>
        <v/>
      </c>
      <c r="Q13" s="24">
        <f>IFERROR(IF('Incurred Loss'!Q13="","",'Sel Ults - Incurred Loss'!D13-'Incurred Loss'!Q13),"")</f>
        <v/>
      </c>
      <c r="R13" s="24">
        <f>IFERROR(IF('Incurred Loss'!R13="","",'Sel Ults - Incurred Loss'!D13-'Incurred Loss'!R13),"")</f>
        <v/>
      </c>
      <c r="S13" s="24">
        <f>IFERROR(IF('Incurred Loss'!S13="","",'Sel Ults - Incurred Loss'!D13-'Incurred Loss'!S13),"")</f>
        <v/>
      </c>
      <c r="T13" s="24">
        <f>IFERROR(IF('Incurred Loss'!T13="","",'Sel Ults - Incurred Loss'!D13-'Incurred Loss'!T13),"")</f>
        <v/>
      </c>
      <c r="U13" s="24">
        <f>IFERROR(IF('Incurred Loss'!U13="","",'Sel Ults - Incurred Loss'!D13-'Incurred Loss'!U13),"")</f>
        <v/>
      </c>
      <c r="V13" s="24">
        <f>IFERROR(IF('Incurred Loss'!V13="","",'Sel Ults - Incurred Loss'!D13-'Incurred Loss'!V13),"")</f>
        <v/>
      </c>
      <c r="W13" s="24">
        <f>IFERROR(IF('Incurred Loss'!W13="","",'Sel Ults - Incurred Loss'!D13-'Incurred Loss'!W13),"")</f>
        <v/>
      </c>
      <c r="X13" s="24">
        <f>IFERROR(IF('Incurred Loss'!X13="","",'Sel Ults - Incurred Loss'!D13-'Incurred Loss'!X13),"")</f>
        <v/>
      </c>
      <c r="Y13" s="24">
        <f>IFERROR(IF('Incurred Loss'!Y13="","",'Sel Ults - Incurred Loss'!D13-'Incurred Loss'!Y13),"")</f>
        <v/>
      </c>
    </row>
    <row r="14">
      <c r="A14">
        <f>'Incurred Loss'!A14</f>
        <v/>
      </c>
      <c r="B14" s="24">
        <f>IFERROR(IF('Incurred Loss'!B14="","",'Sel Ults - Incurred Loss'!D14-'Incurred Loss'!B14),"")</f>
        <v/>
      </c>
      <c r="C14" s="24">
        <f>IFERROR(IF('Incurred Loss'!C14="","",'Sel Ults - Incurred Loss'!D14-'Incurred Loss'!C14),"")</f>
        <v/>
      </c>
      <c r="D14" s="24">
        <f>IFERROR(IF('Incurred Loss'!D14="","",'Sel Ults - Incurred Loss'!D14-'Incurred Loss'!D14),"")</f>
        <v/>
      </c>
      <c r="E14" s="24">
        <f>IFERROR(IF('Incurred Loss'!E14="","",'Sel Ults - Incurred Loss'!D14-'Incurred Loss'!E14),"")</f>
        <v/>
      </c>
      <c r="F14" s="24">
        <f>IFERROR(IF('Incurred Loss'!F14="","",'Sel Ults - Incurred Loss'!D14-'Incurred Loss'!F14),"")</f>
        <v/>
      </c>
      <c r="G14" s="24">
        <f>IFERROR(IF('Incurred Loss'!G14="","",'Sel Ults - Incurred Loss'!D14-'Incurred Loss'!G14),"")</f>
        <v/>
      </c>
      <c r="H14" s="24">
        <f>IFERROR(IF('Incurred Loss'!H14="","",'Sel Ults - Incurred Loss'!D14-'Incurred Loss'!H14),"")</f>
        <v/>
      </c>
      <c r="I14" s="24">
        <f>IFERROR(IF('Incurred Loss'!I14="","",'Sel Ults - Incurred Loss'!D14-'Incurred Loss'!I14),"")</f>
        <v/>
      </c>
      <c r="J14" s="24">
        <f>IFERROR(IF('Incurred Loss'!J14="","",'Sel Ults - Incurred Loss'!D14-'Incurred Loss'!J14),"")</f>
        <v/>
      </c>
      <c r="K14" s="24">
        <f>IFERROR(IF('Incurred Loss'!K14="","",'Sel Ults - Incurred Loss'!D14-'Incurred Loss'!K14),"")</f>
        <v/>
      </c>
      <c r="L14" s="24">
        <f>IFERROR(IF('Incurred Loss'!L14="","",'Sel Ults - Incurred Loss'!D14-'Incurred Loss'!L14),"")</f>
        <v/>
      </c>
      <c r="M14" s="24">
        <f>IFERROR(IF('Incurred Loss'!M14="","",'Sel Ults - Incurred Loss'!D14-'Incurred Loss'!M14),"")</f>
        <v/>
      </c>
      <c r="N14" s="24">
        <f>IFERROR(IF('Incurred Loss'!N14="","",'Sel Ults - Incurred Loss'!D14-'Incurred Loss'!N14),"")</f>
        <v/>
      </c>
      <c r="O14" s="24">
        <f>IFERROR(IF('Incurred Loss'!O14="","",'Sel Ults - Incurred Loss'!D14-'Incurred Loss'!O14),"")</f>
        <v/>
      </c>
      <c r="P14" s="24">
        <f>IFERROR(IF('Incurred Loss'!P14="","",'Sel Ults - Incurred Loss'!D14-'Incurred Loss'!P14),"")</f>
        <v/>
      </c>
      <c r="Q14" s="24">
        <f>IFERROR(IF('Incurred Loss'!Q14="","",'Sel Ults - Incurred Loss'!D14-'Incurred Loss'!Q14),"")</f>
        <v/>
      </c>
      <c r="R14" s="24">
        <f>IFERROR(IF('Incurred Loss'!R14="","",'Sel Ults - Incurred Loss'!D14-'Incurred Loss'!R14),"")</f>
        <v/>
      </c>
      <c r="S14" s="24">
        <f>IFERROR(IF('Incurred Loss'!S14="","",'Sel Ults - Incurred Loss'!D14-'Incurred Loss'!S14),"")</f>
        <v/>
      </c>
      <c r="T14" s="24">
        <f>IFERROR(IF('Incurred Loss'!T14="","",'Sel Ults - Incurred Loss'!D14-'Incurred Loss'!T14),"")</f>
        <v/>
      </c>
      <c r="U14" s="24">
        <f>IFERROR(IF('Incurred Loss'!U14="","",'Sel Ults - Incurred Loss'!D14-'Incurred Loss'!U14),"")</f>
        <v/>
      </c>
      <c r="V14" s="24">
        <f>IFERROR(IF('Incurred Loss'!V14="","",'Sel Ults - Incurred Loss'!D14-'Incurred Loss'!V14),"")</f>
        <v/>
      </c>
      <c r="W14" s="24">
        <f>IFERROR(IF('Incurred Loss'!W14="","",'Sel Ults - Incurred Loss'!D14-'Incurred Loss'!W14),"")</f>
        <v/>
      </c>
      <c r="X14" s="24">
        <f>IFERROR(IF('Incurred Loss'!X14="","",'Sel Ults - Incurred Loss'!D14-'Incurred Loss'!X14),"")</f>
        <v/>
      </c>
      <c r="Y14" s="24">
        <f>IFERROR(IF('Incurred Loss'!Y14="","",'Sel Ults - Incurred Loss'!D14-'Incurred Loss'!Y14),"")</f>
        <v/>
      </c>
    </row>
    <row r="15">
      <c r="A15">
        <f>'Incurred Loss'!A15</f>
        <v/>
      </c>
      <c r="B15" s="24">
        <f>IFERROR(IF('Incurred Loss'!B15="","",'Sel Ults - Incurred Loss'!D15-'Incurred Loss'!B15),"")</f>
        <v/>
      </c>
      <c r="C15" s="24">
        <f>IFERROR(IF('Incurred Loss'!C15="","",'Sel Ults - Incurred Loss'!D15-'Incurred Loss'!C15),"")</f>
        <v/>
      </c>
      <c r="D15" s="24">
        <f>IFERROR(IF('Incurred Loss'!D15="","",'Sel Ults - Incurred Loss'!D15-'Incurred Loss'!D15),"")</f>
        <v/>
      </c>
      <c r="E15" s="24">
        <f>IFERROR(IF('Incurred Loss'!E15="","",'Sel Ults - Incurred Loss'!D15-'Incurred Loss'!E15),"")</f>
        <v/>
      </c>
      <c r="F15" s="24">
        <f>IFERROR(IF('Incurred Loss'!F15="","",'Sel Ults - Incurred Loss'!D15-'Incurred Loss'!F15),"")</f>
        <v/>
      </c>
      <c r="G15" s="24">
        <f>IFERROR(IF('Incurred Loss'!G15="","",'Sel Ults - Incurred Loss'!D15-'Incurred Loss'!G15),"")</f>
        <v/>
      </c>
      <c r="H15" s="24">
        <f>IFERROR(IF('Incurred Loss'!H15="","",'Sel Ults - Incurred Loss'!D15-'Incurred Loss'!H15),"")</f>
        <v/>
      </c>
      <c r="I15" s="24">
        <f>IFERROR(IF('Incurred Loss'!I15="","",'Sel Ults - Incurred Loss'!D15-'Incurred Loss'!I15),"")</f>
        <v/>
      </c>
      <c r="J15" s="24">
        <f>IFERROR(IF('Incurred Loss'!J15="","",'Sel Ults - Incurred Loss'!D15-'Incurred Loss'!J15),"")</f>
        <v/>
      </c>
      <c r="K15" s="24">
        <f>IFERROR(IF('Incurred Loss'!K15="","",'Sel Ults - Incurred Loss'!D15-'Incurred Loss'!K15),"")</f>
        <v/>
      </c>
      <c r="L15" s="24">
        <f>IFERROR(IF('Incurred Loss'!L15="","",'Sel Ults - Incurred Loss'!D15-'Incurred Loss'!L15),"")</f>
        <v/>
      </c>
      <c r="M15" s="24">
        <f>IFERROR(IF('Incurred Loss'!M15="","",'Sel Ults - Incurred Loss'!D15-'Incurred Loss'!M15),"")</f>
        <v/>
      </c>
      <c r="N15" s="24">
        <f>IFERROR(IF('Incurred Loss'!N15="","",'Sel Ults - Incurred Loss'!D15-'Incurred Loss'!N15),"")</f>
        <v/>
      </c>
      <c r="O15" s="24">
        <f>IFERROR(IF('Incurred Loss'!O15="","",'Sel Ults - Incurred Loss'!D15-'Incurred Loss'!O15),"")</f>
        <v/>
      </c>
      <c r="P15" s="24">
        <f>IFERROR(IF('Incurred Loss'!P15="","",'Sel Ults - Incurred Loss'!D15-'Incurred Loss'!P15),"")</f>
        <v/>
      </c>
      <c r="Q15" s="24">
        <f>IFERROR(IF('Incurred Loss'!Q15="","",'Sel Ults - Incurred Loss'!D15-'Incurred Loss'!Q15),"")</f>
        <v/>
      </c>
      <c r="R15" s="24">
        <f>IFERROR(IF('Incurred Loss'!R15="","",'Sel Ults - Incurred Loss'!D15-'Incurred Loss'!R15),"")</f>
        <v/>
      </c>
      <c r="S15" s="24">
        <f>IFERROR(IF('Incurred Loss'!S15="","",'Sel Ults - Incurred Loss'!D15-'Incurred Loss'!S15),"")</f>
        <v/>
      </c>
      <c r="T15" s="24">
        <f>IFERROR(IF('Incurred Loss'!T15="","",'Sel Ults - Incurred Loss'!D15-'Incurred Loss'!T15),"")</f>
        <v/>
      </c>
      <c r="U15" s="24">
        <f>IFERROR(IF('Incurred Loss'!U15="","",'Sel Ults - Incurred Loss'!D15-'Incurred Loss'!U15),"")</f>
        <v/>
      </c>
      <c r="V15" s="24">
        <f>IFERROR(IF('Incurred Loss'!V15="","",'Sel Ults - Incurred Loss'!D15-'Incurred Loss'!V15),"")</f>
        <v/>
      </c>
      <c r="W15" s="24">
        <f>IFERROR(IF('Incurred Loss'!W15="","",'Sel Ults - Incurred Loss'!D15-'Incurred Loss'!W15),"")</f>
        <v/>
      </c>
      <c r="X15" s="24">
        <f>IFERROR(IF('Incurred Loss'!X15="","",'Sel Ults - Incurred Loss'!D15-'Incurred Loss'!X15),"")</f>
        <v/>
      </c>
      <c r="Y15" s="24">
        <f>IFERROR(IF('Incurred Loss'!Y15="","",'Sel Ults - Incurred Loss'!D15-'Incurred Loss'!Y15),"")</f>
        <v/>
      </c>
    </row>
    <row r="16">
      <c r="A16">
        <f>'Incurred Loss'!A16</f>
        <v/>
      </c>
      <c r="B16" s="24">
        <f>IFERROR(IF('Incurred Loss'!B16="","",'Sel Ults - Incurred Loss'!D16-'Incurred Loss'!B16),"")</f>
        <v/>
      </c>
      <c r="C16" s="24">
        <f>IFERROR(IF('Incurred Loss'!C16="","",'Sel Ults - Incurred Loss'!D16-'Incurred Loss'!C16),"")</f>
        <v/>
      </c>
      <c r="D16" s="24">
        <f>IFERROR(IF('Incurred Loss'!D16="","",'Sel Ults - Incurred Loss'!D16-'Incurred Loss'!D16),"")</f>
        <v/>
      </c>
      <c r="E16" s="24">
        <f>IFERROR(IF('Incurred Loss'!E16="","",'Sel Ults - Incurred Loss'!D16-'Incurred Loss'!E16),"")</f>
        <v/>
      </c>
      <c r="F16" s="24">
        <f>IFERROR(IF('Incurred Loss'!F16="","",'Sel Ults - Incurred Loss'!D16-'Incurred Loss'!F16),"")</f>
        <v/>
      </c>
      <c r="G16" s="24">
        <f>IFERROR(IF('Incurred Loss'!G16="","",'Sel Ults - Incurred Loss'!D16-'Incurred Loss'!G16),"")</f>
        <v/>
      </c>
      <c r="H16" s="24">
        <f>IFERROR(IF('Incurred Loss'!H16="","",'Sel Ults - Incurred Loss'!D16-'Incurred Loss'!H16),"")</f>
        <v/>
      </c>
      <c r="I16" s="24">
        <f>IFERROR(IF('Incurred Loss'!I16="","",'Sel Ults - Incurred Loss'!D16-'Incurred Loss'!I16),"")</f>
        <v/>
      </c>
      <c r="J16" s="24">
        <f>IFERROR(IF('Incurred Loss'!J16="","",'Sel Ults - Incurred Loss'!D16-'Incurred Loss'!J16),"")</f>
        <v/>
      </c>
      <c r="K16" s="24">
        <f>IFERROR(IF('Incurred Loss'!K16="","",'Sel Ults - Incurred Loss'!D16-'Incurred Loss'!K16),"")</f>
        <v/>
      </c>
      <c r="L16" s="24">
        <f>IFERROR(IF('Incurred Loss'!L16="","",'Sel Ults - Incurred Loss'!D16-'Incurred Loss'!L16),"")</f>
        <v/>
      </c>
      <c r="M16" s="24">
        <f>IFERROR(IF('Incurred Loss'!M16="","",'Sel Ults - Incurred Loss'!D16-'Incurred Loss'!M16),"")</f>
        <v/>
      </c>
      <c r="N16" s="24">
        <f>IFERROR(IF('Incurred Loss'!N16="","",'Sel Ults - Incurred Loss'!D16-'Incurred Loss'!N16),"")</f>
        <v/>
      </c>
      <c r="O16" s="24">
        <f>IFERROR(IF('Incurred Loss'!O16="","",'Sel Ults - Incurred Loss'!D16-'Incurred Loss'!O16),"")</f>
        <v/>
      </c>
      <c r="P16" s="24">
        <f>IFERROR(IF('Incurred Loss'!P16="","",'Sel Ults - Incurred Loss'!D16-'Incurred Loss'!P16),"")</f>
        <v/>
      </c>
      <c r="Q16" s="24">
        <f>IFERROR(IF('Incurred Loss'!Q16="","",'Sel Ults - Incurred Loss'!D16-'Incurred Loss'!Q16),"")</f>
        <v/>
      </c>
      <c r="R16" s="24">
        <f>IFERROR(IF('Incurred Loss'!R16="","",'Sel Ults - Incurred Loss'!D16-'Incurred Loss'!R16),"")</f>
        <v/>
      </c>
      <c r="S16" s="24">
        <f>IFERROR(IF('Incurred Loss'!S16="","",'Sel Ults - Incurred Loss'!D16-'Incurred Loss'!S16),"")</f>
        <v/>
      </c>
      <c r="T16" s="24">
        <f>IFERROR(IF('Incurred Loss'!T16="","",'Sel Ults - Incurred Loss'!D16-'Incurred Loss'!T16),"")</f>
        <v/>
      </c>
      <c r="U16" s="24">
        <f>IFERROR(IF('Incurred Loss'!U16="","",'Sel Ults - Incurred Loss'!D16-'Incurred Loss'!U16),"")</f>
        <v/>
      </c>
      <c r="V16" s="24">
        <f>IFERROR(IF('Incurred Loss'!V16="","",'Sel Ults - Incurred Loss'!D16-'Incurred Loss'!V16),"")</f>
        <v/>
      </c>
      <c r="W16" s="24">
        <f>IFERROR(IF('Incurred Loss'!W16="","",'Sel Ults - Incurred Loss'!D16-'Incurred Loss'!W16),"")</f>
        <v/>
      </c>
      <c r="X16" s="24">
        <f>IFERROR(IF('Incurred Loss'!X16="","",'Sel Ults - Incurred Loss'!D16-'Incurred Loss'!X16),"")</f>
        <v/>
      </c>
      <c r="Y16" s="24">
        <f>IFERROR(IF('Incurred Loss'!Y16="","",'Sel Ults - Incurred Loss'!D16-'Incurred Loss'!Y16),"")</f>
        <v/>
      </c>
    </row>
    <row r="17">
      <c r="A17">
        <f>'Incurred Loss'!A17</f>
        <v/>
      </c>
      <c r="B17" s="24">
        <f>IFERROR(IF('Incurred Loss'!B17="","",'Sel Ults - Incurred Loss'!D17-'Incurred Loss'!B17),"")</f>
        <v/>
      </c>
      <c r="C17" s="24">
        <f>IFERROR(IF('Incurred Loss'!C17="","",'Sel Ults - Incurred Loss'!D17-'Incurred Loss'!C17),"")</f>
        <v/>
      </c>
      <c r="D17" s="24">
        <f>IFERROR(IF('Incurred Loss'!D17="","",'Sel Ults - Incurred Loss'!D17-'Incurred Loss'!D17),"")</f>
        <v/>
      </c>
      <c r="E17" s="24">
        <f>IFERROR(IF('Incurred Loss'!E17="","",'Sel Ults - Incurred Loss'!D17-'Incurred Loss'!E17),"")</f>
        <v/>
      </c>
      <c r="F17" s="24">
        <f>IFERROR(IF('Incurred Loss'!F17="","",'Sel Ults - Incurred Loss'!D17-'Incurred Loss'!F17),"")</f>
        <v/>
      </c>
      <c r="G17" s="24">
        <f>IFERROR(IF('Incurred Loss'!G17="","",'Sel Ults - Incurred Loss'!D17-'Incurred Loss'!G17),"")</f>
        <v/>
      </c>
      <c r="H17" s="24">
        <f>IFERROR(IF('Incurred Loss'!H17="","",'Sel Ults - Incurred Loss'!D17-'Incurred Loss'!H17),"")</f>
        <v/>
      </c>
      <c r="I17" s="24">
        <f>IFERROR(IF('Incurred Loss'!I17="","",'Sel Ults - Incurred Loss'!D17-'Incurred Loss'!I17),"")</f>
        <v/>
      </c>
      <c r="J17" s="24">
        <f>IFERROR(IF('Incurred Loss'!J17="","",'Sel Ults - Incurred Loss'!D17-'Incurred Loss'!J17),"")</f>
        <v/>
      </c>
      <c r="K17" s="24">
        <f>IFERROR(IF('Incurred Loss'!K17="","",'Sel Ults - Incurred Loss'!D17-'Incurred Loss'!K17),"")</f>
        <v/>
      </c>
      <c r="L17" s="24">
        <f>IFERROR(IF('Incurred Loss'!L17="","",'Sel Ults - Incurred Loss'!D17-'Incurred Loss'!L17),"")</f>
        <v/>
      </c>
      <c r="M17" s="24">
        <f>IFERROR(IF('Incurred Loss'!M17="","",'Sel Ults - Incurred Loss'!D17-'Incurred Loss'!M17),"")</f>
        <v/>
      </c>
      <c r="N17" s="24">
        <f>IFERROR(IF('Incurred Loss'!N17="","",'Sel Ults - Incurred Loss'!D17-'Incurred Loss'!N17),"")</f>
        <v/>
      </c>
      <c r="O17" s="24">
        <f>IFERROR(IF('Incurred Loss'!O17="","",'Sel Ults - Incurred Loss'!D17-'Incurred Loss'!O17),"")</f>
        <v/>
      </c>
      <c r="P17" s="24">
        <f>IFERROR(IF('Incurred Loss'!P17="","",'Sel Ults - Incurred Loss'!D17-'Incurred Loss'!P17),"")</f>
        <v/>
      </c>
      <c r="Q17" s="24">
        <f>IFERROR(IF('Incurred Loss'!Q17="","",'Sel Ults - Incurred Loss'!D17-'Incurred Loss'!Q17),"")</f>
        <v/>
      </c>
      <c r="R17" s="24">
        <f>IFERROR(IF('Incurred Loss'!R17="","",'Sel Ults - Incurred Loss'!D17-'Incurred Loss'!R17),"")</f>
        <v/>
      </c>
      <c r="S17" s="24">
        <f>IFERROR(IF('Incurred Loss'!S17="","",'Sel Ults - Incurred Loss'!D17-'Incurred Loss'!S17),"")</f>
        <v/>
      </c>
      <c r="T17" s="24">
        <f>IFERROR(IF('Incurred Loss'!T17="","",'Sel Ults - Incurred Loss'!D17-'Incurred Loss'!T17),"")</f>
        <v/>
      </c>
      <c r="U17" s="24">
        <f>IFERROR(IF('Incurred Loss'!U17="","",'Sel Ults - Incurred Loss'!D17-'Incurred Loss'!U17),"")</f>
        <v/>
      </c>
      <c r="V17" s="24">
        <f>IFERROR(IF('Incurred Loss'!V17="","",'Sel Ults - Incurred Loss'!D17-'Incurred Loss'!V17),"")</f>
        <v/>
      </c>
      <c r="W17" s="24">
        <f>IFERROR(IF('Incurred Loss'!W17="","",'Sel Ults - Incurred Loss'!D17-'Incurred Loss'!W17),"")</f>
        <v/>
      </c>
      <c r="X17" s="24">
        <f>IFERROR(IF('Incurred Loss'!X17="","",'Sel Ults - Incurred Loss'!D17-'Incurred Loss'!X17),"")</f>
        <v/>
      </c>
      <c r="Y17" s="24">
        <f>IFERROR(IF('Incurred Loss'!Y17="","",'Sel Ults - Incurred Loss'!D17-'Incurred Loss'!Y17),"")</f>
        <v/>
      </c>
    </row>
    <row r="18">
      <c r="A18">
        <f>'Incurred Loss'!A18</f>
        <v/>
      </c>
      <c r="B18" s="24">
        <f>IFERROR(IF('Incurred Loss'!B18="","",'Sel Ults - Incurred Loss'!D18-'Incurred Loss'!B18),"")</f>
        <v/>
      </c>
      <c r="C18" s="24">
        <f>IFERROR(IF('Incurred Loss'!C18="","",'Sel Ults - Incurred Loss'!D18-'Incurred Loss'!C18),"")</f>
        <v/>
      </c>
      <c r="D18" s="24">
        <f>IFERROR(IF('Incurred Loss'!D18="","",'Sel Ults - Incurred Loss'!D18-'Incurred Loss'!D18),"")</f>
        <v/>
      </c>
      <c r="E18" s="24">
        <f>IFERROR(IF('Incurred Loss'!E18="","",'Sel Ults - Incurred Loss'!D18-'Incurred Loss'!E18),"")</f>
        <v/>
      </c>
      <c r="F18" s="24">
        <f>IFERROR(IF('Incurred Loss'!F18="","",'Sel Ults - Incurred Loss'!D18-'Incurred Loss'!F18),"")</f>
        <v/>
      </c>
      <c r="G18" s="24">
        <f>IFERROR(IF('Incurred Loss'!G18="","",'Sel Ults - Incurred Loss'!D18-'Incurred Loss'!G18),"")</f>
        <v/>
      </c>
      <c r="H18" s="24">
        <f>IFERROR(IF('Incurred Loss'!H18="","",'Sel Ults - Incurred Loss'!D18-'Incurred Loss'!H18),"")</f>
        <v/>
      </c>
      <c r="I18" s="24">
        <f>IFERROR(IF('Incurred Loss'!I18="","",'Sel Ults - Incurred Loss'!D18-'Incurred Loss'!I18),"")</f>
        <v/>
      </c>
      <c r="J18" s="24">
        <f>IFERROR(IF('Incurred Loss'!J18="","",'Sel Ults - Incurred Loss'!D18-'Incurred Loss'!J18),"")</f>
        <v/>
      </c>
      <c r="K18" s="24">
        <f>IFERROR(IF('Incurred Loss'!K18="","",'Sel Ults - Incurred Loss'!D18-'Incurred Loss'!K18),"")</f>
        <v/>
      </c>
      <c r="L18" s="24">
        <f>IFERROR(IF('Incurred Loss'!L18="","",'Sel Ults - Incurred Loss'!D18-'Incurred Loss'!L18),"")</f>
        <v/>
      </c>
      <c r="M18" s="24">
        <f>IFERROR(IF('Incurred Loss'!M18="","",'Sel Ults - Incurred Loss'!D18-'Incurred Loss'!M18),"")</f>
        <v/>
      </c>
      <c r="N18" s="24">
        <f>IFERROR(IF('Incurred Loss'!N18="","",'Sel Ults - Incurred Loss'!D18-'Incurred Loss'!N18),"")</f>
        <v/>
      </c>
      <c r="O18" s="24">
        <f>IFERROR(IF('Incurred Loss'!O18="","",'Sel Ults - Incurred Loss'!D18-'Incurred Loss'!O18),"")</f>
        <v/>
      </c>
      <c r="P18" s="24">
        <f>IFERROR(IF('Incurred Loss'!P18="","",'Sel Ults - Incurred Loss'!D18-'Incurred Loss'!P18),"")</f>
        <v/>
      </c>
      <c r="Q18" s="24">
        <f>IFERROR(IF('Incurred Loss'!Q18="","",'Sel Ults - Incurred Loss'!D18-'Incurred Loss'!Q18),"")</f>
        <v/>
      </c>
      <c r="R18" s="24">
        <f>IFERROR(IF('Incurred Loss'!R18="","",'Sel Ults - Incurred Loss'!D18-'Incurred Loss'!R18),"")</f>
        <v/>
      </c>
      <c r="S18" s="24">
        <f>IFERROR(IF('Incurred Loss'!S18="","",'Sel Ults - Incurred Loss'!D18-'Incurred Loss'!S18),"")</f>
        <v/>
      </c>
      <c r="T18" s="24">
        <f>IFERROR(IF('Incurred Loss'!T18="","",'Sel Ults - Incurred Loss'!D18-'Incurred Loss'!T18),"")</f>
        <v/>
      </c>
      <c r="U18" s="24">
        <f>IFERROR(IF('Incurred Loss'!U18="","",'Sel Ults - Incurred Loss'!D18-'Incurred Loss'!U18),"")</f>
        <v/>
      </c>
      <c r="V18" s="24">
        <f>IFERROR(IF('Incurred Loss'!V18="","",'Sel Ults - Incurred Loss'!D18-'Incurred Loss'!V18),"")</f>
        <v/>
      </c>
      <c r="W18" s="24">
        <f>IFERROR(IF('Incurred Loss'!W18="","",'Sel Ults - Incurred Loss'!D18-'Incurred Loss'!W18),"")</f>
        <v/>
      </c>
      <c r="X18" s="24">
        <f>IFERROR(IF('Incurred Loss'!X18="","",'Sel Ults - Incurred Loss'!D18-'Incurred Loss'!X18),"")</f>
        <v/>
      </c>
      <c r="Y18" s="24">
        <f>IFERROR(IF('Incurred Loss'!Y18="","",'Sel Ults - Incurred Loss'!D18-'Incurred Loss'!Y18),"")</f>
        <v/>
      </c>
    </row>
    <row r="19">
      <c r="A19">
        <f>'Incurred Loss'!A19</f>
        <v/>
      </c>
      <c r="B19" s="24">
        <f>IFERROR(IF('Incurred Loss'!B19="","",'Sel Ults - Incurred Loss'!D19-'Incurred Loss'!B19),"")</f>
        <v/>
      </c>
      <c r="C19" s="24">
        <f>IFERROR(IF('Incurred Loss'!C19="","",'Sel Ults - Incurred Loss'!D19-'Incurred Loss'!C19),"")</f>
        <v/>
      </c>
      <c r="D19" s="24">
        <f>IFERROR(IF('Incurred Loss'!D19="","",'Sel Ults - Incurred Loss'!D19-'Incurred Loss'!D19),"")</f>
        <v/>
      </c>
      <c r="E19" s="24">
        <f>IFERROR(IF('Incurred Loss'!E19="","",'Sel Ults - Incurred Loss'!D19-'Incurred Loss'!E19),"")</f>
        <v/>
      </c>
      <c r="F19" s="24">
        <f>IFERROR(IF('Incurred Loss'!F19="","",'Sel Ults - Incurred Loss'!D19-'Incurred Loss'!F19),"")</f>
        <v/>
      </c>
      <c r="G19" s="24">
        <f>IFERROR(IF('Incurred Loss'!G19="","",'Sel Ults - Incurred Loss'!D19-'Incurred Loss'!G19),"")</f>
        <v/>
      </c>
      <c r="H19" s="24">
        <f>IFERROR(IF('Incurred Loss'!H19="","",'Sel Ults - Incurred Loss'!D19-'Incurred Loss'!H19),"")</f>
        <v/>
      </c>
      <c r="I19" s="24">
        <f>IFERROR(IF('Incurred Loss'!I19="","",'Sel Ults - Incurred Loss'!D19-'Incurred Loss'!I19),"")</f>
        <v/>
      </c>
      <c r="J19" s="24">
        <f>IFERROR(IF('Incurred Loss'!J19="","",'Sel Ults - Incurred Loss'!D19-'Incurred Loss'!J19),"")</f>
        <v/>
      </c>
      <c r="K19" s="24">
        <f>IFERROR(IF('Incurred Loss'!K19="","",'Sel Ults - Incurred Loss'!D19-'Incurred Loss'!K19),"")</f>
        <v/>
      </c>
      <c r="L19" s="24">
        <f>IFERROR(IF('Incurred Loss'!L19="","",'Sel Ults - Incurred Loss'!D19-'Incurred Loss'!L19),"")</f>
        <v/>
      </c>
      <c r="M19" s="24">
        <f>IFERROR(IF('Incurred Loss'!M19="","",'Sel Ults - Incurred Loss'!D19-'Incurred Loss'!M19),"")</f>
        <v/>
      </c>
      <c r="N19" s="24">
        <f>IFERROR(IF('Incurred Loss'!N19="","",'Sel Ults - Incurred Loss'!D19-'Incurred Loss'!N19),"")</f>
        <v/>
      </c>
      <c r="O19" s="24">
        <f>IFERROR(IF('Incurred Loss'!O19="","",'Sel Ults - Incurred Loss'!D19-'Incurred Loss'!O19),"")</f>
        <v/>
      </c>
      <c r="P19" s="24">
        <f>IFERROR(IF('Incurred Loss'!P19="","",'Sel Ults - Incurred Loss'!D19-'Incurred Loss'!P19),"")</f>
        <v/>
      </c>
      <c r="Q19" s="24">
        <f>IFERROR(IF('Incurred Loss'!Q19="","",'Sel Ults - Incurred Loss'!D19-'Incurred Loss'!Q19),"")</f>
        <v/>
      </c>
      <c r="R19" s="24">
        <f>IFERROR(IF('Incurred Loss'!R19="","",'Sel Ults - Incurred Loss'!D19-'Incurred Loss'!R19),"")</f>
        <v/>
      </c>
      <c r="S19" s="24">
        <f>IFERROR(IF('Incurred Loss'!S19="","",'Sel Ults - Incurred Loss'!D19-'Incurred Loss'!S19),"")</f>
        <v/>
      </c>
      <c r="T19" s="24">
        <f>IFERROR(IF('Incurred Loss'!T19="","",'Sel Ults - Incurred Loss'!D19-'Incurred Loss'!T19),"")</f>
        <v/>
      </c>
      <c r="U19" s="24">
        <f>IFERROR(IF('Incurred Loss'!U19="","",'Sel Ults - Incurred Loss'!D19-'Incurred Loss'!U19),"")</f>
        <v/>
      </c>
      <c r="V19" s="24">
        <f>IFERROR(IF('Incurred Loss'!V19="","",'Sel Ults - Incurred Loss'!D19-'Incurred Loss'!V19),"")</f>
        <v/>
      </c>
      <c r="W19" s="24">
        <f>IFERROR(IF('Incurred Loss'!W19="","",'Sel Ults - Incurred Loss'!D19-'Incurred Loss'!W19),"")</f>
        <v/>
      </c>
      <c r="X19" s="24">
        <f>IFERROR(IF('Incurred Loss'!X19="","",'Sel Ults - Incurred Loss'!D19-'Incurred Loss'!X19),"")</f>
        <v/>
      </c>
      <c r="Y19" s="24">
        <f>IFERROR(IF('Incurred Loss'!Y19="","",'Sel Ults - Incurred Loss'!D19-'Incurred Loss'!Y19),"")</f>
        <v/>
      </c>
    </row>
    <row r="20">
      <c r="A20">
        <f>'Incurred Loss'!A20</f>
        <v/>
      </c>
      <c r="B20" s="24">
        <f>IFERROR(IF('Incurred Loss'!B20="","",'Sel Ults - Incurred Loss'!D20-'Incurred Loss'!B20),"")</f>
        <v/>
      </c>
      <c r="C20" s="24">
        <f>IFERROR(IF('Incurred Loss'!C20="","",'Sel Ults - Incurred Loss'!D20-'Incurred Loss'!C20),"")</f>
        <v/>
      </c>
      <c r="D20" s="24">
        <f>IFERROR(IF('Incurred Loss'!D20="","",'Sel Ults - Incurred Loss'!D20-'Incurred Loss'!D20),"")</f>
        <v/>
      </c>
      <c r="E20" s="24">
        <f>IFERROR(IF('Incurred Loss'!E20="","",'Sel Ults - Incurred Loss'!D20-'Incurred Loss'!E20),"")</f>
        <v/>
      </c>
      <c r="F20" s="24">
        <f>IFERROR(IF('Incurred Loss'!F20="","",'Sel Ults - Incurred Loss'!D20-'Incurred Loss'!F20),"")</f>
        <v/>
      </c>
      <c r="G20" s="24">
        <f>IFERROR(IF('Incurred Loss'!G20="","",'Sel Ults - Incurred Loss'!D20-'Incurred Loss'!G20),"")</f>
        <v/>
      </c>
      <c r="H20" s="24">
        <f>IFERROR(IF('Incurred Loss'!H20="","",'Sel Ults - Incurred Loss'!D20-'Incurred Loss'!H20),"")</f>
        <v/>
      </c>
      <c r="I20" s="24">
        <f>IFERROR(IF('Incurred Loss'!I20="","",'Sel Ults - Incurred Loss'!D20-'Incurred Loss'!I20),"")</f>
        <v/>
      </c>
      <c r="J20" s="24">
        <f>IFERROR(IF('Incurred Loss'!J20="","",'Sel Ults - Incurred Loss'!D20-'Incurred Loss'!J20),"")</f>
        <v/>
      </c>
      <c r="K20" s="24">
        <f>IFERROR(IF('Incurred Loss'!K20="","",'Sel Ults - Incurred Loss'!D20-'Incurred Loss'!K20),"")</f>
        <v/>
      </c>
      <c r="L20" s="24">
        <f>IFERROR(IF('Incurred Loss'!L20="","",'Sel Ults - Incurred Loss'!D20-'Incurred Loss'!L20),"")</f>
        <v/>
      </c>
      <c r="M20" s="24">
        <f>IFERROR(IF('Incurred Loss'!M20="","",'Sel Ults - Incurred Loss'!D20-'Incurred Loss'!M20),"")</f>
        <v/>
      </c>
      <c r="N20" s="24">
        <f>IFERROR(IF('Incurred Loss'!N20="","",'Sel Ults - Incurred Loss'!D20-'Incurred Loss'!N20),"")</f>
        <v/>
      </c>
      <c r="O20" s="24">
        <f>IFERROR(IF('Incurred Loss'!O20="","",'Sel Ults - Incurred Loss'!D20-'Incurred Loss'!O20),"")</f>
        <v/>
      </c>
      <c r="P20" s="24">
        <f>IFERROR(IF('Incurred Loss'!P20="","",'Sel Ults - Incurred Loss'!D20-'Incurred Loss'!P20),"")</f>
        <v/>
      </c>
      <c r="Q20" s="24">
        <f>IFERROR(IF('Incurred Loss'!Q20="","",'Sel Ults - Incurred Loss'!D20-'Incurred Loss'!Q20),"")</f>
        <v/>
      </c>
      <c r="R20" s="24">
        <f>IFERROR(IF('Incurred Loss'!R20="","",'Sel Ults - Incurred Loss'!D20-'Incurred Loss'!R20),"")</f>
        <v/>
      </c>
      <c r="S20" s="24">
        <f>IFERROR(IF('Incurred Loss'!S20="","",'Sel Ults - Incurred Loss'!D20-'Incurred Loss'!S20),"")</f>
        <v/>
      </c>
      <c r="T20" s="24">
        <f>IFERROR(IF('Incurred Loss'!T20="","",'Sel Ults - Incurred Loss'!D20-'Incurred Loss'!T20),"")</f>
        <v/>
      </c>
      <c r="U20" s="24">
        <f>IFERROR(IF('Incurred Loss'!U20="","",'Sel Ults - Incurred Loss'!D20-'Incurred Loss'!U20),"")</f>
        <v/>
      </c>
      <c r="V20" s="24">
        <f>IFERROR(IF('Incurred Loss'!V20="","",'Sel Ults - Incurred Loss'!D20-'Incurred Loss'!V20),"")</f>
        <v/>
      </c>
      <c r="W20" s="24">
        <f>IFERROR(IF('Incurred Loss'!W20="","",'Sel Ults - Incurred Loss'!D20-'Incurred Loss'!W20),"")</f>
        <v/>
      </c>
      <c r="X20" s="24">
        <f>IFERROR(IF('Incurred Loss'!X20="","",'Sel Ults - Incurred Loss'!D20-'Incurred Loss'!X20),"")</f>
        <v/>
      </c>
      <c r="Y20" s="24">
        <f>IFERROR(IF('Incurred Loss'!Y20="","",'Sel Ults - Incurred Loss'!D20-'Incurred Loss'!Y20),"")</f>
        <v/>
      </c>
    </row>
    <row r="21">
      <c r="A21">
        <f>'Incurred Loss'!A21</f>
        <v/>
      </c>
      <c r="B21" s="24">
        <f>IFERROR(IF('Incurred Loss'!B21="","",'Sel Ults - Incurred Loss'!D21-'Incurred Loss'!B21),"")</f>
        <v/>
      </c>
      <c r="C21" s="24">
        <f>IFERROR(IF('Incurred Loss'!C21="","",'Sel Ults - Incurred Loss'!D21-'Incurred Loss'!C21),"")</f>
        <v/>
      </c>
      <c r="D21" s="24">
        <f>IFERROR(IF('Incurred Loss'!D21="","",'Sel Ults - Incurred Loss'!D21-'Incurred Loss'!D21),"")</f>
        <v/>
      </c>
      <c r="E21" s="24">
        <f>IFERROR(IF('Incurred Loss'!E21="","",'Sel Ults - Incurred Loss'!D21-'Incurred Loss'!E21),"")</f>
        <v/>
      </c>
      <c r="F21" s="24">
        <f>IFERROR(IF('Incurred Loss'!F21="","",'Sel Ults - Incurred Loss'!D21-'Incurred Loss'!F21),"")</f>
        <v/>
      </c>
      <c r="G21" s="24">
        <f>IFERROR(IF('Incurred Loss'!G21="","",'Sel Ults - Incurred Loss'!D21-'Incurred Loss'!G21),"")</f>
        <v/>
      </c>
      <c r="H21" s="24">
        <f>IFERROR(IF('Incurred Loss'!H21="","",'Sel Ults - Incurred Loss'!D21-'Incurred Loss'!H21),"")</f>
        <v/>
      </c>
      <c r="I21" s="24">
        <f>IFERROR(IF('Incurred Loss'!I21="","",'Sel Ults - Incurred Loss'!D21-'Incurred Loss'!I21),"")</f>
        <v/>
      </c>
      <c r="J21" s="24">
        <f>IFERROR(IF('Incurred Loss'!J21="","",'Sel Ults - Incurred Loss'!D21-'Incurred Loss'!J21),"")</f>
        <v/>
      </c>
      <c r="K21" s="24">
        <f>IFERROR(IF('Incurred Loss'!K21="","",'Sel Ults - Incurred Loss'!D21-'Incurred Loss'!K21),"")</f>
        <v/>
      </c>
      <c r="L21" s="24">
        <f>IFERROR(IF('Incurred Loss'!L21="","",'Sel Ults - Incurred Loss'!D21-'Incurred Loss'!L21),"")</f>
        <v/>
      </c>
      <c r="M21" s="24">
        <f>IFERROR(IF('Incurred Loss'!M21="","",'Sel Ults - Incurred Loss'!D21-'Incurred Loss'!M21),"")</f>
        <v/>
      </c>
      <c r="N21" s="24">
        <f>IFERROR(IF('Incurred Loss'!N21="","",'Sel Ults - Incurred Loss'!D21-'Incurred Loss'!N21),"")</f>
        <v/>
      </c>
      <c r="O21" s="24">
        <f>IFERROR(IF('Incurred Loss'!O21="","",'Sel Ults - Incurred Loss'!D21-'Incurred Loss'!O21),"")</f>
        <v/>
      </c>
      <c r="P21" s="24">
        <f>IFERROR(IF('Incurred Loss'!P21="","",'Sel Ults - Incurred Loss'!D21-'Incurred Loss'!P21),"")</f>
        <v/>
      </c>
      <c r="Q21" s="24">
        <f>IFERROR(IF('Incurred Loss'!Q21="","",'Sel Ults - Incurred Loss'!D21-'Incurred Loss'!Q21),"")</f>
        <v/>
      </c>
      <c r="R21" s="24">
        <f>IFERROR(IF('Incurred Loss'!R21="","",'Sel Ults - Incurred Loss'!D21-'Incurred Loss'!R21),"")</f>
        <v/>
      </c>
      <c r="S21" s="24">
        <f>IFERROR(IF('Incurred Loss'!S21="","",'Sel Ults - Incurred Loss'!D21-'Incurred Loss'!S21),"")</f>
        <v/>
      </c>
      <c r="T21" s="24">
        <f>IFERROR(IF('Incurred Loss'!T21="","",'Sel Ults - Incurred Loss'!D21-'Incurred Loss'!T21),"")</f>
        <v/>
      </c>
      <c r="U21" s="24">
        <f>IFERROR(IF('Incurred Loss'!U21="","",'Sel Ults - Incurred Loss'!D21-'Incurred Loss'!U21),"")</f>
        <v/>
      </c>
      <c r="V21" s="24">
        <f>IFERROR(IF('Incurred Loss'!V21="","",'Sel Ults - Incurred Loss'!D21-'Incurred Loss'!V21),"")</f>
        <v/>
      </c>
      <c r="W21" s="24">
        <f>IFERROR(IF('Incurred Loss'!W21="","",'Sel Ults - Incurred Loss'!D21-'Incurred Loss'!W21),"")</f>
        <v/>
      </c>
      <c r="X21" s="24">
        <f>IFERROR(IF('Incurred Loss'!X21="","",'Sel Ults - Incurred Loss'!D21-'Incurred Loss'!X21),"")</f>
        <v/>
      </c>
      <c r="Y21" s="24">
        <f>IFERROR(IF('Incurred Loss'!Y21="","",'Sel Ults - Incurred Loss'!D21-'Incurred Loss'!Y21),"")</f>
        <v/>
      </c>
    </row>
    <row r="22">
      <c r="A22">
        <f>'Incurred Loss'!A22</f>
        <v/>
      </c>
      <c r="B22" s="24">
        <f>IFERROR(IF('Incurred Loss'!B22="","",'Sel Ults - Incurred Loss'!D22-'Incurred Loss'!B22),"")</f>
        <v/>
      </c>
      <c r="C22" s="24">
        <f>IFERROR(IF('Incurred Loss'!C22="","",'Sel Ults - Incurred Loss'!D22-'Incurred Loss'!C22),"")</f>
        <v/>
      </c>
      <c r="D22" s="24">
        <f>IFERROR(IF('Incurred Loss'!D22="","",'Sel Ults - Incurred Loss'!D22-'Incurred Loss'!D22),"")</f>
        <v/>
      </c>
      <c r="E22" s="24">
        <f>IFERROR(IF('Incurred Loss'!E22="","",'Sel Ults - Incurred Loss'!D22-'Incurred Loss'!E22),"")</f>
        <v/>
      </c>
      <c r="F22" s="24">
        <f>IFERROR(IF('Incurred Loss'!F22="","",'Sel Ults - Incurred Loss'!D22-'Incurred Loss'!F22),"")</f>
        <v/>
      </c>
      <c r="G22" s="24">
        <f>IFERROR(IF('Incurred Loss'!G22="","",'Sel Ults - Incurred Loss'!D22-'Incurred Loss'!G22),"")</f>
        <v/>
      </c>
      <c r="H22" s="24">
        <f>IFERROR(IF('Incurred Loss'!H22="","",'Sel Ults - Incurred Loss'!D22-'Incurred Loss'!H22),"")</f>
        <v/>
      </c>
      <c r="I22" s="24">
        <f>IFERROR(IF('Incurred Loss'!I22="","",'Sel Ults - Incurred Loss'!D22-'Incurred Loss'!I22),"")</f>
        <v/>
      </c>
      <c r="J22" s="24">
        <f>IFERROR(IF('Incurred Loss'!J22="","",'Sel Ults - Incurred Loss'!D22-'Incurred Loss'!J22),"")</f>
        <v/>
      </c>
      <c r="K22" s="24">
        <f>IFERROR(IF('Incurred Loss'!K22="","",'Sel Ults - Incurred Loss'!D22-'Incurred Loss'!K22),"")</f>
        <v/>
      </c>
      <c r="L22" s="24">
        <f>IFERROR(IF('Incurred Loss'!L22="","",'Sel Ults - Incurred Loss'!D22-'Incurred Loss'!L22),"")</f>
        <v/>
      </c>
      <c r="M22" s="24">
        <f>IFERROR(IF('Incurred Loss'!M22="","",'Sel Ults - Incurred Loss'!D22-'Incurred Loss'!M22),"")</f>
        <v/>
      </c>
      <c r="N22" s="24">
        <f>IFERROR(IF('Incurred Loss'!N22="","",'Sel Ults - Incurred Loss'!D22-'Incurred Loss'!N22),"")</f>
        <v/>
      </c>
      <c r="O22" s="24">
        <f>IFERROR(IF('Incurred Loss'!O22="","",'Sel Ults - Incurred Loss'!D22-'Incurred Loss'!O22),"")</f>
        <v/>
      </c>
      <c r="P22" s="24">
        <f>IFERROR(IF('Incurred Loss'!P22="","",'Sel Ults - Incurred Loss'!D22-'Incurred Loss'!P22),"")</f>
        <v/>
      </c>
      <c r="Q22" s="24">
        <f>IFERROR(IF('Incurred Loss'!Q22="","",'Sel Ults - Incurred Loss'!D22-'Incurred Loss'!Q22),"")</f>
        <v/>
      </c>
      <c r="R22" s="24">
        <f>IFERROR(IF('Incurred Loss'!R22="","",'Sel Ults - Incurred Loss'!D22-'Incurred Loss'!R22),"")</f>
        <v/>
      </c>
      <c r="S22" s="24">
        <f>IFERROR(IF('Incurred Loss'!S22="","",'Sel Ults - Incurred Loss'!D22-'Incurred Loss'!S22),"")</f>
        <v/>
      </c>
      <c r="T22" s="24">
        <f>IFERROR(IF('Incurred Loss'!T22="","",'Sel Ults - Incurred Loss'!D22-'Incurred Loss'!T22),"")</f>
        <v/>
      </c>
      <c r="U22" s="24">
        <f>IFERROR(IF('Incurred Loss'!U22="","",'Sel Ults - Incurred Loss'!D22-'Incurred Loss'!U22),"")</f>
        <v/>
      </c>
      <c r="V22" s="24">
        <f>IFERROR(IF('Incurred Loss'!V22="","",'Sel Ults - Incurred Loss'!D22-'Incurred Loss'!V22),"")</f>
        <v/>
      </c>
      <c r="W22" s="24">
        <f>IFERROR(IF('Incurred Loss'!W22="","",'Sel Ults - Incurred Loss'!D22-'Incurred Loss'!W22),"")</f>
        <v/>
      </c>
      <c r="X22" s="24">
        <f>IFERROR(IF('Incurred Loss'!X22="","",'Sel Ults - Incurred Loss'!D22-'Incurred Loss'!X22),"")</f>
        <v/>
      </c>
      <c r="Y22" s="24">
        <f>IFERROR(IF('Incurred Loss'!Y22="","",'Sel Ults - Incurred Loss'!D22-'Incurred Loss'!Y22),"")</f>
        <v/>
      </c>
    </row>
    <row r="23">
      <c r="A23">
        <f>'Incurred Loss'!A23</f>
        <v/>
      </c>
      <c r="B23" s="24">
        <f>IFERROR(IF('Incurred Loss'!B23="","",'Sel Ults - Incurred Loss'!D23-'Incurred Loss'!B23),"")</f>
        <v/>
      </c>
      <c r="C23" s="24">
        <f>IFERROR(IF('Incurred Loss'!C23="","",'Sel Ults - Incurred Loss'!D23-'Incurred Loss'!C23),"")</f>
        <v/>
      </c>
      <c r="D23" s="24">
        <f>IFERROR(IF('Incurred Loss'!D23="","",'Sel Ults - Incurred Loss'!D23-'Incurred Loss'!D23),"")</f>
        <v/>
      </c>
      <c r="E23" s="24">
        <f>IFERROR(IF('Incurred Loss'!E23="","",'Sel Ults - Incurred Loss'!D23-'Incurred Loss'!E23),"")</f>
        <v/>
      </c>
      <c r="F23" s="24">
        <f>IFERROR(IF('Incurred Loss'!F23="","",'Sel Ults - Incurred Loss'!D23-'Incurred Loss'!F23),"")</f>
        <v/>
      </c>
      <c r="G23" s="24">
        <f>IFERROR(IF('Incurred Loss'!G23="","",'Sel Ults - Incurred Loss'!D23-'Incurred Loss'!G23),"")</f>
        <v/>
      </c>
      <c r="H23" s="24">
        <f>IFERROR(IF('Incurred Loss'!H23="","",'Sel Ults - Incurred Loss'!D23-'Incurred Loss'!H23),"")</f>
        <v/>
      </c>
      <c r="I23" s="24">
        <f>IFERROR(IF('Incurred Loss'!I23="","",'Sel Ults - Incurred Loss'!D23-'Incurred Loss'!I23),"")</f>
        <v/>
      </c>
      <c r="J23" s="24">
        <f>IFERROR(IF('Incurred Loss'!J23="","",'Sel Ults - Incurred Loss'!D23-'Incurred Loss'!J23),"")</f>
        <v/>
      </c>
      <c r="K23" s="24">
        <f>IFERROR(IF('Incurred Loss'!K23="","",'Sel Ults - Incurred Loss'!D23-'Incurred Loss'!K23),"")</f>
        <v/>
      </c>
      <c r="L23" s="24">
        <f>IFERROR(IF('Incurred Loss'!L23="","",'Sel Ults - Incurred Loss'!D23-'Incurred Loss'!L23),"")</f>
        <v/>
      </c>
      <c r="M23" s="24">
        <f>IFERROR(IF('Incurred Loss'!M23="","",'Sel Ults - Incurred Loss'!D23-'Incurred Loss'!M23),"")</f>
        <v/>
      </c>
      <c r="N23" s="24">
        <f>IFERROR(IF('Incurred Loss'!N23="","",'Sel Ults - Incurred Loss'!D23-'Incurred Loss'!N23),"")</f>
        <v/>
      </c>
      <c r="O23" s="24">
        <f>IFERROR(IF('Incurred Loss'!O23="","",'Sel Ults - Incurred Loss'!D23-'Incurred Loss'!O23),"")</f>
        <v/>
      </c>
      <c r="P23" s="24">
        <f>IFERROR(IF('Incurred Loss'!P23="","",'Sel Ults - Incurred Loss'!D23-'Incurred Loss'!P23),"")</f>
        <v/>
      </c>
      <c r="Q23" s="24">
        <f>IFERROR(IF('Incurred Loss'!Q23="","",'Sel Ults - Incurred Loss'!D23-'Incurred Loss'!Q23),"")</f>
        <v/>
      </c>
      <c r="R23" s="24">
        <f>IFERROR(IF('Incurred Loss'!R23="","",'Sel Ults - Incurred Loss'!D23-'Incurred Loss'!R23),"")</f>
        <v/>
      </c>
      <c r="S23" s="24">
        <f>IFERROR(IF('Incurred Loss'!S23="","",'Sel Ults - Incurred Loss'!D23-'Incurred Loss'!S23),"")</f>
        <v/>
      </c>
      <c r="T23" s="24">
        <f>IFERROR(IF('Incurred Loss'!T23="","",'Sel Ults - Incurred Loss'!D23-'Incurred Loss'!T23),"")</f>
        <v/>
      </c>
      <c r="U23" s="24">
        <f>IFERROR(IF('Incurred Loss'!U23="","",'Sel Ults - Incurred Loss'!D23-'Incurred Loss'!U23),"")</f>
        <v/>
      </c>
      <c r="V23" s="24">
        <f>IFERROR(IF('Incurred Loss'!V23="","",'Sel Ults - Incurred Loss'!D23-'Incurred Loss'!V23),"")</f>
        <v/>
      </c>
      <c r="W23" s="24">
        <f>IFERROR(IF('Incurred Loss'!W23="","",'Sel Ults - Incurred Loss'!D23-'Incurred Loss'!W23),"")</f>
        <v/>
      </c>
      <c r="X23" s="24">
        <f>IFERROR(IF('Incurred Loss'!X23="","",'Sel Ults - Incurred Loss'!D23-'Incurred Loss'!X23),"")</f>
        <v/>
      </c>
      <c r="Y23" s="24">
        <f>IFERROR(IF('Incurred Loss'!Y23="","",'Sel Ults - Incurred Loss'!D23-'Incurred Loss'!Y23),"")</f>
        <v/>
      </c>
    </row>
    <row r="24">
      <c r="A24">
        <f>'Incurred Loss'!A24</f>
        <v/>
      </c>
      <c r="B24" s="24">
        <f>IFERROR(IF('Incurred Loss'!B24="","",'Sel Ults - Incurred Loss'!D24-'Incurred Loss'!B24),"")</f>
        <v/>
      </c>
      <c r="C24" s="24">
        <f>IFERROR(IF('Incurred Loss'!C24="","",'Sel Ults - Incurred Loss'!D24-'Incurred Loss'!C24),"")</f>
        <v/>
      </c>
      <c r="D24" s="24">
        <f>IFERROR(IF('Incurred Loss'!D24="","",'Sel Ults - Incurred Loss'!D24-'Incurred Loss'!D24),"")</f>
        <v/>
      </c>
      <c r="E24" s="24">
        <f>IFERROR(IF('Incurred Loss'!E24="","",'Sel Ults - Incurred Loss'!D24-'Incurred Loss'!E24),"")</f>
        <v/>
      </c>
      <c r="F24" s="24">
        <f>IFERROR(IF('Incurred Loss'!F24="","",'Sel Ults - Incurred Loss'!D24-'Incurred Loss'!F24),"")</f>
        <v/>
      </c>
      <c r="G24" s="24">
        <f>IFERROR(IF('Incurred Loss'!G24="","",'Sel Ults - Incurred Loss'!D24-'Incurred Loss'!G24),"")</f>
        <v/>
      </c>
      <c r="H24" s="24">
        <f>IFERROR(IF('Incurred Loss'!H24="","",'Sel Ults - Incurred Loss'!D24-'Incurred Loss'!H24),"")</f>
        <v/>
      </c>
      <c r="I24" s="24">
        <f>IFERROR(IF('Incurred Loss'!I24="","",'Sel Ults - Incurred Loss'!D24-'Incurred Loss'!I24),"")</f>
        <v/>
      </c>
      <c r="J24" s="24">
        <f>IFERROR(IF('Incurred Loss'!J24="","",'Sel Ults - Incurred Loss'!D24-'Incurred Loss'!J24),"")</f>
        <v/>
      </c>
      <c r="K24" s="24">
        <f>IFERROR(IF('Incurred Loss'!K24="","",'Sel Ults - Incurred Loss'!D24-'Incurred Loss'!K24),"")</f>
        <v/>
      </c>
      <c r="L24" s="24">
        <f>IFERROR(IF('Incurred Loss'!L24="","",'Sel Ults - Incurred Loss'!D24-'Incurred Loss'!L24),"")</f>
        <v/>
      </c>
      <c r="M24" s="24">
        <f>IFERROR(IF('Incurred Loss'!M24="","",'Sel Ults - Incurred Loss'!D24-'Incurred Loss'!M24),"")</f>
        <v/>
      </c>
      <c r="N24" s="24">
        <f>IFERROR(IF('Incurred Loss'!N24="","",'Sel Ults - Incurred Loss'!D24-'Incurred Loss'!N24),"")</f>
        <v/>
      </c>
      <c r="O24" s="24">
        <f>IFERROR(IF('Incurred Loss'!O24="","",'Sel Ults - Incurred Loss'!D24-'Incurred Loss'!O24),"")</f>
        <v/>
      </c>
      <c r="P24" s="24">
        <f>IFERROR(IF('Incurred Loss'!P24="","",'Sel Ults - Incurred Loss'!D24-'Incurred Loss'!P24),"")</f>
        <v/>
      </c>
      <c r="Q24" s="24">
        <f>IFERROR(IF('Incurred Loss'!Q24="","",'Sel Ults - Incurred Loss'!D24-'Incurred Loss'!Q24),"")</f>
        <v/>
      </c>
      <c r="R24" s="24">
        <f>IFERROR(IF('Incurred Loss'!R24="","",'Sel Ults - Incurred Loss'!D24-'Incurred Loss'!R24),"")</f>
        <v/>
      </c>
      <c r="S24" s="24">
        <f>IFERROR(IF('Incurred Loss'!S24="","",'Sel Ults - Incurred Loss'!D24-'Incurred Loss'!S24),"")</f>
        <v/>
      </c>
      <c r="T24" s="24">
        <f>IFERROR(IF('Incurred Loss'!T24="","",'Sel Ults - Incurred Loss'!D24-'Incurred Loss'!T24),"")</f>
        <v/>
      </c>
      <c r="U24" s="24">
        <f>IFERROR(IF('Incurred Loss'!U24="","",'Sel Ults - Incurred Loss'!D24-'Incurred Loss'!U24),"")</f>
        <v/>
      </c>
      <c r="V24" s="24">
        <f>IFERROR(IF('Incurred Loss'!V24="","",'Sel Ults - Incurred Loss'!D24-'Incurred Loss'!V24),"")</f>
        <v/>
      </c>
      <c r="W24" s="24">
        <f>IFERROR(IF('Incurred Loss'!W24="","",'Sel Ults - Incurred Loss'!D24-'Incurred Loss'!W24),"")</f>
        <v/>
      </c>
      <c r="X24" s="24">
        <f>IFERROR(IF('Incurred Loss'!X24="","",'Sel Ults - Incurred Loss'!D24-'Incurred Loss'!X24),"")</f>
        <v/>
      </c>
      <c r="Y24" s="24">
        <f>IFERROR(IF('Incurred Loss'!Y24="","",'Sel Ults - Incurred Loss'!D24-'Incurred Loss'!Y24),"")</f>
        <v/>
      </c>
    </row>
    <row r="25">
      <c r="A25">
        <f>'Incurred Loss'!A25</f>
        <v/>
      </c>
      <c r="B25" s="24">
        <f>IFERROR(IF('Incurred Loss'!B25="","",'Sel Ults - Incurred Loss'!D25-'Incurred Loss'!B25),"")</f>
        <v/>
      </c>
      <c r="C25" s="24">
        <f>IFERROR(IF('Incurred Loss'!C25="","",'Sel Ults - Incurred Loss'!D25-'Incurred Loss'!C25),"")</f>
        <v/>
      </c>
      <c r="D25" s="24">
        <f>IFERROR(IF('Incurred Loss'!D25="","",'Sel Ults - Incurred Loss'!D25-'Incurred Loss'!D25),"")</f>
        <v/>
      </c>
      <c r="E25" s="24">
        <f>IFERROR(IF('Incurred Loss'!E25="","",'Sel Ults - Incurred Loss'!D25-'Incurred Loss'!E25),"")</f>
        <v/>
      </c>
      <c r="F25" s="24">
        <f>IFERROR(IF('Incurred Loss'!F25="","",'Sel Ults - Incurred Loss'!D25-'Incurred Loss'!F25),"")</f>
        <v/>
      </c>
      <c r="G25" s="24">
        <f>IFERROR(IF('Incurred Loss'!G25="","",'Sel Ults - Incurred Loss'!D25-'Incurred Loss'!G25),"")</f>
        <v/>
      </c>
      <c r="H25" s="24">
        <f>IFERROR(IF('Incurred Loss'!H25="","",'Sel Ults - Incurred Loss'!D25-'Incurred Loss'!H25),"")</f>
        <v/>
      </c>
      <c r="I25" s="24">
        <f>IFERROR(IF('Incurred Loss'!I25="","",'Sel Ults - Incurred Loss'!D25-'Incurred Loss'!I25),"")</f>
        <v/>
      </c>
      <c r="J25" s="24">
        <f>IFERROR(IF('Incurred Loss'!J25="","",'Sel Ults - Incurred Loss'!D25-'Incurred Loss'!J25),"")</f>
        <v/>
      </c>
      <c r="K25" s="24">
        <f>IFERROR(IF('Incurred Loss'!K25="","",'Sel Ults - Incurred Loss'!D25-'Incurred Loss'!K25),"")</f>
        <v/>
      </c>
      <c r="L25" s="24">
        <f>IFERROR(IF('Incurred Loss'!L25="","",'Sel Ults - Incurred Loss'!D25-'Incurred Loss'!L25),"")</f>
        <v/>
      </c>
      <c r="M25" s="24">
        <f>IFERROR(IF('Incurred Loss'!M25="","",'Sel Ults - Incurred Loss'!D25-'Incurred Loss'!M25),"")</f>
        <v/>
      </c>
      <c r="N25" s="24">
        <f>IFERROR(IF('Incurred Loss'!N25="","",'Sel Ults - Incurred Loss'!D25-'Incurred Loss'!N25),"")</f>
        <v/>
      </c>
      <c r="O25" s="24">
        <f>IFERROR(IF('Incurred Loss'!O25="","",'Sel Ults - Incurred Loss'!D25-'Incurred Loss'!O25),"")</f>
        <v/>
      </c>
      <c r="P25" s="24">
        <f>IFERROR(IF('Incurred Loss'!P25="","",'Sel Ults - Incurred Loss'!D25-'Incurred Loss'!P25),"")</f>
        <v/>
      </c>
      <c r="Q25" s="24">
        <f>IFERROR(IF('Incurred Loss'!Q25="","",'Sel Ults - Incurred Loss'!D25-'Incurred Loss'!Q25),"")</f>
        <v/>
      </c>
      <c r="R25" s="24">
        <f>IFERROR(IF('Incurred Loss'!R25="","",'Sel Ults - Incurred Loss'!D25-'Incurred Loss'!R25),"")</f>
        <v/>
      </c>
      <c r="S25" s="24">
        <f>IFERROR(IF('Incurred Loss'!S25="","",'Sel Ults - Incurred Loss'!D25-'Incurred Loss'!S25),"")</f>
        <v/>
      </c>
      <c r="T25" s="24">
        <f>IFERROR(IF('Incurred Loss'!T25="","",'Sel Ults - Incurred Loss'!D25-'Incurred Loss'!T25),"")</f>
        <v/>
      </c>
      <c r="U25" s="24">
        <f>IFERROR(IF('Incurred Loss'!U25="","",'Sel Ults - Incurred Loss'!D25-'Incurred Loss'!U25),"")</f>
        <v/>
      </c>
      <c r="V25" s="24">
        <f>IFERROR(IF('Incurred Loss'!V25="","",'Sel Ults - Incurred Loss'!D25-'Incurred Loss'!V25),"")</f>
        <v/>
      </c>
      <c r="W25" s="24">
        <f>IFERROR(IF('Incurred Loss'!W25="","",'Sel Ults - Incurred Loss'!D25-'Incurred Loss'!W25),"")</f>
        <v/>
      </c>
      <c r="X25" s="24">
        <f>IFERROR(IF('Incurred Loss'!X25="","",'Sel Ults - Incurred Loss'!D25-'Incurred Loss'!X25),"")</f>
        <v/>
      </c>
      <c r="Y25" s="24">
        <f>IFERROR(IF('Incurred Loss'!Y25="","",'Sel Ults - Incurred Loss'!D25-'Incurred Loss'!Y25),"")</f>
        <v/>
      </c>
    </row>
    <row r="26">
      <c r="A26">
        <f>'Incurred Loss'!A26</f>
        <v/>
      </c>
      <c r="B26" s="24">
        <f>IFERROR(IF('Incurred Loss'!B26="","",'Sel Ults - Incurred Loss'!D26-'Incurred Loss'!B26),"")</f>
        <v/>
      </c>
      <c r="C26" s="24">
        <f>IFERROR(IF('Incurred Loss'!C26="","",'Sel Ults - Incurred Loss'!D26-'Incurred Loss'!C26),"")</f>
        <v/>
      </c>
      <c r="D26" s="24">
        <f>IFERROR(IF('Incurred Loss'!D26="","",'Sel Ults - Incurred Loss'!D26-'Incurred Loss'!D26),"")</f>
        <v/>
      </c>
      <c r="E26" s="24">
        <f>IFERROR(IF('Incurred Loss'!E26="","",'Sel Ults - Incurred Loss'!D26-'Incurred Loss'!E26),"")</f>
        <v/>
      </c>
      <c r="F26" s="24">
        <f>IFERROR(IF('Incurred Loss'!F26="","",'Sel Ults - Incurred Loss'!D26-'Incurred Loss'!F26),"")</f>
        <v/>
      </c>
      <c r="G26" s="24">
        <f>IFERROR(IF('Incurred Loss'!G26="","",'Sel Ults - Incurred Loss'!D26-'Incurred Loss'!G26),"")</f>
        <v/>
      </c>
      <c r="H26" s="24">
        <f>IFERROR(IF('Incurred Loss'!H26="","",'Sel Ults - Incurred Loss'!D26-'Incurred Loss'!H26),"")</f>
        <v/>
      </c>
      <c r="I26" s="24">
        <f>IFERROR(IF('Incurred Loss'!I26="","",'Sel Ults - Incurred Loss'!D26-'Incurred Loss'!I26),"")</f>
        <v/>
      </c>
      <c r="J26" s="24">
        <f>IFERROR(IF('Incurred Loss'!J26="","",'Sel Ults - Incurred Loss'!D26-'Incurred Loss'!J26),"")</f>
        <v/>
      </c>
      <c r="K26" s="24">
        <f>IFERROR(IF('Incurred Loss'!K26="","",'Sel Ults - Incurred Loss'!D26-'Incurred Loss'!K26),"")</f>
        <v/>
      </c>
      <c r="L26" s="24">
        <f>IFERROR(IF('Incurred Loss'!L26="","",'Sel Ults - Incurred Loss'!D26-'Incurred Loss'!L26),"")</f>
        <v/>
      </c>
      <c r="M26" s="24">
        <f>IFERROR(IF('Incurred Loss'!M26="","",'Sel Ults - Incurred Loss'!D26-'Incurred Loss'!M26),"")</f>
        <v/>
      </c>
      <c r="N26" s="24">
        <f>IFERROR(IF('Incurred Loss'!N26="","",'Sel Ults - Incurred Loss'!D26-'Incurred Loss'!N26),"")</f>
        <v/>
      </c>
      <c r="O26" s="24">
        <f>IFERROR(IF('Incurred Loss'!O26="","",'Sel Ults - Incurred Loss'!D26-'Incurred Loss'!O26),"")</f>
        <v/>
      </c>
      <c r="P26" s="24">
        <f>IFERROR(IF('Incurred Loss'!P26="","",'Sel Ults - Incurred Loss'!D26-'Incurred Loss'!P26),"")</f>
        <v/>
      </c>
      <c r="Q26" s="24">
        <f>IFERROR(IF('Incurred Loss'!Q26="","",'Sel Ults - Incurred Loss'!D26-'Incurred Loss'!Q26),"")</f>
        <v/>
      </c>
      <c r="R26" s="24">
        <f>IFERROR(IF('Incurred Loss'!R26="","",'Sel Ults - Incurred Loss'!D26-'Incurred Loss'!R26),"")</f>
        <v/>
      </c>
      <c r="S26" s="24">
        <f>IFERROR(IF('Incurred Loss'!S26="","",'Sel Ults - Incurred Loss'!D26-'Incurred Loss'!S26),"")</f>
        <v/>
      </c>
      <c r="T26" s="24">
        <f>IFERROR(IF('Incurred Loss'!T26="","",'Sel Ults - Incurred Loss'!D26-'Incurred Loss'!T26),"")</f>
        <v/>
      </c>
      <c r="U26" s="24">
        <f>IFERROR(IF('Incurred Loss'!U26="","",'Sel Ults - Incurred Loss'!D26-'Incurred Loss'!U26),"")</f>
        <v/>
      </c>
      <c r="V26" s="24">
        <f>IFERROR(IF('Incurred Loss'!V26="","",'Sel Ults - Incurred Loss'!D26-'Incurred Loss'!V26),"")</f>
        <v/>
      </c>
      <c r="W26" s="24">
        <f>IFERROR(IF('Incurred Loss'!W26="","",'Sel Ults - Incurred Loss'!D26-'Incurred Loss'!W26),"")</f>
        <v/>
      </c>
      <c r="X26" s="24">
        <f>IFERROR(IF('Incurred Loss'!X26="","",'Sel Ults - Incurred Loss'!D26-'Incurred Loss'!X26),"")</f>
        <v/>
      </c>
      <c r="Y26" s="24">
        <f>IFERROR(IF('Incurred Loss'!Y26="","",'Sel Ults - Incurred Loss'!D26-'Incurred Loss'!Y26),"")</f>
        <v/>
      </c>
    </row>
  </sheetData>
  <mergeCells count="1">
    <mergeCell ref="A1:Y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25" t="inlineStr">
        <is>
          <t>Average Unpaid (Incurred Ult - Paid)</t>
        </is>
      </c>
    </row>
    <row r="2">
      <c r="A2" s="20" t="inlineStr">
        <is>
          <t>Period</t>
        </is>
      </c>
      <c r="B2" s="26">
        <f>'Incurred Loss'!B$2</f>
        <v/>
      </c>
      <c r="C2" s="26">
        <f>'Incurred Loss'!C$2</f>
        <v/>
      </c>
      <c r="D2" s="26">
        <f>'Incurred Loss'!D$2</f>
        <v/>
      </c>
      <c r="E2" s="26">
        <f>'Incurred Loss'!E$2</f>
        <v/>
      </c>
      <c r="F2" s="26">
        <f>'Incurred Loss'!F$2</f>
        <v/>
      </c>
      <c r="G2" s="26">
        <f>'Incurred Loss'!G$2</f>
        <v/>
      </c>
      <c r="H2" s="26">
        <f>'Incurred Loss'!H$2</f>
        <v/>
      </c>
      <c r="I2" s="26">
        <f>'Incurred Loss'!I$2</f>
        <v/>
      </c>
      <c r="J2" s="26">
        <f>'Incurred Loss'!J$2</f>
        <v/>
      </c>
      <c r="K2" s="26">
        <f>'Incurred Loss'!K$2</f>
        <v/>
      </c>
      <c r="L2" s="26">
        <f>'Incurred Loss'!L$2</f>
        <v/>
      </c>
      <c r="M2" s="26">
        <f>'Incurred Loss'!M$2</f>
        <v/>
      </c>
      <c r="N2" s="26">
        <f>'Incurred Loss'!N$2</f>
        <v/>
      </c>
      <c r="O2" s="26">
        <f>'Incurred Loss'!O$2</f>
        <v/>
      </c>
      <c r="P2" s="26">
        <f>'Incurred Loss'!P$2</f>
        <v/>
      </c>
      <c r="Q2" s="26">
        <f>'Incurred Loss'!Q$2</f>
        <v/>
      </c>
      <c r="R2" s="26">
        <f>'Incurred Loss'!R$2</f>
        <v/>
      </c>
      <c r="S2" s="26">
        <f>'Incurred Loss'!S$2</f>
        <v/>
      </c>
      <c r="T2" s="26">
        <f>'Incurred Loss'!T$2</f>
        <v/>
      </c>
      <c r="U2" s="26">
        <f>'Incurred Loss'!U$2</f>
        <v/>
      </c>
      <c r="V2" s="26">
        <f>'Incurred Loss'!V$2</f>
        <v/>
      </c>
      <c r="W2" s="26">
        <f>'Incurred Loss'!W$2</f>
        <v/>
      </c>
      <c r="X2" s="26">
        <f>'Incurred Loss'!X$2</f>
        <v/>
      </c>
      <c r="Y2" s="26">
        <f>'Incurred Loss'!Y$2</f>
        <v/>
      </c>
    </row>
    <row r="3">
      <c r="A3">
        <f>'Incurred Loss'!A3</f>
        <v/>
      </c>
      <c r="B3" s="24">
        <f>IFERROR(IF('Paid Loss'!B3="","",'Sel Ults - Incurred Loss'!D3-'Paid Loss'!B3),"")</f>
        <v/>
      </c>
      <c r="C3" s="24">
        <f>IFERROR(IF('Paid Loss'!C3="","",'Sel Ults - Incurred Loss'!D3-'Paid Loss'!C3),"")</f>
        <v/>
      </c>
      <c r="D3" s="24">
        <f>IFERROR(IF('Paid Loss'!D3="","",'Sel Ults - Incurred Loss'!D3-'Paid Loss'!D3),"")</f>
        <v/>
      </c>
      <c r="E3" s="24">
        <f>IFERROR(IF('Paid Loss'!E3="","",'Sel Ults - Incurred Loss'!D3-'Paid Loss'!E3),"")</f>
        <v/>
      </c>
      <c r="F3" s="24">
        <f>IFERROR(IF('Paid Loss'!F3="","",'Sel Ults - Incurred Loss'!D3-'Paid Loss'!F3),"")</f>
        <v/>
      </c>
      <c r="G3" s="24">
        <f>IFERROR(IF('Paid Loss'!G3="","",'Sel Ults - Incurred Loss'!D3-'Paid Loss'!G3),"")</f>
        <v/>
      </c>
      <c r="H3" s="24">
        <f>IFERROR(IF('Paid Loss'!H3="","",'Sel Ults - Incurred Loss'!D3-'Paid Loss'!H3),"")</f>
        <v/>
      </c>
      <c r="I3" s="24">
        <f>IFERROR(IF('Paid Loss'!I3="","",'Sel Ults - Incurred Loss'!D3-'Paid Loss'!I3),"")</f>
        <v/>
      </c>
      <c r="J3" s="24">
        <f>IFERROR(IF('Paid Loss'!J3="","",'Sel Ults - Incurred Loss'!D3-'Paid Loss'!J3),"")</f>
        <v/>
      </c>
      <c r="K3" s="24">
        <f>IFERROR(IF('Paid Loss'!K3="","",'Sel Ults - Incurred Loss'!D3-'Paid Loss'!K3),"")</f>
        <v/>
      </c>
      <c r="L3" s="24">
        <f>IFERROR(IF('Paid Loss'!L3="","",'Sel Ults - Incurred Loss'!D3-'Paid Loss'!L3),"")</f>
        <v/>
      </c>
      <c r="M3" s="24">
        <f>IFERROR(IF('Paid Loss'!M3="","",'Sel Ults - Incurred Loss'!D3-'Paid Loss'!M3),"")</f>
        <v/>
      </c>
      <c r="N3" s="24">
        <f>IFERROR(IF('Paid Loss'!N3="","",'Sel Ults - Incurred Loss'!D3-'Paid Loss'!N3),"")</f>
        <v/>
      </c>
      <c r="O3" s="24">
        <f>IFERROR(IF('Paid Loss'!O3="","",'Sel Ults - Incurred Loss'!D3-'Paid Loss'!O3),"")</f>
        <v/>
      </c>
      <c r="P3" s="24">
        <f>IFERROR(IF('Paid Loss'!P3="","",'Sel Ults - Incurred Loss'!D3-'Paid Loss'!P3),"")</f>
        <v/>
      </c>
      <c r="Q3" s="24">
        <f>IFERROR(IF('Paid Loss'!Q3="","",'Sel Ults - Incurred Loss'!D3-'Paid Loss'!Q3),"")</f>
        <v/>
      </c>
      <c r="R3" s="24">
        <f>IFERROR(IF('Paid Loss'!R3="","",'Sel Ults - Incurred Loss'!D3-'Paid Loss'!R3),"")</f>
        <v/>
      </c>
      <c r="S3" s="24">
        <f>IFERROR(IF('Paid Loss'!S3="","",'Sel Ults - Incurred Loss'!D3-'Paid Loss'!S3),"")</f>
        <v/>
      </c>
      <c r="T3" s="24">
        <f>IFERROR(IF('Paid Loss'!T3="","",'Sel Ults - Incurred Loss'!D3-'Paid Loss'!T3),"")</f>
        <v/>
      </c>
      <c r="U3" s="24">
        <f>IFERROR(IF('Paid Loss'!U3="","",'Sel Ults - Incurred Loss'!D3-'Paid Loss'!U3),"")</f>
        <v/>
      </c>
      <c r="V3" s="24">
        <f>IFERROR(IF('Paid Loss'!V3="","",'Sel Ults - Incurred Loss'!D3-'Paid Loss'!V3),"")</f>
        <v/>
      </c>
      <c r="W3" s="24">
        <f>IFERROR(IF('Paid Loss'!W3="","",'Sel Ults - Incurred Loss'!D3-'Paid Loss'!W3),"")</f>
        <v/>
      </c>
      <c r="X3" s="24">
        <f>IFERROR(IF('Paid Loss'!X3="","",'Sel Ults - Incurred Loss'!D3-'Paid Loss'!X3),"")</f>
        <v/>
      </c>
      <c r="Y3" s="24">
        <f>IFERROR(IF('Paid Loss'!Y3="","",'Sel Ults - Incurred Loss'!D3-'Paid Loss'!Y3),"")</f>
        <v/>
      </c>
    </row>
    <row r="4">
      <c r="A4">
        <f>'Incurred Loss'!A4</f>
        <v/>
      </c>
      <c r="B4" s="24">
        <f>IFERROR(IF('Paid Loss'!B4="","",'Sel Ults - Incurred Loss'!D4-'Paid Loss'!B4),"")</f>
        <v/>
      </c>
      <c r="C4" s="24">
        <f>IFERROR(IF('Paid Loss'!C4="","",'Sel Ults - Incurred Loss'!D4-'Paid Loss'!C4),"")</f>
        <v/>
      </c>
      <c r="D4" s="24">
        <f>IFERROR(IF('Paid Loss'!D4="","",'Sel Ults - Incurred Loss'!D4-'Paid Loss'!D4),"")</f>
        <v/>
      </c>
      <c r="E4" s="24">
        <f>IFERROR(IF('Paid Loss'!E4="","",'Sel Ults - Incurred Loss'!D4-'Paid Loss'!E4),"")</f>
        <v/>
      </c>
      <c r="F4" s="24">
        <f>IFERROR(IF('Paid Loss'!F4="","",'Sel Ults - Incurred Loss'!D4-'Paid Loss'!F4),"")</f>
        <v/>
      </c>
      <c r="G4" s="24">
        <f>IFERROR(IF('Paid Loss'!G4="","",'Sel Ults - Incurred Loss'!D4-'Paid Loss'!G4),"")</f>
        <v/>
      </c>
      <c r="H4" s="24">
        <f>IFERROR(IF('Paid Loss'!H4="","",'Sel Ults - Incurred Loss'!D4-'Paid Loss'!H4),"")</f>
        <v/>
      </c>
      <c r="I4" s="24">
        <f>IFERROR(IF('Paid Loss'!I4="","",'Sel Ults - Incurred Loss'!D4-'Paid Loss'!I4),"")</f>
        <v/>
      </c>
      <c r="J4" s="24">
        <f>IFERROR(IF('Paid Loss'!J4="","",'Sel Ults - Incurred Loss'!D4-'Paid Loss'!J4),"")</f>
        <v/>
      </c>
      <c r="K4" s="24">
        <f>IFERROR(IF('Paid Loss'!K4="","",'Sel Ults - Incurred Loss'!D4-'Paid Loss'!K4),"")</f>
        <v/>
      </c>
      <c r="L4" s="24">
        <f>IFERROR(IF('Paid Loss'!L4="","",'Sel Ults - Incurred Loss'!D4-'Paid Loss'!L4),"")</f>
        <v/>
      </c>
      <c r="M4" s="24">
        <f>IFERROR(IF('Paid Loss'!M4="","",'Sel Ults - Incurred Loss'!D4-'Paid Loss'!M4),"")</f>
        <v/>
      </c>
      <c r="N4" s="24">
        <f>IFERROR(IF('Paid Loss'!N4="","",'Sel Ults - Incurred Loss'!D4-'Paid Loss'!N4),"")</f>
        <v/>
      </c>
      <c r="O4" s="24">
        <f>IFERROR(IF('Paid Loss'!O4="","",'Sel Ults - Incurred Loss'!D4-'Paid Loss'!O4),"")</f>
        <v/>
      </c>
      <c r="P4" s="24">
        <f>IFERROR(IF('Paid Loss'!P4="","",'Sel Ults - Incurred Loss'!D4-'Paid Loss'!P4),"")</f>
        <v/>
      </c>
      <c r="Q4" s="24">
        <f>IFERROR(IF('Paid Loss'!Q4="","",'Sel Ults - Incurred Loss'!D4-'Paid Loss'!Q4),"")</f>
        <v/>
      </c>
      <c r="R4" s="24">
        <f>IFERROR(IF('Paid Loss'!R4="","",'Sel Ults - Incurred Loss'!D4-'Paid Loss'!R4),"")</f>
        <v/>
      </c>
      <c r="S4" s="24">
        <f>IFERROR(IF('Paid Loss'!S4="","",'Sel Ults - Incurred Loss'!D4-'Paid Loss'!S4),"")</f>
        <v/>
      </c>
      <c r="T4" s="24">
        <f>IFERROR(IF('Paid Loss'!T4="","",'Sel Ults - Incurred Loss'!D4-'Paid Loss'!T4),"")</f>
        <v/>
      </c>
      <c r="U4" s="24">
        <f>IFERROR(IF('Paid Loss'!U4="","",'Sel Ults - Incurred Loss'!D4-'Paid Loss'!U4),"")</f>
        <v/>
      </c>
      <c r="V4" s="24">
        <f>IFERROR(IF('Paid Loss'!V4="","",'Sel Ults - Incurred Loss'!D4-'Paid Loss'!V4),"")</f>
        <v/>
      </c>
      <c r="W4" s="24">
        <f>IFERROR(IF('Paid Loss'!W4="","",'Sel Ults - Incurred Loss'!D4-'Paid Loss'!W4),"")</f>
        <v/>
      </c>
      <c r="X4" s="24">
        <f>IFERROR(IF('Paid Loss'!X4="","",'Sel Ults - Incurred Loss'!D4-'Paid Loss'!X4),"")</f>
        <v/>
      </c>
      <c r="Y4" s="24">
        <f>IFERROR(IF('Paid Loss'!Y4="","",'Sel Ults - Incurred Loss'!D4-'Paid Loss'!Y4),"")</f>
        <v/>
      </c>
    </row>
    <row r="5">
      <c r="A5">
        <f>'Incurred Loss'!A5</f>
        <v/>
      </c>
      <c r="B5" s="24">
        <f>IFERROR(IF('Paid Loss'!B5="","",'Sel Ults - Incurred Loss'!D5-'Paid Loss'!B5),"")</f>
        <v/>
      </c>
      <c r="C5" s="24">
        <f>IFERROR(IF('Paid Loss'!C5="","",'Sel Ults - Incurred Loss'!D5-'Paid Loss'!C5),"")</f>
        <v/>
      </c>
      <c r="D5" s="24">
        <f>IFERROR(IF('Paid Loss'!D5="","",'Sel Ults - Incurred Loss'!D5-'Paid Loss'!D5),"")</f>
        <v/>
      </c>
      <c r="E5" s="24">
        <f>IFERROR(IF('Paid Loss'!E5="","",'Sel Ults - Incurred Loss'!D5-'Paid Loss'!E5),"")</f>
        <v/>
      </c>
      <c r="F5" s="24">
        <f>IFERROR(IF('Paid Loss'!F5="","",'Sel Ults - Incurred Loss'!D5-'Paid Loss'!F5),"")</f>
        <v/>
      </c>
      <c r="G5" s="24">
        <f>IFERROR(IF('Paid Loss'!G5="","",'Sel Ults - Incurred Loss'!D5-'Paid Loss'!G5),"")</f>
        <v/>
      </c>
      <c r="H5" s="24">
        <f>IFERROR(IF('Paid Loss'!H5="","",'Sel Ults - Incurred Loss'!D5-'Paid Loss'!H5),"")</f>
        <v/>
      </c>
      <c r="I5" s="24">
        <f>IFERROR(IF('Paid Loss'!I5="","",'Sel Ults - Incurred Loss'!D5-'Paid Loss'!I5),"")</f>
        <v/>
      </c>
      <c r="J5" s="24">
        <f>IFERROR(IF('Paid Loss'!J5="","",'Sel Ults - Incurred Loss'!D5-'Paid Loss'!J5),"")</f>
        <v/>
      </c>
      <c r="K5" s="24">
        <f>IFERROR(IF('Paid Loss'!K5="","",'Sel Ults - Incurred Loss'!D5-'Paid Loss'!K5),"")</f>
        <v/>
      </c>
      <c r="L5" s="24">
        <f>IFERROR(IF('Paid Loss'!L5="","",'Sel Ults - Incurred Loss'!D5-'Paid Loss'!L5),"")</f>
        <v/>
      </c>
      <c r="M5" s="24">
        <f>IFERROR(IF('Paid Loss'!M5="","",'Sel Ults - Incurred Loss'!D5-'Paid Loss'!M5),"")</f>
        <v/>
      </c>
      <c r="N5" s="24">
        <f>IFERROR(IF('Paid Loss'!N5="","",'Sel Ults - Incurred Loss'!D5-'Paid Loss'!N5),"")</f>
        <v/>
      </c>
      <c r="O5" s="24">
        <f>IFERROR(IF('Paid Loss'!O5="","",'Sel Ults - Incurred Loss'!D5-'Paid Loss'!O5),"")</f>
        <v/>
      </c>
      <c r="P5" s="24">
        <f>IFERROR(IF('Paid Loss'!P5="","",'Sel Ults - Incurred Loss'!D5-'Paid Loss'!P5),"")</f>
        <v/>
      </c>
      <c r="Q5" s="24">
        <f>IFERROR(IF('Paid Loss'!Q5="","",'Sel Ults - Incurred Loss'!D5-'Paid Loss'!Q5),"")</f>
        <v/>
      </c>
      <c r="R5" s="24">
        <f>IFERROR(IF('Paid Loss'!R5="","",'Sel Ults - Incurred Loss'!D5-'Paid Loss'!R5),"")</f>
        <v/>
      </c>
      <c r="S5" s="24">
        <f>IFERROR(IF('Paid Loss'!S5="","",'Sel Ults - Incurred Loss'!D5-'Paid Loss'!S5),"")</f>
        <v/>
      </c>
      <c r="T5" s="24">
        <f>IFERROR(IF('Paid Loss'!T5="","",'Sel Ults - Incurred Loss'!D5-'Paid Loss'!T5),"")</f>
        <v/>
      </c>
      <c r="U5" s="24">
        <f>IFERROR(IF('Paid Loss'!U5="","",'Sel Ults - Incurred Loss'!D5-'Paid Loss'!U5),"")</f>
        <v/>
      </c>
      <c r="V5" s="24">
        <f>IFERROR(IF('Paid Loss'!V5="","",'Sel Ults - Incurred Loss'!D5-'Paid Loss'!V5),"")</f>
        <v/>
      </c>
      <c r="W5" s="24">
        <f>IFERROR(IF('Paid Loss'!W5="","",'Sel Ults - Incurred Loss'!D5-'Paid Loss'!W5),"")</f>
        <v/>
      </c>
      <c r="X5" s="24">
        <f>IFERROR(IF('Paid Loss'!X5="","",'Sel Ults - Incurred Loss'!D5-'Paid Loss'!X5),"")</f>
        <v/>
      </c>
      <c r="Y5" s="24">
        <f>IFERROR(IF('Paid Loss'!Y5="","",'Sel Ults - Incurred Loss'!D5-'Paid Loss'!Y5),"")</f>
        <v/>
      </c>
    </row>
    <row r="6">
      <c r="A6">
        <f>'Incurred Loss'!A6</f>
        <v/>
      </c>
      <c r="B6" s="24">
        <f>IFERROR(IF('Paid Loss'!B6="","",'Sel Ults - Incurred Loss'!D6-'Paid Loss'!B6),"")</f>
        <v/>
      </c>
      <c r="C6" s="24">
        <f>IFERROR(IF('Paid Loss'!C6="","",'Sel Ults - Incurred Loss'!D6-'Paid Loss'!C6),"")</f>
        <v/>
      </c>
      <c r="D6" s="24">
        <f>IFERROR(IF('Paid Loss'!D6="","",'Sel Ults - Incurred Loss'!D6-'Paid Loss'!D6),"")</f>
        <v/>
      </c>
      <c r="E6" s="24">
        <f>IFERROR(IF('Paid Loss'!E6="","",'Sel Ults - Incurred Loss'!D6-'Paid Loss'!E6),"")</f>
        <v/>
      </c>
      <c r="F6" s="24">
        <f>IFERROR(IF('Paid Loss'!F6="","",'Sel Ults - Incurred Loss'!D6-'Paid Loss'!F6),"")</f>
        <v/>
      </c>
      <c r="G6" s="24">
        <f>IFERROR(IF('Paid Loss'!G6="","",'Sel Ults - Incurred Loss'!D6-'Paid Loss'!G6),"")</f>
        <v/>
      </c>
      <c r="H6" s="24">
        <f>IFERROR(IF('Paid Loss'!H6="","",'Sel Ults - Incurred Loss'!D6-'Paid Loss'!H6),"")</f>
        <v/>
      </c>
      <c r="I6" s="24">
        <f>IFERROR(IF('Paid Loss'!I6="","",'Sel Ults - Incurred Loss'!D6-'Paid Loss'!I6),"")</f>
        <v/>
      </c>
      <c r="J6" s="24">
        <f>IFERROR(IF('Paid Loss'!J6="","",'Sel Ults - Incurred Loss'!D6-'Paid Loss'!J6),"")</f>
        <v/>
      </c>
      <c r="K6" s="24">
        <f>IFERROR(IF('Paid Loss'!K6="","",'Sel Ults - Incurred Loss'!D6-'Paid Loss'!K6),"")</f>
        <v/>
      </c>
      <c r="L6" s="24">
        <f>IFERROR(IF('Paid Loss'!L6="","",'Sel Ults - Incurred Loss'!D6-'Paid Loss'!L6),"")</f>
        <v/>
      </c>
      <c r="M6" s="24">
        <f>IFERROR(IF('Paid Loss'!M6="","",'Sel Ults - Incurred Loss'!D6-'Paid Loss'!M6),"")</f>
        <v/>
      </c>
      <c r="N6" s="24">
        <f>IFERROR(IF('Paid Loss'!N6="","",'Sel Ults - Incurred Loss'!D6-'Paid Loss'!N6),"")</f>
        <v/>
      </c>
      <c r="O6" s="24">
        <f>IFERROR(IF('Paid Loss'!O6="","",'Sel Ults - Incurred Loss'!D6-'Paid Loss'!O6),"")</f>
        <v/>
      </c>
      <c r="P6" s="24">
        <f>IFERROR(IF('Paid Loss'!P6="","",'Sel Ults - Incurred Loss'!D6-'Paid Loss'!P6),"")</f>
        <v/>
      </c>
      <c r="Q6" s="24">
        <f>IFERROR(IF('Paid Loss'!Q6="","",'Sel Ults - Incurred Loss'!D6-'Paid Loss'!Q6),"")</f>
        <v/>
      </c>
      <c r="R6" s="24">
        <f>IFERROR(IF('Paid Loss'!R6="","",'Sel Ults - Incurred Loss'!D6-'Paid Loss'!R6),"")</f>
        <v/>
      </c>
      <c r="S6" s="24">
        <f>IFERROR(IF('Paid Loss'!S6="","",'Sel Ults - Incurred Loss'!D6-'Paid Loss'!S6),"")</f>
        <v/>
      </c>
      <c r="T6" s="24">
        <f>IFERROR(IF('Paid Loss'!T6="","",'Sel Ults - Incurred Loss'!D6-'Paid Loss'!T6),"")</f>
        <v/>
      </c>
      <c r="U6" s="24">
        <f>IFERROR(IF('Paid Loss'!U6="","",'Sel Ults - Incurred Loss'!D6-'Paid Loss'!U6),"")</f>
        <v/>
      </c>
      <c r="V6" s="24">
        <f>IFERROR(IF('Paid Loss'!V6="","",'Sel Ults - Incurred Loss'!D6-'Paid Loss'!V6),"")</f>
        <v/>
      </c>
      <c r="W6" s="24">
        <f>IFERROR(IF('Paid Loss'!W6="","",'Sel Ults - Incurred Loss'!D6-'Paid Loss'!W6),"")</f>
        <v/>
      </c>
      <c r="X6" s="24">
        <f>IFERROR(IF('Paid Loss'!X6="","",'Sel Ults - Incurred Loss'!D6-'Paid Loss'!X6),"")</f>
        <v/>
      </c>
      <c r="Y6" s="24">
        <f>IFERROR(IF('Paid Loss'!Y6="","",'Sel Ults - Incurred Loss'!D6-'Paid Loss'!Y6),"")</f>
        <v/>
      </c>
    </row>
    <row r="7">
      <c r="A7">
        <f>'Incurred Loss'!A7</f>
        <v/>
      </c>
      <c r="B7" s="24">
        <f>IFERROR(IF('Paid Loss'!B7="","",'Sel Ults - Incurred Loss'!D7-'Paid Loss'!B7),"")</f>
        <v/>
      </c>
      <c r="C7" s="24">
        <f>IFERROR(IF('Paid Loss'!C7="","",'Sel Ults - Incurred Loss'!D7-'Paid Loss'!C7),"")</f>
        <v/>
      </c>
      <c r="D7" s="24">
        <f>IFERROR(IF('Paid Loss'!D7="","",'Sel Ults - Incurred Loss'!D7-'Paid Loss'!D7),"")</f>
        <v/>
      </c>
      <c r="E7" s="24">
        <f>IFERROR(IF('Paid Loss'!E7="","",'Sel Ults - Incurred Loss'!D7-'Paid Loss'!E7),"")</f>
        <v/>
      </c>
      <c r="F7" s="24">
        <f>IFERROR(IF('Paid Loss'!F7="","",'Sel Ults - Incurred Loss'!D7-'Paid Loss'!F7),"")</f>
        <v/>
      </c>
      <c r="G7" s="24">
        <f>IFERROR(IF('Paid Loss'!G7="","",'Sel Ults - Incurred Loss'!D7-'Paid Loss'!G7),"")</f>
        <v/>
      </c>
      <c r="H7" s="24">
        <f>IFERROR(IF('Paid Loss'!H7="","",'Sel Ults - Incurred Loss'!D7-'Paid Loss'!H7),"")</f>
        <v/>
      </c>
      <c r="I7" s="24">
        <f>IFERROR(IF('Paid Loss'!I7="","",'Sel Ults - Incurred Loss'!D7-'Paid Loss'!I7),"")</f>
        <v/>
      </c>
      <c r="J7" s="24">
        <f>IFERROR(IF('Paid Loss'!J7="","",'Sel Ults - Incurred Loss'!D7-'Paid Loss'!J7),"")</f>
        <v/>
      </c>
      <c r="K7" s="24">
        <f>IFERROR(IF('Paid Loss'!K7="","",'Sel Ults - Incurred Loss'!D7-'Paid Loss'!K7),"")</f>
        <v/>
      </c>
      <c r="L7" s="24">
        <f>IFERROR(IF('Paid Loss'!L7="","",'Sel Ults - Incurred Loss'!D7-'Paid Loss'!L7),"")</f>
        <v/>
      </c>
      <c r="M7" s="24">
        <f>IFERROR(IF('Paid Loss'!M7="","",'Sel Ults - Incurred Loss'!D7-'Paid Loss'!M7),"")</f>
        <v/>
      </c>
      <c r="N7" s="24">
        <f>IFERROR(IF('Paid Loss'!N7="","",'Sel Ults - Incurred Loss'!D7-'Paid Loss'!N7),"")</f>
        <v/>
      </c>
      <c r="O7" s="24">
        <f>IFERROR(IF('Paid Loss'!O7="","",'Sel Ults - Incurred Loss'!D7-'Paid Loss'!O7),"")</f>
        <v/>
      </c>
      <c r="P7" s="24">
        <f>IFERROR(IF('Paid Loss'!P7="","",'Sel Ults - Incurred Loss'!D7-'Paid Loss'!P7),"")</f>
        <v/>
      </c>
      <c r="Q7" s="24">
        <f>IFERROR(IF('Paid Loss'!Q7="","",'Sel Ults - Incurred Loss'!D7-'Paid Loss'!Q7),"")</f>
        <v/>
      </c>
      <c r="R7" s="24">
        <f>IFERROR(IF('Paid Loss'!R7="","",'Sel Ults - Incurred Loss'!D7-'Paid Loss'!R7),"")</f>
        <v/>
      </c>
      <c r="S7" s="24">
        <f>IFERROR(IF('Paid Loss'!S7="","",'Sel Ults - Incurred Loss'!D7-'Paid Loss'!S7),"")</f>
        <v/>
      </c>
      <c r="T7" s="24">
        <f>IFERROR(IF('Paid Loss'!T7="","",'Sel Ults - Incurred Loss'!D7-'Paid Loss'!T7),"")</f>
        <v/>
      </c>
      <c r="U7" s="24">
        <f>IFERROR(IF('Paid Loss'!U7="","",'Sel Ults - Incurred Loss'!D7-'Paid Loss'!U7),"")</f>
        <v/>
      </c>
      <c r="V7" s="24">
        <f>IFERROR(IF('Paid Loss'!V7="","",'Sel Ults - Incurred Loss'!D7-'Paid Loss'!V7),"")</f>
        <v/>
      </c>
      <c r="W7" s="24">
        <f>IFERROR(IF('Paid Loss'!W7="","",'Sel Ults - Incurred Loss'!D7-'Paid Loss'!W7),"")</f>
        <v/>
      </c>
      <c r="X7" s="24">
        <f>IFERROR(IF('Paid Loss'!X7="","",'Sel Ults - Incurred Loss'!D7-'Paid Loss'!X7),"")</f>
        <v/>
      </c>
      <c r="Y7" s="24">
        <f>IFERROR(IF('Paid Loss'!Y7="","",'Sel Ults - Incurred Loss'!D7-'Paid Loss'!Y7),"")</f>
        <v/>
      </c>
    </row>
    <row r="8">
      <c r="A8">
        <f>'Incurred Loss'!A8</f>
        <v/>
      </c>
      <c r="B8" s="24">
        <f>IFERROR(IF('Paid Loss'!B8="","",'Sel Ults - Incurred Loss'!D8-'Paid Loss'!B8),"")</f>
        <v/>
      </c>
      <c r="C8" s="24">
        <f>IFERROR(IF('Paid Loss'!C8="","",'Sel Ults - Incurred Loss'!D8-'Paid Loss'!C8),"")</f>
        <v/>
      </c>
      <c r="D8" s="24">
        <f>IFERROR(IF('Paid Loss'!D8="","",'Sel Ults - Incurred Loss'!D8-'Paid Loss'!D8),"")</f>
        <v/>
      </c>
      <c r="E8" s="24">
        <f>IFERROR(IF('Paid Loss'!E8="","",'Sel Ults - Incurred Loss'!D8-'Paid Loss'!E8),"")</f>
        <v/>
      </c>
      <c r="F8" s="24">
        <f>IFERROR(IF('Paid Loss'!F8="","",'Sel Ults - Incurred Loss'!D8-'Paid Loss'!F8),"")</f>
        <v/>
      </c>
      <c r="G8" s="24">
        <f>IFERROR(IF('Paid Loss'!G8="","",'Sel Ults - Incurred Loss'!D8-'Paid Loss'!G8),"")</f>
        <v/>
      </c>
      <c r="H8" s="24">
        <f>IFERROR(IF('Paid Loss'!H8="","",'Sel Ults - Incurred Loss'!D8-'Paid Loss'!H8),"")</f>
        <v/>
      </c>
      <c r="I8" s="24">
        <f>IFERROR(IF('Paid Loss'!I8="","",'Sel Ults - Incurred Loss'!D8-'Paid Loss'!I8),"")</f>
        <v/>
      </c>
      <c r="J8" s="24">
        <f>IFERROR(IF('Paid Loss'!J8="","",'Sel Ults - Incurred Loss'!D8-'Paid Loss'!J8),"")</f>
        <v/>
      </c>
      <c r="K8" s="24">
        <f>IFERROR(IF('Paid Loss'!K8="","",'Sel Ults - Incurred Loss'!D8-'Paid Loss'!K8),"")</f>
        <v/>
      </c>
      <c r="L8" s="24">
        <f>IFERROR(IF('Paid Loss'!L8="","",'Sel Ults - Incurred Loss'!D8-'Paid Loss'!L8),"")</f>
        <v/>
      </c>
      <c r="M8" s="24">
        <f>IFERROR(IF('Paid Loss'!M8="","",'Sel Ults - Incurred Loss'!D8-'Paid Loss'!M8),"")</f>
        <v/>
      </c>
      <c r="N8" s="24">
        <f>IFERROR(IF('Paid Loss'!N8="","",'Sel Ults - Incurred Loss'!D8-'Paid Loss'!N8),"")</f>
        <v/>
      </c>
      <c r="O8" s="24">
        <f>IFERROR(IF('Paid Loss'!O8="","",'Sel Ults - Incurred Loss'!D8-'Paid Loss'!O8),"")</f>
        <v/>
      </c>
      <c r="P8" s="24">
        <f>IFERROR(IF('Paid Loss'!P8="","",'Sel Ults - Incurred Loss'!D8-'Paid Loss'!P8),"")</f>
        <v/>
      </c>
      <c r="Q8" s="24">
        <f>IFERROR(IF('Paid Loss'!Q8="","",'Sel Ults - Incurred Loss'!D8-'Paid Loss'!Q8),"")</f>
        <v/>
      </c>
      <c r="R8" s="24">
        <f>IFERROR(IF('Paid Loss'!R8="","",'Sel Ults - Incurred Loss'!D8-'Paid Loss'!R8),"")</f>
        <v/>
      </c>
      <c r="S8" s="24">
        <f>IFERROR(IF('Paid Loss'!S8="","",'Sel Ults - Incurred Loss'!D8-'Paid Loss'!S8),"")</f>
        <v/>
      </c>
      <c r="T8" s="24">
        <f>IFERROR(IF('Paid Loss'!T8="","",'Sel Ults - Incurred Loss'!D8-'Paid Loss'!T8),"")</f>
        <v/>
      </c>
      <c r="U8" s="24">
        <f>IFERROR(IF('Paid Loss'!U8="","",'Sel Ults - Incurred Loss'!D8-'Paid Loss'!U8),"")</f>
        <v/>
      </c>
      <c r="V8" s="24">
        <f>IFERROR(IF('Paid Loss'!V8="","",'Sel Ults - Incurred Loss'!D8-'Paid Loss'!V8),"")</f>
        <v/>
      </c>
      <c r="W8" s="24">
        <f>IFERROR(IF('Paid Loss'!W8="","",'Sel Ults - Incurred Loss'!D8-'Paid Loss'!W8),"")</f>
        <v/>
      </c>
      <c r="X8" s="24">
        <f>IFERROR(IF('Paid Loss'!X8="","",'Sel Ults - Incurred Loss'!D8-'Paid Loss'!X8),"")</f>
        <v/>
      </c>
      <c r="Y8" s="24">
        <f>IFERROR(IF('Paid Loss'!Y8="","",'Sel Ults - Incurred Loss'!D8-'Paid Loss'!Y8),"")</f>
        <v/>
      </c>
    </row>
    <row r="9">
      <c r="A9">
        <f>'Incurred Loss'!A9</f>
        <v/>
      </c>
      <c r="B9" s="24">
        <f>IFERROR(IF('Paid Loss'!B9="","",'Sel Ults - Incurred Loss'!D9-'Paid Loss'!B9),"")</f>
        <v/>
      </c>
      <c r="C9" s="24">
        <f>IFERROR(IF('Paid Loss'!C9="","",'Sel Ults - Incurred Loss'!D9-'Paid Loss'!C9),"")</f>
        <v/>
      </c>
      <c r="D9" s="24">
        <f>IFERROR(IF('Paid Loss'!D9="","",'Sel Ults - Incurred Loss'!D9-'Paid Loss'!D9),"")</f>
        <v/>
      </c>
      <c r="E9" s="24">
        <f>IFERROR(IF('Paid Loss'!E9="","",'Sel Ults - Incurred Loss'!D9-'Paid Loss'!E9),"")</f>
        <v/>
      </c>
      <c r="F9" s="24">
        <f>IFERROR(IF('Paid Loss'!F9="","",'Sel Ults - Incurred Loss'!D9-'Paid Loss'!F9),"")</f>
        <v/>
      </c>
      <c r="G9" s="24">
        <f>IFERROR(IF('Paid Loss'!G9="","",'Sel Ults - Incurred Loss'!D9-'Paid Loss'!G9),"")</f>
        <v/>
      </c>
      <c r="H9" s="24">
        <f>IFERROR(IF('Paid Loss'!H9="","",'Sel Ults - Incurred Loss'!D9-'Paid Loss'!H9),"")</f>
        <v/>
      </c>
      <c r="I9" s="24">
        <f>IFERROR(IF('Paid Loss'!I9="","",'Sel Ults - Incurred Loss'!D9-'Paid Loss'!I9),"")</f>
        <v/>
      </c>
      <c r="J9" s="24">
        <f>IFERROR(IF('Paid Loss'!J9="","",'Sel Ults - Incurred Loss'!D9-'Paid Loss'!J9),"")</f>
        <v/>
      </c>
      <c r="K9" s="24">
        <f>IFERROR(IF('Paid Loss'!K9="","",'Sel Ults - Incurred Loss'!D9-'Paid Loss'!K9),"")</f>
        <v/>
      </c>
      <c r="L9" s="24">
        <f>IFERROR(IF('Paid Loss'!L9="","",'Sel Ults - Incurred Loss'!D9-'Paid Loss'!L9),"")</f>
        <v/>
      </c>
      <c r="M9" s="24">
        <f>IFERROR(IF('Paid Loss'!M9="","",'Sel Ults - Incurred Loss'!D9-'Paid Loss'!M9),"")</f>
        <v/>
      </c>
      <c r="N9" s="24">
        <f>IFERROR(IF('Paid Loss'!N9="","",'Sel Ults - Incurred Loss'!D9-'Paid Loss'!N9),"")</f>
        <v/>
      </c>
      <c r="O9" s="24">
        <f>IFERROR(IF('Paid Loss'!O9="","",'Sel Ults - Incurred Loss'!D9-'Paid Loss'!O9),"")</f>
        <v/>
      </c>
      <c r="P9" s="24">
        <f>IFERROR(IF('Paid Loss'!P9="","",'Sel Ults - Incurred Loss'!D9-'Paid Loss'!P9),"")</f>
        <v/>
      </c>
      <c r="Q9" s="24">
        <f>IFERROR(IF('Paid Loss'!Q9="","",'Sel Ults - Incurred Loss'!D9-'Paid Loss'!Q9),"")</f>
        <v/>
      </c>
      <c r="R9" s="24">
        <f>IFERROR(IF('Paid Loss'!R9="","",'Sel Ults - Incurred Loss'!D9-'Paid Loss'!R9),"")</f>
        <v/>
      </c>
      <c r="S9" s="24">
        <f>IFERROR(IF('Paid Loss'!S9="","",'Sel Ults - Incurred Loss'!D9-'Paid Loss'!S9),"")</f>
        <v/>
      </c>
      <c r="T9" s="24">
        <f>IFERROR(IF('Paid Loss'!T9="","",'Sel Ults - Incurred Loss'!D9-'Paid Loss'!T9),"")</f>
        <v/>
      </c>
      <c r="U9" s="24">
        <f>IFERROR(IF('Paid Loss'!U9="","",'Sel Ults - Incurred Loss'!D9-'Paid Loss'!U9),"")</f>
        <v/>
      </c>
      <c r="V9" s="24">
        <f>IFERROR(IF('Paid Loss'!V9="","",'Sel Ults - Incurred Loss'!D9-'Paid Loss'!V9),"")</f>
        <v/>
      </c>
      <c r="W9" s="24">
        <f>IFERROR(IF('Paid Loss'!W9="","",'Sel Ults - Incurred Loss'!D9-'Paid Loss'!W9),"")</f>
        <v/>
      </c>
      <c r="X9" s="24">
        <f>IFERROR(IF('Paid Loss'!X9="","",'Sel Ults - Incurred Loss'!D9-'Paid Loss'!X9),"")</f>
        <v/>
      </c>
      <c r="Y9" s="24">
        <f>IFERROR(IF('Paid Loss'!Y9="","",'Sel Ults - Incurred Loss'!D9-'Paid Loss'!Y9),"")</f>
        <v/>
      </c>
    </row>
    <row r="10">
      <c r="A10">
        <f>'Incurred Loss'!A10</f>
        <v/>
      </c>
      <c r="B10" s="24">
        <f>IFERROR(IF('Paid Loss'!B10="","",'Sel Ults - Incurred Loss'!D10-'Paid Loss'!B10),"")</f>
        <v/>
      </c>
      <c r="C10" s="24">
        <f>IFERROR(IF('Paid Loss'!C10="","",'Sel Ults - Incurred Loss'!D10-'Paid Loss'!C10),"")</f>
        <v/>
      </c>
      <c r="D10" s="24">
        <f>IFERROR(IF('Paid Loss'!D10="","",'Sel Ults - Incurred Loss'!D10-'Paid Loss'!D10),"")</f>
        <v/>
      </c>
      <c r="E10" s="24">
        <f>IFERROR(IF('Paid Loss'!E10="","",'Sel Ults - Incurred Loss'!D10-'Paid Loss'!E10),"")</f>
        <v/>
      </c>
      <c r="F10" s="24">
        <f>IFERROR(IF('Paid Loss'!F10="","",'Sel Ults - Incurred Loss'!D10-'Paid Loss'!F10),"")</f>
        <v/>
      </c>
      <c r="G10" s="24">
        <f>IFERROR(IF('Paid Loss'!G10="","",'Sel Ults - Incurred Loss'!D10-'Paid Loss'!G10),"")</f>
        <v/>
      </c>
      <c r="H10" s="24">
        <f>IFERROR(IF('Paid Loss'!H10="","",'Sel Ults - Incurred Loss'!D10-'Paid Loss'!H10),"")</f>
        <v/>
      </c>
      <c r="I10" s="24">
        <f>IFERROR(IF('Paid Loss'!I10="","",'Sel Ults - Incurred Loss'!D10-'Paid Loss'!I10),"")</f>
        <v/>
      </c>
      <c r="J10" s="24">
        <f>IFERROR(IF('Paid Loss'!J10="","",'Sel Ults - Incurred Loss'!D10-'Paid Loss'!J10),"")</f>
        <v/>
      </c>
      <c r="K10" s="24">
        <f>IFERROR(IF('Paid Loss'!K10="","",'Sel Ults - Incurred Loss'!D10-'Paid Loss'!K10),"")</f>
        <v/>
      </c>
      <c r="L10" s="24">
        <f>IFERROR(IF('Paid Loss'!L10="","",'Sel Ults - Incurred Loss'!D10-'Paid Loss'!L10),"")</f>
        <v/>
      </c>
      <c r="M10" s="24">
        <f>IFERROR(IF('Paid Loss'!M10="","",'Sel Ults - Incurred Loss'!D10-'Paid Loss'!M10),"")</f>
        <v/>
      </c>
      <c r="N10" s="24">
        <f>IFERROR(IF('Paid Loss'!N10="","",'Sel Ults - Incurred Loss'!D10-'Paid Loss'!N10),"")</f>
        <v/>
      </c>
      <c r="O10" s="24">
        <f>IFERROR(IF('Paid Loss'!O10="","",'Sel Ults - Incurred Loss'!D10-'Paid Loss'!O10),"")</f>
        <v/>
      </c>
      <c r="P10" s="24">
        <f>IFERROR(IF('Paid Loss'!P10="","",'Sel Ults - Incurred Loss'!D10-'Paid Loss'!P10),"")</f>
        <v/>
      </c>
      <c r="Q10" s="24">
        <f>IFERROR(IF('Paid Loss'!Q10="","",'Sel Ults - Incurred Loss'!D10-'Paid Loss'!Q10),"")</f>
        <v/>
      </c>
      <c r="R10" s="24">
        <f>IFERROR(IF('Paid Loss'!R10="","",'Sel Ults - Incurred Loss'!D10-'Paid Loss'!R10),"")</f>
        <v/>
      </c>
      <c r="S10" s="24">
        <f>IFERROR(IF('Paid Loss'!S10="","",'Sel Ults - Incurred Loss'!D10-'Paid Loss'!S10),"")</f>
        <v/>
      </c>
      <c r="T10" s="24">
        <f>IFERROR(IF('Paid Loss'!T10="","",'Sel Ults - Incurred Loss'!D10-'Paid Loss'!T10),"")</f>
        <v/>
      </c>
      <c r="U10" s="24">
        <f>IFERROR(IF('Paid Loss'!U10="","",'Sel Ults - Incurred Loss'!D10-'Paid Loss'!U10),"")</f>
        <v/>
      </c>
      <c r="V10" s="24">
        <f>IFERROR(IF('Paid Loss'!V10="","",'Sel Ults - Incurred Loss'!D10-'Paid Loss'!V10),"")</f>
        <v/>
      </c>
      <c r="W10" s="24">
        <f>IFERROR(IF('Paid Loss'!W10="","",'Sel Ults - Incurred Loss'!D10-'Paid Loss'!W10),"")</f>
        <v/>
      </c>
      <c r="X10" s="24">
        <f>IFERROR(IF('Paid Loss'!X10="","",'Sel Ults - Incurred Loss'!D10-'Paid Loss'!X10),"")</f>
        <v/>
      </c>
      <c r="Y10" s="24">
        <f>IFERROR(IF('Paid Loss'!Y10="","",'Sel Ults - Incurred Loss'!D10-'Paid Loss'!Y10),"")</f>
        <v/>
      </c>
    </row>
    <row r="11">
      <c r="A11">
        <f>'Incurred Loss'!A11</f>
        <v/>
      </c>
      <c r="B11" s="24">
        <f>IFERROR(IF('Paid Loss'!B11="","",'Sel Ults - Incurred Loss'!D11-'Paid Loss'!B11),"")</f>
        <v/>
      </c>
      <c r="C11" s="24">
        <f>IFERROR(IF('Paid Loss'!C11="","",'Sel Ults - Incurred Loss'!D11-'Paid Loss'!C11),"")</f>
        <v/>
      </c>
      <c r="D11" s="24">
        <f>IFERROR(IF('Paid Loss'!D11="","",'Sel Ults - Incurred Loss'!D11-'Paid Loss'!D11),"")</f>
        <v/>
      </c>
      <c r="E11" s="24">
        <f>IFERROR(IF('Paid Loss'!E11="","",'Sel Ults - Incurred Loss'!D11-'Paid Loss'!E11),"")</f>
        <v/>
      </c>
      <c r="F11" s="24">
        <f>IFERROR(IF('Paid Loss'!F11="","",'Sel Ults - Incurred Loss'!D11-'Paid Loss'!F11),"")</f>
        <v/>
      </c>
      <c r="G11" s="24">
        <f>IFERROR(IF('Paid Loss'!G11="","",'Sel Ults - Incurred Loss'!D11-'Paid Loss'!G11),"")</f>
        <v/>
      </c>
      <c r="H11" s="24">
        <f>IFERROR(IF('Paid Loss'!H11="","",'Sel Ults - Incurred Loss'!D11-'Paid Loss'!H11),"")</f>
        <v/>
      </c>
      <c r="I11" s="24">
        <f>IFERROR(IF('Paid Loss'!I11="","",'Sel Ults - Incurred Loss'!D11-'Paid Loss'!I11),"")</f>
        <v/>
      </c>
      <c r="J11" s="24">
        <f>IFERROR(IF('Paid Loss'!J11="","",'Sel Ults - Incurred Loss'!D11-'Paid Loss'!J11),"")</f>
        <v/>
      </c>
      <c r="K11" s="24">
        <f>IFERROR(IF('Paid Loss'!K11="","",'Sel Ults - Incurred Loss'!D11-'Paid Loss'!K11),"")</f>
        <v/>
      </c>
      <c r="L11" s="24">
        <f>IFERROR(IF('Paid Loss'!L11="","",'Sel Ults - Incurred Loss'!D11-'Paid Loss'!L11),"")</f>
        <v/>
      </c>
      <c r="M11" s="24">
        <f>IFERROR(IF('Paid Loss'!M11="","",'Sel Ults - Incurred Loss'!D11-'Paid Loss'!M11),"")</f>
        <v/>
      </c>
      <c r="N11" s="24">
        <f>IFERROR(IF('Paid Loss'!N11="","",'Sel Ults - Incurred Loss'!D11-'Paid Loss'!N11),"")</f>
        <v/>
      </c>
      <c r="O11" s="24">
        <f>IFERROR(IF('Paid Loss'!O11="","",'Sel Ults - Incurred Loss'!D11-'Paid Loss'!O11),"")</f>
        <v/>
      </c>
      <c r="P11" s="24">
        <f>IFERROR(IF('Paid Loss'!P11="","",'Sel Ults - Incurred Loss'!D11-'Paid Loss'!P11),"")</f>
        <v/>
      </c>
      <c r="Q11" s="24">
        <f>IFERROR(IF('Paid Loss'!Q11="","",'Sel Ults - Incurred Loss'!D11-'Paid Loss'!Q11),"")</f>
        <v/>
      </c>
      <c r="R11" s="24">
        <f>IFERROR(IF('Paid Loss'!R11="","",'Sel Ults - Incurred Loss'!D11-'Paid Loss'!R11),"")</f>
        <v/>
      </c>
      <c r="S11" s="24">
        <f>IFERROR(IF('Paid Loss'!S11="","",'Sel Ults - Incurred Loss'!D11-'Paid Loss'!S11),"")</f>
        <v/>
      </c>
      <c r="T11" s="24">
        <f>IFERROR(IF('Paid Loss'!T11="","",'Sel Ults - Incurred Loss'!D11-'Paid Loss'!T11),"")</f>
        <v/>
      </c>
      <c r="U11" s="24">
        <f>IFERROR(IF('Paid Loss'!U11="","",'Sel Ults - Incurred Loss'!D11-'Paid Loss'!U11),"")</f>
        <v/>
      </c>
      <c r="V11" s="24">
        <f>IFERROR(IF('Paid Loss'!V11="","",'Sel Ults - Incurred Loss'!D11-'Paid Loss'!V11),"")</f>
        <v/>
      </c>
      <c r="W11" s="24">
        <f>IFERROR(IF('Paid Loss'!W11="","",'Sel Ults - Incurred Loss'!D11-'Paid Loss'!W11),"")</f>
        <v/>
      </c>
      <c r="X11" s="24">
        <f>IFERROR(IF('Paid Loss'!X11="","",'Sel Ults - Incurred Loss'!D11-'Paid Loss'!X11),"")</f>
        <v/>
      </c>
      <c r="Y11" s="24">
        <f>IFERROR(IF('Paid Loss'!Y11="","",'Sel Ults - Incurred Loss'!D11-'Paid Loss'!Y11),"")</f>
        <v/>
      </c>
    </row>
    <row r="12">
      <c r="A12">
        <f>'Incurred Loss'!A12</f>
        <v/>
      </c>
      <c r="B12" s="24">
        <f>IFERROR(IF('Paid Loss'!B12="","",'Sel Ults - Incurred Loss'!D12-'Paid Loss'!B12),"")</f>
        <v/>
      </c>
      <c r="C12" s="24">
        <f>IFERROR(IF('Paid Loss'!C12="","",'Sel Ults - Incurred Loss'!D12-'Paid Loss'!C12),"")</f>
        <v/>
      </c>
      <c r="D12" s="24">
        <f>IFERROR(IF('Paid Loss'!D12="","",'Sel Ults - Incurred Loss'!D12-'Paid Loss'!D12),"")</f>
        <v/>
      </c>
      <c r="E12" s="24">
        <f>IFERROR(IF('Paid Loss'!E12="","",'Sel Ults - Incurred Loss'!D12-'Paid Loss'!E12),"")</f>
        <v/>
      </c>
      <c r="F12" s="24">
        <f>IFERROR(IF('Paid Loss'!F12="","",'Sel Ults - Incurred Loss'!D12-'Paid Loss'!F12),"")</f>
        <v/>
      </c>
      <c r="G12" s="24">
        <f>IFERROR(IF('Paid Loss'!G12="","",'Sel Ults - Incurred Loss'!D12-'Paid Loss'!G12),"")</f>
        <v/>
      </c>
      <c r="H12" s="24">
        <f>IFERROR(IF('Paid Loss'!H12="","",'Sel Ults - Incurred Loss'!D12-'Paid Loss'!H12),"")</f>
        <v/>
      </c>
      <c r="I12" s="24">
        <f>IFERROR(IF('Paid Loss'!I12="","",'Sel Ults - Incurred Loss'!D12-'Paid Loss'!I12),"")</f>
        <v/>
      </c>
      <c r="J12" s="24">
        <f>IFERROR(IF('Paid Loss'!J12="","",'Sel Ults - Incurred Loss'!D12-'Paid Loss'!J12),"")</f>
        <v/>
      </c>
      <c r="K12" s="24">
        <f>IFERROR(IF('Paid Loss'!K12="","",'Sel Ults - Incurred Loss'!D12-'Paid Loss'!K12),"")</f>
        <v/>
      </c>
      <c r="L12" s="24">
        <f>IFERROR(IF('Paid Loss'!L12="","",'Sel Ults - Incurred Loss'!D12-'Paid Loss'!L12),"")</f>
        <v/>
      </c>
      <c r="M12" s="24">
        <f>IFERROR(IF('Paid Loss'!M12="","",'Sel Ults - Incurred Loss'!D12-'Paid Loss'!M12),"")</f>
        <v/>
      </c>
      <c r="N12" s="24">
        <f>IFERROR(IF('Paid Loss'!N12="","",'Sel Ults - Incurred Loss'!D12-'Paid Loss'!N12),"")</f>
        <v/>
      </c>
      <c r="O12" s="24">
        <f>IFERROR(IF('Paid Loss'!O12="","",'Sel Ults - Incurred Loss'!D12-'Paid Loss'!O12),"")</f>
        <v/>
      </c>
      <c r="P12" s="24">
        <f>IFERROR(IF('Paid Loss'!P12="","",'Sel Ults - Incurred Loss'!D12-'Paid Loss'!P12),"")</f>
        <v/>
      </c>
      <c r="Q12" s="24">
        <f>IFERROR(IF('Paid Loss'!Q12="","",'Sel Ults - Incurred Loss'!D12-'Paid Loss'!Q12),"")</f>
        <v/>
      </c>
      <c r="R12" s="24">
        <f>IFERROR(IF('Paid Loss'!R12="","",'Sel Ults - Incurred Loss'!D12-'Paid Loss'!R12),"")</f>
        <v/>
      </c>
      <c r="S12" s="24">
        <f>IFERROR(IF('Paid Loss'!S12="","",'Sel Ults - Incurred Loss'!D12-'Paid Loss'!S12),"")</f>
        <v/>
      </c>
      <c r="T12" s="24">
        <f>IFERROR(IF('Paid Loss'!T12="","",'Sel Ults - Incurred Loss'!D12-'Paid Loss'!T12),"")</f>
        <v/>
      </c>
      <c r="U12" s="24">
        <f>IFERROR(IF('Paid Loss'!U12="","",'Sel Ults - Incurred Loss'!D12-'Paid Loss'!U12),"")</f>
        <v/>
      </c>
      <c r="V12" s="24">
        <f>IFERROR(IF('Paid Loss'!V12="","",'Sel Ults - Incurred Loss'!D12-'Paid Loss'!V12),"")</f>
        <v/>
      </c>
      <c r="W12" s="24">
        <f>IFERROR(IF('Paid Loss'!W12="","",'Sel Ults - Incurred Loss'!D12-'Paid Loss'!W12),"")</f>
        <v/>
      </c>
      <c r="X12" s="24">
        <f>IFERROR(IF('Paid Loss'!X12="","",'Sel Ults - Incurred Loss'!D12-'Paid Loss'!X12),"")</f>
        <v/>
      </c>
      <c r="Y12" s="24">
        <f>IFERROR(IF('Paid Loss'!Y12="","",'Sel Ults - Incurred Loss'!D12-'Paid Loss'!Y12),"")</f>
        <v/>
      </c>
    </row>
    <row r="13">
      <c r="A13">
        <f>'Incurred Loss'!A13</f>
        <v/>
      </c>
      <c r="B13" s="24">
        <f>IFERROR(IF('Paid Loss'!B13="","",'Sel Ults - Incurred Loss'!D13-'Paid Loss'!B13),"")</f>
        <v/>
      </c>
      <c r="C13" s="24">
        <f>IFERROR(IF('Paid Loss'!C13="","",'Sel Ults - Incurred Loss'!D13-'Paid Loss'!C13),"")</f>
        <v/>
      </c>
      <c r="D13" s="24">
        <f>IFERROR(IF('Paid Loss'!D13="","",'Sel Ults - Incurred Loss'!D13-'Paid Loss'!D13),"")</f>
        <v/>
      </c>
      <c r="E13" s="24">
        <f>IFERROR(IF('Paid Loss'!E13="","",'Sel Ults - Incurred Loss'!D13-'Paid Loss'!E13),"")</f>
        <v/>
      </c>
      <c r="F13" s="24">
        <f>IFERROR(IF('Paid Loss'!F13="","",'Sel Ults - Incurred Loss'!D13-'Paid Loss'!F13),"")</f>
        <v/>
      </c>
      <c r="G13" s="24">
        <f>IFERROR(IF('Paid Loss'!G13="","",'Sel Ults - Incurred Loss'!D13-'Paid Loss'!G13),"")</f>
        <v/>
      </c>
      <c r="H13" s="24">
        <f>IFERROR(IF('Paid Loss'!H13="","",'Sel Ults - Incurred Loss'!D13-'Paid Loss'!H13),"")</f>
        <v/>
      </c>
      <c r="I13" s="24">
        <f>IFERROR(IF('Paid Loss'!I13="","",'Sel Ults - Incurred Loss'!D13-'Paid Loss'!I13),"")</f>
        <v/>
      </c>
      <c r="J13" s="24">
        <f>IFERROR(IF('Paid Loss'!J13="","",'Sel Ults - Incurred Loss'!D13-'Paid Loss'!J13),"")</f>
        <v/>
      </c>
      <c r="K13" s="24">
        <f>IFERROR(IF('Paid Loss'!K13="","",'Sel Ults - Incurred Loss'!D13-'Paid Loss'!K13),"")</f>
        <v/>
      </c>
      <c r="L13" s="24">
        <f>IFERROR(IF('Paid Loss'!L13="","",'Sel Ults - Incurred Loss'!D13-'Paid Loss'!L13),"")</f>
        <v/>
      </c>
      <c r="M13" s="24">
        <f>IFERROR(IF('Paid Loss'!M13="","",'Sel Ults - Incurred Loss'!D13-'Paid Loss'!M13),"")</f>
        <v/>
      </c>
      <c r="N13" s="24">
        <f>IFERROR(IF('Paid Loss'!N13="","",'Sel Ults - Incurred Loss'!D13-'Paid Loss'!N13),"")</f>
        <v/>
      </c>
      <c r="O13" s="24">
        <f>IFERROR(IF('Paid Loss'!O13="","",'Sel Ults - Incurred Loss'!D13-'Paid Loss'!O13),"")</f>
        <v/>
      </c>
      <c r="P13" s="24">
        <f>IFERROR(IF('Paid Loss'!P13="","",'Sel Ults - Incurred Loss'!D13-'Paid Loss'!P13),"")</f>
        <v/>
      </c>
      <c r="Q13" s="24">
        <f>IFERROR(IF('Paid Loss'!Q13="","",'Sel Ults - Incurred Loss'!D13-'Paid Loss'!Q13),"")</f>
        <v/>
      </c>
      <c r="R13" s="24">
        <f>IFERROR(IF('Paid Loss'!R13="","",'Sel Ults - Incurred Loss'!D13-'Paid Loss'!R13),"")</f>
        <v/>
      </c>
      <c r="S13" s="24">
        <f>IFERROR(IF('Paid Loss'!S13="","",'Sel Ults - Incurred Loss'!D13-'Paid Loss'!S13),"")</f>
        <v/>
      </c>
      <c r="T13" s="24">
        <f>IFERROR(IF('Paid Loss'!T13="","",'Sel Ults - Incurred Loss'!D13-'Paid Loss'!T13),"")</f>
        <v/>
      </c>
      <c r="U13" s="24">
        <f>IFERROR(IF('Paid Loss'!U13="","",'Sel Ults - Incurred Loss'!D13-'Paid Loss'!U13),"")</f>
        <v/>
      </c>
      <c r="V13" s="24">
        <f>IFERROR(IF('Paid Loss'!V13="","",'Sel Ults - Incurred Loss'!D13-'Paid Loss'!V13),"")</f>
        <v/>
      </c>
      <c r="W13" s="24">
        <f>IFERROR(IF('Paid Loss'!W13="","",'Sel Ults - Incurred Loss'!D13-'Paid Loss'!W13),"")</f>
        <v/>
      </c>
      <c r="X13" s="24">
        <f>IFERROR(IF('Paid Loss'!X13="","",'Sel Ults - Incurred Loss'!D13-'Paid Loss'!X13),"")</f>
        <v/>
      </c>
      <c r="Y13" s="24">
        <f>IFERROR(IF('Paid Loss'!Y13="","",'Sel Ults - Incurred Loss'!D13-'Paid Loss'!Y13),"")</f>
        <v/>
      </c>
    </row>
    <row r="14">
      <c r="A14">
        <f>'Incurred Loss'!A14</f>
        <v/>
      </c>
      <c r="B14" s="24">
        <f>IFERROR(IF('Paid Loss'!B14="","",'Sel Ults - Incurred Loss'!D14-'Paid Loss'!B14),"")</f>
        <v/>
      </c>
      <c r="C14" s="24">
        <f>IFERROR(IF('Paid Loss'!C14="","",'Sel Ults - Incurred Loss'!D14-'Paid Loss'!C14),"")</f>
        <v/>
      </c>
      <c r="D14" s="24">
        <f>IFERROR(IF('Paid Loss'!D14="","",'Sel Ults - Incurred Loss'!D14-'Paid Loss'!D14),"")</f>
        <v/>
      </c>
      <c r="E14" s="24">
        <f>IFERROR(IF('Paid Loss'!E14="","",'Sel Ults - Incurred Loss'!D14-'Paid Loss'!E14),"")</f>
        <v/>
      </c>
      <c r="F14" s="24">
        <f>IFERROR(IF('Paid Loss'!F14="","",'Sel Ults - Incurred Loss'!D14-'Paid Loss'!F14),"")</f>
        <v/>
      </c>
      <c r="G14" s="24">
        <f>IFERROR(IF('Paid Loss'!G14="","",'Sel Ults - Incurred Loss'!D14-'Paid Loss'!G14),"")</f>
        <v/>
      </c>
      <c r="H14" s="24">
        <f>IFERROR(IF('Paid Loss'!H14="","",'Sel Ults - Incurred Loss'!D14-'Paid Loss'!H14),"")</f>
        <v/>
      </c>
      <c r="I14" s="24">
        <f>IFERROR(IF('Paid Loss'!I14="","",'Sel Ults - Incurred Loss'!D14-'Paid Loss'!I14),"")</f>
        <v/>
      </c>
      <c r="J14" s="24">
        <f>IFERROR(IF('Paid Loss'!J14="","",'Sel Ults - Incurred Loss'!D14-'Paid Loss'!J14),"")</f>
        <v/>
      </c>
      <c r="K14" s="24">
        <f>IFERROR(IF('Paid Loss'!K14="","",'Sel Ults - Incurred Loss'!D14-'Paid Loss'!K14),"")</f>
        <v/>
      </c>
      <c r="L14" s="24">
        <f>IFERROR(IF('Paid Loss'!L14="","",'Sel Ults - Incurred Loss'!D14-'Paid Loss'!L14),"")</f>
        <v/>
      </c>
      <c r="M14" s="24">
        <f>IFERROR(IF('Paid Loss'!M14="","",'Sel Ults - Incurred Loss'!D14-'Paid Loss'!M14),"")</f>
        <v/>
      </c>
      <c r="N14" s="24">
        <f>IFERROR(IF('Paid Loss'!N14="","",'Sel Ults - Incurred Loss'!D14-'Paid Loss'!N14),"")</f>
        <v/>
      </c>
      <c r="O14" s="24">
        <f>IFERROR(IF('Paid Loss'!O14="","",'Sel Ults - Incurred Loss'!D14-'Paid Loss'!O14),"")</f>
        <v/>
      </c>
      <c r="P14" s="24">
        <f>IFERROR(IF('Paid Loss'!P14="","",'Sel Ults - Incurred Loss'!D14-'Paid Loss'!P14),"")</f>
        <v/>
      </c>
      <c r="Q14" s="24">
        <f>IFERROR(IF('Paid Loss'!Q14="","",'Sel Ults - Incurred Loss'!D14-'Paid Loss'!Q14),"")</f>
        <v/>
      </c>
      <c r="R14" s="24">
        <f>IFERROR(IF('Paid Loss'!R14="","",'Sel Ults - Incurred Loss'!D14-'Paid Loss'!R14),"")</f>
        <v/>
      </c>
      <c r="S14" s="24">
        <f>IFERROR(IF('Paid Loss'!S14="","",'Sel Ults - Incurred Loss'!D14-'Paid Loss'!S14),"")</f>
        <v/>
      </c>
      <c r="T14" s="24">
        <f>IFERROR(IF('Paid Loss'!T14="","",'Sel Ults - Incurred Loss'!D14-'Paid Loss'!T14),"")</f>
        <v/>
      </c>
      <c r="U14" s="24">
        <f>IFERROR(IF('Paid Loss'!U14="","",'Sel Ults - Incurred Loss'!D14-'Paid Loss'!U14),"")</f>
        <v/>
      </c>
      <c r="V14" s="24">
        <f>IFERROR(IF('Paid Loss'!V14="","",'Sel Ults - Incurred Loss'!D14-'Paid Loss'!V14),"")</f>
        <v/>
      </c>
      <c r="W14" s="24">
        <f>IFERROR(IF('Paid Loss'!W14="","",'Sel Ults - Incurred Loss'!D14-'Paid Loss'!W14),"")</f>
        <v/>
      </c>
      <c r="X14" s="24">
        <f>IFERROR(IF('Paid Loss'!X14="","",'Sel Ults - Incurred Loss'!D14-'Paid Loss'!X14),"")</f>
        <v/>
      </c>
      <c r="Y14" s="24">
        <f>IFERROR(IF('Paid Loss'!Y14="","",'Sel Ults - Incurred Loss'!D14-'Paid Loss'!Y14),"")</f>
        <v/>
      </c>
    </row>
    <row r="15">
      <c r="A15">
        <f>'Incurred Loss'!A15</f>
        <v/>
      </c>
      <c r="B15" s="24">
        <f>IFERROR(IF('Paid Loss'!B15="","",'Sel Ults - Incurred Loss'!D15-'Paid Loss'!B15),"")</f>
        <v/>
      </c>
      <c r="C15" s="24">
        <f>IFERROR(IF('Paid Loss'!C15="","",'Sel Ults - Incurred Loss'!D15-'Paid Loss'!C15),"")</f>
        <v/>
      </c>
      <c r="D15" s="24">
        <f>IFERROR(IF('Paid Loss'!D15="","",'Sel Ults - Incurred Loss'!D15-'Paid Loss'!D15),"")</f>
        <v/>
      </c>
      <c r="E15" s="24">
        <f>IFERROR(IF('Paid Loss'!E15="","",'Sel Ults - Incurred Loss'!D15-'Paid Loss'!E15),"")</f>
        <v/>
      </c>
      <c r="F15" s="24">
        <f>IFERROR(IF('Paid Loss'!F15="","",'Sel Ults - Incurred Loss'!D15-'Paid Loss'!F15),"")</f>
        <v/>
      </c>
      <c r="G15" s="24">
        <f>IFERROR(IF('Paid Loss'!G15="","",'Sel Ults - Incurred Loss'!D15-'Paid Loss'!G15),"")</f>
        <v/>
      </c>
      <c r="H15" s="24">
        <f>IFERROR(IF('Paid Loss'!H15="","",'Sel Ults - Incurred Loss'!D15-'Paid Loss'!H15),"")</f>
        <v/>
      </c>
      <c r="I15" s="24">
        <f>IFERROR(IF('Paid Loss'!I15="","",'Sel Ults - Incurred Loss'!D15-'Paid Loss'!I15),"")</f>
        <v/>
      </c>
      <c r="J15" s="24">
        <f>IFERROR(IF('Paid Loss'!J15="","",'Sel Ults - Incurred Loss'!D15-'Paid Loss'!J15),"")</f>
        <v/>
      </c>
      <c r="K15" s="24">
        <f>IFERROR(IF('Paid Loss'!K15="","",'Sel Ults - Incurred Loss'!D15-'Paid Loss'!K15),"")</f>
        <v/>
      </c>
      <c r="L15" s="24">
        <f>IFERROR(IF('Paid Loss'!L15="","",'Sel Ults - Incurred Loss'!D15-'Paid Loss'!L15),"")</f>
        <v/>
      </c>
      <c r="M15" s="24">
        <f>IFERROR(IF('Paid Loss'!M15="","",'Sel Ults - Incurred Loss'!D15-'Paid Loss'!M15),"")</f>
        <v/>
      </c>
      <c r="N15" s="24">
        <f>IFERROR(IF('Paid Loss'!N15="","",'Sel Ults - Incurred Loss'!D15-'Paid Loss'!N15),"")</f>
        <v/>
      </c>
      <c r="O15" s="24">
        <f>IFERROR(IF('Paid Loss'!O15="","",'Sel Ults - Incurred Loss'!D15-'Paid Loss'!O15),"")</f>
        <v/>
      </c>
      <c r="P15" s="24">
        <f>IFERROR(IF('Paid Loss'!P15="","",'Sel Ults - Incurred Loss'!D15-'Paid Loss'!P15),"")</f>
        <v/>
      </c>
      <c r="Q15" s="24">
        <f>IFERROR(IF('Paid Loss'!Q15="","",'Sel Ults - Incurred Loss'!D15-'Paid Loss'!Q15),"")</f>
        <v/>
      </c>
      <c r="R15" s="24">
        <f>IFERROR(IF('Paid Loss'!R15="","",'Sel Ults - Incurred Loss'!D15-'Paid Loss'!R15),"")</f>
        <v/>
      </c>
      <c r="S15" s="24">
        <f>IFERROR(IF('Paid Loss'!S15="","",'Sel Ults - Incurred Loss'!D15-'Paid Loss'!S15),"")</f>
        <v/>
      </c>
      <c r="T15" s="24">
        <f>IFERROR(IF('Paid Loss'!T15="","",'Sel Ults - Incurred Loss'!D15-'Paid Loss'!T15),"")</f>
        <v/>
      </c>
      <c r="U15" s="24">
        <f>IFERROR(IF('Paid Loss'!U15="","",'Sel Ults - Incurred Loss'!D15-'Paid Loss'!U15),"")</f>
        <v/>
      </c>
      <c r="V15" s="24">
        <f>IFERROR(IF('Paid Loss'!V15="","",'Sel Ults - Incurred Loss'!D15-'Paid Loss'!V15),"")</f>
        <v/>
      </c>
      <c r="W15" s="24">
        <f>IFERROR(IF('Paid Loss'!W15="","",'Sel Ults - Incurred Loss'!D15-'Paid Loss'!W15),"")</f>
        <v/>
      </c>
      <c r="X15" s="24">
        <f>IFERROR(IF('Paid Loss'!X15="","",'Sel Ults - Incurred Loss'!D15-'Paid Loss'!X15),"")</f>
        <v/>
      </c>
      <c r="Y15" s="24">
        <f>IFERROR(IF('Paid Loss'!Y15="","",'Sel Ults - Incurred Loss'!D15-'Paid Loss'!Y15),"")</f>
        <v/>
      </c>
    </row>
    <row r="16">
      <c r="A16">
        <f>'Incurred Loss'!A16</f>
        <v/>
      </c>
      <c r="B16" s="24">
        <f>IFERROR(IF('Paid Loss'!B16="","",'Sel Ults - Incurred Loss'!D16-'Paid Loss'!B16),"")</f>
        <v/>
      </c>
      <c r="C16" s="24">
        <f>IFERROR(IF('Paid Loss'!C16="","",'Sel Ults - Incurred Loss'!D16-'Paid Loss'!C16),"")</f>
        <v/>
      </c>
      <c r="D16" s="24">
        <f>IFERROR(IF('Paid Loss'!D16="","",'Sel Ults - Incurred Loss'!D16-'Paid Loss'!D16),"")</f>
        <v/>
      </c>
      <c r="E16" s="24">
        <f>IFERROR(IF('Paid Loss'!E16="","",'Sel Ults - Incurred Loss'!D16-'Paid Loss'!E16),"")</f>
        <v/>
      </c>
      <c r="F16" s="24">
        <f>IFERROR(IF('Paid Loss'!F16="","",'Sel Ults - Incurred Loss'!D16-'Paid Loss'!F16),"")</f>
        <v/>
      </c>
      <c r="G16" s="24">
        <f>IFERROR(IF('Paid Loss'!G16="","",'Sel Ults - Incurred Loss'!D16-'Paid Loss'!G16),"")</f>
        <v/>
      </c>
      <c r="H16" s="24">
        <f>IFERROR(IF('Paid Loss'!H16="","",'Sel Ults - Incurred Loss'!D16-'Paid Loss'!H16),"")</f>
        <v/>
      </c>
      <c r="I16" s="24">
        <f>IFERROR(IF('Paid Loss'!I16="","",'Sel Ults - Incurred Loss'!D16-'Paid Loss'!I16),"")</f>
        <v/>
      </c>
      <c r="J16" s="24">
        <f>IFERROR(IF('Paid Loss'!J16="","",'Sel Ults - Incurred Loss'!D16-'Paid Loss'!J16),"")</f>
        <v/>
      </c>
      <c r="K16" s="24">
        <f>IFERROR(IF('Paid Loss'!K16="","",'Sel Ults - Incurred Loss'!D16-'Paid Loss'!K16),"")</f>
        <v/>
      </c>
      <c r="L16" s="24">
        <f>IFERROR(IF('Paid Loss'!L16="","",'Sel Ults - Incurred Loss'!D16-'Paid Loss'!L16),"")</f>
        <v/>
      </c>
      <c r="M16" s="24">
        <f>IFERROR(IF('Paid Loss'!M16="","",'Sel Ults - Incurred Loss'!D16-'Paid Loss'!M16),"")</f>
        <v/>
      </c>
      <c r="N16" s="24">
        <f>IFERROR(IF('Paid Loss'!N16="","",'Sel Ults - Incurred Loss'!D16-'Paid Loss'!N16),"")</f>
        <v/>
      </c>
      <c r="O16" s="24">
        <f>IFERROR(IF('Paid Loss'!O16="","",'Sel Ults - Incurred Loss'!D16-'Paid Loss'!O16),"")</f>
        <v/>
      </c>
      <c r="P16" s="24">
        <f>IFERROR(IF('Paid Loss'!P16="","",'Sel Ults - Incurred Loss'!D16-'Paid Loss'!P16),"")</f>
        <v/>
      </c>
      <c r="Q16" s="24">
        <f>IFERROR(IF('Paid Loss'!Q16="","",'Sel Ults - Incurred Loss'!D16-'Paid Loss'!Q16),"")</f>
        <v/>
      </c>
      <c r="R16" s="24">
        <f>IFERROR(IF('Paid Loss'!R16="","",'Sel Ults - Incurred Loss'!D16-'Paid Loss'!R16),"")</f>
        <v/>
      </c>
      <c r="S16" s="24">
        <f>IFERROR(IF('Paid Loss'!S16="","",'Sel Ults - Incurred Loss'!D16-'Paid Loss'!S16),"")</f>
        <v/>
      </c>
      <c r="T16" s="24">
        <f>IFERROR(IF('Paid Loss'!T16="","",'Sel Ults - Incurred Loss'!D16-'Paid Loss'!T16),"")</f>
        <v/>
      </c>
      <c r="U16" s="24">
        <f>IFERROR(IF('Paid Loss'!U16="","",'Sel Ults - Incurred Loss'!D16-'Paid Loss'!U16),"")</f>
        <v/>
      </c>
      <c r="V16" s="24">
        <f>IFERROR(IF('Paid Loss'!V16="","",'Sel Ults - Incurred Loss'!D16-'Paid Loss'!V16),"")</f>
        <v/>
      </c>
      <c r="W16" s="24">
        <f>IFERROR(IF('Paid Loss'!W16="","",'Sel Ults - Incurred Loss'!D16-'Paid Loss'!W16),"")</f>
        <v/>
      </c>
      <c r="X16" s="24">
        <f>IFERROR(IF('Paid Loss'!X16="","",'Sel Ults - Incurred Loss'!D16-'Paid Loss'!X16),"")</f>
        <v/>
      </c>
      <c r="Y16" s="24">
        <f>IFERROR(IF('Paid Loss'!Y16="","",'Sel Ults - Incurred Loss'!D16-'Paid Loss'!Y16),"")</f>
        <v/>
      </c>
    </row>
    <row r="17">
      <c r="A17">
        <f>'Incurred Loss'!A17</f>
        <v/>
      </c>
      <c r="B17" s="24">
        <f>IFERROR(IF('Paid Loss'!B17="","",'Sel Ults - Incurred Loss'!D17-'Paid Loss'!B17),"")</f>
        <v/>
      </c>
      <c r="C17" s="24">
        <f>IFERROR(IF('Paid Loss'!C17="","",'Sel Ults - Incurred Loss'!D17-'Paid Loss'!C17),"")</f>
        <v/>
      </c>
      <c r="D17" s="24">
        <f>IFERROR(IF('Paid Loss'!D17="","",'Sel Ults - Incurred Loss'!D17-'Paid Loss'!D17),"")</f>
        <v/>
      </c>
      <c r="E17" s="24">
        <f>IFERROR(IF('Paid Loss'!E17="","",'Sel Ults - Incurred Loss'!D17-'Paid Loss'!E17),"")</f>
        <v/>
      </c>
      <c r="F17" s="24">
        <f>IFERROR(IF('Paid Loss'!F17="","",'Sel Ults - Incurred Loss'!D17-'Paid Loss'!F17),"")</f>
        <v/>
      </c>
      <c r="G17" s="24">
        <f>IFERROR(IF('Paid Loss'!G17="","",'Sel Ults - Incurred Loss'!D17-'Paid Loss'!G17),"")</f>
        <v/>
      </c>
      <c r="H17" s="24">
        <f>IFERROR(IF('Paid Loss'!H17="","",'Sel Ults - Incurred Loss'!D17-'Paid Loss'!H17),"")</f>
        <v/>
      </c>
      <c r="I17" s="24">
        <f>IFERROR(IF('Paid Loss'!I17="","",'Sel Ults - Incurred Loss'!D17-'Paid Loss'!I17),"")</f>
        <v/>
      </c>
      <c r="J17" s="24">
        <f>IFERROR(IF('Paid Loss'!J17="","",'Sel Ults - Incurred Loss'!D17-'Paid Loss'!J17),"")</f>
        <v/>
      </c>
      <c r="K17" s="24">
        <f>IFERROR(IF('Paid Loss'!K17="","",'Sel Ults - Incurred Loss'!D17-'Paid Loss'!K17),"")</f>
        <v/>
      </c>
      <c r="L17" s="24">
        <f>IFERROR(IF('Paid Loss'!L17="","",'Sel Ults - Incurred Loss'!D17-'Paid Loss'!L17),"")</f>
        <v/>
      </c>
      <c r="M17" s="24">
        <f>IFERROR(IF('Paid Loss'!M17="","",'Sel Ults - Incurred Loss'!D17-'Paid Loss'!M17),"")</f>
        <v/>
      </c>
      <c r="N17" s="24">
        <f>IFERROR(IF('Paid Loss'!N17="","",'Sel Ults - Incurred Loss'!D17-'Paid Loss'!N17),"")</f>
        <v/>
      </c>
      <c r="O17" s="24">
        <f>IFERROR(IF('Paid Loss'!O17="","",'Sel Ults - Incurred Loss'!D17-'Paid Loss'!O17),"")</f>
        <v/>
      </c>
      <c r="P17" s="24">
        <f>IFERROR(IF('Paid Loss'!P17="","",'Sel Ults - Incurred Loss'!D17-'Paid Loss'!P17),"")</f>
        <v/>
      </c>
      <c r="Q17" s="24">
        <f>IFERROR(IF('Paid Loss'!Q17="","",'Sel Ults - Incurred Loss'!D17-'Paid Loss'!Q17),"")</f>
        <v/>
      </c>
      <c r="R17" s="24">
        <f>IFERROR(IF('Paid Loss'!R17="","",'Sel Ults - Incurred Loss'!D17-'Paid Loss'!R17),"")</f>
        <v/>
      </c>
      <c r="S17" s="24">
        <f>IFERROR(IF('Paid Loss'!S17="","",'Sel Ults - Incurred Loss'!D17-'Paid Loss'!S17),"")</f>
        <v/>
      </c>
      <c r="T17" s="24">
        <f>IFERROR(IF('Paid Loss'!T17="","",'Sel Ults - Incurred Loss'!D17-'Paid Loss'!T17),"")</f>
        <v/>
      </c>
      <c r="U17" s="24">
        <f>IFERROR(IF('Paid Loss'!U17="","",'Sel Ults - Incurred Loss'!D17-'Paid Loss'!U17),"")</f>
        <v/>
      </c>
      <c r="V17" s="24">
        <f>IFERROR(IF('Paid Loss'!V17="","",'Sel Ults - Incurred Loss'!D17-'Paid Loss'!V17),"")</f>
        <v/>
      </c>
      <c r="W17" s="24">
        <f>IFERROR(IF('Paid Loss'!W17="","",'Sel Ults - Incurred Loss'!D17-'Paid Loss'!W17),"")</f>
        <v/>
      </c>
      <c r="X17" s="24">
        <f>IFERROR(IF('Paid Loss'!X17="","",'Sel Ults - Incurred Loss'!D17-'Paid Loss'!X17),"")</f>
        <v/>
      </c>
      <c r="Y17" s="24">
        <f>IFERROR(IF('Paid Loss'!Y17="","",'Sel Ults - Incurred Loss'!D17-'Paid Loss'!Y17),"")</f>
        <v/>
      </c>
    </row>
    <row r="18">
      <c r="A18">
        <f>'Incurred Loss'!A18</f>
        <v/>
      </c>
      <c r="B18" s="24">
        <f>IFERROR(IF('Paid Loss'!B18="","",'Sel Ults - Incurred Loss'!D18-'Paid Loss'!B18),"")</f>
        <v/>
      </c>
      <c r="C18" s="24">
        <f>IFERROR(IF('Paid Loss'!C18="","",'Sel Ults - Incurred Loss'!D18-'Paid Loss'!C18),"")</f>
        <v/>
      </c>
      <c r="D18" s="24">
        <f>IFERROR(IF('Paid Loss'!D18="","",'Sel Ults - Incurred Loss'!D18-'Paid Loss'!D18),"")</f>
        <v/>
      </c>
      <c r="E18" s="24">
        <f>IFERROR(IF('Paid Loss'!E18="","",'Sel Ults - Incurred Loss'!D18-'Paid Loss'!E18),"")</f>
        <v/>
      </c>
      <c r="F18" s="24">
        <f>IFERROR(IF('Paid Loss'!F18="","",'Sel Ults - Incurred Loss'!D18-'Paid Loss'!F18),"")</f>
        <v/>
      </c>
      <c r="G18" s="24">
        <f>IFERROR(IF('Paid Loss'!G18="","",'Sel Ults - Incurred Loss'!D18-'Paid Loss'!G18),"")</f>
        <v/>
      </c>
      <c r="H18" s="24">
        <f>IFERROR(IF('Paid Loss'!H18="","",'Sel Ults - Incurred Loss'!D18-'Paid Loss'!H18),"")</f>
        <v/>
      </c>
      <c r="I18" s="24">
        <f>IFERROR(IF('Paid Loss'!I18="","",'Sel Ults - Incurred Loss'!D18-'Paid Loss'!I18),"")</f>
        <v/>
      </c>
      <c r="J18" s="24">
        <f>IFERROR(IF('Paid Loss'!J18="","",'Sel Ults - Incurred Loss'!D18-'Paid Loss'!J18),"")</f>
        <v/>
      </c>
      <c r="K18" s="24">
        <f>IFERROR(IF('Paid Loss'!K18="","",'Sel Ults - Incurred Loss'!D18-'Paid Loss'!K18),"")</f>
        <v/>
      </c>
      <c r="L18" s="24">
        <f>IFERROR(IF('Paid Loss'!L18="","",'Sel Ults - Incurred Loss'!D18-'Paid Loss'!L18),"")</f>
        <v/>
      </c>
      <c r="M18" s="24">
        <f>IFERROR(IF('Paid Loss'!M18="","",'Sel Ults - Incurred Loss'!D18-'Paid Loss'!M18),"")</f>
        <v/>
      </c>
      <c r="N18" s="24">
        <f>IFERROR(IF('Paid Loss'!N18="","",'Sel Ults - Incurred Loss'!D18-'Paid Loss'!N18),"")</f>
        <v/>
      </c>
      <c r="O18" s="24">
        <f>IFERROR(IF('Paid Loss'!O18="","",'Sel Ults - Incurred Loss'!D18-'Paid Loss'!O18),"")</f>
        <v/>
      </c>
      <c r="P18" s="24">
        <f>IFERROR(IF('Paid Loss'!P18="","",'Sel Ults - Incurred Loss'!D18-'Paid Loss'!P18),"")</f>
        <v/>
      </c>
      <c r="Q18" s="24">
        <f>IFERROR(IF('Paid Loss'!Q18="","",'Sel Ults - Incurred Loss'!D18-'Paid Loss'!Q18),"")</f>
        <v/>
      </c>
      <c r="R18" s="24">
        <f>IFERROR(IF('Paid Loss'!R18="","",'Sel Ults - Incurred Loss'!D18-'Paid Loss'!R18),"")</f>
        <v/>
      </c>
      <c r="S18" s="24">
        <f>IFERROR(IF('Paid Loss'!S18="","",'Sel Ults - Incurred Loss'!D18-'Paid Loss'!S18),"")</f>
        <v/>
      </c>
      <c r="T18" s="24">
        <f>IFERROR(IF('Paid Loss'!T18="","",'Sel Ults - Incurred Loss'!D18-'Paid Loss'!T18),"")</f>
        <v/>
      </c>
      <c r="U18" s="24">
        <f>IFERROR(IF('Paid Loss'!U18="","",'Sel Ults - Incurred Loss'!D18-'Paid Loss'!U18),"")</f>
        <v/>
      </c>
      <c r="V18" s="24">
        <f>IFERROR(IF('Paid Loss'!V18="","",'Sel Ults - Incurred Loss'!D18-'Paid Loss'!V18),"")</f>
        <v/>
      </c>
      <c r="W18" s="24">
        <f>IFERROR(IF('Paid Loss'!W18="","",'Sel Ults - Incurred Loss'!D18-'Paid Loss'!W18),"")</f>
        <v/>
      </c>
      <c r="X18" s="24">
        <f>IFERROR(IF('Paid Loss'!X18="","",'Sel Ults - Incurred Loss'!D18-'Paid Loss'!X18),"")</f>
        <v/>
      </c>
      <c r="Y18" s="24">
        <f>IFERROR(IF('Paid Loss'!Y18="","",'Sel Ults - Incurred Loss'!D18-'Paid Loss'!Y18),"")</f>
        <v/>
      </c>
    </row>
    <row r="19">
      <c r="A19">
        <f>'Incurred Loss'!A19</f>
        <v/>
      </c>
      <c r="B19" s="24">
        <f>IFERROR(IF('Paid Loss'!B19="","",'Sel Ults - Incurred Loss'!D19-'Paid Loss'!B19),"")</f>
        <v/>
      </c>
      <c r="C19" s="24">
        <f>IFERROR(IF('Paid Loss'!C19="","",'Sel Ults - Incurred Loss'!D19-'Paid Loss'!C19),"")</f>
        <v/>
      </c>
      <c r="D19" s="24">
        <f>IFERROR(IF('Paid Loss'!D19="","",'Sel Ults - Incurred Loss'!D19-'Paid Loss'!D19),"")</f>
        <v/>
      </c>
      <c r="E19" s="24">
        <f>IFERROR(IF('Paid Loss'!E19="","",'Sel Ults - Incurred Loss'!D19-'Paid Loss'!E19),"")</f>
        <v/>
      </c>
      <c r="F19" s="24">
        <f>IFERROR(IF('Paid Loss'!F19="","",'Sel Ults - Incurred Loss'!D19-'Paid Loss'!F19),"")</f>
        <v/>
      </c>
      <c r="G19" s="24">
        <f>IFERROR(IF('Paid Loss'!G19="","",'Sel Ults - Incurred Loss'!D19-'Paid Loss'!G19),"")</f>
        <v/>
      </c>
      <c r="H19" s="24">
        <f>IFERROR(IF('Paid Loss'!H19="","",'Sel Ults - Incurred Loss'!D19-'Paid Loss'!H19),"")</f>
        <v/>
      </c>
      <c r="I19" s="24">
        <f>IFERROR(IF('Paid Loss'!I19="","",'Sel Ults - Incurred Loss'!D19-'Paid Loss'!I19),"")</f>
        <v/>
      </c>
      <c r="J19" s="24">
        <f>IFERROR(IF('Paid Loss'!J19="","",'Sel Ults - Incurred Loss'!D19-'Paid Loss'!J19),"")</f>
        <v/>
      </c>
      <c r="K19" s="24">
        <f>IFERROR(IF('Paid Loss'!K19="","",'Sel Ults - Incurred Loss'!D19-'Paid Loss'!K19),"")</f>
        <v/>
      </c>
      <c r="L19" s="24">
        <f>IFERROR(IF('Paid Loss'!L19="","",'Sel Ults - Incurred Loss'!D19-'Paid Loss'!L19),"")</f>
        <v/>
      </c>
      <c r="M19" s="24">
        <f>IFERROR(IF('Paid Loss'!M19="","",'Sel Ults - Incurred Loss'!D19-'Paid Loss'!M19),"")</f>
        <v/>
      </c>
      <c r="N19" s="24">
        <f>IFERROR(IF('Paid Loss'!N19="","",'Sel Ults - Incurred Loss'!D19-'Paid Loss'!N19),"")</f>
        <v/>
      </c>
      <c r="O19" s="24">
        <f>IFERROR(IF('Paid Loss'!O19="","",'Sel Ults - Incurred Loss'!D19-'Paid Loss'!O19),"")</f>
        <v/>
      </c>
      <c r="P19" s="24">
        <f>IFERROR(IF('Paid Loss'!P19="","",'Sel Ults - Incurred Loss'!D19-'Paid Loss'!P19),"")</f>
        <v/>
      </c>
      <c r="Q19" s="24">
        <f>IFERROR(IF('Paid Loss'!Q19="","",'Sel Ults - Incurred Loss'!D19-'Paid Loss'!Q19),"")</f>
        <v/>
      </c>
      <c r="R19" s="24">
        <f>IFERROR(IF('Paid Loss'!R19="","",'Sel Ults - Incurred Loss'!D19-'Paid Loss'!R19),"")</f>
        <v/>
      </c>
      <c r="S19" s="24">
        <f>IFERROR(IF('Paid Loss'!S19="","",'Sel Ults - Incurred Loss'!D19-'Paid Loss'!S19),"")</f>
        <v/>
      </c>
      <c r="T19" s="24">
        <f>IFERROR(IF('Paid Loss'!T19="","",'Sel Ults - Incurred Loss'!D19-'Paid Loss'!T19),"")</f>
        <v/>
      </c>
      <c r="U19" s="24">
        <f>IFERROR(IF('Paid Loss'!U19="","",'Sel Ults - Incurred Loss'!D19-'Paid Loss'!U19),"")</f>
        <v/>
      </c>
      <c r="V19" s="24">
        <f>IFERROR(IF('Paid Loss'!V19="","",'Sel Ults - Incurred Loss'!D19-'Paid Loss'!V19),"")</f>
        <v/>
      </c>
      <c r="W19" s="24">
        <f>IFERROR(IF('Paid Loss'!W19="","",'Sel Ults - Incurred Loss'!D19-'Paid Loss'!W19),"")</f>
        <v/>
      </c>
      <c r="X19" s="24">
        <f>IFERROR(IF('Paid Loss'!X19="","",'Sel Ults - Incurred Loss'!D19-'Paid Loss'!X19),"")</f>
        <v/>
      </c>
      <c r="Y19" s="24">
        <f>IFERROR(IF('Paid Loss'!Y19="","",'Sel Ults - Incurred Loss'!D19-'Paid Loss'!Y19),"")</f>
        <v/>
      </c>
    </row>
    <row r="20">
      <c r="A20">
        <f>'Incurred Loss'!A20</f>
        <v/>
      </c>
      <c r="B20" s="24">
        <f>IFERROR(IF('Paid Loss'!B20="","",'Sel Ults - Incurred Loss'!D20-'Paid Loss'!B20),"")</f>
        <v/>
      </c>
      <c r="C20" s="24">
        <f>IFERROR(IF('Paid Loss'!C20="","",'Sel Ults - Incurred Loss'!D20-'Paid Loss'!C20),"")</f>
        <v/>
      </c>
      <c r="D20" s="24">
        <f>IFERROR(IF('Paid Loss'!D20="","",'Sel Ults - Incurred Loss'!D20-'Paid Loss'!D20),"")</f>
        <v/>
      </c>
      <c r="E20" s="24">
        <f>IFERROR(IF('Paid Loss'!E20="","",'Sel Ults - Incurred Loss'!D20-'Paid Loss'!E20),"")</f>
        <v/>
      </c>
      <c r="F20" s="24">
        <f>IFERROR(IF('Paid Loss'!F20="","",'Sel Ults - Incurred Loss'!D20-'Paid Loss'!F20),"")</f>
        <v/>
      </c>
      <c r="G20" s="24">
        <f>IFERROR(IF('Paid Loss'!G20="","",'Sel Ults - Incurred Loss'!D20-'Paid Loss'!G20),"")</f>
        <v/>
      </c>
      <c r="H20" s="24">
        <f>IFERROR(IF('Paid Loss'!H20="","",'Sel Ults - Incurred Loss'!D20-'Paid Loss'!H20),"")</f>
        <v/>
      </c>
      <c r="I20" s="24">
        <f>IFERROR(IF('Paid Loss'!I20="","",'Sel Ults - Incurred Loss'!D20-'Paid Loss'!I20),"")</f>
        <v/>
      </c>
      <c r="J20" s="24">
        <f>IFERROR(IF('Paid Loss'!J20="","",'Sel Ults - Incurred Loss'!D20-'Paid Loss'!J20),"")</f>
        <v/>
      </c>
      <c r="K20" s="24">
        <f>IFERROR(IF('Paid Loss'!K20="","",'Sel Ults - Incurred Loss'!D20-'Paid Loss'!K20),"")</f>
        <v/>
      </c>
      <c r="L20" s="24">
        <f>IFERROR(IF('Paid Loss'!L20="","",'Sel Ults - Incurred Loss'!D20-'Paid Loss'!L20),"")</f>
        <v/>
      </c>
      <c r="M20" s="24">
        <f>IFERROR(IF('Paid Loss'!M20="","",'Sel Ults - Incurred Loss'!D20-'Paid Loss'!M20),"")</f>
        <v/>
      </c>
      <c r="N20" s="24">
        <f>IFERROR(IF('Paid Loss'!N20="","",'Sel Ults - Incurred Loss'!D20-'Paid Loss'!N20),"")</f>
        <v/>
      </c>
      <c r="O20" s="24">
        <f>IFERROR(IF('Paid Loss'!O20="","",'Sel Ults - Incurred Loss'!D20-'Paid Loss'!O20),"")</f>
        <v/>
      </c>
      <c r="P20" s="24">
        <f>IFERROR(IF('Paid Loss'!P20="","",'Sel Ults - Incurred Loss'!D20-'Paid Loss'!P20),"")</f>
        <v/>
      </c>
      <c r="Q20" s="24">
        <f>IFERROR(IF('Paid Loss'!Q20="","",'Sel Ults - Incurred Loss'!D20-'Paid Loss'!Q20),"")</f>
        <v/>
      </c>
      <c r="R20" s="24">
        <f>IFERROR(IF('Paid Loss'!R20="","",'Sel Ults - Incurred Loss'!D20-'Paid Loss'!R20),"")</f>
        <v/>
      </c>
      <c r="S20" s="24">
        <f>IFERROR(IF('Paid Loss'!S20="","",'Sel Ults - Incurred Loss'!D20-'Paid Loss'!S20),"")</f>
        <v/>
      </c>
      <c r="T20" s="24">
        <f>IFERROR(IF('Paid Loss'!T20="","",'Sel Ults - Incurred Loss'!D20-'Paid Loss'!T20),"")</f>
        <v/>
      </c>
      <c r="U20" s="24">
        <f>IFERROR(IF('Paid Loss'!U20="","",'Sel Ults - Incurred Loss'!D20-'Paid Loss'!U20),"")</f>
        <v/>
      </c>
      <c r="V20" s="24">
        <f>IFERROR(IF('Paid Loss'!V20="","",'Sel Ults - Incurred Loss'!D20-'Paid Loss'!V20),"")</f>
        <v/>
      </c>
      <c r="W20" s="24">
        <f>IFERROR(IF('Paid Loss'!W20="","",'Sel Ults - Incurred Loss'!D20-'Paid Loss'!W20),"")</f>
        <v/>
      </c>
      <c r="X20" s="24">
        <f>IFERROR(IF('Paid Loss'!X20="","",'Sel Ults - Incurred Loss'!D20-'Paid Loss'!X20),"")</f>
        <v/>
      </c>
      <c r="Y20" s="24">
        <f>IFERROR(IF('Paid Loss'!Y20="","",'Sel Ults - Incurred Loss'!D20-'Paid Loss'!Y20),"")</f>
        <v/>
      </c>
    </row>
    <row r="21">
      <c r="A21">
        <f>'Incurred Loss'!A21</f>
        <v/>
      </c>
      <c r="B21" s="24">
        <f>IFERROR(IF('Paid Loss'!B21="","",'Sel Ults - Incurred Loss'!D21-'Paid Loss'!B21),"")</f>
        <v/>
      </c>
      <c r="C21" s="24">
        <f>IFERROR(IF('Paid Loss'!C21="","",'Sel Ults - Incurred Loss'!D21-'Paid Loss'!C21),"")</f>
        <v/>
      </c>
      <c r="D21" s="24">
        <f>IFERROR(IF('Paid Loss'!D21="","",'Sel Ults - Incurred Loss'!D21-'Paid Loss'!D21),"")</f>
        <v/>
      </c>
      <c r="E21" s="24">
        <f>IFERROR(IF('Paid Loss'!E21="","",'Sel Ults - Incurred Loss'!D21-'Paid Loss'!E21),"")</f>
        <v/>
      </c>
      <c r="F21" s="24">
        <f>IFERROR(IF('Paid Loss'!F21="","",'Sel Ults - Incurred Loss'!D21-'Paid Loss'!F21),"")</f>
        <v/>
      </c>
      <c r="G21" s="24">
        <f>IFERROR(IF('Paid Loss'!G21="","",'Sel Ults - Incurred Loss'!D21-'Paid Loss'!G21),"")</f>
        <v/>
      </c>
      <c r="H21" s="24">
        <f>IFERROR(IF('Paid Loss'!H21="","",'Sel Ults - Incurred Loss'!D21-'Paid Loss'!H21),"")</f>
        <v/>
      </c>
      <c r="I21" s="24">
        <f>IFERROR(IF('Paid Loss'!I21="","",'Sel Ults - Incurred Loss'!D21-'Paid Loss'!I21),"")</f>
        <v/>
      </c>
      <c r="J21" s="24">
        <f>IFERROR(IF('Paid Loss'!J21="","",'Sel Ults - Incurred Loss'!D21-'Paid Loss'!J21),"")</f>
        <v/>
      </c>
      <c r="K21" s="24">
        <f>IFERROR(IF('Paid Loss'!K21="","",'Sel Ults - Incurred Loss'!D21-'Paid Loss'!K21),"")</f>
        <v/>
      </c>
      <c r="L21" s="24">
        <f>IFERROR(IF('Paid Loss'!L21="","",'Sel Ults - Incurred Loss'!D21-'Paid Loss'!L21),"")</f>
        <v/>
      </c>
      <c r="M21" s="24">
        <f>IFERROR(IF('Paid Loss'!M21="","",'Sel Ults - Incurred Loss'!D21-'Paid Loss'!M21),"")</f>
        <v/>
      </c>
      <c r="N21" s="24">
        <f>IFERROR(IF('Paid Loss'!N21="","",'Sel Ults - Incurred Loss'!D21-'Paid Loss'!N21),"")</f>
        <v/>
      </c>
      <c r="O21" s="24">
        <f>IFERROR(IF('Paid Loss'!O21="","",'Sel Ults - Incurred Loss'!D21-'Paid Loss'!O21),"")</f>
        <v/>
      </c>
      <c r="P21" s="24">
        <f>IFERROR(IF('Paid Loss'!P21="","",'Sel Ults - Incurred Loss'!D21-'Paid Loss'!P21),"")</f>
        <v/>
      </c>
      <c r="Q21" s="24">
        <f>IFERROR(IF('Paid Loss'!Q21="","",'Sel Ults - Incurred Loss'!D21-'Paid Loss'!Q21),"")</f>
        <v/>
      </c>
      <c r="R21" s="24">
        <f>IFERROR(IF('Paid Loss'!R21="","",'Sel Ults - Incurred Loss'!D21-'Paid Loss'!R21),"")</f>
        <v/>
      </c>
      <c r="S21" s="24">
        <f>IFERROR(IF('Paid Loss'!S21="","",'Sel Ults - Incurred Loss'!D21-'Paid Loss'!S21),"")</f>
        <v/>
      </c>
      <c r="T21" s="24">
        <f>IFERROR(IF('Paid Loss'!T21="","",'Sel Ults - Incurred Loss'!D21-'Paid Loss'!T21),"")</f>
        <v/>
      </c>
      <c r="U21" s="24">
        <f>IFERROR(IF('Paid Loss'!U21="","",'Sel Ults - Incurred Loss'!D21-'Paid Loss'!U21),"")</f>
        <v/>
      </c>
      <c r="V21" s="24">
        <f>IFERROR(IF('Paid Loss'!V21="","",'Sel Ults - Incurred Loss'!D21-'Paid Loss'!V21),"")</f>
        <v/>
      </c>
      <c r="W21" s="24">
        <f>IFERROR(IF('Paid Loss'!W21="","",'Sel Ults - Incurred Loss'!D21-'Paid Loss'!W21),"")</f>
        <v/>
      </c>
      <c r="X21" s="24">
        <f>IFERROR(IF('Paid Loss'!X21="","",'Sel Ults - Incurred Loss'!D21-'Paid Loss'!X21),"")</f>
        <v/>
      </c>
      <c r="Y21" s="24">
        <f>IFERROR(IF('Paid Loss'!Y21="","",'Sel Ults - Incurred Loss'!D21-'Paid Loss'!Y21),"")</f>
        <v/>
      </c>
    </row>
    <row r="22">
      <c r="A22">
        <f>'Incurred Loss'!A22</f>
        <v/>
      </c>
      <c r="B22" s="24">
        <f>IFERROR(IF('Paid Loss'!B22="","",'Sel Ults - Incurred Loss'!D22-'Paid Loss'!B22),"")</f>
        <v/>
      </c>
      <c r="C22" s="24">
        <f>IFERROR(IF('Paid Loss'!C22="","",'Sel Ults - Incurred Loss'!D22-'Paid Loss'!C22),"")</f>
        <v/>
      </c>
      <c r="D22" s="24">
        <f>IFERROR(IF('Paid Loss'!D22="","",'Sel Ults - Incurred Loss'!D22-'Paid Loss'!D22),"")</f>
        <v/>
      </c>
      <c r="E22" s="24">
        <f>IFERROR(IF('Paid Loss'!E22="","",'Sel Ults - Incurred Loss'!D22-'Paid Loss'!E22),"")</f>
        <v/>
      </c>
      <c r="F22" s="24">
        <f>IFERROR(IF('Paid Loss'!F22="","",'Sel Ults - Incurred Loss'!D22-'Paid Loss'!F22),"")</f>
        <v/>
      </c>
      <c r="G22" s="24">
        <f>IFERROR(IF('Paid Loss'!G22="","",'Sel Ults - Incurred Loss'!D22-'Paid Loss'!G22),"")</f>
        <v/>
      </c>
      <c r="H22" s="24">
        <f>IFERROR(IF('Paid Loss'!H22="","",'Sel Ults - Incurred Loss'!D22-'Paid Loss'!H22),"")</f>
        <v/>
      </c>
      <c r="I22" s="24">
        <f>IFERROR(IF('Paid Loss'!I22="","",'Sel Ults - Incurred Loss'!D22-'Paid Loss'!I22),"")</f>
        <v/>
      </c>
      <c r="J22" s="24">
        <f>IFERROR(IF('Paid Loss'!J22="","",'Sel Ults - Incurred Loss'!D22-'Paid Loss'!J22),"")</f>
        <v/>
      </c>
      <c r="K22" s="24">
        <f>IFERROR(IF('Paid Loss'!K22="","",'Sel Ults - Incurred Loss'!D22-'Paid Loss'!K22),"")</f>
        <v/>
      </c>
      <c r="L22" s="24">
        <f>IFERROR(IF('Paid Loss'!L22="","",'Sel Ults - Incurred Loss'!D22-'Paid Loss'!L22),"")</f>
        <v/>
      </c>
      <c r="M22" s="24">
        <f>IFERROR(IF('Paid Loss'!M22="","",'Sel Ults - Incurred Loss'!D22-'Paid Loss'!M22),"")</f>
        <v/>
      </c>
      <c r="N22" s="24">
        <f>IFERROR(IF('Paid Loss'!N22="","",'Sel Ults - Incurred Loss'!D22-'Paid Loss'!N22),"")</f>
        <v/>
      </c>
      <c r="O22" s="24">
        <f>IFERROR(IF('Paid Loss'!O22="","",'Sel Ults - Incurred Loss'!D22-'Paid Loss'!O22),"")</f>
        <v/>
      </c>
      <c r="P22" s="24">
        <f>IFERROR(IF('Paid Loss'!P22="","",'Sel Ults - Incurred Loss'!D22-'Paid Loss'!P22),"")</f>
        <v/>
      </c>
      <c r="Q22" s="24">
        <f>IFERROR(IF('Paid Loss'!Q22="","",'Sel Ults - Incurred Loss'!D22-'Paid Loss'!Q22),"")</f>
        <v/>
      </c>
      <c r="R22" s="24">
        <f>IFERROR(IF('Paid Loss'!R22="","",'Sel Ults - Incurred Loss'!D22-'Paid Loss'!R22),"")</f>
        <v/>
      </c>
      <c r="S22" s="24">
        <f>IFERROR(IF('Paid Loss'!S22="","",'Sel Ults - Incurred Loss'!D22-'Paid Loss'!S22),"")</f>
        <v/>
      </c>
      <c r="T22" s="24">
        <f>IFERROR(IF('Paid Loss'!T22="","",'Sel Ults - Incurred Loss'!D22-'Paid Loss'!T22),"")</f>
        <v/>
      </c>
      <c r="U22" s="24">
        <f>IFERROR(IF('Paid Loss'!U22="","",'Sel Ults - Incurred Loss'!D22-'Paid Loss'!U22),"")</f>
        <v/>
      </c>
      <c r="V22" s="24">
        <f>IFERROR(IF('Paid Loss'!V22="","",'Sel Ults - Incurred Loss'!D22-'Paid Loss'!V22),"")</f>
        <v/>
      </c>
      <c r="W22" s="24">
        <f>IFERROR(IF('Paid Loss'!W22="","",'Sel Ults - Incurred Loss'!D22-'Paid Loss'!W22),"")</f>
        <v/>
      </c>
      <c r="X22" s="24">
        <f>IFERROR(IF('Paid Loss'!X22="","",'Sel Ults - Incurred Loss'!D22-'Paid Loss'!X22),"")</f>
        <v/>
      </c>
      <c r="Y22" s="24">
        <f>IFERROR(IF('Paid Loss'!Y22="","",'Sel Ults - Incurred Loss'!D22-'Paid Loss'!Y22),"")</f>
        <v/>
      </c>
    </row>
    <row r="23">
      <c r="A23">
        <f>'Incurred Loss'!A23</f>
        <v/>
      </c>
      <c r="B23" s="24">
        <f>IFERROR(IF('Paid Loss'!B23="","",'Sel Ults - Incurred Loss'!D23-'Paid Loss'!B23),"")</f>
        <v/>
      </c>
      <c r="C23" s="24">
        <f>IFERROR(IF('Paid Loss'!C23="","",'Sel Ults - Incurred Loss'!D23-'Paid Loss'!C23),"")</f>
        <v/>
      </c>
      <c r="D23" s="24">
        <f>IFERROR(IF('Paid Loss'!D23="","",'Sel Ults - Incurred Loss'!D23-'Paid Loss'!D23),"")</f>
        <v/>
      </c>
      <c r="E23" s="24">
        <f>IFERROR(IF('Paid Loss'!E23="","",'Sel Ults - Incurred Loss'!D23-'Paid Loss'!E23),"")</f>
        <v/>
      </c>
      <c r="F23" s="24">
        <f>IFERROR(IF('Paid Loss'!F23="","",'Sel Ults - Incurred Loss'!D23-'Paid Loss'!F23),"")</f>
        <v/>
      </c>
      <c r="G23" s="24">
        <f>IFERROR(IF('Paid Loss'!G23="","",'Sel Ults - Incurred Loss'!D23-'Paid Loss'!G23),"")</f>
        <v/>
      </c>
      <c r="H23" s="24">
        <f>IFERROR(IF('Paid Loss'!H23="","",'Sel Ults - Incurred Loss'!D23-'Paid Loss'!H23),"")</f>
        <v/>
      </c>
      <c r="I23" s="24">
        <f>IFERROR(IF('Paid Loss'!I23="","",'Sel Ults - Incurred Loss'!D23-'Paid Loss'!I23),"")</f>
        <v/>
      </c>
      <c r="J23" s="24">
        <f>IFERROR(IF('Paid Loss'!J23="","",'Sel Ults - Incurred Loss'!D23-'Paid Loss'!J23),"")</f>
        <v/>
      </c>
      <c r="K23" s="24">
        <f>IFERROR(IF('Paid Loss'!K23="","",'Sel Ults - Incurred Loss'!D23-'Paid Loss'!K23),"")</f>
        <v/>
      </c>
      <c r="L23" s="24">
        <f>IFERROR(IF('Paid Loss'!L23="","",'Sel Ults - Incurred Loss'!D23-'Paid Loss'!L23),"")</f>
        <v/>
      </c>
      <c r="M23" s="24">
        <f>IFERROR(IF('Paid Loss'!M23="","",'Sel Ults - Incurred Loss'!D23-'Paid Loss'!M23),"")</f>
        <v/>
      </c>
      <c r="N23" s="24">
        <f>IFERROR(IF('Paid Loss'!N23="","",'Sel Ults - Incurred Loss'!D23-'Paid Loss'!N23),"")</f>
        <v/>
      </c>
      <c r="O23" s="24">
        <f>IFERROR(IF('Paid Loss'!O23="","",'Sel Ults - Incurred Loss'!D23-'Paid Loss'!O23),"")</f>
        <v/>
      </c>
      <c r="P23" s="24">
        <f>IFERROR(IF('Paid Loss'!P23="","",'Sel Ults - Incurred Loss'!D23-'Paid Loss'!P23),"")</f>
        <v/>
      </c>
      <c r="Q23" s="24">
        <f>IFERROR(IF('Paid Loss'!Q23="","",'Sel Ults - Incurred Loss'!D23-'Paid Loss'!Q23),"")</f>
        <v/>
      </c>
      <c r="R23" s="24">
        <f>IFERROR(IF('Paid Loss'!R23="","",'Sel Ults - Incurred Loss'!D23-'Paid Loss'!R23),"")</f>
        <v/>
      </c>
      <c r="S23" s="24">
        <f>IFERROR(IF('Paid Loss'!S23="","",'Sel Ults - Incurred Loss'!D23-'Paid Loss'!S23),"")</f>
        <v/>
      </c>
      <c r="T23" s="24">
        <f>IFERROR(IF('Paid Loss'!T23="","",'Sel Ults - Incurred Loss'!D23-'Paid Loss'!T23),"")</f>
        <v/>
      </c>
      <c r="U23" s="24">
        <f>IFERROR(IF('Paid Loss'!U23="","",'Sel Ults - Incurred Loss'!D23-'Paid Loss'!U23),"")</f>
        <v/>
      </c>
      <c r="V23" s="24">
        <f>IFERROR(IF('Paid Loss'!V23="","",'Sel Ults - Incurred Loss'!D23-'Paid Loss'!V23),"")</f>
        <v/>
      </c>
      <c r="W23" s="24">
        <f>IFERROR(IF('Paid Loss'!W23="","",'Sel Ults - Incurred Loss'!D23-'Paid Loss'!W23),"")</f>
        <v/>
      </c>
      <c r="X23" s="24">
        <f>IFERROR(IF('Paid Loss'!X23="","",'Sel Ults - Incurred Loss'!D23-'Paid Loss'!X23),"")</f>
        <v/>
      </c>
      <c r="Y23" s="24">
        <f>IFERROR(IF('Paid Loss'!Y23="","",'Sel Ults - Incurred Loss'!D23-'Paid Loss'!Y23),"")</f>
        <v/>
      </c>
    </row>
    <row r="24">
      <c r="A24">
        <f>'Incurred Loss'!A24</f>
        <v/>
      </c>
      <c r="B24" s="24">
        <f>IFERROR(IF('Paid Loss'!B24="","",'Sel Ults - Incurred Loss'!D24-'Paid Loss'!B24),"")</f>
        <v/>
      </c>
      <c r="C24" s="24">
        <f>IFERROR(IF('Paid Loss'!C24="","",'Sel Ults - Incurred Loss'!D24-'Paid Loss'!C24),"")</f>
        <v/>
      </c>
      <c r="D24" s="24">
        <f>IFERROR(IF('Paid Loss'!D24="","",'Sel Ults - Incurred Loss'!D24-'Paid Loss'!D24),"")</f>
        <v/>
      </c>
      <c r="E24" s="24">
        <f>IFERROR(IF('Paid Loss'!E24="","",'Sel Ults - Incurred Loss'!D24-'Paid Loss'!E24),"")</f>
        <v/>
      </c>
      <c r="F24" s="24">
        <f>IFERROR(IF('Paid Loss'!F24="","",'Sel Ults - Incurred Loss'!D24-'Paid Loss'!F24),"")</f>
        <v/>
      </c>
      <c r="G24" s="24">
        <f>IFERROR(IF('Paid Loss'!G24="","",'Sel Ults - Incurred Loss'!D24-'Paid Loss'!G24),"")</f>
        <v/>
      </c>
      <c r="H24" s="24">
        <f>IFERROR(IF('Paid Loss'!H24="","",'Sel Ults - Incurred Loss'!D24-'Paid Loss'!H24),"")</f>
        <v/>
      </c>
      <c r="I24" s="24">
        <f>IFERROR(IF('Paid Loss'!I24="","",'Sel Ults - Incurred Loss'!D24-'Paid Loss'!I24),"")</f>
        <v/>
      </c>
      <c r="J24" s="24">
        <f>IFERROR(IF('Paid Loss'!J24="","",'Sel Ults - Incurred Loss'!D24-'Paid Loss'!J24),"")</f>
        <v/>
      </c>
      <c r="K24" s="24">
        <f>IFERROR(IF('Paid Loss'!K24="","",'Sel Ults - Incurred Loss'!D24-'Paid Loss'!K24),"")</f>
        <v/>
      </c>
      <c r="L24" s="24">
        <f>IFERROR(IF('Paid Loss'!L24="","",'Sel Ults - Incurred Loss'!D24-'Paid Loss'!L24),"")</f>
        <v/>
      </c>
      <c r="M24" s="24">
        <f>IFERROR(IF('Paid Loss'!M24="","",'Sel Ults - Incurred Loss'!D24-'Paid Loss'!M24),"")</f>
        <v/>
      </c>
      <c r="N24" s="24">
        <f>IFERROR(IF('Paid Loss'!N24="","",'Sel Ults - Incurred Loss'!D24-'Paid Loss'!N24),"")</f>
        <v/>
      </c>
      <c r="O24" s="24">
        <f>IFERROR(IF('Paid Loss'!O24="","",'Sel Ults - Incurred Loss'!D24-'Paid Loss'!O24),"")</f>
        <v/>
      </c>
      <c r="P24" s="24">
        <f>IFERROR(IF('Paid Loss'!P24="","",'Sel Ults - Incurred Loss'!D24-'Paid Loss'!P24),"")</f>
        <v/>
      </c>
      <c r="Q24" s="24">
        <f>IFERROR(IF('Paid Loss'!Q24="","",'Sel Ults - Incurred Loss'!D24-'Paid Loss'!Q24),"")</f>
        <v/>
      </c>
      <c r="R24" s="24">
        <f>IFERROR(IF('Paid Loss'!R24="","",'Sel Ults - Incurred Loss'!D24-'Paid Loss'!R24),"")</f>
        <v/>
      </c>
      <c r="S24" s="24">
        <f>IFERROR(IF('Paid Loss'!S24="","",'Sel Ults - Incurred Loss'!D24-'Paid Loss'!S24),"")</f>
        <v/>
      </c>
      <c r="T24" s="24">
        <f>IFERROR(IF('Paid Loss'!T24="","",'Sel Ults - Incurred Loss'!D24-'Paid Loss'!T24),"")</f>
        <v/>
      </c>
      <c r="U24" s="24">
        <f>IFERROR(IF('Paid Loss'!U24="","",'Sel Ults - Incurred Loss'!D24-'Paid Loss'!U24),"")</f>
        <v/>
      </c>
      <c r="V24" s="24">
        <f>IFERROR(IF('Paid Loss'!V24="","",'Sel Ults - Incurred Loss'!D24-'Paid Loss'!V24),"")</f>
        <v/>
      </c>
      <c r="W24" s="24">
        <f>IFERROR(IF('Paid Loss'!W24="","",'Sel Ults - Incurred Loss'!D24-'Paid Loss'!W24),"")</f>
        <v/>
      </c>
      <c r="X24" s="24">
        <f>IFERROR(IF('Paid Loss'!X24="","",'Sel Ults - Incurred Loss'!D24-'Paid Loss'!X24),"")</f>
        <v/>
      </c>
      <c r="Y24" s="24">
        <f>IFERROR(IF('Paid Loss'!Y24="","",'Sel Ults - Incurred Loss'!D24-'Paid Loss'!Y24),"")</f>
        <v/>
      </c>
    </row>
    <row r="25">
      <c r="A25">
        <f>'Incurred Loss'!A25</f>
        <v/>
      </c>
      <c r="B25" s="24">
        <f>IFERROR(IF('Paid Loss'!B25="","",'Sel Ults - Incurred Loss'!D25-'Paid Loss'!B25),"")</f>
        <v/>
      </c>
      <c r="C25" s="24">
        <f>IFERROR(IF('Paid Loss'!C25="","",'Sel Ults - Incurred Loss'!D25-'Paid Loss'!C25),"")</f>
        <v/>
      </c>
      <c r="D25" s="24">
        <f>IFERROR(IF('Paid Loss'!D25="","",'Sel Ults - Incurred Loss'!D25-'Paid Loss'!D25),"")</f>
        <v/>
      </c>
      <c r="E25" s="24">
        <f>IFERROR(IF('Paid Loss'!E25="","",'Sel Ults - Incurred Loss'!D25-'Paid Loss'!E25),"")</f>
        <v/>
      </c>
      <c r="F25" s="24">
        <f>IFERROR(IF('Paid Loss'!F25="","",'Sel Ults - Incurred Loss'!D25-'Paid Loss'!F25),"")</f>
        <v/>
      </c>
      <c r="G25" s="24">
        <f>IFERROR(IF('Paid Loss'!G25="","",'Sel Ults - Incurred Loss'!D25-'Paid Loss'!G25),"")</f>
        <v/>
      </c>
      <c r="H25" s="24">
        <f>IFERROR(IF('Paid Loss'!H25="","",'Sel Ults - Incurred Loss'!D25-'Paid Loss'!H25),"")</f>
        <v/>
      </c>
      <c r="I25" s="24">
        <f>IFERROR(IF('Paid Loss'!I25="","",'Sel Ults - Incurred Loss'!D25-'Paid Loss'!I25),"")</f>
        <v/>
      </c>
      <c r="J25" s="24">
        <f>IFERROR(IF('Paid Loss'!J25="","",'Sel Ults - Incurred Loss'!D25-'Paid Loss'!J25),"")</f>
        <v/>
      </c>
      <c r="K25" s="24">
        <f>IFERROR(IF('Paid Loss'!K25="","",'Sel Ults - Incurred Loss'!D25-'Paid Loss'!K25),"")</f>
        <v/>
      </c>
      <c r="L25" s="24">
        <f>IFERROR(IF('Paid Loss'!L25="","",'Sel Ults - Incurred Loss'!D25-'Paid Loss'!L25),"")</f>
        <v/>
      </c>
      <c r="M25" s="24">
        <f>IFERROR(IF('Paid Loss'!M25="","",'Sel Ults - Incurred Loss'!D25-'Paid Loss'!M25),"")</f>
        <v/>
      </c>
      <c r="N25" s="24">
        <f>IFERROR(IF('Paid Loss'!N25="","",'Sel Ults - Incurred Loss'!D25-'Paid Loss'!N25),"")</f>
        <v/>
      </c>
      <c r="O25" s="24">
        <f>IFERROR(IF('Paid Loss'!O25="","",'Sel Ults - Incurred Loss'!D25-'Paid Loss'!O25),"")</f>
        <v/>
      </c>
      <c r="P25" s="24">
        <f>IFERROR(IF('Paid Loss'!P25="","",'Sel Ults - Incurred Loss'!D25-'Paid Loss'!P25),"")</f>
        <v/>
      </c>
      <c r="Q25" s="24">
        <f>IFERROR(IF('Paid Loss'!Q25="","",'Sel Ults - Incurred Loss'!D25-'Paid Loss'!Q25),"")</f>
        <v/>
      </c>
      <c r="R25" s="24">
        <f>IFERROR(IF('Paid Loss'!R25="","",'Sel Ults - Incurred Loss'!D25-'Paid Loss'!R25),"")</f>
        <v/>
      </c>
      <c r="S25" s="24">
        <f>IFERROR(IF('Paid Loss'!S25="","",'Sel Ults - Incurred Loss'!D25-'Paid Loss'!S25),"")</f>
        <v/>
      </c>
      <c r="T25" s="24">
        <f>IFERROR(IF('Paid Loss'!T25="","",'Sel Ults - Incurred Loss'!D25-'Paid Loss'!T25),"")</f>
        <v/>
      </c>
      <c r="U25" s="24">
        <f>IFERROR(IF('Paid Loss'!U25="","",'Sel Ults - Incurred Loss'!D25-'Paid Loss'!U25),"")</f>
        <v/>
      </c>
      <c r="V25" s="24">
        <f>IFERROR(IF('Paid Loss'!V25="","",'Sel Ults - Incurred Loss'!D25-'Paid Loss'!V25),"")</f>
        <v/>
      </c>
      <c r="W25" s="24">
        <f>IFERROR(IF('Paid Loss'!W25="","",'Sel Ults - Incurred Loss'!D25-'Paid Loss'!W25),"")</f>
        <v/>
      </c>
      <c r="X25" s="24">
        <f>IFERROR(IF('Paid Loss'!X25="","",'Sel Ults - Incurred Loss'!D25-'Paid Loss'!X25),"")</f>
        <v/>
      </c>
      <c r="Y25" s="24">
        <f>IFERROR(IF('Paid Loss'!Y25="","",'Sel Ults - Incurred Loss'!D25-'Paid Loss'!Y25),"")</f>
        <v/>
      </c>
    </row>
    <row r="26">
      <c r="A26">
        <f>'Incurred Loss'!A26</f>
        <v/>
      </c>
      <c r="B26" s="24">
        <f>IFERROR(IF('Paid Loss'!B26="","",'Sel Ults - Incurred Loss'!D26-'Paid Loss'!B26),"")</f>
        <v/>
      </c>
      <c r="C26" s="24">
        <f>IFERROR(IF('Paid Loss'!C26="","",'Sel Ults - Incurred Loss'!D26-'Paid Loss'!C26),"")</f>
        <v/>
      </c>
      <c r="D26" s="24">
        <f>IFERROR(IF('Paid Loss'!D26="","",'Sel Ults - Incurred Loss'!D26-'Paid Loss'!D26),"")</f>
        <v/>
      </c>
      <c r="E26" s="24">
        <f>IFERROR(IF('Paid Loss'!E26="","",'Sel Ults - Incurred Loss'!D26-'Paid Loss'!E26),"")</f>
        <v/>
      </c>
      <c r="F26" s="24">
        <f>IFERROR(IF('Paid Loss'!F26="","",'Sel Ults - Incurred Loss'!D26-'Paid Loss'!F26),"")</f>
        <v/>
      </c>
      <c r="G26" s="24">
        <f>IFERROR(IF('Paid Loss'!G26="","",'Sel Ults - Incurred Loss'!D26-'Paid Loss'!G26),"")</f>
        <v/>
      </c>
      <c r="H26" s="24">
        <f>IFERROR(IF('Paid Loss'!H26="","",'Sel Ults - Incurred Loss'!D26-'Paid Loss'!H26),"")</f>
        <v/>
      </c>
      <c r="I26" s="24">
        <f>IFERROR(IF('Paid Loss'!I26="","",'Sel Ults - Incurred Loss'!D26-'Paid Loss'!I26),"")</f>
        <v/>
      </c>
      <c r="J26" s="24">
        <f>IFERROR(IF('Paid Loss'!J26="","",'Sel Ults - Incurred Loss'!D26-'Paid Loss'!J26),"")</f>
        <v/>
      </c>
      <c r="K26" s="24">
        <f>IFERROR(IF('Paid Loss'!K26="","",'Sel Ults - Incurred Loss'!D26-'Paid Loss'!K26),"")</f>
        <v/>
      </c>
      <c r="L26" s="24">
        <f>IFERROR(IF('Paid Loss'!L26="","",'Sel Ults - Incurred Loss'!D26-'Paid Loss'!L26),"")</f>
        <v/>
      </c>
      <c r="M26" s="24">
        <f>IFERROR(IF('Paid Loss'!M26="","",'Sel Ults - Incurred Loss'!D26-'Paid Loss'!M26),"")</f>
        <v/>
      </c>
      <c r="N26" s="24">
        <f>IFERROR(IF('Paid Loss'!N26="","",'Sel Ults - Incurred Loss'!D26-'Paid Loss'!N26),"")</f>
        <v/>
      </c>
      <c r="O26" s="24">
        <f>IFERROR(IF('Paid Loss'!O26="","",'Sel Ults - Incurred Loss'!D26-'Paid Loss'!O26),"")</f>
        <v/>
      </c>
      <c r="P26" s="24">
        <f>IFERROR(IF('Paid Loss'!P26="","",'Sel Ults - Incurred Loss'!D26-'Paid Loss'!P26),"")</f>
        <v/>
      </c>
      <c r="Q26" s="24">
        <f>IFERROR(IF('Paid Loss'!Q26="","",'Sel Ults - Incurred Loss'!D26-'Paid Loss'!Q26),"")</f>
        <v/>
      </c>
      <c r="R26" s="24">
        <f>IFERROR(IF('Paid Loss'!R26="","",'Sel Ults - Incurred Loss'!D26-'Paid Loss'!R26),"")</f>
        <v/>
      </c>
      <c r="S26" s="24">
        <f>IFERROR(IF('Paid Loss'!S26="","",'Sel Ults - Incurred Loss'!D26-'Paid Loss'!S26),"")</f>
        <v/>
      </c>
      <c r="T26" s="24">
        <f>IFERROR(IF('Paid Loss'!T26="","",'Sel Ults - Incurred Loss'!D26-'Paid Loss'!T26),"")</f>
        <v/>
      </c>
      <c r="U26" s="24">
        <f>IFERROR(IF('Paid Loss'!U26="","",'Sel Ults - Incurred Loss'!D26-'Paid Loss'!U26),"")</f>
        <v/>
      </c>
      <c r="V26" s="24">
        <f>IFERROR(IF('Paid Loss'!V26="","",'Sel Ults - Incurred Loss'!D26-'Paid Loss'!V26),"")</f>
        <v/>
      </c>
      <c r="W26" s="24">
        <f>IFERROR(IF('Paid Loss'!W26="","",'Sel Ults - Incurred Loss'!D26-'Paid Loss'!W26),"")</f>
        <v/>
      </c>
      <c r="X26" s="24">
        <f>IFERROR(IF('Paid Loss'!X26="","",'Sel Ults - Incurred Loss'!D26-'Paid Loss'!X26),"")</f>
        <v/>
      </c>
      <c r="Y26" s="24">
        <f>IFERROR(IF('Paid Loss'!Y26="","",'Sel Ults - Incurred Loss'!D26-'Paid Loss'!Y26),"")</f>
        <v/>
      </c>
    </row>
  </sheetData>
  <mergeCells count="1">
    <mergeCell ref="A1:Y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Paid Severity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3" t="n"/>
    </row>
    <row r="2">
      <c r="A2" s="4" t="inlineStr"/>
      <c r="B2" s="5" t="inlineStr">
        <is>
          <t>11</t>
        </is>
      </c>
      <c r="C2" s="5" t="inlineStr">
        <is>
          <t>23</t>
        </is>
      </c>
      <c r="D2" s="5" t="inlineStr">
        <is>
          <t>35</t>
        </is>
      </c>
      <c r="E2" s="5" t="inlineStr">
        <is>
          <t>47</t>
        </is>
      </c>
      <c r="F2" s="5" t="inlineStr">
        <is>
          <t>59</t>
        </is>
      </c>
      <c r="G2" s="5" t="inlineStr">
        <is>
          <t>71</t>
        </is>
      </c>
      <c r="H2" s="5" t="inlineStr">
        <is>
          <t>83</t>
        </is>
      </c>
      <c r="I2" s="5" t="inlineStr">
        <is>
          <t>95</t>
        </is>
      </c>
      <c r="J2" s="5" t="inlineStr">
        <is>
          <t>107</t>
        </is>
      </c>
      <c r="K2" s="5" t="inlineStr">
        <is>
          <t>119</t>
        </is>
      </c>
      <c r="L2" s="5" t="inlineStr">
        <is>
          <t>131</t>
        </is>
      </c>
      <c r="M2" s="5" t="inlineStr">
        <is>
          <t>143</t>
        </is>
      </c>
      <c r="N2" s="5" t="inlineStr">
        <is>
          <t>155</t>
        </is>
      </c>
      <c r="O2" s="5" t="inlineStr">
        <is>
          <t>167</t>
        </is>
      </c>
      <c r="P2" s="5" t="inlineStr">
        <is>
          <t>179</t>
        </is>
      </c>
      <c r="Q2" s="5" t="inlineStr">
        <is>
          <t>191</t>
        </is>
      </c>
      <c r="R2" s="5" t="inlineStr">
        <is>
          <t>203</t>
        </is>
      </c>
      <c r="S2" s="5" t="inlineStr">
        <is>
          <t>215</t>
        </is>
      </c>
      <c r="T2" s="5" t="inlineStr">
        <is>
          <t>227</t>
        </is>
      </c>
      <c r="U2" s="5" t="inlineStr">
        <is>
          <t>239</t>
        </is>
      </c>
      <c r="V2" s="5" t="inlineStr">
        <is>
          <t>251</t>
        </is>
      </c>
      <c r="W2" s="5" t="inlineStr">
        <is>
          <t>263</t>
        </is>
      </c>
      <c r="X2" s="5" t="inlineStr">
        <is>
          <t>275</t>
        </is>
      </c>
      <c r="Y2" s="5" t="inlineStr">
        <is>
          <t>287</t>
        </is>
      </c>
    </row>
    <row r="3">
      <c r="A3" s="6" t="inlineStr">
        <is>
          <t>2001</t>
        </is>
      </c>
      <c r="B3" s="7" t="n">
        <v>511.5487</v>
      </c>
      <c r="C3" s="7" t="n">
        <v>1535.2108</v>
      </c>
      <c r="D3" s="7" t="n">
        <v>2261.3127</v>
      </c>
      <c r="E3" s="7" t="n">
        <v>2795.6371</v>
      </c>
      <c r="F3" s="7" t="n">
        <v>3253.9112</v>
      </c>
      <c r="G3" s="7" t="n">
        <v>3341.0382</v>
      </c>
      <c r="H3" s="7" t="n">
        <v>3227.8414</v>
      </c>
      <c r="I3" s="7" t="n">
        <v>3271.4276</v>
      </c>
      <c r="J3" s="7" t="n">
        <v>3303.1544</v>
      </c>
      <c r="K3" s="7" t="n">
        <v>3342.8845</v>
      </c>
      <c r="L3" s="7" t="n">
        <v>3422.5403</v>
      </c>
      <c r="M3" s="7" t="n">
        <v>3504.608</v>
      </c>
      <c r="N3" s="7" t="n">
        <v>3561.7194</v>
      </c>
      <c r="O3" s="7" t="n">
        <v>3652.1892</v>
      </c>
      <c r="P3" s="7" t="n">
        <v>3730.7495</v>
      </c>
      <c r="Q3" s="7" t="n">
        <v>3845.1846</v>
      </c>
      <c r="R3" s="7" t="n">
        <v>3970.8606</v>
      </c>
      <c r="S3" s="7" t="n">
        <v>4078.2291</v>
      </c>
      <c r="T3" s="7" t="n">
        <v>4234.3937</v>
      </c>
      <c r="U3" s="7" t="n">
        <v>4234.3937</v>
      </c>
      <c r="V3" s="7" t="n">
        <v>4265.9192</v>
      </c>
      <c r="W3" s="7" t="n">
        <v>4297.6354</v>
      </c>
      <c r="X3" s="7" t="n">
        <v>4324.7443</v>
      </c>
      <c r="Y3" s="7" t="n">
        <v>4341.7463</v>
      </c>
    </row>
    <row r="4">
      <c r="A4" s="6" t="inlineStr">
        <is>
          <t>2002</t>
        </is>
      </c>
      <c r="B4" s="7" t="n">
        <v>582.3871</v>
      </c>
      <c r="C4" s="7" t="n">
        <v>1435.3763</v>
      </c>
      <c r="D4" s="7" t="n">
        <v>1922.6674</v>
      </c>
      <c r="E4" s="7" t="n">
        <v>2077.0249</v>
      </c>
      <c r="F4" s="7" t="n">
        <v>2337.1318</v>
      </c>
      <c r="G4" s="7" t="n">
        <v>2487.7725</v>
      </c>
      <c r="H4" s="7" t="n">
        <v>2543.9079</v>
      </c>
      <c r="I4" s="7" t="n">
        <v>2588.9705</v>
      </c>
      <c r="J4" s="7" t="n">
        <v>2653.2082</v>
      </c>
      <c r="K4" s="7" t="n">
        <v>2684.8384</v>
      </c>
      <c r="L4" s="7" t="n">
        <v>2732.0836</v>
      </c>
      <c r="M4" s="7" t="n">
        <v>2783.3603</v>
      </c>
      <c r="N4" s="7" t="n">
        <v>2847.2118</v>
      </c>
      <c r="O4" s="7" t="n">
        <v>2919.8381</v>
      </c>
      <c r="P4" s="7" t="n">
        <v>2981.5486</v>
      </c>
      <c r="Q4" s="7" t="n">
        <v>3039.7652</v>
      </c>
      <c r="R4" s="7" t="n">
        <v>3126.3767</v>
      </c>
      <c r="S4" s="7" t="n">
        <v>3189.5522</v>
      </c>
      <c r="T4" s="7" t="n">
        <v>3240.2158</v>
      </c>
      <c r="U4" s="7" t="n">
        <v>3279.4723</v>
      </c>
      <c r="V4" s="7" t="n">
        <v>3312.5429</v>
      </c>
      <c r="W4" s="7" t="n">
        <v>3344.2399</v>
      </c>
      <c r="X4" s="7" t="n">
        <v>3374.2991</v>
      </c>
    </row>
    <row r="5">
      <c r="A5" s="6" t="inlineStr">
        <is>
          <t>2003</t>
        </is>
      </c>
      <c r="B5" s="7" t="n">
        <v>867.7062</v>
      </c>
      <c r="C5" s="7" t="n">
        <v>2083.1169</v>
      </c>
      <c r="D5" s="7" t="n">
        <v>2404.8401</v>
      </c>
      <c r="E5" s="7" t="n">
        <v>2621.2928</v>
      </c>
      <c r="F5" s="7" t="n">
        <v>3047.4124</v>
      </c>
      <c r="G5" s="7" t="n">
        <v>3199.112</v>
      </c>
      <c r="H5" s="7" t="n">
        <v>3196.2685</v>
      </c>
      <c r="I5" s="7" t="n">
        <v>3218.6789</v>
      </c>
      <c r="J5" s="7" t="n">
        <v>3214.0523</v>
      </c>
      <c r="K5" s="7" t="n">
        <v>3221.9115</v>
      </c>
      <c r="L5" s="7" t="n">
        <v>3215.799</v>
      </c>
      <c r="M5" s="7" t="n">
        <v>3216.5038</v>
      </c>
      <c r="N5" s="7" t="n">
        <v>3216.7392</v>
      </c>
      <c r="O5" s="7" t="n">
        <v>3216.7402</v>
      </c>
      <c r="P5" s="7" t="n">
        <v>3216.7402</v>
      </c>
      <c r="Q5" s="7" t="n">
        <v>3216.7391</v>
      </c>
      <c r="R5" s="7" t="n">
        <v>3223.5583</v>
      </c>
      <c r="S5" s="7" t="n">
        <v>3223.5583</v>
      </c>
      <c r="T5" s="7" t="n">
        <v>3223.5583</v>
      </c>
      <c r="U5" s="7" t="n">
        <v>3223.5583</v>
      </c>
      <c r="V5" s="7" t="n">
        <v>3223.5583</v>
      </c>
      <c r="W5" s="7" t="n">
        <v>3223.5583</v>
      </c>
    </row>
    <row r="6">
      <c r="A6" s="6" t="inlineStr">
        <is>
          <t>2004</t>
        </is>
      </c>
      <c r="B6" s="7" t="n">
        <v>425.9759</v>
      </c>
      <c r="C6" s="7" t="n">
        <v>980.1095</v>
      </c>
      <c r="D6" s="7" t="n">
        <v>1263.4741</v>
      </c>
      <c r="E6" s="7" t="n">
        <v>1408.9988</v>
      </c>
      <c r="F6" s="7" t="n">
        <v>1641.8764</v>
      </c>
      <c r="G6" s="7" t="n">
        <v>1647.9094</v>
      </c>
      <c r="H6" s="7" t="n">
        <v>1674.7109</v>
      </c>
      <c r="I6" s="7" t="n">
        <v>1687.7777</v>
      </c>
      <c r="J6" s="7" t="n">
        <v>1718.9709</v>
      </c>
      <c r="K6" s="7" t="n">
        <v>1708.4312</v>
      </c>
      <c r="L6" s="7" t="n">
        <v>1714.5639</v>
      </c>
      <c r="M6" s="7" t="n">
        <v>1725.5277</v>
      </c>
      <c r="N6" s="7" t="n">
        <v>1726.2444</v>
      </c>
      <c r="O6" s="7" t="n">
        <v>1729.3799</v>
      </c>
      <c r="P6" s="7" t="n">
        <v>1730.3852</v>
      </c>
      <c r="Q6" s="7" t="n">
        <v>1746.8131</v>
      </c>
      <c r="R6" s="7" t="n">
        <v>1746.8131</v>
      </c>
      <c r="S6" s="7" t="n">
        <v>1746.8131</v>
      </c>
      <c r="T6" s="7" t="n">
        <v>1746.8131</v>
      </c>
      <c r="U6" s="7" t="n">
        <v>1746.8655</v>
      </c>
      <c r="V6" s="7" t="n">
        <v>1746.8655</v>
      </c>
    </row>
    <row r="7">
      <c r="A7" s="6" t="inlineStr">
        <is>
          <t>2005</t>
        </is>
      </c>
      <c r="B7" s="7" t="n">
        <v>971.5747</v>
      </c>
      <c r="C7" s="7" t="n">
        <v>1928.6545</v>
      </c>
      <c r="D7" s="7" t="n">
        <v>2439.342</v>
      </c>
      <c r="E7" s="7" t="n">
        <v>2551.6297</v>
      </c>
      <c r="F7" s="7" t="n">
        <v>2742.192</v>
      </c>
      <c r="G7" s="7" t="n">
        <v>2799.0983</v>
      </c>
      <c r="H7" s="7" t="n">
        <v>2858.1437</v>
      </c>
      <c r="I7" s="7" t="n">
        <v>2887.9052</v>
      </c>
      <c r="J7" s="7" t="n">
        <v>2899.9465</v>
      </c>
      <c r="K7" s="7" t="n">
        <v>2986.9689</v>
      </c>
      <c r="L7" s="7" t="n">
        <v>3071.8169</v>
      </c>
      <c r="M7" s="7" t="n">
        <v>3134.0514</v>
      </c>
      <c r="N7" s="7" t="n">
        <v>3236.6029</v>
      </c>
      <c r="O7" s="7" t="n">
        <v>3297.6678</v>
      </c>
      <c r="P7" s="7" t="n">
        <v>3397.0056</v>
      </c>
      <c r="Q7" s="7" t="n">
        <v>3424.0542</v>
      </c>
      <c r="R7" s="7" t="n">
        <v>3490.2672</v>
      </c>
      <c r="S7" s="7" t="n">
        <v>3496.1167</v>
      </c>
      <c r="T7" s="7" t="n">
        <v>3496.1167</v>
      </c>
      <c r="U7" s="7" t="n">
        <v>3496.1167</v>
      </c>
    </row>
    <row r="8">
      <c r="A8" s="6" t="inlineStr">
        <is>
          <t>2006</t>
        </is>
      </c>
      <c r="B8" s="7" t="n">
        <v>594.5253</v>
      </c>
      <c r="C8" s="7" t="n">
        <v>1406.2259</v>
      </c>
      <c r="D8" s="7" t="n">
        <v>1795.5372</v>
      </c>
      <c r="E8" s="7" t="n">
        <v>1955.5077</v>
      </c>
      <c r="F8" s="7" t="n">
        <v>2075.1583</v>
      </c>
      <c r="G8" s="7" t="n">
        <v>2171.7772</v>
      </c>
      <c r="H8" s="7" t="n">
        <v>2261.5807</v>
      </c>
      <c r="I8" s="7" t="n">
        <v>2276.9363</v>
      </c>
      <c r="J8" s="7" t="n">
        <v>2348.8733</v>
      </c>
      <c r="K8" s="7" t="n">
        <v>2445.1459</v>
      </c>
      <c r="L8" s="7" t="n">
        <v>2670.6605</v>
      </c>
      <c r="M8" s="7" t="n">
        <v>2744.4668</v>
      </c>
      <c r="N8" s="7" t="n">
        <v>2773.0776</v>
      </c>
      <c r="O8" s="7" t="n">
        <v>2824.9044</v>
      </c>
      <c r="P8" s="7" t="n">
        <v>2844.1452</v>
      </c>
      <c r="Q8" s="7" t="n">
        <v>2867.9017</v>
      </c>
      <c r="R8" s="7" t="n">
        <v>2900.7961</v>
      </c>
      <c r="S8" s="7" t="n">
        <v>2922.944</v>
      </c>
      <c r="T8" s="7" t="n">
        <v>2939.0407</v>
      </c>
    </row>
    <row r="9">
      <c r="A9" s="6" t="inlineStr">
        <is>
          <t>2007</t>
        </is>
      </c>
      <c r="B9" s="7" t="n">
        <v>1102.9307</v>
      </c>
      <c r="C9" s="7" t="n">
        <v>2315.8989</v>
      </c>
      <c r="D9" s="7" t="n">
        <v>2998.7389</v>
      </c>
      <c r="E9" s="7" t="n">
        <v>3818.7027</v>
      </c>
      <c r="F9" s="7" t="n">
        <v>4529.3274</v>
      </c>
      <c r="G9" s="7" t="n">
        <v>5501.5452</v>
      </c>
      <c r="H9" s="7" t="n">
        <v>6138.3213</v>
      </c>
      <c r="I9" s="7" t="n">
        <v>6614.916</v>
      </c>
      <c r="J9" s="7" t="n">
        <v>7148.5623</v>
      </c>
      <c r="K9" s="7" t="n">
        <v>7755.3075</v>
      </c>
      <c r="L9" s="7" t="n">
        <v>8392.9529</v>
      </c>
      <c r="M9" s="7" t="n">
        <v>8812.599200000001</v>
      </c>
      <c r="N9" s="7" t="n">
        <v>9174.256799999999</v>
      </c>
      <c r="O9" s="7" t="n">
        <v>9439.4655</v>
      </c>
      <c r="P9" s="7" t="n">
        <v>9692.5851</v>
      </c>
      <c r="Q9" s="7" t="n">
        <v>9974.2012</v>
      </c>
      <c r="R9" s="7" t="n">
        <v>10036.8901</v>
      </c>
      <c r="S9" s="7" t="n">
        <v>10056.546</v>
      </c>
    </row>
    <row r="10">
      <c r="A10" s="6" t="inlineStr">
        <is>
          <t>2008</t>
        </is>
      </c>
      <c r="B10" s="7" t="n">
        <v>1149.7721</v>
      </c>
      <c r="C10" s="7" t="n">
        <v>1975.718</v>
      </c>
      <c r="D10" s="7" t="n">
        <v>2646.6504</v>
      </c>
      <c r="E10" s="7" t="n">
        <v>3616.6361</v>
      </c>
      <c r="F10" s="7" t="n">
        <v>3742.9273</v>
      </c>
      <c r="G10" s="7" t="n">
        <v>3858.2691</v>
      </c>
      <c r="H10" s="7" t="n">
        <v>3885.2455</v>
      </c>
      <c r="I10" s="7" t="n">
        <v>3910.0843</v>
      </c>
      <c r="J10" s="7" t="n">
        <v>3956.0161</v>
      </c>
      <c r="K10" s="7" t="n">
        <v>4009.0442</v>
      </c>
      <c r="L10" s="7" t="n">
        <v>4051.9214</v>
      </c>
      <c r="M10" s="7" t="n">
        <v>4059.7873</v>
      </c>
      <c r="N10" s="7" t="n">
        <v>4069.2026</v>
      </c>
      <c r="O10" s="7" t="n">
        <v>4073.826</v>
      </c>
      <c r="P10" s="7" t="n">
        <v>4076.4965</v>
      </c>
      <c r="Q10" s="7" t="n">
        <v>4087.2834</v>
      </c>
      <c r="R10" s="7" t="n">
        <v>4195.1009</v>
      </c>
    </row>
    <row r="11">
      <c r="A11" s="6" t="inlineStr">
        <is>
          <t>2009</t>
        </is>
      </c>
      <c r="B11" s="7" t="n">
        <v>746.9206</v>
      </c>
      <c r="C11" s="7" t="n">
        <v>2314.7284</v>
      </c>
      <c r="D11" s="7" t="n">
        <v>2521.7242</v>
      </c>
      <c r="E11" s="7" t="n">
        <v>2590.396</v>
      </c>
      <c r="F11" s="7" t="n">
        <v>2779.6066</v>
      </c>
      <c r="G11" s="7" t="n">
        <v>2922.7838</v>
      </c>
      <c r="H11" s="7" t="n">
        <v>3010.6967</v>
      </c>
      <c r="I11" s="7" t="n">
        <v>3162.459</v>
      </c>
      <c r="J11" s="7" t="n">
        <v>3278.4713</v>
      </c>
      <c r="K11" s="7" t="n">
        <v>3326.598</v>
      </c>
      <c r="L11" s="7" t="n">
        <v>3357.8928</v>
      </c>
      <c r="M11" s="7" t="n">
        <v>3460.4551</v>
      </c>
      <c r="N11" s="7" t="n">
        <v>3632.438</v>
      </c>
      <c r="O11" s="7" t="n">
        <v>3632.438</v>
      </c>
      <c r="P11" s="7" t="n">
        <v>3632.438</v>
      </c>
      <c r="Q11" s="7" t="n">
        <v>3632.438</v>
      </c>
    </row>
    <row r="12">
      <c r="A12" s="6" t="inlineStr">
        <is>
          <t>2010</t>
        </is>
      </c>
      <c r="B12" s="7" t="n">
        <v>937.152</v>
      </c>
      <c r="C12" s="7" t="n">
        <v>2476.2967</v>
      </c>
      <c r="D12" s="7" t="n">
        <v>3366.9101</v>
      </c>
      <c r="E12" s="7" t="n">
        <v>3961.6311</v>
      </c>
      <c r="F12" s="7" t="n">
        <v>4329.7334</v>
      </c>
      <c r="G12" s="7" t="n">
        <v>4420.0485</v>
      </c>
      <c r="H12" s="7" t="n">
        <v>4636.2573</v>
      </c>
      <c r="I12" s="7" t="n">
        <v>4644.3252</v>
      </c>
      <c r="J12" s="7" t="n">
        <v>4660.2165</v>
      </c>
      <c r="K12" s="7" t="n">
        <v>4663.1575</v>
      </c>
      <c r="L12" s="7" t="n">
        <v>4665.5211</v>
      </c>
      <c r="M12" s="7" t="n">
        <v>4665.7929</v>
      </c>
      <c r="N12" s="7" t="n">
        <v>4668.761</v>
      </c>
      <c r="O12" s="7" t="n">
        <v>4672.1618</v>
      </c>
      <c r="P12" s="7" t="n">
        <v>4700.13</v>
      </c>
    </row>
    <row r="13">
      <c r="A13" s="6" t="inlineStr">
        <is>
          <t>2011</t>
        </is>
      </c>
      <c r="B13" s="7" t="n">
        <v>1053.0546</v>
      </c>
      <c r="C13" s="7" t="n">
        <v>2426.8458</v>
      </c>
      <c r="D13" s="7" t="n">
        <v>3783.2939</v>
      </c>
      <c r="E13" s="7" t="n">
        <v>4069.0864</v>
      </c>
      <c r="F13" s="7" t="n">
        <v>4406.3053</v>
      </c>
      <c r="G13" s="7" t="n">
        <v>4797.9351</v>
      </c>
      <c r="H13" s="7" t="n">
        <v>5270.4122</v>
      </c>
      <c r="I13" s="7" t="n">
        <v>5280.7931</v>
      </c>
      <c r="J13" s="7" t="n">
        <v>5304.8235</v>
      </c>
      <c r="K13" s="7" t="n">
        <v>5345.4943</v>
      </c>
      <c r="L13" s="7" t="n">
        <v>5373.3187</v>
      </c>
      <c r="M13" s="7" t="n">
        <v>5428.8416</v>
      </c>
      <c r="N13" s="7" t="n">
        <v>5456.8137</v>
      </c>
      <c r="O13" s="7" t="n">
        <v>5474.3003</v>
      </c>
    </row>
    <row r="14">
      <c r="A14" s="6" t="inlineStr">
        <is>
          <t>2012</t>
        </is>
      </c>
      <c r="B14" s="7" t="n">
        <v>928.1486</v>
      </c>
      <c r="C14" s="7" t="n">
        <v>2428.7172</v>
      </c>
      <c r="D14" s="7" t="n">
        <v>3059.3282</v>
      </c>
      <c r="E14" s="7" t="n">
        <v>3641.9444</v>
      </c>
      <c r="F14" s="7" t="n">
        <v>3678.7172</v>
      </c>
      <c r="G14" s="7" t="n">
        <v>3702.6667</v>
      </c>
      <c r="H14" s="7" t="n">
        <v>3741.8058</v>
      </c>
      <c r="I14" s="7" t="n">
        <v>3889.2321</v>
      </c>
      <c r="J14" s="7" t="n">
        <v>4011.9312</v>
      </c>
      <c r="K14" s="7" t="n">
        <v>4030.3024</v>
      </c>
      <c r="L14" s="7" t="n">
        <v>4150.0171</v>
      </c>
      <c r="M14" s="7" t="n">
        <v>4384.4612</v>
      </c>
      <c r="N14" s="7" t="n">
        <v>4570.7028</v>
      </c>
    </row>
    <row r="15">
      <c r="A15" s="6" t="inlineStr">
        <is>
          <t>2013</t>
        </is>
      </c>
      <c r="B15" s="7" t="n">
        <v>717.2897</v>
      </c>
      <c r="C15" s="7" t="n">
        <v>1605.5494</v>
      </c>
      <c r="D15" s="7" t="n">
        <v>1876.4</v>
      </c>
      <c r="E15" s="7" t="n">
        <v>2049.1538</v>
      </c>
      <c r="F15" s="7" t="n">
        <v>2429.9367</v>
      </c>
      <c r="G15" s="7" t="n">
        <v>2423.6216</v>
      </c>
      <c r="H15" s="7" t="n">
        <v>2424.8165</v>
      </c>
      <c r="I15" s="7" t="n">
        <v>2424.8165</v>
      </c>
      <c r="J15" s="7" t="n">
        <v>2429.4993</v>
      </c>
      <c r="K15" s="7" t="n">
        <v>2429.4993</v>
      </c>
      <c r="L15" s="7" t="n">
        <v>2429.5378</v>
      </c>
      <c r="M15" s="7" t="n">
        <v>2429.5378</v>
      </c>
    </row>
    <row r="16">
      <c r="A16" s="6" t="inlineStr">
        <is>
          <t>2014</t>
        </is>
      </c>
      <c r="B16" s="7" t="n">
        <v>948.342</v>
      </c>
      <c r="C16" s="7" t="n">
        <v>1626.2791</v>
      </c>
      <c r="D16" s="7" t="n">
        <v>2034.6928</v>
      </c>
      <c r="E16" s="7" t="n">
        <v>2590.887</v>
      </c>
      <c r="F16" s="7" t="n">
        <v>2764.4474</v>
      </c>
      <c r="G16" s="7" t="n">
        <v>2810.3312</v>
      </c>
      <c r="H16" s="7" t="n">
        <v>2827.505</v>
      </c>
      <c r="I16" s="7" t="n">
        <v>2835.8994</v>
      </c>
      <c r="J16" s="7" t="n">
        <v>2853.8417</v>
      </c>
      <c r="K16" s="7" t="n">
        <v>3029.7236</v>
      </c>
      <c r="L16" s="7" t="n">
        <v>3052.3164</v>
      </c>
    </row>
    <row r="17">
      <c r="A17" s="6" t="inlineStr">
        <is>
          <t>2015</t>
        </is>
      </c>
      <c r="B17" s="7" t="n">
        <v>1181.5082</v>
      </c>
      <c r="C17" s="7" t="n">
        <v>2540.1389</v>
      </c>
      <c r="D17" s="7" t="n">
        <v>4203.875</v>
      </c>
      <c r="E17" s="7" t="n">
        <v>6159.7571</v>
      </c>
      <c r="F17" s="7" t="n">
        <v>6614.8774</v>
      </c>
      <c r="G17" s="7" t="n">
        <v>7365.122</v>
      </c>
      <c r="H17" s="7" t="n">
        <v>8180.9878</v>
      </c>
      <c r="I17" s="7" t="n">
        <v>8628.7407</v>
      </c>
      <c r="J17" s="7" t="n">
        <v>8752.454900000001</v>
      </c>
      <c r="K17" s="7" t="n">
        <v>10076.8088</v>
      </c>
    </row>
    <row r="18">
      <c r="A18" s="6" t="inlineStr">
        <is>
          <t>2016</t>
        </is>
      </c>
      <c r="B18" s="7" t="n">
        <v>982.3206</v>
      </c>
      <c r="C18" s="7" t="n">
        <v>3014.894</v>
      </c>
      <c r="D18" s="7" t="n">
        <v>4074.4665</v>
      </c>
      <c r="E18" s="7" t="n">
        <v>4585.5509</v>
      </c>
      <c r="F18" s="7" t="n">
        <v>4930.5735</v>
      </c>
      <c r="G18" s="7" t="n">
        <v>5434.7666</v>
      </c>
      <c r="H18" s="7" t="n">
        <v>6193.4369</v>
      </c>
      <c r="I18" s="7" t="n">
        <v>6234.4594</v>
      </c>
      <c r="J18" s="7" t="n">
        <v>6303.6318</v>
      </c>
    </row>
    <row r="19">
      <c r="A19" s="6" t="inlineStr">
        <is>
          <t>2017</t>
        </is>
      </c>
      <c r="B19" s="7" t="n">
        <v>1220.6555</v>
      </c>
      <c r="C19" s="7" t="n">
        <v>1885.7755</v>
      </c>
      <c r="D19" s="7" t="n">
        <v>2023.3633</v>
      </c>
      <c r="E19" s="7" t="n">
        <v>2272.0323</v>
      </c>
      <c r="F19" s="7" t="n">
        <v>2481.092</v>
      </c>
      <c r="G19" s="7" t="n">
        <v>2747.7836</v>
      </c>
      <c r="H19" s="7" t="n">
        <v>3548.4808</v>
      </c>
      <c r="I19" s="7" t="n">
        <v>3888.386</v>
      </c>
    </row>
    <row r="20">
      <c r="A20" s="6" t="inlineStr">
        <is>
          <t>2018</t>
        </is>
      </c>
      <c r="B20" s="7" t="n">
        <v>1195.2535</v>
      </c>
      <c r="C20" s="7" t="n">
        <v>3059.3162</v>
      </c>
      <c r="D20" s="7" t="n">
        <v>4539.8161</v>
      </c>
      <c r="E20" s="7" t="n">
        <v>6235.2696</v>
      </c>
      <c r="F20" s="7" t="n">
        <v>6566.8442</v>
      </c>
      <c r="G20" s="7" t="n">
        <v>6936.3717</v>
      </c>
      <c r="H20" s="7" t="n">
        <v>7349.3269</v>
      </c>
    </row>
    <row r="21">
      <c r="A21" s="6" t="inlineStr">
        <is>
          <t>2019</t>
        </is>
      </c>
      <c r="B21" s="7" t="n">
        <v>921.0834</v>
      </c>
      <c r="C21" s="7" t="n">
        <v>2155.4765</v>
      </c>
      <c r="D21" s="7" t="n">
        <v>3771.4288</v>
      </c>
      <c r="E21" s="7" t="n">
        <v>4459.6173</v>
      </c>
      <c r="F21" s="7" t="n">
        <v>5490.8586</v>
      </c>
      <c r="G21" s="7" t="n">
        <v>6697.7409</v>
      </c>
    </row>
    <row r="22">
      <c r="A22" s="6" t="inlineStr">
        <is>
          <t>2020</t>
        </is>
      </c>
      <c r="B22" s="7" t="n">
        <v>817.6181</v>
      </c>
      <c r="C22" s="7" t="n">
        <v>1968.9132</v>
      </c>
      <c r="D22" s="7" t="n">
        <v>2323.857</v>
      </c>
      <c r="E22" s="7" t="n">
        <v>2604.9521</v>
      </c>
      <c r="F22" s="7" t="n">
        <v>2632.2299</v>
      </c>
    </row>
    <row r="23">
      <c r="A23" s="6" t="inlineStr">
        <is>
          <t>2021</t>
        </is>
      </c>
      <c r="B23" s="7" t="n">
        <v>947.1256</v>
      </c>
      <c r="C23" s="7" t="n">
        <v>1657.8111</v>
      </c>
      <c r="D23" s="7" t="n">
        <v>2762.5924</v>
      </c>
      <c r="E23" s="7" t="n">
        <v>2955.3786</v>
      </c>
    </row>
    <row r="24">
      <c r="A24" s="6" t="inlineStr">
        <is>
          <t>2022</t>
        </is>
      </c>
      <c r="B24" s="7" t="n">
        <v>1176.2858</v>
      </c>
      <c r="C24" s="7" t="n">
        <v>2503.5897</v>
      </c>
      <c r="D24" s="7" t="n">
        <v>2652.6666</v>
      </c>
    </row>
    <row r="25">
      <c r="A25" s="6" t="inlineStr">
        <is>
          <t>2023</t>
        </is>
      </c>
      <c r="B25" s="7" t="n">
        <v>1344.527</v>
      </c>
      <c r="C25" s="7" t="n">
        <v>3934.165</v>
      </c>
    </row>
    <row r="26">
      <c r="A26" s="6" t="inlineStr">
        <is>
          <t>2024</t>
        </is>
      </c>
      <c r="B26" s="7" t="n">
        <v>1387.6736</v>
      </c>
    </row>
  </sheetData>
  <mergeCells count="1">
    <mergeCell ref="A1:Y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Paid To Incurred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3" t="n"/>
    </row>
    <row r="2">
      <c r="A2" s="4" t="inlineStr"/>
      <c r="B2" s="5" t="inlineStr">
        <is>
          <t>11</t>
        </is>
      </c>
      <c r="C2" s="5" t="inlineStr">
        <is>
          <t>23</t>
        </is>
      </c>
      <c r="D2" s="5" t="inlineStr">
        <is>
          <t>35</t>
        </is>
      </c>
      <c r="E2" s="5" t="inlineStr">
        <is>
          <t>47</t>
        </is>
      </c>
      <c r="F2" s="5" t="inlineStr">
        <is>
          <t>59</t>
        </is>
      </c>
      <c r="G2" s="5" t="inlineStr">
        <is>
          <t>71</t>
        </is>
      </c>
      <c r="H2" s="5" t="inlineStr">
        <is>
          <t>83</t>
        </is>
      </c>
      <c r="I2" s="5" t="inlineStr">
        <is>
          <t>95</t>
        </is>
      </c>
      <c r="J2" s="5" t="inlineStr">
        <is>
          <t>107</t>
        </is>
      </c>
      <c r="K2" s="5" t="inlineStr">
        <is>
          <t>119</t>
        </is>
      </c>
      <c r="L2" s="5" t="inlineStr">
        <is>
          <t>131</t>
        </is>
      </c>
      <c r="M2" s="5" t="inlineStr">
        <is>
          <t>143</t>
        </is>
      </c>
      <c r="N2" s="5" t="inlineStr">
        <is>
          <t>155</t>
        </is>
      </c>
      <c r="O2" s="5" t="inlineStr">
        <is>
          <t>167</t>
        </is>
      </c>
      <c r="P2" s="5" t="inlineStr">
        <is>
          <t>179</t>
        </is>
      </c>
      <c r="Q2" s="5" t="inlineStr">
        <is>
          <t>191</t>
        </is>
      </c>
      <c r="R2" s="5" t="inlineStr">
        <is>
          <t>203</t>
        </is>
      </c>
      <c r="S2" s="5" t="inlineStr">
        <is>
          <t>215</t>
        </is>
      </c>
      <c r="T2" s="5" t="inlineStr">
        <is>
          <t>227</t>
        </is>
      </c>
      <c r="U2" s="5" t="inlineStr">
        <is>
          <t>239</t>
        </is>
      </c>
      <c r="V2" s="5" t="inlineStr">
        <is>
          <t>251</t>
        </is>
      </c>
      <c r="W2" s="5" t="inlineStr">
        <is>
          <t>263</t>
        </is>
      </c>
      <c r="X2" s="5" t="inlineStr">
        <is>
          <t>275</t>
        </is>
      </c>
      <c r="Y2" s="5" t="inlineStr">
        <is>
          <t>287</t>
        </is>
      </c>
    </row>
    <row r="3">
      <c r="A3" s="6" t="inlineStr">
        <is>
          <t>2001</t>
        </is>
      </c>
      <c r="B3" s="29" t="n">
        <v>0.5747</v>
      </c>
      <c r="C3" s="29" t="n">
        <v>0.6738</v>
      </c>
      <c r="D3" s="29" t="n">
        <v>0.8126</v>
      </c>
      <c r="E3" s="29" t="n">
        <v>0.9127999999999999</v>
      </c>
      <c r="F3" s="29" t="n">
        <v>0.9882</v>
      </c>
      <c r="G3" s="29" t="n">
        <v>0.9504</v>
      </c>
      <c r="H3" s="29" t="n">
        <v>0.9435</v>
      </c>
      <c r="I3" s="29" t="n">
        <v>0.9474</v>
      </c>
      <c r="J3" s="29" t="n">
        <v>0.9496</v>
      </c>
      <c r="K3" s="29" t="n">
        <v>0.953</v>
      </c>
      <c r="L3" s="29" t="n">
        <v>0.9553</v>
      </c>
      <c r="M3" s="29" t="n">
        <v>0.9582000000000001</v>
      </c>
      <c r="N3" s="29" t="n">
        <v>0.9749</v>
      </c>
      <c r="O3" s="29" t="n">
        <v>0.9772999999999999</v>
      </c>
      <c r="P3" s="29" t="n">
        <v>0.9816</v>
      </c>
      <c r="Q3" s="29" t="n">
        <v>0.9606</v>
      </c>
      <c r="R3" s="29" t="n">
        <v>0.9691</v>
      </c>
      <c r="S3" s="29" t="n">
        <v>0.9655</v>
      </c>
      <c r="T3" s="29" t="n">
        <v>0.9848</v>
      </c>
      <c r="U3" s="29" t="n">
        <v>0.9848</v>
      </c>
      <c r="V3" s="29" t="n">
        <v>0.9694</v>
      </c>
      <c r="W3" s="29" t="n">
        <v>0.9631999999999999</v>
      </c>
      <c r="X3" s="29" t="n">
        <v>0.9693000000000001</v>
      </c>
      <c r="Y3" s="29" t="n">
        <v>0.9616</v>
      </c>
    </row>
    <row r="4">
      <c r="A4" s="6" t="inlineStr">
        <is>
          <t>2002</t>
        </is>
      </c>
      <c r="B4" s="29" t="n">
        <v>0.3852</v>
      </c>
      <c r="C4" s="29" t="n">
        <v>0.6865</v>
      </c>
      <c r="D4" s="29" t="n">
        <v>0.9088000000000001</v>
      </c>
      <c r="E4" s="29" t="n">
        <v>0.8218</v>
      </c>
      <c r="F4" s="29" t="n">
        <v>0.9127</v>
      </c>
      <c r="G4" s="29" t="n">
        <v>0.9389</v>
      </c>
      <c r="H4" s="29" t="n">
        <v>0.9422</v>
      </c>
      <c r="I4" s="29" t="n">
        <v>0.9587</v>
      </c>
      <c r="J4" s="29" t="n">
        <v>0.9614</v>
      </c>
      <c r="K4" s="29" t="n">
        <v>0.9636</v>
      </c>
      <c r="L4" s="29" t="n">
        <v>0.9706</v>
      </c>
      <c r="M4" s="29" t="n">
        <v>0.9563</v>
      </c>
      <c r="N4" s="29" t="n">
        <v>0.977</v>
      </c>
      <c r="O4" s="29" t="n">
        <v>0.9633</v>
      </c>
      <c r="P4" s="29" t="n">
        <v>0.9584</v>
      </c>
      <c r="Q4" s="29" t="n">
        <v>0.9629</v>
      </c>
      <c r="R4" s="29" t="n">
        <v>0.9406</v>
      </c>
      <c r="S4" s="29" t="n">
        <v>0.9585</v>
      </c>
      <c r="T4" s="29" t="n">
        <v>0.9737</v>
      </c>
      <c r="U4" s="29" t="n">
        <v>0.9455</v>
      </c>
      <c r="V4" s="29" t="n">
        <v>0.961</v>
      </c>
      <c r="W4" s="29" t="n">
        <v>0.9366</v>
      </c>
      <c r="X4" s="29" t="n">
        <v>0.945</v>
      </c>
    </row>
    <row r="5">
      <c r="A5" s="6" t="inlineStr">
        <is>
          <t>2003</t>
        </is>
      </c>
      <c r="B5" s="29" t="n">
        <v>0.4594</v>
      </c>
      <c r="C5" s="29" t="n">
        <v>0.7896</v>
      </c>
      <c r="D5" s="29" t="n">
        <v>0.8421</v>
      </c>
      <c r="E5" s="29" t="n">
        <v>0.7722</v>
      </c>
      <c r="F5" s="29" t="n">
        <v>0.9843</v>
      </c>
      <c r="G5" s="29" t="n">
        <v>0.9677</v>
      </c>
      <c r="H5" s="29" t="n">
        <v>0.9718</v>
      </c>
      <c r="I5" s="29" t="n">
        <v>0.9861</v>
      </c>
      <c r="J5" s="29" t="n">
        <v>0.9865</v>
      </c>
      <c r="K5" s="29" t="n">
        <v>0.9867</v>
      </c>
      <c r="L5" s="29" t="n">
        <v>0.9869</v>
      </c>
      <c r="M5" s="29" t="n">
        <v>0.9948</v>
      </c>
      <c r="N5" s="29" t="n">
        <v>1</v>
      </c>
      <c r="O5" s="29" t="n">
        <v>1</v>
      </c>
      <c r="P5" s="29" t="n">
        <v>1</v>
      </c>
      <c r="Q5" s="29" t="n">
        <v>1</v>
      </c>
      <c r="R5" s="29" t="n">
        <v>1</v>
      </c>
      <c r="S5" s="29" t="n">
        <v>1</v>
      </c>
      <c r="T5" s="29" t="n">
        <v>1</v>
      </c>
      <c r="U5" s="29" t="n">
        <v>1</v>
      </c>
      <c r="V5" s="29" t="n">
        <v>1</v>
      </c>
      <c r="W5" s="29" t="n">
        <v>1</v>
      </c>
    </row>
    <row r="6">
      <c r="A6" s="6" t="inlineStr">
        <is>
          <t>2004</t>
        </is>
      </c>
      <c r="B6" s="29" t="n">
        <v>0.3634</v>
      </c>
      <c r="C6" s="29" t="n">
        <v>0.7756</v>
      </c>
      <c r="D6" s="29" t="n">
        <v>0.9055</v>
      </c>
      <c r="E6" s="29" t="n">
        <v>0.9681</v>
      </c>
      <c r="F6" s="29" t="n">
        <v>1</v>
      </c>
      <c r="G6" s="29" t="n">
        <v>0.9981</v>
      </c>
      <c r="H6" s="29" t="n">
        <v>0.996</v>
      </c>
      <c r="I6" s="29" t="n">
        <v>0.9961</v>
      </c>
      <c r="J6" s="29" t="n">
        <v>0.991</v>
      </c>
      <c r="K6" s="29" t="n">
        <v>0.9938</v>
      </c>
      <c r="L6" s="29" t="n">
        <v>0.9748</v>
      </c>
      <c r="M6" s="29" t="n">
        <v>0.9923</v>
      </c>
      <c r="N6" s="29" t="n">
        <v>0.9923</v>
      </c>
      <c r="O6" s="29" t="n">
        <v>0.9938</v>
      </c>
      <c r="P6" s="29" t="n">
        <v>0.9944</v>
      </c>
      <c r="Q6" s="29" t="n">
        <v>1</v>
      </c>
      <c r="R6" s="29" t="n">
        <v>1</v>
      </c>
      <c r="S6" s="29" t="n">
        <v>1</v>
      </c>
      <c r="T6" s="29" t="n">
        <v>1</v>
      </c>
      <c r="U6" s="29" t="n">
        <v>1</v>
      </c>
      <c r="V6" s="29" t="n">
        <v>1</v>
      </c>
    </row>
    <row r="7">
      <c r="A7" s="6" t="inlineStr">
        <is>
          <t>2005</t>
        </is>
      </c>
      <c r="B7" s="29" t="n">
        <v>0.4873</v>
      </c>
      <c r="C7" s="29" t="n">
        <v>0.7597</v>
      </c>
      <c r="D7" s="29" t="n">
        <v>0.881</v>
      </c>
      <c r="E7" s="29" t="n">
        <v>0.9428</v>
      </c>
      <c r="F7" s="29" t="n">
        <v>0.9769</v>
      </c>
      <c r="G7" s="29" t="n">
        <v>0.9811</v>
      </c>
      <c r="H7" s="29" t="n">
        <v>0.9818</v>
      </c>
      <c r="I7" s="29" t="n">
        <v>0.9865</v>
      </c>
      <c r="J7" s="29" t="n">
        <v>0.978</v>
      </c>
      <c r="K7" s="29" t="n">
        <v>0.9805</v>
      </c>
      <c r="L7" s="29" t="n">
        <v>0.9967</v>
      </c>
      <c r="M7" s="29" t="n">
        <v>0.9084</v>
      </c>
      <c r="N7" s="29" t="n">
        <v>0.9382</v>
      </c>
      <c r="O7" s="29" t="n">
        <v>0.9738</v>
      </c>
      <c r="P7" s="29" t="n">
        <v>0.9933</v>
      </c>
      <c r="Q7" s="29" t="n">
        <v>0.9942</v>
      </c>
      <c r="R7" s="29" t="n">
        <v>0.9983</v>
      </c>
      <c r="S7" s="29" t="n">
        <v>1</v>
      </c>
      <c r="T7" s="29" t="n">
        <v>1</v>
      </c>
      <c r="U7" s="29" t="n">
        <v>1</v>
      </c>
    </row>
    <row r="8">
      <c r="A8" s="6" t="inlineStr">
        <is>
          <t>2006</t>
        </is>
      </c>
      <c r="B8" s="29" t="n">
        <v>0.3718</v>
      </c>
      <c r="C8" s="29" t="n">
        <v>0.6041</v>
      </c>
      <c r="D8" s="29" t="n">
        <v>0.8874</v>
      </c>
      <c r="E8" s="29" t="n">
        <v>0.9036999999999999</v>
      </c>
      <c r="F8" s="29" t="n">
        <v>0.9504</v>
      </c>
      <c r="G8" s="29" t="n">
        <v>0.9469</v>
      </c>
      <c r="H8" s="29" t="n">
        <v>0.9444</v>
      </c>
      <c r="I8" s="29" t="n">
        <v>0.9687</v>
      </c>
      <c r="J8" s="29" t="n">
        <v>0.9739</v>
      </c>
      <c r="K8" s="29" t="n">
        <v>0.9776</v>
      </c>
      <c r="L8" s="29" t="n">
        <v>0.9857</v>
      </c>
      <c r="M8" s="29" t="n">
        <v>0.9555</v>
      </c>
      <c r="N8" s="29" t="n">
        <v>0.9396</v>
      </c>
      <c r="O8" s="29" t="n">
        <v>0.947</v>
      </c>
      <c r="P8" s="29" t="n">
        <v>0.9529</v>
      </c>
      <c r="Q8" s="29" t="n">
        <v>0.9499</v>
      </c>
      <c r="R8" s="29" t="n">
        <v>0.9578</v>
      </c>
      <c r="S8" s="29" t="n">
        <v>0.9582000000000001</v>
      </c>
      <c r="T8" s="29" t="n">
        <v>0.9634</v>
      </c>
    </row>
    <row r="9">
      <c r="A9" s="6" t="inlineStr">
        <is>
          <t>2007</t>
        </is>
      </c>
      <c r="B9" s="29" t="n">
        <v>0.292</v>
      </c>
      <c r="C9" s="29" t="n">
        <v>0.5875</v>
      </c>
      <c r="D9" s="29" t="n">
        <v>0.6985</v>
      </c>
      <c r="E9" s="29" t="n">
        <v>0.7939000000000001</v>
      </c>
      <c r="F9" s="29" t="n">
        <v>0.8448</v>
      </c>
      <c r="G9" s="29" t="n">
        <v>0.8595</v>
      </c>
      <c r="H9" s="29" t="n">
        <v>0.9016999999999999</v>
      </c>
      <c r="I9" s="29" t="n">
        <v>0.8758</v>
      </c>
      <c r="J9" s="29" t="n">
        <v>0.8831</v>
      </c>
      <c r="K9" s="29" t="n">
        <v>0.8697</v>
      </c>
      <c r="L9" s="29" t="n">
        <v>0.9132</v>
      </c>
      <c r="M9" s="29" t="n">
        <v>0.9319</v>
      </c>
      <c r="N9" s="29" t="n">
        <v>0.9548</v>
      </c>
      <c r="O9" s="29" t="n">
        <v>0.9815</v>
      </c>
      <c r="P9" s="29" t="n">
        <v>0.9657</v>
      </c>
      <c r="Q9" s="29" t="n">
        <v>0.9937</v>
      </c>
      <c r="R9" s="29" t="n">
        <v>0.9964</v>
      </c>
      <c r="S9" s="29" t="n">
        <v>0.9958</v>
      </c>
    </row>
    <row r="10">
      <c r="A10" s="6" t="inlineStr">
        <is>
          <t>2008</t>
        </is>
      </c>
      <c r="B10" s="29" t="n">
        <v>0.6354</v>
      </c>
      <c r="C10" s="29" t="n">
        <v>0.8387</v>
      </c>
      <c r="D10" s="29" t="n">
        <v>0.9319</v>
      </c>
      <c r="E10" s="29" t="n">
        <v>0.9155</v>
      </c>
      <c r="F10" s="29" t="n">
        <v>0.9775</v>
      </c>
      <c r="G10" s="29" t="n">
        <v>0.991</v>
      </c>
      <c r="H10" s="29" t="n">
        <v>0.9925</v>
      </c>
      <c r="I10" s="29" t="n">
        <v>0.9859</v>
      </c>
      <c r="J10" s="29" t="n">
        <v>0.9918</v>
      </c>
      <c r="K10" s="29" t="n">
        <v>0.9714</v>
      </c>
      <c r="L10" s="29" t="n">
        <v>0.977</v>
      </c>
      <c r="M10" s="29" t="n">
        <v>0.9787</v>
      </c>
      <c r="N10" s="29" t="n">
        <v>0.9955000000000001</v>
      </c>
      <c r="O10" s="29" t="n">
        <v>0.9964</v>
      </c>
      <c r="P10" s="29" t="n">
        <v>0.997</v>
      </c>
      <c r="Q10" s="29" t="n">
        <v>0.9948</v>
      </c>
      <c r="R10" s="29" t="n">
        <v>1</v>
      </c>
    </row>
    <row r="11">
      <c r="A11" s="6" t="inlineStr">
        <is>
          <t>2009</t>
        </is>
      </c>
      <c r="B11" s="29" t="n">
        <v>0.6397</v>
      </c>
      <c r="C11" s="29" t="n">
        <v>0.8507</v>
      </c>
      <c r="D11" s="29" t="n">
        <v>0.9875</v>
      </c>
      <c r="E11" s="29" t="n">
        <v>0.9897</v>
      </c>
      <c r="F11" s="29" t="n">
        <v>0.9958</v>
      </c>
      <c r="G11" s="29" t="n">
        <v>0.996</v>
      </c>
      <c r="H11" s="29" t="n">
        <v>0.9899</v>
      </c>
      <c r="I11" s="29" t="n">
        <v>0.9089</v>
      </c>
      <c r="J11" s="29" t="n">
        <v>0.9422</v>
      </c>
      <c r="K11" s="29" t="n">
        <v>0.956</v>
      </c>
      <c r="L11" s="29" t="n">
        <v>0.965</v>
      </c>
      <c r="M11" s="29" t="n">
        <v>0.9812</v>
      </c>
      <c r="N11" s="29" t="n">
        <v>1</v>
      </c>
      <c r="O11" s="29" t="n">
        <v>1</v>
      </c>
      <c r="P11" s="29" t="n">
        <v>1</v>
      </c>
      <c r="Q11" s="29" t="n">
        <v>1</v>
      </c>
    </row>
    <row r="12">
      <c r="A12" s="6" t="inlineStr">
        <is>
          <t>2010</t>
        </is>
      </c>
      <c r="B12" s="29" t="n">
        <v>0.6767</v>
      </c>
      <c r="C12" s="29" t="n">
        <v>0.9214</v>
      </c>
      <c r="D12" s="29" t="n">
        <v>0.9621</v>
      </c>
      <c r="E12" s="29" t="n">
        <v>0.9743000000000001</v>
      </c>
      <c r="F12" s="29" t="n">
        <v>0.9520999999999999</v>
      </c>
      <c r="G12" s="29" t="n">
        <v>0.9825</v>
      </c>
      <c r="H12" s="29" t="n">
        <v>0.9913</v>
      </c>
      <c r="I12" s="29" t="n">
        <v>0.9919</v>
      </c>
      <c r="J12" s="29" t="n">
        <v>1</v>
      </c>
      <c r="K12" s="29" t="n">
        <v>1</v>
      </c>
      <c r="L12" s="29" t="n">
        <v>0.9997</v>
      </c>
      <c r="M12" s="29" t="n">
        <v>0.9997</v>
      </c>
      <c r="N12" s="29" t="n">
        <v>0.9991</v>
      </c>
      <c r="O12" s="29" t="n">
        <v>1</v>
      </c>
      <c r="P12" s="29" t="n">
        <v>1</v>
      </c>
    </row>
    <row r="13">
      <c r="A13" s="6" t="inlineStr">
        <is>
          <t>2011</t>
        </is>
      </c>
      <c r="B13" s="29" t="n">
        <v>0.8018999999999999</v>
      </c>
      <c r="C13" s="29" t="n">
        <v>0.946</v>
      </c>
      <c r="D13" s="29" t="n">
        <v>1</v>
      </c>
      <c r="E13" s="29" t="n">
        <v>0.9315</v>
      </c>
      <c r="F13" s="29" t="n">
        <v>0.9453</v>
      </c>
      <c r="G13" s="29" t="n">
        <v>0.9530999999999999</v>
      </c>
      <c r="H13" s="29" t="n">
        <v>0.9921</v>
      </c>
      <c r="I13" s="29" t="n">
        <v>0.994</v>
      </c>
      <c r="J13" s="29" t="n">
        <v>0.9849</v>
      </c>
      <c r="K13" s="29" t="n">
        <v>0.9887</v>
      </c>
      <c r="L13" s="29" t="n">
        <v>0.9666</v>
      </c>
      <c r="M13" s="29" t="n">
        <v>0.9796</v>
      </c>
      <c r="N13" s="29" t="n">
        <v>0.9846</v>
      </c>
      <c r="O13" s="29" t="n">
        <v>0.9878</v>
      </c>
    </row>
    <row r="14">
      <c r="A14" s="6" t="inlineStr">
        <is>
          <t>2012</t>
        </is>
      </c>
      <c r="B14" s="29" t="n">
        <v>0.6782</v>
      </c>
      <c r="C14" s="29" t="n">
        <v>0.9298</v>
      </c>
      <c r="D14" s="29" t="n">
        <v>0.8961</v>
      </c>
      <c r="E14" s="29" t="n">
        <v>0.9816</v>
      </c>
      <c r="F14" s="29" t="n">
        <v>0.9946</v>
      </c>
      <c r="G14" s="29" t="n">
        <v>0.9923999999999999</v>
      </c>
      <c r="H14" s="29" t="n">
        <v>0.9989</v>
      </c>
      <c r="I14" s="29" t="n">
        <v>0.9874000000000001</v>
      </c>
      <c r="J14" s="29" t="n">
        <v>0.9646</v>
      </c>
      <c r="K14" s="29" t="n">
        <v>0.9172</v>
      </c>
      <c r="L14" s="29" t="n">
        <v>0.9374</v>
      </c>
      <c r="M14" s="29" t="n">
        <v>0.84</v>
      </c>
      <c r="N14" s="29" t="n">
        <v>0.8757</v>
      </c>
    </row>
    <row r="15">
      <c r="A15" s="6" t="inlineStr">
        <is>
          <t>2013</t>
        </is>
      </c>
      <c r="B15" s="29" t="n">
        <v>0.7258</v>
      </c>
      <c r="C15" s="29" t="n">
        <v>0.9146</v>
      </c>
      <c r="D15" s="29" t="n">
        <v>0.9831</v>
      </c>
      <c r="E15" s="29" t="n">
        <v>0.8945</v>
      </c>
      <c r="F15" s="29" t="n">
        <v>1</v>
      </c>
      <c r="G15" s="29" t="n">
        <v>1</v>
      </c>
      <c r="H15" s="29" t="n">
        <v>1</v>
      </c>
      <c r="I15" s="29" t="n">
        <v>1</v>
      </c>
      <c r="J15" s="29" t="n">
        <v>1</v>
      </c>
      <c r="K15" s="29" t="n">
        <v>1</v>
      </c>
      <c r="L15" s="29" t="n">
        <v>1</v>
      </c>
      <c r="M15" s="29" t="n">
        <v>1</v>
      </c>
    </row>
    <row r="16">
      <c r="A16" s="6" t="inlineStr">
        <is>
          <t>2014</t>
        </is>
      </c>
      <c r="B16" s="29" t="n">
        <v>0.7105</v>
      </c>
      <c r="C16" s="29" t="n">
        <v>0.9325</v>
      </c>
      <c r="D16" s="29" t="n">
        <v>0.8289</v>
      </c>
      <c r="E16" s="29" t="n">
        <v>0.9129</v>
      </c>
      <c r="F16" s="29" t="n">
        <v>0.9603</v>
      </c>
      <c r="G16" s="29" t="n">
        <v>0.9437</v>
      </c>
      <c r="H16" s="29" t="n">
        <v>0.9775</v>
      </c>
      <c r="I16" s="29" t="n">
        <v>0.9804</v>
      </c>
      <c r="J16" s="29" t="n">
        <v>0.9476</v>
      </c>
      <c r="K16" s="29" t="n">
        <v>0.9857</v>
      </c>
      <c r="L16" s="29" t="n">
        <v>1</v>
      </c>
    </row>
    <row r="17">
      <c r="A17" s="6" t="inlineStr">
        <is>
          <t>2015</t>
        </is>
      </c>
      <c r="B17" s="29" t="n">
        <v>0.707</v>
      </c>
      <c r="C17" s="29" t="n">
        <v>0.7906</v>
      </c>
      <c r="D17" s="29" t="n">
        <v>0.8845</v>
      </c>
      <c r="E17" s="29" t="n">
        <v>0.9756</v>
      </c>
      <c r="F17" s="29" t="n">
        <v>0.9473</v>
      </c>
      <c r="G17" s="29" t="n">
        <v>0.9283</v>
      </c>
      <c r="H17" s="29" t="n">
        <v>0.9045</v>
      </c>
      <c r="I17" s="29" t="n">
        <v>0.9476</v>
      </c>
      <c r="J17" s="29" t="n">
        <v>0.958</v>
      </c>
      <c r="K17" s="29" t="n">
        <v>0.9945000000000001</v>
      </c>
    </row>
    <row r="18">
      <c r="A18" s="6" t="inlineStr">
        <is>
          <t>2016</t>
        </is>
      </c>
      <c r="B18" s="29" t="n">
        <v>0.4938</v>
      </c>
      <c r="C18" s="29" t="n">
        <v>0.8754999999999999</v>
      </c>
      <c r="D18" s="29" t="n">
        <v>0.9181</v>
      </c>
      <c r="E18" s="29" t="n">
        <v>0.9506</v>
      </c>
      <c r="F18" s="29" t="n">
        <v>0.8948</v>
      </c>
      <c r="G18" s="29" t="n">
        <v>0.956</v>
      </c>
      <c r="H18" s="29" t="n">
        <v>0.9663</v>
      </c>
      <c r="I18" s="29" t="n">
        <v>0.9729</v>
      </c>
      <c r="J18" s="29" t="n">
        <v>0.9824000000000001</v>
      </c>
    </row>
    <row r="19">
      <c r="A19" s="6" t="inlineStr">
        <is>
          <t>2017</t>
        </is>
      </c>
      <c r="B19" s="29" t="n">
        <v>0.7297</v>
      </c>
      <c r="C19" s="29" t="n">
        <v>0.9510999999999999</v>
      </c>
      <c r="D19" s="29" t="n">
        <v>0.9908</v>
      </c>
      <c r="E19" s="29" t="n">
        <v>0.8532999999999999</v>
      </c>
      <c r="F19" s="29" t="n">
        <v>0.863</v>
      </c>
      <c r="G19" s="29" t="n">
        <v>0.8438</v>
      </c>
      <c r="H19" s="29" t="n">
        <v>0.9454</v>
      </c>
      <c r="I19" s="29" t="n">
        <v>1</v>
      </c>
    </row>
    <row r="20">
      <c r="A20" s="6" t="inlineStr">
        <is>
          <t>2018</t>
        </is>
      </c>
      <c r="B20" s="29" t="n">
        <v>0.68</v>
      </c>
      <c r="C20" s="29" t="n">
        <v>0.8502</v>
      </c>
      <c r="D20" s="29" t="n">
        <v>0.8831</v>
      </c>
      <c r="E20" s="29" t="n">
        <v>0.8737</v>
      </c>
      <c r="F20" s="29" t="n">
        <v>0.9292</v>
      </c>
      <c r="G20" s="29" t="n">
        <v>0.9688</v>
      </c>
      <c r="H20" s="29" t="n">
        <v>1</v>
      </c>
    </row>
    <row r="21">
      <c r="A21" s="6" t="inlineStr">
        <is>
          <t>2019</t>
        </is>
      </c>
      <c r="B21" s="29" t="n">
        <v>0.7092000000000001</v>
      </c>
      <c r="C21" s="29" t="n">
        <v>0.6879</v>
      </c>
      <c r="D21" s="29" t="n">
        <v>0.778</v>
      </c>
      <c r="E21" s="29" t="n">
        <v>0.8001</v>
      </c>
      <c r="F21" s="29" t="n">
        <v>0.9264</v>
      </c>
      <c r="G21" s="29" t="n">
        <v>0.9213</v>
      </c>
    </row>
    <row r="22">
      <c r="A22" s="6" t="inlineStr">
        <is>
          <t>2020</t>
        </is>
      </c>
      <c r="B22" s="29" t="n">
        <v>0.5476</v>
      </c>
      <c r="C22" s="29" t="n">
        <v>0.7834</v>
      </c>
      <c r="D22" s="29" t="n">
        <v>0.9404</v>
      </c>
      <c r="E22" s="29" t="n">
        <v>0.9964</v>
      </c>
      <c r="F22" s="29" t="n">
        <v>0.9971</v>
      </c>
    </row>
    <row r="23">
      <c r="A23" s="6" t="inlineStr">
        <is>
          <t>2021</t>
        </is>
      </c>
      <c r="B23" s="29" t="n">
        <v>0.4982</v>
      </c>
      <c r="C23" s="29" t="n">
        <v>0.6828</v>
      </c>
      <c r="D23" s="29" t="n">
        <v>0.9297</v>
      </c>
      <c r="E23" s="29" t="n">
        <v>0.9641</v>
      </c>
    </row>
    <row r="24">
      <c r="A24" s="6" t="inlineStr">
        <is>
          <t>2022</t>
        </is>
      </c>
      <c r="B24" s="29" t="n">
        <v>0.4425</v>
      </c>
      <c r="C24" s="29" t="n">
        <v>0.8767</v>
      </c>
      <c r="D24" s="29" t="n">
        <v>0.9560999999999999</v>
      </c>
    </row>
    <row r="25">
      <c r="A25" s="6" t="inlineStr">
        <is>
          <t>2023</t>
        </is>
      </c>
      <c r="B25" s="29" t="n">
        <v>0.3767</v>
      </c>
      <c r="C25" s="29" t="n">
        <v>0.726</v>
      </c>
    </row>
    <row r="26">
      <c r="A26" s="6" t="inlineStr">
        <is>
          <t>2024</t>
        </is>
      </c>
      <c r="B26" s="29" t="n">
        <v>0.3991</v>
      </c>
    </row>
  </sheetData>
  <mergeCells count="1">
    <mergeCell ref="A1:Y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Incremental Paid Severity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3" t="n"/>
    </row>
    <row r="2">
      <c r="A2" s="4" t="inlineStr"/>
      <c r="B2" s="5" t="inlineStr">
        <is>
          <t>11</t>
        </is>
      </c>
      <c r="C2" s="5" t="inlineStr">
        <is>
          <t>23</t>
        </is>
      </c>
      <c r="D2" s="5" t="inlineStr">
        <is>
          <t>35</t>
        </is>
      </c>
      <c r="E2" s="5" t="inlineStr">
        <is>
          <t>47</t>
        </is>
      </c>
      <c r="F2" s="5" t="inlineStr">
        <is>
          <t>59</t>
        </is>
      </c>
      <c r="G2" s="5" t="inlineStr">
        <is>
          <t>71</t>
        </is>
      </c>
      <c r="H2" s="5" t="inlineStr">
        <is>
          <t>83</t>
        </is>
      </c>
      <c r="I2" s="5" t="inlineStr">
        <is>
          <t>95</t>
        </is>
      </c>
      <c r="J2" s="5" t="inlineStr">
        <is>
          <t>107</t>
        </is>
      </c>
      <c r="K2" s="5" t="inlineStr">
        <is>
          <t>119</t>
        </is>
      </c>
      <c r="L2" s="5" t="inlineStr">
        <is>
          <t>131</t>
        </is>
      </c>
      <c r="M2" s="5" t="inlineStr">
        <is>
          <t>143</t>
        </is>
      </c>
      <c r="N2" s="5" t="inlineStr">
        <is>
          <t>155</t>
        </is>
      </c>
      <c r="O2" s="5" t="inlineStr">
        <is>
          <t>167</t>
        </is>
      </c>
      <c r="P2" s="5" t="inlineStr">
        <is>
          <t>179</t>
        </is>
      </c>
      <c r="Q2" s="5" t="inlineStr">
        <is>
          <t>191</t>
        </is>
      </c>
      <c r="R2" s="5" t="inlineStr">
        <is>
          <t>203</t>
        </is>
      </c>
      <c r="S2" s="5" t="inlineStr">
        <is>
          <t>215</t>
        </is>
      </c>
      <c r="T2" s="5" t="inlineStr">
        <is>
          <t>227</t>
        </is>
      </c>
      <c r="U2" s="5" t="inlineStr">
        <is>
          <t>239</t>
        </is>
      </c>
      <c r="V2" s="5" t="inlineStr">
        <is>
          <t>251</t>
        </is>
      </c>
      <c r="W2" s="5" t="inlineStr">
        <is>
          <t>263</t>
        </is>
      </c>
      <c r="X2" s="5" t="inlineStr">
        <is>
          <t>275</t>
        </is>
      </c>
      <c r="Y2" s="5" t="inlineStr">
        <is>
          <t>287</t>
        </is>
      </c>
    </row>
    <row r="3">
      <c r="A3" s="6" t="inlineStr">
        <is>
          <t>2001</t>
        </is>
      </c>
      <c r="B3" s="7" t="n">
        <v>511.5487</v>
      </c>
      <c r="C3" s="7" t="n">
        <v>16077.2353</v>
      </c>
      <c r="D3" s="7" t="n">
        <v>377656</v>
      </c>
      <c r="E3" s="7" t="n">
        <v/>
      </c>
      <c r="F3" s="7" t="n">
        <v/>
      </c>
      <c r="G3" s="7" t="n">
        <v/>
      </c>
      <c r="H3" s="7" t="n">
        <v>-1282.6146</v>
      </c>
      <c r="I3" s="7" t="n">
        <v/>
      </c>
      <c r="J3" s="7" t="n">
        <v/>
      </c>
      <c r="K3" s="7" t="n">
        <v/>
      </c>
      <c r="L3" s="7" t="n">
        <v/>
      </c>
      <c r="M3" s="7" t="n">
        <v/>
      </c>
      <c r="N3" s="7" t="n">
        <v/>
      </c>
      <c r="O3" s="7" t="n">
        <v/>
      </c>
      <c r="P3" s="7" t="n">
        <v/>
      </c>
      <c r="Q3" s="7" t="n">
        <v/>
      </c>
      <c r="R3" s="7" t="n">
        <v/>
      </c>
      <c r="S3" s="7" t="n">
        <v/>
      </c>
      <c r="T3" s="7" t="n">
        <v/>
      </c>
      <c r="U3" s="7" t="n">
        <v>0</v>
      </c>
      <c r="V3" s="7" t="n">
        <v/>
      </c>
      <c r="W3" s="7" t="n">
        <v/>
      </c>
      <c r="X3" s="7" t="n">
        <v/>
      </c>
      <c r="Y3" s="7" t="n">
        <v/>
      </c>
    </row>
    <row r="4">
      <c r="A4" s="6" t="inlineStr">
        <is>
          <t>2002</t>
        </is>
      </c>
      <c r="B4" s="7" t="n">
        <v>582.3871</v>
      </c>
      <c r="C4" s="7" t="n">
        <v>26225.375</v>
      </c>
      <c r="D4" s="7" t="n">
        <v/>
      </c>
      <c r="E4" s="7" t="n">
        <v/>
      </c>
      <c r="F4" s="7" t="n">
        <v/>
      </c>
      <c r="G4" s="7" t="n">
        <v>8061.4769</v>
      </c>
      <c r="H4" s="7" t="n">
        <v/>
      </c>
      <c r="I4" s="7" t="n">
        <v/>
      </c>
      <c r="J4" s="7" t="n">
        <v/>
      </c>
      <c r="K4" s="7" t="n">
        <v/>
      </c>
      <c r="L4" s="7" t="n">
        <v/>
      </c>
      <c r="M4" s="7" t="n">
        <v/>
      </c>
      <c r="N4" s="7" t="n">
        <v/>
      </c>
      <c r="O4" s="7" t="n">
        <v/>
      </c>
      <c r="P4" s="7" t="n">
        <v/>
      </c>
      <c r="Q4" s="7" t="n">
        <v/>
      </c>
      <c r="R4" s="7" t="n">
        <v/>
      </c>
      <c r="S4" s="7" t="n">
        <v/>
      </c>
      <c r="T4" s="7" t="n">
        <v/>
      </c>
      <c r="U4" s="7" t="n">
        <v/>
      </c>
      <c r="V4" s="7" t="n">
        <v/>
      </c>
      <c r="W4" s="7" t="n">
        <v/>
      </c>
      <c r="X4" s="7" t="n">
        <v/>
      </c>
    </row>
    <row r="5">
      <c r="A5" s="6" t="inlineStr">
        <is>
          <t>2003</t>
        </is>
      </c>
      <c r="B5" s="7" t="n">
        <v>867.7062</v>
      </c>
      <c r="C5" s="7" t="n">
        <v>37243.2143</v>
      </c>
      <c r="D5" s="7" t="n">
        <v/>
      </c>
      <c r="E5" s="7" t="n">
        <v/>
      </c>
      <c r="F5" s="7" t="n">
        <v>-86224.64</v>
      </c>
      <c r="G5" s="7" t="n">
        <v/>
      </c>
      <c r="H5" s="7" t="n">
        <v>2010.53</v>
      </c>
      <c r="I5" s="7" t="n">
        <v/>
      </c>
      <c r="J5" s="7" t="n">
        <v/>
      </c>
      <c r="K5" s="7" t="n">
        <v/>
      </c>
      <c r="L5" s="7" t="n">
        <v/>
      </c>
      <c r="M5" s="7" t="n">
        <v/>
      </c>
      <c r="N5" s="7" t="n">
        <v/>
      </c>
      <c r="O5" s="7" t="n">
        <v/>
      </c>
      <c r="P5" s="7" t="n">
        <v>0</v>
      </c>
      <c r="Q5" s="7" t="n">
        <v/>
      </c>
      <c r="R5" s="7" t="n">
        <v/>
      </c>
      <c r="S5" s="7" t="n">
        <v>0</v>
      </c>
      <c r="T5" s="7" t="n">
        <v>0</v>
      </c>
      <c r="U5" s="7" t="n">
        <v>0</v>
      </c>
      <c r="V5" s="7" t="n">
        <v>0</v>
      </c>
      <c r="W5" s="7" t="n">
        <v>0</v>
      </c>
    </row>
    <row r="6">
      <c r="A6" s="6" t="inlineStr">
        <is>
          <t>2004</t>
        </is>
      </c>
      <c r="B6" s="7" t="n">
        <v>425.9759</v>
      </c>
      <c r="C6" s="7" t="n">
        <v>10359.3333</v>
      </c>
      <c r="D6" s="7" t="n">
        <v/>
      </c>
      <c r="E6" s="7" t="n">
        <v>36625.97</v>
      </c>
      <c r="F6" s="7" t="n">
        <v>114820.39</v>
      </c>
      <c r="G6" s="7" t="n">
        <v/>
      </c>
      <c r="H6" s="7" t="n">
        <v/>
      </c>
      <c r="I6" s="7" t="n">
        <v/>
      </c>
      <c r="J6" s="7" t="n">
        <v/>
      </c>
      <c r="K6" s="7" t="n">
        <v/>
      </c>
      <c r="L6" s="7" t="n">
        <v/>
      </c>
      <c r="M6" s="7" t="n">
        <v/>
      </c>
      <c r="N6" s="7" t="n">
        <v/>
      </c>
      <c r="O6" s="7" t="n">
        <v/>
      </c>
      <c r="P6" s="7" t="n">
        <v/>
      </c>
      <c r="Q6" s="7" t="n">
        <v/>
      </c>
      <c r="R6" s="7" t="n">
        <v>0</v>
      </c>
      <c r="S6" s="7" t="n">
        <v>0</v>
      </c>
      <c r="T6" s="7" t="n">
        <v>0</v>
      </c>
      <c r="U6" s="7" t="n">
        <v/>
      </c>
      <c r="V6" s="7" t="n">
        <v>0</v>
      </c>
    </row>
    <row r="7">
      <c r="A7" s="6" t="inlineStr">
        <is>
          <t>2005</t>
        </is>
      </c>
      <c r="B7" s="7" t="n">
        <v>971.5747</v>
      </c>
      <c r="C7" s="7" t="n">
        <v>43257.0982</v>
      </c>
      <c r="D7" s="7" t="n">
        <v>250633.47</v>
      </c>
      <c r="E7" s="7" t="n">
        <v>-52132.46</v>
      </c>
      <c r="F7" s="7" t="n">
        <v/>
      </c>
      <c r="G7" s="7" t="n">
        <v/>
      </c>
      <c r="H7" s="7" t="n">
        <v/>
      </c>
      <c r="I7" s="7" t="n">
        <v/>
      </c>
      <c r="J7" s="7" t="n">
        <v/>
      </c>
      <c r="K7" s="7" t="n">
        <v/>
      </c>
      <c r="L7" s="7" t="n">
        <v/>
      </c>
      <c r="M7" s="7" t="n">
        <v/>
      </c>
      <c r="N7" s="7" t="n">
        <v/>
      </c>
      <c r="O7" s="7" t="n">
        <v/>
      </c>
      <c r="P7" s="7" t="n">
        <v/>
      </c>
      <c r="Q7" s="7" t="n">
        <v/>
      </c>
      <c r="R7" s="7" t="n">
        <v/>
      </c>
      <c r="S7" s="7" t="n">
        <v/>
      </c>
      <c r="T7" s="7" t="n">
        <v>0</v>
      </c>
      <c r="U7" s="7" t="n">
        <v>0</v>
      </c>
    </row>
    <row r="8">
      <c r="A8" s="6" t="inlineStr">
        <is>
          <t>2006</t>
        </is>
      </c>
      <c r="B8" s="7" t="n">
        <v>594.5253</v>
      </c>
      <c r="C8" s="7" t="n">
        <v>22452.4629</v>
      </c>
      <c r="D8" s="7" t="n">
        <v/>
      </c>
      <c r="E8" s="7" t="n">
        <v/>
      </c>
      <c r="F8" s="7" t="n">
        <v/>
      </c>
      <c r="G8" s="7" t="n">
        <v/>
      </c>
      <c r="H8" s="7" t="n">
        <v/>
      </c>
      <c r="I8" s="7" t="n">
        <v/>
      </c>
      <c r="J8" s="7" t="n">
        <v/>
      </c>
      <c r="K8" s="7" t="n">
        <v/>
      </c>
      <c r="L8" s="7" t="n">
        <v/>
      </c>
      <c r="M8" s="7" t="n">
        <v/>
      </c>
      <c r="N8" s="7" t="n">
        <v/>
      </c>
      <c r="O8" s="7" t="n">
        <v/>
      </c>
      <c r="P8" s="7" t="n">
        <v/>
      </c>
      <c r="Q8" s="7" t="n">
        <v/>
      </c>
      <c r="R8" s="7" t="n">
        <v/>
      </c>
      <c r="S8" s="7" t="n">
        <v/>
      </c>
      <c r="T8" s="7" t="n">
        <v/>
      </c>
    </row>
    <row r="9">
      <c r="A9" s="6" t="inlineStr">
        <is>
          <t>2007</t>
        </is>
      </c>
      <c r="B9" s="7" t="n">
        <v>1102.9307</v>
      </c>
      <c r="C9" s="7" t="n">
        <v>30295.0327</v>
      </c>
      <c r="D9" s="7" t="n">
        <v/>
      </c>
      <c r="E9" s="7" t="n">
        <v/>
      </c>
      <c r="F9" s="7" t="n">
        <v/>
      </c>
      <c r="G9" s="7" t="n">
        <v/>
      </c>
      <c r="H9" s="7" t="n">
        <v/>
      </c>
      <c r="I9" s="7" t="n">
        <v/>
      </c>
      <c r="J9" s="7" t="n">
        <v/>
      </c>
      <c r="K9" s="7" t="n">
        <v/>
      </c>
      <c r="L9" s="7" t="n">
        <v/>
      </c>
      <c r="M9" s="7" t="n">
        <v/>
      </c>
      <c r="N9" s="7" t="n">
        <v/>
      </c>
      <c r="O9" s="7" t="n">
        <v/>
      </c>
      <c r="P9" s="7" t="n">
        <v/>
      </c>
      <c r="Q9" s="7" t="n">
        <v/>
      </c>
      <c r="R9" s="7" t="n">
        <v/>
      </c>
      <c r="S9" s="7" t="n">
        <v/>
      </c>
    </row>
    <row r="10">
      <c r="A10" s="6" t="inlineStr">
        <is>
          <t>2008</t>
        </is>
      </c>
      <c r="B10" s="7" t="n">
        <v>1149.7721</v>
      </c>
      <c r="C10" s="7" t="n">
        <v>14805.41</v>
      </c>
      <c r="D10" s="7" t="n">
        <v>169037.88</v>
      </c>
      <c r="E10" s="7" t="n">
        <v/>
      </c>
      <c r="F10" s="7" t="n">
        <v/>
      </c>
      <c r="G10" s="7" t="n">
        <v/>
      </c>
      <c r="H10" s="7" t="n">
        <v/>
      </c>
      <c r="I10" s="7" t="n">
        <v/>
      </c>
      <c r="J10" s="7" t="n">
        <v/>
      </c>
      <c r="K10" s="7" t="n">
        <v/>
      </c>
      <c r="L10" s="7" t="n">
        <v/>
      </c>
      <c r="M10" s="7" t="n">
        <v/>
      </c>
      <c r="N10" s="7" t="n">
        <v/>
      </c>
      <c r="O10" s="7" t="n">
        <v/>
      </c>
      <c r="P10" s="7" t="n">
        <v/>
      </c>
      <c r="Q10" s="7" t="n">
        <v/>
      </c>
      <c r="R10" s="7" t="n">
        <v/>
      </c>
    </row>
    <row r="11">
      <c r="A11" s="6" t="inlineStr">
        <is>
          <t>2009</t>
        </is>
      </c>
      <c r="B11" s="7" t="n">
        <v>746.9206</v>
      </c>
      <c r="C11" s="7" t="n">
        <v>35381.2218</v>
      </c>
      <c r="D11" s="7" t="n">
        <v>52821.7</v>
      </c>
      <c r="E11" s="7" t="n">
        <v/>
      </c>
      <c r="F11" s="7" t="n">
        <v/>
      </c>
      <c r="G11" s="7" t="n">
        <v/>
      </c>
      <c r="H11" s="7" t="n">
        <v/>
      </c>
      <c r="I11" s="7" t="n">
        <v/>
      </c>
      <c r="J11" s="7" t="n">
        <v/>
      </c>
      <c r="K11" s="7" t="n">
        <v/>
      </c>
      <c r="L11" s="7" t="n">
        <v/>
      </c>
      <c r="M11" s="7" t="n">
        <v/>
      </c>
      <c r="N11" s="7" t="n">
        <v/>
      </c>
      <c r="O11" s="7" t="n">
        <v>0</v>
      </c>
      <c r="P11" s="7" t="n">
        <v>0</v>
      </c>
      <c r="Q11" s="7" t="n">
        <v>0</v>
      </c>
    </row>
    <row r="12">
      <c r="A12" s="6" t="inlineStr">
        <is>
          <t>2010</t>
        </is>
      </c>
      <c r="B12" s="7" t="n">
        <v>937.152</v>
      </c>
      <c r="C12" s="7" t="n">
        <v>36166.4656</v>
      </c>
      <c r="D12" s="7" t="n">
        <v/>
      </c>
      <c r="E12" s="7" t="n">
        <v/>
      </c>
      <c r="F12" s="7" t="n">
        <v/>
      </c>
      <c r="G12" s="7" t="n">
        <v/>
      </c>
      <c r="H12" s="7" t="n">
        <v/>
      </c>
      <c r="I12" s="7" t="n">
        <v/>
      </c>
      <c r="J12" s="7" t="n">
        <v/>
      </c>
      <c r="K12" s="7" t="n">
        <v/>
      </c>
      <c r="L12" s="7" t="n">
        <v/>
      </c>
      <c r="M12" s="7" t="n">
        <v/>
      </c>
      <c r="N12" s="7" t="n">
        <v/>
      </c>
      <c r="O12" s="7" t="n">
        <v/>
      </c>
      <c r="P12" s="7" t="n">
        <v/>
      </c>
    </row>
    <row r="13">
      <c r="A13" s="6" t="inlineStr">
        <is>
          <t>2011</t>
        </is>
      </c>
      <c r="B13" s="7" t="n">
        <v>1053.0546</v>
      </c>
      <c r="C13" s="7" t="n">
        <v/>
      </c>
      <c r="D13" s="7" t="n">
        <v/>
      </c>
      <c r="E13" s="7" t="n">
        <v/>
      </c>
      <c r="F13" s="7" t="n">
        <v/>
      </c>
      <c r="G13" s="7" t="n">
        <v/>
      </c>
      <c r="H13" s="7" t="n">
        <v/>
      </c>
      <c r="I13" s="7" t="n">
        <v/>
      </c>
      <c r="J13" s="7" t="n">
        <v/>
      </c>
      <c r="K13" s="7" t="n">
        <v/>
      </c>
      <c r="L13" s="7" t="n">
        <v/>
      </c>
      <c r="M13" s="7" t="n">
        <v/>
      </c>
      <c r="N13" s="7" t="n">
        <v/>
      </c>
      <c r="O13" s="7" t="n">
        <v/>
      </c>
    </row>
    <row r="14">
      <c r="A14" s="6" t="inlineStr">
        <is>
          <t>2012</t>
        </is>
      </c>
      <c r="B14" s="7" t="n">
        <v>928.1486</v>
      </c>
      <c r="C14" s="7" t="n">
        <v>25687.53</v>
      </c>
      <c r="D14" s="7" t="n">
        <v/>
      </c>
      <c r="E14" s="7" t="n">
        <v/>
      </c>
      <c r="F14" s="7" t="n">
        <v/>
      </c>
      <c r="G14" s="7" t="n">
        <v/>
      </c>
      <c r="H14" s="7" t="n">
        <v/>
      </c>
      <c r="I14" s="7" t="n">
        <v/>
      </c>
      <c r="J14" s="7" t="n">
        <v/>
      </c>
      <c r="K14" s="7" t="n">
        <v/>
      </c>
      <c r="L14" s="7" t="n">
        <v/>
      </c>
      <c r="M14" s="7" t="n">
        <v/>
      </c>
      <c r="N14" s="7" t="n">
        <v/>
      </c>
    </row>
    <row r="15">
      <c r="A15" s="6" t="inlineStr">
        <is>
          <t>2013</t>
        </is>
      </c>
      <c r="B15" s="7" t="n">
        <v>717.2897</v>
      </c>
      <c r="C15" s="7" t="n">
        <v>33286.8117</v>
      </c>
      <c r="D15" s="7" t="n">
        <v/>
      </c>
      <c r="E15" s="7" t="n">
        <v>40055</v>
      </c>
      <c r="F15" s="7" t="n">
        <v/>
      </c>
      <c r="G15" s="7" t="n">
        <v/>
      </c>
      <c r="H15" s="7" t="n">
        <v/>
      </c>
      <c r="I15" s="7" t="n">
        <v>0</v>
      </c>
      <c r="J15" s="7" t="n">
        <v/>
      </c>
      <c r="K15" s="7" t="n">
        <v>0</v>
      </c>
      <c r="L15" s="7" t="n">
        <v/>
      </c>
      <c r="M15" s="7" t="n">
        <v>0</v>
      </c>
    </row>
    <row r="16">
      <c r="A16" s="6" t="inlineStr">
        <is>
          <t>2014</t>
        </is>
      </c>
      <c r="B16" s="7" t="n">
        <v>948.342</v>
      </c>
      <c r="C16" s="7" t="n">
        <v>16495.6993</v>
      </c>
      <c r="D16" s="7" t="n">
        <v>142529</v>
      </c>
      <c r="E16" s="7" t="n">
        <v/>
      </c>
      <c r="F16" s="7" t="n">
        <v/>
      </c>
      <c r="G16" s="7" t="n">
        <v/>
      </c>
      <c r="H16" s="7" t="n">
        <v/>
      </c>
      <c r="I16" s="7" t="n">
        <v/>
      </c>
      <c r="J16" s="7" t="n">
        <v/>
      </c>
      <c r="K16" s="7" t="n">
        <v/>
      </c>
      <c r="L16" s="7" t="n">
        <v/>
      </c>
    </row>
    <row r="17">
      <c r="A17" s="6" t="inlineStr">
        <is>
          <t>2015</t>
        </is>
      </c>
      <c r="B17" s="7" t="n">
        <v>1181.5082</v>
      </c>
      <c r="C17" s="7" t="n">
        <v>43978.375</v>
      </c>
      <c r="D17" s="7" t="n">
        <v>109019.25</v>
      </c>
      <c r="E17" s="7" t="n">
        <v/>
      </c>
      <c r="F17" s="7" t="n">
        <v/>
      </c>
      <c r="G17" s="7" t="n">
        <v/>
      </c>
      <c r="H17" s="7" t="n">
        <v/>
      </c>
      <c r="I17" s="7" t="n">
        <v/>
      </c>
      <c r="J17" s="7" t="n">
        <v/>
      </c>
      <c r="K17" s="7" t="n">
        <v>-102934.7233</v>
      </c>
    </row>
    <row r="18">
      <c r="A18" s="6" t="inlineStr">
        <is>
          <t>2016</t>
        </is>
      </c>
      <c r="B18" s="7" t="n">
        <v>982.3206</v>
      </c>
      <c r="C18" s="7" t="n">
        <v>28373.6667</v>
      </c>
      <c r="D18" s="7" t="n">
        <v>27140.5446</v>
      </c>
      <c r="E18" s="7" t="n">
        <v/>
      </c>
      <c r="F18" s="7" t="n">
        <v/>
      </c>
      <c r="G18" s="7" t="n">
        <v/>
      </c>
      <c r="H18" s="7" t="n">
        <v/>
      </c>
      <c r="I18" s="7" t="n">
        <v/>
      </c>
      <c r="J18" s="7" t="n">
        <v/>
      </c>
    </row>
    <row r="19">
      <c r="A19" s="6" t="inlineStr">
        <is>
          <t>2017</t>
        </is>
      </c>
      <c r="B19" s="7" t="n">
        <v>1220.6555</v>
      </c>
      <c r="C19" s="7" t="n">
        <v>7232.3169</v>
      </c>
      <c r="D19" s="7" t="n">
        <v>34356.51</v>
      </c>
      <c r="E19" s="7" t="n">
        <v>60957.9</v>
      </c>
      <c r="F19" s="7" t="n">
        <v>-47066.07</v>
      </c>
      <c r="G19" s="7" t="n">
        <v/>
      </c>
      <c r="H19" s="7" t="n">
        <v/>
      </c>
      <c r="I19" s="7" t="n">
        <v>-76329.23</v>
      </c>
    </row>
    <row r="20">
      <c r="A20" s="6" t="inlineStr">
        <is>
          <t>2018</t>
        </is>
      </c>
      <c r="B20" s="7" t="n">
        <v>1195.2535</v>
      </c>
      <c r="C20" s="7" t="n">
        <v>18178.9359</v>
      </c>
      <c r="D20" s="7" t="n">
        <v/>
      </c>
      <c r="E20" s="7" t="n">
        <v/>
      </c>
      <c r="F20" s="7" t="n">
        <v>88134.21000000001</v>
      </c>
      <c r="G20" s="7" t="n">
        <v/>
      </c>
      <c r="H20" s="7" t="n">
        <v/>
      </c>
    </row>
    <row r="21">
      <c r="A21" s="6" t="inlineStr">
        <is>
          <t>2019</t>
        </is>
      </c>
      <c r="B21" s="7" t="n">
        <v>921.0834</v>
      </c>
      <c r="C21" s="7" t="n">
        <v>10796.2285</v>
      </c>
      <c r="D21" s="7" t="n">
        <v/>
      </c>
      <c r="E21" s="7" t="n">
        <v/>
      </c>
      <c r="F21" s="7" t="n">
        <v/>
      </c>
      <c r="G21" s="7" t="n">
        <v>-321574.23</v>
      </c>
    </row>
    <row r="22">
      <c r="A22" s="6" t="inlineStr">
        <is>
          <t>2020</t>
        </is>
      </c>
      <c r="B22" s="7" t="n">
        <v>817.6181</v>
      </c>
      <c r="C22" s="7" t="n">
        <v>21037.2381</v>
      </c>
      <c r="D22" s="7" t="n">
        <v/>
      </c>
      <c r="E22" s="7" t="n">
        <v/>
      </c>
      <c r="F22" s="7" t="n">
        <v/>
      </c>
    </row>
    <row r="23">
      <c r="A23" s="6" t="inlineStr">
        <is>
          <t>2021</t>
        </is>
      </c>
      <c r="B23" s="7" t="n">
        <v>947.1256</v>
      </c>
      <c r="C23" s="7" t="n">
        <v>6678.46</v>
      </c>
      <c r="D23" s="7" t="n">
        <v/>
      </c>
      <c r="E23" s="7" t="n">
        <v/>
      </c>
    </row>
    <row r="24">
      <c r="A24" s="6" t="inlineStr">
        <is>
          <t>2022</t>
        </is>
      </c>
      <c r="B24" s="7" t="n">
        <v>1176.2858</v>
      </c>
      <c r="C24" s="7" t="n">
        <v>11889.525</v>
      </c>
      <c r="D24" s="7" t="n">
        <v/>
      </c>
    </row>
    <row r="25">
      <c r="A25" s="6" t="inlineStr">
        <is>
          <t>2023</t>
        </is>
      </c>
      <c r="B25" s="7" t="n">
        <v>1344.527</v>
      </c>
      <c r="C25" s="7" t="n">
        <v>26269.7925</v>
      </c>
    </row>
    <row r="26">
      <c r="A26" s="6" t="inlineStr">
        <is>
          <t>2024</t>
        </is>
      </c>
      <c r="B26" s="7" t="n">
        <v>1387.6736</v>
      </c>
    </row>
  </sheetData>
  <mergeCells count="1">
    <mergeCell ref="A1:Y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Closed Count - CV &amp; Slopes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3" t="n"/>
    </row>
    <row r="2">
      <c r="A2" s="9" t="inlineStr">
        <is>
          <t>Metric</t>
        </is>
      </c>
      <c r="B2" s="5" t="inlineStr">
        <is>
          <t>11-23</t>
        </is>
      </c>
      <c r="C2" s="5" t="inlineStr">
        <is>
          <t>23-35</t>
        </is>
      </c>
      <c r="D2" s="5" t="inlineStr">
        <is>
          <t>35-47</t>
        </is>
      </c>
      <c r="E2" s="5" t="inlineStr">
        <is>
          <t>47-59</t>
        </is>
      </c>
      <c r="F2" s="5" t="inlineStr">
        <is>
          <t>59-71</t>
        </is>
      </c>
      <c r="G2" s="5" t="inlineStr">
        <is>
          <t>71-83</t>
        </is>
      </c>
      <c r="H2" s="5" t="inlineStr">
        <is>
          <t>83-95</t>
        </is>
      </c>
      <c r="I2" s="5" t="inlineStr">
        <is>
          <t>95-107</t>
        </is>
      </c>
      <c r="J2" s="5" t="inlineStr">
        <is>
          <t>107-119</t>
        </is>
      </c>
      <c r="K2" s="5" t="inlineStr">
        <is>
          <t>119-131</t>
        </is>
      </c>
      <c r="L2" s="5" t="inlineStr">
        <is>
          <t>131-143</t>
        </is>
      </c>
      <c r="M2" s="5" t="inlineStr">
        <is>
          <t>143-155</t>
        </is>
      </c>
      <c r="N2" s="5" t="inlineStr">
        <is>
          <t>155-167</t>
        </is>
      </c>
      <c r="O2" s="5" t="inlineStr">
        <is>
          <t>167-179</t>
        </is>
      </c>
      <c r="P2" s="5" t="inlineStr">
        <is>
          <t>179-191</t>
        </is>
      </c>
      <c r="Q2" s="5" t="inlineStr">
        <is>
          <t>191-203</t>
        </is>
      </c>
      <c r="R2" s="5" t="inlineStr">
        <is>
          <t>203-215</t>
        </is>
      </c>
      <c r="S2" s="5" t="inlineStr">
        <is>
          <t>215-227</t>
        </is>
      </c>
      <c r="T2" s="5" t="inlineStr">
        <is>
          <t>227-239</t>
        </is>
      </c>
      <c r="U2" s="5" t="inlineStr">
        <is>
          <t>239-251</t>
        </is>
      </c>
      <c r="V2" s="5" t="inlineStr">
        <is>
          <t>251-263</t>
        </is>
      </c>
      <c r="W2" s="5" t="inlineStr">
        <is>
          <t>263-275</t>
        </is>
      </c>
      <c r="X2" s="5" t="inlineStr">
        <is>
          <t>275-287</t>
        </is>
      </c>
      <c r="Y2" s="5" t="inlineStr">
        <is>
          <t>Tail</t>
        </is>
      </c>
    </row>
    <row r="3">
      <c r="A3" s="10" t="inlineStr">
        <is>
          <t>cv_3yr</t>
        </is>
      </c>
      <c r="B3" s="8" t="n">
        <v>0.013</v>
      </c>
      <c r="C3" s="8" t="n">
        <v>0</v>
      </c>
      <c r="D3" s="8" t="n">
        <v>0</v>
      </c>
      <c r="E3" s="8" t="n">
        <v>0.0024</v>
      </c>
      <c r="F3" s="8" t="n">
        <v>0.0021</v>
      </c>
      <c r="G3" s="8" t="n">
        <v>0</v>
      </c>
      <c r="H3" s="8" t="n">
        <v>0.0024</v>
      </c>
      <c r="I3" s="8" t="n">
        <v>0</v>
      </c>
      <c r="J3" s="8" t="n">
        <v>0.0068</v>
      </c>
      <c r="K3" s="8" t="n">
        <v>0</v>
      </c>
      <c r="L3" s="8" t="n">
        <v>0</v>
      </c>
      <c r="M3" s="8" t="n">
        <v>0</v>
      </c>
      <c r="N3" s="8" t="n">
        <v>0</v>
      </c>
      <c r="O3" s="8" t="n">
        <v>0</v>
      </c>
      <c r="P3" s="8" t="n">
        <v>0</v>
      </c>
      <c r="Q3" s="8" t="n">
        <v>0</v>
      </c>
      <c r="R3" s="8" t="n">
        <v>0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/>
      </c>
    </row>
    <row r="4">
      <c r="A4" s="10" t="inlineStr">
        <is>
          <t>cv_5yr</t>
        </is>
      </c>
      <c r="B4" s="8" t="n">
        <v>0.0316</v>
      </c>
      <c r="C4" s="8" t="n">
        <v>0</v>
      </c>
      <c r="D4" s="8" t="n">
        <v>0.0019</v>
      </c>
      <c r="E4" s="8" t="n">
        <v>0.0029</v>
      </c>
      <c r="F4" s="8" t="n">
        <v>0.0017</v>
      </c>
      <c r="G4" s="8" t="n">
        <v>0</v>
      </c>
      <c r="H4" s="8" t="n">
        <v>0.0019</v>
      </c>
      <c r="I4" s="8" t="n">
        <v>0</v>
      </c>
      <c r="J4" s="8" t="n">
        <v>0.0052</v>
      </c>
      <c r="K4" s="8" t="n">
        <v>0</v>
      </c>
      <c r="L4" s="8" t="n">
        <v>0</v>
      </c>
      <c r="M4" s="8" t="n">
        <v>0</v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/>
      </c>
    </row>
    <row r="5">
      <c r="A5" s="10" t="inlineStr">
        <is>
          <t>cv_10yr</t>
        </is>
      </c>
      <c r="B5" s="8" t="n">
        <v>0.0384</v>
      </c>
      <c r="C5" s="8" t="n">
        <v>0.0145</v>
      </c>
      <c r="D5" s="8" t="n">
        <v>0.0018</v>
      </c>
      <c r="E5" s="8" t="n">
        <v>0.002</v>
      </c>
      <c r="F5" s="8" t="n">
        <v>0.0012</v>
      </c>
      <c r="G5" s="8" t="n">
        <v>0</v>
      </c>
      <c r="H5" s="8" t="n">
        <v>0.0013</v>
      </c>
      <c r="I5" s="8" t="n">
        <v>0</v>
      </c>
      <c r="J5" s="8" t="n">
        <v>0.0037</v>
      </c>
      <c r="K5" s="8" t="n">
        <v>0</v>
      </c>
      <c r="L5" s="8" t="n">
        <v>0</v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/>
      </c>
    </row>
    <row r="6">
      <c r="A6" s="10" t="inlineStr">
        <is>
          <t>slope_3yr</t>
        </is>
      </c>
      <c r="B6" s="8" t="n">
        <v>-0.0128</v>
      </c>
      <c r="C6" s="8" t="n">
        <v>0</v>
      </c>
      <c r="D6" s="8" t="n">
        <v>0</v>
      </c>
      <c r="E6" s="8" t="n">
        <v>-0.002</v>
      </c>
      <c r="F6" s="8" t="n">
        <v>-0.0018</v>
      </c>
      <c r="G6" s="8" t="n">
        <v>0</v>
      </c>
      <c r="H6" s="8" t="n">
        <v>-0.0021</v>
      </c>
      <c r="I6" s="8" t="n">
        <v>0</v>
      </c>
      <c r="J6" s="8" t="n">
        <v>-0.0058</v>
      </c>
      <c r="K6" s="8" t="n">
        <v>0</v>
      </c>
      <c r="L6" s="8" t="n">
        <v>0</v>
      </c>
      <c r="M6" s="8" t="n">
        <v>0</v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-0</v>
      </c>
      <c r="X6" s="8" t="n">
        <v/>
      </c>
    </row>
    <row r="7">
      <c r="A7" s="10" t="inlineStr">
        <is>
          <t>slope_5yr</t>
        </is>
      </c>
      <c r="B7" s="8" t="n">
        <v>0.0027</v>
      </c>
      <c r="C7" s="8" t="n">
        <v>-0</v>
      </c>
      <c r="D7" s="8" t="n">
        <v>-0.0008</v>
      </c>
      <c r="E7" s="8" t="n">
        <v>0.0004</v>
      </c>
      <c r="F7" s="8" t="n">
        <v>-0.0007</v>
      </c>
      <c r="G7" s="8" t="n">
        <v>-0</v>
      </c>
      <c r="H7" s="8" t="n">
        <v>-0.0008</v>
      </c>
      <c r="I7" s="8" t="n">
        <v>-0</v>
      </c>
      <c r="J7" s="8" t="n">
        <v>-0.0023</v>
      </c>
      <c r="K7" s="8" t="n">
        <v>-0</v>
      </c>
      <c r="L7" s="8" t="n">
        <v>-0</v>
      </c>
      <c r="M7" s="8" t="n">
        <v>-0</v>
      </c>
      <c r="N7" s="8" t="n">
        <v>-0</v>
      </c>
      <c r="O7" s="8" t="n">
        <v>-0</v>
      </c>
      <c r="P7" s="8" t="n">
        <v>-0</v>
      </c>
      <c r="Q7" s="8" t="n">
        <v>-0</v>
      </c>
      <c r="R7" s="8" t="n">
        <v>-0</v>
      </c>
      <c r="S7" s="8" t="n">
        <v>-0</v>
      </c>
      <c r="T7" s="8" t="n">
        <v>-0</v>
      </c>
      <c r="U7" s="8" t="n">
        <v>-0</v>
      </c>
      <c r="V7" s="8" t="n">
        <v>0</v>
      </c>
      <c r="W7" s="8" t="n">
        <v>-0</v>
      </c>
      <c r="X7" s="8" t="n">
        <v/>
      </c>
    </row>
    <row r="8">
      <c r="A8" s="10" t="inlineStr">
        <is>
          <t>slope_10yr</t>
        </is>
      </c>
      <c r="B8" s="8" t="n">
        <v>0.009299999999999999</v>
      </c>
      <c r="C8" s="8" t="n">
        <v>-0.0015</v>
      </c>
      <c r="D8" s="8" t="n">
        <v>-0.0002</v>
      </c>
      <c r="E8" s="8" t="n">
        <v>0</v>
      </c>
      <c r="F8" s="8" t="n">
        <v>-0.0002</v>
      </c>
      <c r="G8" s="8" t="n">
        <v>0</v>
      </c>
      <c r="H8" s="8" t="n">
        <v>-0.0002</v>
      </c>
      <c r="I8" s="8" t="n">
        <v>0</v>
      </c>
      <c r="J8" s="8" t="n">
        <v>-0.0005999999999999999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-0</v>
      </c>
      <c r="S8" s="8" t="n">
        <v>0</v>
      </c>
      <c r="T8" s="8" t="n">
        <v>-0</v>
      </c>
      <c r="U8" s="8" t="n">
        <v>-0</v>
      </c>
      <c r="V8" s="8" t="n">
        <v>0</v>
      </c>
      <c r="W8" s="8" t="n">
        <v>-0</v>
      </c>
      <c r="X8" s="8" t="n">
        <v/>
      </c>
    </row>
  </sheetData>
  <mergeCells count="1">
    <mergeCell ref="A1:Y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Incurred Loss - CV &amp; Slopes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3" t="n"/>
    </row>
    <row r="2">
      <c r="A2" s="9" t="inlineStr">
        <is>
          <t>Metric</t>
        </is>
      </c>
      <c r="B2" s="5" t="inlineStr">
        <is>
          <t>11-23</t>
        </is>
      </c>
      <c r="C2" s="5" t="inlineStr">
        <is>
          <t>23-35</t>
        </is>
      </c>
      <c r="D2" s="5" t="inlineStr">
        <is>
          <t>35-47</t>
        </is>
      </c>
      <c r="E2" s="5" t="inlineStr">
        <is>
          <t>47-59</t>
        </is>
      </c>
      <c r="F2" s="5" t="inlineStr">
        <is>
          <t>59-71</t>
        </is>
      </c>
      <c r="G2" s="5" t="inlineStr">
        <is>
          <t>71-83</t>
        </is>
      </c>
      <c r="H2" s="5" t="inlineStr">
        <is>
          <t>83-95</t>
        </is>
      </c>
      <c r="I2" s="5" t="inlineStr">
        <is>
          <t>95-107</t>
        </is>
      </c>
      <c r="J2" s="5" t="inlineStr">
        <is>
          <t>107-119</t>
        </is>
      </c>
      <c r="K2" s="5" t="inlineStr">
        <is>
          <t>119-131</t>
        </is>
      </c>
      <c r="L2" s="5" t="inlineStr">
        <is>
          <t>131-143</t>
        </is>
      </c>
      <c r="M2" s="5" t="inlineStr">
        <is>
          <t>143-155</t>
        </is>
      </c>
      <c r="N2" s="5" t="inlineStr">
        <is>
          <t>155-167</t>
        </is>
      </c>
      <c r="O2" s="5" t="inlineStr">
        <is>
          <t>167-179</t>
        </is>
      </c>
      <c r="P2" s="5" t="inlineStr">
        <is>
          <t>179-191</t>
        </is>
      </c>
      <c r="Q2" s="5" t="inlineStr">
        <is>
          <t>191-203</t>
        </is>
      </c>
      <c r="R2" s="5" t="inlineStr">
        <is>
          <t>203-215</t>
        </is>
      </c>
      <c r="S2" s="5" t="inlineStr">
        <is>
          <t>215-227</t>
        </is>
      </c>
      <c r="T2" s="5" t="inlineStr">
        <is>
          <t>227-239</t>
        </is>
      </c>
      <c r="U2" s="5" t="inlineStr">
        <is>
          <t>239-251</t>
        </is>
      </c>
      <c r="V2" s="5" t="inlineStr">
        <is>
          <t>251-263</t>
        </is>
      </c>
      <c r="W2" s="5" t="inlineStr">
        <is>
          <t>263-275</t>
        </is>
      </c>
      <c r="X2" s="5" t="inlineStr">
        <is>
          <t>275-287</t>
        </is>
      </c>
      <c r="Y2" s="5" t="inlineStr">
        <is>
          <t>Tail</t>
        </is>
      </c>
    </row>
    <row r="3">
      <c r="A3" s="10" t="inlineStr">
        <is>
          <t>cv_3yr</t>
        </is>
      </c>
      <c r="B3" s="8" t="n">
        <v>0.1604</v>
      </c>
      <c r="C3" s="8" t="n">
        <v>0.1345</v>
      </c>
      <c r="D3" s="8" t="n">
        <v>0.0574</v>
      </c>
      <c r="E3" s="8" t="n">
        <v>0.0355</v>
      </c>
      <c r="F3" s="8" t="n">
        <v>0.0934</v>
      </c>
      <c r="G3" s="8" t="n">
        <v>0.0606</v>
      </c>
      <c r="H3" s="8" t="n">
        <v>0.0164</v>
      </c>
      <c r="I3" s="8" t="n">
        <v>0.0221</v>
      </c>
      <c r="J3" s="8" t="n">
        <v>0.0488</v>
      </c>
      <c r="K3" s="8" t="n">
        <v>0.0072</v>
      </c>
      <c r="L3" s="8" t="n">
        <v>0.0985</v>
      </c>
      <c r="M3" s="8" t="n">
        <v>0.0008</v>
      </c>
      <c r="N3" s="8" t="n">
        <v>0.0001</v>
      </c>
      <c r="O3" s="8" t="n">
        <v>0.0035</v>
      </c>
      <c r="P3" s="8" t="n">
        <v>0.0028</v>
      </c>
      <c r="Q3" s="8" t="n">
        <v>0.0101</v>
      </c>
      <c r="R3" s="8" t="n">
        <v>0.0037</v>
      </c>
      <c r="S3" s="8" t="n">
        <v>0</v>
      </c>
      <c r="T3" s="8" t="n">
        <v>0</v>
      </c>
      <c r="U3" s="8" t="n">
        <v>0.0036</v>
      </c>
      <c r="V3" s="8" t="n">
        <v>0.0178</v>
      </c>
      <c r="W3" s="8" t="n">
        <v>0</v>
      </c>
      <c r="X3" s="8" t="n">
        <v/>
      </c>
    </row>
    <row r="4">
      <c r="A4" s="10" t="inlineStr">
        <is>
          <t>cv_5yr</t>
        </is>
      </c>
      <c r="B4" s="8" t="n">
        <v>0.3284</v>
      </c>
      <c r="C4" s="8" t="n">
        <v>0.2103</v>
      </c>
      <c r="D4" s="8" t="n">
        <v>0.1316</v>
      </c>
      <c r="E4" s="8" t="n">
        <v>0.0556</v>
      </c>
      <c r="F4" s="8" t="n">
        <v>0.07729999999999999</v>
      </c>
      <c r="G4" s="8" t="n">
        <v>0.074</v>
      </c>
      <c r="H4" s="8" t="n">
        <v>0.0136</v>
      </c>
      <c r="I4" s="8" t="n">
        <v>0.0254</v>
      </c>
      <c r="J4" s="8" t="n">
        <v>0.0393</v>
      </c>
      <c r="K4" s="8" t="n">
        <v>0.0134</v>
      </c>
      <c r="L4" s="8" t="n">
        <v>0.0762</v>
      </c>
      <c r="M4" s="8" t="n">
        <v>0.0162</v>
      </c>
      <c r="N4" s="8" t="n">
        <v>0.0004</v>
      </c>
      <c r="O4" s="8" t="n">
        <v>0.0187</v>
      </c>
      <c r="P4" s="8" t="n">
        <v>0.0049</v>
      </c>
      <c r="Q4" s="8" t="n">
        <v>0.0089</v>
      </c>
      <c r="R4" s="8" t="n">
        <v>0.0032</v>
      </c>
      <c r="S4" s="8" t="n">
        <v>0</v>
      </c>
      <c r="T4" s="8" t="n">
        <v>0.0188</v>
      </c>
      <c r="U4" s="8" t="n">
        <v>0.013</v>
      </c>
      <c r="V4" s="8" t="n">
        <v>0.0178</v>
      </c>
      <c r="W4" s="8" t="n">
        <v>0</v>
      </c>
      <c r="X4" s="8" t="n">
        <v/>
      </c>
    </row>
    <row r="5">
      <c r="A5" s="10" t="inlineStr">
        <is>
          <t>cv_10yr</t>
        </is>
      </c>
      <c r="B5" s="8" t="n">
        <v>0.2694</v>
      </c>
      <c r="C5" s="8" t="n">
        <v>0.1768</v>
      </c>
      <c r="D5" s="8" t="n">
        <v>0.1051</v>
      </c>
      <c r="E5" s="8" t="n">
        <v>0.0465</v>
      </c>
      <c r="F5" s="8" t="n">
        <v>0.07190000000000001</v>
      </c>
      <c r="G5" s="8" t="n">
        <v>0.0599</v>
      </c>
      <c r="H5" s="8" t="n">
        <v>0.0442</v>
      </c>
      <c r="I5" s="8" t="n">
        <v>0.0266</v>
      </c>
      <c r="J5" s="8" t="n">
        <v>0.0374</v>
      </c>
      <c r="K5" s="8" t="n">
        <v>0.0262</v>
      </c>
      <c r="L5" s="8" t="n">
        <v>0.061</v>
      </c>
      <c r="M5" s="8" t="n">
        <v>0.0142</v>
      </c>
      <c r="N5" s="8" t="n">
        <v>0.0147</v>
      </c>
      <c r="O5" s="8" t="n">
        <v>0.0146</v>
      </c>
      <c r="P5" s="8" t="n">
        <v>0.0166</v>
      </c>
      <c r="Q5" s="8" t="n">
        <v>0.0175</v>
      </c>
      <c r="R5" s="8" t="n">
        <v>0.0112</v>
      </c>
      <c r="S5" s="8" t="n">
        <v>0.0073</v>
      </c>
      <c r="T5" s="8" t="n">
        <v>0.0188</v>
      </c>
      <c r="U5" s="8" t="n">
        <v>0.013</v>
      </c>
      <c r="V5" s="8" t="n">
        <v>0.0178</v>
      </c>
      <c r="W5" s="8" t="n">
        <v>0</v>
      </c>
      <c r="X5" s="8" t="n">
        <v/>
      </c>
    </row>
    <row r="6">
      <c r="A6" s="10" t="inlineStr">
        <is>
          <t>slope_3yr</t>
        </is>
      </c>
      <c r="B6" s="8" t="n">
        <v>0.1182</v>
      </c>
      <c r="C6" s="8" t="n">
        <v>-0.0058</v>
      </c>
      <c r="D6" s="8" t="n">
        <v>-0.059</v>
      </c>
      <c r="E6" s="8" t="n">
        <v>0.0077</v>
      </c>
      <c r="F6" s="8" t="n">
        <v>0.0447</v>
      </c>
      <c r="G6" s="8" t="n">
        <v>-0.0505</v>
      </c>
      <c r="H6" s="8" t="n">
        <v>0.0124</v>
      </c>
      <c r="I6" s="8" t="n">
        <v>-0.0199</v>
      </c>
      <c r="J6" s="8" t="n">
        <v>0.0481</v>
      </c>
      <c r="K6" s="8" t="n">
        <v>-0.0072</v>
      </c>
      <c r="L6" s="8" t="n">
        <v>0.0016</v>
      </c>
      <c r="M6" s="8" t="n">
        <v>-0.0005999999999999999</v>
      </c>
      <c r="N6" s="8" t="n">
        <v>0</v>
      </c>
      <c r="O6" s="8" t="n">
        <v>0.003</v>
      </c>
      <c r="P6" s="8" t="n">
        <v>0</v>
      </c>
      <c r="Q6" s="8" t="n">
        <v>0.008999999999999999</v>
      </c>
      <c r="R6" s="8" t="n">
        <v>0.0013</v>
      </c>
      <c r="S6" s="8" t="n">
        <v>0</v>
      </c>
      <c r="T6" s="8" t="n">
        <v>0</v>
      </c>
      <c r="U6" s="8" t="n">
        <v>0.0031</v>
      </c>
      <c r="V6" s="8" t="n">
        <v>-0.0069</v>
      </c>
      <c r="W6" s="8" t="n">
        <v>-0</v>
      </c>
      <c r="X6" s="8" t="n">
        <v/>
      </c>
    </row>
    <row r="7">
      <c r="A7" s="10" t="inlineStr">
        <is>
          <t>slope_5yr</t>
        </is>
      </c>
      <c r="B7" s="8" t="n">
        <v>-0.2685</v>
      </c>
      <c r="C7" s="8" t="n">
        <v>-0.1238</v>
      </c>
      <c r="D7" s="8" t="n">
        <v>-0.0886</v>
      </c>
      <c r="E7" s="8" t="n">
        <v>-0.0277</v>
      </c>
      <c r="F7" s="8" t="n">
        <v>0.0153</v>
      </c>
      <c r="G7" s="8" t="n">
        <v>0.0123</v>
      </c>
      <c r="H7" s="8" t="n">
        <v>0.0063</v>
      </c>
      <c r="I7" s="8" t="n">
        <v>-0.0108</v>
      </c>
      <c r="J7" s="8" t="n">
        <v>0.0149</v>
      </c>
      <c r="K7" s="8" t="n">
        <v>-0.0044</v>
      </c>
      <c r="L7" s="8" t="n">
        <v>0.0152</v>
      </c>
      <c r="M7" s="8" t="n">
        <v>-0.0001</v>
      </c>
      <c r="N7" s="8" t="n">
        <v>-0.0002</v>
      </c>
      <c r="O7" s="8" t="n">
        <v>-0.0033</v>
      </c>
      <c r="P7" s="8" t="n">
        <v>-0.0021</v>
      </c>
      <c r="Q7" s="8" t="n">
        <v>0.003</v>
      </c>
      <c r="R7" s="8" t="n">
        <v>0.0012</v>
      </c>
      <c r="S7" s="8" t="n">
        <v>-0</v>
      </c>
      <c r="T7" s="8" t="n">
        <v>-0.0042</v>
      </c>
      <c r="U7" s="8" t="n">
        <v>-0.0064</v>
      </c>
      <c r="V7" s="8" t="n">
        <v>-0.0069</v>
      </c>
      <c r="W7" s="8" t="n">
        <v>-0</v>
      </c>
      <c r="X7" s="8" t="n">
        <v/>
      </c>
    </row>
    <row r="8">
      <c r="A8" s="10" t="inlineStr">
        <is>
          <t>slope_10yr</t>
        </is>
      </c>
      <c r="B8" s="8" t="n">
        <v>-0.0158</v>
      </c>
      <c r="C8" s="8" t="n">
        <v>-0.024</v>
      </c>
      <c r="D8" s="8" t="n">
        <v>-0.007</v>
      </c>
      <c r="E8" s="8" t="n">
        <v>-0.001</v>
      </c>
      <c r="F8" s="8" t="n">
        <v>0.0149</v>
      </c>
      <c r="G8" s="8" t="n">
        <v>0.008699999999999999</v>
      </c>
      <c r="H8" s="8" t="n">
        <v>-0.0053</v>
      </c>
      <c r="I8" s="8" t="n">
        <v>-0.0023</v>
      </c>
      <c r="J8" s="8" t="n">
        <v>-0.0002</v>
      </c>
      <c r="K8" s="8" t="n">
        <v>-0.0048</v>
      </c>
      <c r="L8" s="8" t="n">
        <v>0.0008</v>
      </c>
      <c r="M8" s="8" t="n">
        <v>0.0002</v>
      </c>
      <c r="N8" s="8" t="n">
        <v>-0.0019</v>
      </c>
      <c r="O8" s="8" t="n">
        <v>-0.001</v>
      </c>
      <c r="P8" s="8" t="n">
        <v>-0.0039</v>
      </c>
      <c r="Q8" s="8" t="n">
        <v>-0.0029</v>
      </c>
      <c r="R8" s="8" t="n">
        <v>-0.0026</v>
      </c>
      <c r="S8" s="8" t="n">
        <v>-0.0026</v>
      </c>
      <c r="T8" s="8" t="n">
        <v>-0.0042</v>
      </c>
      <c r="U8" s="8" t="n">
        <v>-0.0064</v>
      </c>
      <c r="V8" s="8" t="n">
        <v>-0.0069</v>
      </c>
      <c r="W8" s="8" t="n">
        <v>-0</v>
      </c>
      <c r="X8" s="8" t="n">
        <v/>
      </c>
    </row>
  </sheetData>
  <mergeCells count="1">
    <mergeCell ref="A1:Y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Paid Loss - CV &amp; Slopes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3" t="n"/>
    </row>
    <row r="2">
      <c r="A2" s="9" t="inlineStr">
        <is>
          <t>Metric</t>
        </is>
      </c>
      <c r="B2" s="5" t="inlineStr">
        <is>
          <t>11-23</t>
        </is>
      </c>
      <c r="C2" s="5" t="inlineStr">
        <is>
          <t>23-35</t>
        </is>
      </c>
      <c r="D2" s="5" t="inlineStr">
        <is>
          <t>35-47</t>
        </is>
      </c>
      <c r="E2" s="5" t="inlineStr">
        <is>
          <t>47-59</t>
        </is>
      </c>
      <c r="F2" s="5" t="inlineStr">
        <is>
          <t>59-71</t>
        </is>
      </c>
      <c r="G2" s="5" t="inlineStr">
        <is>
          <t>71-83</t>
        </is>
      </c>
      <c r="H2" s="5" t="inlineStr">
        <is>
          <t>83-95</t>
        </is>
      </c>
      <c r="I2" s="5" t="inlineStr">
        <is>
          <t>95-107</t>
        </is>
      </c>
      <c r="J2" s="5" t="inlineStr">
        <is>
          <t>107-119</t>
        </is>
      </c>
      <c r="K2" s="5" t="inlineStr">
        <is>
          <t>119-131</t>
        </is>
      </c>
      <c r="L2" s="5" t="inlineStr">
        <is>
          <t>131-143</t>
        </is>
      </c>
      <c r="M2" s="5" t="inlineStr">
        <is>
          <t>143-155</t>
        </is>
      </c>
      <c r="N2" s="5" t="inlineStr">
        <is>
          <t>155-167</t>
        </is>
      </c>
      <c r="O2" s="5" t="inlineStr">
        <is>
          <t>167-179</t>
        </is>
      </c>
      <c r="P2" s="5" t="inlineStr">
        <is>
          <t>179-191</t>
        </is>
      </c>
      <c r="Q2" s="5" t="inlineStr">
        <is>
          <t>191-203</t>
        </is>
      </c>
      <c r="R2" s="5" t="inlineStr">
        <is>
          <t>203-215</t>
        </is>
      </c>
      <c r="S2" s="5" t="inlineStr">
        <is>
          <t>215-227</t>
        </is>
      </c>
      <c r="T2" s="5" t="inlineStr">
        <is>
          <t>227-239</t>
        </is>
      </c>
      <c r="U2" s="5" t="inlineStr">
        <is>
          <t>239-251</t>
        </is>
      </c>
      <c r="V2" s="5" t="inlineStr">
        <is>
          <t>251-263</t>
        </is>
      </c>
      <c r="W2" s="5" t="inlineStr">
        <is>
          <t>263-275</t>
        </is>
      </c>
      <c r="X2" s="5" t="inlineStr">
        <is>
          <t>275-287</t>
        </is>
      </c>
      <c r="Y2" s="5" t="inlineStr">
        <is>
          <t>Tail</t>
        </is>
      </c>
    </row>
    <row r="3">
      <c r="A3" s="10" t="inlineStr">
        <is>
          <t>cv_3yr</t>
        </is>
      </c>
      <c r="B3" s="8" t="n">
        <v>0.2513</v>
      </c>
      <c r="C3" s="8" t="n">
        <v>0.2467</v>
      </c>
      <c r="D3" s="8" t="n">
        <v>0.0502</v>
      </c>
      <c r="E3" s="8" t="n">
        <v>0.1057</v>
      </c>
      <c r="F3" s="8" t="n">
        <v>0.0721</v>
      </c>
      <c r="G3" s="8" t="n">
        <v>0.1012</v>
      </c>
      <c r="H3" s="8" t="n">
        <v>0.0403</v>
      </c>
      <c r="I3" s="8" t="n">
        <v>0.004</v>
      </c>
      <c r="J3" s="8" t="n">
        <v>0.06469999999999999</v>
      </c>
      <c r="K3" s="8" t="n">
        <v>0.0153</v>
      </c>
      <c r="L3" s="8" t="n">
        <v>0.0294</v>
      </c>
      <c r="M3" s="8" t="n">
        <v>0.0226</v>
      </c>
      <c r="N3" s="8" t="n">
        <v>0.0017</v>
      </c>
      <c r="O3" s="8" t="n">
        <v>0.0033</v>
      </c>
      <c r="P3" s="8" t="n">
        <v>0.0159</v>
      </c>
      <c r="Q3" s="8" t="n">
        <v>0.0103</v>
      </c>
      <c r="R3" s="8" t="n">
        <v>0.0033</v>
      </c>
      <c r="S3" s="8" t="n">
        <v>0.0032</v>
      </c>
      <c r="T3" s="8" t="n">
        <v>0</v>
      </c>
      <c r="U3" s="8" t="n">
        <v>0.0058</v>
      </c>
      <c r="V3" s="8" t="n">
        <v>0.005</v>
      </c>
      <c r="W3" s="8" t="n">
        <v>0.0019</v>
      </c>
      <c r="X3" s="8" t="n">
        <v/>
      </c>
    </row>
    <row r="4">
      <c r="A4" s="10" t="inlineStr">
        <is>
          <t>cv_5yr</t>
        </is>
      </c>
      <c r="B4" s="8" t="n">
        <v>0.1774</v>
      </c>
      <c r="C4" s="8" t="n">
        <v>0.2103</v>
      </c>
      <c r="D4" s="8" t="n">
        <v>0.1004</v>
      </c>
      <c r="E4" s="8" t="n">
        <v>0.0759</v>
      </c>
      <c r="F4" s="8" t="n">
        <v>0.0522</v>
      </c>
      <c r="G4" s="8" t="n">
        <v>0.0961</v>
      </c>
      <c r="H4" s="8" t="n">
        <v>0.0391</v>
      </c>
      <c r="I4" s="8" t="n">
        <v>0.0112</v>
      </c>
      <c r="J4" s="8" t="n">
        <v>0.0566</v>
      </c>
      <c r="K4" s="8" t="n">
        <v>0.0121</v>
      </c>
      <c r="L4" s="8" t="n">
        <v>0.0237</v>
      </c>
      <c r="M4" s="8" t="n">
        <v>0.0235</v>
      </c>
      <c r="N4" s="8" t="n">
        <v>0.0123</v>
      </c>
      <c r="O4" s="8" t="n">
        <v>0.0108</v>
      </c>
      <c r="P4" s="8" t="n">
        <v>0.0114</v>
      </c>
      <c r="Q4" s="8" t="n">
        <v>0.0103</v>
      </c>
      <c r="R4" s="8" t="n">
        <v>0.0031</v>
      </c>
      <c r="S4" s="8" t="n">
        <v>0.0069</v>
      </c>
      <c r="T4" s="8" t="n">
        <v>0.0054</v>
      </c>
      <c r="U4" s="8" t="n">
        <v>0.0051</v>
      </c>
      <c r="V4" s="8" t="n">
        <v>0.005</v>
      </c>
      <c r="W4" s="8" t="n">
        <v>0.0019</v>
      </c>
      <c r="X4" s="8" t="n">
        <v/>
      </c>
    </row>
    <row r="5">
      <c r="A5" s="10" t="inlineStr">
        <is>
          <t>cv_10yr</t>
        </is>
      </c>
      <c r="B5" s="8" t="n">
        <v>0.2259</v>
      </c>
      <c r="C5" s="8" t="n">
        <v>0.1904</v>
      </c>
      <c r="D5" s="8" t="n">
        <v>0.1076</v>
      </c>
      <c r="E5" s="8" t="n">
        <v>0.06419999999999999</v>
      </c>
      <c r="F5" s="8" t="n">
        <v>0.0625</v>
      </c>
      <c r="G5" s="8" t="n">
        <v>0.08169999999999999</v>
      </c>
      <c r="H5" s="8" t="n">
        <v>0.0308</v>
      </c>
      <c r="I5" s="8" t="n">
        <v>0.0238</v>
      </c>
      <c r="J5" s="8" t="n">
        <v>0.044</v>
      </c>
      <c r="K5" s="8" t="n">
        <v>0.0327</v>
      </c>
      <c r="L5" s="8" t="n">
        <v>0.0201</v>
      </c>
      <c r="M5" s="8" t="n">
        <v>0.02</v>
      </c>
      <c r="N5" s="8" t="n">
        <v>0.0116</v>
      </c>
      <c r="O5" s="8" t="n">
        <v>0.012</v>
      </c>
      <c r="P5" s="8" t="n">
        <v>0.0116</v>
      </c>
      <c r="Q5" s="8" t="n">
        <v>0.0124</v>
      </c>
      <c r="R5" s="8" t="n">
        <v>0.0108</v>
      </c>
      <c r="S5" s="8" t="n">
        <v>0.0151</v>
      </c>
      <c r="T5" s="8" t="n">
        <v>0.0054</v>
      </c>
      <c r="U5" s="8" t="n">
        <v>0.0051</v>
      </c>
      <c r="V5" s="8" t="n">
        <v>0.005</v>
      </c>
      <c r="W5" s="8" t="n">
        <v>0.0019</v>
      </c>
      <c r="X5" s="8" t="n">
        <v/>
      </c>
    </row>
    <row r="6">
      <c r="A6" s="10" t="inlineStr">
        <is>
          <t>slope_3yr</t>
        </is>
      </c>
      <c r="B6" s="8" t="n">
        <v>0.6336000000000001</v>
      </c>
      <c r="C6" s="8" t="n">
        <v>-0.0604</v>
      </c>
      <c r="D6" s="8" t="n">
        <v>-0.0563</v>
      </c>
      <c r="E6" s="8" t="n">
        <v>-0.0235</v>
      </c>
      <c r="F6" s="8" t="n">
        <v>0.0539</v>
      </c>
      <c r="G6" s="8" t="n">
        <v>-0.04</v>
      </c>
      <c r="H6" s="8" t="n">
        <v>0.0182</v>
      </c>
      <c r="I6" s="8" t="n">
        <v>0.0024</v>
      </c>
      <c r="J6" s="8" t="n">
        <v>0.0689</v>
      </c>
      <c r="K6" s="8" t="n">
        <v>-0.0111</v>
      </c>
      <c r="L6" s="8" t="n">
        <v>-0.0051</v>
      </c>
      <c r="M6" s="8" t="n">
        <v>0.021</v>
      </c>
      <c r="N6" s="8" t="n">
        <v>0.0016</v>
      </c>
      <c r="O6" s="8" t="n">
        <v>0.0027</v>
      </c>
      <c r="P6" s="8" t="n">
        <v>-0.0145</v>
      </c>
      <c r="Q6" s="8" t="n">
        <v>0.0075</v>
      </c>
      <c r="R6" s="8" t="n">
        <v>0.0002</v>
      </c>
      <c r="S6" s="8" t="n">
        <v>0.0028</v>
      </c>
      <c r="T6" s="8" t="n">
        <v>0</v>
      </c>
      <c r="U6" s="8" t="n">
        <v>-0.0051</v>
      </c>
      <c r="V6" s="8" t="n">
        <v>-0.0037</v>
      </c>
      <c r="W6" s="8" t="n">
        <v>0.0027</v>
      </c>
      <c r="X6" s="8" t="n">
        <v/>
      </c>
    </row>
    <row r="7">
      <c r="A7" s="10" t="inlineStr">
        <is>
          <t>slope_5yr</t>
        </is>
      </c>
      <c r="B7" s="8" t="n">
        <v>0.1057</v>
      </c>
      <c r="C7" s="8" t="n">
        <v>-0.09320000000000001</v>
      </c>
      <c r="D7" s="8" t="n">
        <v>-0.0368</v>
      </c>
      <c r="E7" s="8" t="n">
        <v>0.0014</v>
      </c>
      <c r="F7" s="8" t="n">
        <v>0.0158</v>
      </c>
      <c r="G7" s="8" t="n">
        <v>0.0287</v>
      </c>
      <c r="H7" s="8" t="n">
        <v>0.0186</v>
      </c>
      <c r="I7" s="8" t="n">
        <v>-0.0028</v>
      </c>
      <c r="J7" s="8" t="n">
        <v>0.0317</v>
      </c>
      <c r="K7" s="8" t="n">
        <v>0.0009</v>
      </c>
      <c r="L7" s="8" t="n">
        <v>-0.0005</v>
      </c>
      <c r="M7" s="8" t="n">
        <v>0.0036</v>
      </c>
      <c r="N7" s="8" t="n">
        <v>-0.0052</v>
      </c>
      <c r="O7" s="8" t="n">
        <v>-0.0028</v>
      </c>
      <c r="P7" s="8" t="n">
        <v>-0.0022</v>
      </c>
      <c r="Q7" s="8" t="n">
        <v>0.004</v>
      </c>
      <c r="R7" s="8" t="n">
        <v>0.0012</v>
      </c>
      <c r="S7" s="8" t="n">
        <v>-0.0021</v>
      </c>
      <c r="T7" s="8" t="n">
        <v>-0.0012</v>
      </c>
      <c r="U7" s="8" t="n">
        <v>-0.0032</v>
      </c>
      <c r="V7" s="8" t="n">
        <v>-0.0037</v>
      </c>
      <c r="W7" s="8" t="n">
        <v>0.0027</v>
      </c>
      <c r="X7" s="8" t="n">
        <v/>
      </c>
    </row>
    <row r="8">
      <c r="A8" s="10" t="inlineStr">
        <is>
          <t>slope_10yr</t>
        </is>
      </c>
      <c r="B8" s="8" t="n">
        <v>0.0629</v>
      </c>
      <c r="C8" s="8" t="n">
        <v>0.0049</v>
      </c>
      <c r="D8" s="8" t="n">
        <v>-0.01</v>
      </c>
      <c r="E8" s="8" t="n">
        <v>0.0019</v>
      </c>
      <c r="F8" s="8" t="n">
        <v>0.0148</v>
      </c>
      <c r="G8" s="8" t="n">
        <v>0.015</v>
      </c>
      <c r="H8" s="8" t="n">
        <v>0.0041</v>
      </c>
      <c r="I8" s="8" t="n">
        <v>-0.0045</v>
      </c>
      <c r="J8" s="8" t="n">
        <v>0.0037</v>
      </c>
      <c r="K8" s="8" t="n">
        <v>-0.0068</v>
      </c>
      <c r="L8" s="8" t="n">
        <v>-0.0001</v>
      </c>
      <c r="M8" s="8" t="n">
        <v>0.002</v>
      </c>
      <c r="N8" s="8" t="n">
        <v>-0.0015</v>
      </c>
      <c r="O8" s="8" t="n">
        <v>-0.0014</v>
      </c>
      <c r="P8" s="8" t="n">
        <v>-0.0019</v>
      </c>
      <c r="Q8" s="8" t="n">
        <v>-0.0013</v>
      </c>
      <c r="R8" s="8" t="n">
        <v>-0.0035</v>
      </c>
      <c r="S8" s="8" t="n">
        <v>-0.006</v>
      </c>
      <c r="T8" s="8" t="n">
        <v>-0.0012</v>
      </c>
      <c r="U8" s="8" t="n">
        <v>-0.0032</v>
      </c>
      <c r="V8" s="8" t="n">
        <v>-0.0037</v>
      </c>
      <c r="W8" s="8" t="n">
        <v>0.0027</v>
      </c>
      <c r="X8" s="8" t="n">
        <v/>
      </c>
    </row>
  </sheetData>
  <mergeCells count="1">
    <mergeCell ref="A1:Y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2026-04-24T17:13:59Z</dcterms:created>
  <dcterms:modified xmlns:dcterms="http://purl.org/dc/terms/" xmlns:xsi="http://www.w3.org/2001/XMLSchema-instance" xsi:type="dcterms:W3CDTF">2026-04-24T17:14:00Z</dcterms:modified>
</cp:coreProperties>
</file>